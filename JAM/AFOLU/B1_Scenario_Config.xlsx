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JAM\AFOLU\"/>
    </mc:Choice>
  </mc:AlternateContent>
  <xr:revisionPtr revIDLastSave="0" documentId="13_ncr:1_{50D7EAFF-414D-412F-B1DD-1B6B7959E278}" xr6:coauthVersionLast="47" xr6:coauthVersionMax="47" xr10:uidLastSave="{00000000-0000-0000-0000-000000000000}"/>
  <bookViews>
    <workbookView xWindow="28680" yWindow="-120" windowWidth="29040" windowHeight="15720" tabRatio="705" firstSheet="2" activeTab="12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SmartGrid" sheetId="14" r:id="rId8"/>
    <sheet name="Efficiency" sheetId="9" r:id="rId9"/>
    <sheet name="TElasticity" sheetId="15" r:id="rId10"/>
    <sheet name="Waste" sheetId="16" r:id="rId11"/>
    <sheet name="IPPU" sheetId="17" r:id="rId12"/>
    <sheet name="Emission_Restriction" sheetId="18" r:id="rId13"/>
  </sheets>
  <definedNames>
    <definedName name="_xlnm._FilterDatabase" localSheetId="5" hidden="1">Electrical!$A$1:$N$4</definedName>
    <definedName name="_xlnm._FilterDatabase" localSheetId="7" hidden="1">SmartGrid!$A$1:$AS$159</definedName>
    <definedName name="_xlnm._FilterDatabase" localSheetId="6" hidden="1">Tech_Adoption!$A$1:$Q$73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73" i="14" l="1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AS70" i="14"/>
  <c r="AR70" i="14"/>
  <c r="AQ70" i="14"/>
  <c r="AP70" i="14"/>
  <c r="AO70" i="14"/>
  <c r="AN70" i="14"/>
  <c r="AM70" i="14"/>
  <c r="AL70" i="14"/>
  <c r="AK70" i="14"/>
  <c r="AJ70" i="14"/>
  <c r="AI70" i="14"/>
  <c r="AH70" i="14"/>
  <c r="AG70" i="14"/>
  <c r="AF70" i="14"/>
  <c r="AE70" i="14"/>
  <c r="AD70" i="14"/>
  <c r="AC70" i="14"/>
  <c r="AB70" i="14"/>
  <c r="AA70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AS69" i="14"/>
  <c r="AR69" i="14"/>
  <c r="AQ69" i="14"/>
  <c r="AP69" i="14"/>
  <c r="AO69" i="14"/>
  <c r="AN69" i="14"/>
  <c r="AM69" i="14"/>
  <c r="AL69" i="14"/>
  <c r="AK69" i="14"/>
  <c r="AJ69" i="14"/>
  <c r="AI69" i="14"/>
  <c r="AH69" i="14"/>
  <c r="AG69" i="14"/>
  <c r="AF69" i="14"/>
  <c r="AE69" i="14"/>
  <c r="AD69" i="14"/>
  <c r="AC69" i="14"/>
  <c r="AB69" i="14"/>
  <c r="AA69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AS63" i="14"/>
  <c r="AR63" i="14"/>
  <c r="AQ63" i="14"/>
  <c r="AP63" i="14"/>
  <c r="AO63" i="14"/>
  <c r="AN63" i="14"/>
  <c r="AM63" i="14"/>
  <c r="AL63" i="14"/>
  <c r="AK63" i="14"/>
  <c r="AJ63" i="14"/>
  <c r="AI63" i="14"/>
  <c r="AH63" i="14"/>
  <c r="AG63" i="14"/>
  <c r="AF63" i="14"/>
  <c r="AE63" i="14"/>
  <c r="AD63" i="14"/>
  <c r="AC63" i="14"/>
  <c r="AB63" i="14"/>
  <c r="AA63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AS62" i="14"/>
  <c r="AR62" i="14"/>
  <c r="AQ62" i="14"/>
  <c r="AP62" i="14"/>
  <c r="AO62" i="14"/>
  <c r="AN62" i="14"/>
  <c r="AM62" i="14"/>
  <c r="AL62" i="14"/>
  <c r="AK62" i="14"/>
  <c r="AJ62" i="14"/>
  <c r="AI62" i="14"/>
  <c r="AH62" i="14"/>
  <c r="AG62" i="14"/>
  <c r="AF62" i="14"/>
  <c r="AE62" i="14"/>
  <c r="AD62" i="14"/>
  <c r="AC62" i="14"/>
  <c r="AB62" i="14"/>
  <c r="AA62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AS61" i="14"/>
  <c r="AR61" i="14"/>
  <c r="AQ61" i="14"/>
  <c r="AP61" i="14"/>
  <c r="AO61" i="14"/>
  <c r="AN61" i="14"/>
  <c r="AM61" i="14"/>
  <c r="AL61" i="14"/>
  <c r="AK61" i="14"/>
  <c r="AJ61" i="14"/>
  <c r="AI61" i="14"/>
  <c r="AH61" i="14"/>
  <c r="AG61" i="14"/>
  <c r="AF61" i="14"/>
  <c r="AE61" i="14"/>
  <c r="AD61" i="14"/>
  <c r="AC61" i="14"/>
  <c r="AB61" i="14"/>
  <c r="AA61" i="14"/>
  <c r="Z61" i="14"/>
  <c r="Y61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AS60" i="14"/>
  <c r="AR60" i="14"/>
  <c r="AQ60" i="14"/>
  <c r="AP60" i="14"/>
  <c r="AO60" i="14"/>
  <c r="AN60" i="14"/>
  <c r="AM60" i="14"/>
  <c r="AL60" i="14"/>
  <c r="AK60" i="14"/>
  <c r="AJ60" i="14"/>
  <c r="AI60" i="14"/>
  <c r="AH60" i="14"/>
  <c r="AG60" i="14"/>
  <c r="AF60" i="14"/>
  <c r="AE60" i="14"/>
  <c r="AD60" i="14"/>
  <c r="AC60" i="14"/>
  <c r="AB60" i="14"/>
  <c r="AA60" i="14"/>
  <c r="Z60" i="14"/>
  <c r="Y60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AS59" i="14"/>
  <c r="AR59" i="14"/>
  <c r="AQ59" i="14"/>
  <c r="AP59" i="14"/>
  <c r="AO59" i="14"/>
  <c r="AN59" i="14"/>
  <c r="AM59" i="14"/>
  <c r="AL59" i="14"/>
  <c r="AK59" i="14"/>
  <c r="AJ59" i="14"/>
  <c r="AI59" i="14"/>
  <c r="AH59" i="14"/>
  <c r="AG59" i="14"/>
  <c r="AF59" i="14"/>
  <c r="AE59" i="14"/>
  <c r="AD59" i="14"/>
  <c r="AC59" i="14"/>
  <c r="AB59" i="14"/>
  <c r="AA59" i="14"/>
  <c r="Z59" i="14"/>
  <c r="Y59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Y42" i="14"/>
  <c r="Z42" i="14"/>
  <c r="AA42" i="14"/>
  <c r="AB42" i="14"/>
  <c r="AC42" i="14"/>
  <c r="AD42" i="14"/>
  <c r="AE42" i="14"/>
  <c r="AF42" i="14"/>
  <c r="AG42" i="14"/>
  <c r="AH42" i="14"/>
  <c r="AI42" i="14"/>
  <c r="AJ42" i="14"/>
  <c r="AK42" i="14"/>
  <c r="AL42" i="14"/>
  <c r="AM42" i="14"/>
  <c r="AN42" i="14"/>
  <c r="AO42" i="14"/>
  <c r="AP42" i="14"/>
  <c r="AQ42" i="14"/>
  <c r="AR42" i="14"/>
  <c r="AS42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Y43" i="14"/>
  <c r="Z43" i="14"/>
  <c r="AA43" i="14"/>
  <c r="AB43" i="14"/>
  <c r="AC43" i="14"/>
  <c r="AD43" i="14"/>
  <c r="AE43" i="14"/>
  <c r="AF43" i="14"/>
  <c r="AG43" i="14"/>
  <c r="AH43" i="14"/>
  <c r="AI43" i="14"/>
  <c r="AJ43" i="14"/>
  <c r="AK43" i="14"/>
  <c r="AL43" i="14"/>
  <c r="AM43" i="14"/>
  <c r="AN43" i="14"/>
  <c r="AO43" i="14"/>
  <c r="AP43" i="14"/>
  <c r="AQ43" i="14"/>
  <c r="AR43" i="14"/>
  <c r="AS43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AH45" i="14"/>
  <c r="AI45" i="14"/>
  <c r="AJ45" i="14"/>
  <c r="AK45" i="14"/>
  <c r="AL45" i="14"/>
  <c r="AM45" i="14"/>
  <c r="AN45" i="14"/>
  <c r="AO45" i="14"/>
  <c r="AP45" i="14"/>
  <c r="AQ45" i="14"/>
  <c r="AR45" i="14"/>
  <c r="AS45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AH46" i="14"/>
  <c r="AI46" i="14"/>
  <c r="AJ46" i="14"/>
  <c r="AK46" i="14"/>
  <c r="AL46" i="14"/>
  <c r="AM46" i="14"/>
  <c r="AN46" i="14"/>
  <c r="AO46" i="14"/>
  <c r="AP46" i="14"/>
  <c r="AQ46" i="14"/>
  <c r="AR46" i="14"/>
  <c r="AS46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AN47" i="14"/>
  <c r="AO47" i="14"/>
  <c r="AP47" i="14"/>
  <c r="AQ47" i="14"/>
  <c r="AR47" i="14"/>
  <c r="AS47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Y48" i="14"/>
  <c r="Z48" i="14"/>
  <c r="AA48" i="14"/>
  <c r="AB48" i="14"/>
  <c r="AC48" i="14"/>
  <c r="AD48" i="14"/>
  <c r="AE48" i="14"/>
  <c r="AF48" i="14"/>
  <c r="AG48" i="14"/>
  <c r="AH48" i="14"/>
  <c r="AI48" i="14"/>
  <c r="AJ48" i="14"/>
  <c r="AK48" i="14"/>
  <c r="AL48" i="14"/>
  <c r="AM48" i="14"/>
  <c r="AN48" i="14"/>
  <c r="AO48" i="14"/>
  <c r="AP48" i="14"/>
  <c r="AQ48" i="14"/>
  <c r="AR48" i="14"/>
  <c r="AS48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AB49" i="14"/>
  <c r="AC49" i="14"/>
  <c r="AD49" i="14"/>
  <c r="AE49" i="14"/>
  <c r="AF49" i="14"/>
  <c r="AG49" i="14"/>
  <c r="AH49" i="14"/>
  <c r="AI49" i="14"/>
  <c r="AJ49" i="14"/>
  <c r="AK49" i="14"/>
  <c r="AL49" i="14"/>
  <c r="AM49" i="14"/>
  <c r="AN49" i="14"/>
  <c r="AO49" i="14"/>
  <c r="AP49" i="14"/>
  <c r="AQ49" i="14"/>
  <c r="AR49" i="14"/>
  <c r="AS49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AA50" i="14"/>
  <c r="AB50" i="14"/>
  <c r="AC50" i="14"/>
  <c r="AD50" i="14"/>
  <c r="AE50" i="14"/>
  <c r="AF50" i="14"/>
  <c r="AG50" i="14"/>
  <c r="AH50" i="14"/>
  <c r="AI50" i="14"/>
  <c r="AJ50" i="14"/>
  <c r="AK50" i="14"/>
  <c r="AL50" i="14"/>
  <c r="AM50" i="14"/>
  <c r="AN50" i="14"/>
  <c r="AO50" i="14"/>
  <c r="AP50" i="14"/>
  <c r="AQ50" i="14"/>
  <c r="AR50" i="14"/>
  <c r="AS50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AA51" i="14"/>
  <c r="AB51" i="14"/>
  <c r="AC51" i="14"/>
  <c r="AD51" i="14"/>
  <c r="AE51" i="14"/>
  <c r="AF51" i="14"/>
  <c r="AG51" i="14"/>
  <c r="AH51" i="14"/>
  <c r="AI51" i="14"/>
  <c r="AJ51" i="14"/>
  <c r="AK51" i="14"/>
  <c r="AL51" i="14"/>
  <c r="AM51" i="14"/>
  <c r="AN51" i="14"/>
  <c r="AO51" i="14"/>
  <c r="AP51" i="14"/>
  <c r="AQ51" i="14"/>
  <c r="AR51" i="14"/>
  <c r="AS51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AE52" i="14"/>
  <c r="AF52" i="14"/>
  <c r="AG52" i="14"/>
  <c r="AH52" i="14"/>
  <c r="AI52" i="14"/>
  <c r="AJ52" i="14"/>
  <c r="AK52" i="14"/>
  <c r="AL52" i="14"/>
  <c r="AM52" i="14"/>
  <c r="AN52" i="14"/>
  <c r="AO52" i="14"/>
  <c r="AP52" i="14"/>
  <c r="AQ52" i="14"/>
  <c r="AR52" i="14"/>
  <c r="AS52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M53" i="14"/>
  <c r="AN53" i="14"/>
  <c r="AO53" i="14"/>
  <c r="AP53" i="14"/>
  <c r="AQ53" i="14"/>
  <c r="AR53" i="14"/>
  <c r="AS53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AN25" i="14"/>
  <c r="AO25" i="14"/>
  <c r="AP25" i="14"/>
  <c r="AQ25" i="14"/>
  <c r="AR25" i="14"/>
  <c r="AS25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15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65C4D5D2-DEC4-49A0-A10E-E1AF493C5A8B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DFB4FFBD-538B-46E4-A87A-508534A5D314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4BDEC1F9-B67C-4CD0-9FE2-AC049EB62E9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89075075-9BCE-4643-AB65-8B748647E961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8EBDBAD7-7557-4383-ACFF-4FDFFD24C42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946C52-721C-451F-B070-10CB6C2D853C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585F661F-98AE-48B9-A775-E81051CE97F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<sst xmlns="http://schemas.openxmlformats.org/spreadsheetml/2006/main" count="601" uniqueCount="94">
  <si>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</si>
  <si>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</si>
  <si>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</si>
  <si>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</si>
  <si>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</si>
  <si>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</si>
  <si>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</si>
  <si>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</si>
  <si>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</si>
  <si>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Represents a system based on fossil fuels and private transport for the next 30 years.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</si>
  <si>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</si>
  <si>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</si>
  <si>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</si>
  <si>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</si>
  <si>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</si>
  <si>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</si>
  <si>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</si>
  <si>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</si>
  <si>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</si>
  <si>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</si>
  <si>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</si>
  <si>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</si>
  <si>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</si>
  <si>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</si>
  <si>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</si>
  <si>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</si>
  <si>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</si>
  <si>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</si>
  <si>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</si>
  <si>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</si>
  <si>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</si>
  <si>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</si>
  <si>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</si>
  <si>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</si>
  <si>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</si>
  <si>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</si>
  <si>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</si>
  <si>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</si>
  <si>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</si>
  <si>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</si>
  <si>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</si>
  <si>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</si>
  <si>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</si>
  <si>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</si>
  <si>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</si>
  <si>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</si>
  <si>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</si>
  <si>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Emission</t>
  </si>
  <si>
    <t>TotalTechnologyAnnualActivityLowerLimit</t>
  </si>
  <si>
    <t>TotalTechnologyAnnualActivityUpperLimit</t>
  </si>
  <si>
    <t>None</t>
  </si>
  <si>
    <t>Exact</t>
  </si>
  <si>
    <t>IMPCOF</t>
  </si>
  <si>
    <t>IMPCOC</t>
  </si>
  <si>
    <t>AG_COC</t>
  </si>
  <si>
    <t>AG_CNT</t>
  </si>
  <si>
    <t>AG_FRT</t>
  </si>
  <si>
    <t>AG_CER</t>
  </si>
  <si>
    <t>AG_PLA</t>
  </si>
  <si>
    <t>IMPCNT</t>
  </si>
  <si>
    <t>IMPBAN</t>
  </si>
  <si>
    <t>IMPVEG</t>
  </si>
  <si>
    <t>IMPCON</t>
  </si>
  <si>
    <t>IMPCER</t>
  </si>
  <si>
    <t>IMPPOT</t>
  </si>
  <si>
    <t>IMPYAM</t>
  </si>
  <si>
    <t>IMPOTTU</t>
  </si>
  <si>
    <t>AG_COF</t>
  </si>
  <si>
    <t>AG_BAN</t>
  </si>
  <si>
    <t>AG_LEG</t>
  </si>
  <si>
    <t>AG_VEG</t>
  </si>
  <si>
    <t>AG_CON</t>
  </si>
  <si>
    <t>AG_POT</t>
  </si>
  <si>
    <t>AG_YAM</t>
  </si>
  <si>
    <t>AG_OTTU</t>
  </si>
  <si>
    <t>IMPLEG</t>
  </si>
  <si>
    <t>IMPFRT</t>
  </si>
  <si>
    <t>IMPPLA</t>
  </si>
  <si>
    <t>GA_CARBOV</t>
  </si>
  <si>
    <t>GA_CARPOR</t>
  </si>
  <si>
    <t>GA_CARPOL</t>
  </si>
  <si>
    <t>GA_MILK</t>
  </si>
  <si>
    <t>GA_OTRCAR</t>
  </si>
  <si>
    <t>IMPCARBOV</t>
  </si>
  <si>
    <t>IMPCARPOR</t>
  </si>
  <si>
    <t>IMPCARPOL</t>
  </si>
  <si>
    <t>IMPMILK</t>
  </si>
  <si>
    <t>IMPOTRCAR</t>
  </si>
  <si>
    <t>LU_OTL</t>
  </si>
  <si>
    <t>LU_SET</t>
  </si>
  <si>
    <t>SpecifiedAnnualDemand</t>
  </si>
  <si>
    <t>f</t>
  </si>
  <si>
    <t>E5COBSET</t>
  </si>
  <si>
    <t>E5COBOTL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</si>
</sst>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0"/>
    <numFmt numFmtId="166" formatCode="0.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u/>
      <sz val="10"/>
      <color theme="10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/>
    <xf numFmtId="43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1" applyNumberFormat="0" applyFill="0" applyAlignment="0" applyProtection="0"/>
    <xf numFmtId="0" fontId="14" fillId="0" borderId="52" applyNumberFormat="0" applyFill="0" applyAlignment="0" applyProtection="0"/>
    <xf numFmtId="0" fontId="15" fillId="0" borderId="53" applyNumberFormat="0" applyFill="0" applyAlignment="0" applyProtection="0"/>
    <xf numFmtId="0" fontId="15" fillId="0" borderId="0" applyNumberFormat="0" applyFill="0" applyBorder="0" applyAlignment="0" applyProtection="0"/>
    <xf numFmtId="0" fontId="16" fillId="25" borderId="0" applyNumberFormat="0" applyBorder="0" applyAlignment="0" applyProtection="0"/>
    <xf numFmtId="0" fontId="17" fillId="26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54" applyNumberFormat="0" applyAlignment="0" applyProtection="0"/>
    <xf numFmtId="0" fontId="20" fillId="29" borderId="55" applyNumberFormat="0" applyAlignment="0" applyProtection="0"/>
    <xf numFmtId="0" fontId="21" fillId="29" borderId="54" applyNumberFormat="0" applyAlignment="0" applyProtection="0"/>
    <xf numFmtId="0" fontId="22" fillId="0" borderId="56" applyNumberFormat="0" applyFill="0" applyAlignment="0" applyProtection="0"/>
    <xf numFmtId="0" fontId="23" fillId="30" borderId="57" applyNumberFormat="0" applyAlignment="0" applyProtection="0"/>
    <xf numFmtId="0" fontId="24" fillId="0" borderId="0" applyNumberFormat="0" applyFill="0" applyBorder="0" applyAlignment="0" applyProtection="0"/>
    <xf numFmtId="0" fontId="9" fillId="31" borderId="58" applyNumberFormat="0" applyFont="0" applyAlignment="0" applyProtection="0"/>
    <xf numFmtId="0" fontId="25" fillId="0" borderId="0" applyNumberFormat="0" applyFill="0" applyBorder="0" applyAlignment="0" applyProtection="0"/>
    <xf numFmtId="0" fontId="1" fillId="0" borderId="59" applyNumberFormat="0" applyFill="0" applyAlignment="0" applyProtection="0"/>
    <xf numFmtId="0" fontId="26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26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26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26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26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1" borderId="0" applyNumberFormat="0" applyBorder="0" applyAlignment="0" applyProtection="0"/>
    <xf numFmtId="0" fontId="26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9" fillId="55" borderId="0" applyNumberFormat="0" applyBorder="0" applyAlignment="0" applyProtection="0"/>
    <xf numFmtId="0" fontId="27" fillId="0" borderId="0"/>
    <xf numFmtId="43" fontId="9" fillId="0" borderId="0" applyFont="0" applyFill="0" applyBorder="0" applyAlignment="0" applyProtection="0"/>
    <xf numFmtId="0" fontId="9" fillId="0" borderId="0"/>
    <xf numFmtId="0" fontId="28" fillId="0" borderId="0" applyNumberFormat="0" applyFill="0" applyBorder="0" applyAlignment="0" applyProtection="0"/>
    <xf numFmtId="9" fontId="27" fillId="0" borderId="0" applyFont="0" applyFill="0" applyBorder="0" applyAlignment="0" applyProtection="0"/>
    <xf numFmtId="0" fontId="9" fillId="0" borderId="0"/>
    <xf numFmtId="0" fontId="31" fillId="0" borderId="0" applyNumberFormat="0" applyFill="0" applyBorder="0" applyAlignment="0" applyProtection="0"/>
    <xf numFmtId="0" fontId="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/>
    <xf numFmtId="0" fontId="27" fillId="0" borderId="0"/>
    <xf numFmtId="0" fontId="9" fillId="0" borderId="0"/>
    <xf numFmtId="0" fontId="28" fillId="0" borderId="0" applyNumberFormat="0" applyFill="0" applyBorder="0" applyAlignment="0" applyProtection="0"/>
    <xf numFmtId="0" fontId="27" fillId="0" borderId="0"/>
    <xf numFmtId="0" fontId="9" fillId="0" borderId="0"/>
    <xf numFmtId="0" fontId="28" fillId="0" borderId="0" applyNumberFormat="0" applyFill="0" applyBorder="0" applyAlignment="0" applyProtection="0"/>
    <xf numFmtId="0" fontId="27" fillId="0" borderId="0"/>
    <xf numFmtId="0" fontId="29" fillId="0" borderId="0"/>
    <xf numFmtId="0" fontId="30" fillId="0" borderId="0"/>
    <xf numFmtId="0" fontId="9" fillId="0" borderId="0"/>
    <xf numFmtId="0" fontId="28" fillId="0" borderId="0" applyNumberFormat="0" applyFill="0" applyBorder="0" applyAlignment="0" applyProtection="0"/>
    <xf numFmtId="0" fontId="27" fillId="0" borderId="0"/>
    <xf numFmtId="0" fontId="29" fillId="0" borderId="0"/>
    <xf numFmtId="0" fontId="27" fillId="0" borderId="0"/>
  </cellStyleXfs>
  <cellXfs count="22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/>
    <xf numFmtId="0" fontId="1" fillId="0" borderId="17" xfId="0" applyFont="1" applyBorder="1"/>
    <xf numFmtId="0" fontId="1" fillId="0" borderId="7" xfId="0" applyFont="1" applyBorder="1"/>
    <xf numFmtId="0" fontId="1" fillId="0" borderId="18" xfId="0" applyFont="1" applyBorder="1"/>
    <xf numFmtId="0" fontId="0" fillId="0" borderId="2" xfId="0" applyBorder="1"/>
    <xf numFmtId="0" fontId="1" fillId="0" borderId="2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/>
    <xf numFmtId="0" fontId="0" fillId="0" borderId="18" xfId="0" applyBorder="1"/>
    <xf numFmtId="0" fontId="1" fillId="0" borderId="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0" fillId="0" borderId="8" xfId="0" applyBorder="1"/>
    <xf numFmtId="0" fontId="1" fillId="0" borderId="24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6" borderId="9" xfId="0" applyFill="1" applyBorder="1"/>
    <xf numFmtId="0" fontId="5" fillId="7" borderId="9" xfId="0" applyFont="1" applyFill="1" applyBorder="1"/>
    <xf numFmtId="0" fontId="0" fillId="7" borderId="9" xfId="0" applyFill="1" applyBorder="1"/>
    <xf numFmtId="0" fontId="0" fillId="6" borderId="9" xfId="0" applyFill="1" applyBorder="1" applyAlignment="1">
      <alignment horizontal="left"/>
    </xf>
    <xf numFmtId="0" fontId="0" fillId="0" borderId="14" xfId="0" applyBorder="1" applyAlignment="1">
      <alignment horizontal="left" vertical="center"/>
    </xf>
    <xf numFmtId="0" fontId="5" fillId="7" borderId="9" xfId="0" applyFont="1" applyFill="1" applyBorder="1" applyAlignment="1">
      <alignment horizontal="left"/>
    </xf>
    <xf numFmtId="0" fontId="0" fillId="7" borderId="9" xfId="0" applyFill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23" xfId="0" applyBorder="1" applyAlignment="1">
      <alignment horizontal="center" vertical="center"/>
    </xf>
    <xf numFmtId="0" fontId="0" fillId="8" borderId="8" xfId="0" applyFill="1" applyBorder="1"/>
    <xf numFmtId="0" fontId="0" fillId="9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4" borderId="9" xfId="0" applyFill="1" applyBorder="1"/>
    <xf numFmtId="0" fontId="0" fillId="10" borderId="9" xfId="0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11" borderId="8" xfId="0" applyFill="1" applyBorder="1"/>
    <xf numFmtId="0" fontId="0" fillId="0" borderId="8" xfId="0" applyBorder="1" applyAlignment="1">
      <alignment horizontal="left" vertical="center"/>
    </xf>
    <xf numFmtId="0" fontId="0" fillId="12" borderId="27" xfId="0" applyFill="1" applyBorder="1" applyAlignment="1">
      <alignment horizontal="center" vertical="center"/>
    </xf>
    <xf numFmtId="0" fontId="0" fillId="11" borderId="9" xfId="0" applyFill="1" applyBorder="1"/>
    <xf numFmtId="0" fontId="0" fillId="12" borderId="26" xfId="0" applyFill="1" applyBorder="1" applyAlignment="1">
      <alignment horizontal="center" vertical="center"/>
    </xf>
    <xf numFmtId="0" fontId="0" fillId="13" borderId="9" xfId="0" applyFill="1" applyBorder="1"/>
    <xf numFmtId="0" fontId="0" fillId="13" borderId="26" xfId="0" applyFill="1" applyBorder="1" applyAlignment="1">
      <alignment horizontal="center" vertical="center"/>
    </xf>
    <xf numFmtId="0" fontId="0" fillId="2" borderId="9" xfId="0" applyFill="1" applyBorder="1"/>
    <xf numFmtId="0" fontId="0" fillId="2" borderId="26" xfId="0" applyFill="1" applyBorder="1" applyAlignment="1">
      <alignment horizontal="center" vertical="center"/>
    </xf>
    <xf numFmtId="0" fontId="0" fillId="14" borderId="9" xfId="0" applyFill="1" applyBorder="1"/>
    <xf numFmtId="0" fontId="0" fillId="14" borderId="26" xfId="0" applyFill="1" applyBorder="1" applyAlignment="1">
      <alignment horizontal="center" vertical="center"/>
    </xf>
    <xf numFmtId="0" fontId="0" fillId="15" borderId="9" xfId="0" applyFill="1" applyBorder="1"/>
    <xf numFmtId="0" fontId="0" fillId="15" borderId="26" xfId="0" applyFill="1" applyBorder="1" applyAlignment="1">
      <alignment horizontal="center" vertical="center"/>
    </xf>
    <xf numFmtId="0" fontId="0" fillId="16" borderId="9" xfId="0" applyFill="1" applyBorder="1"/>
    <xf numFmtId="0" fontId="0" fillId="16" borderId="26" xfId="0" applyFill="1" applyBorder="1" applyAlignment="1">
      <alignment horizontal="center" vertical="center"/>
    </xf>
    <xf numFmtId="0" fontId="0" fillId="16" borderId="10" xfId="0" applyFill="1" applyBorder="1"/>
    <xf numFmtId="0" fontId="0" fillId="0" borderId="2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5" xfId="0" applyBorder="1"/>
    <xf numFmtId="0" fontId="0" fillId="0" borderId="25" xfId="0" applyBorder="1"/>
    <xf numFmtId="1" fontId="0" fillId="0" borderId="3" xfId="0" applyNumberFormat="1" applyBorder="1"/>
    <xf numFmtId="1" fontId="0" fillId="0" borderId="9" xfId="0" applyNumberFormat="1" applyBorder="1"/>
    <xf numFmtId="1" fontId="0" fillId="0" borderId="4" xfId="0" applyNumberFormat="1" applyBorder="1"/>
    <xf numFmtId="0" fontId="0" fillId="0" borderId="10" xfId="0" applyBorder="1" applyAlignment="1">
      <alignment horizontal="left"/>
    </xf>
    <xf numFmtId="1" fontId="0" fillId="0" borderId="5" xfId="0" applyNumberFormat="1" applyBorder="1"/>
    <xf numFmtId="1" fontId="0" fillId="0" borderId="10" xfId="0" applyNumberFormat="1" applyBorder="1"/>
    <xf numFmtId="1" fontId="0" fillId="0" borderId="6" xfId="0" applyNumberFormat="1" applyBorder="1"/>
    <xf numFmtId="0" fontId="0" fillId="0" borderId="28" xfId="0" applyBorder="1"/>
    <xf numFmtId="0" fontId="0" fillId="0" borderId="8" xfId="0" applyBorder="1" applyAlignment="1">
      <alignment horizontal="left"/>
    </xf>
    <xf numFmtId="0" fontId="0" fillId="9" borderId="8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0" borderId="27" xfId="0" applyBorder="1"/>
    <xf numFmtId="0" fontId="0" fillId="9" borderId="12" xfId="0" applyFill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9" borderId="27" xfId="0" applyFill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7" borderId="10" xfId="0" applyFill="1" applyBorder="1" applyAlignment="1">
      <alignment horizontal="left" vertical="center"/>
    </xf>
    <xf numFmtId="0" fontId="0" fillId="15" borderId="8" xfId="0" applyFill="1" applyBorder="1"/>
    <xf numFmtId="0" fontId="0" fillId="15" borderId="27" xfId="0" applyFill="1" applyBorder="1" applyAlignment="1">
      <alignment horizontal="center" vertical="center"/>
    </xf>
    <xf numFmtId="0" fontId="0" fillId="14" borderId="32" xfId="0" applyFill="1" applyBorder="1" applyAlignment="1">
      <alignment horizontal="center" vertical="center"/>
    </xf>
    <xf numFmtId="0" fontId="0" fillId="18" borderId="8" xfId="0" applyFill="1" applyBorder="1"/>
    <xf numFmtId="0" fontId="0" fillId="9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2" xfId="0" applyBorder="1"/>
    <xf numFmtId="0" fontId="0" fillId="19" borderId="10" xfId="0" applyFill="1" applyBorder="1"/>
    <xf numFmtId="0" fontId="0" fillId="9" borderId="1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0" xfId="0" applyBorder="1"/>
    <xf numFmtId="0" fontId="0" fillId="5" borderId="7" xfId="0" applyFill="1" applyBorder="1"/>
    <xf numFmtId="0" fontId="0" fillId="0" borderId="21" xfId="0" applyBorder="1" applyAlignment="1">
      <alignment horizontal="left" vertical="center"/>
    </xf>
    <xf numFmtId="0" fontId="0" fillId="9" borderId="7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2" fontId="0" fillId="0" borderId="8" xfId="0" applyNumberFormat="1" applyBorder="1"/>
    <xf numFmtId="0" fontId="0" fillId="9" borderId="34" xfId="0" applyFill="1" applyBorder="1" applyAlignment="1">
      <alignment horizontal="center" vertical="center"/>
    </xf>
    <xf numFmtId="0" fontId="0" fillId="20" borderId="8" xfId="0" applyFill="1" applyBorder="1"/>
    <xf numFmtId="0" fontId="0" fillId="20" borderId="9" xfId="0" applyFill="1" applyBorder="1"/>
    <xf numFmtId="0" fontId="0" fillId="21" borderId="9" xfId="0" applyFill="1" applyBorder="1"/>
    <xf numFmtId="0" fontId="0" fillId="21" borderId="12" xfId="0" applyFill="1" applyBorder="1"/>
    <xf numFmtId="0" fontId="0" fillId="0" borderId="12" xfId="0" applyBorder="1" applyAlignment="1">
      <alignment horizontal="left" vertical="center"/>
    </xf>
    <xf numFmtId="0" fontId="0" fillId="0" borderId="17" xfId="0" applyBorder="1"/>
    <xf numFmtId="164" fontId="0" fillId="0" borderId="17" xfId="0" applyNumberFormat="1" applyBorder="1"/>
    <xf numFmtId="164" fontId="0" fillId="0" borderId="7" xfId="0" applyNumberFormat="1" applyBorder="1"/>
    <xf numFmtId="0" fontId="1" fillId="0" borderId="36" xfId="0" applyFont="1" applyBorder="1"/>
    <xf numFmtId="0" fontId="7" fillId="0" borderId="12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17" xfId="0" applyFont="1" applyBorder="1"/>
    <xf numFmtId="0" fontId="8" fillId="0" borderId="24" xfId="0" applyFont="1" applyBorder="1"/>
    <xf numFmtId="0" fontId="8" fillId="0" borderId="37" xfId="0" applyFont="1" applyBorder="1"/>
    <xf numFmtId="0" fontId="8" fillId="0" borderId="1" xfId="0" applyFont="1" applyBorder="1"/>
    <xf numFmtId="0" fontId="8" fillId="0" borderId="27" xfId="0" applyFont="1" applyBorder="1"/>
    <xf numFmtId="0" fontId="8" fillId="0" borderId="30" xfId="0" applyFont="1" applyBorder="1"/>
    <xf numFmtId="0" fontId="6" fillId="0" borderId="0" xfId="0" applyFont="1"/>
    <xf numFmtId="0" fontId="8" fillId="0" borderId="24" xfId="0" applyFont="1" applyBorder="1" applyAlignment="1">
      <alignment wrapText="1"/>
    </xf>
    <xf numFmtId="0" fontId="8" fillId="0" borderId="43" xfId="0" applyFont="1" applyBorder="1"/>
    <xf numFmtId="0" fontId="8" fillId="0" borderId="21" xfId="0" applyFont="1" applyBorder="1"/>
    <xf numFmtId="0" fontId="0" fillId="0" borderId="31" xfId="0" applyBorder="1"/>
    <xf numFmtId="0" fontId="1" fillId="0" borderId="17" xfId="0" applyFont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21" borderId="14" xfId="0" applyFill="1" applyBorder="1"/>
    <xf numFmtId="0" fontId="0" fillId="21" borderId="15" xfId="0" applyFill="1" applyBorder="1"/>
    <xf numFmtId="0" fontId="0" fillId="21" borderId="16" xfId="0" applyFill="1" applyBorder="1"/>
    <xf numFmtId="0" fontId="0" fillId="21" borderId="3" xfId="0" applyFill="1" applyBorder="1"/>
    <xf numFmtId="0" fontId="0" fillId="21" borderId="4" xfId="0" applyFill="1" applyBorder="1"/>
    <xf numFmtId="1" fontId="0" fillId="21" borderId="3" xfId="0" applyNumberFormat="1" applyFill="1" applyBorder="1"/>
    <xf numFmtId="1" fontId="0" fillId="21" borderId="9" xfId="0" applyNumberFormat="1" applyFill="1" applyBorder="1"/>
    <xf numFmtId="1" fontId="0" fillId="21" borderId="4" xfId="0" applyNumberFormat="1" applyFill="1" applyBorder="1"/>
    <xf numFmtId="0" fontId="10" fillId="22" borderId="14" xfId="0" applyFont="1" applyFill="1" applyBorder="1"/>
    <xf numFmtId="0" fontId="10" fillId="22" borderId="25" xfId="0" applyFont="1" applyFill="1" applyBorder="1"/>
    <xf numFmtId="0" fontId="10" fillId="22" borderId="45" xfId="0" applyFont="1" applyFill="1" applyBorder="1"/>
    <xf numFmtId="0" fontId="10" fillId="22" borderId="1" xfId="0" applyFont="1" applyFill="1" applyBorder="1"/>
    <xf numFmtId="0" fontId="10" fillId="22" borderId="27" xfId="0" applyFont="1" applyFill="1" applyBorder="1"/>
    <xf numFmtId="0" fontId="10" fillId="22" borderId="30" xfId="0" applyFont="1" applyFill="1" applyBorder="1"/>
    <xf numFmtId="0" fontId="10" fillId="23" borderId="38" xfId="0" applyFont="1" applyFill="1" applyBorder="1"/>
    <xf numFmtId="0" fontId="10" fillId="17" borderId="1" xfId="0" applyFont="1" applyFill="1" applyBorder="1"/>
    <xf numFmtId="0" fontId="10" fillId="17" borderId="27" xfId="0" applyFont="1" applyFill="1" applyBorder="1"/>
    <xf numFmtId="0" fontId="10" fillId="17" borderId="30" xfId="0" applyFont="1" applyFill="1" applyBorder="1"/>
    <xf numFmtId="0" fontId="6" fillId="0" borderId="3" xfId="0" applyFont="1" applyBorder="1"/>
    <xf numFmtId="0" fontId="6" fillId="0" borderId="26" xfId="0" applyFont="1" applyBorder="1"/>
    <xf numFmtId="0" fontId="6" fillId="0" borderId="14" xfId="0" applyFont="1" applyBorder="1"/>
    <xf numFmtId="0" fontId="6" fillId="0" borderId="25" xfId="0" applyFont="1" applyBorder="1"/>
    <xf numFmtId="0" fontId="6" fillId="22" borderId="40" xfId="0" applyFont="1" applyFill="1" applyBorder="1"/>
    <xf numFmtId="0" fontId="6" fillId="22" borderId="33" xfId="0" applyFont="1" applyFill="1" applyBorder="1"/>
    <xf numFmtId="0" fontId="6" fillId="0" borderId="33" xfId="0" applyFont="1" applyBorder="1"/>
    <xf numFmtId="0" fontId="6" fillId="0" borderId="26" xfId="0" applyFont="1" applyBorder="1" applyAlignment="1">
      <alignment horizontal="left" vertical="top"/>
    </xf>
    <xf numFmtId="0" fontId="6" fillId="0" borderId="44" xfId="0" applyFont="1" applyBorder="1" applyAlignment="1">
      <alignment horizontal="left" vertical="top"/>
    </xf>
    <xf numFmtId="0" fontId="6" fillId="0" borderId="19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25" xfId="0" applyFont="1" applyBorder="1" applyAlignment="1">
      <alignment horizontal="left" vertical="top"/>
    </xf>
    <xf numFmtId="0" fontId="6" fillId="0" borderId="39" xfId="0" applyFont="1" applyBorder="1" applyAlignment="1">
      <alignment horizontal="left" vertical="top"/>
    </xf>
    <xf numFmtId="0" fontId="6" fillId="0" borderId="29" xfId="0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6" fillId="0" borderId="33" xfId="0" applyFont="1" applyBorder="1" applyAlignment="1">
      <alignment horizontal="left" vertical="top"/>
    </xf>
    <xf numFmtId="0" fontId="6" fillId="0" borderId="41" xfId="0" applyFont="1" applyBorder="1" applyAlignment="1">
      <alignment horizontal="left" vertical="top"/>
    </xf>
    <xf numFmtId="0" fontId="6" fillId="0" borderId="42" xfId="0" applyFont="1" applyBorder="1" applyAlignment="1">
      <alignment horizontal="left" vertical="top"/>
    </xf>
    <xf numFmtId="0" fontId="6" fillId="0" borderId="35" xfId="0" applyFont="1" applyBorder="1" applyAlignment="1">
      <alignment horizontal="left" vertical="top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6" xfId="0" applyFont="1" applyBorder="1" applyAlignment="1">
      <alignment horizontal="left" vertical="center"/>
    </xf>
    <xf numFmtId="0" fontId="1" fillId="0" borderId="46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 wrapText="1"/>
    </xf>
    <xf numFmtId="0" fontId="0" fillId="3" borderId="9" xfId="0" applyFill="1" applyBorder="1" applyAlignment="1">
      <alignment wrapText="1"/>
    </xf>
    <xf numFmtId="0" fontId="11" fillId="3" borderId="9" xfId="0" quotePrefix="1" applyFont="1" applyFill="1" applyBorder="1" applyAlignment="1">
      <alignment horizontal="left" vertical="top"/>
    </xf>
    <xf numFmtId="165" fontId="0" fillId="3" borderId="9" xfId="0" applyNumberFormat="1" applyFill="1" applyBorder="1" applyAlignment="1">
      <alignment horizontal="center"/>
    </xf>
    <xf numFmtId="0" fontId="0" fillId="24" borderId="9" xfId="0" applyFill="1" applyBorder="1" applyAlignment="1">
      <alignment wrapText="1"/>
    </xf>
    <xf numFmtId="0" fontId="11" fillId="24" borderId="9" xfId="0" quotePrefix="1" applyFont="1" applyFill="1" applyBorder="1" applyAlignment="1">
      <alignment horizontal="left" vertical="top"/>
    </xf>
    <xf numFmtId="165" fontId="0" fillId="24" borderId="9" xfId="0" applyNumberFormat="1" applyFill="1" applyBorder="1" applyAlignment="1">
      <alignment horizontal="center"/>
    </xf>
    <xf numFmtId="0" fontId="0" fillId="24" borderId="12" xfId="0" applyFill="1" applyBorder="1" applyAlignment="1">
      <alignment wrapText="1"/>
    </xf>
    <xf numFmtId="0" fontId="11" fillId="24" borderId="12" xfId="0" quotePrefix="1" applyFont="1" applyFill="1" applyBorder="1" applyAlignment="1">
      <alignment horizontal="left" vertical="top"/>
    </xf>
    <xf numFmtId="165" fontId="0" fillId="24" borderId="12" xfId="0" applyNumberFormat="1" applyFill="1" applyBorder="1" applyAlignment="1">
      <alignment horizontal="center"/>
    </xf>
    <xf numFmtId="165" fontId="0" fillId="0" borderId="9" xfId="0" applyNumberFormat="1" applyBorder="1"/>
    <xf numFmtId="0" fontId="0" fillId="18" borderId="9" xfId="0" applyFill="1" applyBorder="1" applyAlignment="1">
      <alignment horizontal="center" vertical="center"/>
    </xf>
    <xf numFmtId="0" fontId="0" fillId="18" borderId="9" xfId="0" applyFill="1" applyBorder="1"/>
    <xf numFmtId="0" fontId="0" fillId="18" borderId="9" xfId="0" applyFill="1" applyBorder="1" applyAlignment="1">
      <alignment horizontal="center"/>
    </xf>
    <xf numFmtId="166" fontId="0" fillId="18" borderId="9" xfId="0" applyNumberFormat="1" applyFill="1" applyBorder="1"/>
    <xf numFmtId="0" fontId="0" fillId="24" borderId="9" xfId="0" applyFill="1" applyBorder="1" applyAlignment="1">
      <alignment horizontal="center"/>
    </xf>
    <xf numFmtId="0" fontId="0" fillId="24" borderId="9" xfId="0" applyFill="1" applyBorder="1"/>
    <xf numFmtId="0" fontId="0" fillId="24" borderId="9" xfId="0" applyFill="1" applyBorder="1" applyAlignment="1">
      <alignment horizontal="center" vertical="center"/>
    </xf>
    <xf numFmtId="165" fontId="0" fillId="24" borderId="9" xfId="0" applyNumberFormat="1" applyFill="1" applyBorder="1"/>
  </cellXfs>
  <cellStyles count="70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 2" xfId="44" xr:uid="{8AFDE577-7EE7-4A69-9724-70B7E6048B27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ipervínculo 2" xfId="46" xr:uid="{A522DC91-3C2E-4DCF-9466-843E6DEC38F8}"/>
    <cellStyle name="Hipervínculo 2 2" xfId="49" xr:uid="{149BD48B-3921-4D13-9499-DA85E7B3A6D8}"/>
    <cellStyle name="Hipervínculo 2 3" xfId="58" xr:uid="{F93CC101-5A17-4CC8-849D-DFAEA33D626F}"/>
    <cellStyle name="Hipervínculo 2 4" xfId="61" xr:uid="{D33A1B8B-4F9F-4397-97BA-5CFFD15CF5BF}"/>
    <cellStyle name="Hipervínculo 2 5" xfId="66" xr:uid="{EAC32323-DA5E-4880-82B2-9B11CABC6F73}"/>
    <cellStyle name="Hyperlink 2" xfId="54" xr:uid="{5C9B538F-2437-43DF-BBBB-CD61F7A37409}"/>
    <cellStyle name="Input" xfId="10" builtinId="20" customBuiltin="1"/>
    <cellStyle name="Linked Cell" xfId="13" builtinId="24" customBuiltin="1"/>
    <cellStyle name="Millares 2" xfId="53" xr:uid="{CBE744E7-48EC-4630-B53E-DF73A9C890CB}"/>
    <cellStyle name="Millares 2 2" xfId="1" xr:uid="{892390FE-96F8-4C48-BA57-C33D526789BF}"/>
    <cellStyle name="Neutral" xfId="9" builtinId="28" customBuiltin="1"/>
    <cellStyle name="Normal" xfId="0" builtinId="0"/>
    <cellStyle name="Normal 2" xfId="45" xr:uid="{E1ECEA65-8758-46BC-95EF-8A3EEC5FCBA1}"/>
    <cellStyle name="Normal 2 2" xfId="52" xr:uid="{A829597E-C728-4D52-AE55-65E8E4AC9500}"/>
    <cellStyle name="Normal 2 3" xfId="57" xr:uid="{F20C3216-B7D6-46E5-BF02-9B867C7E6CFD}"/>
    <cellStyle name="Normal 2 4" xfId="60" xr:uid="{7BAFBDBC-63DE-4D07-9388-DE38860A1289}"/>
    <cellStyle name="Normal 2 5" xfId="65" xr:uid="{AEF85FDE-5474-4F25-90E7-359BFA0E8DBF}"/>
    <cellStyle name="Normal 3" xfId="43" xr:uid="{ABE79B4B-A9F3-4063-9251-1331D9CBD0A2}"/>
    <cellStyle name="Normal 3 2" xfId="50" xr:uid="{E8080F23-7987-4FE4-ACB3-F0A741D4CA12}"/>
    <cellStyle name="Normal 3 3" xfId="55" xr:uid="{C527C741-D473-48C4-988F-0F772B4C6EEF}"/>
    <cellStyle name="Normal 3 3 2" xfId="64" xr:uid="{3684E6EF-A2E0-4A13-B5EB-21205B4C70FC}"/>
    <cellStyle name="Normal 3 3 3" xfId="63" xr:uid="{B5E0905F-A005-4377-8B57-50B07204135E}"/>
    <cellStyle name="Normal 3 4" xfId="51" xr:uid="{99A0F8C5-FA38-4E59-85E2-FE6A3080A6AD}"/>
    <cellStyle name="Normal 3 4 2" xfId="68" xr:uid="{405A7ECA-8701-4A62-B862-2AA41D42AF58}"/>
    <cellStyle name="Normal 3 4 3" xfId="67" xr:uid="{FFF2EACF-5158-4C95-A731-29C1ADE32D24}"/>
    <cellStyle name="Normal 3 5" xfId="56" xr:uid="{64D32E1E-EB4E-44A7-B8A9-84F5C6DE3CB9}"/>
    <cellStyle name="Normal 3 6" xfId="59" xr:uid="{42DEECB9-21EE-4E0C-8576-FAE3CB45898A}"/>
    <cellStyle name="Normal 3 7" xfId="62" xr:uid="{3E79382C-D58F-4F80-A45E-B71A1C177841}"/>
    <cellStyle name="Normal 3 8" xfId="69" xr:uid="{31CD9892-A27F-4EDB-A878-38EC145F1EF3}"/>
    <cellStyle name="Normal 4" xfId="48" xr:uid="{D9209FE1-0A21-4DE0-B645-589A11EE080F}"/>
    <cellStyle name="Note" xfId="16" builtinId="10" customBuiltin="1"/>
    <cellStyle name="Output" xfId="11" builtinId="21" customBuiltin="1"/>
    <cellStyle name="Porcentaje 2" xfId="47" xr:uid="{6A0EA74A-D75A-4B2E-ABAA-6329DAEB23BC}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3"/>
  <sheetViews>
    <sheetView zoomScale="85" zoomScaleNormal="85" workbookViewId="0">
      <selection activeCell="A3" sqref="A3:F3"/>
    </sheetView>
  </sheetViews>
  <sheetFormatPr defaultColWidth="8.85546875" defaultRowHeight="15" x14ac:dyDescent="0.25"/>
  <cols>
    <col min="1" max="1" width="18.28515625" bestFit="1" customWidth="1"/>
    <col min="2" max="2" width="9.140625" bestFit="1" customWidth="1"/>
    <col min="3" max="3" width="9.140625" customWidth="1"/>
    <col min="4" max="4" width="9.85546875" bestFit="1" customWidth="1"/>
    <col min="5" max="5" width="9.140625" customWidth="1"/>
    <col min="6" max="6" width="93" bestFit="1" customWidth="1"/>
  </cols>
  <sheetData>
    <row r="1" spans="1:6" ht="15.75" thickBot="1" x14ac:dyDescent="0.3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</row>
    <row r="2" spans="1:6" x14ac:dyDescent="0.25">
      <c r="A2" s="40" t="s">
        <v>6</v>
      </c>
      <c r="B2" s="27" t="s">
        <v>7</v>
      </c>
      <c r="C2" s="27" t="s">
        <v>7</v>
      </c>
      <c r="D2" s="27" t="s">
        <v>6</v>
      </c>
      <c r="E2" s="27" t="s">
        <v>8</v>
      </c>
      <c r="F2" s="20" t="s">
        <v>9</v>
      </c>
    </row>
    <row r="3" spans="1:6" ht="15.75" thickBot="1" x14ac:dyDescent="0.3">
      <c r="A3" s="4"/>
      <c r="B3" s="6"/>
      <c r="C3" s="6"/>
      <c r="D3" s="6"/>
      <c r="E3" s="6"/>
      <c r="F3" s="5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E36" sqref="E36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10</v>
      </c>
      <c r="B1" s="2" t="s">
        <v>11</v>
      </c>
    </row>
    <row r="2" spans="1:2" x14ac:dyDescent="0.25">
      <c r="A2" t="s">
        <v>12</v>
      </c>
      <c r="B2">
        <v>2024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18"/>
  <sheetViews>
    <sheetView workbookViewId="0">
      <selection activeCell="D28" sqref="D28"/>
    </sheetView>
  </sheetViews>
  <sheetFormatPr defaultColWidth="8.85546875" defaultRowHeight="15" x14ac:dyDescent="0.25"/>
  <cols>
    <col min="2" max="2" width="41.5703125" bestFit="1" customWidth="1"/>
    <col min="3" max="3" width="18.28515625" bestFit="1" customWidth="1"/>
    <col min="4" max="4" width="32.7109375" bestFit="1" customWidth="1"/>
    <col min="6" max="6" width="19.28515625" bestFit="1" customWidth="1"/>
  </cols>
  <sheetData>
    <row r="1" spans="1:4" ht="15.75" thickBot="1" x14ac:dyDescent="0.3">
      <c r="A1" s="11" t="s">
        <v>13</v>
      </c>
      <c r="B1" s="12" t="s">
        <v>14</v>
      </c>
      <c r="C1" s="12" t="s">
        <v>15</v>
      </c>
      <c r="D1" s="13" t="s">
        <v>16</v>
      </c>
    </row>
    <row r="2" spans="1:4" x14ac:dyDescent="0.25">
      <c r="A2" s="31"/>
      <c r="B2" s="47"/>
      <c r="C2" s="47"/>
      <c r="D2" s="16"/>
    </row>
    <row r="3" spans="1:4" x14ac:dyDescent="0.25">
      <c r="A3" s="8"/>
      <c r="B3" s="48"/>
      <c r="C3" s="48"/>
      <c r="D3" s="3"/>
    </row>
    <row r="4" spans="1:4" x14ac:dyDescent="0.25">
      <c r="A4" s="8"/>
      <c r="B4" s="47"/>
      <c r="C4" s="47"/>
      <c r="D4" s="3"/>
    </row>
    <row r="5" spans="1:4" x14ac:dyDescent="0.25">
      <c r="A5" s="8"/>
      <c r="B5" s="48"/>
      <c r="C5" s="48"/>
      <c r="D5" s="3"/>
    </row>
    <row r="6" spans="1:4" x14ac:dyDescent="0.25">
      <c r="A6" s="8"/>
      <c r="B6" s="47"/>
      <c r="C6" s="47"/>
      <c r="D6" s="3"/>
    </row>
    <row r="7" spans="1:4" x14ac:dyDescent="0.25">
      <c r="A7" s="8"/>
      <c r="B7" s="49"/>
      <c r="C7" s="49"/>
      <c r="D7" s="3"/>
    </row>
    <row r="8" spans="1:4" ht="15.75" thickBot="1" x14ac:dyDescent="0.3">
      <c r="A8" s="9"/>
      <c r="B8" s="47"/>
      <c r="C8" s="47"/>
      <c r="D8" s="5"/>
    </row>
    <row r="9" spans="1:4" x14ac:dyDescent="0.25">
      <c r="A9" s="31"/>
      <c r="B9" s="49"/>
      <c r="C9" s="49"/>
      <c r="D9" s="16"/>
    </row>
    <row r="10" spans="1:4" x14ac:dyDescent="0.25">
      <c r="A10" s="8"/>
      <c r="B10" s="47"/>
      <c r="C10" s="47"/>
      <c r="D10" s="3"/>
    </row>
    <row r="11" spans="1:4" x14ac:dyDescent="0.25">
      <c r="A11" s="8"/>
      <c r="B11" s="49"/>
      <c r="C11" s="49"/>
      <c r="D11" s="3"/>
    </row>
    <row r="12" spans="1:4" x14ac:dyDescent="0.25">
      <c r="A12" s="8"/>
      <c r="B12" s="47"/>
      <c r="C12" s="47"/>
      <c r="D12" s="3"/>
    </row>
    <row r="13" spans="1:4" x14ac:dyDescent="0.25">
      <c r="A13" s="8"/>
      <c r="B13" s="49"/>
      <c r="C13" s="49"/>
      <c r="D13" s="3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  <c r="D15" s="44"/>
    </row>
    <row r="16" spans="1:4" x14ac:dyDescent="0.25">
      <c r="A16" s="1"/>
      <c r="B16" s="1"/>
      <c r="C16" s="1"/>
    </row>
    <row r="17" spans="2:2" x14ac:dyDescent="0.25">
      <c r="B17" s="43"/>
    </row>
    <row r="18" spans="2:2" x14ac:dyDescent="0.25">
      <c r="B18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8"/>
  <sheetViews>
    <sheetView workbookViewId="0">
      <selection activeCell="A2" sqref="A2:R10"/>
    </sheetView>
  </sheetViews>
  <sheetFormatPr defaultColWidth="8.85546875" defaultRowHeight="15" x14ac:dyDescent="0.25"/>
  <cols>
    <col min="1" max="1" width="14" bestFit="1" customWidth="1"/>
    <col min="2" max="2" width="18" bestFit="1" customWidth="1"/>
    <col min="3" max="3" width="33.5703125" bestFit="1" customWidth="1"/>
    <col min="4" max="4" width="19.28515625" bestFit="1" customWidth="1"/>
    <col min="5" max="5" width="14" customWidth="1"/>
    <col min="6" max="7" width="7.28515625" bestFit="1" customWidth="1"/>
    <col min="8" max="8" width="6.28515625" bestFit="1" customWidth="1"/>
    <col min="9" max="10" width="6.140625" bestFit="1" customWidth="1"/>
    <col min="11" max="12" width="6.5703125" bestFit="1" customWidth="1"/>
    <col min="13" max="13" width="5" bestFit="1" customWidth="1"/>
    <col min="14" max="14" width="5.140625" bestFit="1" customWidth="1"/>
    <col min="15" max="15" width="7" bestFit="1" customWidth="1"/>
    <col min="16" max="16" width="7" customWidth="1"/>
    <col min="17" max="17" width="7" bestFit="1" customWidth="1"/>
  </cols>
  <sheetData>
    <row r="1" spans="1:17" x14ac:dyDescent="0.25">
      <c r="A1" s="146" t="s">
        <v>13</v>
      </c>
      <c r="B1" s="147" t="s">
        <v>17</v>
      </c>
      <c r="C1" s="147" t="s">
        <v>18</v>
      </c>
      <c r="D1" s="147" t="s">
        <v>19</v>
      </c>
      <c r="E1" s="147" t="s">
        <v>20</v>
      </c>
      <c r="F1" s="147" t="s">
        <v>21</v>
      </c>
      <c r="G1" s="147" t="s">
        <v>22</v>
      </c>
      <c r="H1" s="147" t="s">
        <v>23</v>
      </c>
      <c r="I1" s="147" t="s">
        <v>24</v>
      </c>
      <c r="J1" s="147" t="s">
        <v>25</v>
      </c>
      <c r="K1" s="147" t="s">
        <v>26</v>
      </c>
      <c r="L1" s="147" t="s">
        <v>27</v>
      </c>
      <c r="M1" s="147" t="s">
        <v>28</v>
      </c>
      <c r="N1" s="147" t="s">
        <v>29</v>
      </c>
      <c r="O1" s="147" t="s">
        <v>30</v>
      </c>
      <c r="P1" s="147" t="s">
        <v>31</v>
      </c>
      <c r="Q1" s="148" t="s">
        <v>32</v>
      </c>
    </row>
    <row r="2" spans="1:17" x14ac:dyDescent="0.25">
      <c r="A2" s="177"/>
      <c r="B2" s="178"/>
      <c r="C2" s="178"/>
      <c r="D2" s="178"/>
      <c r="E2" s="178"/>
      <c r="F2" s="184"/>
      <c r="G2" s="184"/>
      <c r="H2" s="184"/>
      <c r="I2" s="184"/>
      <c r="J2" s="184"/>
      <c r="K2" s="184"/>
      <c r="L2" s="184"/>
      <c r="M2" s="184"/>
      <c r="N2" s="184"/>
      <c r="O2" s="185"/>
      <c r="P2" s="186"/>
      <c r="Q2" s="187"/>
    </row>
    <row r="3" spans="1:17" x14ac:dyDescent="0.25">
      <c r="A3" s="179"/>
      <c r="B3" s="180"/>
      <c r="C3" s="180"/>
      <c r="D3" s="180"/>
      <c r="E3" s="180"/>
      <c r="F3" s="188"/>
      <c r="G3" s="188"/>
      <c r="H3" s="188"/>
      <c r="I3" s="188"/>
      <c r="J3" s="188"/>
      <c r="K3" s="188"/>
      <c r="L3" s="188"/>
      <c r="M3" s="188"/>
      <c r="N3" s="188"/>
      <c r="O3" s="189"/>
      <c r="P3" s="190"/>
      <c r="Q3" s="191"/>
    </row>
    <row r="4" spans="1:17" ht="15.75" thickBot="1" x14ac:dyDescent="0.3">
      <c r="A4" s="181"/>
      <c r="B4" s="182"/>
      <c r="C4" s="182"/>
      <c r="D4" s="183"/>
      <c r="E4" s="182"/>
      <c r="F4" s="192"/>
      <c r="G4" s="192"/>
      <c r="H4" s="192"/>
      <c r="I4" s="192"/>
      <c r="J4" s="192"/>
      <c r="K4" s="192"/>
      <c r="L4" s="192"/>
      <c r="M4" s="192"/>
      <c r="N4" s="192"/>
      <c r="O4" s="193"/>
      <c r="P4" s="194"/>
      <c r="Q4" s="195"/>
    </row>
    <row r="5" spans="1:17" ht="15.75" thickBot="1" x14ac:dyDescent="0.3">
      <c r="A5" s="181"/>
      <c r="B5" s="182"/>
      <c r="C5" s="182"/>
      <c r="D5" s="183"/>
      <c r="E5" s="182"/>
      <c r="F5" s="192"/>
      <c r="G5" s="192"/>
      <c r="H5" s="192"/>
      <c r="I5" s="192"/>
      <c r="J5" s="192"/>
      <c r="K5" s="192"/>
      <c r="L5" s="192"/>
      <c r="M5" s="192"/>
      <c r="N5" s="192"/>
      <c r="O5" s="193"/>
      <c r="P5" s="194"/>
      <c r="Q5" s="195"/>
    </row>
    <row r="6" spans="1:17" ht="15.75" thickBot="1" x14ac:dyDescent="0.3">
      <c r="A6" s="181"/>
      <c r="B6" s="182"/>
      <c r="C6" s="182"/>
      <c r="D6" s="183"/>
      <c r="E6" s="182"/>
      <c r="F6" s="192"/>
      <c r="G6" s="192"/>
      <c r="H6" s="192"/>
      <c r="I6" s="192"/>
      <c r="J6" s="192"/>
      <c r="K6" s="192"/>
      <c r="L6" s="192"/>
      <c r="M6" s="192"/>
      <c r="N6" s="192"/>
      <c r="O6" s="193"/>
      <c r="P6" s="194"/>
      <c r="Q6" s="195"/>
    </row>
    <row r="7" spans="1:17" x14ac:dyDescent="0.25">
      <c r="A7" s="149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</row>
    <row r="8" spans="1:17" x14ac:dyDescent="0.25">
      <c r="A8" s="149"/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13"/>
  <sheetViews>
    <sheetView workbookViewId="0">
      <selection activeCell="A2" sqref="A2:E15"/>
    </sheetView>
  </sheetViews>
  <sheetFormatPr defaultColWidth="8.85546875" defaultRowHeight="15" x14ac:dyDescent="0.25"/>
  <cols>
    <col min="1" max="1" width="8.28515625" bestFit="1" customWidth="1"/>
    <col min="2" max="2" width="34.28515625" bestFit="1" customWidth="1"/>
    <col min="3" max="3" width="18.7109375" bestFit="1" customWidth="1"/>
    <col min="4" max="4" width="37.28515625" bestFit="1" customWidth="1"/>
  </cols>
  <sheetData>
    <row r="1" spans="1:4" ht="15.75" thickBot="1" x14ac:dyDescent="0.3">
      <c r="A1" s="11" t="s">
        <v>13</v>
      </c>
      <c r="B1" s="12" t="s">
        <v>14</v>
      </c>
      <c r="C1" s="12" t="s">
        <v>15</v>
      </c>
      <c r="D1" s="13" t="s">
        <v>33</v>
      </c>
    </row>
    <row r="2" spans="1:4" x14ac:dyDescent="0.25">
      <c r="A2" s="31"/>
      <c r="B2" s="50"/>
      <c r="C2" s="47"/>
      <c r="D2" s="16"/>
    </row>
    <row r="3" spans="1:4" x14ac:dyDescent="0.25">
      <c r="A3" s="8"/>
      <c r="B3" s="51"/>
      <c r="C3" s="48"/>
      <c r="D3" s="16"/>
    </row>
    <row r="4" spans="1:4" x14ac:dyDescent="0.25">
      <c r="A4" s="8"/>
      <c r="B4" s="50"/>
      <c r="C4" s="47"/>
      <c r="D4" s="16"/>
    </row>
    <row r="5" spans="1:4" x14ac:dyDescent="0.25">
      <c r="A5" s="8"/>
      <c r="B5" s="52"/>
      <c r="C5" s="48"/>
      <c r="D5" s="16"/>
    </row>
    <row r="6" spans="1:4" x14ac:dyDescent="0.25">
      <c r="A6" s="8"/>
      <c r="B6" s="50"/>
      <c r="C6" s="47"/>
      <c r="D6" s="16"/>
    </row>
    <row r="7" spans="1:4" x14ac:dyDescent="0.25">
      <c r="A7" s="8"/>
      <c r="B7" s="53"/>
      <c r="C7" s="49"/>
      <c r="D7" s="16"/>
    </row>
    <row r="8" spans="1:4" x14ac:dyDescent="0.25">
      <c r="A8" s="8"/>
      <c r="B8" s="50"/>
      <c r="C8" s="47"/>
      <c r="D8" s="16"/>
    </row>
    <row r="9" spans="1:4" x14ac:dyDescent="0.25">
      <c r="A9" s="8"/>
      <c r="B9" s="53"/>
      <c r="C9" s="49"/>
      <c r="D9" s="16"/>
    </row>
    <row r="10" spans="1:4" x14ac:dyDescent="0.25">
      <c r="A10" s="8"/>
      <c r="B10" s="50"/>
      <c r="C10" s="47"/>
      <c r="D10" s="16"/>
    </row>
    <row r="11" spans="1:4" x14ac:dyDescent="0.25">
      <c r="A11" s="8"/>
      <c r="B11" s="53"/>
      <c r="C11" s="49"/>
      <c r="D11" s="16"/>
    </row>
    <row r="12" spans="1:4" x14ac:dyDescent="0.25">
      <c r="A12" s="8"/>
      <c r="B12" s="50"/>
      <c r="C12" s="47"/>
      <c r="D12" s="16"/>
    </row>
    <row r="13" spans="1:4" x14ac:dyDescent="0.25">
      <c r="A13" s="8"/>
      <c r="B13" s="53"/>
      <c r="C13" s="49"/>
      <c r="D13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14"/>
  <sheetViews>
    <sheetView zoomScale="70" zoomScaleNormal="70" workbookViewId="0">
      <selection activeCell="A2" sqref="A2:N16"/>
    </sheetView>
  </sheetViews>
  <sheetFormatPr defaultColWidth="8.85546875" defaultRowHeight="15" x14ac:dyDescent="0.25"/>
  <cols>
    <col min="1" max="1" width="14.140625" customWidth="1"/>
    <col min="2" max="2" width="39.7109375" customWidth="1"/>
    <col min="3" max="3" width="18.7109375" bestFit="1" customWidth="1"/>
    <col min="4" max="4" width="66.5703125" bestFit="1" customWidth="1"/>
    <col min="5" max="5" width="17.42578125" customWidth="1"/>
    <col min="6" max="6" width="15" bestFit="1" customWidth="1"/>
    <col min="7" max="7" width="50.140625" customWidth="1"/>
    <col min="8" max="8" width="59.5703125" customWidth="1"/>
    <col min="9" max="9" width="13.28515625" bestFit="1" customWidth="1"/>
    <col min="10" max="10" width="14.140625" customWidth="1"/>
    <col min="11" max="11" width="13.28515625" customWidth="1"/>
    <col min="12" max="12" width="8.85546875" customWidth="1"/>
    <col min="13" max="13" width="12.42578125" customWidth="1"/>
    <col min="14" max="14" width="44.140625" customWidth="1"/>
  </cols>
  <sheetData>
    <row r="1" spans="1:14" ht="30.75" thickBot="1" x14ac:dyDescent="0.3">
      <c r="A1" s="11" t="s">
        <v>13</v>
      </c>
      <c r="B1" s="12" t="s">
        <v>10</v>
      </c>
      <c r="C1" s="12" t="s">
        <v>19</v>
      </c>
      <c r="D1" s="12" t="s">
        <v>34</v>
      </c>
      <c r="E1" s="22" t="s">
        <v>35</v>
      </c>
      <c r="F1" s="12" t="s">
        <v>23</v>
      </c>
      <c r="G1" s="39" t="s">
        <v>36</v>
      </c>
      <c r="H1" s="39" t="s">
        <v>37</v>
      </c>
      <c r="I1" s="12" t="s">
        <v>29</v>
      </c>
      <c r="J1" s="22" t="s">
        <v>38</v>
      </c>
      <c r="K1" s="22" t="s">
        <v>39</v>
      </c>
      <c r="L1" s="21" t="s">
        <v>40</v>
      </c>
      <c r="M1" s="37" t="s">
        <v>41</v>
      </c>
      <c r="N1" s="13" t="s">
        <v>42</v>
      </c>
    </row>
    <row r="2" spans="1:14" x14ac:dyDescent="0.25">
      <c r="A2" s="136"/>
      <c r="B2" s="137"/>
      <c r="C2" s="138"/>
      <c r="D2" s="137"/>
      <c r="E2" s="139"/>
      <c r="F2" s="138"/>
      <c r="G2" s="140"/>
      <c r="H2" s="140"/>
      <c r="I2" s="135"/>
      <c r="J2" s="135"/>
      <c r="K2" s="135"/>
      <c r="L2" s="141"/>
      <c r="M2" s="141"/>
      <c r="N2" s="142"/>
    </row>
    <row r="3" spans="1:14" s="42" customFormat="1" ht="54" customHeight="1" x14ac:dyDescent="0.25">
      <c r="A3" s="136"/>
      <c r="B3" s="137"/>
      <c r="C3" s="138"/>
      <c r="D3" s="137"/>
      <c r="E3" s="139"/>
      <c r="F3" s="138"/>
      <c r="G3" s="140"/>
      <c r="H3" s="140"/>
      <c r="I3" s="135"/>
      <c r="J3" s="135"/>
      <c r="K3" s="135"/>
      <c r="L3" s="141"/>
      <c r="M3" s="141"/>
      <c r="N3" s="142"/>
    </row>
    <row r="4" spans="1:14" s="42" customFormat="1" x14ac:dyDescent="0.25">
      <c r="A4" s="136"/>
      <c r="B4" s="137"/>
      <c r="C4" s="138"/>
      <c r="D4" s="137"/>
      <c r="E4" s="139"/>
      <c r="F4" s="138"/>
      <c r="G4" s="140"/>
      <c r="H4" s="140"/>
      <c r="I4" s="135"/>
      <c r="J4" s="135"/>
      <c r="K4" s="135"/>
      <c r="L4" s="141"/>
      <c r="M4" s="141"/>
      <c r="N4" s="142"/>
    </row>
    <row r="5" spans="1:14" s="42" customFormat="1" x14ac:dyDescent="0.25">
      <c r="A5" s="136"/>
      <c r="B5" s="137"/>
      <c r="C5" s="138"/>
      <c r="D5" s="137"/>
      <c r="E5" s="139"/>
      <c r="F5" s="138"/>
      <c r="G5" s="140"/>
      <c r="H5" s="140"/>
      <c r="I5" s="135"/>
      <c r="J5" s="135"/>
      <c r="K5" s="135"/>
      <c r="L5" s="141"/>
      <c r="M5" s="141"/>
      <c r="N5" s="142"/>
    </row>
    <row r="6" spans="1:14" s="42" customFormat="1" x14ac:dyDescent="0.25">
      <c r="A6" s="136"/>
      <c r="B6" s="137"/>
      <c r="C6" s="138"/>
      <c r="D6" s="137"/>
      <c r="E6" s="139"/>
      <c r="F6" s="138"/>
      <c r="G6" s="140"/>
      <c r="H6" s="140"/>
      <c r="I6" s="135"/>
      <c r="J6" s="135"/>
      <c r="K6" s="135"/>
      <c r="L6" s="141"/>
      <c r="M6" s="141"/>
      <c r="N6" s="142"/>
    </row>
    <row r="7" spans="1:14" s="42" customFormat="1" x14ac:dyDescent="0.25">
      <c r="A7" s="136"/>
      <c r="B7" s="137"/>
      <c r="C7" s="138"/>
      <c r="D7" s="137"/>
      <c r="E7" s="139"/>
      <c r="F7" s="138"/>
      <c r="G7" s="140"/>
      <c r="H7" s="140"/>
      <c r="I7" s="135"/>
      <c r="J7" s="135"/>
      <c r="K7" s="135"/>
      <c r="L7" s="141"/>
      <c r="M7" s="141"/>
      <c r="N7" s="142"/>
    </row>
    <row r="8" spans="1:14" s="42" customFormat="1" x14ac:dyDescent="0.25">
      <c r="A8" s="136"/>
      <c r="B8" s="137"/>
      <c r="C8" s="138"/>
      <c r="D8" s="137"/>
      <c r="E8" s="139"/>
      <c r="F8" s="138"/>
      <c r="G8" s="140"/>
      <c r="H8" s="140"/>
      <c r="I8" s="135"/>
      <c r="J8" s="135"/>
      <c r="K8" s="135"/>
      <c r="L8" s="141"/>
      <c r="M8" s="141"/>
      <c r="N8" s="142"/>
    </row>
    <row r="9" spans="1:14" s="42" customFormat="1" x14ac:dyDescent="0.25">
      <c r="A9" s="136"/>
      <c r="B9" s="137"/>
      <c r="C9" s="138"/>
      <c r="D9" s="137"/>
      <c r="E9" s="139"/>
      <c r="F9" s="138"/>
      <c r="G9" s="140"/>
      <c r="H9" s="140"/>
      <c r="I9" s="135"/>
      <c r="J9" s="135"/>
      <c r="K9" s="135"/>
      <c r="L9" s="141"/>
      <c r="M9" s="141"/>
      <c r="N9" s="142"/>
    </row>
    <row r="10" spans="1:14" x14ac:dyDescent="0.25">
      <c r="A10" s="136"/>
      <c r="B10" s="137"/>
      <c r="C10" s="138"/>
      <c r="D10" s="137"/>
      <c r="E10" s="139"/>
      <c r="F10" s="138"/>
      <c r="G10" s="140"/>
      <c r="H10" s="140"/>
      <c r="I10" s="135"/>
      <c r="J10" s="135"/>
      <c r="K10" s="135"/>
      <c r="L10" s="141"/>
      <c r="M10" s="141"/>
      <c r="N10" s="142"/>
    </row>
    <row r="11" spans="1:14" x14ac:dyDescent="0.25">
      <c r="A11" s="136"/>
      <c r="B11" s="137"/>
      <c r="C11" s="138"/>
      <c r="D11" s="137"/>
      <c r="E11" s="139"/>
      <c r="F11" s="138"/>
      <c r="G11" s="140"/>
      <c r="H11" s="140"/>
      <c r="I11" s="135"/>
      <c r="J11" s="135"/>
      <c r="K11" s="135"/>
      <c r="L11" s="141"/>
      <c r="M11" s="141"/>
      <c r="N11" s="142"/>
    </row>
    <row r="12" spans="1:14" x14ac:dyDescent="0.25">
      <c r="A12" s="136"/>
      <c r="B12" s="137"/>
      <c r="C12" s="138"/>
      <c r="D12" s="137"/>
      <c r="E12" s="139"/>
      <c r="F12" s="138"/>
      <c r="G12" s="140"/>
      <c r="H12" s="140"/>
      <c r="I12" s="135"/>
      <c r="J12" s="135"/>
      <c r="K12" s="135"/>
      <c r="L12" s="141"/>
      <c r="M12" s="141"/>
      <c r="N12" s="142"/>
    </row>
    <row r="13" spans="1:14" x14ac:dyDescent="0.25">
      <c r="A13" s="136"/>
      <c r="B13" s="137"/>
      <c r="C13" s="138"/>
      <c r="D13" s="137"/>
      <c r="E13" s="139"/>
      <c r="F13" s="138"/>
      <c r="G13" s="140"/>
      <c r="H13" s="140"/>
      <c r="I13" s="135"/>
      <c r="J13" s="135"/>
      <c r="K13" s="135"/>
      <c r="L13" s="141"/>
      <c r="M13" s="141"/>
      <c r="N13" s="142"/>
    </row>
    <row r="14" spans="1:14" ht="28.9" customHeight="1" x14ac:dyDescent="0.25">
      <c r="A14" s="136"/>
      <c r="B14" s="137"/>
      <c r="C14" s="138"/>
      <c r="D14" s="137"/>
      <c r="E14" s="139"/>
      <c r="F14" s="138"/>
      <c r="G14" s="140"/>
      <c r="H14" s="140"/>
      <c r="I14" s="135"/>
      <c r="J14" s="135"/>
      <c r="K14" s="135"/>
      <c r="L14" s="141"/>
      <c r="M14" s="141"/>
      <c r="N14" s="142"/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73"/>
  <sheetViews>
    <sheetView zoomScaleNormal="100" workbookViewId="0">
      <pane ySplit="1" topLeftCell="A2" activePane="bottomLeft" state="frozen"/>
      <selection pane="bottomLeft" activeCell="A2" sqref="A2:XFD73"/>
    </sheetView>
  </sheetViews>
  <sheetFormatPr defaultColWidth="8.85546875" defaultRowHeight="15" x14ac:dyDescent="0.25"/>
  <cols>
    <col min="1" max="1" width="11.7109375" bestFit="1" customWidth="1"/>
    <col min="2" max="2" width="11.7109375" customWidth="1"/>
    <col min="3" max="3" width="23.85546875" bestFit="1" customWidth="1"/>
    <col min="4" max="4" width="35.85546875" customWidth="1"/>
    <col min="5" max="5" width="13.85546875" bestFit="1" customWidth="1"/>
    <col min="6" max="6" width="10.42578125" bestFit="1" customWidth="1"/>
    <col min="7" max="7" width="8.5703125" bestFit="1" customWidth="1"/>
    <col min="8" max="8" width="8.42578125" bestFit="1" customWidth="1"/>
    <col min="10" max="12" width="6.140625" bestFit="1" customWidth="1"/>
    <col min="13" max="13" width="6.85546875" bestFit="1" customWidth="1"/>
    <col min="14" max="14" width="9.85546875" bestFit="1" customWidth="1"/>
    <col min="15" max="15" width="9.85546875" customWidth="1"/>
    <col min="16" max="16" width="9.85546875" bestFit="1" customWidth="1"/>
    <col min="17" max="17" width="20.5703125" bestFit="1" customWidth="1"/>
    <col min="20" max="20" width="16.5703125" bestFit="1" customWidth="1"/>
  </cols>
  <sheetData>
    <row r="1" spans="1:17" x14ac:dyDescent="0.25">
      <c r="A1" s="143" t="s">
        <v>13</v>
      </c>
      <c r="B1" s="144" t="s">
        <v>43</v>
      </c>
      <c r="C1" s="144" t="s">
        <v>17</v>
      </c>
      <c r="D1" s="144" t="s">
        <v>18</v>
      </c>
      <c r="E1" s="144" t="s">
        <v>19</v>
      </c>
      <c r="F1" s="144" t="s">
        <v>22</v>
      </c>
      <c r="G1" s="144" t="s">
        <v>23</v>
      </c>
      <c r="H1" s="144" t="s">
        <v>24</v>
      </c>
      <c r="I1" s="144" t="s">
        <v>25</v>
      </c>
      <c r="J1" s="144" t="s">
        <v>26</v>
      </c>
      <c r="K1" s="144" t="s">
        <v>27</v>
      </c>
      <c r="L1" s="144" t="s">
        <v>28</v>
      </c>
      <c r="M1" s="144" t="s">
        <v>29</v>
      </c>
      <c r="N1" s="144" t="s">
        <v>30</v>
      </c>
      <c r="O1" s="144" t="s">
        <v>31</v>
      </c>
      <c r="P1" s="144" t="s">
        <v>32</v>
      </c>
      <c r="Q1" s="145" t="s">
        <v>44</v>
      </c>
    </row>
    <row r="2" spans="1:17" x14ac:dyDescent="0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9"/>
    </row>
    <row r="3" spans="1:17" x14ac:dyDescent="0.25">
      <c r="A3" s="170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2"/>
    </row>
    <row r="4" spans="1:17" x14ac:dyDescent="0.25">
      <c r="A4" s="170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2"/>
    </row>
    <row r="5" spans="1:17" x14ac:dyDescent="0.25">
      <c r="A5" s="170"/>
      <c r="B5" s="171"/>
      <c r="C5" s="171"/>
      <c r="D5" s="171"/>
      <c r="E5" s="171"/>
      <c r="F5" s="171"/>
      <c r="G5" s="171"/>
      <c r="H5" s="173"/>
      <c r="I5" s="173"/>
      <c r="J5" s="171"/>
      <c r="K5" s="171"/>
      <c r="L5" s="171"/>
      <c r="M5" s="171"/>
      <c r="N5" s="171"/>
      <c r="O5" s="171"/>
      <c r="P5" s="171"/>
      <c r="Q5" s="172"/>
    </row>
    <row r="6" spans="1:17" x14ac:dyDescent="0.25">
      <c r="A6" s="170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2"/>
    </row>
    <row r="7" spans="1:17" x14ac:dyDescent="0.25">
      <c r="A7" s="170"/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x14ac:dyDescent="0.25">
      <c r="A8" s="170"/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2"/>
    </row>
    <row r="9" spans="1:17" x14ac:dyDescent="0.25">
      <c r="A9" s="170"/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2"/>
    </row>
    <row r="10" spans="1:17" x14ac:dyDescent="0.25">
      <c r="A10" s="170"/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2"/>
    </row>
    <row r="11" spans="1:17" x14ac:dyDescent="0.25">
      <c r="A11" s="170"/>
      <c r="B11" s="171"/>
      <c r="C11" s="171"/>
      <c r="D11" s="171"/>
      <c r="E11" s="171"/>
      <c r="F11" s="171"/>
      <c r="G11" s="171"/>
      <c r="H11" s="173"/>
      <c r="I11" s="173"/>
      <c r="J11" s="171"/>
      <c r="K11" s="171"/>
      <c r="L11" s="171"/>
      <c r="M11" s="171"/>
      <c r="N11" s="171"/>
      <c r="O11" s="171"/>
      <c r="P11" s="171"/>
      <c r="Q11" s="172"/>
    </row>
    <row r="12" spans="1:17" x14ac:dyDescent="0.25">
      <c r="A12" s="170"/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2"/>
    </row>
    <row r="13" spans="1:17" x14ac:dyDescent="0.25">
      <c r="A13" s="170"/>
      <c r="B13" s="171"/>
      <c r="C13" s="171"/>
      <c r="D13" s="171"/>
      <c r="E13" s="171"/>
      <c r="F13" s="171"/>
      <c r="G13" s="171"/>
      <c r="H13" s="173"/>
      <c r="I13" s="173"/>
      <c r="J13" s="171"/>
      <c r="K13" s="171"/>
      <c r="L13" s="171"/>
      <c r="M13" s="171"/>
      <c r="N13" s="171"/>
      <c r="O13" s="171"/>
      <c r="P13" s="171"/>
      <c r="Q13" s="172"/>
    </row>
    <row r="14" spans="1:17" x14ac:dyDescent="0.25">
      <c r="A14" s="170"/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2"/>
    </row>
    <row r="15" spans="1:17" x14ac:dyDescent="0.25">
      <c r="A15" s="170"/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2"/>
    </row>
    <row r="16" spans="1:17" x14ac:dyDescent="0.25">
      <c r="A16" s="170"/>
      <c r="B16" s="171"/>
      <c r="C16" s="171"/>
      <c r="D16" s="171"/>
      <c r="E16" s="171"/>
      <c r="F16" s="171"/>
      <c r="G16" s="171"/>
      <c r="H16" s="173"/>
      <c r="I16" s="173"/>
      <c r="J16" s="171"/>
      <c r="K16" s="171"/>
      <c r="L16" s="171"/>
      <c r="M16" s="171"/>
      <c r="N16" s="171"/>
      <c r="O16" s="171"/>
      <c r="P16" s="171"/>
      <c r="Q16" s="172"/>
    </row>
    <row r="17" spans="1:17" x14ac:dyDescent="0.25">
      <c r="A17" s="170"/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2"/>
    </row>
    <row r="18" spans="1:17" x14ac:dyDescent="0.25">
      <c r="A18" s="170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2"/>
    </row>
    <row r="19" spans="1:17" x14ac:dyDescent="0.25">
      <c r="A19" s="170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2"/>
    </row>
    <row r="20" spans="1:17" x14ac:dyDescent="0.25">
      <c r="A20" s="170"/>
      <c r="B20" s="171"/>
      <c r="C20" s="171"/>
      <c r="D20" s="171"/>
      <c r="E20" s="171"/>
      <c r="F20" s="171"/>
      <c r="G20" s="171"/>
      <c r="H20" s="173"/>
      <c r="I20" s="173"/>
      <c r="J20" s="171"/>
      <c r="K20" s="171"/>
      <c r="L20" s="171"/>
      <c r="M20" s="171"/>
      <c r="N20" s="171"/>
      <c r="O20" s="171"/>
      <c r="P20" s="171"/>
      <c r="Q20" s="172"/>
    </row>
    <row r="21" spans="1:17" x14ac:dyDescent="0.25">
      <c r="A21" s="170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2"/>
    </row>
    <row r="22" spans="1:17" x14ac:dyDescent="0.25">
      <c r="A22" s="170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2"/>
    </row>
    <row r="23" spans="1:17" x14ac:dyDescent="0.25">
      <c r="A23" s="170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2"/>
    </row>
    <row r="24" spans="1:17" x14ac:dyDescent="0.25">
      <c r="A24" s="170"/>
      <c r="B24" s="171"/>
      <c r="C24" s="171"/>
      <c r="D24" s="171"/>
      <c r="E24" s="171"/>
      <c r="F24" s="171"/>
      <c r="G24" s="171"/>
      <c r="H24" s="173"/>
      <c r="I24" s="173"/>
      <c r="J24" s="171"/>
      <c r="K24" s="171"/>
      <c r="L24" s="171"/>
      <c r="M24" s="171"/>
      <c r="N24" s="171"/>
      <c r="O24" s="171"/>
      <c r="P24" s="171"/>
      <c r="Q24" s="172"/>
    </row>
    <row r="25" spans="1:17" x14ac:dyDescent="0.25">
      <c r="A25" s="170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2"/>
    </row>
    <row r="26" spans="1:17" x14ac:dyDescent="0.25">
      <c r="A26" s="170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2"/>
    </row>
    <row r="27" spans="1:17" x14ac:dyDescent="0.25">
      <c r="A27" s="170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2"/>
    </row>
    <row r="28" spans="1:17" x14ac:dyDescent="0.25">
      <c r="A28" s="170"/>
      <c r="B28" s="171"/>
      <c r="C28" s="171"/>
      <c r="D28" s="171"/>
      <c r="E28" s="171"/>
      <c r="F28" s="171"/>
      <c r="G28" s="171"/>
      <c r="H28" s="173"/>
      <c r="I28" s="173"/>
      <c r="J28" s="171"/>
      <c r="K28" s="171"/>
      <c r="L28" s="171"/>
      <c r="M28" s="171"/>
      <c r="N28" s="171"/>
      <c r="O28" s="171"/>
      <c r="P28" s="171"/>
      <c r="Q28" s="172"/>
    </row>
    <row r="29" spans="1:17" x14ac:dyDescent="0.25">
      <c r="A29" s="170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2"/>
    </row>
    <row r="30" spans="1:17" x14ac:dyDescent="0.25">
      <c r="A30" s="170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2"/>
    </row>
    <row r="31" spans="1:17" x14ac:dyDescent="0.25">
      <c r="A31" s="170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2"/>
    </row>
    <row r="32" spans="1:17" x14ac:dyDescent="0.25">
      <c r="A32" s="170"/>
      <c r="B32" s="171"/>
      <c r="C32" s="171"/>
      <c r="D32" s="171"/>
      <c r="E32" s="171"/>
      <c r="F32" s="171"/>
      <c r="G32" s="171"/>
      <c r="H32" s="173"/>
      <c r="I32" s="173"/>
      <c r="J32" s="171"/>
      <c r="K32" s="171"/>
      <c r="L32" s="171"/>
      <c r="M32" s="171"/>
      <c r="N32" s="171"/>
      <c r="O32" s="171"/>
      <c r="P32" s="171"/>
      <c r="Q32" s="172"/>
    </row>
    <row r="33" spans="1:17" x14ac:dyDescent="0.25">
      <c r="A33" s="170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2"/>
    </row>
    <row r="34" spans="1:17" x14ac:dyDescent="0.25">
      <c r="A34" s="170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2"/>
    </row>
    <row r="35" spans="1:17" x14ac:dyDescent="0.25">
      <c r="A35" s="170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2"/>
    </row>
    <row r="36" spans="1:17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2"/>
    </row>
    <row r="37" spans="1:17" x14ac:dyDescent="0.25">
      <c r="A37" s="170"/>
      <c r="B37" s="171"/>
      <c r="C37" s="171"/>
      <c r="D37" s="171"/>
      <c r="E37" s="171"/>
      <c r="F37" s="171"/>
      <c r="G37" s="171"/>
      <c r="H37" s="173"/>
      <c r="I37" s="173"/>
      <c r="J37" s="171"/>
      <c r="K37" s="171"/>
      <c r="L37" s="171"/>
      <c r="M37" s="171"/>
      <c r="N37" s="171"/>
      <c r="O37" s="171"/>
      <c r="P37" s="171"/>
      <c r="Q37" s="172"/>
    </row>
    <row r="38" spans="1:17" x14ac:dyDescent="0.25">
      <c r="A38" s="170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2"/>
    </row>
    <row r="39" spans="1:17" x14ac:dyDescent="0.25">
      <c r="A39" s="170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2"/>
    </row>
    <row r="40" spans="1:17" x14ac:dyDescent="0.25">
      <c r="A40" s="174"/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6"/>
    </row>
    <row r="41" spans="1:17" x14ac:dyDescent="0.25">
      <c r="A41" s="174"/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6"/>
    </row>
    <row r="42" spans="1:17" x14ac:dyDescent="0.25">
      <c r="A42" s="174"/>
      <c r="B42" s="175"/>
      <c r="C42" s="175"/>
      <c r="D42" s="175"/>
      <c r="E42" s="175"/>
      <c r="F42" s="175"/>
      <c r="G42" s="175"/>
      <c r="H42" s="173"/>
      <c r="I42" s="173"/>
      <c r="J42" s="175"/>
      <c r="K42" s="175"/>
      <c r="L42" s="175"/>
      <c r="M42" s="175"/>
      <c r="N42" s="175"/>
      <c r="O42" s="175"/>
      <c r="P42" s="175"/>
      <c r="Q42" s="176"/>
    </row>
    <row r="43" spans="1:17" x14ac:dyDescent="0.25">
      <c r="A43" s="174"/>
      <c r="B43" s="175"/>
      <c r="C43" s="175"/>
      <c r="D43" s="175"/>
      <c r="E43" s="175"/>
      <c r="F43" s="175"/>
      <c r="G43" s="175"/>
      <c r="H43" s="173"/>
      <c r="I43" s="173"/>
      <c r="J43" s="175"/>
      <c r="K43" s="175"/>
      <c r="L43" s="175"/>
      <c r="M43" s="175"/>
      <c r="N43" s="175"/>
      <c r="O43" s="175"/>
      <c r="P43" s="175"/>
      <c r="Q43" s="176"/>
    </row>
    <row r="44" spans="1:17" x14ac:dyDescent="0.25">
      <c r="A44" s="174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6"/>
    </row>
    <row r="45" spans="1:17" x14ac:dyDescent="0.25">
      <c r="A45" s="174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6"/>
    </row>
    <row r="46" spans="1:17" x14ac:dyDescent="0.25">
      <c r="A46" s="174"/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6"/>
    </row>
    <row r="47" spans="1:17" x14ac:dyDescent="0.25">
      <c r="A47" s="174"/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6"/>
    </row>
    <row r="48" spans="1:17" x14ac:dyDescent="0.25">
      <c r="A48" s="174"/>
      <c r="B48" s="175"/>
      <c r="C48" s="175"/>
      <c r="D48" s="175"/>
      <c r="E48" s="175"/>
      <c r="F48" s="175"/>
      <c r="G48" s="175"/>
      <c r="H48" s="173"/>
      <c r="I48" s="173"/>
      <c r="J48" s="175"/>
      <c r="K48" s="175"/>
      <c r="L48" s="175"/>
      <c r="M48" s="175"/>
      <c r="N48" s="175"/>
      <c r="O48" s="175"/>
      <c r="P48" s="175"/>
      <c r="Q48" s="176"/>
    </row>
    <row r="49" spans="1:17" x14ac:dyDescent="0.25">
      <c r="A49" s="174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6"/>
    </row>
    <row r="50" spans="1:17" x14ac:dyDescent="0.25">
      <c r="A50" s="174"/>
      <c r="B50" s="175"/>
      <c r="C50" s="175"/>
      <c r="D50" s="175"/>
      <c r="E50" s="175"/>
      <c r="F50" s="175"/>
      <c r="G50" s="175"/>
      <c r="H50" s="173"/>
      <c r="I50" s="173"/>
      <c r="J50" s="175"/>
      <c r="K50" s="175"/>
      <c r="L50" s="175"/>
      <c r="M50" s="175"/>
      <c r="N50" s="175"/>
      <c r="O50" s="175"/>
      <c r="P50" s="175"/>
      <c r="Q50" s="176"/>
    </row>
    <row r="51" spans="1:17" x14ac:dyDescent="0.25">
      <c r="A51" s="174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6"/>
    </row>
    <row r="52" spans="1:17" x14ac:dyDescent="0.25">
      <c r="A52" s="174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6"/>
    </row>
    <row r="53" spans="1:17" x14ac:dyDescent="0.25">
      <c r="A53" s="174"/>
      <c r="B53" s="175"/>
      <c r="C53" s="175"/>
      <c r="D53" s="175"/>
      <c r="E53" s="175"/>
      <c r="F53" s="175"/>
      <c r="G53" s="175"/>
      <c r="H53" s="173"/>
      <c r="I53" s="173"/>
      <c r="J53" s="175"/>
      <c r="K53" s="175"/>
      <c r="L53" s="175"/>
      <c r="M53" s="175"/>
      <c r="N53" s="175"/>
      <c r="O53" s="175"/>
      <c r="P53" s="175"/>
      <c r="Q53" s="176"/>
    </row>
    <row r="54" spans="1:17" x14ac:dyDescent="0.25">
      <c r="A54" s="174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6"/>
    </row>
    <row r="55" spans="1:17" x14ac:dyDescent="0.25">
      <c r="A55" s="174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6"/>
    </row>
    <row r="56" spans="1:17" x14ac:dyDescent="0.25">
      <c r="A56" s="174"/>
      <c r="B56" s="175"/>
      <c r="C56" s="175"/>
      <c r="D56" s="175"/>
      <c r="E56" s="175"/>
      <c r="F56" s="175"/>
      <c r="G56" s="175"/>
      <c r="H56" s="173"/>
      <c r="I56" s="173"/>
      <c r="J56" s="175"/>
      <c r="K56" s="175"/>
      <c r="L56" s="175"/>
      <c r="M56" s="175"/>
      <c r="N56" s="175"/>
      <c r="O56" s="175"/>
      <c r="P56" s="175"/>
      <c r="Q56" s="176"/>
    </row>
    <row r="57" spans="1:17" x14ac:dyDescent="0.25">
      <c r="A57" s="174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6"/>
    </row>
    <row r="58" spans="1:17" x14ac:dyDescent="0.25">
      <c r="A58" s="174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6"/>
    </row>
    <row r="59" spans="1:17" x14ac:dyDescent="0.25">
      <c r="A59" s="174"/>
      <c r="B59" s="175"/>
      <c r="C59" s="175"/>
      <c r="D59" s="175"/>
      <c r="E59" s="175"/>
      <c r="F59" s="175"/>
      <c r="G59" s="175"/>
      <c r="H59" s="173"/>
      <c r="I59" s="173"/>
      <c r="J59" s="175"/>
      <c r="K59" s="175"/>
      <c r="L59" s="175"/>
      <c r="M59" s="175"/>
      <c r="N59" s="175"/>
      <c r="O59" s="175"/>
      <c r="P59" s="175"/>
      <c r="Q59" s="176"/>
    </row>
    <row r="60" spans="1:17" x14ac:dyDescent="0.25">
      <c r="A60" s="174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6"/>
    </row>
    <row r="61" spans="1:17" x14ac:dyDescent="0.25">
      <c r="A61" s="174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6"/>
    </row>
    <row r="62" spans="1:17" x14ac:dyDescent="0.25">
      <c r="A62" s="174"/>
      <c r="B62" s="175"/>
      <c r="C62" s="175"/>
      <c r="D62" s="175"/>
      <c r="E62" s="175"/>
      <c r="F62" s="175"/>
      <c r="G62" s="175"/>
      <c r="H62" s="173"/>
      <c r="I62" s="173"/>
      <c r="J62" s="175"/>
      <c r="K62" s="175"/>
      <c r="L62" s="175"/>
      <c r="M62" s="175"/>
      <c r="N62" s="175"/>
      <c r="O62" s="175"/>
      <c r="P62" s="175"/>
      <c r="Q62" s="176"/>
    </row>
    <row r="63" spans="1:17" x14ac:dyDescent="0.25">
      <c r="A63" s="174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6"/>
    </row>
    <row r="64" spans="1:17" x14ac:dyDescent="0.25">
      <c r="A64" s="174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6"/>
    </row>
    <row r="65" spans="1:17" x14ac:dyDescent="0.25">
      <c r="A65" s="174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6"/>
    </row>
    <row r="66" spans="1:17" x14ac:dyDescent="0.25">
      <c r="A66" s="174"/>
      <c r="B66" s="175"/>
      <c r="C66" s="175"/>
      <c r="D66" s="175"/>
      <c r="E66" s="175"/>
      <c r="F66" s="175"/>
      <c r="G66" s="175"/>
      <c r="H66" s="173"/>
      <c r="I66" s="173"/>
      <c r="J66" s="175"/>
      <c r="K66" s="175"/>
      <c r="L66" s="175"/>
      <c r="M66" s="175"/>
      <c r="N66" s="175"/>
      <c r="O66" s="175"/>
      <c r="P66" s="175"/>
      <c r="Q66" s="176"/>
    </row>
    <row r="67" spans="1:17" x14ac:dyDescent="0.25">
      <c r="A67" s="174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6"/>
    </row>
    <row r="68" spans="1:17" x14ac:dyDescent="0.25">
      <c r="A68" s="174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6"/>
    </row>
    <row r="69" spans="1:17" x14ac:dyDescent="0.25">
      <c r="A69" s="174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6"/>
    </row>
    <row r="70" spans="1:17" x14ac:dyDescent="0.25">
      <c r="A70" s="174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6"/>
    </row>
    <row r="71" spans="1:17" x14ac:dyDescent="0.25">
      <c r="A71" s="174"/>
      <c r="B71" s="175"/>
      <c r="C71" s="175"/>
      <c r="D71" s="175"/>
      <c r="E71" s="175"/>
      <c r="F71" s="175"/>
      <c r="G71" s="175"/>
      <c r="H71" s="173"/>
      <c r="I71" s="173"/>
      <c r="J71" s="175"/>
      <c r="K71" s="175"/>
      <c r="L71" s="175"/>
      <c r="M71" s="175"/>
      <c r="N71" s="175"/>
      <c r="O71" s="175"/>
      <c r="P71" s="175"/>
      <c r="Q71" s="176"/>
    </row>
    <row r="72" spans="1:17" x14ac:dyDescent="0.25">
      <c r="A72" s="174"/>
      <c r="B72" s="175"/>
      <c r="C72" s="175"/>
      <c r="D72" s="175"/>
      <c r="E72" s="175"/>
      <c r="F72" s="175"/>
      <c r="G72" s="175"/>
      <c r="H72" s="173"/>
      <c r="I72" s="173"/>
      <c r="J72" s="175"/>
      <c r="K72" s="175"/>
      <c r="L72" s="175"/>
      <c r="M72" s="175"/>
      <c r="N72" s="175"/>
      <c r="O72" s="175"/>
      <c r="P72" s="175"/>
      <c r="Q72" s="176"/>
    </row>
    <row r="73" spans="1:17" x14ac:dyDescent="0.25">
      <c r="A73" s="174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6"/>
    </row>
  </sheetData>
  <autoFilter ref="A1:Q73" xr:uid="{06AEFB00-1289-4B8E-87A3-B856D2DE3F10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DN170"/>
  <sheetViews>
    <sheetView topLeftCell="AG1" zoomScale="115" zoomScaleNormal="115" workbookViewId="0">
      <pane ySplit="1" topLeftCell="A142" activePane="bottomLeft" state="frozen"/>
      <selection pane="bottomLeft" activeCell="A78" sqref="A78:AS170"/>
    </sheetView>
  </sheetViews>
  <sheetFormatPr defaultColWidth="8.85546875" defaultRowHeight="15" x14ac:dyDescent="0.25"/>
  <cols>
    <col min="1" max="1" width="8.28515625" style="42" bestFit="1" customWidth="1"/>
    <col min="2" max="2" width="54.5703125" style="42" bestFit="1" customWidth="1"/>
    <col min="3" max="3" width="24.85546875" style="42" bestFit="1" customWidth="1"/>
    <col min="4" max="4" width="23.7109375" style="42" bestFit="1" customWidth="1"/>
    <col min="5" max="5" width="13.28515625" style="42" bestFit="1" customWidth="1"/>
    <col min="6" max="6" width="9.7109375" style="42" bestFit="1" customWidth="1"/>
    <col min="7" max="7" width="7.7109375" style="42" bestFit="1" customWidth="1"/>
    <col min="8" max="8" width="5" style="42" bestFit="1" customWidth="1"/>
    <col min="9" max="9" width="15.28515625" style="42" bestFit="1" customWidth="1"/>
    <col min="10" max="10" width="15.7109375" style="42" customWidth="1"/>
    <col min="11" max="45" width="17" style="42" bestFit="1" customWidth="1"/>
    <col min="46" max="16384" width="8.85546875" style="42"/>
  </cols>
  <sheetData>
    <row r="1" spans="1:118" ht="45.75" thickBot="1" x14ac:dyDescent="0.3">
      <c r="A1" s="154" t="s">
        <v>13</v>
      </c>
      <c r="B1" s="22" t="s">
        <v>10</v>
      </c>
      <c r="C1" s="22" t="s">
        <v>19</v>
      </c>
      <c r="D1" s="22" t="s">
        <v>34</v>
      </c>
      <c r="E1" s="22" t="s">
        <v>35</v>
      </c>
      <c r="F1" s="22" t="s">
        <v>3</v>
      </c>
      <c r="G1" s="37" t="s">
        <v>42</v>
      </c>
      <c r="H1" s="155" t="s">
        <v>29</v>
      </c>
      <c r="I1" s="156" t="s">
        <v>38</v>
      </c>
      <c r="J1" s="157" t="s">
        <v>39</v>
      </c>
      <c r="K1" s="158">
        <v>2021</v>
      </c>
      <c r="L1" s="22">
        <v>2022</v>
      </c>
      <c r="M1" s="158">
        <v>2023</v>
      </c>
      <c r="N1" s="22">
        <v>2024</v>
      </c>
      <c r="O1" s="158">
        <v>2025</v>
      </c>
      <c r="P1" s="22">
        <v>2026</v>
      </c>
      <c r="Q1" s="158">
        <v>2027</v>
      </c>
      <c r="R1" s="22">
        <v>2028</v>
      </c>
      <c r="S1" s="158">
        <v>2029</v>
      </c>
      <c r="T1" s="22">
        <v>2030</v>
      </c>
      <c r="U1" s="158">
        <v>2031</v>
      </c>
      <c r="V1" s="22">
        <v>2032</v>
      </c>
      <c r="W1" s="158">
        <v>2033</v>
      </c>
      <c r="X1" s="22">
        <v>2034</v>
      </c>
      <c r="Y1" s="158">
        <v>2035</v>
      </c>
      <c r="Z1" s="22">
        <v>2036</v>
      </c>
      <c r="AA1" s="158">
        <v>2037</v>
      </c>
      <c r="AB1" s="22">
        <v>2038</v>
      </c>
      <c r="AC1" s="158">
        <v>2039</v>
      </c>
      <c r="AD1" s="22">
        <v>2040</v>
      </c>
      <c r="AE1" s="158">
        <v>2041</v>
      </c>
      <c r="AF1" s="22">
        <v>2042</v>
      </c>
      <c r="AG1" s="158">
        <v>2043</v>
      </c>
      <c r="AH1" s="22">
        <v>2044</v>
      </c>
      <c r="AI1" s="158">
        <v>2045</v>
      </c>
      <c r="AJ1" s="22">
        <v>2046</v>
      </c>
      <c r="AK1" s="158">
        <v>2047</v>
      </c>
      <c r="AL1" s="22">
        <v>2048</v>
      </c>
      <c r="AM1" s="158">
        <v>2049</v>
      </c>
      <c r="AN1" s="22">
        <v>2050</v>
      </c>
      <c r="AO1" s="158">
        <v>2051</v>
      </c>
      <c r="AP1" s="22">
        <v>2052</v>
      </c>
      <c r="AQ1" s="158">
        <v>2053</v>
      </c>
      <c r="AR1" s="22">
        <v>2054</v>
      </c>
      <c r="AS1" s="203">
        <v>2055</v>
      </c>
    </row>
    <row r="2" spans="1:118" s="204" customFormat="1" x14ac:dyDescent="0.25">
      <c r="A2" s="204" t="s">
        <v>6</v>
      </c>
      <c r="B2" s="204" t="s">
        <v>48</v>
      </c>
      <c r="C2" s="205" t="s">
        <v>52</v>
      </c>
      <c r="E2" s="204" t="s">
        <v>7</v>
      </c>
      <c r="F2" s="204" t="s">
        <v>50</v>
      </c>
      <c r="G2" s="204" t="s">
        <v>51</v>
      </c>
      <c r="K2" s="206">
        <v>2.5799999999999998E-4</v>
      </c>
      <c r="L2" s="206">
        <v>5.5800000000000001E-4</v>
      </c>
      <c r="M2" s="206">
        <v>4.9399999999999997E-4</v>
      </c>
      <c r="N2" s="206">
        <v>6.9251345068273643E-4</v>
      </c>
      <c r="O2" s="206">
        <v>8.6545013517069606E-4</v>
      </c>
      <c r="P2" s="206">
        <v>0</v>
      </c>
      <c r="Q2" s="206">
        <v>0</v>
      </c>
      <c r="R2" s="206">
        <v>7.5951586464898663E-5</v>
      </c>
      <c r="S2" s="206">
        <v>2.7629350314526367E-4</v>
      </c>
      <c r="T2" s="206">
        <v>4.2508179287862116E-4</v>
      </c>
      <c r="U2" s="206">
        <v>5.7679045669464281E-4</v>
      </c>
      <c r="V2" s="206">
        <v>7.3151185930885564E-4</v>
      </c>
      <c r="W2" s="206">
        <v>8.8934192230750823E-4</v>
      </c>
      <c r="X2" s="206">
        <v>1.0503802692288962E-3</v>
      </c>
      <c r="Y2" s="206">
        <v>8.4201853177364762E-4</v>
      </c>
      <c r="Z2" s="206">
        <v>6.4014186926404995E-4</v>
      </c>
      <c r="AA2" s="206">
        <v>4.4445839902044863E-4</v>
      </c>
      <c r="AB2" s="206">
        <v>2.5469188416152831E-4</v>
      </c>
      <c r="AC2" s="206">
        <v>7.0580852138466335E-5</v>
      </c>
      <c r="AD2" s="206">
        <v>2.9214527042830361E-4</v>
      </c>
      <c r="AE2" s="206">
        <v>5.205315969438358E-4</v>
      </c>
      <c r="AF2" s="206">
        <v>7.560760416653392E-4</v>
      </c>
      <c r="AG2" s="206">
        <v>9.9913518810103123E-4</v>
      </c>
      <c r="AH2" s="206">
        <v>1.2500873061255732E-3</v>
      </c>
      <c r="AI2" s="206">
        <v>1.131438830849792E-3</v>
      </c>
      <c r="AJ2" s="206">
        <v>1.0149893038940948E-3</v>
      </c>
      <c r="AK2" s="206">
        <v>9.0068159078076152E-4</v>
      </c>
      <c r="AL2" s="206">
        <v>7.884603236995389E-4</v>
      </c>
      <c r="AM2" s="206">
        <v>6.782718441326642E-4</v>
      </c>
      <c r="AN2" s="206">
        <v>4.9672994767405339E-4</v>
      </c>
      <c r="AO2" s="206">
        <v>3.2032944735293535E-4</v>
      </c>
      <c r="AP2" s="206">
        <v>1.4885758038825705E-4</v>
      </c>
      <c r="AQ2" s="206">
        <v>0</v>
      </c>
      <c r="AR2" s="206">
        <v>0</v>
      </c>
      <c r="AS2" s="206">
        <v>0</v>
      </c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</row>
    <row r="3" spans="1:118" s="204" customFormat="1" x14ac:dyDescent="0.25">
      <c r="A3" s="204" t="s">
        <v>6</v>
      </c>
      <c r="B3" s="204" t="s">
        <v>48</v>
      </c>
      <c r="C3" s="205" t="s">
        <v>53</v>
      </c>
      <c r="E3" s="204" t="s">
        <v>7</v>
      </c>
      <c r="F3" s="204" t="s">
        <v>50</v>
      </c>
      <c r="G3" s="204" t="s">
        <v>51</v>
      </c>
      <c r="K3" s="206">
        <v>2.9999999999999997E-8</v>
      </c>
      <c r="L3" s="206">
        <v>2.8999999999999998E-7</v>
      </c>
      <c r="M3" s="206">
        <v>2.8999999999999998E-7</v>
      </c>
      <c r="N3" s="206">
        <v>5.0111286252612361E-6</v>
      </c>
      <c r="O3" s="206">
        <v>9.1286742827907739E-6</v>
      </c>
      <c r="P3" s="206">
        <v>0</v>
      </c>
      <c r="Q3" s="206">
        <v>0</v>
      </c>
      <c r="R3" s="206">
        <v>0</v>
      </c>
      <c r="S3" s="206">
        <v>0</v>
      </c>
      <c r="T3" s="206">
        <v>0</v>
      </c>
      <c r="U3" s="206">
        <v>1.4297155017807105E-6</v>
      </c>
      <c r="V3" s="206">
        <v>5.1420620107751219E-6</v>
      </c>
      <c r="W3" s="206">
        <v>8.9317067826648919E-6</v>
      </c>
      <c r="X3" s="206">
        <v>1.2801180741671956E-5</v>
      </c>
      <c r="Y3" s="206">
        <v>7.7991559274328149E-6</v>
      </c>
      <c r="Z3" s="206">
        <v>2.9587085676281905E-6</v>
      </c>
      <c r="AA3" s="206">
        <v>0</v>
      </c>
      <c r="AB3" s="206">
        <v>0</v>
      </c>
      <c r="AC3" s="206">
        <v>0</v>
      </c>
      <c r="AD3" s="206">
        <v>0</v>
      </c>
      <c r="AE3" s="206">
        <v>9.908765746195064E-8</v>
      </c>
      <c r="AF3" s="206">
        <v>5.7435438133778493E-6</v>
      </c>
      <c r="AG3" s="206">
        <v>1.1574704619029988E-5</v>
      </c>
      <c r="AH3" s="206">
        <v>1.7602176900435786E-5</v>
      </c>
      <c r="AI3" s="206">
        <v>1.47542905216752E-5</v>
      </c>
      <c r="AJ3" s="206">
        <v>1.196120729395002E-5</v>
      </c>
      <c r="AK3" s="206">
        <v>9.2214744561206169E-6</v>
      </c>
      <c r="AL3" s="206">
        <v>6.5336844513284322E-6</v>
      </c>
      <c r="AM3" s="206">
        <v>3.8964734565790954E-6</v>
      </c>
      <c r="AN3" s="206">
        <v>0</v>
      </c>
      <c r="AO3" s="206">
        <v>0</v>
      </c>
      <c r="AP3" s="206">
        <v>0</v>
      </c>
      <c r="AQ3" s="206">
        <v>0</v>
      </c>
      <c r="AR3" s="206">
        <v>0</v>
      </c>
      <c r="AS3" s="206">
        <v>0</v>
      </c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</row>
    <row r="4" spans="1:118" s="204" customFormat="1" x14ac:dyDescent="0.25">
      <c r="A4" s="204" t="s">
        <v>6</v>
      </c>
      <c r="B4" s="204" t="s">
        <v>48</v>
      </c>
      <c r="C4" s="205" t="s">
        <v>59</v>
      </c>
      <c r="E4" s="204" t="s">
        <v>7</v>
      </c>
      <c r="F4" s="204" t="s">
        <v>50</v>
      </c>
      <c r="G4" s="204" t="s">
        <v>51</v>
      </c>
      <c r="K4" s="206">
        <v>9.0000000000000006E-5</v>
      </c>
      <c r="L4" s="206">
        <v>7.4999999999999993E-5</v>
      </c>
      <c r="M4" s="206">
        <v>1.1900000000000001E-4</v>
      </c>
      <c r="N4" s="206">
        <v>1.2899978256306914E-4</v>
      </c>
      <c r="O4" s="206">
        <v>1.3789541934768607E-4</v>
      </c>
      <c r="P4" s="206">
        <v>1.221242176807186E-4</v>
      </c>
      <c r="Q4" s="206">
        <v>1.319886279913691E-4</v>
      </c>
      <c r="R4" s="206">
        <v>1.4230162636167792E-4</v>
      </c>
      <c r="S4" s="206">
        <v>1.5308775526495869E-4</v>
      </c>
      <c r="T4" s="206">
        <v>1.6116556247909816E-4</v>
      </c>
      <c r="U4" s="206">
        <v>1.6951048028430505E-4</v>
      </c>
      <c r="V4" s="206">
        <v>1.7813299352821793E-4</v>
      </c>
      <c r="W4" s="206">
        <v>1.8704401684554512E-4</v>
      </c>
      <c r="X4" s="206">
        <v>1.9625491246315097E-4</v>
      </c>
      <c r="Y4" s="206">
        <v>1.8347155196235201E-4</v>
      </c>
      <c r="Z4" s="206">
        <v>1.7130298788794952E-4</v>
      </c>
      <c r="AA4" s="206">
        <v>1.5971570963011582E-4</v>
      </c>
      <c r="AB4" s="206">
        <v>1.486781025789147E-4</v>
      </c>
      <c r="AC4" s="206">
        <v>1.3816033987141871E-4</v>
      </c>
      <c r="AD4" s="206">
        <v>1.4997732527193675E-4</v>
      </c>
      <c r="AE4" s="206">
        <v>1.6240775096521679E-4</v>
      </c>
      <c r="AF4" s="206">
        <v>1.7548956160382166E-4</v>
      </c>
      <c r="AG4" s="206">
        <v>1.8926315994594967E-4</v>
      </c>
      <c r="AH4" s="206">
        <v>2.0377156791528766E-4</v>
      </c>
      <c r="AI4" s="206">
        <v>1.9631128332242331E-4</v>
      </c>
      <c r="AJ4" s="206">
        <v>1.8905992968340718E-4</v>
      </c>
      <c r="AK4" s="206">
        <v>1.8201094082048464E-4</v>
      </c>
      <c r="AL4" s="206">
        <v>1.7515796469917311E-4</v>
      </c>
      <c r="AM4" s="206">
        <v>1.6849485638161381E-4</v>
      </c>
      <c r="AN4" s="206">
        <v>1.5782461899160264E-4</v>
      </c>
      <c r="AO4" s="206">
        <v>1.476293955562741E-4</v>
      </c>
      <c r="AP4" s="206">
        <v>1.3788495780860523E-4</v>
      </c>
      <c r="AQ4" s="206">
        <v>1.285683657493975E-4</v>
      </c>
      <c r="AR4" s="206">
        <v>1.1965789844732647E-4</v>
      </c>
      <c r="AS4" s="206">
        <v>1.1113298856509283E-4</v>
      </c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  <c r="DL4" s="42"/>
      <c r="DM4" s="42"/>
      <c r="DN4" s="42"/>
    </row>
    <row r="5" spans="1:118" s="204" customFormat="1" x14ac:dyDescent="0.25">
      <c r="A5" s="204" t="s">
        <v>6</v>
      </c>
      <c r="B5" s="204" t="s">
        <v>48</v>
      </c>
      <c r="C5" s="205" t="s">
        <v>60</v>
      </c>
      <c r="E5" s="204" t="s">
        <v>7</v>
      </c>
      <c r="F5" s="204" t="s">
        <v>50</v>
      </c>
      <c r="G5" s="204" t="s">
        <v>51</v>
      </c>
      <c r="K5" s="206">
        <v>1.1999999999999999E-7</v>
      </c>
      <c r="L5" s="206">
        <v>1.1999999999999999E-7</v>
      </c>
      <c r="M5" s="206">
        <v>1.1999999999999999E-7</v>
      </c>
      <c r="N5" s="206">
        <v>3.1721751275352178E-4</v>
      </c>
      <c r="O5" s="206">
        <v>5.9213293328307451E-4</v>
      </c>
      <c r="P5" s="206">
        <v>0</v>
      </c>
      <c r="Q5" s="206">
        <v>0</v>
      </c>
      <c r="R5" s="206">
        <v>0</v>
      </c>
      <c r="S5" s="206">
        <v>0</v>
      </c>
      <c r="T5" s="206">
        <v>0</v>
      </c>
      <c r="U5" s="206">
        <v>0</v>
      </c>
      <c r="V5" s="206">
        <v>2.3794722140996899E-5</v>
      </c>
      <c r="W5" s="206">
        <v>2.6908164908834992E-4</v>
      </c>
      <c r="X5" s="206">
        <v>5.1849774905796467E-4</v>
      </c>
      <c r="Y5" s="206">
        <v>2.0223504841056228E-4</v>
      </c>
      <c r="Z5" s="206">
        <v>0</v>
      </c>
      <c r="AA5" s="206">
        <v>0</v>
      </c>
      <c r="AB5" s="206">
        <v>0</v>
      </c>
      <c r="AC5" s="206">
        <v>0</v>
      </c>
      <c r="AD5" s="206">
        <v>0</v>
      </c>
      <c r="AE5" s="206">
        <v>0</v>
      </c>
      <c r="AF5" s="206">
        <v>9.1911972294526217E-5</v>
      </c>
      <c r="AG5" s="206">
        <v>4.6924118324866496E-4</v>
      </c>
      <c r="AH5" s="206">
        <v>8.567499678362317E-4</v>
      </c>
      <c r="AI5" s="206">
        <v>6.7800283979744733E-4</v>
      </c>
      <c r="AJ5" s="206">
        <v>5.0206136964478509E-4</v>
      </c>
      <c r="AK5" s="206">
        <v>3.2886085245830907E-4</v>
      </c>
      <c r="AL5" s="206">
        <v>1.5833850407341934E-4</v>
      </c>
      <c r="AM5" s="206">
        <v>0</v>
      </c>
      <c r="AN5" s="206">
        <v>0</v>
      </c>
      <c r="AO5" s="206">
        <v>0</v>
      </c>
      <c r="AP5" s="206">
        <v>0</v>
      </c>
      <c r="AQ5" s="206">
        <v>0</v>
      </c>
      <c r="AR5" s="206">
        <v>0</v>
      </c>
      <c r="AS5" s="206">
        <v>0</v>
      </c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</row>
    <row r="6" spans="1:118" s="204" customFormat="1" x14ac:dyDescent="0.25">
      <c r="A6" s="204" t="s">
        <v>6</v>
      </c>
      <c r="B6" s="204" t="s">
        <v>48</v>
      </c>
      <c r="C6" s="205" t="s">
        <v>75</v>
      </c>
      <c r="E6" s="204" t="s">
        <v>7</v>
      </c>
      <c r="F6" s="204" t="s">
        <v>50</v>
      </c>
      <c r="G6" s="204" t="s">
        <v>51</v>
      </c>
      <c r="K6" s="206">
        <v>9.1649999999999995E-3</v>
      </c>
      <c r="L6" s="206">
        <v>8.2220000000000001E-3</v>
      </c>
      <c r="M6" s="206">
        <v>9.9740000000000002E-3</v>
      </c>
      <c r="N6" s="206">
        <v>1.020250832264652E-2</v>
      </c>
      <c r="O6" s="206">
        <v>1.0398680355743992E-2</v>
      </c>
      <c r="P6" s="206">
        <v>8.8453792646382215E-3</v>
      </c>
      <c r="Q6" s="206">
        <v>9.051226586543934E-3</v>
      </c>
      <c r="R6" s="206">
        <v>9.2598554107068791E-3</v>
      </c>
      <c r="S6" s="206">
        <v>9.4713046100228151E-3</v>
      </c>
      <c r="T6" s="206">
        <v>9.6251567677640357E-3</v>
      </c>
      <c r="U6" s="206">
        <v>9.780480891892894E-3</v>
      </c>
      <c r="V6" s="206">
        <v>9.9372916619832295E-3</v>
      </c>
      <c r="W6" s="206">
        <v>1.0095603914041181E-2</v>
      </c>
      <c r="X6" s="206">
        <v>1.0255432642572979E-2</v>
      </c>
      <c r="Y6" s="206">
        <v>1.0043250703936146E-2</v>
      </c>
      <c r="Z6" s="206">
        <v>9.8340024045276975E-3</v>
      </c>
      <c r="AA6" s="206">
        <v>9.6276472751890552E-3</v>
      </c>
      <c r="AB6" s="206">
        <v>9.4241454488858175E-3</v>
      </c>
      <c r="AC6" s="206">
        <v>9.2234576493244267E-3</v>
      </c>
      <c r="AD6" s="206">
        <v>9.4598908240166174E-3</v>
      </c>
      <c r="AE6" s="206">
        <v>9.6999332689299434E-3</v>
      </c>
      <c r="AF6" s="206">
        <v>9.9436418880005546E-3</v>
      </c>
      <c r="AG6" s="206">
        <v>1.0191074539140603E-2</v>
      </c>
      <c r="AH6" s="206">
        <v>1.0442290053862421E-2</v>
      </c>
      <c r="AI6" s="206">
        <v>1.0320703695484492E-2</v>
      </c>
      <c r="AJ6" s="206">
        <v>1.0200101991262721E-2</v>
      </c>
      <c r="AK6" s="206">
        <v>1.0080477122365521E-2</v>
      </c>
      <c r="AL6" s="206">
        <v>9.9618213371051902E-3</v>
      </c>
      <c r="AM6" s="206">
        <v>9.844126950203657E-3</v>
      </c>
      <c r="AN6" s="206">
        <v>9.6507802360035842E-3</v>
      </c>
      <c r="AO6" s="206">
        <v>9.459953266329587E-3</v>
      </c>
      <c r="AP6" s="206">
        <v>9.2716134190477563E-3</v>
      </c>
      <c r="AQ6" s="206">
        <v>9.0857285242738218E-3</v>
      </c>
      <c r="AR6" s="206">
        <v>8.9022668565483624E-3</v>
      </c>
      <c r="AS6" s="206">
        <v>8.721197127224016E-3</v>
      </c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</row>
    <row r="7" spans="1:118" s="204" customFormat="1" x14ac:dyDescent="0.25">
      <c r="A7" s="204" t="s">
        <v>6</v>
      </c>
      <c r="B7" s="204" t="s">
        <v>48</v>
      </c>
      <c r="C7" s="205" t="s">
        <v>61</v>
      </c>
      <c r="E7" s="204" t="s">
        <v>7</v>
      </c>
      <c r="F7" s="204" t="s">
        <v>50</v>
      </c>
      <c r="G7" s="204" t="s">
        <v>51</v>
      </c>
      <c r="K7" s="206">
        <v>1.6441000000000001E-2</v>
      </c>
      <c r="L7" s="206">
        <v>1.5740000000000001E-2</v>
      </c>
      <c r="M7" s="206">
        <v>1.7316000000000002E-2</v>
      </c>
      <c r="N7" s="206">
        <v>2.1949310233044639E-2</v>
      </c>
      <c r="O7" s="206">
        <v>2.5928929418811308E-2</v>
      </c>
      <c r="P7" s="206">
        <v>2.6720353500943261E-2</v>
      </c>
      <c r="Q7" s="206">
        <v>3.1009151412773994E-2</v>
      </c>
      <c r="R7" s="206">
        <v>3.535647370833811E-2</v>
      </c>
      <c r="S7" s="206">
        <v>3.9763253354409889E-2</v>
      </c>
      <c r="T7" s="206">
        <v>4.3001040806977586E-2</v>
      </c>
      <c r="U7" s="206">
        <v>4.6270013319297199E-2</v>
      </c>
      <c r="V7" s="206">
        <v>4.9570530936646207E-2</v>
      </c>
      <c r="W7" s="206">
        <v>5.2902959556231921E-2</v>
      </c>
      <c r="X7" s="206">
        <v>5.6267671081370207E-2</v>
      </c>
      <c r="Y7" s="206">
        <v>5.2053214261114145E-2</v>
      </c>
      <c r="Z7" s="206">
        <v>4.79013778564229E-2</v>
      </c>
      <c r="AA7" s="206">
        <v>4.3811140206690524E-2</v>
      </c>
      <c r="AB7" s="206">
        <v>3.9781503707556509E-2</v>
      </c>
      <c r="AC7" s="206">
        <v>3.5811493897286939E-2</v>
      </c>
      <c r="AD7" s="206">
        <v>4.0725062540523493E-2</v>
      </c>
      <c r="AE7" s="206">
        <v>4.5714755116229078E-2</v>
      </c>
      <c r="AF7" s="206">
        <v>5.0781950119923591E-2</v>
      </c>
      <c r="AG7" s="206">
        <v>5.5928060701946836E-2</v>
      </c>
      <c r="AH7" s="206">
        <v>6.115453608050736E-2</v>
      </c>
      <c r="AI7" s="206">
        <v>5.8786182041355717E-2</v>
      </c>
      <c r="AJ7" s="206">
        <v>5.6438899061100833E-2</v>
      </c>
      <c r="AK7" s="206">
        <v>5.4112489192207902E-2</v>
      </c>
      <c r="AL7" s="206">
        <v>5.1806757186926289E-2</v>
      </c>
      <c r="AM7" s="206">
        <v>4.952151043795272E-2</v>
      </c>
      <c r="AN7" s="206">
        <v>4.5697953753574994E-2</v>
      </c>
      <c r="AO7" s="206">
        <v>4.1927854674093212E-2</v>
      </c>
      <c r="AP7" s="206">
        <v>3.8210407291187243E-2</v>
      </c>
      <c r="AQ7" s="206">
        <v>3.4544822904438499E-2</v>
      </c>
      <c r="AR7" s="206">
        <v>3.0930329426343217E-2</v>
      </c>
      <c r="AS7" s="206">
        <v>2.7366170815178559E-2</v>
      </c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</row>
    <row r="8" spans="1:118" s="204" customFormat="1" x14ac:dyDescent="0.25">
      <c r="A8" s="204" t="s">
        <v>6</v>
      </c>
      <c r="B8" s="204" t="s">
        <v>48</v>
      </c>
      <c r="C8" s="205" t="s">
        <v>62</v>
      </c>
      <c r="E8" s="204" t="s">
        <v>7</v>
      </c>
      <c r="F8" s="204" t="s">
        <v>50</v>
      </c>
      <c r="G8" s="204" t="s">
        <v>51</v>
      </c>
      <c r="K8" s="206">
        <v>5.7899999999999998E-4</v>
      </c>
      <c r="L8" s="206">
        <v>6.8300000000000001E-4</v>
      </c>
      <c r="M8" s="206">
        <v>9.7400000000000004E-4</v>
      </c>
      <c r="N8" s="206">
        <v>1.9562824377707816E-3</v>
      </c>
      <c r="O8" s="206">
        <v>2.8015224717569467E-3</v>
      </c>
      <c r="P8" s="206">
        <v>1.9994280708477558E-4</v>
      </c>
      <c r="Q8" s="206">
        <v>1.1164481656578476E-3</v>
      </c>
      <c r="R8" s="206">
        <v>2.0469845687825228E-3</v>
      </c>
      <c r="S8" s="206">
        <v>2.9918631635120554E-3</v>
      </c>
      <c r="T8" s="206">
        <v>3.6879796665395814E-3</v>
      </c>
      <c r="U8" s="206">
        <v>4.3917149448326961E-3</v>
      </c>
      <c r="V8" s="206">
        <v>5.1031941748297116E-3</v>
      </c>
      <c r="W8" s="206">
        <v>5.8225458725056772E-3</v>
      </c>
      <c r="X8" s="206">
        <v>6.5499020139699396E-3</v>
      </c>
      <c r="Y8" s="206">
        <v>5.6420824822384155E-3</v>
      </c>
      <c r="Z8" s="206">
        <v>4.7499541691979827E-3</v>
      </c>
      <c r="AA8" s="206">
        <v>3.8731429670342682E-3</v>
      </c>
      <c r="AB8" s="206">
        <v>3.0112891463440344E-3</v>
      </c>
      <c r="AC8" s="206">
        <v>2.164046627697376E-3</v>
      </c>
      <c r="AD8" s="206">
        <v>3.2160732694515443E-3</v>
      </c>
      <c r="AE8" s="206">
        <v>4.2865004827924297E-3</v>
      </c>
      <c r="AF8" s="206">
        <v>5.3757964630907137E-3</v>
      </c>
      <c r="AG8" s="206">
        <v>6.4844487441835658E-3</v>
      </c>
      <c r="AH8" s="206">
        <v>7.6129652929657898E-3</v>
      </c>
      <c r="AI8" s="206">
        <v>7.1032846481716427E-3</v>
      </c>
      <c r="AJ8" s="206">
        <v>6.5988956831359788E-3</v>
      </c>
      <c r="AK8" s="206">
        <v>6.0997255454192031E-3</v>
      </c>
      <c r="AL8" s="206">
        <v>5.6057030030802826E-3</v>
      </c>
      <c r="AM8" s="206">
        <v>5.1167583972866748E-3</v>
      </c>
      <c r="AN8" s="206">
        <v>4.2982302792032231E-3</v>
      </c>
      <c r="AO8" s="206">
        <v>3.4928470322528188E-3</v>
      </c>
      <c r="AP8" s="206">
        <v>2.7003246497525266E-3</v>
      </c>
      <c r="AQ8" s="206">
        <v>1.9203890681510349E-3</v>
      </c>
      <c r="AR8" s="206">
        <v>1.1527756991746504E-3</v>
      </c>
      <c r="AS8" s="206">
        <v>3.972289863230366E-4</v>
      </c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</row>
    <row r="9" spans="1:118" s="204" customFormat="1" x14ac:dyDescent="0.25">
      <c r="A9" s="204" t="s">
        <v>6</v>
      </c>
      <c r="B9" s="204" t="s">
        <v>48</v>
      </c>
      <c r="C9" s="205" t="s">
        <v>76</v>
      </c>
      <c r="E9" s="204" t="s">
        <v>7</v>
      </c>
      <c r="F9" s="204" t="s">
        <v>50</v>
      </c>
      <c r="G9" s="204" t="s">
        <v>51</v>
      </c>
      <c r="K9" s="206">
        <v>2.9459999999999998E-3</v>
      </c>
      <c r="L9" s="206">
        <v>3.2369999999999999E-3</v>
      </c>
      <c r="M9" s="206">
        <v>4.4929999999999996E-3</v>
      </c>
      <c r="N9" s="206">
        <v>6.022188150544186E-3</v>
      </c>
      <c r="O9" s="206">
        <v>7.3419659570173046E-3</v>
      </c>
      <c r="P9" s="206">
        <v>2.3029890353218826E-2</v>
      </c>
      <c r="Q9" s="206">
        <v>2.4448592038808309E-2</v>
      </c>
      <c r="R9" s="206">
        <v>2.5893262267075903E-2</v>
      </c>
      <c r="S9" s="206">
        <v>2.7364674359097785E-2</v>
      </c>
      <c r="T9" s="206">
        <v>2.8446435805234829E-2</v>
      </c>
      <c r="U9" s="206">
        <v>2.9542612597429449E-2</v>
      </c>
      <c r="V9" s="206">
        <v>3.06535241080131E-2</v>
      </c>
      <c r="W9" s="206">
        <v>3.1779500258387008E-2</v>
      </c>
      <c r="X9" s="206">
        <v>3.2920881930853255E-2</v>
      </c>
      <c r="Y9" s="206">
        <v>3.1444371268100124E-2</v>
      </c>
      <c r="Z9" s="206">
        <v>2.9998431923287619E-2</v>
      </c>
      <c r="AA9" s="206">
        <v>2.8582079987196751E-2</v>
      </c>
      <c r="AB9" s="206">
        <v>2.7194377585440951E-2</v>
      </c>
      <c r="AC9" s="206">
        <v>2.5834430381365361E-2</v>
      </c>
      <c r="AD9" s="206">
        <v>2.7471753240655997E-2</v>
      </c>
      <c r="AE9" s="206">
        <v>2.9143474065254096E-2</v>
      </c>
      <c r="AF9" s="206">
        <v>3.0850770219495921E-2</v>
      </c>
      <c r="AG9" s="206">
        <v>3.2594879740040911E-2</v>
      </c>
      <c r="AH9" s="206">
        <v>3.4377105066431476E-2</v>
      </c>
      <c r="AI9" s="206">
        <v>3.3537495563448205E-2</v>
      </c>
      <c r="AJ9" s="206">
        <v>3.2708212373416021E-2</v>
      </c>
      <c r="AK9" s="206">
        <v>3.1889063343371576E-2</v>
      </c>
      <c r="AL9" s="206">
        <v>3.1079861514821824E-2</v>
      </c>
      <c r="AM9" s="206">
        <v>3.0280424961235342E-2</v>
      </c>
      <c r="AN9" s="206">
        <v>2.8959082406784048E-2</v>
      </c>
      <c r="AO9" s="206">
        <v>2.7662807899311054E-2</v>
      </c>
      <c r="AP9" s="206">
        <v>2.6390870873423039E-2</v>
      </c>
      <c r="AQ9" s="206">
        <v>2.5142572289044041E-2</v>
      </c>
      <c r="AR9" s="206">
        <v>2.391724303203116E-2</v>
      </c>
      <c r="AS9" s="206">
        <v>2.271424239971491E-2</v>
      </c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</row>
    <row r="10" spans="1:118" s="204" customFormat="1" x14ac:dyDescent="0.25">
      <c r="A10" s="204" t="s">
        <v>6</v>
      </c>
      <c r="B10" s="204" t="s">
        <v>48</v>
      </c>
      <c r="C10" s="205" t="s">
        <v>63</v>
      </c>
      <c r="E10" s="204" t="s">
        <v>7</v>
      </c>
      <c r="F10" s="204" t="s">
        <v>50</v>
      </c>
      <c r="G10" s="204" t="s">
        <v>51</v>
      </c>
      <c r="K10" s="206">
        <v>0.57481000000000004</v>
      </c>
      <c r="L10" s="206">
        <v>0.61088399999999998</v>
      </c>
      <c r="M10" s="206">
        <v>0.58254600000000001</v>
      </c>
      <c r="N10" s="206">
        <v>0.59208189595053917</v>
      </c>
      <c r="O10" s="206">
        <v>0.60026985069831285</v>
      </c>
      <c r="P10" s="206">
        <v>0.60837950371302085</v>
      </c>
      <c r="Q10" s="206">
        <v>0.61679928567152442</v>
      </c>
      <c r="R10" s="206">
        <v>0.62533661873009583</v>
      </c>
      <c r="S10" s="206">
        <v>0.63399323426166831</v>
      </c>
      <c r="T10" s="206">
        <v>0.64024527895913674</v>
      </c>
      <c r="U10" s="206">
        <v>0.6465596325910552</v>
      </c>
      <c r="V10" s="206">
        <v>0.65293695476535052</v>
      </c>
      <c r="W10" s="206">
        <v>0.65937791364022691</v>
      </c>
      <c r="X10" s="206">
        <v>0.66588318609515573</v>
      </c>
      <c r="Y10" s="206">
        <v>0.65683664609682635</v>
      </c>
      <c r="Z10" s="206">
        <v>0.6479147685287675</v>
      </c>
      <c r="AA10" s="206">
        <v>0.63911571276637558</v>
      </c>
      <c r="AB10" s="206">
        <v>0.63043767225169156</v>
      </c>
      <c r="AC10" s="206">
        <v>0.62187887350315019</v>
      </c>
      <c r="AD10" s="206">
        <v>0.63157683985555391</v>
      </c>
      <c r="AE10" s="206">
        <v>0.64142751535786668</v>
      </c>
      <c r="AF10" s="206">
        <v>0.65143344414452031</v>
      </c>
      <c r="AG10" s="206">
        <v>0.66159722171372526</v>
      </c>
      <c r="AH10" s="206">
        <v>0.67192149651237976</v>
      </c>
      <c r="AI10" s="206">
        <v>0.66666122830244801</v>
      </c>
      <c r="AJ10" s="206">
        <v>0.66144275606038538</v>
      </c>
      <c r="AK10" s="206">
        <v>0.65626572369246117</v>
      </c>
      <c r="AL10" s="206">
        <v>0.65112977891674328</v>
      </c>
      <c r="AM10" s="206">
        <v>0.64603457319891699</v>
      </c>
      <c r="AN10" s="206">
        <v>0.63777889719884162</v>
      </c>
      <c r="AO10" s="206">
        <v>0.6296300289220188</v>
      </c>
      <c r="AP10" s="206">
        <v>0.62158649794808674</v>
      </c>
      <c r="AQ10" s="206">
        <v>0.61364685879450331</v>
      </c>
      <c r="AR10" s="206">
        <v>0.60580969026078024</v>
      </c>
      <c r="AS10" s="206">
        <v>0.59807359479933531</v>
      </c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</row>
    <row r="11" spans="1:118" s="204" customFormat="1" x14ac:dyDescent="0.25">
      <c r="A11" s="204" t="s">
        <v>6</v>
      </c>
      <c r="B11" s="204" t="s">
        <v>48</v>
      </c>
      <c r="C11" s="205" t="s">
        <v>77</v>
      </c>
      <c r="E11" s="204" t="s">
        <v>7</v>
      </c>
      <c r="F11" s="204" t="s">
        <v>50</v>
      </c>
      <c r="G11" s="204" t="s">
        <v>51</v>
      </c>
      <c r="K11" s="206">
        <v>0</v>
      </c>
      <c r="L11" s="206">
        <v>0</v>
      </c>
      <c r="M11" s="206">
        <v>0</v>
      </c>
      <c r="N11" s="206">
        <v>9.9871519362972061E-4</v>
      </c>
      <c r="O11" s="206">
        <v>1.8564180421516072E-3</v>
      </c>
      <c r="P11" s="206">
        <v>7.3848112280778325E-3</v>
      </c>
      <c r="Q11" s="206">
        <v>8.307855284580265E-3</v>
      </c>
      <c r="R11" s="206">
        <v>9.243399711375444E-3</v>
      </c>
      <c r="S11" s="206">
        <v>1.0191637638818141E-2</v>
      </c>
      <c r="T11" s="206">
        <v>1.0887962983692212E-2</v>
      </c>
      <c r="U11" s="206">
        <v>1.1590939010381544E-2</v>
      </c>
      <c r="V11" s="206">
        <v>1.2300639891845135E-2</v>
      </c>
      <c r="W11" s="206">
        <v>1.3017140914829944E-2</v>
      </c>
      <c r="X11" s="206">
        <v>1.3740518506922039E-2</v>
      </c>
      <c r="Y11" s="206">
        <v>1.2832191694833399E-2</v>
      </c>
      <c r="Z11" s="206">
        <v>1.1937192473477992E-2</v>
      </c>
      <c r="AA11" s="206">
        <v>1.1055311699260585E-2</v>
      </c>
      <c r="AB11" s="206">
        <v>1.0186344761448758E-2</v>
      </c>
      <c r="AC11" s="206">
        <v>9.3300914228467702E-3</v>
      </c>
      <c r="AD11" s="206">
        <v>1.0387583978303555E-2</v>
      </c>
      <c r="AE11" s="206">
        <v>1.1461325612777726E-2</v>
      </c>
      <c r="AF11" s="206">
        <v>1.2551601088999657E-2</v>
      </c>
      <c r="AG11" s="206">
        <v>1.3658701796302117E-2</v>
      </c>
      <c r="AH11" s="206">
        <v>1.4782925999295968E-2</v>
      </c>
      <c r="AI11" s="206">
        <v>1.4272049028708253E-2</v>
      </c>
      <c r="AJ11" s="206">
        <v>1.3765655513074529E-2</v>
      </c>
      <c r="AK11" s="206">
        <v>1.3263704956399447E-2</v>
      </c>
      <c r="AL11" s="206">
        <v>1.2766157370920843E-2</v>
      </c>
      <c r="AM11" s="206">
        <v>1.227297326676749E-2</v>
      </c>
      <c r="AN11" s="206">
        <v>1.1448447248953317E-2</v>
      </c>
      <c r="AO11" s="206">
        <v>1.0635316224843948E-2</v>
      </c>
      <c r="AP11" s="206">
        <v>9.8334144368928747E-3</v>
      </c>
      <c r="AQ11" s="206">
        <v>9.0425793940512034E-3</v>
      </c>
      <c r="AR11" s="206">
        <v>8.2626517675483332E-3</v>
      </c>
      <c r="AS11" s="206">
        <v>7.4934752913787955E-3</v>
      </c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</row>
    <row r="12" spans="1:118" s="204" customFormat="1" x14ac:dyDescent="0.25">
      <c r="A12" s="204" t="s">
        <v>6</v>
      </c>
      <c r="B12" s="204" t="s">
        <v>48</v>
      </c>
      <c r="C12" s="205" t="s">
        <v>64</v>
      </c>
      <c r="E12" s="204" t="s">
        <v>7</v>
      </c>
      <c r="F12" s="204" t="s">
        <v>50</v>
      </c>
      <c r="G12" s="204" t="s">
        <v>51</v>
      </c>
      <c r="K12" s="206">
        <v>7.3969999999999999E-3</v>
      </c>
      <c r="L12" s="206">
        <v>6.4144300000000005E-3</v>
      </c>
      <c r="M12" s="206">
        <v>8.3990000000000002E-3</v>
      </c>
      <c r="N12" s="206">
        <v>9.6198867080095271E-3</v>
      </c>
      <c r="O12" s="206">
        <v>1.067234100023972E-2</v>
      </c>
      <c r="P12" s="206">
        <v>9.7785126989565069E-3</v>
      </c>
      <c r="Q12" s="206">
        <v>1.091478367241551E-2</v>
      </c>
      <c r="R12" s="206">
        <v>1.2070485940906622E-2</v>
      </c>
      <c r="S12" s="206">
        <v>1.3246145710957336E-2</v>
      </c>
      <c r="T12" s="206">
        <v>1.4111466189047739E-2</v>
      </c>
      <c r="U12" s="206">
        <v>1.4987489842253676E-2</v>
      </c>
      <c r="V12" s="206">
        <v>1.5874432354509832E-2</v>
      </c>
      <c r="W12" s="206">
        <v>1.6772516143193111E-2</v>
      </c>
      <c r="X12" s="206">
        <v>1.7681970617189E-2</v>
      </c>
      <c r="Y12" s="206">
        <v>1.6524151414525096E-2</v>
      </c>
      <c r="Z12" s="206">
        <v>1.5388801235231925E-2</v>
      </c>
      <c r="AA12" s="206">
        <v>1.4275261276395446E-2</v>
      </c>
      <c r="AB12" s="206">
        <v>1.3182902023226639E-2</v>
      </c>
      <c r="AC12" s="206">
        <v>1.2111121685672285E-2</v>
      </c>
      <c r="AD12" s="206">
        <v>1.341953072063401E-2</v>
      </c>
      <c r="AE12" s="206">
        <v>1.4753587415256841E-2</v>
      </c>
      <c r="AF12" s="206">
        <v>1.611409019512039E-2</v>
      </c>
      <c r="AG12" s="206">
        <v>1.7501876277314948E-2</v>
      </c>
      <c r="AH12" s="206">
        <v>1.8917824009190926E-2</v>
      </c>
      <c r="AI12" s="206">
        <v>1.8263110108812139E-2</v>
      </c>
      <c r="AJ12" s="206">
        <v>1.7615981933594344E-2</v>
      </c>
      <c r="AK12" s="206">
        <v>1.697631092532452E-2</v>
      </c>
      <c r="AL12" s="206">
        <v>1.6343971829649681E-2</v>
      </c>
      <c r="AM12" s="206">
        <v>1.5718842594340893E-2</v>
      </c>
      <c r="AN12" s="206">
        <v>1.4679814114395201E-2</v>
      </c>
      <c r="AO12" s="206">
        <v>1.3659346767840128E-2</v>
      </c>
      <c r="AP12" s="206">
        <v>1.2656948325157152E-2</v>
      </c>
      <c r="AQ12" s="206">
        <v>1.1672146661222335E-2</v>
      </c>
      <c r="AR12" s="206">
        <v>1.0704488753325719E-2</v>
      </c>
      <c r="AS12" s="206">
        <v>9.7535397321527606E-3</v>
      </c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</row>
    <row r="13" spans="1:118" s="204" customFormat="1" x14ac:dyDescent="0.25">
      <c r="A13" s="204" t="s">
        <v>6</v>
      </c>
      <c r="B13" s="204" t="s">
        <v>48</v>
      </c>
      <c r="C13" s="205" t="s">
        <v>65</v>
      </c>
      <c r="E13" s="204" t="s">
        <v>7</v>
      </c>
      <c r="F13" s="204" t="s">
        <v>50</v>
      </c>
      <c r="G13" s="204" t="s">
        <v>51</v>
      </c>
      <c r="K13" s="206">
        <v>6.7000000000000004E-7</v>
      </c>
      <c r="L13" s="206">
        <v>6.7000000000000004E-7</v>
      </c>
      <c r="M13" s="206">
        <v>6.7000000000000004E-7</v>
      </c>
      <c r="N13" s="206">
        <v>3.996681614116121E-3</v>
      </c>
      <c r="O13" s="206">
        <v>7.475356471346728E-3</v>
      </c>
      <c r="P13" s="206">
        <v>2.5257290985549019E-2</v>
      </c>
      <c r="Q13" s="206">
        <v>2.9053751924264876E-2</v>
      </c>
      <c r="R13" s="206">
        <v>3.2949494033008342E-2</v>
      </c>
      <c r="S13" s="206">
        <v>3.6948733595517258E-2</v>
      </c>
      <c r="T13" s="206">
        <v>3.9911705550055354E-2</v>
      </c>
      <c r="U13" s="206">
        <v>4.2931833269455877E-2</v>
      </c>
      <c r="V13" s="206">
        <v>4.6010897365681036E-2</v>
      </c>
      <c r="W13" s="206">
        <v>4.9150746669484463E-2</v>
      </c>
      <c r="X13" s="206">
        <v>5.2353301009288089E-2</v>
      </c>
      <c r="Y13" s="206">
        <v>4.8165608018332334E-2</v>
      </c>
      <c r="Z13" s="206">
        <v>4.4104559729715859E-2</v>
      </c>
      <c r="AA13" s="206">
        <v>4.016453427560332E-2</v>
      </c>
      <c r="AB13" s="206">
        <v>3.6340209792031508E-2</v>
      </c>
      <c r="AC13" s="206">
        <v>3.262654753639016E-2</v>
      </c>
      <c r="AD13" s="206">
        <v>3.7053371418660858E-2</v>
      </c>
      <c r="AE13" s="206">
        <v>4.1613867431983448E-2</v>
      </c>
      <c r="AF13" s="206">
        <v>4.6314520040612372E-2</v>
      </c>
      <c r="AG13" s="206">
        <v>5.1162204511417786E-2</v>
      </c>
      <c r="AH13" s="206">
        <v>5.6164212060680452E-2</v>
      </c>
      <c r="AI13" s="206">
        <v>5.3771455063620965E-2</v>
      </c>
      <c r="AJ13" s="206">
        <v>5.1421626193874775E-2</v>
      </c>
      <c r="AK13" s="206">
        <v>4.9113625085345891E-2</v>
      </c>
      <c r="AL13" s="206">
        <v>4.6846385246571864E-2</v>
      </c>
      <c r="AM13" s="206">
        <v>4.4618872961839556E-2</v>
      </c>
      <c r="AN13" s="206">
        <v>4.0960594672660194E-2</v>
      </c>
      <c r="AO13" s="206">
        <v>3.7402885485183085E-2</v>
      </c>
      <c r="AP13" s="206">
        <v>3.3941644755446782E-2</v>
      </c>
      <c r="AQ13" s="206">
        <v>3.0572976143950631E-2</v>
      </c>
      <c r="AR13" s="206">
        <v>2.7293176817742959E-2</v>
      </c>
      <c r="AS13" s="206">
        <v>2.4098727231685768E-2</v>
      </c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</row>
    <row r="14" spans="1:118" s="204" customFormat="1" x14ac:dyDescent="0.25">
      <c r="A14" s="204" t="s">
        <v>6</v>
      </c>
      <c r="B14" s="204" t="s">
        <v>48</v>
      </c>
      <c r="C14" s="205" t="s">
        <v>66</v>
      </c>
      <c r="E14" s="204" t="s">
        <v>7</v>
      </c>
      <c r="F14" s="204" t="s">
        <v>50</v>
      </c>
      <c r="G14" s="204" t="s">
        <v>51</v>
      </c>
      <c r="K14" s="206">
        <v>0</v>
      </c>
      <c r="L14" s="206">
        <v>0</v>
      </c>
      <c r="M14" s="206">
        <v>0</v>
      </c>
      <c r="N14" s="206">
        <v>1.4300510052450074E-3</v>
      </c>
      <c r="O14" s="206">
        <v>2.6954316234502201E-3</v>
      </c>
      <c r="P14" s="206">
        <v>0</v>
      </c>
      <c r="Q14" s="206">
        <v>0</v>
      </c>
      <c r="R14" s="206">
        <v>0</v>
      </c>
      <c r="S14" s="206">
        <v>0</v>
      </c>
      <c r="T14" s="206">
        <v>0</v>
      </c>
      <c r="U14" s="206">
        <v>0</v>
      </c>
      <c r="V14" s="206">
        <v>0</v>
      </c>
      <c r="W14" s="206">
        <v>0</v>
      </c>
      <c r="X14" s="206">
        <v>6.5628559182583091E-4</v>
      </c>
      <c r="Y14" s="206">
        <v>0</v>
      </c>
      <c r="Z14" s="206">
        <v>0</v>
      </c>
      <c r="AA14" s="206">
        <v>0</v>
      </c>
      <c r="AB14" s="206">
        <v>0</v>
      </c>
      <c r="AC14" s="206">
        <v>0</v>
      </c>
      <c r="AD14" s="206">
        <v>0</v>
      </c>
      <c r="AE14" s="206">
        <v>0</v>
      </c>
      <c r="AF14" s="206">
        <v>0</v>
      </c>
      <c r="AG14" s="206">
        <v>0</v>
      </c>
      <c r="AH14" s="206">
        <v>1.9873019527103727E-3</v>
      </c>
      <c r="AI14" s="206">
        <v>9.9123057372162149E-4</v>
      </c>
      <c r="AJ14" s="206">
        <v>2.1439944404066935E-5</v>
      </c>
      <c r="AK14" s="206">
        <v>0</v>
      </c>
      <c r="AL14" s="206">
        <v>0</v>
      </c>
      <c r="AM14" s="206">
        <v>0</v>
      </c>
      <c r="AN14" s="206">
        <v>0</v>
      </c>
      <c r="AO14" s="206">
        <v>0</v>
      </c>
      <c r="AP14" s="206">
        <v>0</v>
      </c>
      <c r="AQ14" s="206">
        <v>0</v>
      </c>
      <c r="AR14" s="206">
        <v>0</v>
      </c>
      <c r="AS14" s="206">
        <v>0</v>
      </c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</row>
    <row r="15" spans="1:118" s="207" customFormat="1" x14ac:dyDescent="0.25">
      <c r="A15" s="207" t="s">
        <v>6</v>
      </c>
      <c r="B15" s="207" t="s">
        <v>49</v>
      </c>
      <c r="C15" s="208" t="s">
        <v>52</v>
      </c>
      <c r="E15" s="207" t="s">
        <v>7</v>
      </c>
      <c r="F15" s="207" t="s">
        <v>50</v>
      </c>
      <c r="G15" s="207" t="s">
        <v>51</v>
      </c>
      <c r="K15" s="209">
        <f>+K2*2</f>
        <v>5.1599999999999997E-4</v>
      </c>
      <c r="L15" s="209">
        <f t="shared" ref="L15:AS22" si="0">+L2*2</f>
        <v>1.116E-3</v>
      </c>
      <c r="M15" s="209">
        <f t="shared" si="0"/>
        <v>9.8799999999999995E-4</v>
      </c>
      <c r="N15" s="209">
        <f t="shared" si="0"/>
        <v>1.3850269013654729E-3</v>
      </c>
      <c r="O15" s="209">
        <f t="shared" si="0"/>
        <v>1.7309002703413921E-3</v>
      </c>
      <c r="P15" s="209">
        <f t="shared" si="0"/>
        <v>0</v>
      </c>
      <c r="Q15" s="209">
        <f t="shared" si="0"/>
        <v>0</v>
      </c>
      <c r="R15" s="209">
        <f t="shared" si="0"/>
        <v>1.5190317292979733E-4</v>
      </c>
      <c r="S15" s="209">
        <f t="shared" si="0"/>
        <v>5.5258700629052734E-4</v>
      </c>
      <c r="T15" s="209">
        <f t="shared" si="0"/>
        <v>8.5016358575724232E-4</v>
      </c>
      <c r="U15" s="209">
        <f t="shared" si="0"/>
        <v>1.1535809133892856E-3</v>
      </c>
      <c r="V15" s="209">
        <f t="shared" si="0"/>
        <v>1.4630237186177113E-3</v>
      </c>
      <c r="W15" s="209">
        <f t="shared" si="0"/>
        <v>1.7786838446150165E-3</v>
      </c>
      <c r="X15" s="209">
        <f t="shared" si="0"/>
        <v>2.1007605384577924E-3</v>
      </c>
      <c r="Y15" s="209">
        <f t="shared" si="0"/>
        <v>1.6840370635472952E-3</v>
      </c>
      <c r="Z15" s="209">
        <f t="shared" si="0"/>
        <v>1.2802837385280999E-3</v>
      </c>
      <c r="AA15" s="209">
        <f t="shared" si="0"/>
        <v>8.8891679804089727E-4</v>
      </c>
      <c r="AB15" s="209">
        <f t="shared" si="0"/>
        <v>5.0938376832305662E-4</v>
      </c>
      <c r="AC15" s="209">
        <f t="shared" si="0"/>
        <v>1.4116170427693267E-4</v>
      </c>
      <c r="AD15" s="209">
        <f t="shared" si="0"/>
        <v>5.8429054085660723E-4</v>
      </c>
      <c r="AE15" s="209">
        <f t="shared" si="0"/>
        <v>1.0410631938876716E-3</v>
      </c>
      <c r="AF15" s="209">
        <f t="shared" si="0"/>
        <v>1.5121520833306784E-3</v>
      </c>
      <c r="AG15" s="209">
        <f t="shared" si="0"/>
        <v>1.9982703762020625E-3</v>
      </c>
      <c r="AH15" s="209">
        <f t="shared" si="0"/>
        <v>2.5001746122511465E-3</v>
      </c>
      <c r="AI15" s="209">
        <f t="shared" si="0"/>
        <v>2.262877661699584E-3</v>
      </c>
      <c r="AJ15" s="209">
        <f t="shared" si="0"/>
        <v>2.0299786077881896E-3</v>
      </c>
      <c r="AK15" s="209">
        <f t="shared" si="0"/>
        <v>1.801363181561523E-3</v>
      </c>
      <c r="AL15" s="209">
        <f t="shared" si="0"/>
        <v>1.5769206473990778E-3</v>
      </c>
      <c r="AM15" s="209">
        <f t="shared" si="0"/>
        <v>1.3565436882653284E-3</v>
      </c>
      <c r="AN15" s="209">
        <f t="shared" si="0"/>
        <v>9.9345989534810678E-4</v>
      </c>
      <c r="AO15" s="209">
        <f t="shared" si="0"/>
        <v>6.406588947058707E-4</v>
      </c>
      <c r="AP15" s="209">
        <f t="shared" si="0"/>
        <v>2.9771516077651411E-4</v>
      </c>
      <c r="AQ15" s="209">
        <f t="shared" si="0"/>
        <v>0</v>
      </c>
      <c r="AR15" s="209">
        <f t="shared" si="0"/>
        <v>0</v>
      </c>
      <c r="AS15" s="209">
        <f t="shared" si="0"/>
        <v>0</v>
      </c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</row>
    <row r="16" spans="1:118" s="207" customFormat="1" x14ac:dyDescent="0.25">
      <c r="A16" s="207" t="s">
        <v>6</v>
      </c>
      <c r="B16" s="207" t="s">
        <v>49</v>
      </c>
      <c r="C16" s="208" t="s">
        <v>53</v>
      </c>
      <c r="E16" s="207" t="s">
        <v>7</v>
      </c>
      <c r="F16" s="207" t="s">
        <v>50</v>
      </c>
      <c r="G16" s="207" t="s">
        <v>51</v>
      </c>
      <c r="K16" s="209">
        <f t="shared" ref="K16:Z27" si="1">+K3*2</f>
        <v>5.9999999999999995E-8</v>
      </c>
      <c r="L16" s="209">
        <f t="shared" si="1"/>
        <v>5.7999999999999995E-7</v>
      </c>
      <c r="M16" s="209">
        <f t="shared" si="1"/>
        <v>5.7999999999999995E-7</v>
      </c>
      <c r="N16" s="209">
        <f t="shared" si="1"/>
        <v>1.0022257250522472E-5</v>
      </c>
      <c r="O16" s="209">
        <f t="shared" si="1"/>
        <v>1.8257348565581548E-5</v>
      </c>
      <c r="P16" s="209">
        <f t="shared" si="1"/>
        <v>0</v>
      </c>
      <c r="Q16" s="209">
        <f t="shared" si="1"/>
        <v>0</v>
      </c>
      <c r="R16" s="209">
        <f t="shared" si="1"/>
        <v>0</v>
      </c>
      <c r="S16" s="209">
        <f t="shared" si="1"/>
        <v>0</v>
      </c>
      <c r="T16" s="209">
        <f t="shared" si="1"/>
        <v>0</v>
      </c>
      <c r="U16" s="209">
        <f t="shared" si="1"/>
        <v>2.8594310035614211E-6</v>
      </c>
      <c r="V16" s="209">
        <f t="shared" si="1"/>
        <v>1.0284124021550244E-5</v>
      </c>
      <c r="W16" s="209">
        <f t="shared" si="1"/>
        <v>1.7863413565329784E-5</v>
      </c>
      <c r="X16" s="209">
        <f t="shared" si="1"/>
        <v>2.5602361483343912E-5</v>
      </c>
      <c r="Y16" s="209">
        <f t="shared" si="1"/>
        <v>1.559831185486563E-5</v>
      </c>
      <c r="Z16" s="209">
        <f t="shared" si="1"/>
        <v>5.9174171352563811E-6</v>
      </c>
      <c r="AA16" s="209">
        <f t="shared" si="0"/>
        <v>0</v>
      </c>
      <c r="AB16" s="209">
        <f t="shared" si="0"/>
        <v>0</v>
      </c>
      <c r="AC16" s="209">
        <f t="shared" si="0"/>
        <v>0</v>
      </c>
      <c r="AD16" s="209">
        <f t="shared" si="0"/>
        <v>0</v>
      </c>
      <c r="AE16" s="209">
        <f t="shared" si="0"/>
        <v>1.9817531492390128E-7</v>
      </c>
      <c r="AF16" s="209">
        <f t="shared" si="0"/>
        <v>1.1487087626755699E-5</v>
      </c>
      <c r="AG16" s="209">
        <f t="shared" si="0"/>
        <v>2.3149409238059976E-5</v>
      </c>
      <c r="AH16" s="209">
        <f t="shared" si="0"/>
        <v>3.5204353800871572E-5</v>
      </c>
      <c r="AI16" s="209">
        <f t="shared" si="0"/>
        <v>2.95085810433504E-5</v>
      </c>
      <c r="AJ16" s="209">
        <f t="shared" si="0"/>
        <v>2.3922414587900041E-5</v>
      </c>
      <c r="AK16" s="209">
        <f t="shared" si="0"/>
        <v>1.8442948912241234E-5</v>
      </c>
      <c r="AL16" s="209">
        <f t="shared" si="0"/>
        <v>1.3067368902656864E-5</v>
      </c>
      <c r="AM16" s="209">
        <f t="shared" si="0"/>
        <v>7.7929469131581908E-6</v>
      </c>
      <c r="AN16" s="209">
        <f t="shared" si="0"/>
        <v>0</v>
      </c>
      <c r="AO16" s="209">
        <f t="shared" si="0"/>
        <v>0</v>
      </c>
      <c r="AP16" s="209">
        <f t="shared" si="0"/>
        <v>0</v>
      </c>
      <c r="AQ16" s="209">
        <f t="shared" si="0"/>
        <v>0</v>
      </c>
      <c r="AR16" s="209">
        <f t="shared" si="0"/>
        <v>0</v>
      </c>
      <c r="AS16" s="209">
        <f t="shared" si="0"/>
        <v>0</v>
      </c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</row>
    <row r="17" spans="1:118" s="207" customFormat="1" x14ac:dyDescent="0.25">
      <c r="A17" s="207" t="s">
        <v>6</v>
      </c>
      <c r="B17" s="207" t="s">
        <v>49</v>
      </c>
      <c r="C17" s="208" t="s">
        <v>59</v>
      </c>
      <c r="E17" s="207" t="s">
        <v>7</v>
      </c>
      <c r="F17" s="207" t="s">
        <v>50</v>
      </c>
      <c r="G17" s="207" t="s">
        <v>51</v>
      </c>
      <c r="K17" s="209">
        <f t="shared" si="1"/>
        <v>1.8000000000000001E-4</v>
      </c>
      <c r="L17" s="209">
        <f t="shared" si="0"/>
        <v>1.4999999999999999E-4</v>
      </c>
      <c r="M17" s="209">
        <f t="shared" si="0"/>
        <v>2.3800000000000001E-4</v>
      </c>
      <c r="N17" s="209">
        <f t="shared" si="0"/>
        <v>2.5799956512613829E-4</v>
      </c>
      <c r="O17" s="209">
        <f t="shared" si="0"/>
        <v>2.7579083869537214E-4</v>
      </c>
      <c r="P17" s="209">
        <f t="shared" si="0"/>
        <v>2.4424843536143719E-4</v>
      </c>
      <c r="Q17" s="209">
        <f t="shared" si="0"/>
        <v>2.6397725598273819E-4</v>
      </c>
      <c r="R17" s="209">
        <f t="shared" si="0"/>
        <v>2.8460325272335583E-4</v>
      </c>
      <c r="S17" s="209">
        <f t="shared" si="0"/>
        <v>3.0617551052991739E-4</v>
      </c>
      <c r="T17" s="209">
        <f t="shared" si="0"/>
        <v>3.2233112495819632E-4</v>
      </c>
      <c r="U17" s="209">
        <f t="shared" si="0"/>
        <v>3.390209605686101E-4</v>
      </c>
      <c r="V17" s="209">
        <f t="shared" si="0"/>
        <v>3.5626598705643586E-4</v>
      </c>
      <c r="W17" s="209">
        <f t="shared" si="0"/>
        <v>3.7408803369109024E-4</v>
      </c>
      <c r="X17" s="209">
        <f t="shared" si="0"/>
        <v>3.9250982492630194E-4</v>
      </c>
      <c r="Y17" s="209">
        <f t="shared" si="0"/>
        <v>3.6694310392470402E-4</v>
      </c>
      <c r="Z17" s="209">
        <f t="shared" si="0"/>
        <v>3.4260597577589905E-4</v>
      </c>
      <c r="AA17" s="209">
        <f t="shared" si="0"/>
        <v>3.1943141926023163E-4</v>
      </c>
      <c r="AB17" s="209">
        <f t="shared" si="0"/>
        <v>2.973562051578294E-4</v>
      </c>
      <c r="AC17" s="209">
        <f t="shared" si="0"/>
        <v>2.7632067974283741E-4</v>
      </c>
      <c r="AD17" s="209">
        <f t="shared" si="0"/>
        <v>2.999546505438735E-4</v>
      </c>
      <c r="AE17" s="209">
        <f t="shared" si="0"/>
        <v>3.2481550193043358E-4</v>
      </c>
      <c r="AF17" s="209">
        <f t="shared" si="0"/>
        <v>3.5097912320764332E-4</v>
      </c>
      <c r="AG17" s="209">
        <f t="shared" si="0"/>
        <v>3.7852631989189933E-4</v>
      </c>
      <c r="AH17" s="209">
        <f t="shared" si="0"/>
        <v>4.0754313583057531E-4</v>
      </c>
      <c r="AI17" s="209">
        <f t="shared" si="0"/>
        <v>3.9262256664484663E-4</v>
      </c>
      <c r="AJ17" s="209">
        <f t="shared" si="0"/>
        <v>3.7811985936681437E-4</v>
      </c>
      <c r="AK17" s="209">
        <f t="shared" si="0"/>
        <v>3.6402188164096929E-4</v>
      </c>
      <c r="AL17" s="209">
        <f t="shared" si="0"/>
        <v>3.5031592939834623E-4</v>
      </c>
      <c r="AM17" s="209">
        <f t="shared" si="0"/>
        <v>3.3698971276322761E-4</v>
      </c>
      <c r="AN17" s="209">
        <f t="shared" si="0"/>
        <v>3.1564923798320529E-4</v>
      </c>
      <c r="AO17" s="209">
        <f t="shared" si="0"/>
        <v>2.952587911125482E-4</v>
      </c>
      <c r="AP17" s="209">
        <f t="shared" si="0"/>
        <v>2.7576991561721045E-4</v>
      </c>
      <c r="AQ17" s="209">
        <f t="shared" si="0"/>
        <v>2.5713673149879501E-4</v>
      </c>
      <c r="AR17" s="209">
        <f t="shared" si="0"/>
        <v>2.3931579689465295E-4</v>
      </c>
      <c r="AS17" s="209">
        <f t="shared" si="0"/>
        <v>2.2226597713018566E-4</v>
      </c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</row>
    <row r="18" spans="1:118" s="207" customFormat="1" x14ac:dyDescent="0.25">
      <c r="A18" s="207" t="s">
        <v>6</v>
      </c>
      <c r="B18" s="207" t="s">
        <v>49</v>
      </c>
      <c r="C18" s="208" t="s">
        <v>60</v>
      </c>
      <c r="E18" s="207" t="s">
        <v>7</v>
      </c>
      <c r="F18" s="207" t="s">
        <v>50</v>
      </c>
      <c r="G18" s="207" t="s">
        <v>51</v>
      </c>
      <c r="K18" s="209">
        <f t="shared" si="1"/>
        <v>2.3999999999999998E-7</v>
      </c>
      <c r="L18" s="209">
        <f t="shared" si="0"/>
        <v>2.3999999999999998E-7</v>
      </c>
      <c r="M18" s="209">
        <f t="shared" si="0"/>
        <v>2.3999999999999998E-7</v>
      </c>
      <c r="N18" s="209">
        <f t="shared" si="0"/>
        <v>6.3443502550704356E-4</v>
      </c>
      <c r="O18" s="209">
        <f t="shared" si="0"/>
        <v>1.184265866566149E-3</v>
      </c>
      <c r="P18" s="209">
        <f t="shared" si="0"/>
        <v>0</v>
      </c>
      <c r="Q18" s="209">
        <f t="shared" si="0"/>
        <v>0</v>
      </c>
      <c r="R18" s="209">
        <f t="shared" si="0"/>
        <v>0</v>
      </c>
      <c r="S18" s="209">
        <f t="shared" si="0"/>
        <v>0</v>
      </c>
      <c r="T18" s="209">
        <f t="shared" si="0"/>
        <v>0</v>
      </c>
      <c r="U18" s="209">
        <f t="shared" si="0"/>
        <v>0</v>
      </c>
      <c r="V18" s="209">
        <f t="shared" si="0"/>
        <v>4.7589444281993798E-5</v>
      </c>
      <c r="W18" s="209">
        <f t="shared" si="0"/>
        <v>5.3816329817669983E-4</v>
      </c>
      <c r="X18" s="209">
        <f t="shared" si="0"/>
        <v>1.0369954981159293E-3</v>
      </c>
      <c r="Y18" s="209">
        <f t="shared" si="0"/>
        <v>4.0447009682112456E-4</v>
      </c>
      <c r="Z18" s="209">
        <f t="shared" si="0"/>
        <v>0</v>
      </c>
      <c r="AA18" s="209">
        <f t="shared" si="0"/>
        <v>0</v>
      </c>
      <c r="AB18" s="209">
        <f t="shared" si="0"/>
        <v>0</v>
      </c>
      <c r="AC18" s="209">
        <f t="shared" si="0"/>
        <v>0</v>
      </c>
      <c r="AD18" s="209">
        <f t="shared" si="0"/>
        <v>0</v>
      </c>
      <c r="AE18" s="209">
        <f t="shared" si="0"/>
        <v>0</v>
      </c>
      <c r="AF18" s="209">
        <f t="shared" si="0"/>
        <v>1.8382394458905243E-4</v>
      </c>
      <c r="AG18" s="209">
        <f t="shared" si="0"/>
        <v>9.3848236649732991E-4</v>
      </c>
      <c r="AH18" s="209">
        <f t="shared" si="0"/>
        <v>1.7134999356724634E-3</v>
      </c>
      <c r="AI18" s="209">
        <f t="shared" si="0"/>
        <v>1.3560056795948947E-3</v>
      </c>
      <c r="AJ18" s="209">
        <f t="shared" si="0"/>
        <v>1.0041227392895702E-3</v>
      </c>
      <c r="AK18" s="209">
        <f t="shared" si="0"/>
        <v>6.5772170491661813E-4</v>
      </c>
      <c r="AL18" s="209">
        <f t="shared" si="0"/>
        <v>3.1667700814683869E-4</v>
      </c>
      <c r="AM18" s="209">
        <f t="shared" si="0"/>
        <v>0</v>
      </c>
      <c r="AN18" s="209">
        <f t="shared" si="0"/>
        <v>0</v>
      </c>
      <c r="AO18" s="209">
        <f t="shared" si="0"/>
        <v>0</v>
      </c>
      <c r="AP18" s="209">
        <f t="shared" si="0"/>
        <v>0</v>
      </c>
      <c r="AQ18" s="209">
        <f t="shared" si="0"/>
        <v>0</v>
      </c>
      <c r="AR18" s="209">
        <f t="shared" si="0"/>
        <v>0</v>
      </c>
      <c r="AS18" s="209">
        <f t="shared" si="0"/>
        <v>0</v>
      </c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</row>
    <row r="19" spans="1:118" s="207" customFormat="1" x14ac:dyDescent="0.25">
      <c r="A19" s="207" t="s">
        <v>6</v>
      </c>
      <c r="B19" s="207" t="s">
        <v>49</v>
      </c>
      <c r="C19" s="208" t="s">
        <v>75</v>
      </c>
      <c r="E19" s="207" t="s">
        <v>7</v>
      </c>
      <c r="F19" s="207" t="s">
        <v>50</v>
      </c>
      <c r="G19" s="207" t="s">
        <v>51</v>
      </c>
      <c r="K19" s="209">
        <f t="shared" si="1"/>
        <v>1.8329999999999999E-2</v>
      </c>
      <c r="L19" s="209">
        <f t="shared" si="0"/>
        <v>1.6444E-2</v>
      </c>
      <c r="M19" s="209">
        <f t="shared" si="0"/>
        <v>1.9948E-2</v>
      </c>
      <c r="N19" s="209">
        <f t="shared" si="0"/>
        <v>2.0405016645293039E-2</v>
      </c>
      <c r="O19" s="209">
        <f t="shared" si="0"/>
        <v>2.0797360711487984E-2</v>
      </c>
      <c r="P19" s="209">
        <f t="shared" si="0"/>
        <v>1.7690758529276443E-2</v>
      </c>
      <c r="Q19" s="209">
        <f t="shared" si="0"/>
        <v>1.8102453173087868E-2</v>
      </c>
      <c r="R19" s="209">
        <f t="shared" si="0"/>
        <v>1.8519710821413758E-2</v>
      </c>
      <c r="S19" s="209">
        <f t="shared" si="0"/>
        <v>1.894260922004563E-2</v>
      </c>
      <c r="T19" s="209">
        <f t="shared" si="0"/>
        <v>1.9250313535528071E-2</v>
      </c>
      <c r="U19" s="209">
        <f t="shared" si="0"/>
        <v>1.9560961783785788E-2</v>
      </c>
      <c r="V19" s="209">
        <f t="shared" si="0"/>
        <v>1.9874583323966459E-2</v>
      </c>
      <c r="W19" s="209">
        <f t="shared" si="0"/>
        <v>2.0191207828082362E-2</v>
      </c>
      <c r="X19" s="209">
        <f t="shared" si="0"/>
        <v>2.0510865285145959E-2</v>
      </c>
      <c r="Y19" s="209">
        <f t="shared" si="0"/>
        <v>2.0086501407872291E-2</v>
      </c>
      <c r="Z19" s="209">
        <f t="shared" si="0"/>
        <v>1.9668004809055395E-2</v>
      </c>
      <c r="AA19" s="209">
        <f t="shared" si="0"/>
        <v>1.925529455037811E-2</v>
      </c>
      <c r="AB19" s="209">
        <f t="shared" si="0"/>
        <v>1.8848290897771635E-2</v>
      </c>
      <c r="AC19" s="209">
        <f t="shared" si="0"/>
        <v>1.8446915298648853E-2</v>
      </c>
      <c r="AD19" s="209">
        <f t="shared" si="0"/>
        <v>1.8919781648033235E-2</v>
      </c>
      <c r="AE19" s="209">
        <f t="shared" si="0"/>
        <v>1.9399866537859887E-2</v>
      </c>
      <c r="AF19" s="209">
        <f t="shared" si="0"/>
        <v>1.9887283776001109E-2</v>
      </c>
      <c r="AG19" s="209">
        <f t="shared" si="0"/>
        <v>2.0382149078281207E-2</v>
      </c>
      <c r="AH19" s="209">
        <f t="shared" si="0"/>
        <v>2.0884580107724843E-2</v>
      </c>
      <c r="AI19" s="209">
        <f t="shared" si="0"/>
        <v>2.0641407390968983E-2</v>
      </c>
      <c r="AJ19" s="209">
        <f t="shared" si="0"/>
        <v>2.0400203982525442E-2</v>
      </c>
      <c r="AK19" s="209">
        <f t="shared" si="0"/>
        <v>2.0160954244731043E-2</v>
      </c>
      <c r="AL19" s="209">
        <f t="shared" si="0"/>
        <v>1.992364267421038E-2</v>
      </c>
      <c r="AM19" s="209">
        <f t="shared" si="0"/>
        <v>1.9688253900407314E-2</v>
      </c>
      <c r="AN19" s="209">
        <f t="shared" si="0"/>
        <v>1.9301560472007168E-2</v>
      </c>
      <c r="AO19" s="209">
        <f t="shared" si="0"/>
        <v>1.8919906532659174E-2</v>
      </c>
      <c r="AP19" s="209">
        <f t="shared" si="0"/>
        <v>1.8543226838095513E-2</v>
      </c>
      <c r="AQ19" s="209">
        <f t="shared" si="0"/>
        <v>1.8171457048547644E-2</v>
      </c>
      <c r="AR19" s="209">
        <f t="shared" si="0"/>
        <v>1.7804533713096725E-2</v>
      </c>
      <c r="AS19" s="209">
        <f t="shared" si="0"/>
        <v>1.7442394254448032E-2</v>
      </c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</row>
    <row r="20" spans="1:118" s="207" customFormat="1" x14ac:dyDescent="0.25">
      <c r="A20" s="207" t="s">
        <v>6</v>
      </c>
      <c r="B20" s="207" t="s">
        <v>49</v>
      </c>
      <c r="C20" s="208" t="s">
        <v>61</v>
      </c>
      <c r="E20" s="207" t="s">
        <v>7</v>
      </c>
      <c r="F20" s="207" t="s">
        <v>50</v>
      </c>
      <c r="G20" s="207" t="s">
        <v>51</v>
      </c>
      <c r="K20" s="209">
        <f t="shared" si="1"/>
        <v>3.2882000000000002E-2</v>
      </c>
      <c r="L20" s="209">
        <f t="shared" si="0"/>
        <v>3.1480000000000001E-2</v>
      </c>
      <c r="M20" s="209">
        <f t="shared" si="0"/>
        <v>3.4632000000000003E-2</v>
      </c>
      <c r="N20" s="209">
        <f t="shared" si="0"/>
        <v>4.3898620466089278E-2</v>
      </c>
      <c r="O20" s="209">
        <f t="shared" si="0"/>
        <v>5.1857858837622617E-2</v>
      </c>
      <c r="P20" s="209">
        <f t="shared" si="0"/>
        <v>5.3440707001886523E-2</v>
      </c>
      <c r="Q20" s="209">
        <f t="shared" si="0"/>
        <v>6.2018302825547988E-2</v>
      </c>
      <c r="R20" s="209">
        <f t="shared" si="0"/>
        <v>7.071294741667622E-2</v>
      </c>
      <c r="S20" s="209">
        <f t="shared" si="0"/>
        <v>7.9526506708819777E-2</v>
      </c>
      <c r="T20" s="209">
        <f t="shared" si="0"/>
        <v>8.6002081613955172E-2</v>
      </c>
      <c r="U20" s="209">
        <f t="shared" si="0"/>
        <v>9.2540026638594397E-2</v>
      </c>
      <c r="V20" s="209">
        <f t="shared" si="0"/>
        <v>9.9141061873292413E-2</v>
      </c>
      <c r="W20" s="209">
        <f t="shared" si="0"/>
        <v>0.10580591911246384</v>
      </c>
      <c r="X20" s="209">
        <f t="shared" si="0"/>
        <v>0.11253534216274041</v>
      </c>
      <c r="Y20" s="209">
        <f t="shared" si="0"/>
        <v>0.10410642852222829</v>
      </c>
      <c r="Z20" s="209">
        <f t="shared" si="0"/>
        <v>9.58027557128458E-2</v>
      </c>
      <c r="AA20" s="209">
        <f t="shared" si="0"/>
        <v>8.7622280413381048E-2</v>
      </c>
      <c r="AB20" s="209">
        <f t="shared" si="0"/>
        <v>7.9563007415113018E-2</v>
      </c>
      <c r="AC20" s="209">
        <f t="shared" si="0"/>
        <v>7.1622987794573878E-2</v>
      </c>
      <c r="AD20" s="209">
        <f t="shared" si="0"/>
        <v>8.1450125081046987E-2</v>
      </c>
      <c r="AE20" s="209">
        <f t="shared" si="0"/>
        <v>9.1429510232458155E-2</v>
      </c>
      <c r="AF20" s="209">
        <f t="shared" si="0"/>
        <v>0.10156390023984718</v>
      </c>
      <c r="AG20" s="209">
        <f t="shared" si="0"/>
        <v>0.11185612140389367</v>
      </c>
      <c r="AH20" s="209">
        <f t="shared" si="0"/>
        <v>0.12230907216101472</v>
      </c>
      <c r="AI20" s="209">
        <f t="shared" si="0"/>
        <v>0.11757236408271143</v>
      </c>
      <c r="AJ20" s="209">
        <f t="shared" si="0"/>
        <v>0.11287779812220167</v>
      </c>
      <c r="AK20" s="209">
        <f t="shared" si="0"/>
        <v>0.1082249783844158</v>
      </c>
      <c r="AL20" s="209">
        <f t="shared" si="0"/>
        <v>0.10361351437385258</v>
      </c>
      <c r="AM20" s="209">
        <f t="shared" si="0"/>
        <v>9.9043020875905441E-2</v>
      </c>
      <c r="AN20" s="209">
        <f t="shared" si="0"/>
        <v>9.1395907507149987E-2</v>
      </c>
      <c r="AO20" s="209">
        <f t="shared" si="0"/>
        <v>8.3855709348186425E-2</v>
      </c>
      <c r="AP20" s="209">
        <f t="shared" si="0"/>
        <v>7.6420814582374486E-2</v>
      </c>
      <c r="AQ20" s="209">
        <f t="shared" si="0"/>
        <v>6.9089645808876998E-2</v>
      </c>
      <c r="AR20" s="209">
        <f t="shared" si="0"/>
        <v>6.1860658852686434E-2</v>
      </c>
      <c r="AS20" s="209">
        <f t="shared" si="0"/>
        <v>5.4732341630357118E-2</v>
      </c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</row>
    <row r="21" spans="1:118" s="207" customFormat="1" x14ac:dyDescent="0.25">
      <c r="A21" s="207" t="s">
        <v>6</v>
      </c>
      <c r="B21" s="207" t="s">
        <v>49</v>
      </c>
      <c r="C21" s="208" t="s">
        <v>62</v>
      </c>
      <c r="E21" s="207" t="s">
        <v>7</v>
      </c>
      <c r="F21" s="207" t="s">
        <v>50</v>
      </c>
      <c r="G21" s="207" t="s">
        <v>51</v>
      </c>
      <c r="K21" s="209">
        <f t="shared" si="1"/>
        <v>1.158E-3</v>
      </c>
      <c r="L21" s="209">
        <f t="shared" si="0"/>
        <v>1.366E-3</v>
      </c>
      <c r="M21" s="209">
        <f t="shared" si="0"/>
        <v>1.9480000000000001E-3</v>
      </c>
      <c r="N21" s="209">
        <f t="shared" si="0"/>
        <v>3.9125648755415632E-3</v>
      </c>
      <c r="O21" s="209">
        <f t="shared" si="0"/>
        <v>5.6030449435138935E-3</v>
      </c>
      <c r="P21" s="209">
        <f t="shared" si="0"/>
        <v>3.9988561416955115E-4</v>
      </c>
      <c r="Q21" s="209">
        <f t="shared" si="0"/>
        <v>2.2328963313156952E-3</v>
      </c>
      <c r="R21" s="209">
        <f t="shared" si="0"/>
        <v>4.0939691375650455E-3</v>
      </c>
      <c r="S21" s="209">
        <f t="shared" si="0"/>
        <v>5.9837263270241109E-3</v>
      </c>
      <c r="T21" s="209">
        <f t="shared" si="0"/>
        <v>7.3759593330791628E-3</v>
      </c>
      <c r="U21" s="209">
        <f t="shared" si="0"/>
        <v>8.7834298896653923E-3</v>
      </c>
      <c r="V21" s="209">
        <f t="shared" si="0"/>
        <v>1.0206388349659423E-2</v>
      </c>
      <c r="W21" s="209">
        <f t="shared" si="0"/>
        <v>1.1645091745011354E-2</v>
      </c>
      <c r="X21" s="209">
        <f t="shared" si="0"/>
        <v>1.3099804027939879E-2</v>
      </c>
      <c r="Y21" s="209">
        <f t="shared" si="0"/>
        <v>1.1284164964476831E-2</v>
      </c>
      <c r="Z21" s="209">
        <f t="shared" si="0"/>
        <v>9.4999083383959654E-3</v>
      </c>
      <c r="AA21" s="209">
        <f t="shared" si="0"/>
        <v>7.7462859340685364E-3</v>
      </c>
      <c r="AB21" s="209">
        <f t="shared" si="0"/>
        <v>6.0225782926880689E-3</v>
      </c>
      <c r="AC21" s="209">
        <f t="shared" si="0"/>
        <v>4.3280932553947521E-3</v>
      </c>
      <c r="AD21" s="209">
        <f t="shared" si="0"/>
        <v>6.4321465389030885E-3</v>
      </c>
      <c r="AE21" s="209">
        <f t="shared" si="0"/>
        <v>8.5730009655848594E-3</v>
      </c>
      <c r="AF21" s="209">
        <f t="shared" si="0"/>
        <v>1.0751592926181427E-2</v>
      </c>
      <c r="AG21" s="209">
        <f t="shared" si="0"/>
        <v>1.2968897488367132E-2</v>
      </c>
      <c r="AH21" s="209">
        <f t="shared" si="0"/>
        <v>1.522593058593158E-2</v>
      </c>
      <c r="AI21" s="209">
        <f t="shared" si="0"/>
        <v>1.4206569296343285E-2</v>
      </c>
      <c r="AJ21" s="209">
        <f t="shared" si="0"/>
        <v>1.3197791366271958E-2</v>
      </c>
      <c r="AK21" s="209">
        <f t="shared" si="0"/>
        <v>1.2199451090838406E-2</v>
      </c>
      <c r="AL21" s="209">
        <f t="shared" si="0"/>
        <v>1.1211406006160565E-2</v>
      </c>
      <c r="AM21" s="209">
        <f t="shared" si="0"/>
        <v>1.023351679457335E-2</v>
      </c>
      <c r="AN21" s="209">
        <f t="shared" si="0"/>
        <v>8.5964605584064463E-3</v>
      </c>
      <c r="AO21" s="209">
        <f t="shared" si="0"/>
        <v>6.9856940645056376E-3</v>
      </c>
      <c r="AP21" s="209">
        <f t="shared" si="0"/>
        <v>5.4006492995050531E-3</v>
      </c>
      <c r="AQ21" s="209">
        <f t="shared" si="0"/>
        <v>3.8407781363020699E-3</v>
      </c>
      <c r="AR21" s="209">
        <f t="shared" si="0"/>
        <v>2.3055513983493009E-3</v>
      </c>
      <c r="AS21" s="209">
        <f t="shared" si="0"/>
        <v>7.9445797264607321E-4</v>
      </c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</row>
    <row r="22" spans="1:118" s="207" customFormat="1" x14ac:dyDescent="0.25">
      <c r="A22" s="207" t="s">
        <v>6</v>
      </c>
      <c r="B22" s="207" t="s">
        <v>49</v>
      </c>
      <c r="C22" s="208" t="s">
        <v>76</v>
      </c>
      <c r="E22" s="207" t="s">
        <v>7</v>
      </c>
      <c r="F22" s="207" t="s">
        <v>50</v>
      </c>
      <c r="G22" s="207" t="s">
        <v>51</v>
      </c>
      <c r="K22" s="209">
        <f t="shared" si="1"/>
        <v>5.8919999999999997E-3</v>
      </c>
      <c r="L22" s="209">
        <f t="shared" si="0"/>
        <v>6.4739999999999997E-3</v>
      </c>
      <c r="M22" s="209">
        <f t="shared" si="0"/>
        <v>8.9859999999999992E-3</v>
      </c>
      <c r="N22" s="209">
        <f t="shared" si="0"/>
        <v>1.2044376301088372E-2</v>
      </c>
      <c r="O22" s="209">
        <f t="shared" si="0"/>
        <v>1.4683931914034609E-2</v>
      </c>
      <c r="P22" s="209">
        <f t="shared" si="0"/>
        <v>4.6059780706437653E-2</v>
      </c>
      <c r="Q22" s="209">
        <f t="shared" si="0"/>
        <v>4.8897184077616618E-2</v>
      </c>
      <c r="R22" s="209">
        <f t="shared" si="0"/>
        <v>5.1786524534151807E-2</v>
      </c>
      <c r="S22" s="209">
        <f t="shared" si="0"/>
        <v>5.472934871819557E-2</v>
      </c>
      <c r="T22" s="209">
        <f t="shared" si="0"/>
        <v>5.6892871610469659E-2</v>
      </c>
      <c r="U22" s="209">
        <f t="shared" si="0"/>
        <v>5.9085225194858898E-2</v>
      </c>
      <c r="V22" s="209">
        <f t="shared" si="0"/>
        <v>6.13070482160262E-2</v>
      </c>
      <c r="W22" s="209">
        <f t="shared" si="0"/>
        <v>6.3559000516774017E-2</v>
      </c>
      <c r="X22" s="209">
        <f t="shared" si="0"/>
        <v>6.5841763861706509E-2</v>
      </c>
      <c r="Y22" s="209">
        <f t="shared" si="0"/>
        <v>6.2888742536200248E-2</v>
      </c>
      <c r="Z22" s="209">
        <f t="shared" si="0"/>
        <v>5.9996863846575238E-2</v>
      </c>
      <c r="AA22" s="209">
        <f t="shared" si="0"/>
        <v>5.7164159974393502E-2</v>
      </c>
      <c r="AB22" s="209">
        <f t="shared" si="0"/>
        <v>5.4388755170881903E-2</v>
      </c>
      <c r="AC22" s="209">
        <f t="shared" si="0"/>
        <v>5.1668860762730723E-2</v>
      </c>
      <c r="AD22" s="209">
        <f t="shared" si="0"/>
        <v>5.4943506481311993E-2</v>
      </c>
      <c r="AE22" s="209">
        <f t="shared" si="0"/>
        <v>5.8286948130508193E-2</v>
      </c>
      <c r="AF22" s="209">
        <f t="shared" si="0"/>
        <v>6.1701540438991842E-2</v>
      </c>
      <c r="AG22" s="209">
        <f t="shared" si="0"/>
        <v>6.5189759480081821E-2</v>
      </c>
      <c r="AH22" s="209">
        <f t="shared" si="0"/>
        <v>6.8754210132862953E-2</v>
      </c>
      <c r="AI22" s="209">
        <f t="shared" si="0"/>
        <v>6.7074991126896411E-2</v>
      </c>
      <c r="AJ22" s="209">
        <f t="shared" si="0"/>
        <v>6.5416424746832041E-2</v>
      </c>
      <c r="AK22" s="209">
        <f t="shared" si="0"/>
        <v>6.3778126686743153E-2</v>
      </c>
      <c r="AL22" s="209">
        <f t="shared" si="0"/>
        <v>6.2159723029643649E-2</v>
      </c>
      <c r="AM22" s="209">
        <f t="shared" si="0"/>
        <v>6.0560849922470683E-2</v>
      </c>
      <c r="AN22" s="209">
        <f t="shared" si="0"/>
        <v>5.7918164813568096E-2</v>
      </c>
      <c r="AO22" s="209">
        <f t="shared" si="0"/>
        <v>5.5325615798622108E-2</v>
      </c>
      <c r="AP22" s="209">
        <f t="shared" si="0"/>
        <v>5.2781741746846078E-2</v>
      </c>
      <c r="AQ22" s="209">
        <f t="shared" si="0"/>
        <v>5.0285144578088081E-2</v>
      </c>
      <c r="AR22" s="209">
        <f t="shared" ref="L22:AS27" si="2">+AR9*2</f>
        <v>4.783448606406232E-2</v>
      </c>
      <c r="AS22" s="209">
        <f t="shared" si="2"/>
        <v>4.5428484799429819E-2</v>
      </c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</row>
    <row r="23" spans="1:118" s="207" customFormat="1" x14ac:dyDescent="0.25">
      <c r="A23" s="207" t="s">
        <v>6</v>
      </c>
      <c r="B23" s="207" t="s">
        <v>49</v>
      </c>
      <c r="C23" s="208" t="s">
        <v>63</v>
      </c>
      <c r="E23" s="207" t="s">
        <v>7</v>
      </c>
      <c r="F23" s="207" t="s">
        <v>50</v>
      </c>
      <c r="G23" s="207" t="s">
        <v>51</v>
      </c>
      <c r="K23" s="209">
        <f t="shared" si="1"/>
        <v>1.1496200000000001</v>
      </c>
      <c r="L23" s="209">
        <f t="shared" si="2"/>
        <v>1.221768</v>
      </c>
      <c r="M23" s="209">
        <f t="shared" si="2"/>
        <v>1.165092</v>
      </c>
      <c r="N23" s="209">
        <f t="shared" si="2"/>
        <v>1.1841637919010783</v>
      </c>
      <c r="O23" s="209">
        <f t="shared" si="2"/>
        <v>1.2005397013966257</v>
      </c>
      <c r="P23" s="209">
        <f t="shared" si="2"/>
        <v>1.2167590074260417</v>
      </c>
      <c r="Q23" s="209">
        <f t="shared" si="2"/>
        <v>1.2335985713430488</v>
      </c>
      <c r="R23" s="209">
        <f t="shared" si="2"/>
        <v>1.2506732374601917</v>
      </c>
      <c r="S23" s="209">
        <f t="shared" si="2"/>
        <v>1.2679864685233366</v>
      </c>
      <c r="T23" s="209">
        <f t="shared" si="2"/>
        <v>1.2804905579182735</v>
      </c>
      <c r="U23" s="209">
        <f t="shared" si="2"/>
        <v>1.2931192651821104</v>
      </c>
      <c r="V23" s="209">
        <f t="shared" si="2"/>
        <v>1.305873909530701</v>
      </c>
      <c r="W23" s="209">
        <f t="shared" si="2"/>
        <v>1.3187558272804538</v>
      </c>
      <c r="X23" s="209">
        <f t="shared" si="2"/>
        <v>1.3317663721903115</v>
      </c>
      <c r="Y23" s="209">
        <f t="shared" si="2"/>
        <v>1.3136732921936527</v>
      </c>
      <c r="Z23" s="209">
        <f t="shared" si="2"/>
        <v>1.295829537057535</v>
      </c>
      <c r="AA23" s="209">
        <f t="shared" si="2"/>
        <v>1.2782314255327512</v>
      </c>
      <c r="AB23" s="209">
        <f t="shared" si="2"/>
        <v>1.2608753445033831</v>
      </c>
      <c r="AC23" s="209">
        <f t="shared" si="2"/>
        <v>1.2437577470063004</v>
      </c>
      <c r="AD23" s="209">
        <f t="shared" si="2"/>
        <v>1.2631536797111078</v>
      </c>
      <c r="AE23" s="209">
        <f t="shared" si="2"/>
        <v>1.2828550307157334</v>
      </c>
      <c r="AF23" s="209">
        <f t="shared" si="2"/>
        <v>1.3028668882890406</v>
      </c>
      <c r="AG23" s="209">
        <f t="shared" si="2"/>
        <v>1.3231944434274505</v>
      </c>
      <c r="AH23" s="209">
        <f t="shared" si="2"/>
        <v>1.3438429930247595</v>
      </c>
      <c r="AI23" s="209">
        <f t="shared" si="2"/>
        <v>1.333322456604896</v>
      </c>
      <c r="AJ23" s="209">
        <f t="shared" si="2"/>
        <v>1.3228855121207708</v>
      </c>
      <c r="AK23" s="209">
        <f t="shared" si="2"/>
        <v>1.3125314473849223</v>
      </c>
      <c r="AL23" s="209">
        <f t="shared" si="2"/>
        <v>1.3022595578334866</v>
      </c>
      <c r="AM23" s="209">
        <f t="shared" si="2"/>
        <v>1.292069146397834</v>
      </c>
      <c r="AN23" s="209">
        <f t="shared" si="2"/>
        <v>1.2755577943976832</v>
      </c>
      <c r="AO23" s="209">
        <f t="shared" si="2"/>
        <v>1.2592600578440376</v>
      </c>
      <c r="AP23" s="209">
        <f t="shared" si="2"/>
        <v>1.2431729958961735</v>
      </c>
      <c r="AQ23" s="209">
        <f t="shared" si="2"/>
        <v>1.2272937175890066</v>
      </c>
      <c r="AR23" s="209">
        <f t="shared" si="2"/>
        <v>1.2116193805215605</v>
      </c>
      <c r="AS23" s="209">
        <f t="shared" si="2"/>
        <v>1.1961471895986706</v>
      </c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</row>
    <row r="24" spans="1:118" s="207" customFormat="1" x14ac:dyDescent="0.25">
      <c r="A24" s="207" t="s">
        <v>6</v>
      </c>
      <c r="B24" s="207" t="s">
        <v>49</v>
      </c>
      <c r="C24" s="208" t="s">
        <v>77</v>
      </c>
      <c r="E24" s="207" t="s">
        <v>7</v>
      </c>
      <c r="F24" s="207" t="s">
        <v>50</v>
      </c>
      <c r="G24" s="207" t="s">
        <v>51</v>
      </c>
      <c r="K24" s="209">
        <f t="shared" si="1"/>
        <v>0</v>
      </c>
      <c r="L24" s="209">
        <f t="shared" si="2"/>
        <v>0</v>
      </c>
      <c r="M24" s="209">
        <f t="shared" si="2"/>
        <v>0</v>
      </c>
      <c r="N24" s="209">
        <f t="shared" si="2"/>
        <v>1.9974303872594412E-3</v>
      </c>
      <c r="O24" s="209">
        <f t="shared" si="2"/>
        <v>3.7128360843032143E-3</v>
      </c>
      <c r="P24" s="209">
        <f t="shared" si="2"/>
        <v>1.4769622456155665E-2</v>
      </c>
      <c r="Q24" s="209">
        <f t="shared" si="2"/>
        <v>1.661571056916053E-2</v>
      </c>
      <c r="R24" s="209">
        <f t="shared" si="2"/>
        <v>1.8486799422750888E-2</v>
      </c>
      <c r="S24" s="209">
        <f t="shared" si="2"/>
        <v>2.0383275277636281E-2</v>
      </c>
      <c r="T24" s="209">
        <f t="shared" si="2"/>
        <v>2.1775925967384424E-2</v>
      </c>
      <c r="U24" s="209">
        <f t="shared" si="2"/>
        <v>2.3181878020763089E-2</v>
      </c>
      <c r="V24" s="209">
        <f t="shared" si="2"/>
        <v>2.4601279783690269E-2</v>
      </c>
      <c r="W24" s="209">
        <f t="shared" si="2"/>
        <v>2.6034281829659889E-2</v>
      </c>
      <c r="X24" s="209">
        <f t="shared" si="2"/>
        <v>2.7481037013844078E-2</v>
      </c>
      <c r="Y24" s="209">
        <f t="shared" si="2"/>
        <v>2.5664383389666798E-2</v>
      </c>
      <c r="Z24" s="209">
        <f t="shared" si="2"/>
        <v>2.3874384946955984E-2</v>
      </c>
      <c r="AA24" s="209">
        <f t="shared" si="2"/>
        <v>2.211062339852117E-2</v>
      </c>
      <c r="AB24" s="209">
        <f t="shared" si="2"/>
        <v>2.0372689522897516E-2</v>
      </c>
      <c r="AC24" s="209">
        <f t="shared" si="2"/>
        <v>1.866018284569354E-2</v>
      </c>
      <c r="AD24" s="209">
        <f t="shared" si="2"/>
        <v>2.077516795660711E-2</v>
      </c>
      <c r="AE24" s="209">
        <f t="shared" si="2"/>
        <v>2.2922651225555452E-2</v>
      </c>
      <c r="AF24" s="209">
        <f t="shared" si="2"/>
        <v>2.5103202177999315E-2</v>
      </c>
      <c r="AG24" s="209">
        <f t="shared" si="2"/>
        <v>2.7317403592604234E-2</v>
      </c>
      <c r="AH24" s="209">
        <f t="shared" si="2"/>
        <v>2.9565851998591935E-2</v>
      </c>
      <c r="AI24" s="209">
        <f t="shared" si="2"/>
        <v>2.8544098057416506E-2</v>
      </c>
      <c r="AJ24" s="209">
        <f t="shared" si="2"/>
        <v>2.7531311026149058E-2</v>
      </c>
      <c r="AK24" s="209">
        <f t="shared" si="2"/>
        <v>2.6527409912798894E-2</v>
      </c>
      <c r="AL24" s="209">
        <f t="shared" si="2"/>
        <v>2.5532314741841686E-2</v>
      </c>
      <c r="AM24" s="209">
        <f t="shared" si="2"/>
        <v>2.4545946533534979E-2</v>
      </c>
      <c r="AN24" s="209">
        <f t="shared" si="2"/>
        <v>2.2896894497906634E-2</v>
      </c>
      <c r="AO24" s="209">
        <f t="shared" si="2"/>
        <v>2.1270632449687896E-2</v>
      </c>
      <c r="AP24" s="209">
        <f t="shared" si="2"/>
        <v>1.9666828873785749E-2</v>
      </c>
      <c r="AQ24" s="209">
        <f t="shared" si="2"/>
        <v>1.8085158788102407E-2</v>
      </c>
      <c r="AR24" s="209">
        <f t="shared" si="2"/>
        <v>1.6525303535096666E-2</v>
      </c>
      <c r="AS24" s="209">
        <f t="shared" si="2"/>
        <v>1.4986950582757591E-2</v>
      </c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</row>
    <row r="25" spans="1:118" s="207" customFormat="1" x14ac:dyDescent="0.25">
      <c r="A25" s="207" t="s">
        <v>6</v>
      </c>
      <c r="B25" s="207" t="s">
        <v>49</v>
      </c>
      <c r="C25" s="208" t="s">
        <v>64</v>
      </c>
      <c r="E25" s="207" t="s">
        <v>7</v>
      </c>
      <c r="F25" s="207" t="s">
        <v>50</v>
      </c>
      <c r="G25" s="207" t="s">
        <v>51</v>
      </c>
      <c r="K25" s="209">
        <f t="shared" si="1"/>
        <v>1.4794E-2</v>
      </c>
      <c r="L25" s="209">
        <f t="shared" si="2"/>
        <v>1.2828860000000001E-2</v>
      </c>
      <c r="M25" s="209">
        <f t="shared" si="2"/>
        <v>1.6798E-2</v>
      </c>
      <c r="N25" s="209">
        <f t="shared" si="2"/>
        <v>1.9239773416019054E-2</v>
      </c>
      <c r="O25" s="209">
        <f t="shared" si="2"/>
        <v>2.134468200047944E-2</v>
      </c>
      <c r="P25" s="209">
        <f t="shared" si="2"/>
        <v>1.9557025397913014E-2</v>
      </c>
      <c r="Q25" s="209">
        <f t="shared" si="2"/>
        <v>2.1829567344831019E-2</v>
      </c>
      <c r="R25" s="209">
        <f t="shared" si="2"/>
        <v>2.4140971881813245E-2</v>
      </c>
      <c r="S25" s="209">
        <f t="shared" si="2"/>
        <v>2.6492291421914671E-2</v>
      </c>
      <c r="T25" s="209">
        <f t="shared" si="2"/>
        <v>2.8222932378095478E-2</v>
      </c>
      <c r="U25" s="209">
        <f t="shared" si="2"/>
        <v>2.9974979684507352E-2</v>
      </c>
      <c r="V25" s="209">
        <f t="shared" si="2"/>
        <v>3.1748864709019664E-2</v>
      </c>
      <c r="W25" s="209">
        <f t="shared" si="2"/>
        <v>3.3545032286386223E-2</v>
      </c>
      <c r="X25" s="209">
        <f t="shared" si="2"/>
        <v>3.5363941234377999E-2</v>
      </c>
      <c r="Y25" s="209">
        <f t="shared" si="2"/>
        <v>3.3048302829050191E-2</v>
      </c>
      <c r="Z25" s="209">
        <f t="shared" si="2"/>
        <v>3.077760247046385E-2</v>
      </c>
      <c r="AA25" s="209">
        <f t="shared" si="2"/>
        <v>2.8550522552790891E-2</v>
      </c>
      <c r="AB25" s="209">
        <f t="shared" si="2"/>
        <v>2.6365804046453278E-2</v>
      </c>
      <c r="AC25" s="209">
        <f t="shared" si="2"/>
        <v>2.4222243371344571E-2</v>
      </c>
      <c r="AD25" s="209">
        <f t="shared" si="2"/>
        <v>2.683906144126802E-2</v>
      </c>
      <c r="AE25" s="209">
        <f t="shared" si="2"/>
        <v>2.9507174830513683E-2</v>
      </c>
      <c r="AF25" s="209">
        <f t="shared" si="2"/>
        <v>3.2228180390240779E-2</v>
      </c>
      <c r="AG25" s="209">
        <f t="shared" si="2"/>
        <v>3.5003752554629897E-2</v>
      </c>
      <c r="AH25" s="209">
        <f t="shared" si="2"/>
        <v>3.7835648018381851E-2</v>
      </c>
      <c r="AI25" s="209">
        <f t="shared" si="2"/>
        <v>3.6526220217624278E-2</v>
      </c>
      <c r="AJ25" s="209">
        <f t="shared" si="2"/>
        <v>3.5231963867188687E-2</v>
      </c>
      <c r="AK25" s="209">
        <f t="shared" si="2"/>
        <v>3.395262185064904E-2</v>
      </c>
      <c r="AL25" s="209">
        <f t="shared" si="2"/>
        <v>3.2687943659299362E-2</v>
      </c>
      <c r="AM25" s="209">
        <f t="shared" si="2"/>
        <v>3.1437685188681785E-2</v>
      </c>
      <c r="AN25" s="209">
        <f t="shared" si="2"/>
        <v>2.9359628228790402E-2</v>
      </c>
      <c r="AO25" s="209">
        <f t="shared" si="2"/>
        <v>2.7318693535680255E-2</v>
      </c>
      <c r="AP25" s="209">
        <f t="shared" si="2"/>
        <v>2.5313896650314305E-2</v>
      </c>
      <c r="AQ25" s="209">
        <f t="shared" si="2"/>
        <v>2.334429332244467E-2</v>
      </c>
      <c r="AR25" s="209">
        <f t="shared" si="2"/>
        <v>2.1408977506651439E-2</v>
      </c>
      <c r="AS25" s="209">
        <f t="shared" si="2"/>
        <v>1.9507079464305521E-2</v>
      </c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</row>
    <row r="26" spans="1:118" s="207" customFormat="1" x14ac:dyDescent="0.25">
      <c r="A26" s="207" t="s">
        <v>6</v>
      </c>
      <c r="B26" s="207" t="s">
        <v>49</v>
      </c>
      <c r="C26" s="208" t="s">
        <v>65</v>
      </c>
      <c r="E26" s="207" t="s">
        <v>7</v>
      </c>
      <c r="F26" s="207" t="s">
        <v>50</v>
      </c>
      <c r="G26" s="207" t="s">
        <v>51</v>
      </c>
      <c r="K26" s="209">
        <f t="shared" si="1"/>
        <v>1.3400000000000001E-6</v>
      </c>
      <c r="L26" s="209">
        <f t="shared" si="2"/>
        <v>1.3400000000000001E-6</v>
      </c>
      <c r="M26" s="209">
        <f t="shared" si="2"/>
        <v>1.3400000000000001E-6</v>
      </c>
      <c r="N26" s="209">
        <f t="shared" si="2"/>
        <v>7.993363228232242E-3</v>
      </c>
      <c r="O26" s="209">
        <f t="shared" si="2"/>
        <v>1.4950712942693456E-2</v>
      </c>
      <c r="P26" s="209">
        <f t="shared" si="2"/>
        <v>5.0514581971098038E-2</v>
      </c>
      <c r="Q26" s="209">
        <f t="shared" si="2"/>
        <v>5.8107503848529751E-2</v>
      </c>
      <c r="R26" s="209">
        <f t="shared" si="2"/>
        <v>6.5898988066016684E-2</v>
      </c>
      <c r="S26" s="209">
        <f t="shared" si="2"/>
        <v>7.3897467191034516E-2</v>
      </c>
      <c r="T26" s="209">
        <f t="shared" si="2"/>
        <v>7.9823411100110708E-2</v>
      </c>
      <c r="U26" s="209">
        <f t="shared" si="2"/>
        <v>8.5863666538911754E-2</v>
      </c>
      <c r="V26" s="209">
        <f t="shared" si="2"/>
        <v>9.2021794731362072E-2</v>
      </c>
      <c r="W26" s="209">
        <f t="shared" si="2"/>
        <v>9.8301493338968926E-2</v>
      </c>
      <c r="X26" s="209">
        <f t="shared" si="2"/>
        <v>0.10470660201857618</v>
      </c>
      <c r="Y26" s="209">
        <f t="shared" si="2"/>
        <v>9.6331216036664669E-2</v>
      </c>
      <c r="Z26" s="209">
        <f t="shared" si="2"/>
        <v>8.8209119459431717E-2</v>
      </c>
      <c r="AA26" s="209">
        <f t="shared" si="2"/>
        <v>8.0329068551206639E-2</v>
      </c>
      <c r="AB26" s="209">
        <f t="shared" si="2"/>
        <v>7.2680419584063016E-2</v>
      </c>
      <c r="AC26" s="209">
        <f t="shared" si="2"/>
        <v>6.5253095072780321E-2</v>
      </c>
      <c r="AD26" s="209">
        <f t="shared" si="2"/>
        <v>7.4106742837321715E-2</v>
      </c>
      <c r="AE26" s="209">
        <f t="shared" si="2"/>
        <v>8.3227734863966896E-2</v>
      </c>
      <c r="AF26" s="209">
        <f t="shared" si="2"/>
        <v>9.2629040081224745E-2</v>
      </c>
      <c r="AG26" s="209">
        <f t="shared" si="2"/>
        <v>0.10232440902283557</v>
      </c>
      <c r="AH26" s="209">
        <f t="shared" si="2"/>
        <v>0.1123284241213609</v>
      </c>
      <c r="AI26" s="209">
        <f t="shared" si="2"/>
        <v>0.10754291012724193</v>
      </c>
      <c r="AJ26" s="209">
        <f t="shared" si="2"/>
        <v>0.10284325238774955</v>
      </c>
      <c r="AK26" s="209">
        <f t="shared" si="2"/>
        <v>9.8227250170691782E-2</v>
      </c>
      <c r="AL26" s="209">
        <f t="shared" si="2"/>
        <v>9.3692770493143729E-2</v>
      </c>
      <c r="AM26" s="209">
        <f t="shared" si="2"/>
        <v>8.9237745923679113E-2</v>
      </c>
      <c r="AN26" s="209">
        <f t="shared" si="2"/>
        <v>8.1921189345320389E-2</v>
      </c>
      <c r="AO26" s="209">
        <f t="shared" si="2"/>
        <v>7.480577097036617E-2</v>
      </c>
      <c r="AP26" s="209">
        <f t="shared" si="2"/>
        <v>6.7883289510893563E-2</v>
      </c>
      <c r="AQ26" s="209">
        <f t="shared" si="2"/>
        <v>6.1145952287901262E-2</v>
      </c>
      <c r="AR26" s="209">
        <f t="shared" si="2"/>
        <v>5.4586353635485918E-2</v>
      </c>
      <c r="AS26" s="209">
        <f t="shared" si="2"/>
        <v>4.8197454463371536E-2</v>
      </c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</row>
    <row r="27" spans="1:118" s="207" customFormat="1" x14ac:dyDescent="0.25">
      <c r="A27" s="207" t="s">
        <v>6</v>
      </c>
      <c r="B27" s="207" t="s">
        <v>49</v>
      </c>
      <c r="C27" s="208" t="s">
        <v>66</v>
      </c>
      <c r="E27" s="207" t="s">
        <v>7</v>
      </c>
      <c r="F27" s="207" t="s">
        <v>50</v>
      </c>
      <c r="G27" s="207" t="s">
        <v>51</v>
      </c>
      <c r="K27" s="209">
        <f t="shared" si="1"/>
        <v>0</v>
      </c>
      <c r="L27" s="209">
        <f t="shared" si="2"/>
        <v>0</v>
      </c>
      <c r="M27" s="209">
        <f t="shared" si="2"/>
        <v>0</v>
      </c>
      <c r="N27" s="209">
        <f t="shared" si="2"/>
        <v>2.8601020104900149E-3</v>
      </c>
      <c r="O27" s="209">
        <f t="shared" si="2"/>
        <v>5.3908632469004403E-3</v>
      </c>
      <c r="P27" s="209">
        <f t="shared" si="2"/>
        <v>0</v>
      </c>
      <c r="Q27" s="209">
        <f t="shared" si="2"/>
        <v>0</v>
      </c>
      <c r="R27" s="209">
        <f t="shared" si="2"/>
        <v>0</v>
      </c>
      <c r="S27" s="209">
        <f t="shared" si="2"/>
        <v>0</v>
      </c>
      <c r="T27" s="209">
        <f t="shared" si="2"/>
        <v>0</v>
      </c>
      <c r="U27" s="209">
        <f t="shared" si="2"/>
        <v>0</v>
      </c>
      <c r="V27" s="209">
        <f t="shared" si="2"/>
        <v>0</v>
      </c>
      <c r="W27" s="209">
        <f t="shared" si="2"/>
        <v>0</v>
      </c>
      <c r="X27" s="209">
        <f t="shared" si="2"/>
        <v>1.3125711836516618E-3</v>
      </c>
      <c r="Y27" s="209">
        <f t="shared" si="2"/>
        <v>0</v>
      </c>
      <c r="Z27" s="209">
        <f t="shared" si="2"/>
        <v>0</v>
      </c>
      <c r="AA27" s="209">
        <f t="shared" si="2"/>
        <v>0</v>
      </c>
      <c r="AB27" s="209">
        <f t="shared" si="2"/>
        <v>0</v>
      </c>
      <c r="AC27" s="209">
        <f t="shared" si="2"/>
        <v>0</v>
      </c>
      <c r="AD27" s="209">
        <f t="shared" si="2"/>
        <v>0</v>
      </c>
      <c r="AE27" s="209">
        <f t="shared" si="2"/>
        <v>0</v>
      </c>
      <c r="AF27" s="209">
        <f t="shared" si="2"/>
        <v>0</v>
      </c>
      <c r="AG27" s="209">
        <f t="shared" si="2"/>
        <v>0</v>
      </c>
      <c r="AH27" s="209">
        <f t="shared" si="2"/>
        <v>3.9746039054207455E-3</v>
      </c>
      <c r="AI27" s="209">
        <f t="shared" si="2"/>
        <v>1.982461147443243E-3</v>
      </c>
      <c r="AJ27" s="209">
        <f t="shared" si="2"/>
        <v>4.287988880813387E-5</v>
      </c>
      <c r="AK27" s="209">
        <f t="shared" si="2"/>
        <v>0</v>
      </c>
      <c r="AL27" s="209">
        <f t="shared" si="2"/>
        <v>0</v>
      </c>
      <c r="AM27" s="209">
        <f t="shared" si="2"/>
        <v>0</v>
      </c>
      <c r="AN27" s="209">
        <f t="shared" si="2"/>
        <v>0</v>
      </c>
      <c r="AO27" s="209">
        <f t="shared" si="2"/>
        <v>0</v>
      </c>
      <c r="AP27" s="209">
        <f t="shared" si="2"/>
        <v>0</v>
      </c>
      <c r="AQ27" s="209">
        <f t="shared" si="2"/>
        <v>0</v>
      </c>
      <c r="AR27" s="209">
        <f t="shared" si="2"/>
        <v>0</v>
      </c>
      <c r="AS27" s="209">
        <f t="shared" si="2"/>
        <v>0</v>
      </c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</row>
    <row r="28" spans="1:118" s="204" customFormat="1" x14ac:dyDescent="0.25">
      <c r="A28" s="204" t="s">
        <v>6</v>
      </c>
      <c r="B28" s="204" t="s">
        <v>48</v>
      </c>
      <c r="C28" s="205" t="s">
        <v>67</v>
      </c>
      <c r="E28" s="204" t="s">
        <v>7</v>
      </c>
      <c r="F28" s="204" t="s">
        <v>50</v>
      </c>
      <c r="G28" s="204" t="s">
        <v>51</v>
      </c>
      <c r="K28" s="206">
        <v>2E-3</v>
      </c>
      <c r="L28" s="206">
        <v>2E-3</v>
      </c>
      <c r="M28" s="206">
        <v>2E-3</v>
      </c>
      <c r="N28" s="206">
        <v>2E-3</v>
      </c>
      <c r="O28" s="206">
        <v>2E-3</v>
      </c>
      <c r="P28" s="206">
        <v>2.3E-3</v>
      </c>
      <c r="Q28" s="206">
        <v>2.3E-3</v>
      </c>
      <c r="R28" s="206">
        <v>2.3E-3</v>
      </c>
      <c r="S28" s="206">
        <v>2.3E-3</v>
      </c>
      <c r="T28" s="206">
        <v>2.3E-3</v>
      </c>
      <c r="U28" s="206">
        <v>2.3E-3</v>
      </c>
      <c r="V28" s="206">
        <v>2.3E-3</v>
      </c>
      <c r="W28" s="206">
        <v>2.3E-3</v>
      </c>
      <c r="X28" s="206">
        <v>2.3E-3</v>
      </c>
      <c r="Y28" s="206">
        <v>2.3E-3</v>
      </c>
      <c r="Z28" s="206">
        <v>2.3E-3</v>
      </c>
      <c r="AA28" s="206">
        <v>2.3E-3</v>
      </c>
      <c r="AB28" s="206">
        <v>2.3E-3</v>
      </c>
      <c r="AC28" s="206">
        <v>2.3E-3</v>
      </c>
      <c r="AD28" s="206">
        <v>2.3E-3</v>
      </c>
      <c r="AE28" s="206">
        <v>2.3E-3</v>
      </c>
      <c r="AF28" s="206">
        <v>2.3E-3</v>
      </c>
      <c r="AG28" s="206">
        <v>2.3E-3</v>
      </c>
      <c r="AH28" s="206">
        <v>2.3E-3</v>
      </c>
      <c r="AI28" s="206">
        <v>2.3E-3</v>
      </c>
      <c r="AJ28" s="206">
        <v>2.3E-3</v>
      </c>
      <c r="AK28" s="206">
        <v>2.3E-3</v>
      </c>
      <c r="AL28" s="206">
        <v>2.3E-3</v>
      </c>
      <c r="AM28" s="206">
        <v>2.3E-3</v>
      </c>
      <c r="AN28" s="206">
        <v>2.3E-3</v>
      </c>
      <c r="AO28" s="206">
        <v>2.3E-3</v>
      </c>
      <c r="AP28" s="206">
        <v>2.3E-3</v>
      </c>
      <c r="AQ28" s="206">
        <v>2.3E-3</v>
      </c>
      <c r="AR28" s="206">
        <v>2.3E-3</v>
      </c>
      <c r="AS28" s="206">
        <v>2.2000000000000001E-3</v>
      </c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</row>
    <row r="29" spans="1:118" s="204" customFormat="1" x14ac:dyDescent="0.25">
      <c r="A29" s="204" t="s">
        <v>6</v>
      </c>
      <c r="B29" s="204" t="s">
        <v>48</v>
      </c>
      <c r="C29" s="205" t="s">
        <v>54</v>
      </c>
      <c r="E29" s="204" t="s">
        <v>7</v>
      </c>
      <c r="F29" s="204" t="s">
        <v>50</v>
      </c>
      <c r="G29" s="204" t="s">
        <v>51</v>
      </c>
      <c r="K29" s="206">
        <v>2E-3</v>
      </c>
      <c r="L29" s="206">
        <v>2E-3</v>
      </c>
      <c r="M29" s="206">
        <v>2E-3</v>
      </c>
      <c r="N29" s="206">
        <v>2E-3</v>
      </c>
      <c r="O29" s="206">
        <v>2E-3</v>
      </c>
      <c r="P29" s="206">
        <v>2.3E-3</v>
      </c>
      <c r="Q29" s="206">
        <v>2.3E-3</v>
      </c>
      <c r="R29" s="206">
        <v>2.3E-3</v>
      </c>
      <c r="S29" s="206">
        <v>2.3E-3</v>
      </c>
      <c r="T29" s="206">
        <v>2.3E-3</v>
      </c>
      <c r="U29" s="206">
        <v>2.3E-3</v>
      </c>
      <c r="V29" s="206">
        <v>2.3E-3</v>
      </c>
      <c r="W29" s="206">
        <v>2.3E-3</v>
      </c>
      <c r="X29" s="206">
        <v>2.3E-3</v>
      </c>
      <c r="Y29" s="206">
        <v>2.3E-3</v>
      </c>
      <c r="Z29" s="206">
        <v>2.3E-3</v>
      </c>
      <c r="AA29" s="206">
        <v>2.3E-3</v>
      </c>
      <c r="AB29" s="206">
        <v>2.3E-3</v>
      </c>
      <c r="AC29" s="206">
        <v>2.3E-3</v>
      </c>
      <c r="AD29" s="206">
        <v>2.3E-3</v>
      </c>
      <c r="AE29" s="206">
        <v>2.3E-3</v>
      </c>
      <c r="AF29" s="206">
        <v>2.3E-3</v>
      </c>
      <c r="AG29" s="206">
        <v>2.3E-3</v>
      </c>
      <c r="AH29" s="206">
        <v>2.3E-3</v>
      </c>
      <c r="AI29" s="206">
        <v>2.3E-3</v>
      </c>
      <c r="AJ29" s="206">
        <v>2.3E-3</v>
      </c>
      <c r="AK29" s="206">
        <v>2.3E-3</v>
      </c>
      <c r="AL29" s="206">
        <v>2.3E-3</v>
      </c>
      <c r="AM29" s="206">
        <v>2.3E-3</v>
      </c>
      <c r="AN29" s="206">
        <v>2.3E-3</v>
      </c>
      <c r="AO29" s="206">
        <v>2.3E-3</v>
      </c>
      <c r="AP29" s="206">
        <v>2.3E-3</v>
      </c>
      <c r="AQ29" s="206">
        <v>2.3E-3</v>
      </c>
      <c r="AR29" s="206">
        <v>2.3E-3</v>
      </c>
      <c r="AS29" s="206">
        <v>2.2000000000000001E-3</v>
      </c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</row>
    <row r="30" spans="1:118" s="204" customFormat="1" x14ac:dyDescent="0.25">
      <c r="A30" s="204" t="s">
        <v>6</v>
      </c>
      <c r="B30" s="204" t="s">
        <v>48</v>
      </c>
      <c r="C30" s="205" t="s">
        <v>55</v>
      </c>
      <c r="E30" s="204" t="s">
        <v>7</v>
      </c>
      <c r="F30" s="204" t="s">
        <v>50</v>
      </c>
      <c r="G30" s="204" t="s">
        <v>51</v>
      </c>
      <c r="K30" s="206">
        <v>2E-3</v>
      </c>
      <c r="L30" s="206">
        <v>2E-3</v>
      </c>
      <c r="M30" s="206">
        <v>2E-3</v>
      </c>
      <c r="N30" s="206">
        <v>2E-3</v>
      </c>
      <c r="O30" s="206">
        <v>2E-3</v>
      </c>
      <c r="P30" s="206">
        <v>2.3E-3</v>
      </c>
      <c r="Q30" s="206">
        <v>2.3E-3</v>
      </c>
      <c r="R30" s="206">
        <v>2.3E-3</v>
      </c>
      <c r="S30" s="206">
        <v>2.3E-3</v>
      </c>
      <c r="T30" s="206">
        <v>2.3E-3</v>
      </c>
      <c r="U30" s="206">
        <v>2.3E-3</v>
      </c>
      <c r="V30" s="206">
        <v>2.3E-3</v>
      </c>
      <c r="W30" s="206">
        <v>2.3E-3</v>
      </c>
      <c r="X30" s="206">
        <v>2.3E-3</v>
      </c>
      <c r="Y30" s="206">
        <v>2.3E-3</v>
      </c>
      <c r="Z30" s="206">
        <v>2.3E-3</v>
      </c>
      <c r="AA30" s="206">
        <v>2.3E-3</v>
      </c>
      <c r="AB30" s="206">
        <v>2.3E-3</v>
      </c>
      <c r="AC30" s="206">
        <v>2.3E-3</v>
      </c>
      <c r="AD30" s="206">
        <v>2.3E-3</v>
      </c>
      <c r="AE30" s="206">
        <v>2.3E-3</v>
      </c>
      <c r="AF30" s="206">
        <v>2.3E-3</v>
      </c>
      <c r="AG30" s="206">
        <v>2.3E-3</v>
      </c>
      <c r="AH30" s="206">
        <v>2.3E-3</v>
      </c>
      <c r="AI30" s="206">
        <v>2.3E-3</v>
      </c>
      <c r="AJ30" s="206">
        <v>2.3E-3</v>
      </c>
      <c r="AK30" s="206">
        <v>2.3E-3</v>
      </c>
      <c r="AL30" s="206">
        <v>2.3E-3</v>
      </c>
      <c r="AM30" s="206">
        <v>2.3E-3</v>
      </c>
      <c r="AN30" s="206">
        <v>2.3E-3</v>
      </c>
      <c r="AO30" s="206">
        <v>2.3E-3</v>
      </c>
      <c r="AP30" s="206">
        <v>2.3E-3</v>
      </c>
      <c r="AQ30" s="206">
        <v>2.3E-3</v>
      </c>
      <c r="AR30" s="206">
        <v>2.3E-3</v>
      </c>
      <c r="AS30" s="206">
        <v>2.2000000000000001E-3</v>
      </c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</row>
    <row r="31" spans="1:118" s="204" customFormat="1" x14ac:dyDescent="0.25">
      <c r="A31" s="204" t="s">
        <v>6</v>
      </c>
      <c r="B31" s="204" t="s">
        <v>48</v>
      </c>
      <c r="C31" s="205" t="s">
        <v>68</v>
      </c>
      <c r="E31" s="204" t="s">
        <v>7</v>
      </c>
      <c r="F31" s="204" t="s">
        <v>50</v>
      </c>
      <c r="G31" s="204" t="s">
        <v>51</v>
      </c>
      <c r="K31" s="206">
        <v>2E-3</v>
      </c>
      <c r="L31" s="206">
        <v>2E-3</v>
      </c>
      <c r="M31" s="206">
        <v>2E-3</v>
      </c>
      <c r="N31" s="206">
        <v>2E-3</v>
      </c>
      <c r="O31" s="206">
        <v>2E-3</v>
      </c>
      <c r="P31" s="206">
        <v>2.3E-3</v>
      </c>
      <c r="Q31" s="206">
        <v>2.3E-3</v>
      </c>
      <c r="R31" s="206">
        <v>2.3E-3</v>
      </c>
      <c r="S31" s="206">
        <v>2.3E-3</v>
      </c>
      <c r="T31" s="206">
        <v>2.3E-3</v>
      </c>
      <c r="U31" s="206">
        <v>2.3E-3</v>
      </c>
      <c r="V31" s="206">
        <v>2.3E-3</v>
      </c>
      <c r="W31" s="206">
        <v>2.3E-3</v>
      </c>
      <c r="X31" s="206">
        <v>2.3E-3</v>
      </c>
      <c r="Y31" s="206">
        <v>2.3E-3</v>
      </c>
      <c r="Z31" s="206">
        <v>2.3E-3</v>
      </c>
      <c r="AA31" s="206">
        <v>2.3E-3</v>
      </c>
      <c r="AB31" s="206">
        <v>2.3E-3</v>
      </c>
      <c r="AC31" s="206">
        <v>2.3E-3</v>
      </c>
      <c r="AD31" s="206">
        <v>2.3E-3</v>
      </c>
      <c r="AE31" s="206">
        <v>2.3E-3</v>
      </c>
      <c r="AF31" s="206">
        <v>2.3E-3</v>
      </c>
      <c r="AG31" s="206">
        <v>2.3E-3</v>
      </c>
      <c r="AH31" s="206">
        <v>2.3E-3</v>
      </c>
      <c r="AI31" s="206">
        <v>2.3E-3</v>
      </c>
      <c r="AJ31" s="206">
        <v>2.3E-3</v>
      </c>
      <c r="AK31" s="206">
        <v>2.3E-3</v>
      </c>
      <c r="AL31" s="206">
        <v>2.3E-3</v>
      </c>
      <c r="AM31" s="206">
        <v>2.3E-3</v>
      </c>
      <c r="AN31" s="206">
        <v>2.3E-3</v>
      </c>
      <c r="AO31" s="206">
        <v>2.3E-3</v>
      </c>
      <c r="AP31" s="206">
        <v>2.3E-3</v>
      </c>
      <c r="AQ31" s="206">
        <v>2.3E-3</v>
      </c>
      <c r="AR31" s="206">
        <v>2.3E-3</v>
      </c>
      <c r="AS31" s="206">
        <v>2.2000000000000001E-3</v>
      </c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</row>
    <row r="32" spans="1:118" s="204" customFormat="1" x14ac:dyDescent="0.25">
      <c r="A32" s="204" t="s">
        <v>6</v>
      </c>
      <c r="B32" s="204" t="s">
        <v>48</v>
      </c>
      <c r="C32" s="205" t="s">
        <v>69</v>
      </c>
      <c r="E32" s="204" t="s">
        <v>7</v>
      </c>
      <c r="F32" s="204" t="s">
        <v>50</v>
      </c>
      <c r="G32" s="204" t="s">
        <v>51</v>
      </c>
      <c r="K32" s="206">
        <v>3.8E-3</v>
      </c>
      <c r="L32" s="206">
        <v>3.8E-3</v>
      </c>
      <c r="M32" s="206">
        <v>3.3999999999999998E-3</v>
      </c>
      <c r="N32" s="206">
        <v>3.3999999999999998E-3</v>
      </c>
      <c r="O32" s="206">
        <v>3.3999999999999998E-3</v>
      </c>
      <c r="P32" s="206">
        <v>4.8999999999999998E-3</v>
      </c>
      <c r="Q32" s="206">
        <v>4.8999999999999998E-3</v>
      </c>
      <c r="R32" s="206">
        <v>4.8999999999999998E-3</v>
      </c>
      <c r="S32" s="206">
        <v>4.8999999999999998E-3</v>
      </c>
      <c r="T32" s="206">
        <v>4.8999999999999998E-3</v>
      </c>
      <c r="U32" s="206">
        <v>4.8999999999999998E-3</v>
      </c>
      <c r="V32" s="206">
        <v>4.8999999999999998E-3</v>
      </c>
      <c r="W32" s="206">
        <v>4.8999999999999998E-3</v>
      </c>
      <c r="X32" s="206">
        <v>4.8999999999999998E-3</v>
      </c>
      <c r="Y32" s="206">
        <v>4.8999999999999998E-3</v>
      </c>
      <c r="Z32" s="206">
        <v>4.8999999999999998E-3</v>
      </c>
      <c r="AA32" s="206">
        <v>4.8999999999999998E-3</v>
      </c>
      <c r="AB32" s="206">
        <v>4.8999999999999998E-3</v>
      </c>
      <c r="AC32" s="206">
        <v>4.8999999999999998E-3</v>
      </c>
      <c r="AD32" s="206">
        <v>4.8999999999999998E-3</v>
      </c>
      <c r="AE32" s="206">
        <v>4.8999999999999998E-3</v>
      </c>
      <c r="AF32" s="206">
        <v>4.7999999999999996E-3</v>
      </c>
      <c r="AG32" s="206">
        <v>4.7999999999999996E-3</v>
      </c>
      <c r="AH32" s="206">
        <v>4.7999999999999996E-3</v>
      </c>
      <c r="AI32" s="206">
        <v>4.7999999999999996E-3</v>
      </c>
      <c r="AJ32" s="206">
        <v>4.7999999999999996E-3</v>
      </c>
      <c r="AK32" s="206">
        <v>4.7999999999999996E-3</v>
      </c>
      <c r="AL32" s="206">
        <v>4.7999999999999996E-3</v>
      </c>
      <c r="AM32" s="206">
        <v>4.7999999999999996E-3</v>
      </c>
      <c r="AN32" s="206">
        <v>4.7999999999999996E-3</v>
      </c>
      <c r="AO32" s="206">
        <v>4.7999999999999996E-3</v>
      </c>
      <c r="AP32" s="206">
        <v>4.7999999999999996E-3</v>
      </c>
      <c r="AQ32" s="206">
        <v>4.7999999999999996E-3</v>
      </c>
      <c r="AR32" s="206">
        <v>4.7999999999999996E-3</v>
      </c>
      <c r="AS32" s="206">
        <v>4.7999999999999996E-3</v>
      </c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</row>
    <row r="33" spans="1:118" s="204" customFormat="1" x14ac:dyDescent="0.25">
      <c r="A33" s="204" t="s">
        <v>6</v>
      </c>
      <c r="B33" s="204" t="s">
        <v>48</v>
      </c>
      <c r="C33" s="205" t="s">
        <v>70</v>
      </c>
      <c r="E33" s="204" t="s">
        <v>7</v>
      </c>
      <c r="F33" s="204" t="s">
        <v>50</v>
      </c>
      <c r="G33" s="204" t="s">
        <v>51</v>
      </c>
      <c r="K33" s="206">
        <v>1.61E-2</v>
      </c>
      <c r="L33" s="206">
        <v>1.61E-2</v>
      </c>
      <c r="M33" s="206">
        <v>1.6799999999999999E-2</v>
      </c>
      <c r="N33" s="206">
        <v>1.6799999999999999E-2</v>
      </c>
      <c r="O33" s="206">
        <v>1.6799999999999999E-2</v>
      </c>
      <c r="P33" s="206">
        <v>1.7000000000000001E-2</v>
      </c>
      <c r="Q33" s="206">
        <v>1.6899999999999998E-2</v>
      </c>
      <c r="R33" s="206">
        <v>1.6899999999999998E-2</v>
      </c>
      <c r="S33" s="206">
        <v>1.6899999999999998E-2</v>
      </c>
      <c r="T33" s="206">
        <v>1.6899999999999998E-2</v>
      </c>
      <c r="U33" s="206">
        <v>1.6899999999999998E-2</v>
      </c>
      <c r="V33" s="206">
        <v>1.6899999999999998E-2</v>
      </c>
      <c r="W33" s="206">
        <v>1.6899999999999998E-2</v>
      </c>
      <c r="X33" s="206">
        <v>1.6899999999999998E-2</v>
      </c>
      <c r="Y33" s="206">
        <v>1.6799999999999999E-2</v>
      </c>
      <c r="Z33" s="206">
        <v>1.6799999999999999E-2</v>
      </c>
      <c r="AA33" s="206">
        <v>1.6799999999999999E-2</v>
      </c>
      <c r="AB33" s="206">
        <v>1.6799999999999999E-2</v>
      </c>
      <c r="AC33" s="206">
        <v>1.6799999999999999E-2</v>
      </c>
      <c r="AD33" s="206">
        <v>1.6799999999999999E-2</v>
      </c>
      <c r="AE33" s="206">
        <v>1.6799999999999999E-2</v>
      </c>
      <c r="AF33" s="206">
        <v>1.6799999999999999E-2</v>
      </c>
      <c r="AG33" s="206">
        <v>1.67E-2</v>
      </c>
      <c r="AH33" s="206">
        <v>1.67E-2</v>
      </c>
      <c r="AI33" s="206">
        <v>1.67E-2</v>
      </c>
      <c r="AJ33" s="206">
        <v>1.67E-2</v>
      </c>
      <c r="AK33" s="206">
        <v>1.67E-2</v>
      </c>
      <c r="AL33" s="206">
        <v>1.67E-2</v>
      </c>
      <c r="AM33" s="206">
        <v>1.67E-2</v>
      </c>
      <c r="AN33" s="206">
        <v>1.67E-2</v>
      </c>
      <c r="AO33" s="206">
        <v>1.66E-2</v>
      </c>
      <c r="AP33" s="206">
        <v>1.66E-2</v>
      </c>
      <c r="AQ33" s="206">
        <v>1.66E-2</v>
      </c>
      <c r="AR33" s="206">
        <v>1.66E-2</v>
      </c>
      <c r="AS33" s="206">
        <v>1.66E-2</v>
      </c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</row>
    <row r="34" spans="1:118" s="204" customFormat="1" x14ac:dyDescent="0.25">
      <c r="A34" s="204" t="s">
        <v>6</v>
      </c>
      <c r="B34" s="204" t="s">
        <v>48</v>
      </c>
      <c r="C34" s="205" t="s">
        <v>71</v>
      </c>
      <c r="E34" s="204" t="s">
        <v>7</v>
      </c>
      <c r="F34" s="204" t="s">
        <v>50</v>
      </c>
      <c r="G34" s="204" t="s">
        <v>51</v>
      </c>
      <c r="K34" s="206">
        <v>4.1000000000000003E-3</v>
      </c>
      <c r="L34" s="206">
        <v>4.1000000000000003E-3</v>
      </c>
      <c r="M34" s="206">
        <v>4.1999999999999997E-3</v>
      </c>
      <c r="N34" s="206">
        <v>4.1999999999999997E-3</v>
      </c>
      <c r="O34" s="206">
        <v>4.1999999999999997E-3</v>
      </c>
      <c r="P34" s="206">
        <v>4.4999999999999997E-3</v>
      </c>
      <c r="Q34" s="206">
        <v>4.4999999999999997E-3</v>
      </c>
      <c r="R34" s="206">
        <v>4.4999999999999997E-3</v>
      </c>
      <c r="S34" s="206">
        <v>4.4999999999999997E-3</v>
      </c>
      <c r="T34" s="206">
        <v>4.4999999999999997E-3</v>
      </c>
      <c r="U34" s="206">
        <v>4.4999999999999997E-3</v>
      </c>
      <c r="V34" s="206">
        <v>4.4000000000000003E-3</v>
      </c>
      <c r="W34" s="206">
        <v>4.4000000000000003E-3</v>
      </c>
      <c r="X34" s="206">
        <v>4.4000000000000003E-3</v>
      </c>
      <c r="Y34" s="206">
        <v>4.4000000000000003E-3</v>
      </c>
      <c r="Z34" s="206">
        <v>4.4000000000000003E-3</v>
      </c>
      <c r="AA34" s="206">
        <v>4.4000000000000003E-3</v>
      </c>
      <c r="AB34" s="206">
        <v>4.4000000000000003E-3</v>
      </c>
      <c r="AC34" s="206">
        <v>4.4000000000000003E-3</v>
      </c>
      <c r="AD34" s="206">
        <v>4.4000000000000003E-3</v>
      </c>
      <c r="AE34" s="206">
        <v>4.4000000000000003E-3</v>
      </c>
      <c r="AF34" s="206">
        <v>4.4000000000000003E-3</v>
      </c>
      <c r="AG34" s="206">
        <v>4.4000000000000003E-3</v>
      </c>
      <c r="AH34" s="206">
        <v>4.4000000000000003E-3</v>
      </c>
      <c r="AI34" s="206">
        <v>4.4000000000000003E-3</v>
      </c>
      <c r="AJ34" s="206">
        <v>4.4000000000000003E-3</v>
      </c>
      <c r="AK34" s="206">
        <v>4.4000000000000003E-3</v>
      </c>
      <c r="AL34" s="206">
        <v>4.4000000000000003E-3</v>
      </c>
      <c r="AM34" s="206">
        <v>4.4000000000000003E-3</v>
      </c>
      <c r="AN34" s="206">
        <v>4.4000000000000003E-3</v>
      </c>
      <c r="AO34" s="206">
        <v>4.4000000000000003E-3</v>
      </c>
      <c r="AP34" s="206">
        <v>4.4000000000000003E-3</v>
      </c>
      <c r="AQ34" s="206">
        <v>4.4000000000000003E-3</v>
      </c>
      <c r="AR34" s="206">
        <v>4.4000000000000003E-3</v>
      </c>
      <c r="AS34" s="206">
        <v>4.4000000000000003E-3</v>
      </c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</row>
    <row r="35" spans="1:118" s="204" customFormat="1" x14ac:dyDescent="0.25">
      <c r="A35" s="204" t="s">
        <v>6</v>
      </c>
      <c r="B35" s="204" t="s">
        <v>48</v>
      </c>
      <c r="C35" s="205" t="s">
        <v>56</v>
      </c>
      <c r="E35" s="204" t="s">
        <v>7</v>
      </c>
      <c r="F35" s="204" t="s">
        <v>50</v>
      </c>
      <c r="G35" s="204" t="s">
        <v>51</v>
      </c>
      <c r="K35" s="206">
        <v>4.0000000000000001E-3</v>
      </c>
      <c r="L35" s="206">
        <v>4.0000000000000001E-3</v>
      </c>
      <c r="M35" s="206">
        <v>4.3E-3</v>
      </c>
      <c r="N35" s="206">
        <v>4.3E-3</v>
      </c>
      <c r="O35" s="206">
        <v>4.3E-3</v>
      </c>
      <c r="P35" s="206">
        <v>3.5000000000000001E-3</v>
      </c>
      <c r="Q35" s="206">
        <v>3.5000000000000001E-3</v>
      </c>
      <c r="R35" s="206">
        <v>3.5000000000000001E-3</v>
      </c>
      <c r="S35" s="206">
        <v>3.5000000000000001E-3</v>
      </c>
      <c r="T35" s="206">
        <v>3.5000000000000001E-3</v>
      </c>
      <c r="U35" s="206">
        <v>3.5000000000000001E-3</v>
      </c>
      <c r="V35" s="206">
        <v>3.5000000000000001E-3</v>
      </c>
      <c r="W35" s="206">
        <v>3.5000000000000001E-3</v>
      </c>
      <c r="X35" s="206">
        <v>3.5000000000000001E-3</v>
      </c>
      <c r="Y35" s="206">
        <v>3.5000000000000001E-3</v>
      </c>
      <c r="Z35" s="206">
        <v>3.5000000000000001E-3</v>
      </c>
      <c r="AA35" s="206">
        <v>3.5000000000000001E-3</v>
      </c>
      <c r="AB35" s="206">
        <v>3.5000000000000001E-3</v>
      </c>
      <c r="AC35" s="206">
        <v>3.5000000000000001E-3</v>
      </c>
      <c r="AD35" s="206">
        <v>3.5000000000000001E-3</v>
      </c>
      <c r="AE35" s="206">
        <v>3.5000000000000001E-3</v>
      </c>
      <c r="AF35" s="206">
        <v>3.5000000000000001E-3</v>
      </c>
      <c r="AG35" s="206">
        <v>3.5000000000000001E-3</v>
      </c>
      <c r="AH35" s="206">
        <v>3.5000000000000001E-3</v>
      </c>
      <c r="AI35" s="206">
        <v>3.5000000000000001E-3</v>
      </c>
      <c r="AJ35" s="206">
        <v>3.5000000000000001E-3</v>
      </c>
      <c r="AK35" s="206">
        <v>3.5000000000000001E-3</v>
      </c>
      <c r="AL35" s="206">
        <v>3.5000000000000001E-3</v>
      </c>
      <c r="AM35" s="206">
        <v>3.5000000000000001E-3</v>
      </c>
      <c r="AN35" s="206">
        <v>3.5000000000000001E-3</v>
      </c>
      <c r="AO35" s="206">
        <v>3.5000000000000001E-3</v>
      </c>
      <c r="AP35" s="206">
        <v>3.5000000000000001E-3</v>
      </c>
      <c r="AQ35" s="206">
        <v>3.5000000000000001E-3</v>
      </c>
      <c r="AR35" s="206">
        <v>3.5000000000000001E-3</v>
      </c>
      <c r="AS35" s="206">
        <v>3.3999999999999998E-3</v>
      </c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</row>
    <row r="36" spans="1:118" s="204" customFormat="1" x14ac:dyDescent="0.25">
      <c r="A36" s="204" t="s">
        <v>6</v>
      </c>
      <c r="B36" s="204" t="s">
        <v>48</v>
      </c>
      <c r="C36" s="205" t="s">
        <v>57</v>
      </c>
      <c r="E36" s="204" t="s">
        <v>7</v>
      </c>
      <c r="F36" s="204" t="s">
        <v>50</v>
      </c>
      <c r="G36" s="204" t="s">
        <v>51</v>
      </c>
      <c r="K36" s="206">
        <v>1.9E-3</v>
      </c>
      <c r="L36" s="206">
        <v>1.9E-3</v>
      </c>
      <c r="M36" s="206">
        <v>2E-3</v>
      </c>
      <c r="N36" s="206">
        <v>2E-3</v>
      </c>
      <c r="O36" s="206">
        <v>2E-3</v>
      </c>
      <c r="P36" s="206">
        <v>2.2000000000000001E-3</v>
      </c>
      <c r="Q36" s="206">
        <v>2.2000000000000001E-3</v>
      </c>
      <c r="R36" s="206">
        <v>2.2000000000000001E-3</v>
      </c>
      <c r="S36" s="206">
        <v>2.2000000000000001E-3</v>
      </c>
      <c r="T36" s="206">
        <v>2.2000000000000001E-3</v>
      </c>
      <c r="U36" s="206">
        <v>2.2000000000000001E-3</v>
      </c>
      <c r="V36" s="206">
        <v>2.2000000000000001E-3</v>
      </c>
      <c r="W36" s="206">
        <v>2.2000000000000001E-3</v>
      </c>
      <c r="X36" s="206">
        <v>2.2000000000000001E-3</v>
      </c>
      <c r="Y36" s="206">
        <v>2.2000000000000001E-3</v>
      </c>
      <c r="Z36" s="206">
        <v>2.2000000000000001E-3</v>
      </c>
      <c r="AA36" s="206">
        <v>2.2000000000000001E-3</v>
      </c>
      <c r="AB36" s="206">
        <v>2.2000000000000001E-3</v>
      </c>
      <c r="AC36" s="206">
        <v>2.2000000000000001E-3</v>
      </c>
      <c r="AD36" s="206">
        <v>2.2000000000000001E-3</v>
      </c>
      <c r="AE36" s="206">
        <v>2.2000000000000001E-3</v>
      </c>
      <c r="AF36" s="206">
        <v>2.2000000000000001E-3</v>
      </c>
      <c r="AG36" s="206">
        <v>2.2000000000000001E-3</v>
      </c>
      <c r="AH36" s="206">
        <v>2.0999999999999999E-3</v>
      </c>
      <c r="AI36" s="206">
        <v>2.0999999999999999E-3</v>
      </c>
      <c r="AJ36" s="206">
        <v>2.0999999999999999E-3</v>
      </c>
      <c r="AK36" s="206">
        <v>2.0999999999999999E-3</v>
      </c>
      <c r="AL36" s="206">
        <v>2.0999999999999999E-3</v>
      </c>
      <c r="AM36" s="206">
        <v>2.0999999999999999E-3</v>
      </c>
      <c r="AN36" s="206">
        <v>2.0999999999999999E-3</v>
      </c>
      <c r="AO36" s="206">
        <v>2.0999999999999999E-3</v>
      </c>
      <c r="AP36" s="206">
        <v>2.0999999999999999E-3</v>
      </c>
      <c r="AQ36" s="206">
        <v>2.0999999999999999E-3</v>
      </c>
      <c r="AR36" s="206">
        <v>2.0999999999999999E-3</v>
      </c>
      <c r="AS36" s="206">
        <v>2.0999999999999999E-3</v>
      </c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</row>
    <row r="37" spans="1:118" s="204" customFormat="1" x14ac:dyDescent="0.25">
      <c r="A37" s="204" t="s">
        <v>6</v>
      </c>
      <c r="B37" s="204" t="s">
        <v>48</v>
      </c>
      <c r="C37" s="205" t="s">
        <v>58</v>
      </c>
      <c r="E37" s="204" t="s">
        <v>7</v>
      </c>
      <c r="F37" s="204" t="s">
        <v>50</v>
      </c>
      <c r="G37" s="204" t="s">
        <v>51</v>
      </c>
      <c r="K37" s="206">
        <v>2.5999999999999999E-3</v>
      </c>
      <c r="L37" s="206">
        <v>2.5999999999999999E-3</v>
      </c>
      <c r="M37" s="206">
        <v>3.2000000000000002E-3</v>
      </c>
      <c r="N37" s="206">
        <v>3.2000000000000002E-3</v>
      </c>
      <c r="O37" s="206">
        <v>3.2000000000000002E-3</v>
      </c>
      <c r="P37" s="206">
        <v>2.8999999999999998E-3</v>
      </c>
      <c r="Q37" s="206">
        <v>2.8999999999999998E-3</v>
      </c>
      <c r="R37" s="206">
        <v>2.8999999999999998E-3</v>
      </c>
      <c r="S37" s="206">
        <v>2.8999999999999998E-3</v>
      </c>
      <c r="T37" s="206">
        <v>2.8999999999999998E-3</v>
      </c>
      <c r="U37" s="206">
        <v>2.8999999999999998E-3</v>
      </c>
      <c r="V37" s="206">
        <v>2.8999999999999998E-3</v>
      </c>
      <c r="W37" s="206">
        <v>2.8999999999999998E-3</v>
      </c>
      <c r="X37" s="206">
        <v>2.8999999999999998E-3</v>
      </c>
      <c r="Y37" s="206">
        <v>2.8999999999999998E-3</v>
      </c>
      <c r="Z37" s="206">
        <v>2.8999999999999998E-3</v>
      </c>
      <c r="AA37" s="206">
        <v>2.8999999999999998E-3</v>
      </c>
      <c r="AB37" s="206">
        <v>2.8999999999999998E-3</v>
      </c>
      <c r="AC37" s="206">
        <v>2.8999999999999998E-3</v>
      </c>
      <c r="AD37" s="206">
        <v>2.8999999999999998E-3</v>
      </c>
      <c r="AE37" s="206">
        <v>2.8999999999999998E-3</v>
      </c>
      <c r="AF37" s="206">
        <v>2.8999999999999998E-3</v>
      </c>
      <c r="AG37" s="206">
        <v>2.8999999999999998E-3</v>
      </c>
      <c r="AH37" s="206">
        <v>2.8999999999999998E-3</v>
      </c>
      <c r="AI37" s="206">
        <v>2.8999999999999998E-3</v>
      </c>
      <c r="AJ37" s="206">
        <v>2.8999999999999998E-3</v>
      </c>
      <c r="AK37" s="206">
        <v>2.8999999999999998E-3</v>
      </c>
      <c r="AL37" s="206">
        <v>2.8999999999999998E-3</v>
      </c>
      <c r="AM37" s="206">
        <v>2.8999999999999998E-3</v>
      </c>
      <c r="AN37" s="206">
        <v>2.8999999999999998E-3</v>
      </c>
      <c r="AO37" s="206">
        <v>2.8999999999999998E-3</v>
      </c>
      <c r="AP37" s="206">
        <v>2.8999999999999998E-3</v>
      </c>
      <c r="AQ37" s="206">
        <v>2.8999999999999998E-3</v>
      </c>
      <c r="AR37" s="206">
        <v>2.8999999999999998E-3</v>
      </c>
      <c r="AS37" s="206">
        <v>2.8999999999999998E-3</v>
      </c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</row>
    <row r="38" spans="1:118" s="204" customFormat="1" x14ac:dyDescent="0.25">
      <c r="A38" s="204" t="s">
        <v>6</v>
      </c>
      <c r="B38" s="204" t="s">
        <v>48</v>
      </c>
      <c r="C38" s="205" t="s">
        <v>72</v>
      </c>
      <c r="E38" s="204" t="s">
        <v>7</v>
      </c>
      <c r="F38" s="204" t="s">
        <v>50</v>
      </c>
      <c r="G38" s="204" t="s">
        <v>51</v>
      </c>
      <c r="K38" s="206">
        <v>4.4000000000000003E-3</v>
      </c>
      <c r="L38" s="206">
        <v>4.4000000000000003E-3</v>
      </c>
      <c r="M38" s="206">
        <v>4.0000000000000001E-3</v>
      </c>
      <c r="N38" s="206">
        <v>4.0000000000000001E-3</v>
      </c>
      <c r="O38" s="206">
        <v>4.0000000000000001E-3</v>
      </c>
      <c r="P38" s="206">
        <v>4.1999999999999997E-3</v>
      </c>
      <c r="Q38" s="206">
        <v>4.1999999999999997E-3</v>
      </c>
      <c r="R38" s="206">
        <v>4.1999999999999997E-3</v>
      </c>
      <c r="S38" s="206">
        <v>4.1999999999999997E-3</v>
      </c>
      <c r="T38" s="206">
        <v>4.1999999999999997E-3</v>
      </c>
      <c r="U38" s="206">
        <v>4.1999999999999997E-3</v>
      </c>
      <c r="V38" s="206">
        <v>4.1999999999999997E-3</v>
      </c>
      <c r="W38" s="206">
        <v>4.1999999999999997E-3</v>
      </c>
      <c r="X38" s="206">
        <v>4.1000000000000003E-3</v>
      </c>
      <c r="Y38" s="206">
        <v>4.1000000000000003E-3</v>
      </c>
      <c r="Z38" s="206">
        <v>4.1000000000000003E-3</v>
      </c>
      <c r="AA38" s="206">
        <v>4.1000000000000003E-3</v>
      </c>
      <c r="AB38" s="206">
        <v>4.1000000000000003E-3</v>
      </c>
      <c r="AC38" s="206">
        <v>4.1000000000000003E-3</v>
      </c>
      <c r="AD38" s="206">
        <v>4.1000000000000003E-3</v>
      </c>
      <c r="AE38" s="206">
        <v>4.1000000000000003E-3</v>
      </c>
      <c r="AF38" s="206">
        <v>4.1000000000000003E-3</v>
      </c>
      <c r="AG38" s="206">
        <v>4.1000000000000003E-3</v>
      </c>
      <c r="AH38" s="206">
        <v>4.1000000000000003E-3</v>
      </c>
      <c r="AI38" s="206">
        <v>4.1000000000000003E-3</v>
      </c>
      <c r="AJ38" s="206">
        <v>4.1000000000000003E-3</v>
      </c>
      <c r="AK38" s="206">
        <v>4.1000000000000003E-3</v>
      </c>
      <c r="AL38" s="206">
        <v>4.1000000000000003E-3</v>
      </c>
      <c r="AM38" s="206">
        <v>4.1000000000000003E-3</v>
      </c>
      <c r="AN38" s="206">
        <v>4.1000000000000003E-3</v>
      </c>
      <c r="AO38" s="206">
        <v>4.1000000000000003E-3</v>
      </c>
      <c r="AP38" s="206">
        <v>4.1000000000000003E-3</v>
      </c>
      <c r="AQ38" s="206">
        <v>4.1000000000000003E-3</v>
      </c>
      <c r="AR38" s="206">
        <v>4.1000000000000003E-3</v>
      </c>
      <c r="AS38" s="206">
        <v>4.1000000000000003E-3</v>
      </c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  <c r="DN38" s="42"/>
    </row>
    <row r="39" spans="1:118" s="204" customFormat="1" x14ac:dyDescent="0.25">
      <c r="A39" s="204" t="s">
        <v>6</v>
      </c>
      <c r="B39" s="204" t="s">
        <v>48</v>
      </c>
      <c r="C39" s="205" t="s">
        <v>73</v>
      </c>
      <c r="E39" s="204" t="s">
        <v>7</v>
      </c>
      <c r="F39" s="204" t="s">
        <v>50</v>
      </c>
      <c r="G39" s="204" t="s">
        <v>51</v>
      </c>
      <c r="K39" s="206">
        <v>1.03E-2</v>
      </c>
      <c r="L39" s="206">
        <v>1.03E-2</v>
      </c>
      <c r="M39" s="206">
        <v>1.0999999999999999E-2</v>
      </c>
      <c r="N39" s="206">
        <v>1.0999999999999999E-2</v>
      </c>
      <c r="O39" s="206">
        <v>1.0999999999999999E-2</v>
      </c>
      <c r="P39" s="206">
        <v>1.0200000000000001E-2</v>
      </c>
      <c r="Q39" s="206">
        <v>1.0200000000000001E-2</v>
      </c>
      <c r="R39" s="206">
        <v>1.0200000000000001E-2</v>
      </c>
      <c r="S39" s="206">
        <v>1.0200000000000001E-2</v>
      </c>
      <c r="T39" s="206">
        <v>1.0200000000000001E-2</v>
      </c>
      <c r="U39" s="206">
        <v>1.01E-2</v>
      </c>
      <c r="V39" s="206">
        <v>1.01E-2</v>
      </c>
      <c r="W39" s="206">
        <v>1.01E-2</v>
      </c>
      <c r="X39" s="206">
        <v>1.01E-2</v>
      </c>
      <c r="Y39" s="206">
        <v>1.01E-2</v>
      </c>
      <c r="Z39" s="206">
        <v>1.01E-2</v>
      </c>
      <c r="AA39" s="206">
        <v>1.01E-2</v>
      </c>
      <c r="AB39" s="206">
        <v>1.01E-2</v>
      </c>
      <c r="AC39" s="206">
        <v>1.01E-2</v>
      </c>
      <c r="AD39" s="206">
        <v>1.01E-2</v>
      </c>
      <c r="AE39" s="206">
        <v>1.01E-2</v>
      </c>
      <c r="AF39" s="206">
        <v>1.01E-2</v>
      </c>
      <c r="AG39" s="206">
        <v>1.01E-2</v>
      </c>
      <c r="AH39" s="206">
        <v>0.01</v>
      </c>
      <c r="AI39" s="206">
        <v>0.01</v>
      </c>
      <c r="AJ39" s="206">
        <v>0.01</v>
      </c>
      <c r="AK39" s="206">
        <v>0.01</v>
      </c>
      <c r="AL39" s="206">
        <v>0.01</v>
      </c>
      <c r="AM39" s="206">
        <v>0.01</v>
      </c>
      <c r="AN39" s="206">
        <v>0.01</v>
      </c>
      <c r="AO39" s="206">
        <v>0.01</v>
      </c>
      <c r="AP39" s="206">
        <v>0.01</v>
      </c>
      <c r="AQ39" s="206">
        <v>0.01</v>
      </c>
      <c r="AR39" s="206">
        <v>0.01</v>
      </c>
      <c r="AS39" s="206">
        <v>0.01</v>
      </c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</row>
    <row r="40" spans="1:118" s="204" customFormat="1" x14ac:dyDescent="0.25">
      <c r="A40" s="204" t="s">
        <v>6</v>
      </c>
      <c r="B40" s="204" t="s">
        <v>48</v>
      </c>
      <c r="C40" s="205" t="s">
        <v>74</v>
      </c>
      <c r="E40" s="204" t="s">
        <v>7</v>
      </c>
      <c r="F40" s="204" t="s">
        <v>50</v>
      </c>
      <c r="G40" s="204" t="s">
        <v>51</v>
      </c>
      <c r="K40" s="206">
        <v>6.9999999999999999E-4</v>
      </c>
      <c r="L40" s="206">
        <v>6.9999999999999999E-4</v>
      </c>
      <c r="M40" s="206">
        <v>5.9999999999999995E-4</v>
      </c>
      <c r="N40" s="206">
        <v>5.9999999999999995E-4</v>
      </c>
      <c r="O40" s="206">
        <v>5.9999999999999995E-4</v>
      </c>
      <c r="P40" s="206">
        <v>8.0000000000000004E-4</v>
      </c>
      <c r="Q40" s="206">
        <v>8.0000000000000004E-4</v>
      </c>
      <c r="R40" s="206">
        <v>8.0000000000000004E-4</v>
      </c>
      <c r="S40" s="206">
        <v>8.0000000000000004E-4</v>
      </c>
      <c r="T40" s="206">
        <v>8.0000000000000004E-4</v>
      </c>
      <c r="U40" s="206">
        <v>8.0000000000000004E-4</v>
      </c>
      <c r="V40" s="206">
        <v>8.0000000000000004E-4</v>
      </c>
      <c r="W40" s="206">
        <v>8.0000000000000004E-4</v>
      </c>
      <c r="X40" s="206">
        <v>8.0000000000000004E-4</v>
      </c>
      <c r="Y40" s="206">
        <v>8.0000000000000004E-4</v>
      </c>
      <c r="Z40" s="206">
        <v>8.0000000000000004E-4</v>
      </c>
      <c r="AA40" s="206">
        <v>8.0000000000000004E-4</v>
      </c>
      <c r="AB40" s="206">
        <v>8.0000000000000004E-4</v>
      </c>
      <c r="AC40" s="206">
        <v>8.0000000000000004E-4</v>
      </c>
      <c r="AD40" s="206">
        <v>8.0000000000000004E-4</v>
      </c>
      <c r="AE40" s="206">
        <v>8.0000000000000004E-4</v>
      </c>
      <c r="AF40" s="206">
        <v>8.0000000000000004E-4</v>
      </c>
      <c r="AG40" s="206">
        <v>8.0000000000000004E-4</v>
      </c>
      <c r="AH40" s="206">
        <v>8.0000000000000004E-4</v>
      </c>
      <c r="AI40" s="206">
        <v>8.0000000000000004E-4</v>
      </c>
      <c r="AJ40" s="206">
        <v>8.0000000000000004E-4</v>
      </c>
      <c r="AK40" s="206">
        <v>8.0000000000000004E-4</v>
      </c>
      <c r="AL40" s="206">
        <v>8.0000000000000004E-4</v>
      </c>
      <c r="AM40" s="206">
        <v>8.0000000000000004E-4</v>
      </c>
      <c r="AN40" s="206">
        <v>8.0000000000000004E-4</v>
      </c>
      <c r="AO40" s="206">
        <v>8.0000000000000004E-4</v>
      </c>
      <c r="AP40" s="206">
        <v>8.0000000000000004E-4</v>
      </c>
      <c r="AQ40" s="206">
        <v>8.0000000000000004E-4</v>
      </c>
      <c r="AR40" s="206">
        <v>8.0000000000000004E-4</v>
      </c>
      <c r="AS40" s="206">
        <v>8.0000000000000004E-4</v>
      </c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</row>
    <row r="41" spans="1:118" s="207" customFormat="1" x14ac:dyDescent="0.25">
      <c r="A41" s="207" t="s">
        <v>6</v>
      </c>
      <c r="B41" s="207" t="s">
        <v>49</v>
      </c>
      <c r="C41" s="208" t="s">
        <v>67</v>
      </c>
      <c r="E41" s="207" t="s">
        <v>7</v>
      </c>
      <c r="F41" s="207" t="s">
        <v>50</v>
      </c>
      <c r="G41" s="207" t="s">
        <v>51</v>
      </c>
      <c r="K41" s="209">
        <f>+K28*1.1</f>
        <v>2.2000000000000001E-3</v>
      </c>
      <c r="L41" s="209">
        <f t="shared" ref="L41:AS48" si="3">+L28*1.1</f>
        <v>2.2000000000000001E-3</v>
      </c>
      <c r="M41" s="209">
        <f t="shared" si="3"/>
        <v>2.2000000000000001E-3</v>
      </c>
      <c r="N41" s="209">
        <f t="shared" si="3"/>
        <v>2.2000000000000001E-3</v>
      </c>
      <c r="O41" s="209">
        <f t="shared" si="3"/>
        <v>2.2000000000000001E-3</v>
      </c>
      <c r="P41" s="209">
        <f t="shared" si="3"/>
        <v>2.5300000000000001E-3</v>
      </c>
      <c r="Q41" s="209">
        <f t="shared" si="3"/>
        <v>2.5300000000000001E-3</v>
      </c>
      <c r="R41" s="209">
        <f t="shared" si="3"/>
        <v>2.5300000000000001E-3</v>
      </c>
      <c r="S41" s="209">
        <f t="shared" si="3"/>
        <v>2.5300000000000001E-3</v>
      </c>
      <c r="T41" s="209">
        <f t="shared" si="3"/>
        <v>2.5300000000000001E-3</v>
      </c>
      <c r="U41" s="209">
        <f t="shared" si="3"/>
        <v>2.5300000000000001E-3</v>
      </c>
      <c r="V41" s="209">
        <f t="shared" si="3"/>
        <v>2.5300000000000001E-3</v>
      </c>
      <c r="W41" s="209">
        <f t="shared" si="3"/>
        <v>2.5300000000000001E-3</v>
      </c>
      <c r="X41" s="209">
        <f t="shared" si="3"/>
        <v>2.5300000000000001E-3</v>
      </c>
      <c r="Y41" s="209">
        <f t="shared" si="3"/>
        <v>2.5300000000000001E-3</v>
      </c>
      <c r="Z41" s="209">
        <f t="shared" si="3"/>
        <v>2.5300000000000001E-3</v>
      </c>
      <c r="AA41" s="209">
        <f t="shared" si="3"/>
        <v>2.5300000000000001E-3</v>
      </c>
      <c r="AB41" s="209">
        <f t="shared" si="3"/>
        <v>2.5300000000000001E-3</v>
      </c>
      <c r="AC41" s="209">
        <f t="shared" si="3"/>
        <v>2.5300000000000001E-3</v>
      </c>
      <c r="AD41" s="209">
        <f t="shared" si="3"/>
        <v>2.5300000000000001E-3</v>
      </c>
      <c r="AE41" s="209">
        <f t="shared" si="3"/>
        <v>2.5300000000000001E-3</v>
      </c>
      <c r="AF41" s="209">
        <f t="shared" si="3"/>
        <v>2.5300000000000001E-3</v>
      </c>
      <c r="AG41" s="209">
        <f t="shared" si="3"/>
        <v>2.5300000000000001E-3</v>
      </c>
      <c r="AH41" s="209">
        <f t="shared" si="3"/>
        <v>2.5300000000000001E-3</v>
      </c>
      <c r="AI41" s="209">
        <f t="shared" si="3"/>
        <v>2.5300000000000001E-3</v>
      </c>
      <c r="AJ41" s="209">
        <f t="shared" si="3"/>
        <v>2.5300000000000001E-3</v>
      </c>
      <c r="AK41" s="209">
        <f t="shared" si="3"/>
        <v>2.5300000000000001E-3</v>
      </c>
      <c r="AL41" s="209">
        <f t="shared" si="3"/>
        <v>2.5300000000000001E-3</v>
      </c>
      <c r="AM41" s="209">
        <f t="shared" si="3"/>
        <v>2.5300000000000001E-3</v>
      </c>
      <c r="AN41" s="209">
        <f t="shared" si="3"/>
        <v>2.5300000000000001E-3</v>
      </c>
      <c r="AO41" s="209">
        <f t="shared" si="3"/>
        <v>2.5300000000000001E-3</v>
      </c>
      <c r="AP41" s="209">
        <f t="shared" si="3"/>
        <v>2.5300000000000001E-3</v>
      </c>
      <c r="AQ41" s="209">
        <f t="shared" si="3"/>
        <v>2.5300000000000001E-3</v>
      </c>
      <c r="AR41" s="209">
        <f t="shared" si="3"/>
        <v>2.5300000000000001E-3</v>
      </c>
      <c r="AS41" s="209">
        <f t="shared" si="3"/>
        <v>2.4200000000000003E-3</v>
      </c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</row>
    <row r="42" spans="1:118" s="207" customFormat="1" x14ac:dyDescent="0.25">
      <c r="A42" s="207" t="s">
        <v>6</v>
      </c>
      <c r="B42" s="207" t="s">
        <v>49</v>
      </c>
      <c r="C42" s="208" t="s">
        <v>54</v>
      </c>
      <c r="E42" s="207" t="s">
        <v>7</v>
      </c>
      <c r="F42" s="207" t="s">
        <v>50</v>
      </c>
      <c r="G42" s="207" t="s">
        <v>51</v>
      </c>
      <c r="K42" s="209">
        <f t="shared" ref="K42:Z53" si="4">+K29*1.1</f>
        <v>2.2000000000000001E-3</v>
      </c>
      <c r="L42" s="209">
        <f t="shared" si="4"/>
        <v>2.2000000000000001E-3</v>
      </c>
      <c r="M42" s="209">
        <f t="shared" si="4"/>
        <v>2.2000000000000001E-3</v>
      </c>
      <c r="N42" s="209">
        <f t="shared" si="4"/>
        <v>2.2000000000000001E-3</v>
      </c>
      <c r="O42" s="209">
        <f t="shared" si="4"/>
        <v>2.2000000000000001E-3</v>
      </c>
      <c r="P42" s="209">
        <f t="shared" si="4"/>
        <v>2.5300000000000001E-3</v>
      </c>
      <c r="Q42" s="209">
        <f t="shared" si="4"/>
        <v>2.5300000000000001E-3</v>
      </c>
      <c r="R42" s="209">
        <f t="shared" si="4"/>
        <v>2.5300000000000001E-3</v>
      </c>
      <c r="S42" s="209">
        <f t="shared" si="4"/>
        <v>2.5300000000000001E-3</v>
      </c>
      <c r="T42" s="209">
        <f t="shared" si="4"/>
        <v>2.5300000000000001E-3</v>
      </c>
      <c r="U42" s="209">
        <f t="shared" si="4"/>
        <v>2.5300000000000001E-3</v>
      </c>
      <c r="V42" s="209">
        <f t="shared" si="4"/>
        <v>2.5300000000000001E-3</v>
      </c>
      <c r="W42" s="209">
        <f t="shared" si="4"/>
        <v>2.5300000000000001E-3</v>
      </c>
      <c r="X42" s="209">
        <f t="shared" si="4"/>
        <v>2.5300000000000001E-3</v>
      </c>
      <c r="Y42" s="209">
        <f t="shared" si="4"/>
        <v>2.5300000000000001E-3</v>
      </c>
      <c r="Z42" s="209">
        <f t="shared" si="4"/>
        <v>2.5300000000000001E-3</v>
      </c>
      <c r="AA42" s="209">
        <f t="shared" si="3"/>
        <v>2.5300000000000001E-3</v>
      </c>
      <c r="AB42" s="209">
        <f t="shared" si="3"/>
        <v>2.5300000000000001E-3</v>
      </c>
      <c r="AC42" s="209">
        <f t="shared" si="3"/>
        <v>2.5300000000000001E-3</v>
      </c>
      <c r="AD42" s="209">
        <f t="shared" si="3"/>
        <v>2.5300000000000001E-3</v>
      </c>
      <c r="AE42" s="209">
        <f t="shared" si="3"/>
        <v>2.5300000000000001E-3</v>
      </c>
      <c r="AF42" s="209">
        <f t="shared" si="3"/>
        <v>2.5300000000000001E-3</v>
      </c>
      <c r="AG42" s="209">
        <f t="shared" si="3"/>
        <v>2.5300000000000001E-3</v>
      </c>
      <c r="AH42" s="209">
        <f t="shared" si="3"/>
        <v>2.5300000000000001E-3</v>
      </c>
      <c r="AI42" s="209">
        <f t="shared" si="3"/>
        <v>2.5300000000000001E-3</v>
      </c>
      <c r="AJ42" s="209">
        <f t="shared" si="3"/>
        <v>2.5300000000000001E-3</v>
      </c>
      <c r="AK42" s="209">
        <f t="shared" si="3"/>
        <v>2.5300000000000001E-3</v>
      </c>
      <c r="AL42" s="209">
        <f t="shared" si="3"/>
        <v>2.5300000000000001E-3</v>
      </c>
      <c r="AM42" s="209">
        <f t="shared" si="3"/>
        <v>2.5300000000000001E-3</v>
      </c>
      <c r="AN42" s="209">
        <f t="shared" si="3"/>
        <v>2.5300000000000001E-3</v>
      </c>
      <c r="AO42" s="209">
        <f t="shared" si="3"/>
        <v>2.5300000000000001E-3</v>
      </c>
      <c r="AP42" s="209">
        <f t="shared" si="3"/>
        <v>2.5300000000000001E-3</v>
      </c>
      <c r="AQ42" s="209">
        <f t="shared" si="3"/>
        <v>2.5300000000000001E-3</v>
      </c>
      <c r="AR42" s="209">
        <f t="shared" si="3"/>
        <v>2.5300000000000001E-3</v>
      </c>
      <c r="AS42" s="209">
        <f t="shared" si="3"/>
        <v>2.4200000000000003E-3</v>
      </c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</row>
    <row r="43" spans="1:118" s="207" customFormat="1" x14ac:dyDescent="0.25">
      <c r="A43" s="207" t="s">
        <v>6</v>
      </c>
      <c r="B43" s="207" t="s">
        <v>49</v>
      </c>
      <c r="C43" s="208" t="s">
        <v>55</v>
      </c>
      <c r="E43" s="207" t="s">
        <v>7</v>
      </c>
      <c r="F43" s="207" t="s">
        <v>50</v>
      </c>
      <c r="G43" s="207" t="s">
        <v>51</v>
      </c>
      <c r="K43" s="209">
        <f t="shared" si="4"/>
        <v>2.2000000000000001E-3</v>
      </c>
      <c r="L43" s="209">
        <f t="shared" si="3"/>
        <v>2.2000000000000001E-3</v>
      </c>
      <c r="M43" s="209">
        <f t="shared" si="3"/>
        <v>2.2000000000000001E-3</v>
      </c>
      <c r="N43" s="209">
        <f t="shared" si="3"/>
        <v>2.2000000000000001E-3</v>
      </c>
      <c r="O43" s="209">
        <f t="shared" si="3"/>
        <v>2.2000000000000001E-3</v>
      </c>
      <c r="P43" s="209">
        <f t="shared" si="3"/>
        <v>2.5300000000000001E-3</v>
      </c>
      <c r="Q43" s="209">
        <f t="shared" si="3"/>
        <v>2.5300000000000001E-3</v>
      </c>
      <c r="R43" s="209">
        <f t="shared" si="3"/>
        <v>2.5300000000000001E-3</v>
      </c>
      <c r="S43" s="209">
        <f t="shared" si="3"/>
        <v>2.5300000000000001E-3</v>
      </c>
      <c r="T43" s="209">
        <f t="shared" si="3"/>
        <v>2.5300000000000001E-3</v>
      </c>
      <c r="U43" s="209">
        <f t="shared" si="3"/>
        <v>2.5300000000000001E-3</v>
      </c>
      <c r="V43" s="209">
        <f t="shared" si="3"/>
        <v>2.5300000000000001E-3</v>
      </c>
      <c r="W43" s="209">
        <f t="shared" si="3"/>
        <v>2.5300000000000001E-3</v>
      </c>
      <c r="X43" s="209">
        <f t="shared" si="3"/>
        <v>2.5300000000000001E-3</v>
      </c>
      <c r="Y43" s="209">
        <f t="shared" si="3"/>
        <v>2.5300000000000001E-3</v>
      </c>
      <c r="Z43" s="209">
        <f t="shared" si="3"/>
        <v>2.5300000000000001E-3</v>
      </c>
      <c r="AA43" s="209">
        <f t="shared" si="3"/>
        <v>2.5300000000000001E-3</v>
      </c>
      <c r="AB43" s="209">
        <f t="shared" si="3"/>
        <v>2.5300000000000001E-3</v>
      </c>
      <c r="AC43" s="209">
        <f t="shared" si="3"/>
        <v>2.5300000000000001E-3</v>
      </c>
      <c r="AD43" s="209">
        <f t="shared" si="3"/>
        <v>2.5300000000000001E-3</v>
      </c>
      <c r="AE43" s="209">
        <f t="shared" si="3"/>
        <v>2.5300000000000001E-3</v>
      </c>
      <c r="AF43" s="209">
        <f t="shared" si="3"/>
        <v>2.5300000000000001E-3</v>
      </c>
      <c r="AG43" s="209">
        <f t="shared" si="3"/>
        <v>2.5300000000000001E-3</v>
      </c>
      <c r="AH43" s="209">
        <f t="shared" si="3"/>
        <v>2.5300000000000001E-3</v>
      </c>
      <c r="AI43" s="209">
        <f t="shared" si="3"/>
        <v>2.5300000000000001E-3</v>
      </c>
      <c r="AJ43" s="209">
        <f t="shared" si="3"/>
        <v>2.5300000000000001E-3</v>
      </c>
      <c r="AK43" s="209">
        <f t="shared" si="3"/>
        <v>2.5300000000000001E-3</v>
      </c>
      <c r="AL43" s="209">
        <f t="shared" si="3"/>
        <v>2.5300000000000001E-3</v>
      </c>
      <c r="AM43" s="209">
        <f t="shared" si="3"/>
        <v>2.5300000000000001E-3</v>
      </c>
      <c r="AN43" s="209">
        <f t="shared" si="3"/>
        <v>2.5300000000000001E-3</v>
      </c>
      <c r="AO43" s="209">
        <f t="shared" si="3"/>
        <v>2.5300000000000001E-3</v>
      </c>
      <c r="AP43" s="209">
        <f t="shared" si="3"/>
        <v>2.5300000000000001E-3</v>
      </c>
      <c r="AQ43" s="209">
        <f t="shared" si="3"/>
        <v>2.5300000000000001E-3</v>
      </c>
      <c r="AR43" s="209">
        <f t="shared" si="3"/>
        <v>2.5300000000000001E-3</v>
      </c>
      <c r="AS43" s="209">
        <f t="shared" si="3"/>
        <v>2.4200000000000003E-3</v>
      </c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  <c r="CX43" s="42"/>
      <c r="CY43" s="42"/>
      <c r="CZ43" s="42"/>
      <c r="DA43" s="42"/>
      <c r="DB43" s="42"/>
      <c r="DC43" s="42"/>
      <c r="DD43" s="42"/>
      <c r="DE43" s="42"/>
      <c r="DF43" s="42"/>
      <c r="DG43" s="42"/>
      <c r="DH43" s="42"/>
      <c r="DI43" s="42"/>
      <c r="DJ43" s="42"/>
      <c r="DK43" s="42"/>
      <c r="DL43" s="42"/>
      <c r="DM43" s="42"/>
      <c r="DN43" s="42"/>
    </row>
    <row r="44" spans="1:118" s="207" customFormat="1" x14ac:dyDescent="0.25">
      <c r="A44" s="207" t="s">
        <v>6</v>
      </c>
      <c r="B44" s="207" t="s">
        <v>49</v>
      </c>
      <c r="C44" s="208" t="s">
        <v>68</v>
      </c>
      <c r="E44" s="207" t="s">
        <v>7</v>
      </c>
      <c r="F44" s="207" t="s">
        <v>50</v>
      </c>
      <c r="G44" s="207" t="s">
        <v>51</v>
      </c>
      <c r="K44" s="209">
        <f t="shared" si="4"/>
        <v>2.2000000000000001E-3</v>
      </c>
      <c r="L44" s="209">
        <f t="shared" si="3"/>
        <v>2.2000000000000001E-3</v>
      </c>
      <c r="M44" s="209">
        <f t="shared" si="3"/>
        <v>2.2000000000000001E-3</v>
      </c>
      <c r="N44" s="209">
        <f t="shared" si="3"/>
        <v>2.2000000000000001E-3</v>
      </c>
      <c r="O44" s="209">
        <f t="shared" si="3"/>
        <v>2.2000000000000001E-3</v>
      </c>
      <c r="P44" s="209">
        <f t="shared" si="3"/>
        <v>2.5300000000000001E-3</v>
      </c>
      <c r="Q44" s="209">
        <f t="shared" si="3"/>
        <v>2.5300000000000001E-3</v>
      </c>
      <c r="R44" s="209">
        <f t="shared" si="3"/>
        <v>2.5300000000000001E-3</v>
      </c>
      <c r="S44" s="209">
        <f t="shared" si="3"/>
        <v>2.5300000000000001E-3</v>
      </c>
      <c r="T44" s="209">
        <f t="shared" si="3"/>
        <v>2.5300000000000001E-3</v>
      </c>
      <c r="U44" s="209">
        <f t="shared" si="3"/>
        <v>2.5300000000000001E-3</v>
      </c>
      <c r="V44" s="209">
        <f t="shared" si="3"/>
        <v>2.5300000000000001E-3</v>
      </c>
      <c r="W44" s="209">
        <f t="shared" si="3"/>
        <v>2.5300000000000001E-3</v>
      </c>
      <c r="X44" s="209">
        <f t="shared" si="3"/>
        <v>2.5300000000000001E-3</v>
      </c>
      <c r="Y44" s="209">
        <f t="shared" si="3"/>
        <v>2.5300000000000001E-3</v>
      </c>
      <c r="Z44" s="209">
        <f t="shared" si="3"/>
        <v>2.5300000000000001E-3</v>
      </c>
      <c r="AA44" s="209">
        <f t="shared" si="3"/>
        <v>2.5300000000000001E-3</v>
      </c>
      <c r="AB44" s="209">
        <f t="shared" si="3"/>
        <v>2.5300000000000001E-3</v>
      </c>
      <c r="AC44" s="209">
        <f t="shared" si="3"/>
        <v>2.5300000000000001E-3</v>
      </c>
      <c r="AD44" s="209">
        <f t="shared" si="3"/>
        <v>2.5300000000000001E-3</v>
      </c>
      <c r="AE44" s="209">
        <f t="shared" si="3"/>
        <v>2.5300000000000001E-3</v>
      </c>
      <c r="AF44" s="209">
        <f t="shared" si="3"/>
        <v>2.5300000000000001E-3</v>
      </c>
      <c r="AG44" s="209">
        <f t="shared" si="3"/>
        <v>2.5300000000000001E-3</v>
      </c>
      <c r="AH44" s="209">
        <f t="shared" si="3"/>
        <v>2.5300000000000001E-3</v>
      </c>
      <c r="AI44" s="209">
        <f t="shared" si="3"/>
        <v>2.5300000000000001E-3</v>
      </c>
      <c r="AJ44" s="209">
        <f t="shared" si="3"/>
        <v>2.5300000000000001E-3</v>
      </c>
      <c r="AK44" s="209">
        <f t="shared" si="3"/>
        <v>2.5300000000000001E-3</v>
      </c>
      <c r="AL44" s="209">
        <f t="shared" si="3"/>
        <v>2.5300000000000001E-3</v>
      </c>
      <c r="AM44" s="209">
        <f t="shared" si="3"/>
        <v>2.5300000000000001E-3</v>
      </c>
      <c r="AN44" s="209">
        <f t="shared" si="3"/>
        <v>2.5300000000000001E-3</v>
      </c>
      <c r="AO44" s="209">
        <f t="shared" si="3"/>
        <v>2.5300000000000001E-3</v>
      </c>
      <c r="AP44" s="209">
        <f t="shared" si="3"/>
        <v>2.5300000000000001E-3</v>
      </c>
      <c r="AQ44" s="209">
        <f t="shared" si="3"/>
        <v>2.5300000000000001E-3</v>
      </c>
      <c r="AR44" s="209">
        <f t="shared" si="3"/>
        <v>2.5300000000000001E-3</v>
      </c>
      <c r="AS44" s="209">
        <f t="shared" si="3"/>
        <v>2.4200000000000003E-3</v>
      </c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s="42"/>
      <c r="CW44" s="42"/>
      <c r="CX44" s="42"/>
      <c r="CY44" s="42"/>
      <c r="CZ44" s="42"/>
      <c r="DA44" s="42"/>
      <c r="DB44" s="42"/>
      <c r="DC44" s="42"/>
      <c r="DD44" s="42"/>
      <c r="DE44" s="42"/>
      <c r="DF44" s="42"/>
      <c r="DG44" s="42"/>
      <c r="DH44" s="42"/>
      <c r="DI44" s="42"/>
      <c r="DJ44" s="42"/>
      <c r="DK44" s="42"/>
      <c r="DL44" s="42"/>
      <c r="DM44" s="42"/>
      <c r="DN44" s="42"/>
    </row>
    <row r="45" spans="1:118" s="207" customFormat="1" x14ac:dyDescent="0.25">
      <c r="A45" s="207" t="s">
        <v>6</v>
      </c>
      <c r="B45" s="207" t="s">
        <v>49</v>
      </c>
      <c r="C45" s="208" t="s">
        <v>69</v>
      </c>
      <c r="E45" s="207" t="s">
        <v>7</v>
      </c>
      <c r="F45" s="207" t="s">
        <v>50</v>
      </c>
      <c r="G45" s="207" t="s">
        <v>51</v>
      </c>
      <c r="K45" s="209">
        <f t="shared" si="4"/>
        <v>4.1800000000000006E-3</v>
      </c>
      <c r="L45" s="209">
        <f t="shared" si="3"/>
        <v>4.1800000000000006E-3</v>
      </c>
      <c r="M45" s="209">
        <f t="shared" si="3"/>
        <v>3.7400000000000003E-3</v>
      </c>
      <c r="N45" s="209">
        <f t="shared" si="3"/>
        <v>3.7400000000000003E-3</v>
      </c>
      <c r="O45" s="209">
        <f t="shared" si="3"/>
        <v>3.7400000000000003E-3</v>
      </c>
      <c r="P45" s="209">
        <f t="shared" si="3"/>
        <v>5.3900000000000007E-3</v>
      </c>
      <c r="Q45" s="209">
        <f t="shared" si="3"/>
        <v>5.3900000000000007E-3</v>
      </c>
      <c r="R45" s="209">
        <f t="shared" si="3"/>
        <v>5.3900000000000007E-3</v>
      </c>
      <c r="S45" s="209">
        <f t="shared" si="3"/>
        <v>5.3900000000000007E-3</v>
      </c>
      <c r="T45" s="209">
        <f t="shared" si="3"/>
        <v>5.3900000000000007E-3</v>
      </c>
      <c r="U45" s="209">
        <f t="shared" si="3"/>
        <v>5.3900000000000007E-3</v>
      </c>
      <c r="V45" s="209">
        <f t="shared" si="3"/>
        <v>5.3900000000000007E-3</v>
      </c>
      <c r="W45" s="209">
        <f t="shared" si="3"/>
        <v>5.3900000000000007E-3</v>
      </c>
      <c r="X45" s="209">
        <f t="shared" si="3"/>
        <v>5.3900000000000007E-3</v>
      </c>
      <c r="Y45" s="209">
        <f t="shared" si="3"/>
        <v>5.3900000000000007E-3</v>
      </c>
      <c r="Z45" s="209">
        <f t="shared" si="3"/>
        <v>5.3900000000000007E-3</v>
      </c>
      <c r="AA45" s="209">
        <f t="shared" si="3"/>
        <v>5.3900000000000007E-3</v>
      </c>
      <c r="AB45" s="209">
        <f t="shared" si="3"/>
        <v>5.3900000000000007E-3</v>
      </c>
      <c r="AC45" s="209">
        <f t="shared" si="3"/>
        <v>5.3900000000000007E-3</v>
      </c>
      <c r="AD45" s="209">
        <f t="shared" si="3"/>
        <v>5.3900000000000007E-3</v>
      </c>
      <c r="AE45" s="209">
        <f t="shared" si="3"/>
        <v>5.3900000000000007E-3</v>
      </c>
      <c r="AF45" s="209">
        <f t="shared" si="3"/>
        <v>5.28E-3</v>
      </c>
      <c r="AG45" s="209">
        <f t="shared" si="3"/>
        <v>5.28E-3</v>
      </c>
      <c r="AH45" s="209">
        <f t="shared" si="3"/>
        <v>5.28E-3</v>
      </c>
      <c r="AI45" s="209">
        <f t="shared" si="3"/>
        <v>5.28E-3</v>
      </c>
      <c r="AJ45" s="209">
        <f t="shared" si="3"/>
        <v>5.28E-3</v>
      </c>
      <c r="AK45" s="209">
        <f t="shared" si="3"/>
        <v>5.28E-3</v>
      </c>
      <c r="AL45" s="209">
        <f t="shared" si="3"/>
        <v>5.28E-3</v>
      </c>
      <c r="AM45" s="209">
        <f t="shared" si="3"/>
        <v>5.28E-3</v>
      </c>
      <c r="AN45" s="209">
        <f t="shared" si="3"/>
        <v>5.28E-3</v>
      </c>
      <c r="AO45" s="209">
        <f t="shared" si="3"/>
        <v>5.28E-3</v>
      </c>
      <c r="AP45" s="209">
        <f t="shared" si="3"/>
        <v>5.28E-3</v>
      </c>
      <c r="AQ45" s="209">
        <f t="shared" si="3"/>
        <v>5.28E-3</v>
      </c>
      <c r="AR45" s="209">
        <f t="shared" si="3"/>
        <v>5.28E-3</v>
      </c>
      <c r="AS45" s="209">
        <f t="shared" si="3"/>
        <v>5.28E-3</v>
      </c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</row>
    <row r="46" spans="1:118" s="207" customFormat="1" x14ac:dyDescent="0.25">
      <c r="A46" s="207" t="s">
        <v>6</v>
      </c>
      <c r="B46" s="207" t="s">
        <v>49</v>
      </c>
      <c r="C46" s="208" t="s">
        <v>70</v>
      </c>
      <c r="E46" s="207" t="s">
        <v>7</v>
      </c>
      <c r="F46" s="207" t="s">
        <v>50</v>
      </c>
      <c r="G46" s="207" t="s">
        <v>51</v>
      </c>
      <c r="K46" s="209">
        <f t="shared" si="4"/>
        <v>1.771E-2</v>
      </c>
      <c r="L46" s="209">
        <f t="shared" si="3"/>
        <v>1.771E-2</v>
      </c>
      <c r="M46" s="209">
        <f t="shared" si="3"/>
        <v>1.848E-2</v>
      </c>
      <c r="N46" s="209">
        <f t="shared" si="3"/>
        <v>1.848E-2</v>
      </c>
      <c r="O46" s="209">
        <f t="shared" si="3"/>
        <v>1.848E-2</v>
      </c>
      <c r="P46" s="209">
        <f t="shared" si="3"/>
        <v>1.8700000000000001E-2</v>
      </c>
      <c r="Q46" s="209">
        <f t="shared" si="3"/>
        <v>1.8589999999999999E-2</v>
      </c>
      <c r="R46" s="209">
        <f t="shared" si="3"/>
        <v>1.8589999999999999E-2</v>
      </c>
      <c r="S46" s="209">
        <f t="shared" si="3"/>
        <v>1.8589999999999999E-2</v>
      </c>
      <c r="T46" s="209">
        <f t="shared" si="3"/>
        <v>1.8589999999999999E-2</v>
      </c>
      <c r="U46" s="209">
        <f t="shared" si="3"/>
        <v>1.8589999999999999E-2</v>
      </c>
      <c r="V46" s="209">
        <f t="shared" si="3"/>
        <v>1.8589999999999999E-2</v>
      </c>
      <c r="W46" s="209">
        <f t="shared" si="3"/>
        <v>1.8589999999999999E-2</v>
      </c>
      <c r="X46" s="209">
        <f t="shared" si="3"/>
        <v>1.8589999999999999E-2</v>
      </c>
      <c r="Y46" s="209">
        <f t="shared" si="3"/>
        <v>1.848E-2</v>
      </c>
      <c r="Z46" s="209">
        <f t="shared" si="3"/>
        <v>1.848E-2</v>
      </c>
      <c r="AA46" s="209">
        <f t="shared" si="3"/>
        <v>1.848E-2</v>
      </c>
      <c r="AB46" s="209">
        <f t="shared" si="3"/>
        <v>1.848E-2</v>
      </c>
      <c r="AC46" s="209">
        <f t="shared" si="3"/>
        <v>1.848E-2</v>
      </c>
      <c r="AD46" s="209">
        <f t="shared" si="3"/>
        <v>1.848E-2</v>
      </c>
      <c r="AE46" s="209">
        <f t="shared" si="3"/>
        <v>1.848E-2</v>
      </c>
      <c r="AF46" s="209">
        <f t="shared" si="3"/>
        <v>1.848E-2</v>
      </c>
      <c r="AG46" s="209">
        <f t="shared" si="3"/>
        <v>1.8370000000000001E-2</v>
      </c>
      <c r="AH46" s="209">
        <f t="shared" si="3"/>
        <v>1.8370000000000001E-2</v>
      </c>
      <c r="AI46" s="209">
        <f t="shared" si="3"/>
        <v>1.8370000000000001E-2</v>
      </c>
      <c r="AJ46" s="209">
        <f t="shared" si="3"/>
        <v>1.8370000000000001E-2</v>
      </c>
      <c r="AK46" s="209">
        <f t="shared" si="3"/>
        <v>1.8370000000000001E-2</v>
      </c>
      <c r="AL46" s="209">
        <f t="shared" si="3"/>
        <v>1.8370000000000001E-2</v>
      </c>
      <c r="AM46" s="209">
        <f t="shared" si="3"/>
        <v>1.8370000000000001E-2</v>
      </c>
      <c r="AN46" s="209">
        <f t="shared" si="3"/>
        <v>1.8370000000000001E-2</v>
      </c>
      <c r="AO46" s="209">
        <f t="shared" si="3"/>
        <v>1.8260000000000002E-2</v>
      </c>
      <c r="AP46" s="209">
        <f t="shared" si="3"/>
        <v>1.8260000000000002E-2</v>
      </c>
      <c r="AQ46" s="209">
        <f t="shared" si="3"/>
        <v>1.8260000000000002E-2</v>
      </c>
      <c r="AR46" s="209">
        <f t="shared" si="3"/>
        <v>1.8260000000000002E-2</v>
      </c>
      <c r="AS46" s="209">
        <f t="shared" si="3"/>
        <v>1.8260000000000002E-2</v>
      </c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/>
      <c r="CY46" s="42"/>
      <c r="CZ46" s="42"/>
      <c r="DA46" s="42"/>
      <c r="DB46" s="42"/>
      <c r="DC46" s="42"/>
      <c r="DD46" s="42"/>
      <c r="DE46" s="42"/>
      <c r="DF46" s="42"/>
      <c r="DG46" s="42"/>
      <c r="DH46" s="42"/>
      <c r="DI46" s="42"/>
      <c r="DJ46" s="42"/>
      <c r="DK46" s="42"/>
      <c r="DL46" s="42"/>
      <c r="DM46" s="42"/>
      <c r="DN46" s="42"/>
    </row>
    <row r="47" spans="1:118" s="207" customFormat="1" x14ac:dyDescent="0.25">
      <c r="A47" s="207" t="s">
        <v>6</v>
      </c>
      <c r="B47" s="207" t="s">
        <v>49</v>
      </c>
      <c r="C47" s="208" t="s">
        <v>71</v>
      </c>
      <c r="E47" s="207" t="s">
        <v>7</v>
      </c>
      <c r="F47" s="207" t="s">
        <v>50</v>
      </c>
      <c r="G47" s="207" t="s">
        <v>51</v>
      </c>
      <c r="K47" s="209">
        <f t="shared" si="4"/>
        <v>4.510000000000001E-3</v>
      </c>
      <c r="L47" s="209">
        <f t="shared" si="3"/>
        <v>4.510000000000001E-3</v>
      </c>
      <c r="M47" s="209">
        <f t="shared" si="3"/>
        <v>4.62E-3</v>
      </c>
      <c r="N47" s="209">
        <f t="shared" si="3"/>
        <v>4.62E-3</v>
      </c>
      <c r="O47" s="209">
        <f t="shared" si="3"/>
        <v>4.62E-3</v>
      </c>
      <c r="P47" s="209">
        <f t="shared" si="3"/>
        <v>4.9500000000000004E-3</v>
      </c>
      <c r="Q47" s="209">
        <f t="shared" si="3"/>
        <v>4.9500000000000004E-3</v>
      </c>
      <c r="R47" s="209">
        <f t="shared" si="3"/>
        <v>4.9500000000000004E-3</v>
      </c>
      <c r="S47" s="209">
        <f t="shared" si="3"/>
        <v>4.9500000000000004E-3</v>
      </c>
      <c r="T47" s="209">
        <f t="shared" si="3"/>
        <v>4.9500000000000004E-3</v>
      </c>
      <c r="U47" s="209">
        <f t="shared" si="3"/>
        <v>4.9500000000000004E-3</v>
      </c>
      <c r="V47" s="209">
        <f t="shared" si="3"/>
        <v>4.8400000000000006E-3</v>
      </c>
      <c r="W47" s="209">
        <f t="shared" si="3"/>
        <v>4.8400000000000006E-3</v>
      </c>
      <c r="X47" s="209">
        <f t="shared" si="3"/>
        <v>4.8400000000000006E-3</v>
      </c>
      <c r="Y47" s="209">
        <f t="shared" si="3"/>
        <v>4.8400000000000006E-3</v>
      </c>
      <c r="Z47" s="209">
        <f t="shared" si="3"/>
        <v>4.8400000000000006E-3</v>
      </c>
      <c r="AA47" s="209">
        <f t="shared" si="3"/>
        <v>4.8400000000000006E-3</v>
      </c>
      <c r="AB47" s="209">
        <f t="shared" si="3"/>
        <v>4.8400000000000006E-3</v>
      </c>
      <c r="AC47" s="209">
        <f t="shared" si="3"/>
        <v>4.8400000000000006E-3</v>
      </c>
      <c r="AD47" s="209">
        <f t="shared" si="3"/>
        <v>4.8400000000000006E-3</v>
      </c>
      <c r="AE47" s="209">
        <f t="shared" si="3"/>
        <v>4.8400000000000006E-3</v>
      </c>
      <c r="AF47" s="209">
        <f t="shared" si="3"/>
        <v>4.8400000000000006E-3</v>
      </c>
      <c r="AG47" s="209">
        <f t="shared" si="3"/>
        <v>4.8400000000000006E-3</v>
      </c>
      <c r="AH47" s="209">
        <f t="shared" si="3"/>
        <v>4.8400000000000006E-3</v>
      </c>
      <c r="AI47" s="209">
        <f t="shared" si="3"/>
        <v>4.8400000000000006E-3</v>
      </c>
      <c r="AJ47" s="209">
        <f t="shared" si="3"/>
        <v>4.8400000000000006E-3</v>
      </c>
      <c r="AK47" s="209">
        <f t="shared" si="3"/>
        <v>4.8400000000000006E-3</v>
      </c>
      <c r="AL47" s="209">
        <f t="shared" si="3"/>
        <v>4.8400000000000006E-3</v>
      </c>
      <c r="AM47" s="209">
        <f t="shared" si="3"/>
        <v>4.8400000000000006E-3</v>
      </c>
      <c r="AN47" s="209">
        <f t="shared" si="3"/>
        <v>4.8400000000000006E-3</v>
      </c>
      <c r="AO47" s="209">
        <f t="shared" si="3"/>
        <v>4.8400000000000006E-3</v>
      </c>
      <c r="AP47" s="209">
        <f t="shared" si="3"/>
        <v>4.8400000000000006E-3</v>
      </c>
      <c r="AQ47" s="209">
        <f t="shared" si="3"/>
        <v>4.8400000000000006E-3</v>
      </c>
      <c r="AR47" s="209">
        <f t="shared" si="3"/>
        <v>4.8400000000000006E-3</v>
      </c>
      <c r="AS47" s="209">
        <f t="shared" si="3"/>
        <v>4.8400000000000006E-3</v>
      </c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/>
      <c r="DJ47" s="42"/>
      <c r="DK47" s="42"/>
      <c r="DL47" s="42"/>
      <c r="DM47" s="42"/>
      <c r="DN47" s="42"/>
    </row>
    <row r="48" spans="1:118" s="207" customFormat="1" x14ac:dyDescent="0.25">
      <c r="A48" s="207" t="s">
        <v>6</v>
      </c>
      <c r="B48" s="207" t="s">
        <v>49</v>
      </c>
      <c r="C48" s="208" t="s">
        <v>56</v>
      </c>
      <c r="E48" s="207" t="s">
        <v>7</v>
      </c>
      <c r="F48" s="207" t="s">
        <v>50</v>
      </c>
      <c r="G48" s="207" t="s">
        <v>51</v>
      </c>
      <c r="K48" s="209">
        <f t="shared" si="4"/>
        <v>4.4000000000000003E-3</v>
      </c>
      <c r="L48" s="209">
        <f t="shared" si="3"/>
        <v>4.4000000000000003E-3</v>
      </c>
      <c r="M48" s="209">
        <f t="shared" si="3"/>
        <v>4.7300000000000007E-3</v>
      </c>
      <c r="N48" s="209">
        <f t="shared" si="3"/>
        <v>4.7300000000000007E-3</v>
      </c>
      <c r="O48" s="209">
        <f t="shared" si="3"/>
        <v>4.7300000000000007E-3</v>
      </c>
      <c r="P48" s="209">
        <f t="shared" si="3"/>
        <v>3.8500000000000006E-3</v>
      </c>
      <c r="Q48" s="209">
        <f t="shared" si="3"/>
        <v>3.8500000000000006E-3</v>
      </c>
      <c r="R48" s="209">
        <f t="shared" si="3"/>
        <v>3.8500000000000006E-3</v>
      </c>
      <c r="S48" s="209">
        <f t="shared" si="3"/>
        <v>3.8500000000000006E-3</v>
      </c>
      <c r="T48" s="209">
        <f t="shared" si="3"/>
        <v>3.8500000000000006E-3</v>
      </c>
      <c r="U48" s="209">
        <f t="shared" si="3"/>
        <v>3.8500000000000006E-3</v>
      </c>
      <c r="V48" s="209">
        <f t="shared" si="3"/>
        <v>3.8500000000000006E-3</v>
      </c>
      <c r="W48" s="209">
        <f t="shared" si="3"/>
        <v>3.8500000000000006E-3</v>
      </c>
      <c r="X48" s="209">
        <f t="shared" si="3"/>
        <v>3.8500000000000006E-3</v>
      </c>
      <c r="Y48" s="209">
        <f t="shared" si="3"/>
        <v>3.8500000000000006E-3</v>
      </c>
      <c r="Z48" s="209">
        <f t="shared" si="3"/>
        <v>3.8500000000000006E-3</v>
      </c>
      <c r="AA48" s="209">
        <f t="shared" si="3"/>
        <v>3.8500000000000006E-3</v>
      </c>
      <c r="AB48" s="209">
        <f t="shared" si="3"/>
        <v>3.8500000000000006E-3</v>
      </c>
      <c r="AC48" s="209">
        <f t="shared" si="3"/>
        <v>3.8500000000000006E-3</v>
      </c>
      <c r="AD48" s="209">
        <f t="shared" si="3"/>
        <v>3.8500000000000006E-3</v>
      </c>
      <c r="AE48" s="209">
        <f t="shared" si="3"/>
        <v>3.8500000000000006E-3</v>
      </c>
      <c r="AF48" s="209">
        <f t="shared" si="3"/>
        <v>3.8500000000000006E-3</v>
      </c>
      <c r="AG48" s="209">
        <f t="shared" si="3"/>
        <v>3.8500000000000006E-3</v>
      </c>
      <c r="AH48" s="209">
        <f t="shared" si="3"/>
        <v>3.8500000000000006E-3</v>
      </c>
      <c r="AI48" s="209">
        <f t="shared" si="3"/>
        <v>3.8500000000000006E-3</v>
      </c>
      <c r="AJ48" s="209">
        <f t="shared" si="3"/>
        <v>3.8500000000000006E-3</v>
      </c>
      <c r="AK48" s="209">
        <f t="shared" si="3"/>
        <v>3.8500000000000006E-3</v>
      </c>
      <c r="AL48" s="209">
        <f t="shared" si="3"/>
        <v>3.8500000000000006E-3</v>
      </c>
      <c r="AM48" s="209">
        <f t="shared" si="3"/>
        <v>3.8500000000000006E-3</v>
      </c>
      <c r="AN48" s="209">
        <f t="shared" si="3"/>
        <v>3.8500000000000006E-3</v>
      </c>
      <c r="AO48" s="209">
        <f t="shared" si="3"/>
        <v>3.8500000000000006E-3</v>
      </c>
      <c r="AP48" s="209">
        <f t="shared" si="3"/>
        <v>3.8500000000000006E-3</v>
      </c>
      <c r="AQ48" s="209">
        <f t="shared" si="3"/>
        <v>3.8500000000000006E-3</v>
      </c>
      <c r="AR48" s="209">
        <f t="shared" ref="L48:AS53" si="5">+AR35*1.1</f>
        <v>3.8500000000000006E-3</v>
      </c>
      <c r="AS48" s="209">
        <f t="shared" si="5"/>
        <v>3.7400000000000003E-3</v>
      </c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2"/>
      <c r="CL48" s="42"/>
      <c r="CM48" s="42"/>
      <c r="CN48" s="42"/>
      <c r="CO48" s="42"/>
      <c r="CP48" s="42"/>
      <c r="CQ48" s="42"/>
      <c r="CR48" s="42"/>
      <c r="CS48" s="42"/>
      <c r="CT48" s="42"/>
      <c r="CU48" s="42"/>
      <c r="CV48" s="42"/>
      <c r="CW48" s="42"/>
      <c r="CX48" s="42"/>
      <c r="CY48" s="42"/>
      <c r="CZ48" s="42"/>
      <c r="DA48" s="42"/>
      <c r="DB48" s="42"/>
      <c r="DC48" s="42"/>
      <c r="DD48" s="42"/>
      <c r="DE48" s="42"/>
      <c r="DF48" s="42"/>
      <c r="DG48" s="42"/>
      <c r="DH48" s="42"/>
      <c r="DI48" s="42"/>
      <c r="DJ48" s="42"/>
      <c r="DK48" s="42"/>
      <c r="DL48" s="42"/>
      <c r="DM48" s="42"/>
      <c r="DN48" s="42"/>
    </row>
    <row r="49" spans="1:118" s="207" customFormat="1" x14ac:dyDescent="0.25">
      <c r="A49" s="207" t="s">
        <v>6</v>
      </c>
      <c r="B49" s="207" t="s">
        <v>49</v>
      </c>
      <c r="C49" s="208" t="s">
        <v>57</v>
      </c>
      <c r="E49" s="207" t="s">
        <v>7</v>
      </c>
      <c r="F49" s="207" t="s">
        <v>50</v>
      </c>
      <c r="G49" s="207" t="s">
        <v>51</v>
      </c>
      <c r="K49" s="209">
        <f t="shared" si="4"/>
        <v>2.0900000000000003E-3</v>
      </c>
      <c r="L49" s="209">
        <f t="shared" si="5"/>
        <v>2.0900000000000003E-3</v>
      </c>
      <c r="M49" s="209">
        <f t="shared" si="5"/>
        <v>2.2000000000000001E-3</v>
      </c>
      <c r="N49" s="209">
        <f t="shared" si="5"/>
        <v>2.2000000000000001E-3</v>
      </c>
      <c r="O49" s="209">
        <f t="shared" si="5"/>
        <v>2.2000000000000001E-3</v>
      </c>
      <c r="P49" s="209">
        <f t="shared" si="5"/>
        <v>2.4200000000000003E-3</v>
      </c>
      <c r="Q49" s="209">
        <f t="shared" si="5"/>
        <v>2.4200000000000003E-3</v>
      </c>
      <c r="R49" s="209">
        <f t="shared" si="5"/>
        <v>2.4200000000000003E-3</v>
      </c>
      <c r="S49" s="209">
        <f t="shared" si="5"/>
        <v>2.4200000000000003E-3</v>
      </c>
      <c r="T49" s="209">
        <f t="shared" si="5"/>
        <v>2.4200000000000003E-3</v>
      </c>
      <c r="U49" s="209">
        <f t="shared" si="5"/>
        <v>2.4200000000000003E-3</v>
      </c>
      <c r="V49" s="209">
        <f t="shared" si="5"/>
        <v>2.4200000000000003E-3</v>
      </c>
      <c r="W49" s="209">
        <f t="shared" si="5"/>
        <v>2.4200000000000003E-3</v>
      </c>
      <c r="X49" s="209">
        <f t="shared" si="5"/>
        <v>2.4200000000000003E-3</v>
      </c>
      <c r="Y49" s="209">
        <f t="shared" si="5"/>
        <v>2.4200000000000003E-3</v>
      </c>
      <c r="Z49" s="209">
        <f t="shared" si="5"/>
        <v>2.4200000000000003E-3</v>
      </c>
      <c r="AA49" s="209">
        <f t="shared" si="5"/>
        <v>2.4200000000000003E-3</v>
      </c>
      <c r="AB49" s="209">
        <f t="shared" si="5"/>
        <v>2.4200000000000003E-3</v>
      </c>
      <c r="AC49" s="209">
        <f t="shared" si="5"/>
        <v>2.4200000000000003E-3</v>
      </c>
      <c r="AD49" s="209">
        <f t="shared" si="5"/>
        <v>2.4200000000000003E-3</v>
      </c>
      <c r="AE49" s="209">
        <f t="shared" si="5"/>
        <v>2.4200000000000003E-3</v>
      </c>
      <c r="AF49" s="209">
        <f t="shared" si="5"/>
        <v>2.4200000000000003E-3</v>
      </c>
      <c r="AG49" s="209">
        <f t="shared" si="5"/>
        <v>2.4200000000000003E-3</v>
      </c>
      <c r="AH49" s="209">
        <f t="shared" si="5"/>
        <v>2.31E-3</v>
      </c>
      <c r="AI49" s="209">
        <f t="shared" si="5"/>
        <v>2.31E-3</v>
      </c>
      <c r="AJ49" s="209">
        <f t="shared" si="5"/>
        <v>2.31E-3</v>
      </c>
      <c r="AK49" s="209">
        <f t="shared" si="5"/>
        <v>2.31E-3</v>
      </c>
      <c r="AL49" s="209">
        <f t="shared" si="5"/>
        <v>2.31E-3</v>
      </c>
      <c r="AM49" s="209">
        <f t="shared" si="5"/>
        <v>2.31E-3</v>
      </c>
      <c r="AN49" s="209">
        <f t="shared" si="5"/>
        <v>2.31E-3</v>
      </c>
      <c r="AO49" s="209">
        <f t="shared" si="5"/>
        <v>2.31E-3</v>
      </c>
      <c r="AP49" s="209">
        <f t="shared" si="5"/>
        <v>2.31E-3</v>
      </c>
      <c r="AQ49" s="209">
        <f t="shared" si="5"/>
        <v>2.31E-3</v>
      </c>
      <c r="AR49" s="209">
        <f t="shared" si="5"/>
        <v>2.31E-3</v>
      </c>
      <c r="AS49" s="209">
        <f t="shared" si="5"/>
        <v>2.31E-3</v>
      </c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  <c r="CW49" s="42"/>
      <c r="CX49" s="42"/>
      <c r="CY49" s="42"/>
      <c r="CZ49" s="42"/>
      <c r="DA49" s="42"/>
      <c r="DB49" s="42"/>
      <c r="DC49" s="42"/>
      <c r="DD49" s="42"/>
      <c r="DE49" s="42"/>
      <c r="DF49" s="42"/>
      <c r="DG49" s="42"/>
      <c r="DH49" s="42"/>
      <c r="DI49" s="42"/>
      <c r="DJ49" s="42"/>
      <c r="DK49" s="42"/>
      <c r="DL49" s="42"/>
      <c r="DM49" s="42"/>
      <c r="DN49" s="42"/>
    </row>
    <row r="50" spans="1:118" s="207" customFormat="1" x14ac:dyDescent="0.25">
      <c r="A50" s="207" t="s">
        <v>6</v>
      </c>
      <c r="B50" s="207" t="s">
        <v>49</v>
      </c>
      <c r="C50" s="208" t="s">
        <v>58</v>
      </c>
      <c r="E50" s="207" t="s">
        <v>7</v>
      </c>
      <c r="F50" s="207" t="s">
        <v>50</v>
      </c>
      <c r="G50" s="207" t="s">
        <v>51</v>
      </c>
      <c r="K50" s="209">
        <f t="shared" si="4"/>
        <v>2.8600000000000001E-3</v>
      </c>
      <c r="L50" s="209">
        <f t="shared" si="5"/>
        <v>2.8600000000000001E-3</v>
      </c>
      <c r="M50" s="209">
        <f t="shared" si="5"/>
        <v>3.5200000000000006E-3</v>
      </c>
      <c r="N50" s="209">
        <f t="shared" si="5"/>
        <v>3.5200000000000006E-3</v>
      </c>
      <c r="O50" s="209">
        <f t="shared" si="5"/>
        <v>3.5200000000000006E-3</v>
      </c>
      <c r="P50" s="209">
        <f t="shared" si="5"/>
        <v>3.1900000000000001E-3</v>
      </c>
      <c r="Q50" s="209">
        <f t="shared" si="5"/>
        <v>3.1900000000000001E-3</v>
      </c>
      <c r="R50" s="209">
        <f t="shared" si="5"/>
        <v>3.1900000000000001E-3</v>
      </c>
      <c r="S50" s="209">
        <f t="shared" si="5"/>
        <v>3.1900000000000001E-3</v>
      </c>
      <c r="T50" s="209">
        <f t="shared" si="5"/>
        <v>3.1900000000000001E-3</v>
      </c>
      <c r="U50" s="209">
        <f t="shared" si="5"/>
        <v>3.1900000000000001E-3</v>
      </c>
      <c r="V50" s="209">
        <f t="shared" si="5"/>
        <v>3.1900000000000001E-3</v>
      </c>
      <c r="W50" s="209">
        <f t="shared" si="5"/>
        <v>3.1900000000000001E-3</v>
      </c>
      <c r="X50" s="209">
        <f t="shared" si="5"/>
        <v>3.1900000000000001E-3</v>
      </c>
      <c r="Y50" s="209">
        <f t="shared" si="5"/>
        <v>3.1900000000000001E-3</v>
      </c>
      <c r="Z50" s="209">
        <f t="shared" si="5"/>
        <v>3.1900000000000001E-3</v>
      </c>
      <c r="AA50" s="209">
        <f t="shared" si="5"/>
        <v>3.1900000000000001E-3</v>
      </c>
      <c r="AB50" s="209">
        <f t="shared" si="5"/>
        <v>3.1900000000000001E-3</v>
      </c>
      <c r="AC50" s="209">
        <f t="shared" si="5"/>
        <v>3.1900000000000001E-3</v>
      </c>
      <c r="AD50" s="209">
        <f t="shared" si="5"/>
        <v>3.1900000000000001E-3</v>
      </c>
      <c r="AE50" s="209">
        <f t="shared" si="5"/>
        <v>3.1900000000000001E-3</v>
      </c>
      <c r="AF50" s="209">
        <f t="shared" si="5"/>
        <v>3.1900000000000001E-3</v>
      </c>
      <c r="AG50" s="209">
        <f t="shared" si="5"/>
        <v>3.1900000000000001E-3</v>
      </c>
      <c r="AH50" s="209">
        <f t="shared" si="5"/>
        <v>3.1900000000000001E-3</v>
      </c>
      <c r="AI50" s="209">
        <f t="shared" si="5"/>
        <v>3.1900000000000001E-3</v>
      </c>
      <c r="AJ50" s="209">
        <f t="shared" si="5"/>
        <v>3.1900000000000001E-3</v>
      </c>
      <c r="AK50" s="209">
        <f t="shared" si="5"/>
        <v>3.1900000000000001E-3</v>
      </c>
      <c r="AL50" s="209">
        <f t="shared" si="5"/>
        <v>3.1900000000000001E-3</v>
      </c>
      <c r="AM50" s="209">
        <f t="shared" si="5"/>
        <v>3.1900000000000001E-3</v>
      </c>
      <c r="AN50" s="209">
        <f t="shared" si="5"/>
        <v>3.1900000000000001E-3</v>
      </c>
      <c r="AO50" s="209">
        <f t="shared" si="5"/>
        <v>3.1900000000000001E-3</v>
      </c>
      <c r="AP50" s="209">
        <f t="shared" si="5"/>
        <v>3.1900000000000001E-3</v>
      </c>
      <c r="AQ50" s="209">
        <f t="shared" si="5"/>
        <v>3.1900000000000001E-3</v>
      </c>
      <c r="AR50" s="209">
        <f t="shared" si="5"/>
        <v>3.1900000000000001E-3</v>
      </c>
      <c r="AS50" s="209">
        <f t="shared" si="5"/>
        <v>3.1900000000000001E-3</v>
      </c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  <c r="CP50" s="42"/>
      <c r="CQ50" s="42"/>
      <c r="CR50" s="42"/>
      <c r="CS50" s="42"/>
      <c r="CT50" s="42"/>
      <c r="CU50" s="42"/>
      <c r="CV50" s="42"/>
      <c r="CW50" s="42"/>
      <c r="CX50" s="42"/>
      <c r="CY50" s="42"/>
      <c r="CZ50" s="42"/>
      <c r="DA50" s="42"/>
      <c r="DB50" s="42"/>
      <c r="DC50" s="42"/>
      <c r="DD50" s="42"/>
      <c r="DE50" s="42"/>
      <c r="DF50" s="42"/>
      <c r="DG50" s="42"/>
      <c r="DH50" s="42"/>
      <c r="DI50" s="42"/>
      <c r="DJ50" s="42"/>
      <c r="DK50" s="42"/>
      <c r="DL50" s="42"/>
      <c r="DM50" s="42"/>
      <c r="DN50" s="42"/>
    </row>
    <row r="51" spans="1:118" s="207" customFormat="1" x14ac:dyDescent="0.25">
      <c r="A51" s="207" t="s">
        <v>6</v>
      </c>
      <c r="B51" s="207" t="s">
        <v>49</v>
      </c>
      <c r="C51" s="208" t="s">
        <v>72</v>
      </c>
      <c r="E51" s="207" t="s">
        <v>7</v>
      </c>
      <c r="F51" s="207" t="s">
        <v>50</v>
      </c>
      <c r="G51" s="207" t="s">
        <v>51</v>
      </c>
      <c r="K51" s="209">
        <f t="shared" si="4"/>
        <v>4.8400000000000006E-3</v>
      </c>
      <c r="L51" s="209">
        <f t="shared" si="5"/>
        <v>4.8400000000000006E-3</v>
      </c>
      <c r="M51" s="209">
        <f t="shared" si="5"/>
        <v>4.4000000000000003E-3</v>
      </c>
      <c r="N51" s="209">
        <f t="shared" si="5"/>
        <v>4.4000000000000003E-3</v>
      </c>
      <c r="O51" s="209">
        <f t="shared" si="5"/>
        <v>4.4000000000000003E-3</v>
      </c>
      <c r="P51" s="209">
        <f t="shared" si="5"/>
        <v>4.62E-3</v>
      </c>
      <c r="Q51" s="209">
        <f t="shared" si="5"/>
        <v>4.62E-3</v>
      </c>
      <c r="R51" s="209">
        <f t="shared" si="5"/>
        <v>4.62E-3</v>
      </c>
      <c r="S51" s="209">
        <f t="shared" si="5"/>
        <v>4.62E-3</v>
      </c>
      <c r="T51" s="209">
        <f t="shared" si="5"/>
        <v>4.62E-3</v>
      </c>
      <c r="U51" s="209">
        <f t="shared" si="5"/>
        <v>4.62E-3</v>
      </c>
      <c r="V51" s="209">
        <f t="shared" si="5"/>
        <v>4.62E-3</v>
      </c>
      <c r="W51" s="209">
        <f t="shared" si="5"/>
        <v>4.62E-3</v>
      </c>
      <c r="X51" s="209">
        <f t="shared" si="5"/>
        <v>4.510000000000001E-3</v>
      </c>
      <c r="Y51" s="209">
        <f t="shared" si="5"/>
        <v>4.510000000000001E-3</v>
      </c>
      <c r="Z51" s="209">
        <f t="shared" si="5"/>
        <v>4.510000000000001E-3</v>
      </c>
      <c r="AA51" s="209">
        <f t="shared" si="5"/>
        <v>4.510000000000001E-3</v>
      </c>
      <c r="AB51" s="209">
        <f t="shared" si="5"/>
        <v>4.510000000000001E-3</v>
      </c>
      <c r="AC51" s="209">
        <f t="shared" si="5"/>
        <v>4.510000000000001E-3</v>
      </c>
      <c r="AD51" s="209">
        <f t="shared" si="5"/>
        <v>4.510000000000001E-3</v>
      </c>
      <c r="AE51" s="209">
        <f t="shared" si="5"/>
        <v>4.510000000000001E-3</v>
      </c>
      <c r="AF51" s="209">
        <f t="shared" si="5"/>
        <v>4.510000000000001E-3</v>
      </c>
      <c r="AG51" s="209">
        <f t="shared" si="5"/>
        <v>4.510000000000001E-3</v>
      </c>
      <c r="AH51" s="209">
        <f t="shared" si="5"/>
        <v>4.510000000000001E-3</v>
      </c>
      <c r="AI51" s="209">
        <f t="shared" si="5"/>
        <v>4.510000000000001E-3</v>
      </c>
      <c r="AJ51" s="209">
        <f t="shared" si="5"/>
        <v>4.510000000000001E-3</v>
      </c>
      <c r="AK51" s="209">
        <f t="shared" si="5"/>
        <v>4.510000000000001E-3</v>
      </c>
      <c r="AL51" s="209">
        <f t="shared" si="5"/>
        <v>4.510000000000001E-3</v>
      </c>
      <c r="AM51" s="209">
        <f t="shared" si="5"/>
        <v>4.510000000000001E-3</v>
      </c>
      <c r="AN51" s="209">
        <f t="shared" si="5"/>
        <v>4.510000000000001E-3</v>
      </c>
      <c r="AO51" s="209">
        <f t="shared" si="5"/>
        <v>4.510000000000001E-3</v>
      </c>
      <c r="AP51" s="209">
        <f t="shared" si="5"/>
        <v>4.510000000000001E-3</v>
      </c>
      <c r="AQ51" s="209">
        <f t="shared" si="5"/>
        <v>4.510000000000001E-3</v>
      </c>
      <c r="AR51" s="209">
        <f t="shared" si="5"/>
        <v>4.510000000000001E-3</v>
      </c>
      <c r="AS51" s="209">
        <f t="shared" si="5"/>
        <v>4.510000000000001E-3</v>
      </c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  <c r="CR51" s="42"/>
      <c r="CS51" s="42"/>
      <c r="CT51" s="42"/>
      <c r="CU51" s="42"/>
      <c r="CV51" s="42"/>
      <c r="CW51" s="42"/>
      <c r="CX51" s="42"/>
      <c r="CY51" s="42"/>
      <c r="CZ51" s="42"/>
      <c r="DA51" s="42"/>
      <c r="DB51" s="42"/>
      <c r="DC51" s="42"/>
      <c r="DD51" s="42"/>
      <c r="DE51" s="42"/>
      <c r="DF51" s="42"/>
      <c r="DG51" s="42"/>
      <c r="DH51" s="42"/>
      <c r="DI51" s="42"/>
      <c r="DJ51" s="42"/>
      <c r="DK51" s="42"/>
      <c r="DL51" s="42"/>
      <c r="DM51" s="42"/>
      <c r="DN51" s="42"/>
    </row>
    <row r="52" spans="1:118" s="207" customFormat="1" x14ac:dyDescent="0.25">
      <c r="A52" s="207" t="s">
        <v>6</v>
      </c>
      <c r="B52" s="207" t="s">
        <v>49</v>
      </c>
      <c r="C52" s="208" t="s">
        <v>73</v>
      </c>
      <c r="E52" s="207" t="s">
        <v>7</v>
      </c>
      <c r="F52" s="207" t="s">
        <v>50</v>
      </c>
      <c r="G52" s="207" t="s">
        <v>51</v>
      </c>
      <c r="K52" s="209">
        <f t="shared" si="4"/>
        <v>1.1330000000000002E-2</v>
      </c>
      <c r="L52" s="209">
        <f t="shared" si="5"/>
        <v>1.1330000000000002E-2</v>
      </c>
      <c r="M52" s="209">
        <f t="shared" si="5"/>
        <v>1.21E-2</v>
      </c>
      <c r="N52" s="209">
        <f t="shared" si="5"/>
        <v>1.21E-2</v>
      </c>
      <c r="O52" s="209">
        <f t="shared" si="5"/>
        <v>1.21E-2</v>
      </c>
      <c r="P52" s="209">
        <f t="shared" si="5"/>
        <v>1.1220000000000003E-2</v>
      </c>
      <c r="Q52" s="209">
        <f t="shared" si="5"/>
        <v>1.1220000000000003E-2</v>
      </c>
      <c r="R52" s="209">
        <f t="shared" si="5"/>
        <v>1.1220000000000003E-2</v>
      </c>
      <c r="S52" s="209">
        <f t="shared" si="5"/>
        <v>1.1220000000000003E-2</v>
      </c>
      <c r="T52" s="209">
        <f t="shared" si="5"/>
        <v>1.1220000000000003E-2</v>
      </c>
      <c r="U52" s="209">
        <f t="shared" si="5"/>
        <v>1.111E-2</v>
      </c>
      <c r="V52" s="209">
        <f t="shared" si="5"/>
        <v>1.111E-2</v>
      </c>
      <c r="W52" s="209">
        <f t="shared" si="5"/>
        <v>1.111E-2</v>
      </c>
      <c r="X52" s="209">
        <f t="shared" si="5"/>
        <v>1.111E-2</v>
      </c>
      <c r="Y52" s="209">
        <f t="shared" si="5"/>
        <v>1.111E-2</v>
      </c>
      <c r="Z52" s="209">
        <f t="shared" si="5"/>
        <v>1.111E-2</v>
      </c>
      <c r="AA52" s="209">
        <f t="shared" si="5"/>
        <v>1.111E-2</v>
      </c>
      <c r="AB52" s="209">
        <f t="shared" si="5"/>
        <v>1.111E-2</v>
      </c>
      <c r="AC52" s="209">
        <f t="shared" si="5"/>
        <v>1.111E-2</v>
      </c>
      <c r="AD52" s="209">
        <f t="shared" si="5"/>
        <v>1.111E-2</v>
      </c>
      <c r="AE52" s="209">
        <f t="shared" si="5"/>
        <v>1.111E-2</v>
      </c>
      <c r="AF52" s="209">
        <f t="shared" si="5"/>
        <v>1.111E-2</v>
      </c>
      <c r="AG52" s="209">
        <f t="shared" si="5"/>
        <v>1.111E-2</v>
      </c>
      <c r="AH52" s="209">
        <f t="shared" si="5"/>
        <v>1.1000000000000001E-2</v>
      </c>
      <c r="AI52" s="209">
        <f t="shared" si="5"/>
        <v>1.1000000000000001E-2</v>
      </c>
      <c r="AJ52" s="209">
        <f t="shared" si="5"/>
        <v>1.1000000000000001E-2</v>
      </c>
      <c r="AK52" s="209">
        <f t="shared" si="5"/>
        <v>1.1000000000000001E-2</v>
      </c>
      <c r="AL52" s="209">
        <f t="shared" si="5"/>
        <v>1.1000000000000001E-2</v>
      </c>
      <c r="AM52" s="209">
        <f t="shared" si="5"/>
        <v>1.1000000000000001E-2</v>
      </c>
      <c r="AN52" s="209">
        <f t="shared" si="5"/>
        <v>1.1000000000000001E-2</v>
      </c>
      <c r="AO52" s="209">
        <f t="shared" si="5"/>
        <v>1.1000000000000001E-2</v>
      </c>
      <c r="AP52" s="209">
        <f t="shared" si="5"/>
        <v>1.1000000000000001E-2</v>
      </c>
      <c r="AQ52" s="209">
        <f t="shared" si="5"/>
        <v>1.1000000000000001E-2</v>
      </c>
      <c r="AR52" s="209">
        <f t="shared" si="5"/>
        <v>1.1000000000000001E-2</v>
      </c>
      <c r="AS52" s="209">
        <f t="shared" si="5"/>
        <v>1.1000000000000001E-2</v>
      </c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  <c r="CR52" s="42"/>
      <c r="CS52" s="42"/>
      <c r="CT52" s="42"/>
      <c r="CU52" s="42"/>
      <c r="CV52" s="42"/>
      <c r="CW52" s="42"/>
      <c r="CX52" s="42"/>
      <c r="CY52" s="42"/>
      <c r="CZ52" s="42"/>
      <c r="DA52" s="42"/>
      <c r="DB52" s="42"/>
      <c r="DC52" s="42"/>
      <c r="DD52" s="42"/>
      <c r="DE52" s="42"/>
      <c r="DF52" s="42"/>
      <c r="DG52" s="42"/>
      <c r="DH52" s="42"/>
      <c r="DI52" s="42"/>
      <c r="DJ52" s="42"/>
      <c r="DK52" s="42"/>
      <c r="DL52" s="42"/>
      <c r="DM52" s="42"/>
      <c r="DN52" s="42"/>
    </row>
    <row r="53" spans="1:118" s="210" customFormat="1" x14ac:dyDescent="0.25">
      <c r="A53" s="210" t="s">
        <v>6</v>
      </c>
      <c r="B53" s="210" t="s">
        <v>49</v>
      </c>
      <c r="C53" s="211" t="s">
        <v>74</v>
      </c>
      <c r="E53" s="210" t="s">
        <v>7</v>
      </c>
      <c r="F53" s="210" t="s">
        <v>50</v>
      </c>
      <c r="G53" s="210" t="s">
        <v>51</v>
      </c>
      <c r="K53" s="212">
        <f t="shared" si="4"/>
        <v>7.7000000000000007E-4</v>
      </c>
      <c r="L53" s="212">
        <f t="shared" si="5"/>
        <v>7.7000000000000007E-4</v>
      </c>
      <c r="M53" s="212">
        <f t="shared" si="5"/>
        <v>6.6E-4</v>
      </c>
      <c r="N53" s="212">
        <f t="shared" si="5"/>
        <v>6.6E-4</v>
      </c>
      <c r="O53" s="212">
        <f t="shared" si="5"/>
        <v>6.6E-4</v>
      </c>
      <c r="P53" s="212">
        <f t="shared" si="5"/>
        <v>8.8000000000000014E-4</v>
      </c>
      <c r="Q53" s="212">
        <f t="shared" si="5"/>
        <v>8.8000000000000014E-4</v>
      </c>
      <c r="R53" s="212">
        <f t="shared" si="5"/>
        <v>8.8000000000000014E-4</v>
      </c>
      <c r="S53" s="212">
        <f t="shared" si="5"/>
        <v>8.8000000000000014E-4</v>
      </c>
      <c r="T53" s="212">
        <f t="shared" si="5"/>
        <v>8.8000000000000014E-4</v>
      </c>
      <c r="U53" s="212">
        <f t="shared" si="5"/>
        <v>8.8000000000000014E-4</v>
      </c>
      <c r="V53" s="212">
        <f t="shared" si="5"/>
        <v>8.8000000000000014E-4</v>
      </c>
      <c r="W53" s="212">
        <f t="shared" si="5"/>
        <v>8.8000000000000014E-4</v>
      </c>
      <c r="X53" s="212">
        <f t="shared" si="5"/>
        <v>8.8000000000000014E-4</v>
      </c>
      <c r="Y53" s="212">
        <f t="shared" si="5"/>
        <v>8.8000000000000014E-4</v>
      </c>
      <c r="Z53" s="212">
        <f t="shared" si="5"/>
        <v>8.8000000000000014E-4</v>
      </c>
      <c r="AA53" s="212">
        <f t="shared" si="5"/>
        <v>8.8000000000000014E-4</v>
      </c>
      <c r="AB53" s="212">
        <f t="shared" si="5"/>
        <v>8.8000000000000014E-4</v>
      </c>
      <c r="AC53" s="212">
        <f t="shared" si="5"/>
        <v>8.8000000000000014E-4</v>
      </c>
      <c r="AD53" s="212">
        <f t="shared" si="5"/>
        <v>8.8000000000000014E-4</v>
      </c>
      <c r="AE53" s="212">
        <f t="shared" si="5"/>
        <v>8.8000000000000014E-4</v>
      </c>
      <c r="AF53" s="212">
        <f t="shared" si="5"/>
        <v>8.8000000000000014E-4</v>
      </c>
      <c r="AG53" s="212">
        <f t="shared" si="5"/>
        <v>8.8000000000000014E-4</v>
      </c>
      <c r="AH53" s="212">
        <f t="shared" si="5"/>
        <v>8.8000000000000014E-4</v>
      </c>
      <c r="AI53" s="212">
        <f t="shared" si="5"/>
        <v>8.8000000000000014E-4</v>
      </c>
      <c r="AJ53" s="212">
        <f t="shared" si="5"/>
        <v>8.8000000000000014E-4</v>
      </c>
      <c r="AK53" s="212">
        <f t="shared" si="5"/>
        <v>8.8000000000000014E-4</v>
      </c>
      <c r="AL53" s="212">
        <f t="shared" si="5"/>
        <v>8.8000000000000014E-4</v>
      </c>
      <c r="AM53" s="212">
        <f t="shared" si="5"/>
        <v>8.8000000000000014E-4</v>
      </c>
      <c r="AN53" s="212">
        <f t="shared" si="5"/>
        <v>8.8000000000000014E-4</v>
      </c>
      <c r="AO53" s="212">
        <f t="shared" si="5"/>
        <v>8.8000000000000014E-4</v>
      </c>
      <c r="AP53" s="212">
        <f t="shared" si="5"/>
        <v>8.8000000000000014E-4</v>
      </c>
      <c r="AQ53" s="212">
        <f t="shared" si="5"/>
        <v>8.8000000000000014E-4</v>
      </c>
      <c r="AR53" s="212">
        <f t="shared" si="5"/>
        <v>8.8000000000000014E-4</v>
      </c>
      <c r="AS53" s="212">
        <f t="shared" si="5"/>
        <v>8.8000000000000014E-4</v>
      </c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2"/>
      <c r="DJ53" s="42"/>
      <c r="DK53" s="42"/>
      <c r="DL53" s="42"/>
      <c r="DM53" s="42"/>
      <c r="DN53" s="42"/>
    </row>
    <row r="54" spans="1:118" s="204" customFormat="1" x14ac:dyDescent="0.25">
      <c r="A54" s="204" t="s">
        <v>6</v>
      </c>
      <c r="B54" s="204" t="s">
        <v>48</v>
      </c>
      <c r="C54" s="205" t="s">
        <v>78</v>
      </c>
      <c r="E54" s="204" t="s">
        <v>7</v>
      </c>
      <c r="F54" s="204" t="s">
        <v>50</v>
      </c>
      <c r="G54" s="204" t="s">
        <v>51</v>
      </c>
      <c r="K54" s="206">
        <v>0.11268581699999999</v>
      </c>
      <c r="L54" s="206">
        <v>0.11043407</v>
      </c>
      <c r="M54" s="206">
        <v>9.3712000000000004E-2</v>
      </c>
      <c r="N54" s="206">
        <v>9.3712000000000004E-2</v>
      </c>
      <c r="O54" s="206">
        <v>9.3712000000000004E-2</v>
      </c>
      <c r="P54" s="206">
        <v>9.4063999999999995E-2</v>
      </c>
      <c r="Q54" s="206">
        <v>9.4063999999999995E-2</v>
      </c>
      <c r="R54" s="206">
        <v>9.4063999999999995E-2</v>
      </c>
      <c r="S54" s="206">
        <v>9.4063999999999995E-2</v>
      </c>
      <c r="T54" s="206">
        <v>9.4063999999999995E-2</v>
      </c>
      <c r="U54" s="206">
        <v>9.4063999999999995E-2</v>
      </c>
      <c r="V54" s="206">
        <v>9.4063999999999995E-2</v>
      </c>
      <c r="W54" s="206">
        <v>9.4063999999999995E-2</v>
      </c>
      <c r="X54" s="206">
        <v>9.4063999999999995E-2</v>
      </c>
      <c r="Y54" s="206">
        <v>9.4063999999999995E-2</v>
      </c>
      <c r="Z54" s="206">
        <v>9.4063999999999995E-2</v>
      </c>
      <c r="AA54" s="206">
        <v>9.4063999999999995E-2</v>
      </c>
      <c r="AB54" s="206">
        <v>9.4063999999999995E-2</v>
      </c>
      <c r="AC54" s="206">
        <v>9.4063999999999995E-2</v>
      </c>
      <c r="AD54" s="206">
        <v>9.4063999999999995E-2</v>
      </c>
      <c r="AE54" s="206">
        <v>9.4063999999999995E-2</v>
      </c>
      <c r="AF54" s="206">
        <v>9.4063999999999995E-2</v>
      </c>
      <c r="AG54" s="206">
        <v>9.4063999999999995E-2</v>
      </c>
      <c r="AH54" s="206">
        <v>9.4063999999999995E-2</v>
      </c>
      <c r="AI54" s="206">
        <v>9.4063999999999995E-2</v>
      </c>
      <c r="AJ54" s="206">
        <v>9.4063999999999995E-2</v>
      </c>
      <c r="AK54" s="206">
        <v>9.4063999999999995E-2</v>
      </c>
      <c r="AL54" s="206">
        <v>9.4063999999999995E-2</v>
      </c>
      <c r="AM54" s="206">
        <v>9.4063999999999995E-2</v>
      </c>
      <c r="AN54" s="206">
        <v>9.4063999999999995E-2</v>
      </c>
      <c r="AO54" s="206">
        <v>9.4063999999999995E-2</v>
      </c>
      <c r="AP54" s="206">
        <v>9.4063999999999995E-2</v>
      </c>
      <c r="AQ54" s="206">
        <v>9.4063999999999995E-2</v>
      </c>
      <c r="AR54" s="206">
        <v>9.4063999999999995E-2</v>
      </c>
      <c r="AS54" s="206">
        <v>9.4063999999999995E-2</v>
      </c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2"/>
      <c r="DJ54" s="42"/>
      <c r="DK54" s="42"/>
      <c r="DL54" s="42"/>
      <c r="DM54" s="42"/>
      <c r="DN54" s="42"/>
    </row>
    <row r="55" spans="1:118" s="204" customFormat="1" x14ac:dyDescent="0.25">
      <c r="A55" s="204" t="s">
        <v>6</v>
      </c>
      <c r="B55" s="204" t="s">
        <v>48</v>
      </c>
      <c r="C55" s="205" t="s">
        <v>79</v>
      </c>
      <c r="E55" s="204" t="s">
        <v>7</v>
      </c>
      <c r="F55" s="204" t="s">
        <v>50</v>
      </c>
      <c r="G55" s="204" t="s">
        <v>51</v>
      </c>
      <c r="K55" s="206">
        <v>0.124731076</v>
      </c>
      <c r="L55" s="206">
        <v>0.124987629</v>
      </c>
      <c r="M55" s="206">
        <v>0.106062</v>
      </c>
      <c r="N55" s="206">
        <v>0.106062</v>
      </c>
      <c r="O55" s="206">
        <v>0.106062</v>
      </c>
      <c r="P55" s="206">
        <v>0.10646</v>
      </c>
      <c r="Q55" s="206">
        <v>0.10646</v>
      </c>
      <c r="R55" s="206">
        <v>0.10646</v>
      </c>
      <c r="S55" s="206">
        <v>0.10646</v>
      </c>
      <c r="T55" s="206">
        <v>0.10646</v>
      </c>
      <c r="U55" s="206">
        <v>0.10646</v>
      </c>
      <c r="V55" s="206">
        <v>0.10646</v>
      </c>
      <c r="W55" s="206">
        <v>0.10646</v>
      </c>
      <c r="X55" s="206">
        <v>0.10646</v>
      </c>
      <c r="Y55" s="206">
        <v>0.10646</v>
      </c>
      <c r="Z55" s="206">
        <v>0.10646</v>
      </c>
      <c r="AA55" s="206">
        <v>0.10646</v>
      </c>
      <c r="AB55" s="206">
        <v>0.10646</v>
      </c>
      <c r="AC55" s="206">
        <v>0.10646</v>
      </c>
      <c r="AD55" s="206">
        <v>0.10646</v>
      </c>
      <c r="AE55" s="206">
        <v>0.10646</v>
      </c>
      <c r="AF55" s="206">
        <v>0.10646</v>
      </c>
      <c r="AG55" s="206">
        <v>0.10646</v>
      </c>
      <c r="AH55" s="206">
        <v>0.10646</v>
      </c>
      <c r="AI55" s="206">
        <v>0.10646</v>
      </c>
      <c r="AJ55" s="206">
        <v>0.10646</v>
      </c>
      <c r="AK55" s="206">
        <v>0.10646</v>
      </c>
      <c r="AL55" s="206">
        <v>0.10646</v>
      </c>
      <c r="AM55" s="206">
        <v>0.10646</v>
      </c>
      <c r="AN55" s="206">
        <v>0.10646</v>
      </c>
      <c r="AO55" s="206">
        <v>0.10646</v>
      </c>
      <c r="AP55" s="206">
        <v>0.10646</v>
      </c>
      <c r="AQ55" s="206">
        <v>0.10646</v>
      </c>
      <c r="AR55" s="206">
        <v>0.10646</v>
      </c>
      <c r="AS55" s="206">
        <v>0.10646</v>
      </c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  <c r="DL55" s="42"/>
      <c r="DM55" s="42"/>
      <c r="DN55" s="42"/>
    </row>
    <row r="56" spans="1:118" s="204" customFormat="1" x14ac:dyDescent="0.25">
      <c r="A56" s="204" t="s">
        <v>6</v>
      </c>
      <c r="B56" s="204" t="s">
        <v>48</v>
      </c>
      <c r="C56" s="205" t="s">
        <v>80</v>
      </c>
      <c r="E56" s="204" t="s">
        <v>7</v>
      </c>
      <c r="F56" s="204" t="s">
        <v>50</v>
      </c>
      <c r="G56" s="204" t="s">
        <v>51</v>
      </c>
      <c r="K56" s="206">
        <v>1.8939130000000001E-3</v>
      </c>
      <c r="L56" s="206">
        <v>2.4104349999999998E-3</v>
      </c>
      <c r="M56" s="206">
        <v>2.0449999999999999E-3</v>
      </c>
      <c r="N56" s="206">
        <v>2.0449999999999999E-3</v>
      </c>
      <c r="O56" s="206">
        <v>2.0449999999999999E-3</v>
      </c>
      <c r="P56" s="206">
        <v>2.0530000000000001E-3</v>
      </c>
      <c r="Q56" s="206">
        <v>2.0530000000000001E-3</v>
      </c>
      <c r="R56" s="206">
        <v>2.0530000000000001E-3</v>
      </c>
      <c r="S56" s="206">
        <v>2.0530000000000001E-3</v>
      </c>
      <c r="T56" s="206">
        <v>2.0530000000000001E-3</v>
      </c>
      <c r="U56" s="206">
        <v>2.0530000000000001E-3</v>
      </c>
      <c r="V56" s="206">
        <v>2.0530000000000001E-3</v>
      </c>
      <c r="W56" s="206">
        <v>2.0530000000000001E-3</v>
      </c>
      <c r="X56" s="206">
        <v>2.0530000000000001E-3</v>
      </c>
      <c r="Y56" s="206">
        <v>2.0530000000000001E-3</v>
      </c>
      <c r="Z56" s="206">
        <v>2.0530000000000001E-3</v>
      </c>
      <c r="AA56" s="206">
        <v>2.0530000000000001E-3</v>
      </c>
      <c r="AB56" s="206">
        <v>2.0530000000000001E-3</v>
      </c>
      <c r="AC56" s="206">
        <v>2.0530000000000001E-3</v>
      </c>
      <c r="AD56" s="206">
        <v>2.0530000000000001E-3</v>
      </c>
      <c r="AE56" s="206">
        <v>2.0530000000000001E-3</v>
      </c>
      <c r="AF56" s="206">
        <v>2.0530000000000001E-3</v>
      </c>
      <c r="AG56" s="206">
        <v>2.0530000000000001E-3</v>
      </c>
      <c r="AH56" s="206">
        <v>2.0530000000000001E-3</v>
      </c>
      <c r="AI56" s="206">
        <v>2.0530000000000001E-3</v>
      </c>
      <c r="AJ56" s="206">
        <v>2.0530000000000001E-3</v>
      </c>
      <c r="AK56" s="206">
        <v>2.0530000000000001E-3</v>
      </c>
      <c r="AL56" s="206">
        <v>2.0530000000000001E-3</v>
      </c>
      <c r="AM56" s="206">
        <v>2.0530000000000001E-3</v>
      </c>
      <c r="AN56" s="206">
        <v>2.0530000000000001E-3</v>
      </c>
      <c r="AO56" s="206">
        <v>2.0530000000000001E-3</v>
      </c>
      <c r="AP56" s="206">
        <v>2.0530000000000001E-3</v>
      </c>
      <c r="AQ56" s="206">
        <v>2.0530000000000001E-3</v>
      </c>
      <c r="AR56" s="206">
        <v>2.0530000000000001E-3</v>
      </c>
      <c r="AS56" s="206">
        <v>2.0530000000000001E-3</v>
      </c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  <c r="CQ56" s="42"/>
      <c r="CR56" s="42"/>
      <c r="CS56" s="42"/>
      <c r="CT56" s="42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2"/>
      <c r="DJ56" s="42"/>
      <c r="DK56" s="42"/>
      <c r="DL56" s="42"/>
      <c r="DM56" s="42"/>
      <c r="DN56" s="42"/>
    </row>
    <row r="57" spans="1:118" s="204" customFormat="1" x14ac:dyDescent="0.25">
      <c r="A57" s="204" t="s">
        <v>6</v>
      </c>
      <c r="B57" s="204" t="s">
        <v>48</v>
      </c>
      <c r="C57" s="205" t="s">
        <v>81</v>
      </c>
      <c r="E57" s="204" t="s">
        <v>7</v>
      </c>
      <c r="F57" s="204" t="s">
        <v>50</v>
      </c>
      <c r="G57" s="204" t="s">
        <v>51</v>
      </c>
      <c r="K57" s="206">
        <v>6.4082700000000006E-2</v>
      </c>
      <c r="L57" s="206">
        <v>7.2119520000000006E-2</v>
      </c>
      <c r="M57" s="206">
        <v>6.1199000000000003E-2</v>
      </c>
      <c r="N57" s="206">
        <v>6.1199000000000003E-2</v>
      </c>
      <c r="O57" s="206">
        <v>6.1199000000000003E-2</v>
      </c>
      <c r="P57" s="206">
        <v>6.1428999999999997E-2</v>
      </c>
      <c r="Q57" s="206">
        <v>6.1428999999999997E-2</v>
      </c>
      <c r="R57" s="206">
        <v>6.1428999999999997E-2</v>
      </c>
      <c r="S57" s="206">
        <v>6.1428999999999997E-2</v>
      </c>
      <c r="T57" s="206">
        <v>6.1428999999999997E-2</v>
      </c>
      <c r="U57" s="206">
        <v>6.1428999999999997E-2</v>
      </c>
      <c r="V57" s="206">
        <v>6.1428999999999997E-2</v>
      </c>
      <c r="W57" s="206">
        <v>6.1428999999999997E-2</v>
      </c>
      <c r="X57" s="206">
        <v>6.1428999999999997E-2</v>
      </c>
      <c r="Y57" s="206">
        <v>6.1428999999999997E-2</v>
      </c>
      <c r="Z57" s="206">
        <v>6.1428999999999997E-2</v>
      </c>
      <c r="AA57" s="206">
        <v>6.1428999999999997E-2</v>
      </c>
      <c r="AB57" s="206">
        <v>6.1428999999999997E-2</v>
      </c>
      <c r="AC57" s="206">
        <v>6.1428999999999997E-2</v>
      </c>
      <c r="AD57" s="206">
        <v>6.1428999999999997E-2</v>
      </c>
      <c r="AE57" s="206">
        <v>6.1428999999999997E-2</v>
      </c>
      <c r="AF57" s="206">
        <v>6.1428999999999997E-2</v>
      </c>
      <c r="AG57" s="206">
        <v>6.1428999999999997E-2</v>
      </c>
      <c r="AH57" s="206">
        <v>6.1428999999999997E-2</v>
      </c>
      <c r="AI57" s="206">
        <v>6.1428999999999997E-2</v>
      </c>
      <c r="AJ57" s="206">
        <v>6.1428999999999997E-2</v>
      </c>
      <c r="AK57" s="206">
        <v>6.1428999999999997E-2</v>
      </c>
      <c r="AL57" s="206">
        <v>6.1428999999999997E-2</v>
      </c>
      <c r="AM57" s="206">
        <v>6.1428999999999997E-2</v>
      </c>
      <c r="AN57" s="206">
        <v>6.1428999999999997E-2</v>
      </c>
      <c r="AO57" s="206">
        <v>6.1428999999999997E-2</v>
      </c>
      <c r="AP57" s="206">
        <v>6.1428999999999997E-2</v>
      </c>
      <c r="AQ57" s="206">
        <v>6.1428999999999997E-2</v>
      </c>
      <c r="AR57" s="206">
        <v>6.1428999999999997E-2</v>
      </c>
      <c r="AS57" s="206">
        <v>6.1428999999999997E-2</v>
      </c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42"/>
      <c r="DN57" s="42"/>
    </row>
    <row r="58" spans="1:118" s="204" customFormat="1" x14ac:dyDescent="0.25">
      <c r="A58" s="204" t="s">
        <v>6</v>
      </c>
      <c r="B58" s="204" t="s">
        <v>48</v>
      </c>
      <c r="C58" s="205" t="s">
        <v>82</v>
      </c>
      <c r="E58" s="204" t="s">
        <v>7</v>
      </c>
      <c r="F58" s="204" t="s">
        <v>50</v>
      </c>
      <c r="G58" s="204" t="s">
        <v>51</v>
      </c>
      <c r="K58" s="206">
        <v>8.3667340000000007E-3</v>
      </c>
      <c r="L58" s="206">
        <v>8.5446329999999994E-3</v>
      </c>
      <c r="M58" s="206">
        <v>7.2509999999999996E-3</v>
      </c>
      <c r="N58" s="206">
        <v>7.2509999999999996E-3</v>
      </c>
      <c r="O58" s="206">
        <v>7.2509999999999996E-3</v>
      </c>
      <c r="P58" s="206">
        <v>7.2779999999999997E-3</v>
      </c>
      <c r="Q58" s="206">
        <v>7.2779999999999997E-3</v>
      </c>
      <c r="R58" s="206">
        <v>7.2779999999999997E-3</v>
      </c>
      <c r="S58" s="206">
        <v>7.2779999999999997E-3</v>
      </c>
      <c r="T58" s="206">
        <v>7.2779999999999997E-3</v>
      </c>
      <c r="U58" s="206">
        <v>7.2779999999999997E-3</v>
      </c>
      <c r="V58" s="206">
        <v>7.2779999999999997E-3</v>
      </c>
      <c r="W58" s="206">
        <v>7.2779999999999997E-3</v>
      </c>
      <c r="X58" s="206">
        <v>7.2779999999999997E-3</v>
      </c>
      <c r="Y58" s="206">
        <v>7.2779999999999997E-3</v>
      </c>
      <c r="Z58" s="206">
        <v>7.2779999999999997E-3</v>
      </c>
      <c r="AA58" s="206">
        <v>7.2779999999999997E-3</v>
      </c>
      <c r="AB58" s="206">
        <v>7.2779999999999997E-3</v>
      </c>
      <c r="AC58" s="206">
        <v>7.2779999999999997E-3</v>
      </c>
      <c r="AD58" s="206">
        <v>7.2779999999999997E-3</v>
      </c>
      <c r="AE58" s="206">
        <v>7.2779999999999997E-3</v>
      </c>
      <c r="AF58" s="206">
        <v>7.2779999999999997E-3</v>
      </c>
      <c r="AG58" s="206">
        <v>7.2779999999999997E-3</v>
      </c>
      <c r="AH58" s="206">
        <v>7.2779999999999997E-3</v>
      </c>
      <c r="AI58" s="206">
        <v>7.2779999999999997E-3</v>
      </c>
      <c r="AJ58" s="206">
        <v>7.2779999999999997E-3</v>
      </c>
      <c r="AK58" s="206">
        <v>7.2779999999999997E-3</v>
      </c>
      <c r="AL58" s="206">
        <v>7.2779999999999997E-3</v>
      </c>
      <c r="AM58" s="206">
        <v>7.2779999999999997E-3</v>
      </c>
      <c r="AN58" s="206">
        <v>7.2779999999999997E-3</v>
      </c>
      <c r="AO58" s="206">
        <v>7.2779999999999997E-3</v>
      </c>
      <c r="AP58" s="206">
        <v>7.2779999999999997E-3</v>
      </c>
      <c r="AQ58" s="206">
        <v>7.2779999999999997E-3</v>
      </c>
      <c r="AR58" s="206">
        <v>7.2779999999999997E-3</v>
      </c>
      <c r="AS58" s="206">
        <v>7.2779999999999997E-3</v>
      </c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  <c r="CR58" s="42"/>
      <c r="CS58" s="42"/>
      <c r="CT58" s="42"/>
      <c r="CU58" s="42"/>
      <c r="CV58" s="42"/>
      <c r="CW58" s="42"/>
      <c r="CX58" s="42"/>
      <c r="CY58" s="42"/>
      <c r="CZ58" s="42"/>
      <c r="DA58" s="42"/>
      <c r="DB58" s="42"/>
      <c r="DC58" s="42"/>
      <c r="DD58" s="42"/>
      <c r="DE58" s="42"/>
      <c r="DF58" s="42"/>
      <c r="DG58" s="42"/>
      <c r="DH58" s="42"/>
      <c r="DI58" s="42"/>
      <c r="DJ58" s="42"/>
      <c r="DK58" s="42"/>
      <c r="DL58" s="42"/>
      <c r="DM58" s="42"/>
      <c r="DN58" s="42"/>
    </row>
    <row r="59" spans="1:118" s="207" customFormat="1" x14ac:dyDescent="0.25">
      <c r="A59" s="207" t="s">
        <v>6</v>
      </c>
      <c r="B59" s="207" t="s">
        <v>49</v>
      </c>
      <c r="C59" s="208" t="s">
        <v>78</v>
      </c>
      <c r="E59" s="207" t="s">
        <v>7</v>
      </c>
      <c r="F59" s="207" t="s">
        <v>50</v>
      </c>
      <c r="G59" s="207" t="s">
        <v>51</v>
      </c>
      <c r="K59" s="209">
        <f>+K54*2</f>
        <v>0.22537163399999999</v>
      </c>
      <c r="L59" s="209">
        <f t="shared" ref="L59:AS63" si="6">+L54*2</f>
        <v>0.22086813999999999</v>
      </c>
      <c r="M59" s="209">
        <f t="shared" si="6"/>
        <v>0.18742400000000001</v>
      </c>
      <c r="N59" s="209">
        <f t="shared" si="6"/>
        <v>0.18742400000000001</v>
      </c>
      <c r="O59" s="209">
        <f t="shared" si="6"/>
        <v>0.18742400000000001</v>
      </c>
      <c r="P59" s="209">
        <f t="shared" si="6"/>
        <v>0.18812799999999999</v>
      </c>
      <c r="Q59" s="209">
        <f t="shared" si="6"/>
        <v>0.18812799999999999</v>
      </c>
      <c r="R59" s="209">
        <f t="shared" si="6"/>
        <v>0.18812799999999999</v>
      </c>
      <c r="S59" s="209">
        <f t="shared" si="6"/>
        <v>0.18812799999999999</v>
      </c>
      <c r="T59" s="209">
        <f t="shared" si="6"/>
        <v>0.18812799999999999</v>
      </c>
      <c r="U59" s="209">
        <f t="shared" si="6"/>
        <v>0.18812799999999999</v>
      </c>
      <c r="V59" s="209">
        <f t="shared" si="6"/>
        <v>0.18812799999999999</v>
      </c>
      <c r="W59" s="209">
        <f t="shared" si="6"/>
        <v>0.18812799999999999</v>
      </c>
      <c r="X59" s="209">
        <f t="shared" si="6"/>
        <v>0.18812799999999999</v>
      </c>
      <c r="Y59" s="209">
        <f t="shared" si="6"/>
        <v>0.18812799999999999</v>
      </c>
      <c r="Z59" s="209">
        <f t="shared" si="6"/>
        <v>0.18812799999999999</v>
      </c>
      <c r="AA59" s="209">
        <f t="shared" si="6"/>
        <v>0.18812799999999999</v>
      </c>
      <c r="AB59" s="209">
        <f t="shared" si="6"/>
        <v>0.18812799999999999</v>
      </c>
      <c r="AC59" s="209">
        <f t="shared" si="6"/>
        <v>0.18812799999999999</v>
      </c>
      <c r="AD59" s="209">
        <f t="shared" si="6"/>
        <v>0.18812799999999999</v>
      </c>
      <c r="AE59" s="209">
        <f t="shared" si="6"/>
        <v>0.18812799999999999</v>
      </c>
      <c r="AF59" s="209">
        <f t="shared" si="6"/>
        <v>0.18812799999999999</v>
      </c>
      <c r="AG59" s="209">
        <f t="shared" si="6"/>
        <v>0.18812799999999999</v>
      </c>
      <c r="AH59" s="209">
        <f t="shared" si="6"/>
        <v>0.18812799999999999</v>
      </c>
      <c r="AI59" s="209">
        <f t="shared" si="6"/>
        <v>0.18812799999999999</v>
      </c>
      <c r="AJ59" s="209">
        <f t="shared" si="6"/>
        <v>0.18812799999999999</v>
      </c>
      <c r="AK59" s="209">
        <f t="shared" si="6"/>
        <v>0.18812799999999999</v>
      </c>
      <c r="AL59" s="209">
        <f t="shared" si="6"/>
        <v>0.18812799999999999</v>
      </c>
      <c r="AM59" s="209">
        <f t="shared" si="6"/>
        <v>0.18812799999999999</v>
      </c>
      <c r="AN59" s="209">
        <f t="shared" si="6"/>
        <v>0.18812799999999999</v>
      </c>
      <c r="AO59" s="209">
        <f t="shared" si="6"/>
        <v>0.18812799999999999</v>
      </c>
      <c r="AP59" s="209">
        <f t="shared" si="6"/>
        <v>0.18812799999999999</v>
      </c>
      <c r="AQ59" s="209">
        <f t="shared" si="6"/>
        <v>0.18812799999999999</v>
      </c>
      <c r="AR59" s="209">
        <f t="shared" si="6"/>
        <v>0.18812799999999999</v>
      </c>
      <c r="AS59" s="209">
        <f t="shared" si="6"/>
        <v>0.18812799999999999</v>
      </c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  <c r="CR59" s="42"/>
      <c r="CS59" s="42"/>
      <c r="CT59" s="42"/>
      <c r="CU59" s="42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2"/>
      <c r="DJ59" s="42"/>
      <c r="DK59" s="42"/>
      <c r="DL59" s="42"/>
      <c r="DM59" s="42"/>
      <c r="DN59" s="42"/>
    </row>
    <row r="60" spans="1:118" s="207" customFormat="1" x14ac:dyDescent="0.25">
      <c r="A60" s="207" t="s">
        <v>6</v>
      </c>
      <c r="B60" s="207" t="s">
        <v>49</v>
      </c>
      <c r="C60" s="208" t="s">
        <v>79</v>
      </c>
      <c r="E60" s="207" t="s">
        <v>7</v>
      </c>
      <c r="F60" s="207" t="s">
        <v>50</v>
      </c>
      <c r="G60" s="207" t="s">
        <v>51</v>
      </c>
      <c r="K60" s="209">
        <f t="shared" ref="K60:K63" si="7">+K55*2</f>
        <v>0.24946215199999999</v>
      </c>
      <c r="L60" s="209">
        <f t="shared" si="6"/>
        <v>0.24997525800000001</v>
      </c>
      <c r="M60" s="209">
        <f t="shared" si="6"/>
        <v>0.21212400000000001</v>
      </c>
      <c r="N60" s="209">
        <f t="shared" si="6"/>
        <v>0.21212400000000001</v>
      </c>
      <c r="O60" s="209">
        <f t="shared" si="6"/>
        <v>0.21212400000000001</v>
      </c>
      <c r="P60" s="209">
        <f t="shared" si="6"/>
        <v>0.21292</v>
      </c>
      <c r="Q60" s="209">
        <f t="shared" si="6"/>
        <v>0.21292</v>
      </c>
      <c r="R60" s="209">
        <f t="shared" si="6"/>
        <v>0.21292</v>
      </c>
      <c r="S60" s="209">
        <f t="shared" si="6"/>
        <v>0.21292</v>
      </c>
      <c r="T60" s="209">
        <f t="shared" si="6"/>
        <v>0.21292</v>
      </c>
      <c r="U60" s="209">
        <f t="shared" si="6"/>
        <v>0.21292</v>
      </c>
      <c r="V60" s="209">
        <f t="shared" si="6"/>
        <v>0.21292</v>
      </c>
      <c r="W60" s="209">
        <f t="shared" si="6"/>
        <v>0.21292</v>
      </c>
      <c r="X60" s="209">
        <f t="shared" si="6"/>
        <v>0.21292</v>
      </c>
      <c r="Y60" s="209">
        <f t="shared" si="6"/>
        <v>0.21292</v>
      </c>
      <c r="Z60" s="209">
        <f t="shared" si="6"/>
        <v>0.21292</v>
      </c>
      <c r="AA60" s="209">
        <f t="shared" si="6"/>
        <v>0.21292</v>
      </c>
      <c r="AB60" s="209">
        <f t="shared" si="6"/>
        <v>0.21292</v>
      </c>
      <c r="AC60" s="209">
        <f t="shared" si="6"/>
        <v>0.21292</v>
      </c>
      <c r="AD60" s="209">
        <f t="shared" si="6"/>
        <v>0.21292</v>
      </c>
      <c r="AE60" s="209">
        <f t="shared" si="6"/>
        <v>0.21292</v>
      </c>
      <c r="AF60" s="209">
        <f t="shared" si="6"/>
        <v>0.21292</v>
      </c>
      <c r="AG60" s="209">
        <f t="shared" si="6"/>
        <v>0.21292</v>
      </c>
      <c r="AH60" s="209">
        <f t="shared" si="6"/>
        <v>0.21292</v>
      </c>
      <c r="AI60" s="209">
        <f t="shared" si="6"/>
        <v>0.21292</v>
      </c>
      <c r="AJ60" s="209">
        <f t="shared" si="6"/>
        <v>0.21292</v>
      </c>
      <c r="AK60" s="209">
        <f t="shared" si="6"/>
        <v>0.21292</v>
      </c>
      <c r="AL60" s="209">
        <f t="shared" si="6"/>
        <v>0.21292</v>
      </c>
      <c r="AM60" s="209">
        <f t="shared" si="6"/>
        <v>0.21292</v>
      </c>
      <c r="AN60" s="209">
        <f t="shared" si="6"/>
        <v>0.21292</v>
      </c>
      <c r="AO60" s="209">
        <f t="shared" si="6"/>
        <v>0.21292</v>
      </c>
      <c r="AP60" s="209">
        <f t="shared" si="6"/>
        <v>0.21292</v>
      </c>
      <c r="AQ60" s="209">
        <f t="shared" si="6"/>
        <v>0.21292</v>
      </c>
      <c r="AR60" s="209">
        <f t="shared" si="6"/>
        <v>0.21292</v>
      </c>
      <c r="AS60" s="209">
        <f t="shared" si="6"/>
        <v>0.21292</v>
      </c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42"/>
      <c r="CO60" s="42"/>
      <c r="CP60" s="42"/>
      <c r="CQ60" s="42"/>
      <c r="CR60" s="42"/>
      <c r="CS60" s="42"/>
      <c r="CT60" s="42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2"/>
      <c r="DJ60" s="42"/>
      <c r="DK60" s="42"/>
      <c r="DL60" s="42"/>
      <c r="DM60" s="42"/>
      <c r="DN60" s="42"/>
    </row>
    <row r="61" spans="1:118" s="207" customFormat="1" x14ac:dyDescent="0.25">
      <c r="A61" s="207" t="s">
        <v>6</v>
      </c>
      <c r="B61" s="207" t="s">
        <v>49</v>
      </c>
      <c r="C61" s="208" t="s">
        <v>80</v>
      </c>
      <c r="E61" s="207" t="s">
        <v>7</v>
      </c>
      <c r="F61" s="207" t="s">
        <v>50</v>
      </c>
      <c r="G61" s="207" t="s">
        <v>51</v>
      </c>
      <c r="K61" s="209">
        <f t="shared" si="7"/>
        <v>3.7878260000000002E-3</v>
      </c>
      <c r="L61" s="209">
        <f t="shared" si="6"/>
        <v>4.8208699999999997E-3</v>
      </c>
      <c r="M61" s="209">
        <f t="shared" si="6"/>
        <v>4.0899999999999999E-3</v>
      </c>
      <c r="N61" s="209">
        <f t="shared" si="6"/>
        <v>4.0899999999999999E-3</v>
      </c>
      <c r="O61" s="209">
        <f t="shared" si="6"/>
        <v>4.0899999999999999E-3</v>
      </c>
      <c r="P61" s="209">
        <f t="shared" si="6"/>
        <v>4.1060000000000003E-3</v>
      </c>
      <c r="Q61" s="209">
        <f t="shared" si="6"/>
        <v>4.1060000000000003E-3</v>
      </c>
      <c r="R61" s="209">
        <f t="shared" si="6"/>
        <v>4.1060000000000003E-3</v>
      </c>
      <c r="S61" s="209">
        <f t="shared" si="6"/>
        <v>4.1060000000000003E-3</v>
      </c>
      <c r="T61" s="209">
        <f t="shared" si="6"/>
        <v>4.1060000000000003E-3</v>
      </c>
      <c r="U61" s="209">
        <f t="shared" si="6"/>
        <v>4.1060000000000003E-3</v>
      </c>
      <c r="V61" s="209">
        <f t="shared" si="6"/>
        <v>4.1060000000000003E-3</v>
      </c>
      <c r="W61" s="209">
        <f t="shared" si="6"/>
        <v>4.1060000000000003E-3</v>
      </c>
      <c r="X61" s="209">
        <f t="shared" si="6"/>
        <v>4.1060000000000003E-3</v>
      </c>
      <c r="Y61" s="209">
        <f t="shared" si="6"/>
        <v>4.1060000000000003E-3</v>
      </c>
      <c r="Z61" s="209">
        <f t="shared" si="6"/>
        <v>4.1060000000000003E-3</v>
      </c>
      <c r="AA61" s="209">
        <f t="shared" si="6"/>
        <v>4.1060000000000003E-3</v>
      </c>
      <c r="AB61" s="209">
        <f t="shared" si="6"/>
        <v>4.1060000000000003E-3</v>
      </c>
      <c r="AC61" s="209">
        <f t="shared" si="6"/>
        <v>4.1060000000000003E-3</v>
      </c>
      <c r="AD61" s="209">
        <f t="shared" si="6"/>
        <v>4.1060000000000003E-3</v>
      </c>
      <c r="AE61" s="209">
        <f t="shared" si="6"/>
        <v>4.1060000000000003E-3</v>
      </c>
      <c r="AF61" s="209">
        <f t="shared" si="6"/>
        <v>4.1060000000000003E-3</v>
      </c>
      <c r="AG61" s="209">
        <f t="shared" si="6"/>
        <v>4.1060000000000003E-3</v>
      </c>
      <c r="AH61" s="209">
        <f t="shared" si="6"/>
        <v>4.1060000000000003E-3</v>
      </c>
      <c r="AI61" s="209">
        <f t="shared" si="6"/>
        <v>4.1060000000000003E-3</v>
      </c>
      <c r="AJ61" s="209">
        <f t="shared" si="6"/>
        <v>4.1060000000000003E-3</v>
      </c>
      <c r="AK61" s="209">
        <f t="shared" si="6"/>
        <v>4.1060000000000003E-3</v>
      </c>
      <c r="AL61" s="209">
        <f t="shared" si="6"/>
        <v>4.1060000000000003E-3</v>
      </c>
      <c r="AM61" s="209">
        <f t="shared" si="6"/>
        <v>4.1060000000000003E-3</v>
      </c>
      <c r="AN61" s="209">
        <f t="shared" si="6"/>
        <v>4.1060000000000003E-3</v>
      </c>
      <c r="AO61" s="209">
        <f t="shared" si="6"/>
        <v>4.1060000000000003E-3</v>
      </c>
      <c r="AP61" s="209">
        <f t="shared" si="6"/>
        <v>4.1060000000000003E-3</v>
      </c>
      <c r="AQ61" s="209">
        <f t="shared" si="6"/>
        <v>4.1060000000000003E-3</v>
      </c>
      <c r="AR61" s="209">
        <f t="shared" si="6"/>
        <v>4.1060000000000003E-3</v>
      </c>
      <c r="AS61" s="209">
        <f t="shared" si="6"/>
        <v>4.1060000000000003E-3</v>
      </c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2"/>
      <c r="DJ61" s="42"/>
      <c r="DK61" s="42"/>
      <c r="DL61" s="42"/>
      <c r="DM61" s="42"/>
      <c r="DN61" s="42"/>
    </row>
    <row r="62" spans="1:118" s="207" customFormat="1" x14ac:dyDescent="0.25">
      <c r="A62" s="207" t="s">
        <v>6</v>
      </c>
      <c r="B62" s="207" t="s">
        <v>49</v>
      </c>
      <c r="C62" s="208" t="s">
        <v>81</v>
      </c>
      <c r="E62" s="207" t="s">
        <v>7</v>
      </c>
      <c r="F62" s="207" t="s">
        <v>50</v>
      </c>
      <c r="G62" s="207" t="s">
        <v>51</v>
      </c>
      <c r="K62" s="209">
        <f t="shared" si="7"/>
        <v>0.12816540000000001</v>
      </c>
      <c r="L62" s="209">
        <f t="shared" si="6"/>
        <v>0.14423904000000001</v>
      </c>
      <c r="M62" s="209">
        <f t="shared" si="6"/>
        <v>0.12239800000000001</v>
      </c>
      <c r="N62" s="209">
        <f t="shared" si="6"/>
        <v>0.12239800000000001</v>
      </c>
      <c r="O62" s="209">
        <f t="shared" si="6"/>
        <v>0.12239800000000001</v>
      </c>
      <c r="P62" s="209">
        <f t="shared" si="6"/>
        <v>0.12285799999999999</v>
      </c>
      <c r="Q62" s="209">
        <f t="shared" si="6"/>
        <v>0.12285799999999999</v>
      </c>
      <c r="R62" s="209">
        <f t="shared" si="6"/>
        <v>0.12285799999999999</v>
      </c>
      <c r="S62" s="209">
        <f t="shared" si="6"/>
        <v>0.12285799999999999</v>
      </c>
      <c r="T62" s="209">
        <f t="shared" si="6"/>
        <v>0.12285799999999999</v>
      </c>
      <c r="U62" s="209">
        <f t="shared" si="6"/>
        <v>0.12285799999999999</v>
      </c>
      <c r="V62" s="209">
        <f t="shared" si="6"/>
        <v>0.12285799999999999</v>
      </c>
      <c r="W62" s="209">
        <f t="shared" si="6"/>
        <v>0.12285799999999999</v>
      </c>
      <c r="X62" s="209">
        <f t="shared" si="6"/>
        <v>0.12285799999999999</v>
      </c>
      <c r="Y62" s="209">
        <f t="shared" si="6"/>
        <v>0.12285799999999999</v>
      </c>
      <c r="Z62" s="209">
        <f t="shared" si="6"/>
        <v>0.12285799999999999</v>
      </c>
      <c r="AA62" s="209">
        <f t="shared" si="6"/>
        <v>0.12285799999999999</v>
      </c>
      <c r="AB62" s="209">
        <f t="shared" si="6"/>
        <v>0.12285799999999999</v>
      </c>
      <c r="AC62" s="209">
        <f t="shared" si="6"/>
        <v>0.12285799999999999</v>
      </c>
      <c r="AD62" s="209">
        <f t="shared" si="6"/>
        <v>0.12285799999999999</v>
      </c>
      <c r="AE62" s="209">
        <f t="shared" si="6"/>
        <v>0.12285799999999999</v>
      </c>
      <c r="AF62" s="209">
        <f t="shared" si="6"/>
        <v>0.12285799999999999</v>
      </c>
      <c r="AG62" s="209">
        <f t="shared" si="6"/>
        <v>0.12285799999999999</v>
      </c>
      <c r="AH62" s="209">
        <f t="shared" si="6"/>
        <v>0.12285799999999999</v>
      </c>
      <c r="AI62" s="209">
        <f t="shared" si="6"/>
        <v>0.12285799999999999</v>
      </c>
      <c r="AJ62" s="209">
        <f t="shared" si="6"/>
        <v>0.12285799999999999</v>
      </c>
      <c r="AK62" s="209">
        <f t="shared" si="6"/>
        <v>0.12285799999999999</v>
      </c>
      <c r="AL62" s="209">
        <f t="shared" si="6"/>
        <v>0.12285799999999999</v>
      </c>
      <c r="AM62" s="209">
        <f t="shared" si="6"/>
        <v>0.12285799999999999</v>
      </c>
      <c r="AN62" s="209">
        <f t="shared" si="6"/>
        <v>0.12285799999999999</v>
      </c>
      <c r="AO62" s="209">
        <f t="shared" si="6"/>
        <v>0.12285799999999999</v>
      </c>
      <c r="AP62" s="209">
        <f t="shared" si="6"/>
        <v>0.12285799999999999</v>
      </c>
      <c r="AQ62" s="209">
        <f t="shared" si="6"/>
        <v>0.12285799999999999</v>
      </c>
      <c r="AR62" s="209">
        <f t="shared" si="6"/>
        <v>0.12285799999999999</v>
      </c>
      <c r="AS62" s="209">
        <f t="shared" si="6"/>
        <v>0.12285799999999999</v>
      </c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  <c r="CR62" s="42"/>
      <c r="CS62" s="42"/>
      <c r="CT62" s="42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2"/>
      <c r="DJ62" s="42"/>
      <c r="DK62" s="42"/>
      <c r="DL62" s="42"/>
      <c r="DM62" s="42"/>
      <c r="DN62" s="42"/>
    </row>
    <row r="63" spans="1:118" s="207" customFormat="1" x14ac:dyDescent="0.25">
      <c r="A63" s="207" t="s">
        <v>6</v>
      </c>
      <c r="B63" s="207" t="s">
        <v>49</v>
      </c>
      <c r="C63" s="208" t="s">
        <v>82</v>
      </c>
      <c r="E63" s="207" t="s">
        <v>7</v>
      </c>
      <c r="F63" s="207" t="s">
        <v>50</v>
      </c>
      <c r="G63" s="207" t="s">
        <v>51</v>
      </c>
      <c r="K63" s="209">
        <f t="shared" si="7"/>
        <v>1.6733468000000001E-2</v>
      </c>
      <c r="L63" s="209">
        <f t="shared" si="6"/>
        <v>1.7089265999999999E-2</v>
      </c>
      <c r="M63" s="209">
        <f t="shared" si="6"/>
        <v>1.4501999999999999E-2</v>
      </c>
      <c r="N63" s="209">
        <f t="shared" si="6"/>
        <v>1.4501999999999999E-2</v>
      </c>
      <c r="O63" s="209">
        <f t="shared" si="6"/>
        <v>1.4501999999999999E-2</v>
      </c>
      <c r="P63" s="209">
        <f t="shared" si="6"/>
        <v>1.4555999999999999E-2</v>
      </c>
      <c r="Q63" s="209">
        <f t="shared" si="6"/>
        <v>1.4555999999999999E-2</v>
      </c>
      <c r="R63" s="209">
        <f t="shared" si="6"/>
        <v>1.4555999999999999E-2</v>
      </c>
      <c r="S63" s="209">
        <f t="shared" si="6"/>
        <v>1.4555999999999999E-2</v>
      </c>
      <c r="T63" s="209">
        <f t="shared" si="6"/>
        <v>1.4555999999999999E-2</v>
      </c>
      <c r="U63" s="209">
        <f t="shared" si="6"/>
        <v>1.4555999999999999E-2</v>
      </c>
      <c r="V63" s="209">
        <f t="shared" si="6"/>
        <v>1.4555999999999999E-2</v>
      </c>
      <c r="W63" s="209">
        <f t="shared" si="6"/>
        <v>1.4555999999999999E-2</v>
      </c>
      <c r="X63" s="209">
        <f t="shared" si="6"/>
        <v>1.4555999999999999E-2</v>
      </c>
      <c r="Y63" s="209">
        <f t="shared" si="6"/>
        <v>1.4555999999999999E-2</v>
      </c>
      <c r="Z63" s="209">
        <f t="shared" si="6"/>
        <v>1.4555999999999999E-2</v>
      </c>
      <c r="AA63" s="209">
        <f t="shared" si="6"/>
        <v>1.4555999999999999E-2</v>
      </c>
      <c r="AB63" s="209">
        <f t="shared" si="6"/>
        <v>1.4555999999999999E-2</v>
      </c>
      <c r="AC63" s="209">
        <f t="shared" si="6"/>
        <v>1.4555999999999999E-2</v>
      </c>
      <c r="AD63" s="209">
        <f t="shared" si="6"/>
        <v>1.4555999999999999E-2</v>
      </c>
      <c r="AE63" s="209">
        <f t="shared" si="6"/>
        <v>1.4555999999999999E-2</v>
      </c>
      <c r="AF63" s="209">
        <f t="shared" si="6"/>
        <v>1.4555999999999999E-2</v>
      </c>
      <c r="AG63" s="209">
        <f t="shared" si="6"/>
        <v>1.4555999999999999E-2</v>
      </c>
      <c r="AH63" s="209">
        <f t="shared" si="6"/>
        <v>1.4555999999999999E-2</v>
      </c>
      <c r="AI63" s="209">
        <f t="shared" si="6"/>
        <v>1.4555999999999999E-2</v>
      </c>
      <c r="AJ63" s="209">
        <f t="shared" si="6"/>
        <v>1.4555999999999999E-2</v>
      </c>
      <c r="AK63" s="209">
        <f t="shared" si="6"/>
        <v>1.4555999999999999E-2</v>
      </c>
      <c r="AL63" s="209">
        <f t="shared" si="6"/>
        <v>1.4555999999999999E-2</v>
      </c>
      <c r="AM63" s="209">
        <f t="shared" si="6"/>
        <v>1.4555999999999999E-2</v>
      </c>
      <c r="AN63" s="209">
        <f t="shared" si="6"/>
        <v>1.4555999999999999E-2</v>
      </c>
      <c r="AO63" s="209">
        <f t="shared" si="6"/>
        <v>1.4555999999999999E-2</v>
      </c>
      <c r="AP63" s="209">
        <f t="shared" si="6"/>
        <v>1.4555999999999999E-2</v>
      </c>
      <c r="AQ63" s="209">
        <f t="shared" si="6"/>
        <v>1.4555999999999999E-2</v>
      </c>
      <c r="AR63" s="209">
        <f t="shared" si="6"/>
        <v>1.4555999999999999E-2</v>
      </c>
      <c r="AS63" s="209">
        <f t="shared" si="6"/>
        <v>1.4555999999999999E-2</v>
      </c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42"/>
      <c r="CO63" s="42"/>
      <c r="CP63" s="42"/>
      <c r="CQ63" s="42"/>
      <c r="CR63" s="42"/>
      <c r="CS63" s="42"/>
      <c r="CT63" s="42"/>
      <c r="CU63" s="42"/>
      <c r="CV63" s="42"/>
      <c r="CW63" s="42"/>
      <c r="CX63" s="42"/>
      <c r="CY63" s="42"/>
      <c r="CZ63" s="42"/>
      <c r="DA63" s="42"/>
      <c r="DB63" s="42"/>
      <c r="DC63" s="42"/>
      <c r="DD63" s="42"/>
      <c r="DE63" s="42"/>
      <c r="DF63" s="42"/>
      <c r="DG63" s="42"/>
      <c r="DH63" s="42"/>
      <c r="DI63" s="42"/>
      <c r="DJ63" s="42"/>
      <c r="DK63" s="42"/>
      <c r="DL63" s="42"/>
      <c r="DM63" s="42"/>
      <c r="DN63" s="42"/>
    </row>
    <row r="64" spans="1:118" s="204" customFormat="1" x14ac:dyDescent="0.25">
      <c r="A64" s="204" t="s">
        <v>6</v>
      </c>
      <c r="B64" s="204" t="s">
        <v>48</v>
      </c>
      <c r="C64" s="205" t="s">
        <v>83</v>
      </c>
      <c r="E64" s="204" t="s">
        <v>7</v>
      </c>
      <c r="F64" s="204" t="s">
        <v>50</v>
      </c>
      <c r="G64" s="204" t="s">
        <v>51</v>
      </c>
      <c r="K64" s="206">
        <v>2.8432800000000001E-3</v>
      </c>
      <c r="L64" s="206">
        <v>4.2599700000000001E-3</v>
      </c>
      <c r="M64" s="206">
        <v>4.2599999999999999E-3</v>
      </c>
      <c r="N64" s="206">
        <v>5.7149999999999996E-3</v>
      </c>
      <c r="O64" s="206">
        <v>5.8820000000000001E-3</v>
      </c>
      <c r="P64" s="206">
        <v>6.0280000000000004E-3</v>
      </c>
      <c r="Q64" s="206">
        <v>6.1989999999999996E-3</v>
      </c>
      <c r="R64" s="206">
        <v>6.3730000000000002E-3</v>
      </c>
      <c r="S64" s="206">
        <v>6.5500000000000003E-3</v>
      </c>
      <c r="T64" s="206">
        <v>6.6769999999999998E-3</v>
      </c>
      <c r="U64" s="206">
        <v>6.8060000000000004E-3</v>
      </c>
      <c r="V64" s="206">
        <v>6.9360000000000003E-3</v>
      </c>
      <c r="W64" s="206">
        <v>7.0670000000000004E-3</v>
      </c>
      <c r="X64" s="206">
        <v>7.1999999999999998E-3</v>
      </c>
      <c r="Y64" s="206">
        <v>7.0159999999999997E-3</v>
      </c>
      <c r="Z64" s="206">
        <v>6.8339999999999998E-3</v>
      </c>
      <c r="AA64" s="206">
        <v>6.6540000000000002E-3</v>
      </c>
      <c r="AB64" s="206">
        <v>6.4770000000000001E-3</v>
      </c>
      <c r="AC64" s="206">
        <v>6.3029999999999996E-3</v>
      </c>
      <c r="AD64" s="206">
        <v>6.5009999999999998E-3</v>
      </c>
      <c r="AE64" s="206">
        <v>6.7010000000000004E-3</v>
      </c>
      <c r="AF64" s="206">
        <v>6.9049999999999997E-3</v>
      </c>
      <c r="AG64" s="206">
        <v>7.1130000000000004E-3</v>
      </c>
      <c r="AH64" s="206">
        <v>7.3229999999999996E-3</v>
      </c>
      <c r="AI64" s="206">
        <v>7.2160000000000002E-3</v>
      </c>
      <c r="AJ64" s="206">
        <v>7.1089999999999999E-3</v>
      </c>
      <c r="AK64" s="206">
        <v>7.0039999999999998E-3</v>
      </c>
      <c r="AL64" s="206">
        <v>6.8989999999999998E-3</v>
      </c>
      <c r="AM64" s="206">
        <v>6.7949999999999998E-3</v>
      </c>
      <c r="AN64" s="206">
        <v>6.6270000000000001E-3</v>
      </c>
      <c r="AO64" s="206">
        <v>6.4609999999999997E-3</v>
      </c>
      <c r="AP64" s="206">
        <v>6.2969999999999996E-3</v>
      </c>
      <c r="AQ64" s="206">
        <v>6.1339999999999997E-3</v>
      </c>
      <c r="AR64" s="206">
        <v>5.9750000000000003E-3</v>
      </c>
      <c r="AS64" s="206">
        <v>5.8170000000000001E-3</v>
      </c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42"/>
      <c r="CT64" s="42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2"/>
      <c r="DJ64" s="42"/>
      <c r="DK64" s="42"/>
      <c r="DL64" s="42"/>
      <c r="DM64" s="42"/>
      <c r="DN64" s="42"/>
    </row>
    <row r="65" spans="1:118" s="204" customFormat="1" x14ac:dyDescent="0.25">
      <c r="A65" s="204" t="s">
        <v>6</v>
      </c>
      <c r="B65" s="204" t="s">
        <v>48</v>
      </c>
      <c r="C65" s="205" t="s">
        <v>84</v>
      </c>
      <c r="E65" s="204" t="s">
        <v>7</v>
      </c>
      <c r="F65" s="204" t="s">
        <v>50</v>
      </c>
      <c r="G65" s="204" t="s">
        <v>51</v>
      </c>
      <c r="K65" s="206">
        <v>1.03455E-3</v>
      </c>
      <c r="L65" s="206">
        <v>1.3335300000000001E-3</v>
      </c>
      <c r="M65" s="206">
        <v>1.2880000000000001E-3</v>
      </c>
      <c r="N65" s="206">
        <v>3.2399999999999998E-3</v>
      </c>
      <c r="O65" s="206">
        <v>3.385E-3</v>
      </c>
      <c r="P65" s="206">
        <v>3.5049999999999999E-3</v>
      </c>
      <c r="Q65" s="206">
        <v>3.6540000000000001E-3</v>
      </c>
      <c r="R65" s="206">
        <v>3.8049999999999998E-3</v>
      </c>
      <c r="S65" s="206">
        <v>3.9579999999999997E-3</v>
      </c>
      <c r="T65" s="206">
        <v>4.0679999999999996E-3</v>
      </c>
      <c r="U65" s="206">
        <v>4.1799999999999997E-3</v>
      </c>
      <c r="V65" s="206">
        <v>4.2919999999999998E-3</v>
      </c>
      <c r="W65" s="206">
        <v>4.4060000000000002E-3</v>
      </c>
      <c r="X65" s="206">
        <v>4.5209999999999998E-3</v>
      </c>
      <c r="Y65" s="206">
        <v>4.3610000000000003E-3</v>
      </c>
      <c r="Z65" s="206">
        <v>4.2030000000000001E-3</v>
      </c>
      <c r="AA65" s="206">
        <v>4.0480000000000004E-3</v>
      </c>
      <c r="AB65" s="206">
        <v>3.895E-3</v>
      </c>
      <c r="AC65" s="206">
        <v>3.7429999999999998E-3</v>
      </c>
      <c r="AD65" s="206">
        <v>3.9150000000000001E-3</v>
      </c>
      <c r="AE65" s="206">
        <v>4.0889999999999998E-3</v>
      </c>
      <c r="AF65" s="206">
        <v>4.2659999999999998E-3</v>
      </c>
      <c r="AG65" s="206">
        <v>4.4450000000000002E-3</v>
      </c>
      <c r="AH65" s="206">
        <v>4.627E-3</v>
      </c>
      <c r="AI65" s="206">
        <v>4.535E-3</v>
      </c>
      <c r="AJ65" s="206">
        <v>4.4419999999999998E-3</v>
      </c>
      <c r="AK65" s="206">
        <v>4.3509999999999998E-3</v>
      </c>
      <c r="AL65" s="206">
        <v>4.2599999999999999E-3</v>
      </c>
      <c r="AM65" s="206">
        <v>4.1700000000000001E-3</v>
      </c>
      <c r="AN65" s="206">
        <v>4.0239999999999998E-3</v>
      </c>
      <c r="AO65" s="206">
        <v>3.8800000000000002E-3</v>
      </c>
      <c r="AP65" s="206">
        <v>3.738E-3</v>
      </c>
      <c r="AQ65" s="206">
        <v>3.5969999999999999E-3</v>
      </c>
      <c r="AR65" s="206">
        <v>3.4589999999999998E-3</v>
      </c>
      <c r="AS65" s="206">
        <v>3.3219999999999999E-3</v>
      </c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  <c r="CR65" s="42"/>
      <c r="CS65" s="42"/>
      <c r="CT65" s="42"/>
      <c r="CU65" s="42"/>
      <c r="CV65" s="42"/>
      <c r="CW65" s="42"/>
      <c r="CX65" s="42"/>
      <c r="CY65" s="42"/>
      <c r="CZ65" s="42"/>
      <c r="DA65" s="42"/>
      <c r="DB65" s="42"/>
      <c r="DC65" s="42"/>
      <c r="DD65" s="42"/>
      <c r="DE65" s="42"/>
      <c r="DF65" s="42"/>
      <c r="DG65" s="42"/>
      <c r="DH65" s="42"/>
      <c r="DI65" s="42"/>
      <c r="DJ65" s="42"/>
      <c r="DK65" s="42"/>
      <c r="DL65" s="42"/>
      <c r="DM65" s="42"/>
      <c r="DN65" s="42"/>
    </row>
    <row r="66" spans="1:118" s="204" customFormat="1" x14ac:dyDescent="0.25">
      <c r="A66" s="204" t="s">
        <v>6</v>
      </c>
      <c r="B66" s="204" t="s">
        <v>48</v>
      </c>
      <c r="C66" s="205" t="s">
        <v>85</v>
      </c>
      <c r="E66" s="204" t="s">
        <v>7</v>
      </c>
      <c r="F66" s="204" t="s">
        <v>50</v>
      </c>
      <c r="G66" s="204" t="s">
        <v>51</v>
      </c>
      <c r="K66" s="206">
        <v>1.8394199999999999E-2</v>
      </c>
      <c r="L66" s="206">
        <v>1.554498E-2</v>
      </c>
      <c r="M66" s="206">
        <v>2.0326E-2</v>
      </c>
      <c r="N66" s="206">
        <v>2.0684000000000001E-2</v>
      </c>
      <c r="O66" s="206">
        <v>2.0969999999999999E-2</v>
      </c>
      <c r="P66" s="206">
        <v>2.1259E-2</v>
      </c>
      <c r="Q66" s="206">
        <v>2.1552000000000002E-2</v>
      </c>
      <c r="R66" s="206">
        <v>2.1850000000000001E-2</v>
      </c>
      <c r="S66" s="206">
        <v>2.2152000000000002E-2</v>
      </c>
      <c r="T66" s="206">
        <v>2.2370000000000001E-2</v>
      </c>
      <c r="U66" s="206">
        <v>2.2589999999999999E-2</v>
      </c>
      <c r="V66" s="206">
        <v>2.2811999999999999E-2</v>
      </c>
      <c r="W66" s="206">
        <v>2.3036000000000001E-2</v>
      </c>
      <c r="X66" s="206">
        <v>2.3262999999999999E-2</v>
      </c>
      <c r="Y66" s="206">
        <v>2.2948E-2</v>
      </c>
      <c r="Z66" s="206">
        <v>2.2637000000000001E-2</v>
      </c>
      <c r="AA66" s="206">
        <v>2.2329999999999999E-2</v>
      </c>
      <c r="AB66" s="206">
        <v>2.2027999999999999E-2</v>
      </c>
      <c r="AC66" s="206">
        <v>2.1728999999999998E-2</v>
      </c>
      <c r="AD66" s="206">
        <v>2.2067E-2</v>
      </c>
      <c r="AE66" s="206">
        <v>2.2411E-2</v>
      </c>
      <c r="AF66" s="206">
        <v>2.2759999999999999E-2</v>
      </c>
      <c r="AG66" s="206">
        <v>2.3113999999999999E-2</v>
      </c>
      <c r="AH66" s="206">
        <v>2.3473000000000001E-2</v>
      </c>
      <c r="AI66" s="206">
        <v>2.3290000000000002E-2</v>
      </c>
      <c r="AJ66" s="206">
        <v>2.3108E-2</v>
      </c>
      <c r="AK66" s="206">
        <v>2.2928E-2</v>
      </c>
      <c r="AL66" s="206">
        <v>2.2748999999999998E-2</v>
      </c>
      <c r="AM66" s="206">
        <v>2.2571000000000001E-2</v>
      </c>
      <c r="AN66" s="206">
        <v>2.2283000000000001E-2</v>
      </c>
      <c r="AO66" s="206">
        <v>2.1999000000000001E-2</v>
      </c>
      <c r="AP66" s="206">
        <v>2.1718999999999999E-2</v>
      </c>
      <c r="AQ66" s="206">
        <v>2.1441999999999999E-2</v>
      </c>
      <c r="AR66" s="206">
        <v>2.1167999999999999E-2</v>
      </c>
      <c r="AS66" s="206">
        <v>2.0898E-2</v>
      </c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42"/>
      <c r="CO66" s="42"/>
      <c r="CP66" s="42"/>
      <c r="CQ66" s="42"/>
      <c r="CR66" s="42"/>
      <c r="CS66" s="42"/>
      <c r="CT66" s="42"/>
      <c r="CU66" s="42"/>
      <c r="CV66" s="42"/>
      <c r="CW66" s="42"/>
      <c r="CX66" s="42"/>
      <c r="CY66" s="42"/>
      <c r="CZ66" s="42"/>
      <c r="DA66" s="42"/>
      <c r="DB66" s="42"/>
      <c r="DC66" s="42"/>
      <c r="DD66" s="42"/>
      <c r="DE66" s="42"/>
      <c r="DF66" s="42"/>
      <c r="DG66" s="42"/>
      <c r="DH66" s="42"/>
      <c r="DI66" s="42"/>
      <c r="DJ66" s="42"/>
      <c r="DK66" s="42"/>
      <c r="DL66" s="42"/>
      <c r="DM66" s="42"/>
      <c r="DN66" s="42"/>
    </row>
    <row r="67" spans="1:118" s="204" customFormat="1" x14ac:dyDescent="0.25">
      <c r="A67" s="204" t="s">
        <v>6</v>
      </c>
      <c r="B67" s="204" t="s">
        <v>48</v>
      </c>
      <c r="C67" s="205" t="s">
        <v>86</v>
      </c>
      <c r="E67" s="204" t="s">
        <v>7</v>
      </c>
      <c r="F67" s="204" t="s">
        <v>50</v>
      </c>
      <c r="G67" s="204" t="s">
        <v>51</v>
      </c>
      <c r="K67" s="206">
        <v>4.4450999999999996E-3</v>
      </c>
      <c r="L67" s="206">
        <v>4.4945999999999996E-3</v>
      </c>
      <c r="M67" s="206">
        <v>4.0289999999999996E-3</v>
      </c>
      <c r="N67" s="206">
        <v>1.3422E-2</v>
      </c>
      <c r="O67" s="206">
        <v>1.4446000000000001E-2</v>
      </c>
      <c r="P67" s="206">
        <v>1.5254E-2</v>
      </c>
      <c r="Q67" s="206">
        <v>1.6306999999999999E-2</v>
      </c>
      <c r="R67" s="206">
        <v>1.7374000000000001E-2</v>
      </c>
      <c r="S67" s="206">
        <v>1.8454999999999999E-2</v>
      </c>
      <c r="T67" s="206">
        <v>1.9236E-2</v>
      </c>
      <c r="U67" s="206">
        <v>2.0024E-2</v>
      </c>
      <c r="V67" s="206">
        <v>2.0820999999999999E-2</v>
      </c>
      <c r="W67" s="206">
        <v>2.1624000000000001E-2</v>
      </c>
      <c r="X67" s="206">
        <v>2.2436000000000001E-2</v>
      </c>
      <c r="Y67" s="206">
        <v>2.1307E-2</v>
      </c>
      <c r="Z67" s="206">
        <v>2.0192999999999999E-2</v>
      </c>
      <c r="AA67" s="206">
        <v>1.9094E-2</v>
      </c>
      <c r="AB67" s="206">
        <v>1.8010000000000002E-2</v>
      </c>
      <c r="AC67" s="206">
        <v>1.694E-2</v>
      </c>
      <c r="AD67" s="206">
        <v>1.8152000000000001E-2</v>
      </c>
      <c r="AE67" s="206">
        <v>1.9383000000000001E-2</v>
      </c>
      <c r="AF67" s="206">
        <v>2.0632000000000001E-2</v>
      </c>
      <c r="AG67" s="206">
        <v>2.1901E-2</v>
      </c>
      <c r="AH67" s="206">
        <v>2.3189999999999999E-2</v>
      </c>
      <c r="AI67" s="206">
        <v>2.2533000000000001E-2</v>
      </c>
      <c r="AJ67" s="206">
        <v>2.1881000000000001E-2</v>
      </c>
      <c r="AK67" s="206">
        <v>2.1235E-2</v>
      </c>
      <c r="AL67" s="206">
        <v>2.0593E-2</v>
      </c>
      <c r="AM67" s="206">
        <v>1.9956999999999999E-2</v>
      </c>
      <c r="AN67" s="206">
        <v>1.8925999999999998E-2</v>
      </c>
      <c r="AO67" s="206">
        <v>1.7908E-2</v>
      </c>
      <c r="AP67" s="206">
        <v>1.6902E-2</v>
      </c>
      <c r="AQ67" s="206">
        <v>1.5910000000000001E-2</v>
      </c>
      <c r="AR67" s="206">
        <v>1.4930000000000001E-2</v>
      </c>
      <c r="AS67" s="206">
        <v>1.3962E-2</v>
      </c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2"/>
      <c r="CL67" s="42"/>
      <c r="CM67" s="42"/>
      <c r="CN67" s="42"/>
      <c r="CO67" s="42"/>
      <c r="CP67" s="42"/>
      <c r="CQ67" s="42"/>
      <c r="CR67" s="42"/>
      <c r="CS67" s="42"/>
      <c r="CT67" s="42"/>
      <c r="CU67" s="42"/>
      <c r="CV67" s="42"/>
      <c r="CW67" s="42"/>
      <c r="CX67" s="42"/>
      <c r="CY67" s="42"/>
      <c r="CZ67" s="42"/>
      <c r="DA67" s="42"/>
      <c r="DB67" s="42"/>
      <c r="DC67" s="42"/>
      <c r="DD67" s="42"/>
      <c r="DE67" s="42"/>
      <c r="DF67" s="42"/>
      <c r="DG67" s="42"/>
      <c r="DH67" s="42"/>
      <c r="DI67" s="42"/>
      <c r="DJ67" s="42"/>
      <c r="DK67" s="42"/>
      <c r="DL67" s="42"/>
      <c r="DM67" s="42"/>
      <c r="DN67" s="42"/>
    </row>
    <row r="68" spans="1:118" s="204" customFormat="1" x14ac:dyDescent="0.25">
      <c r="A68" s="204" t="s">
        <v>6</v>
      </c>
      <c r="B68" s="204" t="s">
        <v>48</v>
      </c>
      <c r="C68" s="205" t="s">
        <v>87</v>
      </c>
      <c r="E68" s="204" t="s">
        <v>7</v>
      </c>
      <c r="F68" s="204" t="s">
        <v>50</v>
      </c>
      <c r="G68" s="204" t="s">
        <v>51</v>
      </c>
      <c r="K68" s="206">
        <v>1.7938800000000001E-3</v>
      </c>
      <c r="L68" s="206">
        <v>2.8502100000000002E-3</v>
      </c>
      <c r="M68" s="206">
        <v>2.921E-3</v>
      </c>
      <c r="N68" s="206">
        <v>2.9589999999999998E-3</v>
      </c>
      <c r="O68" s="206">
        <v>3.0070000000000001E-3</v>
      </c>
      <c r="P68" s="206">
        <v>3.0530000000000002E-3</v>
      </c>
      <c r="Q68" s="206">
        <v>3.1020000000000002E-3</v>
      </c>
      <c r="R68" s="206">
        <v>3.1510000000000002E-3</v>
      </c>
      <c r="S68" s="206">
        <v>3.2009999999999999E-3</v>
      </c>
      <c r="T68" s="206">
        <v>3.238E-3</v>
      </c>
      <c r="U68" s="206">
        <v>3.274E-3</v>
      </c>
      <c r="V68" s="206">
        <v>3.3110000000000001E-3</v>
      </c>
      <c r="W68" s="206">
        <v>3.3479999999999998E-3</v>
      </c>
      <c r="X68" s="206">
        <v>3.3860000000000001E-3</v>
      </c>
      <c r="Y68" s="206">
        <v>3.3340000000000002E-3</v>
      </c>
      <c r="Z68" s="206">
        <v>3.2820000000000002E-3</v>
      </c>
      <c r="AA68" s="206">
        <v>3.2309999999999999E-3</v>
      </c>
      <c r="AB68" s="206">
        <v>3.1809999999999998E-3</v>
      </c>
      <c r="AC68" s="206">
        <v>3.1310000000000001E-3</v>
      </c>
      <c r="AD68" s="206">
        <v>3.1870000000000002E-3</v>
      </c>
      <c r="AE68" s="206">
        <v>3.2439999999999999E-3</v>
      </c>
      <c r="AF68" s="206">
        <v>3.3019999999999998E-3</v>
      </c>
      <c r="AG68" s="206">
        <v>3.3609999999999998E-3</v>
      </c>
      <c r="AH68" s="206">
        <v>3.421E-3</v>
      </c>
      <c r="AI68" s="206">
        <v>3.3899999999999998E-3</v>
      </c>
      <c r="AJ68" s="206">
        <v>3.3600000000000001E-3</v>
      </c>
      <c r="AK68" s="206">
        <v>3.3300000000000001E-3</v>
      </c>
      <c r="AL68" s="206">
        <v>3.3E-3</v>
      </c>
      <c r="AM68" s="206">
        <v>3.271E-3</v>
      </c>
      <c r="AN68" s="206">
        <v>3.2230000000000002E-3</v>
      </c>
      <c r="AO68" s="206">
        <v>3.176E-3</v>
      </c>
      <c r="AP68" s="206">
        <v>3.1289999999999998E-3</v>
      </c>
      <c r="AQ68" s="206">
        <v>3.0829999999999998E-3</v>
      </c>
      <c r="AR68" s="206">
        <v>3.0379999999999999E-3</v>
      </c>
      <c r="AS68" s="206">
        <v>2.993E-3</v>
      </c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  <c r="CQ68" s="42"/>
      <c r="CR68" s="42"/>
      <c r="CS68" s="42"/>
      <c r="CT68" s="42"/>
      <c r="CU68" s="42"/>
      <c r="CV68" s="42"/>
      <c r="CW68" s="42"/>
      <c r="CX68" s="42"/>
      <c r="CY68" s="42"/>
      <c r="CZ68" s="42"/>
      <c r="DA68" s="42"/>
      <c r="DB68" s="42"/>
      <c r="DC68" s="42"/>
      <c r="DD68" s="42"/>
      <c r="DE68" s="42"/>
      <c r="DF68" s="42"/>
      <c r="DG68" s="42"/>
      <c r="DH68" s="42"/>
      <c r="DI68" s="42"/>
      <c r="DJ68" s="42"/>
      <c r="DK68" s="42"/>
      <c r="DL68" s="42"/>
      <c r="DM68" s="42"/>
      <c r="DN68" s="42"/>
    </row>
    <row r="69" spans="1:118" s="207" customFormat="1" x14ac:dyDescent="0.25">
      <c r="A69" s="207" t="s">
        <v>6</v>
      </c>
      <c r="B69" s="207" t="s">
        <v>49</v>
      </c>
      <c r="C69" s="208" t="s">
        <v>83</v>
      </c>
      <c r="E69" s="207" t="s">
        <v>7</v>
      </c>
      <c r="F69" s="207" t="s">
        <v>50</v>
      </c>
      <c r="G69" s="207" t="s">
        <v>51</v>
      </c>
      <c r="K69" s="209">
        <f>+K64*2</f>
        <v>5.6865600000000002E-3</v>
      </c>
      <c r="L69" s="209">
        <f t="shared" ref="L69:AS73" si="8">+L64*2</f>
        <v>8.5199400000000002E-3</v>
      </c>
      <c r="M69" s="209">
        <f t="shared" si="8"/>
        <v>8.5199999999999998E-3</v>
      </c>
      <c r="N69" s="209">
        <f t="shared" si="8"/>
        <v>1.1429999999999999E-2</v>
      </c>
      <c r="O69" s="209">
        <f t="shared" si="8"/>
        <v>1.1764E-2</v>
      </c>
      <c r="P69" s="209">
        <f t="shared" si="8"/>
        <v>1.2056000000000001E-2</v>
      </c>
      <c r="Q69" s="209">
        <f t="shared" si="8"/>
        <v>1.2397999999999999E-2</v>
      </c>
      <c r="R69" s="209">
        <f t="shared" si="8"/>
        <v>1.2746E-2</v>
      </c>
      <c r="S69" s="209">
        <f t="shared" si="8"/>
        <v>1.3100000000000001E-2</v>
      </c>
      <c r="T69" s="209">
        <f t="shared" si="8"/>
        <v>1.3354E-2</v>
      </c>
      <c r="U69" s="209">
        <f t="shared" si="8"/>
        <v>1.3612000000000001E-2</v>
      </c>
      <c r="V69" s="209">
        <f t="shared" si="8"/>
        <v>1.3872000000000001E-2</v>
      </c>
      <c r="W69" s="209">
        <f t="shared" si="8"/>
        <v>1.4134000000000001E-2</v>
      </c>
      <c r="X69" s="209">
        <f t="shared" si="8"/>
        <v>1.44E-2</v>
      </c>
      <c r="Y69" s="209">
        <f t="shared" si="8"/>
        <v>1.4031999999999999E-2</v>
      </c>
      <c r="Z69" s="209">
        <f t="shared" si="8"/>
        <v>1.3668E-2</v>
      </c>
      <c r="AA69" s="209">
        <f t="shared" si="8"/>
        <v>1.3308E-2</v>
      </c>
      <c r="AB69" s="209">
        <f t="shared" si="8"/>
        <v>1.2954E-2</v>
      </c>
      <c r="AC69" s="209">
        <f t="shared" si="8"/>
        <v>1.2605999999999999E-2</v>
      </c>
      <c r="AD69" s="209">
        <f t="shared" si="8"/>
        <v>1.3002E-2</v>
      </c>
      <c r="AE69" s="209">
        <f t="shared" si="8"/>
        <v>1.3402000000000001E-2</v>
      </c>
      <c r="AF69" s="209">
        <f t="shared" si="8"/>
        <v>1.3809999999999999E-2</v>
      </c>
      <c r="AG69" s="209">
        <f t="shared" si="8"/>
        <v>1.4226000000000001E-2</v>
      </c>
      <c r="AH69" s="209">
        <f t="shared" si="8"/>
        <v>1.4645999999999999E-2</v>
      </c>
      <c r="AI69" s="209">
        <f t="shared" si="8"/>
        <v>1.4432E-2</v>
      </c>
      <c r="AJ69" s="209">
        <f t="shared" si="8"/>
        <v>1.4218E-2</v>
      </c>
      <c r="AK69" s="209">
        <f t="shared" si="8"/>
        <v>1.4008E-2</v>
      </c>
      <c r="AL69" s="209">
        <f t="shared" si="8"/>
        <v>1.3798E-2</v>
      </c>
      <c r="AM69" s="209">
        <f t="shared" si="8"/>
        <v>1.359E-2</v>
      </c>
      <c r="AN69" s="209">
        <f t="shared" si="8"/>
        <v>1.3254E-2</v>
      </c>
      <c r="AO69" s="209">
        <f t="shared" si="8"/>
        <v>1.2921999999999999E-2</v>
      </c>
      <c r="AP69" s="209">
        <f t="shared" si="8"/>
        <v>1.2593999999999999E-2</v>
      </c>
      <c r="AQ69" s="209">
        <f t="shared" si="8"/>
        <v>1.2267999999999999E-2</v>
      </c>
      <c r="AR69" s="209">
        <f t="shared" si="8"/>
        <v>1.1950000000000001E-2</v>
      </c>
      <c r="AS69" s="209">
        <f t="shared" si="8"/>
        <v>1.1634E-2</v>
      </c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  <c r="CN69" s="42"/>
      <c r="CO69" s="42"/>
      <c r="CP69" s="42"/>
      <c r="CQ69" s="42"/>
      <c r="CR69" s="42"/>
      <c r="CS69" s="42"/>
      <c r="CT69" s="42"/>
      <c r="CU69" s="42"/>
      <c r="CV69" s="42"/>
      <c r="CW69" s="42"/>
      <c r="CX69" s="42"/>
      <c r="CY69" s="42"/>
      <c r="CZ69" s="42"/>
      <c r="DA69" s="42"/>
      <c r="DB69" s="42"/>
      <c r="DC69" s="42"/>
      <c r="DD69" s="42"/>
      <c r="DE69" s="42"/>
      <c r="DF69" s="42"/>
      <c r="DG69" s="42"/>
      <c r="DH69" s="42"/>
      <c r="DI69" s="42"/>
      <c r="DJ69" s="42"/>
      <c r="DK69" s="42"/>
      <c r="DL69" s="42"/>
      <c r="DM69" s="42"/>
      <c r="DN69" s="42"/>
    </row>
    <row r="70" spans="1:118" s="207" customFormat="1" x14ac:dyDescent="0.25">
      <c r="A70" s="207" t="s">
        <v>6</v>
      </c>
      <c r="B70" s="207" t="s">
        <v>49</v>
      </c>
      <c r="C70" s="208" t="s">
        <v>84</v>
      </c>
      <c r="E70" s="207" t="s">
        <v>7</v>
      </c>
      <c r="F70" s="207" t="s">
        <v>50</v>
      </c>
      <c r="G70" s="207" t="s">
        <v>51</v>
      </c>
      <c r="K70" s="209">
        <f t="shared" ref="K70:Z73" si="9">+K65*2</f>
        <v>2.0690999999999999E-3</v>
      </c>
      <c r="L70" s="209">
        <f t="shared" si="9"/>
        <v>2.6670600000000002E-3</v>
      </c>
      <c r="M70" s="209">
        <f t="shared" si="9"/>
        <v>2.5760000000000002E-3</v>
      </c>
      <c r="N70" s="209">
        <f t="shared" si="9"/>
        <v>6.4799999999999996E-3</v>
      </c>
      <c r="O70" s="209">
        <f t="shared" si="9"/>
        <v>6.77E-3</v>
      </c>
      <c r="P70" s="209">
        <f t="shared" si="9"/>
        <v>7.0099999999999997E-3</v>
      </c>
      <c r="Q70" s="209">
        <f t="shared" si="9"/>
        <v>7.3080000000000003E-3</v>
      </c>
      <c r="R70" s="209">
        <f t="shared" si="9"/>
        <v>7.6099999999999996E-3</v>
      </c>
      <c r="S70" s="209">
        <f t="shared" si="9"/>
        <v>7.9159999999999994E-3</v>
      </c>
      <c r="T70" s="209">
        <f t="shared" si="9"/>
        <v>8.1359999999999991E-3</v>
      </c>
      <c r="U70" s="209">
        <f t="shared" si="9"/>
        <v>8.3599999999999994E-3</v>
      </c>
      <c r="V70" s="209">
        <f t="shared" si="9"/>
        <v>8.5839999999999996E-3</v>
      </c>
      <c r="W70" s="209">
        <f t="shared" si="9"/>
        <v>8.8120000000000004E-3</v>
      </c>
      <c r="X70" s="209">
        <f t="shared" si="9"/>
        <v>9.0419999999999997E-3</v>
      </c>
      <c r="Y70" s="209">
        <f t="shared" si="9"/>
        <v>8.7220000000000006E-3</v>
      </c>
      <c r="Z70" s="209">
        <f t="shared" si="9"/>
        <v>8.4060000000000003E-3</v>
      </c>
      <c r="AA70" s="209">
        <f t="shared" si="8"/>
        <v>8.0960000000000008E-3</v>
      </c>
      <c r="AB70" s="209">
        <f t="shared" si="8"/>
        <v>7.79E-3</v>
      </c>
      <c r="AC70" s="209">
        <f t="shared" si="8"/>
        <v>7.4859999999999996E-3</v>
      </c>
      <c r="AD70" s="209">
        <f t="shared" si="8"/>
        <v>7.8300000000000002E-3</v>
      </c>
      <c r="AE70" s="209">
        <f t="shared" si="8"/>
        <v>8.1779999999999995E-3</v>
      </c>
      <c r="AF70" s="209">
        <f t="shared" si="8"/>
        <v>8.5319999999999997E-3</v>
      </c>
      <c r="AG70" s="209">
        <f t="shared" si="8"/>
        <v>8.8900000000000003E-3</v>
      </c>
      <c r="AH70" s="209">
        <f t="shared" si="8"/>
        <v>9.2540000000000001E-3</v>
      </c>
      <c r="AI70" s="209">
        <f t="shared" si="8"/>
        <v>9.0699999999999999E-3</v>
      </c>
      <c r="AJ70" s="209">
        <f t="shared" si="8"/>
        <v>8.8839999999999995E-3</v>
      </c>
      <c r="AK70" s="209">
        <f t="shared" si="8"/>
        <v>8.7019999999999997E-3</v>
      </c>
      <c r="AL70" s="209">
        <f t="shared" si="8"/>
        <v>8.5199999999999998E-3</v>
      </c>
      <c r="AM70" s="209">
        <f t="shared" si="8"/>
        <v>8.3400000000000002E-3</v>
      </c>
      <c r="AN70" s="209">
        <f t="shared" si="8"/>
        <v>8.0479999999999996E-3</v>
      </c>
      <c r="AO70" s="209">
        <f t="shared" si="8"/>
        <v>7.7600000000000004E-3</v>
      </c>
      <c r="AP70" s="209">
        <f t="shared" si="8"/>
        <v>7.476E-3</v>
      </c>
      <c r="AQ70" s="209">
        <f t="shared" si="8"/>
        <v>7.1939999999999999E-3</v>
      </c>
      <c r="AR70" s="209">
        <f t="shared" si="8"/>
        <v>6.9179999999999997E-3</v>
      </c>
      <c r="AS70" s="209">
        <f t="shared" si="8"/>
        <v>6.6439999999999997E-3</v>
      </c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  <c r="CQ70" s="42"/>
      <c r="CR70" s="42"/>
      <c r="CS70" s="42"/>
      <c r="CT70" s="42"/>
      <c r="CU70" s="42"/>
      <c r="CV70" s="42"/>
      <c r="CW70" s="42"/>
      <c r="CX70" s="42"/>
      <c r="CY70" s="42"/>
      <c r="CZ70" s="42"/>
      <c r="DA70" s="42"/>
      <c r="DB70" s="42"/>
      <c r="DC70" s="42"/>
      <c r="DD70" s="42"/>
      <c r="DE70" s="42"/>
      <c r="DF70" s="42"/>
      <c r="DG70" s="42"/>
      <c r="DH70" s="42"/>
      <c r="DI70" s="42"/>
      <c r="DJ70" s="42"/>
      <c r="DK70" s="42"/>
      <c r="DL70" s="42"/>
      <c r="DM70" s="42"/>
      <c r="DN70" s="42"/>
    </row>
    <row r="71" spans="1:118" s="207" customFormat="1" x14ac:dyDescent="0.25">
      <c r="A71" s="207" t="s">
        <v>6</v>
      </c>
      <c r="B71" s="207" t="s">
        <v>49</v>
      </c>
      <c r="C71" s="208" t="s">
        <v>85</v>
      </c>
      <c r="E71" s="207" t="s">
        <v>7</v>
      </c>
      <c r="F71" s="207" t="s">
        <v>50</v>
      </c>
      <c r="G71" s="207" t="s">
        <v>51</v>
      </c>
      <c r="K71" s="209">
        <f t="shared" si="9"/>
        <v>3.6788399999999999E-2</v>
      </c>
      <c r="L71" s="209">
        <f t="shared" si="8"/>
        <v>3.108996E-2</v>
      </c>
      <c r="M71" s="209">
        <f t="shared" si="8"/>
        <v>4.0652000000000001E-2</v>
      </c>
      <c r="N71" s="209">
        <f t="shared" si="8"/>
        <v>4.1368000000000002E-2</v>
      </c>
      <c r="O71" s="209">
        <f t="shared" si="8"/>
        <v>4.1939999999999998E-2</v>
      </c>
      <c r="P71" s="209">
        <f t="shared" si="8"/>
        <v>4.2518E-2</v>
      </c>
      <c r="Q71" s="209">
        <f t="shared" si="8"/>
        <v>4.3104000000000003E-2</v>
      </c>
      <c r="R71" s="209">
        <f t="shared" si="8"/>
        <v>4.3700000000000003E-2</v>
      </c>
      <c r="S71" s="209">
        <f t="shared" si="8"/>
        <v>4.4304000000000003E-2</v>
      </c>
      <c r="T71" s="209">
        <f t="shared" si="8"/>
        <v>4.4740000000000002E-2</v>
      </c>
      <c r="U71" s="209">
        <f t="shared" si="8"/>
        <v>4.5179999999999998E-2</v>
      </c>
      <c r="V71" s="209">
        <f t="shared" si="8"/>
        <v>4.5623999999999998E-2</v>
      </c>
      <c r="W71" s="209">
        <f t="shared" si="8"/>
        <v>4.6072000000000002E-2</v>
      </c>
      <c r="X71" s="209">
        <f t="shared" si="8"/>
        <v>4.6525999999999998E-2</v>
      </c>
      <c r="Y71" s="209">
        <f t="shared" si="8"/>
        <v>4.5895999999999999E-2</v>
      </c>
      <c r="Z71" s="209">
        <f t="shared" si="8"/>
        <v>4.5274000000000002E-2</v>
      </c>
      <c r="AA71" s="209">
        <f t="shared" si="8"/>
        <v>4.4659999999999998E-2</v>
      </c>
      <c r="AB71" s="209">
        <f t="shared" si="8"/>
        <v>4.4055999999999998E-2</v>
      </c>
      <c r="AC71" s="209">
        <f t="shared" si="8"/>
        <v>4.3457999999999997E-2</v>
      </c>
      <c r="AD71" s="209">
        <f t="shared" si="8"/>
        <v>4.4134E-2</v>
      </c>
      <c r="AE71" s="209">
        <f t="shared" si="8"/>
        <v>4.4822000000000001E-2</v>
      </c>
      <c r="AF71" s="209">
        <f t="shared" si="8"/>
        <v>4.5519999999999998E-2</v>
      </c>
      <c r="AG71" s="209">
        <f t="shared" si="8"/>
        <v>4.6227999999999998E-2</v>
      </c>
      <c r="AH71" s="209">
        <f t="shared" si="8"/>
        <v>4.6946000000000002E-2</v>
      </c>
      <c r="AI71" s="209">
        <f t="shared" si="8"/>
        <v>4.6580000000000003E-2</v>
      </c>
      <c r="AJ71" s="209">
        <f t="shared" si="8"/>
        <v>4.6216E-2</v>
      </c>
      <c r="AK71" s="209">
        <f t="shared" si="8"/>
        <v>4.5856000000000001E-2</v>
      </c>
      <c r="AL71" s="209">
        <f t="shared" si="8"/>
        <v>4.5497999999999997E-2</v>
      </c>
      <c r="AM71" s="209">
        <f t="shared" si="8"/>
        <v>4.5142000000000002E-2</v>
      </c>
      <c r="AN71" s="209">
        <f t="shared" si="8"/>
        <v>4.4566000000000001E-2</v>
      </c>
      <c r="AO71" s="209">
        <f t="shared" si="8"/>
        <v>4.3998000000000002E-2</v>
      </c>
      <c r="AP71" s="209">
        <f t="shared" si="8"/>
        <v>4.3437999999999997E-2</v>
      </c>
      <c r="AQ71" s="209">
        <f t="shared" si="8"/>
        <v>4.2883999999999999E-2</v>
      </c>
      <c r="AR71" s="209">
        <f t="shared" si="8"/>
        <v>4.2335999999999999E-2</v>
      </c>
      <c r="AS71" s="209">
        <f t="shared" si="8"/>
        <v>4.1796E-2</v>
      </c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42"/>
      <c r="CO71" s="42"/>
      <c r="CP71" s="42"/>
      <c r="CQ71" s="42"/>
      <c r="CR71" s="42"/>
      <c r="CS71" s="42"/>
      <c r="CT71" s="42"/>
      <c r="CU71" s="42"/>
      <c r="CV71" s="42"/>
      <c r="CW71" s="42"/>
      <c r="CX71" s="42"/>
      <c r="CY71" s="42"/>
      <c r="CZ71" s="42"/>
      <c r="DA71" s="42"/>
      <c r="DB71" s="42"/>
      <c r="DC71" s="42"/>
      <c r="DD71" s="42"/>
      <c r="DE71" s="42"/>
      <c r="DF71" s="42"/>
      <c r="DG71" s="42"/>
      <c r="DH71" s="42"/>
      <c r="DI71" s="42"/>
      <c r="DJ71" s="42"/>
      <c r="DK71" s="42"/>
      <c r="DL71" s="42"/>
      <c r="DM71" s="42"/>
      <c r="DN71" s="42"/>
    </row>
    <row r="72" spans="1:118" s="207" customFormat="1" x14ac:dyDescent="0.25">
      <c r="A72" s="207" t="s">
        <v>6</v>
      </c>
      <c r="B72" s="207" t="s">
        <v>49</v>
      </c>
      <c r="C72" s="208" t="s">
        <v>86</v>
      </c>
      <c r="E72" s="207" t="s">
        <v>7</v>
      </c>
      <c r="F72" s="207" t="s">
        <v>50</v>
      </c>
      <c r="G72" s="207" t="s">
        <v>51</v>
      </c>
      <c r="K72" s="209">
        <f t="shared" si="9"/>
        <v>8.8901999999999991E-3</v>
      </c>
      <c r="L72" s="209">
        <f t="shared" si="8"/>
        <v>8.9891999999999993E-3</v>
      </c>
      <c r="M72" s="209">
        <f t="shared" si="8"/>
        <v>8.0579999999999992E-3</v>
      </c>
      <c r="N72" s="209">
        <f t="shared" si="8"/>
        <v>2.6844E-2</v>
      </c>
      <c r="O72" s="209">
        <f t="shared" si="8"/>
        <v>2.8892000000000001E-2</v>
      </c>
      <c r="P72" s="209">
        <f t="shared" si="8"/>
        <v>3.0508E-2</v>
      </c>
      <c r="Q72" s="209">
        <f t="shared" si="8"/>
        <v>3.2613999999999997E-2</v>
      </c>
      <c r="R72" s="209">
        <f t="shared" si="8"/>
        <v>3.4748000000000001E-2</v>
      </c>
      <c r="S72" s="209">
        <f t="shared" si="8"/>
        <v>3.6909999999999998E-2</v>
      </c>
      <c r="T72" s="209">
        <f t="shared" si="8"/>
        <v>3.8471999999999999E-2</v>
      </c>
      <c r="U72" s="209">
        <f t="shared" si="8"/>
        <v>4.0048E-2</v>
      </c>
      <c r="V72" s="209">
        <f t="shared" si="8"/>
        <v>4.1641999999999998E-2</v>
      </c>
      <c r="W72" s="209">
        <f t="shared" si="8"/>
        <v>4.3248000000000002E-2</v>
      </c>
      <c r="X72" s="209">
        <f t="shared" si="8"/>
        <v>4.4872000000000002E-2</v>
      </c>
      <c r="Y72" s="209">
        <f t="shared" si="8"/>
        <v>4.2613999999999999E-2</v>
      </c>
      <c r="Z72" s="209">
        <f t="shared" si="8"/>
        <v>4.0385999999999998E-2</v>
      </c>
      <c r="AA72" s="209">
        <f t="shared" si="8"/>
        <v>3.8188E-2</v>
      </c>
      <c r="AB72" s="209">
        <f t="shared" si="8"/>
        <v>3.6020000000000003E-2</v>
      </c>
      <c r="AC72" s="209">
        <f t="shared" si="8"/>
        <v>3.388E-2</v>
      </c>
      <c r="AD72" s="209">
        <f t="shared" si="8"/>
        <v>3.6304000000000003E-2</v>
      </c>
      <c r="AE72" s="209">
        <f t="shared" si="8"/>
        <v>3.8766000000000002E-2</v>
      </c>
      <c r="AF72" s="209">
        <f t="shared" si="8"/>
        <v>4.1264000000000002E-2</v>
      </c>
      <c r="AG72" s="209">
        <f t="shared" si="8"/>
        <v>4.3802000000000001E-2</v>
      </c>
      <c r="AH72" s="209">
        <f t="shared" si="8"/>
        <v>4.6379999999999998E-2</v>
      </c>
      <c r="AI72" s="209">
        <f t="shared" si="8"/>
        <v>4.5066000000000002E-2</v>
      </c>
      <c r="AJ72" s="209">
        <f t="shared" si="8"/>
        <v>4.3762000000000002E-2</v>
      </c>
      <c r="AK72" s="209">
        <f t="shared" si="8"/>
        <v>4.2470000000000001E-2</v>
      </c>
      <c r="AL72" s="209">
        <f t="shared" si="8"/>
        <v>4.1186E-2</v>
      </c>
      <c r="AM72" s="209">
        <f t="shared" si="8"/>
        <v>3.9913999999999998E-2</v>
      </c>
      <c r="AN72" s="209">
        <f t="shared" si="8"/>
        <v>3.7851999999999997E-2</v>
      </c>
      <c r="AO72" s="209">
        <f t="shared" si="8"/>
        <v>3.5816000000000001E-2</v>
      </c>
      <c r="AP72" s="209">
        <f t="shared" si="8"/>
        <v>3.3804000000000001E-2</v>
      </c>
      <c r="AQ72" s="209">
        <f t="shared" si="8"/>
        <v>3.1820000000000001E-2</v>
      </c>
      <c r="AR72" s="209">
        <f t="shared" si="8"/>
        <v>2.9860000000000001E-2</v>
      </c>
      <c r="AS72" s="209">
        <f t="shared" si="8"/>
        <v>2.7924000000000001E-2</v>
      </c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42"/>
      <c r="CO72" s="42"/>
      <c r="CP72" s="42"/>
      <c r="CQ72" s="42"/>
      <c r="CR72" s="42"/>
      <c r="CS72" s="42"/>
      <c r="CT72" s="42"/>
      <c r="CU72" s="42"/>
      <c r="CV72" s="42"/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/>
      <c r="DI72" s="42"/>
      <c r="DJ72" s="42"/>
      <c r="DK72" s="42"/>
      <c r="DL72" s="42"/>
      <c r="DM72" s="42"/>
      <c r="DN72" s="42"/>
    </row>
    <row r="73" spans="1:118" s="207" customFormat="1" x14ac:dyDescent="0.25">
      <c r="A73" s="207" t="s">
        <v>6</v>
      </c>
      <c r="B73" s="207" t="s">
        <v>49</v>
      </c>
      <c r="C73" s="208" t="s">
        <v>87</v>
      </c>
      <c r="E73" s="207" t="s">
        <v>7</v>
      </c>
      <c r="F73" s="207" t="s">
        <v>50</v>
      </c>
      <c r="G73" s="207" t="s">
        <v>51</v>
      </c>
      <c r="K73" s="209">
        <f t="shared" si="9"/>
        <v>3.5877600000000002E-3</v>
      </c>
      <c r="L73" s="209">
        <f t="shared" si="8"/>
        <v>5.7004200000000003E-3</v>
      </c>
      <c r="M73" s="209">
        <f t="shared" si="8"/>
        <v>5.842E-3</v>
      </c>
      <c r="N73" s="209">
        <f t="shared" si="8"/>
        <v>5.9179999999999996E-3</v>
      </c>
      <c r="O73" s="209">
        <f t="shared" si="8"/>
        <v>6.0140000000000002E-3</v>
      </c>
      <c r="P73" s="209">
        <f t="shared" si="8"/>
        <v>6.1060000000000003E-3</v>
      </c>
      <c r="Q73" s="209">
        <f t="shared" si="8"/>
        <v>6.2040000000000003E-3</v>
      </c>
      <c r="R73" s="209">
        <f t="shared" si="8"/>
        <v>6.3020000000000003E-3</v>
      </c>
      <c r="S73" s="209">
        <f t="shared" si="8"/>
        <v>6.4019999999999997E-3</v>
      </c>
      <c r="T73" s="209">
        <f t="shared" si="8"/>
        <v>6.476E-3</v>
      </c>
      <c r="U73" s="209">
        <f t="shared" si="8"/>
        <v>6.548E-3</v>
      </c>
      <c r="V73" s="209">
        <f t="shared" si="8"/>
        <v>6.6220000000000003E-3</v>
      </c>
      <c r="W73" s="209">
        <f t="shared" si="8"/>
        <v>6.6959999999999997E-3</v>
      </c>
      <c r="X73" s="209">
        <f t="shared" si="8"/>
        <v>6.7720000000000002E-3</v>
      </c>
      <c r="Y73" s="209">
        <f t="shared" si="8"/>
        <v>6.6680000000000003E-3</v>
      </c>
      <c r="Z73" s="209">
        <f t="shared" si="8"/>
        <v>6.5640000000000004E-3</v>
      </c>
      <c r="AA73" s="209">
        <f t="shared" si="8"/>
        <v>6.4619999999999999E-3</v>
      </c>
      <c r="AB73" s="209">
        <f t="shared" si="8"/>
        <v>6.3619999999999996E-3</v>
      </c>
      <c r="AC73" s="209">
        <f t="shared" si="8"/>
        <v>6.2620000000000002E-3</v>
      </c>
      <c r="AD73" s="209">
        <f t="shared" si="8"/>
        <v>6.3740000000000003E-3</v>
      </c>
      <c r="AE73" s="209">
        <f t="shared" si="8"/>
        <v>6.4879999999999998E-3</v>
      </c>
      <c r="AF73" s="209">
        <f t="shared" si="8"/>
        <v>6.6039999999999996E-3</v>
      </c>
      <c r="AG73" s="209">
        <f t="shared" si="8"/>
        <v>6.7219999999999997E-3</v>
      </c>
      <c r="AH73" s="209">
        <f t="shared" si="8"/>
        <v>6.842E-3</v>
      </c>
      <c r="AI73" s="209">
        <f t="shared" si="8"/>
        <v>6.7799999999999996E-3</v>
      </c>
      <c r="AJ73" s="209">
        <f t="shared" si="8"/>
        <v>6.7200000000000003E-3</v>
      </c>
      <c r="AK73" s="209">
        <f t="shared" si="8"/>
        <v>6.6600000000000001E-3</v>
      </c>
      <c r="AL73" s="209">
        <f t="shared" si="8"/>
        <v>6.6E-3</v>
      </c>
      <c r="AM73" s="209">
        <f t="shared" si="8"/>
        <v>6.5420000000000001E-3</v>
      </c>
      <c r="AN73" s="209">
        <f t="shared" si="8"/>
        <v>6.4460000000000003E-3</v>
      </c>
      <c r="AO73" s="209">
        <f t="shared" si="8"/>
        <v>6.352E-3</v>
      </c>
      <c r="AP73" s="209">
        <f t="shared" si="8"/>
        <v>6.2579999999999997E-3</v>
      </c>
      <c r="AQ73" s="209">
        <f t="shared" si="8"/>
        <v>6.1659999999999996E-3</v>
      </c>
      <c r="AR73" s="209">
        <f t="shared" si="8"/>
        <v>6.0759999999999998E-3</v>
      </c>
      <c r="AS73" s="209">
        <f t="shared" si="8"/>
        <v>5.986E-3</v>
      </c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42"/>
      <c r="CD73" s="42"/>
      <c r="CE73" s="42"/>
      <c r="CF73" s="42"/>
      <c r="CG73" s="42"/>
      <c r="CH73" s="42"/>
      <c r="CI73" s="42"/>
      <c r="CJ73" s="42"/>
      <c r="CK73" s="42"/>
      <c r="CL73" s="42"/>
      <c r="CM73" s="42"/>
      <c r="CN73" s="42"/>
      <c r="CO73" s="42"/>
      <c r="CP73" s="42"/>
      <c r="CQ73" s="42"/>
      <c r="CR73" s="42"/>
      <c r="CS73" s="42"/>
      <c r="CT73" s="42"/>
      <c r="CU73" s="42"/>
      <c r="CV73" s="42"/>
      <c r="CW73" s="42"/>
      <c r="CX73" s="42"/>
      <c r="CY73" s="42"/>
      <c r="CZ73" s="42"/>
      <c r="DA73" s="42"/>
      <c r="DB73" s="42"/>
      <c r="DC73" s="42"/>
      <c r="DD73" s="42"/>
      <c r="DE73" s="42"/>
      <c r="DF73" s="42"/>
      <c r="DG73" s="42"/>
      <c r="DH73" s="42"/>
      <c r="DI73" s="42"/>
      <c r="DJ73" s="42"/>
      <c r="DK73" s="42"/>
      <c r="DL73" s="42"/>
      <c r="DM73" s="42"/>
      <c r="DN73" s="42"/>
    </row>
    <row r="74" spans="1:118" s="204" customFormat="1" x14ac:dyDescent="0.25">
      <c r="A74" s="204" t="s">
        <v>6</v>
      </c>
      <c r="B74" s="204" t="s">
        <v>48</v>
      </c>
      <c r="C74" s="205" t="s">
        <v>89</v>
      </c>
      <c r="E74" s="204" t="s">
        <v>7</v>
      </c>
      <c r="F74" s="204" t="s">
        <v>50</v>
      </c>
      <c r="G74" s="204" t="s">
        <v>51</v>
      </c>
      <c r="K74" s="206">
        <v>9.6030000000000004E-2</v>
      </c>
      <c r="L74" s="206">
        <v>0.10144035</v>
      </c>
      <c r="M74" s="206">
        <v>4.8905999999999998E-2</v>
      </c>
      <c r="N74" s="206">
        <v>0.100287</v>
      </c>
      <c r="O74" s="206">
        <v>0.100287</v>
      </c>
      <c r="P74" s="206">
        <v>0.100287</v>
      </c>
      <c r="Q74" s="206">
        <v>0.100287</v>
      </c>
      <c r="R74" s="206">
        <v>0.100287</v>
      </c>
      <c r="S74" s="206">
        <v>0.100287</v>
      </c>
      <c r="T74" s="206">
        <v>0.100287</v>
      </c>
      <c r="U74" s="206">
        <v>0.100287</v>
      </c>
      <c r="V74" s="206">
        <v>0.100287</v>
      </c>
      <c r="W74" s="206">
        <v>0.100287</v>
      </c>
      <c r="X74" s="206">
        <v>0.100287</v>
      </c>
      <c r="Y74" s="206">
        <v>0.100287</v>
      </c>
      <c r="Z74" s="206">
        <v>0.100287</v>
      </c>
      <c r="AA74" s="206">
        <v>0.100287</v>
      </c>
      <c r="AB74" s="206">
        <v>0.100287</v>
      </c>
      <c r="AC74" s="206">
        <v>0.100287</v>
      </c>
      <c r="AD74" s="206">
        <v>0.100287</v>
      </c>
      <c r="AE74" s="206">
        <v>0.100287</v>
      </c>
      <c r="AF74" s="206">
        <v>0.100287</v>
      </c>
      <c r="AG74" s="206">
        <v>0.100287</v>
      </c>
      <c r="AH74" s="206">
        <v>0.100287</v>
      </c>
      <c r="AI74" s="206">
        <v>0.100287</v>
      </c>
      <c r="AJ74" s="206">
        <v>0.100287</v>
      </c>
      <c r="AK74" s="206">
        <v>0.100287</v>
      </c>
      <c r="AL74" s="206">
        <v>0.100287</v>
      </c>
      <c r="AM74" s="206">
        <v>0.100287</v>
      </c>
      <c r="AN74" s="206">
        <v>0.100287</v>
      </c>
      <c r="AO74" s="206">
        <v>0.100287</v>
      </c>
      <c r="AP74" s="206">
        <v>0.100287</v>
      </c>
      <c r="AQ74" s="206">
        <v>0.100287</v>
      </c>
      <c r="AR74" s="206">
        <v>0.100287</v>
      </c>
      <c r="AS74" s="206">
        <v>0.100287</v>
      </c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/>
      <c r="CG74" s="42"/>
      <c r="CH74" s="42"/>
      <c r="CI74" s="42"/>
      <c r="CJ74" s="42"/>
      <c r="CK74" s="42"/>
      <c r="CL74" s="42"/>
      <c r="CM74" s="42"/>
      <c r="CN74" s="42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</row>
    <row r="75" spans="1:118" s="207" customFormat="1" x14ac:dyDescent="0.25">
      <c r="A75" s="207" t="s">
        <v>6</v>
      </c>
      <c r="B75" s="207" t="s">
        <v>49</v>
      </c>
      <c r="C75" s="208" t="s">
        <v>89</v>
      </c>
      <c r="E75" s="207" t="s">
        <v>7</v>
      </c>
      <c r="F75" s="207" t="s">
        <v>50</v>
      </c>
      <c r="G75" s="207" t="s">
        <v>51</v>
      </c>
      <c r="K75" s="209">
        <v>0.10670000000000002</v>
      </c>
      <c r="L75" s="209">
        <v>0.11271150000000001</v>
      </c>
      <c r="M75" s="209">
        <v>5.4340000000000006E-2</v>
      </c>
      <c r="N75" s="209">
        <v>0.11143000000000002</v>
      </c>
      <c r="O75" s="209">
        <v>0.11143000000000002</v>
      </c>
      <c r="P75" s="209">
        <v>0.11143000000000002</v>
      </c>
      <c r="Q75" s="209">
        <v>0.11143000000000002</v>
      </c>
      <c r="R75" s="209">
        <v>0.11143000000000002</v>
      </c>
      <c r="S75" s="209">
        <v>0.11143000000000002</v>
      </c>
      <c r="T75" s="209">
        <v>0.11143000000000002</v>
      </c>
      <c r="U75" s="209">
        <v>0.11143000000000002</v>
      </c>
      <c r="V75" s="209">
        <v>0.11143000000000002</v>
      </c>
      <c r="W75" s="209">
        <v>0.11143000000000002</v>
      </c>
      <c r="X75" s="209">
        <v>0.11143000000000002</v>
      </c>
      <c r="Y75" s="209">
        <v>0.11143000000000002</v>
      </c>
      <c r="Z75" s="209">
        <v>0.11143000000000002</v>
      </c>
      <c r="AA75" s="209">
        <v>0.11143000000000002</v>
      </c>
      <c r="AB75" s="209">
        <v>0.11143000000000002</v>
      </c>
      <c r="AC75" s="209">
        <v>0.11143000000000002</v>
      </c>
      <c r="AD75" s="209">
        <v>0.11143000000000002</v>
      </c>
      <c r="AE75" s="209">
        <v>0.11143000000000002</v>
      </c>
      <c r="AF75" s="209">
        <v>0.11143000000000002</v>
      </c>
      <c r="AG75" s="209">
        <v>0.11143000000000002</v>
      </c>
      <c r="AH75" s="209">
        <v>0.11143000000000002</v>
      </c>
      <c r="AI75" s="209">
        <v>0.11143000000000002</v>
      </c>
      <c r="AJ75" s="209">
        <v>0.11143000000000002</v>
      </c>
      <c r="AK75" s="209">
        <v>0.11143000000000002</v>
      </c>
      <c r="AL75" s="209">
        <v>0.11143000000000002</v>
      </c>
      <c r="AM75" s="209">
        <v>0.11143000000000002</v>
      </c>
      <c r="AN75" s="209">
        <v>0.11143000000000002</v>
      </c>
      <c r="AO75" s="209">
        <v>0.11143000000000002</v>
      </c>
      <c r="AP75" s="209">
        <v>0.11143000000000002</v>
      </c>
      <c r="AQ75" s="209">
        <v>0.11143000000000002</v>
      </c>
      <c r="AR75" s="209">
        <v>0.11143000000000002</v>
      </c>
      <c r="AS75" s="209">
        <v>0.11143000000000002</v>
      </c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  <c r="CA75" s="42"/>
      <c r="CB75" s="42"/>
      <c r="CC75" s="42"/>
      <c r="CD75" s="42"/>
      <c r="CE75" s="42"/>
      <c r="CF75" s="42"/>
      <c r="CG75" s="42"/>
      <c r="CH75" s="42"/>
      <c r="CI75" s="42"/>
      <c r="CJ75" s="42"/>
      <c r="CK75" s="42"/>
      <c r="CL75" s="42"/>
      <c r="CM75" s="42"/>
      <c r="CN75" s="42"/>
      <c r="CO75" s="42"/>
      <c r="CP75" s="42"/>
      <c r="CQ75" s="42"/>
      <c r="CR75" s="42"/>
      <c r="CS75" s="42"/>
      <c r="CT75" s="42"/>
      <c r="CU75" s="42"/>
      <c r="CV75" s="42"/>
      <c r="CW75" s="42"/>
      <c r="CX75" s="42"/>
      <c r="CY75" s="42"/>
      <c r="CZ75" s="42"/>
      <c r="DA75" s="42"/>
      <c r="DB75" s="42"/>
      <c r="DC75" s="42"/>
      <c r="DD75" s="42"/>
      <c r="DE75" s="42"/>
      <c r="DF75" s="42"/>
      <c r="DG75" s="42"/>
      <c r="DH75" s="42"/>
      <c r="DI75" s="42"/>
      <c r="DJ75" s="42"/>
      <c r="DK75" s="42"/>
      <c r="DL75" s="42"/>
      <c r="DM75" s="42"/>
      <c r="DN75" s="42"/>
    </row>
    <row r="76" spans="1:118" s="204" customFormat="1" x14ac:dyDescent="0.25">
      <c r="A76" s="204" t="s">
        <v>6</v>
      </c>
      <c r="B76" s="204" t="s">
        <v>48</v>
      </c>
      <c r="C76" s="205" t="s">
        <v>88</v>
      </c>
      <c r="E76" s="204" t="s">
        <v>7</v>
      </c>
      <c r="F76" s="204" t="s">
        <v>50</v>
      </c>
      <c r="G76" s="204" t="s">
        <v>51</v>
      </c>
      <c r="K76" s="206">
        <v>7.4820933000000001E-3</v>
      </c>
      <c r="L76" s="206">
        <v>0</v>
      </c>
      <c r="M76" s="206">
        <v>3.7736027999999998E-2</v>
      </c>
      <c r="N76" s="206">
        <v>3.7491893999999998E-2</v>
      </c>
      <c r="O76" s="206">
        <v>3.7247561999999998E-2</v>
      </c>
      <c r="P76" s="206">
        <v>3.7003130999999995E-2</v>
      </c>
      <c r="Q76" s="206">
        <v>3.6758601000000002E-2</v>
      </c>
      <c r="R76" s="206">
        <v>3.6513971999999999E-2</v>
      </c>
      <c r="S76" s="206">
        <v>3.6269145000000003E-2</v>
      </c>
      <c r="T76" s="206">
        <v>3.6024317999999993E-2</v>
      </c>
      <c r="U76" s="206">
        <v>3.5779292999999997E-2</v>
      </c>
      <c r="V76" s="206">
        <v>3.5534168999999997E-2</v>
      </c>
      <c r="W76" s="206">
        <v>3.5288846999999998E-2</v>
      </c>
      <c r="X76" s="206">
        <v>3.5043425999999996E-2</v>
      </c>
      <c r="Y76" s="206">
        <v>3.4797905999999997E-2</v>
      </c>
      <c r="Z76" s="206">
        <v>3.4552286999999994E-2</v>
      </c>
      <c r="AA76" s="206">
        <v>3.4306569000000002E-2</v>
      </c>
      <c r="AB76" s="206">
        <v>3.4060652999999996E-2</v>
      </c>
      <c r="AC76" s="206">
        <v>3.3814637999999994E-2</v>
      </c>
      <c r="AD76" s="206">
        <v>3.3568523999999995E-2</v>
      </c>
      <c r="AE76" s="206">
        <v>3.3322311E-2</v>
      </c>
      <c r="AF76" s="206">
        <v>3.3075899999999998E-2</v>
      </c>
      <c r="AG76" s="206">
        <v>3.2829488999999996E-2</v>
      </c>
      <c r="AH76" s="206">
        <v>3.2582879999999995E-2</v>
      </c>
      <c r="AI76" s="206">
        <v>3.2336072999999993E-2</v>
      </c>
      <c r="AJ76" s="206">
        <v>3.2089265999999991E-2</v>
      </c>
      <c r="AK76" s="206">
        <v>3.1842260999999997E-2</v>
      </c>
      <c r="AL76" s="206">
        <v>3.1595156999999999E-2</v>
      </c>
      <c r="AM76" s="206">
        <v>3.1347953999999997E-2</v>
      </c>
      <c r="AN76" s="206">
        <v>3.1100552999999996E-2</v>
      </c>
      <c r="AO76" s="206">
        <v>3.0853151999999998E-2</v>
      </c>
      <c r="AP76" s="206">
        <v>3.0605552999999997E-2</v>
      </c>
      <c r="AQ76" s="206">
        <v>3.0357756E-2</v>
      </c>
      <c r="AR76" s="206">
        <v>3.0109958999999999E-2</v>
      </c>
      <c r="AS76" s="206">
        <v>2.9861963999999998E-2</v>
      </c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  <c r="CE76" s="42"/>
      <c r="CF76" s="42"/>
      <c r="CG76" s="42"/>
      <c r="CH76" s="42"/>
      <c r="CI76" s="42"/>
      <c r="CJ76" s="42"/>
      <c r="CK76" s="42"/>
      <c r="CL76" s="42"/>
      <c r="CM76" s="42"/>
      <c r="CN76" s="42"/>
      <c r="CO76" s="42"/>
      <c r="CP76" s="42"/>
      <c r="CQ76" s="42"/>
      <c r="CR76" s="42"/>
      <c r="CS76" s="42"/>
      <c r="CT76" s="42"/>
      <c r="CU76" s="42"/>
      <c r="CV76" s="42"/>
      <c r="CW76" s="42"/>
      <c r="CX76" s="42"/>
      <c r="CY76" s="42"/>
      <c r="CZ76" s="42"/>
      <c r="DA76" s="42"/>
      <c r="DB76" s="42"/>
      <c r="DC76" s="42"/>
      <c r="DD76" s="42"/>
      <c r="DE76" s="42"/>
      <c r="DF76" s="42"/>
      <c r="DG76" s="42"/>
      <c r="DH76" s="42"/>
      <c r="DI76" s="42"/>
      <c r="DJ76" s="42"/>
      <c r="DK76" s="42"/>
      <c r="DL76" s="42"/>
      <c r="DM76" s="42"/>
      <c r="DN76" s="42"/>
    </row>
    <row r="77" spans="1:118" s="207" customFormat="1" x14ac:dyDescent="0.25">
      <c r="A77" s="207" t="s">
        <v>6</v>
      </c>
      <c r="B77" s="207" t="s">
        <v>49</v>
      </c>
      <c r="C77" s="208" t="s">
        <v>88</v>
      </c>
      <c r="E77" s="207" t="s">
        <v>7</v>
      </c>
      <c r="F77" s="207" t="s">
        <v>50</v>
      </c>
      <c r="G77" s="207" t="s">
        <v>51</v>
      </c>
      <c r="K77" s="209">
        <v>8.3134369999999999E-3</v>
      </c>
      <c r="L77" s="209">
        <v>0</v>
      </c>
      <c r="M77" s="209">
        <v>4.1928920000000001E-2</v>
      </c>
      <c r="N77" s="209">
        <v>4.1657659999999999E-2</v>
      </c>
      <c r="O77" s="209">
        <v>4.1386180000000002E-2</v>
      </c>
      <c r="P77" s="209">
        <v>4.1114589999999999E-2</v>
      </c>
      <c r="Q77" s="209">
        <v>4.0842890000000007E-2</v>
      </c>
      <c r="R77" s="209">
        <v>4.0571080000000002E-2</v>
      </c>
      <c r="S77" s="209">
        <v>4.0299050000000003E-2</v>
      </c>
      <c r="T77" s="209">
        <v>4.0027019999999996E-2</v>
      </c>
      <c r="U77" s="209">
        <v>3.9754770000000002E-2</v>
      </c>
      <c r="V77" s="209">
        <v>3.9482410000000003E-2</v>
      </c>
      <c r="W77" s="209">
        <v>3.9209830000000001E-2</v>
      </c>
      <c r="X77" s="209">
        <v>3.8937139999999995E-2</v>
      </c>
      <c r="Y77" s="209">
        <v>3.8664339999999998E-2</v>
      </c>
      <c r="Z77" s="209">
        <v>3.8391429999999997E-2</v>
      </c>
      <c r="AA77" s="209">
        <v>3.8118410000000005E-2</v>
      </c>
      <c r="AB77" s="209">
        <v>3.7845169999999997E-2</v>
      </c>
      <c r="AC77" s="209">
        <v>3.7571819999999999E-2</v>
      </c>
      <c r="AD77" s="209">
        <v>3.7298359999999996E-2</v>
      </c>
      <c r="AE77" s="209">
        <v>3.7024790000000002E-2</v>
      </c>
      <c r="AF77" s="209">
        <v>3.6750999999999999E-2</v>
      </c>
      <c r="AG77" s="209">
        <v>3.6477210000000003E-2</v>
      </c>
      <c r="AH77" s="209">
        <v>3.6203199999999998E-2</v>
      </c>
      <c r="AI77" s="209">
        <v>3.5928969999999998E-2</v>
      </c>
      <c r="AJ77" s="209">
        <v>3.5654739999999997E-2</v>
      </c>
      <c r="AK77" s="209">
        <v>3.5380289999999995E-2</v>
      </c>
      <c r="AL77" s="209">
        <v>3.5105730000000002E-2</v>
      </c>
      <c r="AM77" s="209">
        <v>3.4831060000000004E-2</v>
      </c>
      <c r="AN77" s="209">
        <v>3.4556169999999997E-2</v>
      </c>
      <c r="AO77" s="209">
        <v>3.4281280000000004E-2</v>
      </c>
      <c r="AP77" s="209">
        <v>3.4006169999999995E-2</v>
      </c>
      <c r="AQ77" s="209">
        <v>3.3730840000000005E-2</v>
      </c>
      <c r="AR77" s="209">
        <v>3.3455510000000001E-2</v>
      </c>
      <c r="AS77" s="209">
        <v>3.3179960000000001E-2</v>
      </c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/>
      <c r="CG77" s="42"/>
      <c r="CH77" s="42"/>
      <c r="CI77" s="42"/>
      <c r="CJ77" s="42"/>
      <c r="CK77" s="42"/>
      <c r="CL77" s="42"/>
      <c r="CM77" s="42"/>
      <c r="CN77" s="42"/>
      <c r="CO77" s="42"/>
      <c r="CP77" s="42"/>
      <c r="CQ77" s="42"/>
      <c r="CR77" s="42"/>
      <c r="CS77" s="42"/>
      <c r="CT77" s="42"/>
      <c r="CU77" s="42"/>
      <c r="CV77" s="42"/>
      <c r="CW77" s="42"/>
      <c r="CX77" s="42"/>
      <c r="CY77" s="42"/>
      <c r="CZ77" s="42"/>
      <c r="DA77" s="42"/>
      <c r="DB77" s="42"/>
      <c r="DC77" s="42"/>
      <c r="DD77" s="42"/>
      <c r="DE77" s="42"/>
      <c r="DF77" s="42"/>
      <c r="DG77" s="42"/>
      <c r="DH77" s="42"/>
      <c r="DI77" s="42"/>
      <c r="DJ77" s="42"/>
      <c r="DK77" s="42"/>
      <c r="DL77" s="42"/>
      <c r="DM77" s="42"/>
      <c r="DN77" s="42"/>
    </row>
    <row r="78" spans="1:118" s="204" customFormat="1" x14ac:dyDescent="0.25">
      <c r="C78" s="205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 s="206"/>
      <c r="Z78" s="206"/>
      <c r="AA78" s="206"/>
      <c r="AB78" s="206"/>
      <c r="AC78" s="206"/>
      <c r="AD78" s="206"/>
      <c r="AE78" s="206"/>
      <c r="AF78" s="206"/>
      <c r="AG78" s="206"/>
      <c r="AH78" s="206"/>
      <c r="AI78" s="206"/>
      <c r="AJ78" s="206"/>
      <c r="AK78" s="206"/>
      <c r="AL78" s="206"/>
      <c r="AM78" s="206"/>
      <c r="AN78" s="206"/>
      <c r="AO78" s="206"/>
      <c r="AP78" s="206"/>
      <c r="AQ78" s="206"/>
      <c r="AR78" s="206"/>
      <c r="AS78" s="206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  <c r="BW78" s="42"/>
      <c r="BX78" s="42"/>
      <c r="BY78" s="42"/>
      <c r="BZ78" s="42"/>
      <c r="CA78" s="42"/>
      <c r="CB78" s="42"/>
      <c r="CC78" s="42"/>
      <c r="CD78" s="42"/>
      <c r="CE78" s="42"/>
      <c r="CF78" s="42"/>
      <c r="CG78" s="42"/>
      <c r="CH78" s="42"/>
      <c r="CI78" s="42"/>
      <c r="CJ78" s="42"/>
      <c r="CK78" s="42"/>
      <c r="CL78" s="42"/>
      <c r="CM78" s="42"/>
      <c r="CN78" s="42"/>
      <c r="CO78" s="42"/>
      <c r="CP78" s="42"/>
      <c r="CQ78" s="42"/>
      <c r="CR78" s="42"/>
      <c r="CS78" s="42"/>
      <c r="CT78" s="42"/>
      <c r="CU78" s="42"/>
      <c r="CV78" s="42"/>
      <c r="CW78" s="42"/>
      <c r="CX78" s="42"/>
      <c r="CY78" s="42"/>
      <c r="CZ78" s="42"/>
      <c r="DA78" s="42"/>
      <c r="DB78" s="42"/>
      <c r="DC78" s="42"/>
      <c r="DD78" s="42"/>
      <c r="DE78" s="42"/>
      <c r="DF78" s="42"/>
      <c r="DG78" s="42"/>
      <c r="DH78" s="42"/>
      <c r="DI78" s="42"/>
      <c r="DJ78" s="42"/>
      <c r="DK78" s="42"/>
      <c r="DL78" s="42"/>
      <c r="DM78" s="42"/>
      <c r="DN78" s="42"/>
    </row>
    <row r="79" spans="1:118" s="204" customFormat="1" x14ac:dyDescent="0.25">
      <c r="C79" s="205"/>
      <c r="K79" s="206"/>
      <c r="L79" s="206"/>
      <c r="M79" s="206"/>
      <c r="N79" s="206"/>
      <c r="O79" s="206"/>
      <c r="P79" s="206"/>
      <c r="Q79" s="206"/>
      <c r="R79" s="206"/>
      <c r="S79" s="206"/>
      <c r="T79" s="206"/>
      <c r="U79" s="206"/>
      <c r="V79" s="206"/>
      <c r="W79" s="206"/>
      <c r="X79" s="206"/>
      <c r="Y79" s="206"/>
      <c r="Z79" s="206"/>
      <c r="AA79" s="206"/>
      <c r="AB79" s="206"/>
      <c r="AC79" s="206"/>
      <c r="AD79" s="206"/>
      <c r="AE79" s="206"/>
      <c r="AF79" s="206"/>
      <c r="AG79" s="206"/>
      <c r="AH79" s="206"/>
      <c r="AI79" s="206"/>
      <c r="AJ79" s="206"/>
      <c r="AK79" s="206"/>
      <c r="AL79" s="206"/>
      <c r="AM79" s="206"/>
      <c r="AN79" s="206"/>
      <c r="AO79" s="206"/>
      <c r="AP79" s="206"/>
      <c r="AQ79" s="206"/>
      <c r="AR79" s="206"/>
      <c r="AS79" s="206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/>
      <c r="CG79" s="42"/>
      <c r="CH79" s="42"/>
      <c r="CI79" s="42"/>
      <c r="CJ79" s="42"/>
      <c r="CK79" s="42"/>
      <c r="CL79" s="42"/>
      <c r="CM79" s="42"/>
      <c r="CN79" s="42"/>
      <c r="CO79" s="42"/>
      <c r="CP79" s="42"/>
      <c r="CQ79" s="42"/>
      <c r="CR79" s="42"/>
      <c r="CS79" s="42"/>
      <c r="CT79" s="42"/>
      <c r="CU79" s="42"/>
      <c r="CV79" s="42"/>
      <c r="CW79" s="42"/>
      <c r="CX79" s="42"/>
      <c r="CY79" s="42"/>
      <c r="CZ79" s="42"/>
      <c r="DA79" s="42"/>
      <c r="DB79" s="42"/>
      <c r="DC79" s="42"/>
      <c r="DD79" s="42"/>
      <c r="DE79" s="42"/>
      <c r="DF79" s="42"/>
      <c r="DG79" s="42"/>
      <c r="DH79" s="42"/>
      <c r="DI79" s="42"/>
      <c r="DJ79" s="42"/>
      <c r="DK79" s="42"/>
      <c r="DL79" s="42"/>
      <c r="DM79" s="42"/>
      <c r="DN79" s="42"/>
    </row>
    <row r="80" spans="1:118" s="204" customFormat="1" x14ac:dyDescent="0.25">
      <c r="C80" s="205"/>
      <c r="K80" s="206"/>
      <c r="L80" s="206"/>
      <c r="M80" s="206"/>
      <c r="N80" s="206"/>
      <c r="O80" s="206"/>
      <c r="P80" s="206"/>
      <c r="Q80" s="206"/>
      <c r="R80" s="206"/>
      <c r="S80" s="206"/>
      <c r="T80" s="206"/>
      <c r="U80" s="206"/>
      <c r="V80" s="206"/>
      <c r="W80" s="206"/>
      <c r="X80" s="206"/>
      <c r="Y80" s="206"/>
      <c r="Z80" s="206"/>
      <c r="AA80" s="206"/>
      <c r="AB80" s="206"/>
      <c r="AC80" s="206"/>
      <c r="AD80" s="206"/>
      <c r="AE80" s="206"/>
      <c r="AF80" s="206"/>
      <c r="AG80" s="206"/>
      <c r="AH80" s="206"/>
      <c r="AI80" s="206"/>
      <c r="AJ80" s="206"/>
      <c r="AK80" s="206"/>
      <c r="AL80" s="206"/>
      <c r="AM80" s="206"/>
      <c r="AN80" s="206"/>
      <c r="AO80" s="206"/>
      <c r="AP80" s="206"/>
      <c r="AQ80" s="206"/>
      <c r="AR80" s="206"/>
      <c r="AS80" s="206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42"/>
      <c r="BS80" s="42"/>
      <c r="BT80" s="42"/>
      <c r="BU80" s="42"/>
      <c r="BV80" s="42"/>
      <c r="BW80" s="42"/>
      <c r="BX80" s="42"/>
      <c r="BY80" s="42"/>
      <c r="BZ80" s="42"/>
      <c r="CA80" s="42"/>
      <c r="CB80" s="42"/>
      <c r="CC80" s="42"/>
      <c r="CD80" s="42"/>
      <c r="CE80" s="42"/>
      <c r="CF80" s="42"/>
      <c r="CG80" s="42"/>
      <c r="CH80" s="42"/>
      <c r="CI80" s="42"/>
      <c r="CJ80" s="42"/>
      <c r="CK80" s="42"/>
      <c r="CL80" s="42"/>
      <c r="CM80" s="42"/>
      <c r="CN80" s="42"/>
      <c r="CO80" s="42"/>
      <c r="CP80" s="42"/>
      <c r="CQ80" s="42"/>
      <c r="CR80" s="42"/>
      <c r="CS80" s="42"/>
      <c r="CT80" s="42"/>
      <c r="CU80" s="42"/>
      <c r="CV80" s="42"/>
      <c r="CW80" s="42"/>
      <c r="CX80" s="42"/>
      <c r="CY80" s="42"/>
      <c r="CZ80" s="42"/>
      <c r="DA80" s="42"/>
      <c r="DB80" s="42"/>
      <c r="DC80" s="42"/>
      <c r="DD80" s="42"/>
      <c r="DE80" s="42"/>
      <c r="DF80" s="42"/>
      <c r="DG80" s="42"/>
      <c r="DH80" s="42"/>
      <c r="DI80" s="42"/>
      <c r="DJ80" s="42"/>
      <c r="DK80" s="42"/>
      <c r="DL80" s="42"/>
      <c r="DM80" s="42"/>
      <c r="DN80" s="42"/>
    </row>
    <row r="81" spans="1:118" s="204" customFormat="1" x14ac:dyDescent="0.25">
      <c r="C81" s="205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  <c r="AA81" s="206"/>
      <c r="AB81" s="206"/>
      <c r="AC81" s="206"/>
      <c r="AD81" s="206"/>
      <c r="AE81" s="206"/>
      <c r="AF81" s="206"/>
      <c r="AG81" s="206"/>
      <c r="AH81" s="206"/>
      <c r="AI81" s="206"/>
      <c r="AJ81" s="206"/>
      <c r="AK81" s="206"/>
      <c r="AL81" s="206"/>
      <c r="AM81" s="206"/>
      <c r="AN81" s="206"/>
      <c r="AO81" s="206"/>
      <c r="AP81" s="206"/>
      <c r="AQ81" s="206"/>
      <c r="AR81" s="206"/>
      <c r="AS81" s="206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42"/>
      <c r="BU81" s="42"/>
      <c r="BV81" s="42"/>
      <c r="BW81" s="42"/>
      <c r="BX81" s="42"/>
      <c r="BY81" s="42"/>
      <c r="BZ81" s="42"/>
      <c r="CA81" s="42"/>
      <c r="CB81" s="42"/>
      <c r="CC81" s="42"/>
      <c r="CD81" s="42"/>
      <c r="CE81" s="42"/>
      <c r="CF81" s="42"/>
      <c r="CG81" s="42"/>
      <c r="CH81" s="42"/>
      <c r="CI81" s="42"/>
      <c r="CJ81" s="42"/>
      <c r="CK81" s="42"/>
      <c r="CL81" s="42"/>
      <c r="CM81" s="42"/>
      <c r="CN81" s="42"/>
      <c r="CO81" s="42"/>
      <c r="CP81" s="42"/>
      <c r="CQ81" s="42"/>
      <c r="CR81" s="42"/>
      <c r="CS81" s="42"/>
      <c r="CT81" s="42"/>
      <c r="CU81" s="42"/>
      <c r="CV81" s="42"/>
      <c r="CW81" s="42"/>
      <c r="CX81" s="42"/>
      <c r="CY81" s="42"/>
      <c r="CZ81" s="42"/>
      <c r="DA81" s="42"/>
      <c r="DB81" s="42"/>
      <c r="DC81" s="42"/>
      <c r="DD81" s="42"/>
      <c r="DE81" s="42"/>
      <c r="DF81" s="42"/>
      <c r="DG81" s="42"/>
      <c r="DH81" s="42"/>
      <c r="DI81" s="42"/>
      <c r="DJ81" s="42"/>
      <c r="DK81" s="42"/>
      <c r="DL81" s="42"/>
      <c r="DM81" s="42"/>
      <c r="DN81" s="42"/>
    </row>
    <row r="82" spans="1:118" s="204" customFormat="1" x14ac:dyDescent="0.25">
      <c r="A82" s="207"/>
      <c r="B82" s="207"/>
      <c r="C82" s="208"/>
      <c r="D82" s="207"/>
      <c r="E82" s="207"/>
      <c r="F82" s="207"/>
      <c r="G82" s="207"/>
      <c r="H82" s="207"/>
      <c r="I82" s="207"/>
      <c r="J82" s="207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  <c r="AA82" s="209"/>
      <c r="AB82" s="209"/>
      <c r="AC82" s="209"/>
      <c r="AD82" s="209"/>
      <c r="AE82" s="209"/>
      <c r="AF82" s="209"/>
      <c r="AG82" s="209"/>
      <c r="AH82" s="209"/>
      <c r="AI82" s="209"/>
      <c r="AJ82" s="209"/>
      <c r="AK82" s="209"/>
      <c r="AL82" s="209"/>
      <c r="AM82" s="209"/>
      <c r="AN82" s="209"/>
      <c r="AO82" s="209"/>
      <c r="AP82" s="209"/>
      <c r="AQ82" s="209"/>
      <c r="AR82" s="209"/>
      <c r="AS82" s="209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42"/>
      <c r="CD82" s="42"/>
      <c r="CE82" s="42"/>
      <c r="CF82" s="42"/>
      <c r="CG82" s="42"/>
      <c r="CH82" s="42"/>
      <c r="CI82" s="42"/>
      <c r="CJ82" s="42"/>
      <c r="CK82" s="42"/>
      <c r="CL82" s="42"/>
      <c r="CM82" s="42"/>
      <c r="CN82" s="42"/>
      <c r="CO82" s="42"/>
      <c r="CP82" s="42"/>
      <c r="CQ82" s="42"/>
      <c r="CR82" s="42"/>
      <c r="CS82" s="42"/>
      <c r="CT82" s="42"/>
      <c r="CU82" s="42"/>
      <c r="CV82" s="42"/>
      <c r="CW82" s="42"/>
      <c r="CX82" s="42"/>
      <c r="CY82" s="42"/>
      <c r="CZ82" s="42"/>
      <c r="DA82" s="42"/>
      <c r="DB82" s="42"/>
      <c r="DC82" s="42"/>
      <c r="DD82" s="42"/>
      <c r="DE82" s="42"/>
      <c r="DF82" s="42"/>
      <c r="DG82" s="42"/>
      <c r="DH82" s="42"/>
      <c r="DI82" s="42"/>
      <c r="DJ82" s="42"/>
      <c r="DK82" s="42"/>
      <c r="DL82" s="42"/>
      <c r="DM82" s="42"/>
      <c r="DN82" s="42"/>
    </row>
    <row r="83" spans="1:118" s="204" customFormat="1" x14ac:dyDescent="0.25">
      <c r="A83" s="207"/>
      <c r="B83" s="207"/>
      <c r="C83" s="208"/>
      <c r="D83" s="207"/>
      <c r="E83" s="207"/>
      <c r="F83" s="207"/>
      <c r="G83" s="207"/>
      <c r="H83" s="207"/>
      <c r="I83" s="207"/>
      <c r="J83" s="207"/>
      <c r="K83" s="213"/>
      <c r="L83" s="213"/>
      <c r="M83" s="213"/>
      <c r="N83" s="213"/>
      <c r="O83" s="213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  <c r="AA83" s="209"/>
      <c r="AB83" s="209"/>
      <c r="AC83" s="209"/>
      <c r="AD83" s="209"/>
      <c r="AE83" s="209"/>
      <c r="AF83" s="209"/>
      <c r="AG83" s="209"/>
      <c r="AH83" s="209"/>
      <c r="AI83" s="209"/>
      <c r="AJ83" s="209"/>
      <c r="AK83" s="209"/>
      <c r="AL83" s="209"/>
      <c r="AM83" s="209"/>
      <c r="AN83" s="209"/>
      <c r="AO83" s="209"/>
      <c r="AP83" s="209"/>
      <c r="AQ83" s="209"/>
      <c r="AR83" s="209"/>
      <c r="AS83" s="209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42"/>
      <c r="CG83" s="42"/>
      <c r="CH83" s="42"/>
      <c r="CI83" s="42"/>
      <c r="CJ83" s="42"/>
      <c r="CK83" s="42"/>
      <c r="CL83" s="42"/>
      <c r="CM83" s="42"/>
      <c r="CN83" s="42"/>
      <c r="CO83" s="42"/>
      <c r="CP83" s="42"/>
      <c r="CQ83" s="42"/>
      <c r="CR83" s="42"/>
      <c r="CS83" s="42"/>
      <c r="CT83" s="42"/>
      <c r="CU83" s="42"/>
      <c r="CV83" s="42"/>
      <c r="CW83" s="42"/>
      <c r="CX83" s="42"/>
      <c r="CY83" s="42"/>
      <c r="CZ83" s="42"/>
      <c r="DA83" s="42"/>
      <c r="DB83" s="42"/>
      <c r="DC83" s="42"/>
      <c r="DD83" s="42"/>
      <c r="DE83" s="42"/>
      <c r="DF83" s="42"/>
      <c r="DG83" s="42"/>
      <c r="DH83" s="42"/>
      <c r="DI83" s="42"/>
      <c r="DJ83" s="42"/>
      <c r="DK83" s="42"/>
      <c r="DL83" s="42"/>
      <c r="DM83" s="42"/>
      <c r="DN83" s="42"/>
    </row>
    <row r="84" spans="1:118" s="204" customFormat="1" x14ac:dyDescent="0.25">
      <c r="A84" s="207"/>
      <c r="B84" s="207"/>
      <c r="C84" s="208"/>
      <c r="D84" s="207"/>
      <c r="E84" s="207"/>
      <c r="F84" s="207"/>
      <c r="G84" s="207"/>
      <c r="H84" s="207"/>
      <c r="I84" s="207"/>
      <c r="J84" s="207"/>
      <c r="K84" s="209"/>
      <c r="L84" s="209"/>
      <c r="M84" s="209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  <c r="AA84" s="209"/>
      <c r="AB84" s="209"/>
      <c r="AC84" s="209"/>
      <c r="AD84" s="209"/>
      <c r="AE84" s="209"/>
      <c r="AF84" s="209"/>
      <c r="AG84" s="209"/>
      <c r="AH84" s="209"/>
      <c r="AI84" s="209"/>
      <c r="AJ84" s="209"/>
      <c r="AK84" s="209"/>
      <c r="AL84" s="209"/>
      <c r="AM84" s="209"/>
      <c r="AN84" s="209"/>
      <c r="AO84" s="209"/>
      <c r="AP84" s="209"/>
      <c r="AQ84" s="209"/>
      <c r="AR84" s="209"/>
      <c r="AS84" s="209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/>
      <c r="CG84" s="42"/>
      <c r="CH84" s="42"/>
      <c r="CI84" s="42"/>
      <c r="CJ84" s="42"/>
      <c r="CK84" s="42"/>
      <c r="CL84" s="42"/>
      <c r="CM84" s="42"/>
      <c r="CN84" s="42"/>
      <c r="CO84" s="42"/>
      <c r="CP84" s="42"/>
      <c r="CQ84" s="42"/>
      <c r="CR84" s="42"/>
      <c r="CS84" s="42"/>
      <c r="CT84" s="42"/>
      <c r="CU84" s="42"/>
      <c r="CV84" s="42"/>
      <c r="CW84" s="42"/>
      <c r="CX84" s="42"/>
      <c r="CY84" s="42"/>
      <c r="CZ84" s="42"/>
      <c r="DA84" s="42"/>
      <c r="DB84" s="42"/>
      <c r="DC84" s="42"/>
      <c r="DD84" s="42"/>
      <c r="DE84" s="42"/>
      <c r="DF84" s="42"/>
      <c r="DG84" s="42"/>
      <c r="DH84" s="42"/>
      <c r="DI84" s="42"/>
      <c r="DJ84" s="42"/>
      <c r="DK84" s="42"/>
      <c r="DL84" s="42"/>
      <c r="DM84" s="42"/>
      <c r="DN84" s="42"/>
    </row>
    <row r="85" spans="1:118" s="204" customFormat="1" x14ac:dyDescent="0.25">
      <c r="A85" s="207"/>
      <c r="B85" s="207"/>
      <c r="C85" s="208"/>
      <c r="D85" s="207"/>
      <c r="E85" s="207"/>
      <c r="F85" s="207"/>
      <c r="G85" s="207"/>
      <c r="H85" s="207"/>
      <c r="I85" s="207"/>
      <c r="J85" s="207"/>
      <c r="K85" s="209"/>
      <c r="L85" s="209"/>
      <c r="M85" s="209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  <c r="AA85" s="209"/>
      <c r="AB85" s="209"/>
      <c r="AC85" s="209"/>
      <c r="AD85" s="209"/>
      <c r="AE85" s="209"/>
      <c r="AF85" s="209"/>
      <c r="AG85" s="209"/>
      <c r="AH85" s="209"/>
      <c r="AI85" s="209"/>
      <c r="AJ85" s="209"/>
      <c r="AK85" s="209"/>
      <c r="AL85" s="209"/>
      <c r="AM85" s="209"/>
      <c r="AN85" s="209"/>
      <c r="AO85" s="209"/>
      <c r="AP85" s="209"/>
      <c r="AQ85" s="209"/>
      <c r="AR85" s="209"/>
      <c r="AS85" s="209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42"/>
      <c r="CE85" s="42"/>
      <c r="CF85" s="42"/>
      <c r="CG85" s="42"/>
      <c r="CH85" s="42"/>
      <c r="CI85" s="42"/>
      <c r="CJ85" s="42"/>
      <c r="CK85" s="42"/>
      <c r="CL85" s="42"/>
      <c r="CM85" s="42"/>
      <c r="CN85" s="42"/>
      <c r="CO85" s="42"/>
      <c r="CP85" s="42"/>
      <c r="CQ85" s="42"/>
      <c r="CR85" s="42"/>
      <c r="CS85" s="42"/>
      <c r="CT85" s="42"/>
      <c r="CU85" s="42"/>
      <c r="CV85" s="42"/>
      <c r="CW85" s="42"/>
      <c r="CX85" s="42"/>
      <c r="CY85" s="42"/>
      <c r="CZ85" s="42"/>
      <c r="DA85" s="42"/>
      <c r="DB85" s="42"/>
      <c r="DC85" s="42"/>
      <c r="DD85" s="42"/>
      <c r="DE85" s="42"/>
      <c r="DF85" s="42"/>
      <c r="DG85" s="42"/>
      <c r="DH85" s="42"/>
      <c r="DI85" s="42"/>
      <c r="DJ85" s="42"/>
      <c r="DK85" s="42"/>
      <c r="DL85" s="42"/>
      <c r="DM85" s="42"/>
      <c r="DN85" s="42"/>
    </row>
    <row r="86" spans="1:118" s="204" customFormat="1" x14ac:dyDescent="0.25">
      <c r="C86" s="205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6"/>
      <c r="Z86" s="206"/>
      <c r="AA86" s="206"/>
      <c r="AB86" s="206"/>
      <c r="AC86" s="206"/>
      <c r="AD86" s="206"/>
      <c r="AE86" s="206"/>
      <c r="AF86" s="206"/>
      <c r="AG86" s="206"/>
      <c r="AH86" s="206"/>
      <c r="AI86" s="206"/>
      <c r="AJ86" s="206"/>
      <c r="AK86" s="206"/>
      <c r="AL86" s="206"/>
      <c r="AM86" s="206"/>
      <c r="AN86" s="206"/>
      <c r="AO86" s="206"/>
      <c r="AP86" s="206"/>
      <c r="AQ86" s="206"/>
      <c r="AR86" s="206"/>
      <c r="AS86" s="206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2"/>
      <c r="CF86" s="42"/>
      <c r="CG86" s="42"/>
      <c r="CH86" s="42"/>
      <c r="CI86" s="42"/>
      <c r="CJ86" s="42"/>
      <c r="CK86" s="42"/>
      <c r="CL86" s="42"/>
      <c r="CM86" s="42"/>
      <c r="CN86" s="42"/>
      <c r="CO86" s="42"/>
      <c r="CP86" s="42"/>
      <c r="CQ86" s="42"/>
      <c r="CR86" s="42"/>
      <c r="CS86" s="42"/>
      <c r="CT86" s="42"/>
      <c r="CU86" s="42"/>
      <c r="CV86" s="42"/>
      <c r="CW86" s="42"/>
      <c r="CX86" s="42"/>
      <c r="CY86" s="42"/>
      <c r="CZ86" s="42"/>
      <c r="DA86" s="42"/>
      <c r="DB86" s="42"/>
      <c r="DC86" s="42"/>
      <c r="DD86" s="42"/>
      <c r="DE86" s="42"/>
      <c r="DF86" s="42"/>
      <c r="DG86" s="42"/>
      <c r="DH86" s="42"/>
      <c r="DI86" s="42"/>
      <c r="DJ86" s="42"/>
      <c r="DK86" s="42"/>
      <c r="DL86" s="42"/>
      <c r="DM86" s="42"/>
      <c r="DN86" s="42"/>
    </row>
    <row r="87" spans="1:118" s="204" customFormat="1" x14ac:dyDescent="0.25">
      <c r="A87" s="207"/>
      <c r="B87" s="207"/>
      <c r="C87" s="208"/>
      <c r="D87" s="207"/>
      <c r="E87" s="207"/>
      <c r="F87" s="207"/>
      <c r="G87" s="207"/>
      <c r="H87" s="207"/>
      <c r="I87" s="207"/>
      <c r="J87" s="207"/>
      <c r="K87" s="209"/>
      <c r="L87" s="209"/>
      <c r="M87" s="209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  <c r="AA87" s="209"/>
      <c r="AB87" s="209"/>
      <c r="AC87" s="209"/>
      <c r="AD87" s="209"/>
      <c r="AE87" s="209"/>
      <c r="AF87" s="209"/>
      <c r="AG87" s="209"/>
      <c r="AH87" s="209"/>
      <c r="AI87" s="209"/>
      <c r="AJ87" s="209"/>
      <c r="AK87" s="209"/>
      <c r="AL87" s="209"/>
      <c r="AM87" s="209"/>
      <c r="AN87" s="209"/>
      <c r="AO87" s="209"/>
      <c r="AP87" s="209"/>
      <c r="AQ87" s="209"/>
      <c r="AR87" s="209"/>
      <c r="AS87" s="209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2"/>
      <c r="CF87" s="42"/>
      <c r="CG87" s="42"/>
      <c r="CH87" s="42"/>
      <c r="CI87" s="42"/>
      <c r="CJ87" s="42"/>
      <c r="CK87" s="42"/>
      <c r="CL87" s="42"/>
      <c r="CM87" s="42"/>
      <c r="CN87" s="42"/>
      <c r="CO87" s="42"/>
      <c r="CP87" s="42"/>
      <c r="CQ87" s="42"/>
      <c r="CR87" s="42"/>
      <c r="CS87" s="42"/>
      <c r="CT87" s="42"/>
      <c r="CU87" s="42"/>
      <c r="CV87" s="42"/>
      <c r="CW87" s="42"/>
      <c r="CX87" s="42"/>
      <c r="CY87" s="42"/>
      <c r="CZ87" s="42"/>
      <c r="DA87" s="42"/>
      <c r="DB87" s="42"/>
      <c r="DC87" s="42"/>
      <c r="DD87" s="42"/>
      <c r="DE87" s="42"/>
      <c r="DF87" s="42"/>
      <c r="DG87" s="42"/>
      <c r="DH87" s="42"/>
      <c r="DI87" s="42"/>
      <c r="DJ87" s="42"/>
      <c r="DK87" s="42"/>
      <c r="DL87" s="42"/>
      <c r="DM87" s="42"/>
      <c r="DN87" s="42"/>
    </row>
    <row r="88" spans="1:118" s="204" customFormat="1" x14ac:dyDescent="0.25">
      <c r="C88" s="205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6"/>
      <c r="Z88" s="206"/>
      <c r="AA88" s="206"/>
      <c r="AB88" s="206"/>
      <c r="AC88" s="206"/>
      <c r="AD88" s="206"/>
      <c r="AE88" s="206"/>
      <c r="AF88" s="206"/>
      <c r="AG88" s="206"/>
      <c r="AH88" s="206"/>
      <c r="AI88" s="206"/>
      <c r="AJ88" s="206"/>
      <c r="AK88" s="206"/>
      <c r="AL88" s="206"/>
      <c r="AM88" s="206"/>
      <c r="AN88" s="206"/>
      <c r="AO88" s="206"/>
      <c r="AP88" s="206"/>
      <c r="AQ88" s="206"/>
      <c r="AR88" s="206"/>
      <c r="AS88" s="206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/>
      <c r="CG88" s="42"/>
      <c r="CH88" s="42"/>
      <c r="CI88" s="42"/>
      <c r="CJ88" s="42"/>
      <c r="CK88" s="42"/>
      <c r="CL88" s="42"/>
      <c r="CM88" s="42"/>
      <c r="CN88" s="42"/>
      <c r="CO88" s="42"/>
      <c r="CP88" s="42"/>
      <c r="CQ88" s="42"/>
      <c r="CR88" s="42"/>
      <c r="CS88" s="42"/>
      <c r="CT88" s="42"/>
      <c r="CU88" s="42"/>
      <c r="CV88" s="42"/>
      <c r="CW88" s="42"/>
      <c r="CX88" s="42"/>
      <c r="CY88" s="42"/>
      <c r="CZ88" s="42"/>
      <c r="DA88" s="42"/>
      <c r="DB88" s="42"/>
      <c r="DC88" s="42"/>
      <c r="DD88" s="42"/>
      <c r="DE88" s="42"/>
      <c r="DF88" s="42"/>
      <c r="DG88" s="42"/>
      <c r="DH88" s="42"/>
      <c r="DI88" s="42"/>
      <c r="DJ88" s="42"/>
      <c r="DK88" s="42"/>
      <c r="DL88" s="42"/>
      <c r="DM88" s="42"/>
      <c r="DN88" s="42"/>
    </row>
    <row r="89" spans="1:118" s="204" customFormat="1" x14ac:dyDescent="0.25">
      <c r="C89" s="205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  <c r="Z89" s="206"/>
      <c r="AA89" s="206"/>
      <c r="AB89" s="206"/>
      <c r="AC89" s="206"/>
      <c r="AD89" s="206"/>
      <c r="AE89" s="206"/>
      <c r="AF89" s="206"/>
      <c r="AG89" s="206"/>
      <c r="AH89" s="206"/>
      <c r="AI89" s="206"/>
      <c r="AJ89" s="206"/>
      <c r="AK89" s="206"/>
      <c r="AL89" s="206"/>
      <c r="AM89" s="206"/>
      <c r="AN89" s="206"/>
      <c r="AO89" s="206"/>
      <c r="AP89" s="206"/>
      <c r="AQ89" s="206"/>
      <c r="AR89" s="206"/>
      <c r="AS89" s="206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  <c r="CA89" s="42"/>
      <c r="CB89" s="42"/>
      <c r="CC89" s="42"/>
      <c r="CD89" s="42"/>
      <c r="CE89" s="42"/>
      <c r="CF89" s="42"/>
      <c r="CG89" s="42"/>
      <c r="CH89" s="42"/>
      <c r="CI89" s="42"/>
      <c r="CJ89" s="42"/>
      <c r="CK89" s="42"/>
      <c r="CL89" s="42"/>
      <c r="CM89" s="42"/>
      <c r="CN89" s="42"/>
      <c r="CO89" s="42"/>
      <c r="CP89" s="42"/>
      <c r="CQ89" s="42"/>
      <c r="CR89" s="42"/>
      <c r="CS89" s="42"/>
      <c r="CT89" s="42"/>
      <c r="CU89" s="42"/>
      <c r="CV89" s="42"/>
      <c r="CW89" s="42"/>
      <c r="CX89" s="42"/>
      <c r="CY89" s="42"/>
      <c r="CZ89" s="42"/>
      <c r="DA89" s="42"/>
      <c r="DB89" s="42"/>
      <c r="DC89" s="42"/>
      <c r="DD89" s="42"/>
      <c r="DE89" s="42"/>
      <c r="DF89" s="42"/>
      <c r="DG89" s="42"/>
      <c r="DH89" s="42"/>
      <c r="DI89" s="42"/>
      <c r="DJ89" s="42"/>
      <c r="DK89" s="42"/>
      <c r="DL89" s="42"/>
      <c r="DM89" s="42"/>
      <c r="DN89" s="42"/>
    </row>
    <row r="90" spans="1:118" s="204" customFormat="1" x14ac:dyDescent="0.25">
      <c r="C90" s="205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206"/>
      <c r="AA90" s="206"/>
      <c r="AB90" s="206"/>
      <c r="AC90" s="206"/>
      <c r="AD90" s="206"/>
      <c r="AE90" s="206"/>
      <c r="AF90" s="206"/>
      <c r="AG90" s="206"/>
      <c r="AH90" s="206"/>
      <c r="AI90" s="206"/>
      <c r="AJ90" s="206"/>
      <c r="AK90" s="206"/>
      <c r="AL90" s="206"/>
      <c r="AM90" s="206"/>
      <c r="AN90" s="206"/>
      <c r="AO90" s="206"/>
      <c r="AP90" s="206"/>
      <c r="AQ90" s="206"/>
      <c r="AR90" s="206"/>
      <c r="AS90" s="206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/>
      <c r="CG90" s="42"/>
      <c r="CH90" s="42"/>
      <c r="CI90" s="42"/>
      <c r="CJ90" s="42"/>
      <c r="CK90" s="42"/>
      <c r="CL90" s="42"/>
      <c r="CM90" s="42"/>
      <c r="CN90" s="42"/>
      <c r="CO90" s="42"/>
      <c r="CP90" s="42"/>
      <c r="CQ90" s="42"/>
      <c r="CR90" s="42"/>
      <c r="CS90" s="42"/>
      <c r="CT90" s="42"/>
      <c r="CU90" s="42"/>
      <c r="CV90" s="42"/>
      <c r="CW90" s="42"/>
      <c r="CX90" s="42"/>
      <c r="CY90" s="42"/>
      <c r="CZ90" s="42"/>
      <c r="DA90" s="42"/>
      <c r="DB90" s="42"/>
      <c r="DC90" s="42"/>
      <c r="DD90" s="42"/>
      <c r="DE90" s="42"/>
      <c r="DF90" s="42"/>
      <c r="DG90" s="42"/>
      <c r="DH90" s="42"/>
      <c r="DI90" s="42"/>
      <c r="DJ90" s="42"/>
      <c r="DK90" s="42"/>
      <c r="DL90" s="42"/>
      <c r="DM90" s="42"/>
      <c r="DN90" s="42"/>
    </row>
    <row r="91" spans="1:118" s="204" customFormat="1" x14ac:dyDescent="0.25">
      <c r="C91" s="205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  <c r="AA91" s="206"/>
      <c r="AB91" s="206"/>
      <c r="AC91" s="206"/>
      <c r="AD91" s="206"/>
      <c r="AE91" s="206"/>
      <c r="AF91" s="206"/>
      <c r="AG91" s="206"/>
      <c r="AH91" s="206"/>
      <c r="AI91" s="206"/>
      <c r="AJ91" s="206"/>
      <c r="AK91" s="206"/>
      <c r="AL91" s="206"/>
      <c r="AM91" s="206"/>
      <c r="AN91" s="206"/>
      <c r="AO91" s="206"/>
      <c r="AP91" s="206"/>
      <c r="AQ91" s="206"/>
      <c r="AR91" s="206"/>
      <c r="AS91" s="206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/>
      <c r="CG91" s="42"/>
      <c r="CH91" s="42"/>
      <c r="CI91" s="42"/>
      <c r="CJ91" s="42"/>
      <c r="CK91" s="42"/>
      <c r="CL91" s="42"/>
      <c r="CM91" s="42"/>
      <c r="CN91" s="42"/>
      <c r="CO91" s="42"/>
      <c r="CP91" s="42"/>
      <c r="CQ91" s="42"/>
      <c r="CR91" s="42"/>
      <c r="CS91" s="42"/>
      <c r="CT91" s="42"/>
      <c r="CU91" s="42"/>
      <c r="CV91" s="42"/>
      <c r="CW91" s="42"/>
      <c r="CX91" s="42"/>
      <c r="CY91" s="42"/>
      <c r="CZ91" s="42"/>
      <c r="DA91" s="42"/>
      <c r="DB91" s="42"/>
      <c r="DC91" s="42"/>
      <c r="DD91" s="42"/>
      <c r="DE91" s="42"/>
      <c r="DF91" s="42"/>
      <c r="DG91" s="42"/>
      <c r="DH91" s="42"/>
      <c r="DI91" s="42"/>
      <c r="DJ91" s="42"/>
      <c r="DK91" s="42"/>
      <c r="DL91" s="42"/>
      <c r="DM91" s="42"/>
      <c r="DN91" s="42"/>
    </row>
    <row r="92" spans="1:118" s="204" customFormat="1" x14ac:dyDescent="0.25">
      <c r="C92" s="205"/>
      <c r="K92" s="206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6"/>
      <c r="Z92" s="206"/>
      <c r="AA92" s="206"/>
      <c r="AB92" s="206"/>
      <c r="AC92" s="206"/>
      <c r="AD92" s="206"/>
      <c r="AE92" s="206"/>
      <c r="AF92" s="206"/>
      <c r="AG92" s="206"/>
      <c r="AH92" s="206"/>
      <c r="AI92" s="206"/>
      <c r="AJ92" s="206"/>
      <c r="AK92" s="206"/>
      <c r="AL92" s="206"/>
      <c r="AM92" s="206"/>
      <c r="AN92" s="206"/>
      <c r="AO92" s="206"/>
      <c r="AP92" s="206"/>
      <c r="AQ92" s="206"/>
      <c r="AR92" s="206"/>
      <c r="AS92" s="206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2"/>
      <c r="CL92" s="42"/>
      <c r="CM92" s="42"/>
      <c r="CN92" s="42"/>
      <c r="CO92" s="42"/>
      <c r="CP92" s="42"/>
      <c r="CQ92" s="42"/>
      <c r="CR92" s="42"/>
      <c r="CS92" s="42"/>
      <c r="CT92" s="42"/>
      <c r="CU92" s="42"/>
      <c r="CV92" s="42"/>
      <c r="CW92" s="42"/>
      <c r="CX92" s="42"/>
      <c r="CY92" s="42"/>
      <c r="CZ92" s="42"/>
      <c r="DA92" s="42"/>
      <c r="DB92" s="42"/>
      <c r="DC92" s="42"/>
      <c r="DD92" s="42"/>
      <c r="DE92" s="42"/>
      <c r="DF92" s="42"/>
      <c r="DG92" s="42"/>
      <c r="DH92" s="42"/>
      <c r="DI92" s="42"/>
      <c r="DJ92" s="42"/>
      <c r="DK92" s="42"/>
      <c r="DL92" s="42"/>
      <c r="DM92" s="42"/>
      <c r="DN92" s="42"/>
    </row>
    <row r="93" spans="1:118" s="204" customFormat="1" x14ac:dyDescent="0.25">
      <c r="C93" s="205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  <c r="AA93" s="206"/>
      <c r="AB93" s="206"/>
      <c r="AC93" s="206"/>
      <c r="AD93" s="206"/>
      <c r="AE93" s="206"/>
      <c r="AF93" s="206"/>
      <c r="AG93" s="206"/>
      <c r="AH93" s="206"/>
      <c r="AI93" s="206"/>
      <c r="AJ93" s="206"/>
      <c r="AK93" s="206"/>
      <c r="AL93" s="206"/>
      <c r="AM93" s="206"/>
      <c r="AN93" s="206"/>
      <c r="AO93" s="206"/>
      <c r="AP93" s="206"/>
      <c r="AQ93" s="206"/>
      <c r="AR93" s="206"/>
      <c r="AS93" s="206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2"/>
      <c r="CL93" s="42"/>
      <c r="CM93" s="42"/>
      <c r="CN93" s="42"/>
      <c r="CO93" s="42"/>
      <c r="CP93" s="42"/>
      <c r="CQ93" s="42"/>
      <c r="CR93" s="42"/>
      <c r="CS93" s="42"/>
      <c r="CT93" s="42"/>
      <c r="CU93" s="42"/>
      <c r="CV93" s="42"/>
      <c r="CW93" s="42"/>
      <c r="CX93" s="42"/>
      <c r="CY93" s="42"/>
      <c r="CZ93" s="42"/>
      <c r="DA93" s="42"/>
      <c r="DB93" s="42"/>
      <c r="DC93" s="42"/>
      <c r="DD93" s="42"/>
      <c r="DE93" s="42"/>
      <c r="DF93" s="42"/>
      <c r="DG93" s="42"/>
      <c r="DH93" s="42"/>
      <c r="DI93" s="42"/>
      <c r="DJ93" s="42"/>
      <c r="DK93" s="42"/>
      <c r="DL93" s="42"/>
      <c r="DM93" s="42"/>
      <c r="DN93" s="42"/>
    </row>
    <row r="94" spans="1:118" s="204" customFormat="1" x14ac:dyDescent="0.25">
      <c r="C94" s="205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  <c r="Z94" s="206"/>
      <c r="AA94" s="206"/>
      <c r="AB94" s="206"/>
      <c r="AC94" s="206"/>
      <c r="AD94" s="206"/>
      <c r="AE94" s="206"/>
      <c r="AF94" s="206"/>
      <c r="AG94" s="206"/>
      <c r="AH94" s="206"/>
      <c r="AI94" s="206"/>
      <c r="AJ94" s="206"/>
      <c r="AK94" s="206"/>
      <c r="AL94" s="206"/>
      <c r="AM94" s="206"/>
      <c r="AN94" s="206"/>
      <c r="AO94" s="206"/>
      <c r="AP94" s="206"/>
      <c r="AQ94" s="206"/>
      <c r="AR94" s="206"/>
      <c r="AS94" s="206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/>
      <c r="CV94" s="42"/>
      <c r="CW94" s="42"/>
      <c r="CX94" s="42"/>
      <c r="CY94" s="42"/>
      <c r="CZ94" s="42"/>
      <c r="DA94" s="42"/>
      <c r="DB94" s="42"/>
      <c r="DC94" s="42"/>
      <c r="DD94" s="42"/>
      <c r="DE94" s="42"/>
      <c r="DF94" s="42"/>
      <c r="DG94" s="42"/>
      <c r="DH94" s="42"/>
      <c r="DI94" s="42"/>
      <c r="DJ94" s="42"/>
      <c r="DK94" s="42"/>
      <c r="DL94" s="42"/>
      <c r="DM94" s="42"/>
      <c r="DN94" s="42"/>
    </row>
    <row r="95" spans="1:118" s="204" customFormat="1" x14ac:dyDescent="0.25">
      <c r="C95" s="205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  <c r="Z95" s="206"/>
      <c r="AA95" s="206"/>
      <c r="AB95" s="206"/>
      <c r="AC95" s="206"/>
      <c r="AD95" s="206"/>
      <c r="AE95" s="206"/>
      <c r="AF95" s="206"/>
      <c r="AG95" s="206"/>
      <c r="AH95" s="206"/>
      <c r="AI95" s="206"/>
      <c r="AJ95" s="206"/>
      <c r="AK95" s="206"/>
      <c r="AL95" s="206"/>
      <c r="AM95" s="206"/>
      <c r="AN95" s="206"/>
      <c r="AO95" s="206"/>
      <c r="AP95" s="206"/>
      <c r="AQ95" s="206"/>
      <c r="AR95" s="206"/>
      <c r="AS95" s="206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2"/>
      <c r="CL95" s="42"/>
      <c r="CM95" s="42"/>
      <c r="CN95" s="42"/>
      <c r="CO95" s="42"/>
      <c r="CP95" s="42"/>
      <c r="CQ95" s="42"/>
      <c r="CR95" s="42"/>
      <c r="CS95" s="42"/>
      <c r="CT95" s="42"/>
      <c r="CU95" s="42"/>
      <c r="CV95" s="42"/>
      <c r="CW95" s="42"/>
      <c r="CX95" s="42"/>
      <c r="CY95" s="42"/>
      <c r="CZ95" s="42"/>
      <c r="DA95" s="42"/>
      <c r="DB95" s="42"/>
      <c r="DC95" s="42"/>
      <c r="DD95" s="42"/>
      <c r="DE95" s="42"/>
      <c r="DF95" s="42"/>
      <c r="DG95" s="42"/>
      <c r="DH95" s="42"/>
      <c r="DI95" s="42"/>
      <c r="DJ95" s="42"/>
      <c r="DK95" s="42"/>
      <c r="DL95" s="42"/>
      <c r="DM95" s="42"/>
      <c r="DN95" s="42"/>
    </row>
    <row r="96" spans="1:118" s="204" customFormat="1" x14ac:dyDescent="0.25">
      <c r="C96" s="205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  <c r="Z96" s="206"/>
      <c r="AA96" s="206"/>
      <c r="AB96" s="206"/>
      <c r="AC96" s="206"/>
      <c r="AD96" s="206"/>
      <c r="AE96" s="206"/>
      <c r="AF96" s="206"/>
      <c r="AG96" s="206"/>
      <c r="AH96" s="206"/>
      <c r="AI96" s="206"/>
      <c r="AJ96" s="206"/>
      <c r="AK96" s="206"/>
      <c r="AL96" s="206"/>
      <c r="AM96" s="206"/>
      <c r="AN96" s="206"/>
      <c r="AO96" s="206"/>
      <c r="AP96" s="206"/>
      <c r="AQ96" s="206"/>
      <c r="AR96" s="206"/>
      <c r="AS96" s="206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  <c r="CA96" s="42"/>
      <c r="CB96" s="42"/>
      <c r="CC96" s="42"/>
      <c r="CD96" s="42"/>
      <c r="CE96" s="42"/>
      <c r="CF96" s="42"/>
      <c r="CG96" s="42"/>
      <c r="CH96" s="42"/>
      <c r="CI96" s="42"/>
      <c r="CJ96" s="42"/>
      <c r="CK96" s="42"/>
      <c r="CL96" s="42"/>
      <c r="CM96" s="42"/>
      <c r="CN96" s="42"/>
      <c r="CO96" s="42"/>
      <c r="CP96" s="42"/>
      <c r="CQ96" s="42"/>
      <c r="CR96" s="42"/>
      <c r="CS96" s="42"/>
      <c r="CT96" s="42"/>
      <c r="CU96" s="42"/>
      <c r="CV96" s="42"/>
      <c r="CW96" s="42"/>
      <c r="CX96" s="42"/>
      <c r="CY96" s="42"/>
      <c r="CZ96" s="42"/>
      <c r="DA96" s="42"/>
      <c r="DB96" s="42"/>
      <c r="DC96" s="42"/>
      <c r="DD96" s="42"/>
      <c r="DE96" s="42"/>
      <c r="DF96" s="42"/>
      <c r="DG96" s="42"/>
      <c r="DH96" s="42"/>
      <c r="DI96" s="42"/>
      <c r="DJ96" s="42"/>
      <c r="DK96" s="42"/>
      <c r="DL96" s="42"/>
      <c r="DM96" s="42"/>
      <c r="DN96" s="42"/>
    </row>
    <row r="97" spans="3:118" s="204" customFormat="1" x14ac:dyDescent="0.25">
      <c r="C97" s="205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206"/>
      <c r="AA97" s="206"/>
      <c r="AB97" s="206"/>
      <c r="AC97" s="206"/>
      <c r="AD97" s="206"/>
      <c r="AE97" s="206"/>
      <c r="AF97" s="206"/>
      <c r="AG97" s="206"/>
      <c r="AH97" s="206"/>
      <c r="AI97" s="206"/>
      <c r="AJ97" s="206"/>
      <c r="AK97" s="206"/>
      <c r="AL97" s="206"/>
      <c r="AM97" s="206"/>
      <c r="AN97" s="206"/>
      <c r="AO97" s="206"/>
      <c r="AP97" s="206"/>
      <c r="AQ97" s="206"/>
      <c r="AR97" s="206"/>
      <c r="AS97" s="206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42"/>
      <c r="CE97" s="42"/>
      <c r="CF97" s="42"/>
      <c r="CG97" s="42"/>
      <c r="CH97" s="42"/>
      <c r="CI97" s="42"/>
      <c r="CJ97" s="42"/>
      <c r="CK97" s="42"/>
      <c r="CL97" s="42"/>
      <c r="CM97" s="42"/>
      <c r="CN97" s="42"/>
      <c r="CO97" s="42"/>
      <c r="CP97" s="42"/>
      <c r="CQ97" s="42"/>
      <c r="CR97" s="42"/>
      <c r="CS97" s="42"/>
      <c r="CT97" s="42"/>
      <c r="CU97" s="42"/>
      <c r="CV97" s="42"/>
      <c r="CW97" s="42"/>
      <c r="CX97" s="42"/>
      <c r="CY97" s="42"/>
      <c r="CZ97" s="42"/>
      <c r="DA97" s="42"/>
      <c r="DB97" s="42"/>
      <c r="DC97" s="42"/>
      <c r="DD97" s="42"/>
      <c r="DE97" s="42"/>
      <c r="DF97" s="42"/>
      <c r="DG97" s="42"/>
      <c r="DH97" s="42"/>
      <c r="DI97" s="42"/>
      <c r="DJ97" s="42"/>
      <c r="DK97" s="42"/>
      <c r="DL97" s="42"/>
      <c r="DM97" s="42"/>
      <c r="DN97" s="42"/>
    </row>
    <row r="98" spans="3:118" s="204" customFormat="1" x14ac:dyDescent="0.25">
      <c r="C98" s="205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  <c r="Z98" s="206"/>
      <c r="AA98" s="206"/>
      <c r="AB98" s="206"/>
      <c r="AC98" s="206"/>
      <c r="AD98" s="206"/>
      <c r="AE98" s="206"/>
      <c r="AF98" s="206"/>
      <c r="AG98" s="206"/>
      <c r="AH98" s="206"/>
      <c r="AI98" s="206"/>
      <c r="AJ98" s="206"/>
      <c r="AK98" s="206"/>
      <c r="AL98" s="206"/>
      <c r="AM98" s="206"/>
      <c r="AN98" s="206"/>
      <c r="AO98" s="206"/>
      <c r="AP98" s="206"/>
      <c r="AQ98" s="206"/>
      <c r="AR98" s="206"/>
      <c r="AS98" s="206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  <c r="BW98" s="42"/>
      <c r="BX98" s="42"/>
      <c r="BY98" s="42"/>
      <c r="BZ98" s="42"/>
      <c r="CA98" s="42"/>
      <c r="CB98" s="42"/>
      <c r="CC98" s="42"/>
      <c r="CD98" s="42"/>
      <c r="CE98" s="42"/>
      <c r="CF98" s="42"/>
      <c r="CG98" s="42"/>
      <c r="CH98" s="42"/>
      <c r="CI98" s="42"/>
      <c r="CJ98" s="42"/>
      <c r="CK98" s="42"/>
      <c r="CL98" s="42"/>
      <c r="CM98" s="42"/>
      <c r="CN98" s="42"/>
      <c r="CO98" s="42"/>
      <c r="CP98" s="42"/>
      <c r="CQ98" s="42"/>
      <c r="CR98" s="42"/>
      <c r="CS98" s="42"/>
      <c r="CT98" s="42"/>
      <c r="CU98" s="42"/>
      <c r="CV98" s="42"/>
      <c r="CW98" s="42"/>
      <c r="CX98" s="42"/>
      <c r="CY98" s="42"/>
      <c r="CZ98" s="42"/>
      <c r="DA98" s="42"/>
      <c r="DB98" s="42"/>
      <c r="DC98" s="42"/>
      <c r="DD98" s="42"/>
      <c r="DE98" s="42"/>
      <c r="DF98" s="42"/>
      <c r="DG98" s="42"/>
      <c r="DH98" s="42"/>
      <c r="DI98" s="42"/>
      <c r="DJ98" s="42"/>
      <c r="DK98" s="42"/>
      <c r="DL98" s="42"/>
      <c r="DM98" s="42"/>
      <c r="DN98" s="42"/>
    </row>
    <row r="99" spans="3:118" s="204" customFormat="1" x14ac:dyDescent="0.25">
      <c r="C99" s="205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06"/>
      <c r="AA99" s="206"/>
      <c r="AB99" s="206"/>
      <c r="AC99" s="206"/>
      <c r="AD99" s="206"/>
      <c r="AE99" s="206"/>
      <c r="AF99" s="206"/>
      <c r="AG99" s="206"/>
      <c r="AH99" s="206"/>
      <c r="AI99" s="206"/>
      <c r="AJ99" s="206"/>
      <c r="AK99" s="206"/>
      <c r="AL99" s="206"/>
      <c r="AM99" s="206"/>
      <c r="AN99" s="206"/>
      <c r="AO99" s="206"/>
      <c r="AP99" s="206"/>
      <c r="AQ99" s="206"/>
      <c r="AR99" s="206"/>
      <c r="AS99" s="206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  <c r="BW99" s="42"/>
      <c r="BX99" s="42"/>
      <c r="BY99" s="42"/>
      <c r="BZ99" s="42"/>
      <c r="CA99" s="42"/>
      <c r="CB99" s="42"/>
      <c r="CC99" s="42"/>
      <c r="CD99" s="42"/>
      <c r="CE99" s="42"/>
      <c r="CF99" s="42"/>
      <c r="CG99" s="42"/>
      <c r="CH99" s="42"/>
      <c r="CI99" s="42"/>
      <c r="CJ99" s="42"/>
      <c r="CK99" s="42"/>
      <c r="CL99" s="42"/>
      <c r="CM99" s="42"/>
      <c r="CN99" s="42"/>
      <c r="CO99" s="42"/>
      <c r="CP99" s="42"/>
      <c r="CQ99" s="42"/>
      <c r="CR99" s="42"/>
      <c r="CS99" s="42"/>
      <c r="CT99" s="42"/>
      <c r="CU99" s="42"/>
      <c r="CV99" s="42"/>
      <c r="CW99" s="42"/>
      <c r="CX99" s="42"/>
      <c r="CY99" s="42"/>
      <c r="CZ99" s="42"/>
      <c r="DA99" s="42"/>
      <c r="DB99" s="42"/>
      <c r="DC99" s="42"/>
      <c r="DD99" s="42"/>
      <c r="DE99" s="42"/>
      <c r="DF99" s="42"/>
      <c r="DG99" s="42"/>
      <c r="DH99" s="42"/>
      <c r="DI99" s="42"/>
      <c r="DJ99" s="42"/>
      <c r="DK99" s="42"/>
      <c r="DL99" s="42"/>
      <c r="DM99" s="42"/>
      <c r="DN99" s="42"/>
    </row>
    <row r="100" spans="3:118" s="204" customFormat="1" x14ac:dyDescent="0.25">
      <c r="C100" s="205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206"/>
      <c r="AA100" s="206"/>
      <c r="AB100" s="206"/>
      <c r="AC100" s="206"/>
      <c r="AD100" s="206"/>
      <c r="AE100" s="206"/>
      <c r="AF100" s="206"/>
      <c r="AG100" s="206"/>
      <c r="AH100" s="206"/>
      <c r="AI100" s="206"/>
      <c r="AJ100" s="206"/>
      <c r="AK100" s="206"/>
      <c r="AL100" s="206"/>
      <c r="AM100" s="206"/>
      <c r="AN100" s="206"/>
      <c r="AO100" s="206"/>
      <c r="AP100" s="206"/>
      <c r="AQ100" s="206"/>
      <c r="AR100" s="206"/>
      <c r="AS100" s="206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/>
      <c r="CG100" s="42"/>
      <c r="CH100" s="42"/>
      <c r="CI100" s="42"/>
      <c r="CJ100" s="42"/>
      <c r="CK100" s="42"/>
      <c r="CL100" s="42"/>
      <c r="CM100" s="42"/>
      <c r="CN100" s="42"/>
      <c r="CO100" s="42"/>
      <c r="CP100" s="42"/>
      <c r="CQ100" s="42"/>
      <c r="CR100" s="42"/>
      <c r="CS100" s="42"/>
      <c r="CT100" s="42"/>
      <c r="CU100" s="42"/>
      <c r="CV100" s="42"/>
      <c r="CW100" s="42"/>
      <c r="CX100" s="42"/>
      <c r="CY100" s="42"/>
      <c r="CZ100" s="42"/>
      <c r="DA100" s="42"/>
      <c r="DB100" s="42"/>
      <c r="DC100" s="42"/>
      <c r="DD100" s="42"/>
      <c r="DE100" s="42"/>
      <c r="DF100" s="42"/>
      <c r="DG100" s="42"/>
      <c r="DH100" s="42"/>
      <c r="DI100" s="42"/>
      <c r="DJ100" s="42"/>
      <c r="DK100" s="42"/>
      <c r="DL100" s="42"/>
      <c r="DM100" s="42"/>
      <c r="DN100" s="42"/>
    </row>
    <row r="101" spans="3:118" s="207" customFormat="1" x14ac:dyDescent="0.25">
      <c r="C101" s="208"/>
      <c r="K101" s="209"/>
      <c r="L101" s="209"/>
      <c r="M101" s="209"/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  <c r="AA101" s="209"/>
      <c r="AB101" s="209"/>
      <c r="AC101" s="209"/>
      <c r="AD101" s="209"/>
      <c r="AE101" s="209"/>
      <c r="AF101" s="209"/>
      <c r="AG101" s="209"/>
      <c r="AH101" s="209"/>
      <c r="AI101" s="209"/>
      <c r="AJ101" s="209"/>
      <c r="AK101" s="209"/>
      <c r="AL101" s="209"/>
      <c r="AM101" s="209"/>
      <c r="AN101" s="209"/>
      <c r="AO101" s="209"/>
      <c r="AP101" s="209"/>
      <c r="AQ101" s="209"/>
      <c r="AR101" s="209"/>
      <c r="AS101" s="209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2"/>
      <c r="BP101" s="42"/>
      <c r="BQ101" s="42"/>
      <c r="BR101" s="42"/>
      <c r="BS101" s="42"/>
      <c r="BT101" s="42"/>
      <c r="BU101" s="42"/>
      <c r="BV101" s="42"/>
      <c r="BW101" s="42"/>
      <c r="BX101" s="42"/>
      <c r="BY101" s="42"/>
      <c r="BZ101" s="42"/>
      <c r="CA101" s="42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</row>
    <row r="102" spans="3:118" s="207" customFormat="1" x14ac:dyDescent="0.25">
      <c r="C102" s="208"/>
      <c r="K102" s="209"/>
      <c r="L102" s="209"/>
      <c r="M102" s="209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  <c r="AA102" s="209"/>
      <c r="AB102" s="209"/>
      <c r="AC102" s="209"/>
      <c r="AD102" s="209"/>
      <c r="AE102" s="209"/>
      <c r="AF102" s="209"/>
      <c r="AG102" s="209"/>
      <c r="AH102" s="209"/>
      <c r="AI102" s="209"/>
      <c r="AJ102" s="209"/>
      <c r="AK102" s="209"/>
      <c r="AL102" s="209"/>
      <c r="AM102" s="209"/>
      <c r="AN102" s="209"/>
      <c r="AO102" s="209"/>
      <c r="AP102" s="209"/>
      <c r="AQ102" s="209"/>
      <c r="AR102" s="209"/>
      <c r="AS102" s="209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  <c r="BW102" s="42"/>
      <c r="BX102" s="42"/>
      <c r="BY102" s="42"/>
      <c r="BZ102" s="42"/>
      <c r="CA102" s="42"/>
      <c r="CB102" s="42"/>
      <c r="CC102" s="42"/>
      <c r="CD102" s="42"/>
      <c r="CE102" s="42"/>
      <c r="CF102" s="42"/>
      <c r="CG102" s="42"/>
      <c r="CH102" s="42"/>
      <c r="CI102" s="42"/>
      <c r="CJ102" s="42"/>
      <c r="CK102" s="42"/>
      <c r="CL102" s="42"/>
      <c r="CM102" s="42"/>
      <c r="CN102" s="42"/>
      <c r="CO102" s="42"/>
      <c r="CP102" s="42"/>
      <c r="CQ102" s="42"/>
      <c r="CR102" s="42"/>
      <c r="CS102" s="42"/>
      <c r="CT102" s="42"/>
      <c r="CU102" s="42"/>
      <c r="CV102" s="42"/>
      <c r="CW102" s="42"/>
      <c r="CX102" s="42"/>
      <c r="CY102" s="42"/>
      <c r="CZ102" s="42"/>
      <c r="DA102" s="42"/>
      <c r="DB102" s="42"/>
      <c r="DC102" s="42"/>
      <c r="DD102" s="42"/>
      <c r="DE102" s="42"/>
      <c r="DF102" s="42"/>
      <c r="DG102" s="42"/>
      <c r="DH102" s="42"/>
      <c r="DI102" s="42"/>
      <c r="DJ102" s="42"/>
      <c r="DK102" s="42"/>
      <c r="DL102" s="42"/>
      <c r="DM102" s="42"/>
      <c r="DN102" s="42"/>
    </row>
    <row r="103" spans="3:118" s="207" customFormat="1" x14ac:dyDescent="0.25">
      <c r="C103" s="208"/>
      <c r="K103" s="209"/>
      <c r="L103" s="209"/>
      <c r="M103" s="209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  <c r="AA103" s="209"/>
      <c r="AB103" s="209"/>
      <c r="AC103" s="209"/>
      <c r="AD103" s="209"/>
      <c r="AE103" s="209"/>
      <c r="AF103" s="209"/>
      <c r="AG103" s="209"/>
      <c r="AH103" s="209"/>
      <c r="AI103" s="209"/>
      <c r="AJ103" s="209"/>
      <c r="AK103" s="209"/>
      <c r="AL103" s="209"/>
      <c r="AM103" s="209"/>
      <c r="AN103" s="209"/>
      <c r="AO103" s="209"/>
      <c r="AP103" s="209"/>
      <c r="AQ103" s="209"/>
      <c r="AR103" s="209"/>
      <c r="AS103" s="209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2"/>
      <c r="BV103" s="42"/>
      <c r="BW103" s="42"/>
      <c r="BX103" s="42"/>
      <c r="BY103" s="42"/>
      <c r="BZ103" s="42"/>
      <c r="CA103" s="42"/>
      <c r="CB103" s="42"/>
      <c r="CC103" s="42"/>
      <c r="CD103" s="42"/>
      <c r="CE103" s="42"/>
      <c r="CF103" s="42"/>
      <c r="CG103" s="42"/>
      <c r="CH103" s="42"/>
      <c r="CI103" s="42"/>
      <c r="CJ103" s="42"/>
      <c r="CK103" s="42"/>
      <c r="CL103" s="42"/>
      <c r="CM103" s="42"/>
      <c r="CN103" s="42"/>
      <c r="CO103" s="42"/>
      <c r="CP103" s="42"/>
      <c r="CQ103" s="42"/>
      <c r="CR103" s="42"/>
      <c r="CS103" s="42"/>
      <c r="CT103" s="42"/>
      <c r="CU103" s="42"/>
      <c r="CV103" s="42"/>
      <c r="CW103" s="42"/>
      <c r="CX103" s="42"/>
      <c r="CY103" s="42"/>
      <c r="CZ103" s="42"/>
      <c r="DA103" s="42"/>
      <c r="DB103" s="42"/>
      <c r="DC103" s="42"/>
      <c r="DD103" s="42"/>
      <c r="DE103" s="42"/>
      <c r="DF103" s="42"/>
      <c r="DG103" s="42"/>
      <c r="DH103" s="42"/>
      <c r="DI103" s="42"/>
      <c r="DJ103" s="42"/>
      <c r="DK103" s="42"/>
      <c r="DL103" s="42"/>
      <c r="DM103" s="42"/>
      <c r="DN103" s="42"/>
    </row>
    <row r="104" spans="3:118" s="207" customFormat="1" x14ac:dyDescent="0.25">
      <c r="C104" s="208"/>
      <c r="K104" s="209"/>
      <c r="L104" s="209"/>
      <c r="M104" s="209"/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  <c r="AA104" s="209"/>
      <c r="AB104" s="209"/>
      <c r="AC104" s="209"/>
      <c r="AD104" s="209"/>
      <c r="AE104" s="209"/>
      <c r="AF104" s="209"/>
      <c r="AG104" s="209"/>
      <c r="AH104" s="209"/>
      <c r="AI104" s="209"/>
      <c r="AJ104" s="209"/>
      <c r="AK104" s="209"/>
      <c r="AL104" s="209"/>
      <c r="AM104" s="209"/>
      <c r="AN104" s="209"/>
      <c r="AO104" s="209"/>
      <c r="AP104" s="209"/>
      <c r="AQ104" s="209"/>
      <c r="AR104" s="209"/>
      <c r="AS104" s="209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/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2"/>
      <c r="CA104" s="42"/>
      <c r="CB104" s="42"/>
      <c r="CC104" s="42"/>
      <c r="CD104" s="42"/>
      <c r="CE104" s="42"/>
      <c r="CF104" s="42"/>
      <c r="CG104" s="42"/>
      <c r="CH104" s="42"/>
      <c r="CI104" s="42"/>
      <c r="CJ104" s="42"/>
      <c r="CK104" s="42"/>
      <c r="CL104" s="42"/>
      <c r="CM104" s="42"/>
      <c r="CN104" s="42"/>
      <c r="CO104" s="42"/>
      <c r="CP104" s="42"/>
      <c r="CQ104" s="42"/>
      <c r="CR104" s="42"/>
      <c r="CS104" s="42"/>
      <c r="CT104" s="42"/>
      <c r="CU104" s="42"/>
      <c r="CV104" s="42"/>
      <c r="CW104" s="42"/>
      <c r="CX104" s="42"/>
      <c r="CY104" s="42"/>
      <c r="CZ104" s="42"/>
      <c r="DA104" s="42"/>
      <c r="DB104" s="42"/>
      <c r="DC104" s="42"/>
      <c r="DD104" s="42"/>
      <c r="DE104" s="42"/>
      <c r="DF104" s="42"/>
      <c r="DG104" s="42"/>
      <c r="DH104" s="42"/>
      <c r="DI104" s="42"/>
      <c r="DJ104" s="42"/>
      <c r="DK104" s="42"/>
      <c r="DL104" s="42"/>
      <c r="DM104" s="42"/>
      <c r="DN104" s="42"/>
    </row>
    <row r="105" spans="3:118" s="207" customFormat="1" x14ac:dyDescent="0.25">
      <c r="C105" s="208"/>
      <c r="K105" s="209"/>
      <c r="L105" s="209"/>
      <c r="M105" s="209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  <c r="AA105" s="209"/>
      <c r="AB105" s="209"/>
      <c r="AC105" s="209"/>
      <c r="AD105" s="209"/>
      <c r="AE105" s="209"/>
      <c r="AF105" s="209"/>
      <c r="AG105" s="209"/>
      <c r="AH105" s="209"/>
      <c r="AI105" s="209"/>
      <c r="AJ105" s="209"/>
      <c r="AK105" s="209"/>
      <c r="AL105" s="209"/>
      <c r="AM105" s="209"/>
      <c r="AN105" s="209"/>
      <c r="AO105" s="209"/>
      <c r="AP105" s="209"/>
      <c r="AQ105" s="209"/>
      <c r="AR105" s="209"/>
      <c r="AS105" s="209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  <c r="BO105" s="42"/>
      <c r="BP105" s="42"/>
      <c r="BQ105" s="42"/>
      <c r="BR105" s="42"/>
      <c r="BS105" s="42"/>
      <c r="BT105" s="42"/>
      <c r="BU105" s="42"/>
      <c r="BV105" s="42"/>
      <c r="BW105" s="42"/>
      <c r="BX105" s="42"/>
      <c r="BY105" s="42"/>
      <c r="BZ105" s="42"/>
      <c r="CA105" s="42"/>
      <c r="CB105" s="42"/>
      <c r="CC105" s="42"/>
      <c r="CD105" s="42"/>
      <c r="CE105" s="42"/>
      <c r="CF105" s="42"/>
      <c r="CG105" s="42"/>
      <c r="CH105" s="42"/>
      <c r="CI105" s="42"/>
      <c r="CJ105" s="42"/>
      <c r="CK105" s="42"/>
      <c r="CL105" s="42"/>
      <c r="CM105" s="42"/>
      <c r="CN105" s="42"/>
      <c r="CO105" s="42"/>
      <c r="CP105" s="42"/>
      <c r="CQ105" s="42"/>
      <c r="CR105" s="42"/>
      <c r="CS105" s="42"/>
      <c r="CT105" s="42"/>
      <c r="CU105" s="42"/>
      <c r="CV105" s="42"/>
      <c r="CW105" s="42"/>
      <c r="CX105" s="42"/>
      <c r="CY105" s="42"/>
      <c r="CZ105" s="42"/>
      <c r="DA105" s="42"/>
      <c r="DB105" s="42"/>
      <c r="DC105" s="42"/>
      <c r="DD105" s="42"/>
      <c r="DE105" s="42"/>
      <c r="DF105" s="42"/>
      <c r="DG105" s="42"/>
      <c r="DH105" s="42"/>
      <c r="DI105" s="42"/>
      <c r="DJ105" s="42"/>
      <c r="DK105" s="42"/>
      <c r="DL105" s="42"/>
      <c r="DM105" s="42"/>
      <c r="DN105" s="42"/>
    </row>
    <row r="106" spans="3:118" s="207" customFormat="1" x14ac:dyDescent="0.25">
      <c r="C106" s="208"/>
      <c r="K106" s="209"/>
      <c r="L106" s="209"/>
      <c r="M106" s="209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09"/>
      <c r="AG106" s="209"/>
      <c r="AH106" s="209"/>
      <c r="AI106" s="209"/>
      <c r="AJ106" s="209"/>
      <c r="AK106" s="209"/>
      <c r="AL106" s="209"/>
      <c r="AM106" s="209"/>
      <c r="AN106" s="209"/>
      <c r="AO106" s="209"/>
      <c r="AP106" s="209"/>
      <c r="AQ106" s="209"/>
      <c r="AR106" s="209"/>
      <c r="AS106" s="209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  <c r="BP106" s="42"/>
      <c r="BQ106" s="42"/>
      <c r="BR106" s="42"/>
      <c r="BS106" s="42"/>
      <c r="BT106" s="42"/>
      <c r="BU106" s="42"/>
      <c r="BV106" s="42"/>
      <c r="BW106" s="42"/>
      <c r="BX106" s="42"/>
      <c r="BY106" s="42"/>
      <c r="BZ106" s="42"/>
      <c r="CA106" s="42"/>
      <c r="CB106" s="42"/>
      <c r="CC106" s="42"/>
      <c r="CD106" s="42"/>
      <c r="CE106" s="42"/>
      <c r="CF106" s="42"/>
      <c r="CG106" s="42"/>
      <c r="CH106" s="42"/>
      <c r="CI106" s="42"/>
      <c r="CJ106" s="42"/>
      <c r="CK106" s="42"/>
      <c r="CL106" s="42"/>
      <c r="CM106" s="42"/>
      <c r="CN106" s="42"/>
      <c r="CO106" s="42"/>
      <c r="CP106" s="42"/>
      <c r="CQ106" s="42"/>
      <c r="CR106" s="42"/>
      <c r="CS106" s="42"/>
      <c r="CT106" s="42"/>
      <c r="CU106" s="42"/>
      <c r="CV106" s="42"/>
      <c r="CW106" s="42"/>
      <c r="CX106" s="42"/>
      <c r="CY106" s="42"/>
      <c r="CZ106" s="42"/>
      <c r="DA106" s="42"/>
      <c r="DB106" s="42"/>
      <c r="DC106" s="42"/>
      <c r="DD106" s="42"/>
      <c r="DE106" s="42"/>
      <c r="DF106" s="42"/>
      <c r="DG106" s="42"/>
      <c r="DH106" s="42"/>
      <c r="DI106" s="42"/>
      <c r="DJ106" s="42"/>
      <c r="DK106" s="42"/>
      <c r="DL106" s="42"/>
      <c r="DM106" s="42"/>
      <c r="DN106" s="42"/>
    </row>
    <row r="107" spans="3:118" s="207" customFormat="1" x14ac:dyDescent="0.25">
      <c r="C107" s="208"/>
      <c r="K107" s="209"/>
      <c r="L107" s="209"/>
      <c r="M107" s="209"/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09"/>
      <c r="AG107" s="209"/>
      <c r="AH107" s="209"/>
      <c r="AI107" s="209"/>
      <c r="AJ107" s="209"/>
      <c r="AK107" s="209"/>
      <c r="AL107" s="209"/>
      <c r="AM107" s="209"/>
      <c r="AN107" s="209"/>
      <c r="AO107" s="209"/>
      <c r="AP107" s="209"/>
      <c r="AQ107" s="209"/>
      <c r="AR107" s="209"/>
      <c r="AS107" s="209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  <c r="BO107" s="42"/>
      <c r="BP107" s="42"/>
      <c r="BQ107" s="42"/>
      <c r="BR107" s="42"/>
      <c r="BS107" s="42"/>
      <c r="BT107" s="42"/>
      <c r="BU107" s="42"/>
      <c r="BV107" s="42"/>
      <c r="BW107" s="42"/>
      <c r="BX107" s="42"/>
      <c r="BY107" s="42"/>
      <c r="BZ107" s="42"/>
      <c r="CA107" s="42"/>
      <c r="CB107" s="42"/>
      <c r="CC107" s="42"/>
      <c r="CD107" s="42"/>
      <c r="CE107" s="42"/>
      <c r="CF107" s="42"/>
      <c r="CG107" s="42"/>
      <c r="CH107" s="42"/>
      <c r="CI107" s="42"/>
      <c r="CJ107" s="42"/>
      <c r="CK107" s="42"/>
      <c r="CL107" s="42"/>
      <c r="CM107" s="42"/>
      <c r="CN107" s="42"/>
      <c r="CO107" s="42"/>
      <c r="CP107" s="42"/>
      <c r="CQ107" s="42"/>
      <c r="CR107" s="42"/>
      <c r="CS107" s="42"/>
      <c r="CT107" s="42"/>
      <c r="CU107" s="42"/>
      <c r="CV107" s="42"/>
      <c r="CW107" s="42"/>
      <c r="CX107" s="42"/>
      <c r="CY107" s="42"/>
      <c r="CZ107" s="42"/>
      <c r="DA107" s="42"/>
      <c r="DB107" s="42"/>
      <c r="DC107" s="42"/>
      <c r="DD107" s="42"/>
      <c r="DE107" s="42"/>
      <c r="DF107" s="42"/>
      <c r="DG107" s="42"/>
      <c r="DH107" s="42"/>
      <c r="DI107" s="42"/>
      <c r="DJ107" s="42"/>
      <c r="DK107" s="42"/>
      <c r="DL107" s="42"/>
      <c r="DM107" s="42"/>
      <c r="DN107" s="42"/>
    </row>
    <row r="108" spans="3:118" s="207" customFormat="1" x14ac:dyDescent="0.25">
      <c r="C108" s="208"/>
      <c r="K108" s="209"/>
      <c r="L108" s="209"/>
      <c r="M108" s="209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09"/>
      <c r="AG108" s="209"/>
      <c r="AH108" s="209"/>
      <c r="AI108" s="209"/>
      <c r="AJ108" s="209"/>
      <c r="AK108" s="209"/>
      <c r="AL108" s="209"/>
      <c r="AM108" s="209"/>
      <c r="AN108" s="209"/>
      <c r="AO108" s="209"/>
      <c r="AP108" s="209"/>
      <c r="AQ108" s="209"/>
      <c r="AR108" s="209"/>
      <c r="AS108" s="209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2"/>
      <c r="CA108" s="42"/>
      <c r="CB108" s="42"/>
      <c r="CC108" s="42"/>
      <c r="CD108" s="42"/>
      <c r="CE108" s="42"/>
      <c r="CF108" s="42"/>
      <c r="CG108" s="42"/>
      <c r="CH108" s="42"/>
      <c r="CI108" s="42"/>
      <c r="CJ108" s="42"/>
      <c r="CK108" s="42"/>
      <c r="CL108" s="42"/>
      <c r="CM108" s="42"/>
      <c r="CN108" s="42"/>
      <c r="CO108" s="42"/>
      <c r="CP108" s="42"/>
      <c r="CQ108" s="42"/>
      <c r="CR108" s="42"/>
      <c r="CS108" s="42"/>
      <c r="CT108" s="42"/>
      <c r="CU108" s="42"/>
      <c r="CV108" s="42"/>
      <c r="CW108" s="42"/>
      <c r="CX108" s="42"/>
      <c r="CY108" s="42"/>
      <c r="CZ108" s="42"/>
      <c r="DA108" s="42"/>
      <c r="DB108" s="42"/>
      <c r="DC108" s="42"/>
      <c r="DD108" s="42"/>
      <c r="DE108" s="42"/>
      <c r="DF108" s="42"/>
      <c r="DG108" s="42"/>
      <c r="DH108" s="42"/>
      <c r="DI108" s="42"/>
      <c r="DJ108" s="42"/>
      <c r="DK108" s="42"/>
      <c r="DL108" s="42"/>
      <c r="DM108" s="42"/>
      <c r="DN108" s="42"/>
    </row>
    <row r="109" spans="3:118" s="207" customFormat="1" x14ac:dyDescent="0.25">
      <c r="C109" s="208"/>
      <c r="K109" s="209"/>
      <c r="L109" s="209"/>
      <c r="M109" s="209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  <c r="AA109" s="209"/>
      <c r="AB109" s="209"/>
      <c r="AC109" s="209"/>
      <c r="AD109" s="209"/>
      <c r="AE109" s="209"/>
      <c r="AF109" s="209"/>
      <c r="AG109" s="209"/>
      <c r="AH109" s="209"/>
      <c r="AI109" s="209"/>
      <c r="AJ109" s="209"/>
      <c r="AK109" s="209"/>
      <c r="AL109" s="209"/>
      <c r="AM109" s="209"/>
      <c r="AN109" s="209"/>
      <c r="AO109" s="209"/>
      <c r="AP109" s="209"/>
      <c r="AQ109" s="209"/>
      <c r="AR109" s="209"/>
      <c r="AS109" s="209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  <c r="BW109" s="42"/>
      <c r="BX109" s="42"/>
      <c r="BY109" s="42"/>
      <c r="BZ109" s="42"/>
      <c r="CA109" s="42"/>
      <c r="CB109" s="42"/>
      <c r="CC109" s="42"/>
      <c r="CD109" s="42"/>
      <c r="CE109" s="42"/>
      <c r="CF109" s="42"/>
      <c r="CG109" s="42"/>
      <c r="CH109" s="42"/>
      <c r="CI109" s="42"/>
      <c r="CJ109" s="42"/>
      <c r="CK109" s="42"/>
      <c r="CL109" s="42"/>
      <c r="CM109" s="42"/>
      <c r="CN109" s="42"/>
      <c r="CO109" s="42"/>
      <c r="CP109" s="42"/>
      <c r="CQ109" s="42"/>
      <c r="CR109" s="42"/>
      <c r="CS109" s="42"/>
      <c r="CT109" s="42"/>
      <c r="CU109" s="42"/>
      <c r="CV109" s="42"/>
      <c r="CW109" s="42"/>
      <c r="CX109" s="42"/>
      <c r="CY109" s="42"/>
      <c r="CZ109" s="42"/>
      <c r="DA109" s="42"/>
      <c r="DB109" s="42"/>
      <c r="DC109" s="42"/>
      <c r="DD109" s="42"/>
      <c r="DE109" s="42"/>
      <c r="DF109" s="42"/>
      <c r="DG109" s="42"/>
      <c r="DH109" s="42"/>
      <c r="DI109" s="42"/>
      <c r="DJ109" s="42"/>
      <c r="DK109" s="42"/>
      <c r="DL109" s="42"/>
      <c r="DM109" s="42"/>
      <c r="DN109" s="42"/>
    </row>
    <row r="110" spans="3:118" s="207" customFormat="1" x14ac:dyDescent="0.25">
      <c r="C110" s="208"/>
      <c r="K110" s="209"/>
      <c r="L110" s="209"/>
      <c r="M110" s="209"/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  <c r="AA110" s="209"/>
      <c r="AB110" s="209"/>
      <c r="AC110" s="209"/>
      <c r="AD110" s="209"/>
      <c r="AE110" s="209"/>
      <c r="AF110" s="209"/>
      <c r="AG110" s="209"/>
      <c r="AH110" s="209"/>
      <c r="AI110" s="209"/>
      <c r="AJ110" s="209"/>
      <c r="AK110" s="209"/>
      <c r="AL110" s="209"/>
      <c r="AM110" s="209"/>
      <c r="AN110" s="209"/>
      <c r="AO110" s="209"/>
      <c r="AP110" s="209"/>
      <c r="AQ110" s="209"/>
      <c r="AR110" s="209"/>
      <c r="AS110" s="209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  <c r="BO110" s="42"/>
      <c r="BP110" s="42"/>
      <c r="BQ110" s="42"/>
      <c r="BR110" s="42"/>
      <c r="BS110" s="42"/>
      <c r="BT110" s="42"/>
      <c r="BU110" s="42"/>
      <c r="BV110" s="42"/>
      <c r="BW110" s="42"/>
      <c r="BX110" s="42"/>
      <c r="BY110" s="42"/>
      <c r="BZ110" s="42"/>
      <c r="CA110" s="42"/>
      <c r="CB110" s="42"/>
      <c r="CC110" s="42"/>
      <c r="CD110" s="42"/>
      <c r="CE110" s="42"/>
      <c r="CF110" s="42"/>
      <c r="CG110" s="42"/>
      <c r="CH110" s="42"/>
      <c r="CI110" s="42"/>
      <c r="CJ110" s="42"/>
      <c r="CK110" s="42"/>
      <c r="CL110" s="42"/>
      <c r="CM110" s="42"/>
      <c r="CN110" s="42"/>
      <c r="CO110" s="42"/>
      <c r="CP110" s="42"/>
      <c r="CQ110" s="42"/>
      <c r="CR110" s="42"/>
      <c r="CS110" s="42"/>
      <c r="CT110" s="42"/>
      <c r="CU110" s="42"/>
      <c r="CV110" s="42"/>
      <c r="CW110" s="42"/>
      <c r="CX110" s="42"/>
      <c r="CY110" s="42"/>
      <c r="CZ110" s="42"/>
      <c r="DA110" s="42"/>
      <c r="DB110" s="42"/>
      <c r="DC110" s="42"/>
      <c r="DD110" s="42"/>
      <c r="DE110" s="42"/>
      <c r="DF110" s="42"/>
      <c r="DG110" s="42"/>
      <c r="DH110" s="42"/>
      <c r="DI110" s="42"/>
      <c r="DJ110" s="42"/>
      <c r="DK110" s="42"/>
      <c r="DL110" s="42"/>
      <c r="DM110" s="42"/>
      <c r="DN110" s="42"/>
    </row>
    <row r="111" spans="3:118" s="207" customFormat="1" x14ac:dyDescent="0.25">
      <c r="C111" s="208"/>
      <c r="K111" s="209"/>
      <c r="L111" s="209"/>
      <c r="M111" s="209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  <c r="AA111" s="209"/>
      <c r="AB111" s="209"/>
      <c r="AC111" s="209"/>
      <c r="AD111" s="209"/>
      <c r="AE111" s="209"/>
      <c r="AF111" s="209"/>
      <c r="AG111" s="209"/>
      <c r="AH111" s="209"/>
      <c r="AI111" s="209"/>
      <c r="AJ111" s="209"/>
      <c r="AK111" s="209"/>
      <c r="AL111" s="209"/>
      <c r="AM111" s="209"/>
      <c r="AN111" s="209"/>
      <c r="AO111" s="209"/>
      <c r="AP111" s="209"/>
      <c r="AQ111" s="209"/>
      <c r="AR111" s="209"/>
      <c r="AS111" s="209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2"/>
      <c r="BP111" s="42"/>
      <c r="BQ111" s="42"/>
      <c r="BR111" s="42"/>
      <c r="BS111" s="42"/>
      <c r="BT111" s="42"/>
      <c r="BU111" s="42"/>
      <c r="BV111" s="42"/>
      <c r="BW111" s="42"/>
      <c r="BX111" s="42"/>
      <c r="BY111" s="42"/>
      <c r="BZ111" s="42"/>
      <c r="CA111" s="42"/>
      <c r="CB111" s="42"/>
      <c r="CC111" s="42"/>
      <c r="CD111" s="42"/>
      <c r="CE111" s="42"/>
      <c r="CF111" s="42"/>
      <c r="CG111" s="42"/>
      <c r="CH111" s="42"/>
      <c r="CI111" s="42"/>
      <c r="CJ111" s="42"/>
      <c r="CK111" s="42"/>
      <c r="CL111" s="42"/>
      <c r="CM111" s="42"/>
      <c r="CN111" s="42"/>
      <c r="CO111" s="42"/>
      <c r="CP111" s="42"/>
      <c r="CQ111" s="42"/>
      <c r="CR111" s="42"/>
      <c r="CS111" s="42"/>
      <c r="CT111" s="42"/>
      <c r="CU111" s="42"/>
      <c r="CV111" s="42"/>
      <c r="CW111" s="42"/>
      <c r="CX111" s="42"/>
      <c r="CY111" s="42"/>
      <c r="CZ111" s="42"/>
      <c r="DA111" s="42"/>
      <c r="DB111" s="42"/>
      <c r="DC111" s="42"/>
      <c r="DD111" s="42"/>
      <c r="DE111" s="42"/>
      <c r="DF111" s="42"/>
      <c r="DG111" s="42"/>
      <c r="DH111" s="42"/>
      <c r="DI111" s="42"/>
      <c r="DJ111" s="42"/>
      <c r="DK111" s="42"/>
      <c r="DL111" s="42"/>
      <c r="DM111" s="42"/>
      <c r="DN111" s="42"/>
    </row>
    <row r="112" spans="3:118" s="207" customFormat="1" x14ac:dyDescent="0.25">
      <c r="C112" s="208"/>
      <c r="K112" s="209"/>
      <c r="L112" s="209"/>
      <c r="M112" s="209"/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  <c r="AA112" s="209"/>
      <c r="AB112" s="209"/>
      <c r="AC112" s="209"/>
      <c r="AD112" s="209"/>
      <c r="AE112" s="209"/>
      <c r="AF112" s="209"/>
      <c r="AG112" s="209"/>
      <c r="AH112" s="209"/>
      <c r="AI112" s="209"/>
      <c r="AJ112" s="209"/>
      <c r="AK112" s="209"/>
      <c r="AL112" s="209"/>
      <c r="AM112" s="209"/>
      <c r="AN112" s="209"/>
      <c r="AO112" s="209"/>
      <c r="AP112" s="209"/>
      <c r="AQ112" s="209"/>
      <c r="AR112" s="209"/>
      <c r="AS112" s="209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  <c r="CE112" s="42"/>
      <c r="CF112" s="42"/>
      <c r="CG112" s="42"/>
      <c r="CH112" s="42"/>
      <c r="CI112" s="42"/>
      <c r="CJ112" s="42"/>
      <c r="CK112" s="42"/>
      <c r="CL112" s="42"/>
      <c r="CM112" s="42"/>
      <c r="CN112" s="42"/>
      <c r="CO112" s="42"/>
      <c r="CP112" s="42"/>
      <c r="CQ112" s="42"/>
      <c r="CR112" s="42"/>
      <c r="CS112" s="42"/>
      <c r="CT112" s="42"/>
      <c r="CU112" s="42"/>
      <c r="CV112" s="42"/>
      <c r="CW112" s="42"/>
      <c r="CX112" s="42"/>
      <c r="CY112" s="42"/>
      <c r="CZ112" s="42"/>
      <c r="DA112" s="42"/>
      <c r="DB112" s="42"/>
      <c r="DC112" s="42"/>
      <c r="DD112" s="42"/>
      <c r="DE112" s="42"/>
      <c r="DF112" s="42"/>
      <c r="DG112" s="42"/>
      <c r="DH112" s="42"/>
      <c r="DI112" s="42"/>
      <c r="DJ112" s="42"/>
      <c r="DK112" s="42"/>
      <c r="DL112" s="42"/>
      <c r="DM112" s="42"/>
      <c r="DN112" s="42"/>
    </row>
    <row r="113" spans="3:118" s="207" customFormat="1" x14ac:dyDescent="0.25">
      <c r="C113" s="208"/>
      <c r="K113" s="209"/>
      <c r="L113" s="209"/>
      <c r="M113" s="209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  <c r="AA113" s="209"/>
      <c r="AB113" s="209"/>
      <c r="AC113" s="209"/>
      <c r="AD113" s="209"/>
      <c r="AE113" s="209"/>
      <c r="AF113" s="209"/>
      <c r="AG113" s="209"/>
      <c r="AH113" s="209"/>
      <c r="AI113" s="209"/>
      <c r="AJ113" s="209"/>
      <c r="AK113" s="209"/>
      <c r="AL113" s="209"/>
      <c r="AM113" s="209"/>
      <c r="AN113" s="209"/>
      <c r="AO113" s="209"/>
      <c r="AP113" s="209"/>
      <c r="AQ113" s="209"/>
      <c r="AR113" s="209"/>
      <c r="AS113" s="209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  <c r="BP113" s="42"/>
      <c r="BQ113" s="42"/>
      <c r="BR113" s="42"/>
      <c r="BS113" s="42"/>
      <c r="BT113" s="42"/>
      <c r="BU113" s="42"/>
      <c r="BV113" s="42"/>
      <c r="BW113" s="42"/>
      <c r="BX113" s="42"/>
      <c r="BY113" s="42"/>
      <c r="BZ113" s="42"/>
      <c r="CA113" s="42"/>
      <c r="CB113" s="42"/>
      <c r="CC113" s="42"/>
      <c r="CD113" s="42"/>
      <c r="CE113" s="42"/>
      <c r="CF113" s="42"/>
      <c r="CG113" s="42"/>
      <c r="CH113" s="42"/>
      <c r="CI113" s="42"/>
      <c r="CJ113" s="42"/>
      <c r="CK113" s="42"/>
      <c r="CL113" s="42"/>
      <c r="CM113" s="42"/>
      <c r="CN113" s="42"/>
      <c r="CO113" s="42"/>
      <c r="CP113" s="42"/>
      <c r="CQ113" s="42"/>
      <c r="CR113" s="42"/>
      <c r="CS113" s="42"/>
      <c r="CT113" s="42"/>
      <c r="CU113" s="42"/>
      <c r="CV113" s="42"/>
      <c r="CW113" s="42"/>
      <c r="CX113" s="42"/>
      <c r="CY113" s="42"/>
      <c r="CZ113" s="42"/>
      <c r="DA113" s="42"/>
      <c r="DB113" s="42"/>
      <c r="DC113" s="42"/>
      <c r="DD113" s="42"/>
      <c r="DE113" s="42"/>
      <c r="DF113" s="42"/>
      <c r="DG113" s="42"/>
      <c r="DH113" s="42"/>
      <c r="DI113" s="42"/>
      <c r="DJ113" s="42"/>
      <c r="DK113" s="42"/>
      <c r="DL113" s="42"/>
      <c r="DM113" s="42"/>
      <c r="DN113" s="42"/>
    </row>
    <row r="114" spans="3:118" s="204" customFormat="1" x14ac:dyDescent="0.25">
      <c r="C114" s="205"/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  <c r="Y114" s="206"/>
      <c r="Z114" s="206"/>
      <c r="AA114" s="206"/>
      <c r="AB114" s="206"/>
      <c r="AC114" s="206"/>
      <c r="AD114" s="206"/>
      <c r="AE114" s="206"/>
      <c r="AF114" s="206"/>
      <c r="AG114" s="206"/>
      <c r="AH114" s="206"/>
      <c r="AI114" s="206"/>
      <c r="AJ114" s="206"/>
      <c r="AK114" s="206"/>
      <c r="AL114" s="206"/>
      <c r="AM114" s="206"/>
      <c r="AN114" s="206"/>
      <c r="AO114" s="206"/>
      <c r="AP114" s="206"/>
      <c r="AQ114" s="206"/>
      <c r="AR114" s="206"/>
      <c r="AS114" s="206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/>
      <c r="BP114" s="42"/>
      <c r="BQ114" s="42"/>
      <c r="BR114" s="42"/>
      <c r="BS114" s="42"/>
      <c r="BT114" s="42"/>
      <c r="BU114" s="42"/>
      <c r="BV114" s="42"/>
      <c r="BW114" s="42"/>
      <c r="BX114" s="42"/>
      <c r="BY114" s="42"/>
      <c r="BZ114" s="42"/>
      <c r="CA114" s="42"/>
      <c r="CB114" s="42"/>
      <c r="CC114" s="42"/>
      <c r="CD114" s="42"/>
      <c r="CE114" s="42"/>
      <c r="CF114" s="42"/>
      <c r="CG114" s="42"/>
      <c r="CH114" s="42"/>
      <c r="CI114" s="42"/>
      <c r="CJ114" s="42"/>
      <c r="CK114" s="42"/>
      <c r="CL114" s="42"/>
      <c r="CM114" s="42"/>
      <c r="CN114" s="42"/>
      <c r="CO114" s="42"/>
      <c r="CP114" s="42"/>
      <c r="CQ114" s="42"/>
      <c r="CR114" s="42"/>
      <c r="CS114" s="42"/>
      <c r="CT114" s="42"/>
      <c r="CU114" s="42"/>
      <c r="CV114" s="42"/>
      <c r="CW114" s="42"/>
      <c r="CX114" s="42"/>
      <c r="CY114" s="42"/>
      <c r="CZ114" s="42"/>
      <c r="DA114" s="42"/>
      <c r="DB114" s="42"/>
      <c r="DC114" s="42"/>
      <c r="DD114" s="42"/>
      <c r="DE114" s="42"/>
      <c r="DF114" s="42"/>
      <c r="DG114" s="42"/>
      <c r="DH114" s="42"/>
      <c r="DI114" s="42"/>
      <c r="DJ114" s="42"/>
      <c r="DK114" s="42"/>
      <c r="DL114" s="42"/>
      <c r="DM114" s="42"/>
      <c r="DN114" s="42"/>
    </row>
    <row r="115" spans="3:118" s="204" customFormat="1" x14ac:dyDescent="0.25">
      <c r="C115" s="205"/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  <c r="Y115" s="206"/>
      <c r="Z115" s="206"/>
      <c r="AA115" s="206"/>
      <c r="AB115" s="206"/>
      <c r="AC115" s="206"/>
      <c r="AD115" s="206"/>
      <c r="AE115" s="206"/>
      <c r="AF115" s="206"/>
      <c r="AG115" s="206"/>
      <c r="AH115" s="206"/>
      <c r="AI115" s="206"/>
      <c r="AJ115" s="206"/>
      <c r="AK115" s="206"/>
      <c r="AL115" s="206"/>
      <c r="AM115" s="206"/>
      <c r="AN115" s="206"/>
      <c r="AO115" s="206"/>
      <c r="AP115" s="206"/>
      <c r="AQ115" s="206"/>
      <c r="AR115" s="206"/>
      <c r="AS115" s="206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/>
      <c r="BQ115" s="42"/>
      <c r="BR115" s="42"/>
      <c r="BS115" s="42"/>
      <c r="BT115" s="42"/>
      <c r="BU115" s="42"/>
      <c r="BV115" s="42"/>
      <c r="BW115" s="42"/>
      <c r="BX115" s="42"/>
      <c r="BY115" s="42"/>
      <c r="BZ115" s="42"/>
      <c r="CA115" s="42"/>
      <c r="CB115" s="42"/>
      <c r="CC115" s="42"/>
      <c r="CD115" s="42"/>
      <c r="CE115" s="42"/>
      <c r="CF115" s="42"/>
      <c r="CG115" s="42"/>
      <c r="CH115" s="42"/>
      <c r="CI115" s="42"/>
      <c r="CJ115" s="42"/>
      <c r="CK115" s="42"/>
      <c r="CL115" s="42"/>
      <c r="CM115" s="42"/>
      <c r="CN115" s="42"/>
      <c r="CO115" s="42"/>
      <c r="CP115" s="42"/>
      <c r="CQ115" s="42"/>
      <c r="CR115" s="42"/>
      <c r="CS115" s="42"/>
      <c r="CT115" s="42"/>
      <c r="CU115" s="42"/>
      <c r="CV115" s="42"/>
      <c r="CW115" s="42"/>
      <c r="CX115" s="42"/>
      <c r="CY115" s="42"/>
      <c r="CZ115" s="42"/>
      <c r="DA115" s="42"/>
      <c r="DB115" s="42"/>
      <c r="DC115" s="42"/>
      <c r="DD115" s="42"/>
      <c r="DE115" s="42"/>
      <c r="DF115" s="42"/>
      <c r="DG115" s="42"/>
      <c r="DH115" s="42"/>
      <c r="DI115" s="42"/>
      <c r="DJ115" s="42"/>
      <c r="DK115" s="42"/>
      <c r="DL115" s="42"/>
      <c r="DM115" s="42"/>
      <c r="DN115" s="42"/>
    </row>
    <row r="116" spans="3:118" s="204" customFormat="1" x14ac:dyDescent="0.25">
      <c r="C116" s="205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  <c r="AA116" s="206"/>
      <c r="AB116" s="206"/>
      <c r="AC116" s="206"/>
      <c r="AD116" s="206"/>
      <c r="AE116" s="206"/>
      <c r="AF116" s="206"/>
      <c r="AG116" s="206"/>
      <c r="AH116" s="206"/>
      <c r="AI116" s="206"/>
      <c r="AJ116" s="206"/>
      <c r="AK116" s="206"/>
      <c r="AL116" s="206"/>
      <c r="AM116" s="206"/>
      <c r="AN116" s="206"/>
      <c r="AO116" s="206"/>
      <c r="AP116" s="206"/>
      <c r="AQ116" s="206"/>
      <c r="AR116" s="206"/>
      <c r="AS116" s="206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  <c r="BO116" s="42"/>
      <c r="BP116" s="42"/>
      <c r="BQ116" s="42"/>
      <c r="BR116" s="42"/>
      <c r="BS116" s="42"/>
      <c r="BT116" s="42"/>
      <c r="BU116" s="42"/>
      <c r="BV116" s="42"/>
      <c r="BW116" s="42"/>
      <c r="BX116" s="42"/>
      <c r="BY116" s="42"/>
      <c r="BZ116" s="42"/>
      <c r="CA116" s="42"/>
      <c r="CB116" s="42"/>
      <c r="CC116" s="42"/>
      <c r="CD116" s="42"/>
      <c r="CE116" s="42"/>
      <c r="CF116" s="42"/>
      <c r="CG116" s="42"/>
      <c r="CH116" s="42"/>
      <c r="CI116" s="42"/>
      <c r="CJ116" s="42"/>
      <c r="CK116" s="42"/>
      <c r="CL116" s="42"/>
      <c r="CM116" s="42"/>
      <c r="CN116" s="42"/>
      <c r="CO116" s="42"/>
      <c r="CP116" s="42"/>
      <c r="CQ116" s="42"/>
      <c r="CR116" s="42"/>
      <c r="CS116" s="42"/>
      <c r="CT116" s="42"/>
      <c r="CU116" s="42"/>
      <c r="CV116" s="42"/>
      <c r="CW116" s="42"/>
      <c r="CX116" s="42"/>
      <c r="CY116" s="42"/>
      <c r="CZ116" s="42"/>
      <c r="DA116" s="42"/>
      <c r="DB116" s="42"/>
      <c r="DC116" s="42"/>
      <c r="DD116" s="42"/>
      <c r="DE116" s="42"/>
      <c r="DF116" s="42"/>
      <c r="DG116" s="42"/>
      <c r="DH116" s="42"/>
      <c r="DI116" s="42"/>
      <c r="DJ116" s="42"/>
      <c r="DK116" s="42"/>
      <c r="DL116" s="42"/>
      <c r="DM116" s="42"/>
      <c r="DN116" s="42"/>
    </row>
    <row r="117" spans="3:118" s="204" customFormat="1" x14ac:dyDescent="0.25">
      <c r="C117" s="205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  <c r="AA117" s="206"/>
      <c r="AB117" s="206"/>
      <c r="AC117" s="206"/>
      <c r="AD117" s="206"/>
      <c r="AE117" s="206"/>
      <c r="AF117" s="206"/>
      <c r="AG117" s="206"/>
      <c r="AH117" s="206"/>
      <c r="AI117" s="206"/>
      <c r="AJ117" s="206"/>
      <c r="AK117" s="206"/>
      <c r="AL117" s="206"/>
      <c r="AM117" s="206"/>
      <c r="AN117" s="206"/>
      <c r="AO117" s="206"/>
      <c r="AP117" s="206"/>
      <c r="AQ117" s="206"/>
      <c r="AR117" s="206"/>
      <c r="AS117" s="206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/>
      <c r="BQ117" s="42"/>
      <c r="BR117" s="42"/>
      <c r="BS117" s="42"/>
      <c r="BT117" s="42"/>
      <c r="BU117" s="42"/>
      <c r="BV117" s="42"/>
      <c r="BW117" s="42"/>
      <c r="BX117" s="42"/>
      <c r="BY117" s="42"/>
      <c r="BZ117" s="42"/>
      <c r="CA117" s="42"/>
      <c r="CB117" s="42"/>
      <c r="CC117" s="42"/>
      <c r="CD117" s="42"/>
      <c r="CE117" s="42"/>
      <c r="CF117" s="42"/>
      <c r="CG117" s="42"/>
      <c r="CH117" s="42"/>
      <c r="CI117" s="42"/>
      <c r="CJ117" s="42"/>
      <c r="CK117" s="42"/>
      <c r="CL117" s="42"/>
      <c r="CM117" s="42"/>
      <c r="CN117" s="42"/>
      <c r="CO117" s="42"/>
      <c r="CP117" s="42"/>
      <c r="CQ117" s="42"/>
      <c r="CR117" s="42"/>
      <c r="CS117" s="42"/>
      <c r="CT117" s="42"/>
      <c r="CU117" s="42"/>
      <c r="CV117" s="42"/>
      <c r="CW117" s="42"/>
      <c r="CX117" s="42"/>
      <c r="CY117" s="42"/>
      <c r="CZ117" s="42"/>
      <c r="DA117" s="42"/>
      <c r="DB117" s="42"/>
      <c r="DC117" s="42"/>
      <c r="DD117" s="42"/>
      <c r="DE117" s="42"/>
      <c r="DF117" s="42"/>
      <c r="DG117" s="42"/>
      <c r="DH117" s="42"/>
      <c r="DI117" s="42"/>
      <c r="DJ117" s="42"/>
      <c r="DK117" s="42"/>
      <c r="DL117" s="42"/>
      <c r="DM117" s="42"/>
      <c r="DN117" s="42"/>
    </row>
    <row r="118" spans="3:118" s="204" customFormat="1" x14ac:dyDescent="0.25">
      <c r="C118" s="205"/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  <c r="Z118" s="206"/>
      <c r="AA118" s="206"/>
      <c r="AB118" s="206"/>
      <c r="AC118" s="206"/>
      <c r="AD118" s="206"/>
      <c r="AE118" s="206"/>
      <c r="AF118" s="206"/>
      <c r="AG118" s="206"/>
      <c r="AH118" s="206"/>
      <c r="AI118" s="206"/>
      <c r="AJ118" s="206"/>
      <c r="AK118" s="206"/>
      <c r="AL118" s="206"/>
      <c r="AM118" s="206"/>
      <c r="AN118" s="206"/>
      <c r="AO118" s="206"/>
      <c r="AP118" s="206"/>
      <c r="AQ118" s="206"/>
      <c r="AR118" s="206"/>
      <c r="AS118" s="206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  <c r="BO118" s="42"/>
      <c r="BP118" s="42"/>
      <c r="BQ118" s="42"/>
      <c r="BR118" s="42"/>
      <c r="BS118" s="42"/>
      <c r="BT118" s="42"/>
      <c r="BU118" s="42"/>
      <c r="BV118" s="42"/>
      <c r="BW118" s="42"/>
      <c r="BX118" s="42"/>
      <c r="BY118" s="42"/>
      <c r="BZ118" s="42"/>
      <c r="CA118" s="42"/>
      <c r="CB118" s="42"/>
      <c r="CC118" s="42"/>
      <c r="CD118" s="42"/>
      <c r="CE118" s="42"/>
      <c r="CF118" s="42"/>
      <c r="CG118" s="42"/>
      <c r="CH118" s="42"/>
      <c r="CI118" s="42"/>
      <c r="CJ118" s="42"/>
      <c r="CK118" s="42"/>
      <c r="CL118" s="42"/>
      <c r="CM118" s="42"/>
      <c r="CN118" s="42"/>
      <c r="CO118" s="42"/>
      <c r="CP118" s="42"/>
      <c r="CQ118" s="42"/>
      <c r="CR118" s="42"/>
      <c r="CS118" s="42"/>
      <c r="CT118" s="42"/>
      <c r="CU118" s="42"/>
      <c r="CV118" s="42"/>
      <c r="CW118" s="42"/>
      <c r="CX118" s="42"/>
      <c r="CY118" s="42"/>
      <c r="CZ118" s="42"/>
      <c r="DA118" s="42"/>
      <c r="DB118" s="42"/>
      <c r="DC118" s="42"/>
      <c r="DD118" s="42"/>
      <c r="DE118" s="42"/>
      <c r="DF118" s="42"/>
      <c r="DG118" s="42"/>
      <c r="DH118" s="42"/>
      <c r="DI118" s="42"/>
      <c r="DJ118" s="42"/>
      <c r="DK118" s="42"/>
      <c r="DL118" s="42"/>
      <c r="DM118" s="42"/>
      <c r="DN118" s="42"/>
    </row>
    <row r="119" spans="3:118" s="204" customFormat="1" x14ac:dyDescent="0.25">
      <c r="C119" s="205"/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  <c r="Y119" s="206"/>
      <c r="Z119" s="206"/>
      <c r="AA119" s="206"/>
      <c r="AB119" s="206"/>
      <c r="AC119" s="206"/>
      <c r="AD119" s="206"/>
      <c r="AE119" s="206"/>
      <c r="AF119" s="206"/>
      <c r="AG119" s="206"/>
      <c r="AH119" s="206"/>
      <c r="AI119" s="206"/>
      <c r="AJ119" s="206"/>
      <c r="AK119" s="206"/>
      <c r="AL119" s="206"/>
      <c r="AM119" s="206"/>
      <c r="AN119" s="206"/>
      <c r="AO119" s="206"/>
      <c r="AP119" s="206"/>
      <c r="AQ119" s="206"/>
      <c r="AR119" s="206"/>
      <c r="AS119" s="206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  <c r="BO119" s="42"/>
      <c r="BP119" s="42"/>
      <c r="BQ119" s="42"/>
      <c r="BR119" s="42"/>
      <c r="BS119" s="42"/>
      <c r="BT119" s="42"/>
      <c r="BU119" s="42"/>
      <c r="BV119" s="42"/>
      <c r="BW119" s="42"/>
      <c r="BX119" s="42"/>
      <c r="BY119" s="42"/>
      <c r="BZ119" s="42"/>
      <c r="CA119" s="42"/>
      <c r="CB119" s="42"/>
      <c r="CC119" s="42"/>
      <c r="CD119" s="42"/>
      <c r="CE119" s="42"/>
      <c r="CF119" s="42"/>
      <c r="CG119" s="42"/>
      <c r="CH119" s="42"/>
      <c r="CI119" s="42"/>
      <c r="CJ119" s="42"/>
      <c r="CK119" s="42"/>
      <c r="CL119" s="42"/>
      <c r="CM119" s="42"/>
      <c r="CN119" s="42"/>
      <c r="CO119" s="42"/>
      <c r="CP119" s="42"/>
      <c r="CQ119" s="42"/>
      <c r="CR119" s="42"/>
      <c r="CS119" s="42"/>
      <c r="CT119" s="42"/>
      <c r="CU119" s="42"/>
      <c r="CV119" s="42"/>
      <c r="CW119" s="42"/>
      <c r="CX119" s="42"/>
      <c r="CY119" s="42"/>
      <c r="CZ119" s="42"/>
      <c r="DA119" s="42"/>
      <c r="DB119" s="42"/>
      <c r="DC119" s="42"/>
      <c r="DD119" s="42"/>
      <c r="DE119" s="42"/>
      <c r="DF119" s="42"/>
      <c r="DG119" s="42"/>
      <c r="DH119" s="42"/>
      <c r="DI119" s="42"/>
      <c r="DJ119" s="42"/>
      <c r="DK119" s="42"/>
      <c r="DL119" s="42"/>
      <c r="DM119" s="42"/>
      <c r="DN119" s="42"/>
    </row>
    <row r="120" spans="3:118" s="204" customFormat="1" x14ac:dyDescent="0.25">
      <c r="C120" s="205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  <c r="AA120" s="206"/>
      <c r="AB120" s="206"/>
      <c r="AC120" s="206"/>
      <c r="AD120" s="206"/>
      <c r="AE120" s="206"/>
      <c r="AF120" s="206"/>
      <c r="AG120" s="206"/>
      <c r="AH120" s="206"/>
      <c r="AI120" s="206"/>
      <c r="AJ120" s="206"/>
      <c r="AK120" s="206"/>
      <c r="AL120" s="206"/>
      <c r="AM120" s="206"/>
      <c r="AN120" s="206"/>
      <c r="AO120" s="206"/>
      <c r="AP120" s="206"/>
      <c r="AQ120" s="206"/>
      <c r="AR120" s="206"/>
      <c r="AS120" s="206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2"/>
      <c r="BP120" s="42"/>
      <c r="BQ120" s="42"/>
      <c r="BR120" s="42"/>
      <c r="BS120" s="42"/>
      <c r="BT120" s="42"/>
      <c r="BU120" s="42"/>
      <c r="BV120" s="42"/>
      <c r="BW120" s="42"/>
      <c r="BX120" s="42"/>
      <c r="BY120" s="42"/>
      <c r="BZ120" s="42"/>
      <c r="CA120" s="42"/>
      <c r="CB120" s="42"/>
      <c r="CC120" s="42"/>
      <c r="CD120" s="42"/>
      <c r="CE120" s="42"/>
      <c r="CF120" s="42"/>
      <c r="CG120" s="42"/>
      <c r="CH120" s="42"/>
      <c r="CI120" s="42"/>
      <c r="CJ120" s="42"/>
      <c r="CK120" s="42"/>
      <c r="CL120" s="42"/>
      <c r="CM120" s="42"/>
      <c r="CN120" s="42"/>
      <c r="CO120" s="42"/>
      <c r="CP120" s="42"/>
      <c r="CQ120" s="42"/>
      <c r="CR120" s="42"/>
      <c r="CS120" s="42"/>
      <c r="CT120" s="42"/>
      <c r="CU120" s="42"/>
      <c r="CV120" s="42"/>
      <c r="CW120" s="42"/>
      <c r="CX120" s="42"/>
      <c r="CY120" s="42"/>
      <c r="CZ120" s="42"/>
      <c r="DA120" s="42"/>
      <c r="DB120" s="42"/>
      <c r="DC120" s="42"/>
      <c r="DD120" s="42"/>
      <c r="DE120" s="42"/>
      <c r="DF120" s="42"/>
      <c r="DG120" s="42"/>
      <c r="DH120" s="42"/>
      <c r="DI120" s="42"/>
      <c r="DJ120" s="42"/>
      <c r="DK120" s="42"/>
      <c r="DL120" s="42"/>
      <c r="DM120" s="42"/>
      <c r="DN120" s="42"/>
    </row>
    <row r="121" spans="3:118" s="204" customFormat="1" x14ac:dyDescent="0.25">
      <c r="C121" s="205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  <c r="Z121" s="206"/>
      <c r="AA121" s="206"/>
      <c r="AB121" s="206"/>
      <c r="AC121" s="206"/>
      <c r="AD121" s="206"/>
      <c r="AE121" s="206"/>
      <c r="AF121" s="206"/>
      <c r="AG121" s="206"/>
      <c r="AH121" s="206"/>
      <c r="AI121" s="206"/>
      <c r="AJ121" s="206"/>
      <c r="AK121" s="206"/>
      <c r="AL121" s="206"/>
      <c r="AM121" s="206"/>
      <c r="AN121" s="206"/>
      <c r="AO121" s="206"/>
      <c r="AP121" s="206"/>
      <c r="AQ121" s="206"/>
      <c r="AR121" s="206"/>
      <c r="AS121" s="206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  <c r="BO121" s="42"/>
      <c r="BP121" s="42"/>
      <c r="BQ121" s="42"/>
      <c r="BR121" s="42"/>
      <c r="BS121" s="42"/>
      <c r="BT121" s="42"/>
      <c r="BU121" s="42"/>
      <c r="BV121" s="42"/>
      <c r="BW121" s="42"/>
      <c r="BX121" s="42"/>
      <c r="BY121" s="42"/>
      <c r="BZ121" s="42"/>
      <c r="CA121" s="42"/>
      <c r="CB121" s="42"/>
      <c r="CC121" s="42"/>
      <c r="CD121" s="42"/>
      <c r="CE121" s="42"/>
      <c r="CF121" s="42"/>
      <c r="CG121" s="42"/>
      <c r="CH121" s="42"/>
      <c r="CI121" s="42"/>
      <c r="CJ121" s="42"/>
      <c r="CK121" s="42"/>
      <c r="CL121" s="42"/>
      <c r="CM121" s="42"/>
      <c r="CN121" s="42"/>
      <c r="CO121" s="42"/>
      <c r="CP121" s="42"/>
      <c r="CQ121" s="42"/>
      <c r="CR121" s="42"/>
      <c r="CS121" s="42"/>
      <c r="CT121" s="42"/>
      <c r="CU121" s="42"/>
      <c r="CV121" s="42"/>
      <c r="CW121" s="42"/>
      <c r="CX121" s="42"/>
      <c r="CY121" s="42"/>
      <c r="CZ121" s="42"/>
      <c r="DA121" s="42"/>
      <c r="DB121" s="42"/>
      <c r="DC121" s="42"/>
      <c r="DD121" s="42"/>
      <c r="DE121" s="42"/>
      <c r="DF121" s="42"/>
      <c r="DG121" s="42"/>
      <c r="DH121" s="42"/>
      <c r="DI121" s="42"/>
      <c r="DJ121" s="42"/>
      <c r="DK121" s="42"/>
      <c r="DL121" s="42"/>
      <c r="DM121" s="42"/>
      <c r="DN121" s="42"/>
    </row>
    <row r="122" spans="3:118" s="204" customFormat="1" x14ac:dyDescent="0.25">
      <c r="C122" s="205"/>
      <c r="K122" s="206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06"/>
      <c r="Z122" s="206"/>
      <c r="AA122" s="206"/>
      <c r="AB122" s="206"/>
      <c r="AC122" s="206"/>
      <c r="AD122" s="206"/>
      <c r="AE122" s="206"/>
      <c r="AF122" s="206"/>
      <c r="AG122" s="206"/>
      <c r="AH122" s="206"/>
      <c r="AI122" s="206"/>
      <c r="AJ122" s="206"/>
      <c r="AK122" s="206"/>
      <c r="AL122" s="206"/>
      <c r="AM122" s="206"/>
      <c r="AN122" s="206"/>
      <c r="AO122" s="206"/>
      <c r="AP122" s="206"/>
      <c r="AQ122" s="206"/>
      <c r="AR122" s="206"/>
      <c r="AS122" s="206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  <c r="BO122" s="42"/>
      <c r="BP122" s="42"/>
      <c r="BQ122" s="42"/>
      <c r="BR122" s="42"/>
      <c r="BS122" s="42"/>
      <c r="BT122" s="42"/>
      <c r="BU122" s="42"/>
      <c r="BV122" s="42"/>
      <c r="BW122" s="42"/>
      <c r="BX122" s="42"/>
      <c r="BY122" s="42"/>
      <c r="BZ122" s="42"/>
      <c r="CA122" s="42"/>
      <c r="CB122" s="42"/>
      <c r="CC122" s="42"/>
      <c r="CD122" s="42"/>
      <c r="CE122" s="42"/>
      <c r="CF122" s="42"/>
      <c r="CG122" s="42"/>
      <c r="CH122" s="42"/>
      <c r="CI122" s="42"/>
      <c r="CJ122" s="42"/>
      <c r="CK122" s="42"/>
      <c r="CL122" s="42"/>
      <c r="CM122" s="42"/>
      <c r="CN122" s="42"/>
      <c r="CO122" s="42"/>
      <c r="CP122" s="42"/>
      <c r="CQ122" s="42"/>
      <c r="CR122" s="42"/>
      <c r="CS122" s="42"/>
      <c r="CT122" s="42"/>
      <c r="CU122" s="42"/>
      <c r="CV122" s="42"/>
      <c r="CW122" s="42"/>
      <c r="CX122" s="42"/>
      <c r="CY122" s="42"/>
      <c r="CZ122" s="42"/>
      <c r="DA122" s="42"/>
      <c r="DB122" s="42"/>
      <c r="DC122" s="42"/>
      <c r="DD122" s="42"/>
      <c r="DE122" s="42"/>
      <c r="DF122" s="42"/>
      <c r="DG122" s="42"/>
      <c r="DH122" s="42"/>
      <c r="DI122" s="42"/>
      <c r="DJ122" s="42"/>
      <c r="DK122" s="42"/>
      <c r="DL122" s="42"/>
      <c r="DM122" s="42"/>
      <c r="DN122" s="42"/>
    </row>
    <row r="123" spans="3:118" s="204" customFormat="1" x14ac:dyDescent="0.25">
      <c r="C123" s="205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06"/>
      <c r="AA123" s="206"/>
      <c r="AB123" s="206"/>
      <c r="AC123" s="206"/>
      <c r="AD123" s="206"/>
      <c r="AE123" s="206"/>
      <c r="AF123" s="206"/>
      <c r="AG123" s="206"/>
      <c r="AH123" s="206"/>
      <c r="AI123" s="206"/>
      <c r="AJ123" s="206"/>
      <c r="AK123" s="206"/>
      <c r="AL123" s="206"/>
      <c r="AM123" s="206"/>
      <c r="AN123" s="206"/>
      <c r="AO123" s="206"/>
      <c r="AP123" s="206"/>
      <c r="AQ123" s="206"/>
      <c r="AR123" s="206"/>
      <c r="AS123" s="206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  <c r="BO123" s="42"/>
      <c r="BP123" s="42"/>
      <c r="BQ123" s="42"/>
      <c r="BR123" s="42"/>
      <c r="BS123" s="42"/>
      <c r="BT123" s="42"/>
      <c r="BU123" s="42"/>
      <c r="BV123" s="42"/>
      <c r="BW123" s="42"/>
      <c r="BX123" s="42"/>
      <c r="BY123" s="42"/>
      <c r="BZ123" s="42"/>
      <c r="CA123" s="42"/>
      <c r="CB123" s="42"/>
      <c r="CC123" s="42"/>
      <c r="CD123" s="42"/>
      <c r="CE123" s="42"/>
      <c r="CF123" s="42"/>
      <c r="CG123" s="42"/>
      <c r="CH123" s="42"/>
      <c r="CI123" s="42"/>
      <c r="CJ123" s="42"/>
      <c r="CK123" s="42"/>
      <c r="CL123" s="42"/>
      <c r="CM123" s="42"/>
      <c r="CN123" s="42"/>
      <c r="CO123" s="42"/>
      <c r="CP123" s="42"/>
      <c r="CQ123" s="42"/>
      <c r="CR123" s="42"/>
      <c r="CS123" s="42"/>
      <c r="CT123" s="42"/>
      <c r="CU123" s="42"/>
      <c r="CV123" s="42"/>
      <c r="CW123" s="42"/>
      <c r="CX123" s="42"/>
      <c r="CY123" s="42"/>
      <c r="CZ123" s="42"/>
      <c r="DA123" s="42"/>
      <c r="DB123" s="42"/>
      <c r="DC123" s="42"/>
      <c r="DD123" s="42"/>
      <c r="DE123" s="42"/>
      <c r="DF123" s="42"/>
      <c r="DG123" s="42"/>
      <c r="DH123" s="42"/>
      <c r="DI123" s="42"/>
      <c r="DJ123" s="42"/>
      <c r="DK123" s="42"/>
      <c r="DL123" s="42"/>
      <c r="DM123" s="42"/>
      <c r="DN123" s="42"/>
    </row>
    <row r="124" spans="3:118" s="204" customFormat="1" x14ac:dyDescent="0.25">
      <c r="C124" s="205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  <c r="Y124" s="206"/>
      <c r="Z124" s="206"/>
      <c r="AA124" s="206"/>
      <c r="AB124" s="206"/>
      <c r="AC124" s="206"/>
      <c r="AD124" s="206"/>
      <c r="AE124" s="206"/>
      <c r="AF124" s="206"/>
      <c r="AG124" s="206"/>
      <c r="AH124" s="206"/>
      <c r="AI124" s="206"/>
      <c r="AJ124" s="206"/>
      <c r="AK124" s="206"/>
      <c r="AL124" s="206"/>
      <c r="AM124" s="206"/>
      <c r="AN124" s="206"/>
      <c r="AO124" s="206"/>
      <c r="AP124" s="206"/>
      <c r="AQ124" s="206"/>
      <c r="AR124" s="206"/>
      <c r="AS124" s="206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/>
      <c r="BQ124" s="42"/>
      <c r="BR124" s="42"/>
      <c r="BS124" s="42"/>
      <c r="BT124" s="42"/>
      <c r="BU124" s="42"/>
      <c r="BV124" s="42"/>
      <c r="BW124" s="42"/>
      <c r="BX124" s="42"/>
      <c r="BY124" s="42"/>
      <c r="BZ124" s="42"/>
      <c r="CA124" s="42"/>
      <c r="CB124" s="42"/>
      <c r="CC124" s="42"/>
      <c r="CD124" s="42"/>
      <c r="CE124" s="42"/>
      <c r="CF124" s="42"/>
      <c r="CG124" s="42"/>
      <c r="CH124" s="42"/>
      <c r="CI124" s="42"/>
      <c r="CJ124" s="42"/>
      <c r="CK124" s="42"/>
      <c r="CL124" s="42"/>
      <c r="CM124" s="42"/>
      <c r="CN124" s="42"/>
      <c r="CO124" s="42"/>
      <c r="CP124" s="42"/>
      <c r="CQ124" s="42"/>
      <c r="CR124" s="42"/>
      <c r="CS124" s="42"/>
      <c r="CT124" s="42"/>
      <c r="CU124" s="42"/>
      <c r="CV124" s="42"/>
      <c r="CW124" s="42"/>
      <c r="CX124" s="42"/>
      <c r="CY124" s="42"/>
      <c r="CZ124" s="42"/>
      <c r="DA124" s="42"/>
      <c r="DB124" s="42"/>
      <c r="DC124" s="42"/>
      <c r="DD124" s="42"/>
      <c r="DE124" s="42"/>
      <c r="DF124" s="42"/>
      <c r="DG124" s="42"/>
      <c r="DH124" s="42"/>
      <c r="DI124" s="42"/>
      <c r="DJ124" s="42"/>
      <c r="DK124" s="42"/>
      <c r="DL124" s="42"/>
      <c r="DM124" s="42"/>
      <c r="DN124" s="42"/>
    </row>
    <row r="125" spans="3:118" s="204" customFormat="1" x14ac:dyDescent="0.25">
      <c r="C125" s="205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06"/>
      <c r="AA125" s="206"/>
      <c r="AB125" s="206"/>
      <c r="AC125" s="206"/>
      <c r="AD125" s="206"/>
      <c r="AE125" s="206"/>
      <c r="AF125" s="206"/>
      <c r="AG125" s="206"/>
      <c r="AH125" s="206"/>
      <c r="AI125" s="206"/>
      <c r="AJ125" s="206"/>
      <c r="AK125" s="206"/>
      <c r="AL125" s="206"/>
      <c r="AM125" s="206"/>
      <c r="AN125" s="206"/>
      <c r="AO125" s="206"/>
      <c r="AP125" s="206"/>
      <c r="AQ125" s="206"/>
      <c r="AR125" s="206"/>
      <c r="AS125" s="206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2"/>
      <c r="BP125" s="42"/>
      <c r="BQ125" s="42"/>
      <c r="BR125" s="42"/>
      <c r="BS125" s="42"/>
      <c r="BT125" s="42"/>
      <c r="BU125" s="42"/>
      <c r="BV125" s="42"/>
      <c r="BW125" s="42"/>
      <c r="BX125" s="42"/>
      <c r="BY125" s="42"/>
      <c r="BZ125" s="42"/>
      <c r="CA125" s="42"/>
      <c r="CB125" s="42"/>
      <c r="CC125" s="42"/>
      <c r="CD125" s="42"/>
      <c r="CE125" s="42"/>
      <c r="CF125" s="42"/>
      <c r="CG125" s="42"/>
      <c r="CH125" s="42"/>
      <c r="CI125" s="42"/>
      <c r="CJ125" s="42"/>
      <c r="CK125" s="42"/>
      <c r="CL125" s="42"/>
      <c r="CM125" s="42"/>
      <c r="CN125" s="42"/>
      <c r="CO125" s="42"/>
      <c r="CP125" s="42"/>
      <c r="CQ125" s="42"/>
      <c r="CR125" s="42"/>
      <c r="CS125" s="42"/>
      <c r="CT125" s="42"/>
      <c r="CU125" s="42"/>
      <c r="CV125" s="42"/>
      <c r="CW125" s="42"/>
      <c r="CX125" s="42"/>
      <c r="CY125" s="42"/>
      <c r="CZ125" s="42"/>
      <c r="DA125" s="42"/>
      <c r="DB125" s="42"/>
      <c r="DC125" s="42"/>
      <c r="DD125" s="42"/>
      <c r="DE125" s="42"/>
      <c r="DF125" s="42"/>
      <c r="DG125" s="42"/>
      <c r="DH125" s="42"/>
      <c r="DI125" s="42"/>
      <c r="DJ125" s="42"/>
      <c r="DK125" s="42"/>
      <c r="DL125" s="42"/>
      <c r="DM125" s="42"/>
      <c r="DN125" s="42"/>
    </row>
    <row r="126" spans="3:118" s="204" customFormat="1" x14ac:dyDescent="0.25">
      <c r="C126" s="205"/>
      <c r="K126" s="206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  <c r="X126" s="206"/>
      <c r="Y126" s="206"/>
      <c r="Z126" s="206"/>
      <c r="AA126" s="206"/>
      <c r="AB126" s="206"/>
      <c r="AC126" s="206"/>
      <c r="AD126" s="206"/>
      <c r="AE126" s="206"/>
      <c r="AF126" s="206"/>
      <c r="AG126" s="206"/>
      <c r="AH126" s="206"/>
      <c r="AI126" s="206"/>
      <c r="AJ126" s="206"/>
      <c r="AK126" s="206"/>
      <c r="AL126" s="206"/>
      <c r="AM126" s="206"/>
      <c r="AN126" s="206"/>
      <c r="AO126" s="206"/>
      <c r="AP126" s="206"/>
      <c r="AQ126" s="206"/>
      <c r="AR126" s="206"/>
      <c r="AS126" s="206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  <c r="BO126" s="42"/>
      <c r="BP126" s="42"/>
      <c r="BQ126" s="42"/>
      <c r="BR126" s="42"/>
      <c r="BS126" s="42"/>
      <c r="BT126" s="42"/>
      <c r="BU126" s="42"/>
      <c r="BV126" s="42"/>
      <c r="BW126" s="42"/>
      <c r="BX126" s="42"/>
      <c r="BY126" s="42"/>
      <c r="BZ126" s="42"/>
      <c r="CA126" s="42"/>
      <c r="CB126" s="42"/>
      <c r="CC126" s="42"/>
      <c r="CD126" s="42"/>
      <c r="CE126" s="42"/>
      <c r="CF126" s="42"/>
      <c r="CG126" s="42"/>
      <c r="CH126" s="42"/>
      <c r="CI126" s="42"/>
      <c r="CJ126" s="42"/>
      <c r="CK126" s="42"/>
      <c r="CL126" s="42"/>
      <c r="CM126" s="42"/>
      <c r="CN126" s="42"/>
      <c r="CO126" s="42"/>
      <c r="CP126" s="42"/>
      <c r="CQ126" s="42"/>
      <c r="CR126" s="42"/>
      <c r="CS126" s="42"/>
      <c r="CT126" s="42"/>
      <c r="CU126" s="42"/>
      <c r="CV126" s="42"/>
      <c r="CW126" s="42"/>
      <c r="CX126" s="42"/>
      <c r="CY126" s="42"/>
      <c r="CZ126" s="42"/>
      <c r="DA126" s="42"/>
      <c r="DB126" s="42"/>
      <c r="DC126" s="42"/>
      <c r="DD126" s="42"/>
      <c r="DE126" s="42"/>
      <c r="DF126" s="42"/>
      <c r="DG126" s="42"/>
      <c r="DH126" s="42"/>
      <c r="DI126" s="42"/>
      <c r="DJ126" s="42"/>
      <c r="DK126" s="42"/>
      <c r="DL126" s="42"/>
      <c r="DM126" s="42"/>
      <c r="DN126" s="42"/>
    </row>
    <row r="127" spans="3:118" s="207" customFormat="1" x14ac:dyDescent="0.25">
      <c r="C127" s="208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  <c r="AA127" s="209"/>
      <c r="AB127" s="209"/>
      <c r="AC127" s="209"/>
      <c r="AD127" s="209"/>
      <c r="AE127" s="209"/>
      <c r="AF127" s="209"/>
      <c r="AG127" s="209"/>
      <c r="AH127" s="209"/>
      <c r="AI127" s="209"/>
      <c r="AJ127" s="209"/>
      <c r="AK127" s="209"/>
      <c r="AL127" s="209"/>
      <c r="AM127" s="209"/>
      <c r="AN127" s="209"/>
      <c r="AO127" s="209"/>
      <c r="AP127" s="209"/>
      <c r="AQ127" s="209"/>
      <c r="AR127" s="209"/>
      <c r="AS127" s="209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  <c r="BO127" s="42"/>
      <c r="BP127" s="42"/>
      <c r="BQ127" s="42"/>
      <c r="BR127" s="42"/>
      <c r="BS127" s="42"/>
      <c r="BT127" s="42"/>
      <c r="BU127" s="42"/>
      <c r="BV127" s="42"/>
      <c r="BW127" s="42"/>
      <c r="BX127" s="42"/>
      <c r="BY127" s="42"/>
      <c r="BZ127" s="42"/>
      <c r="CA127" s="42"/>
      <c r="CB127" s="42"/>
      <c r="CC127" s="42"/>
      <c r="CD127" s="42"/>
      <c r="CE127" s="42"/>
      <c r="CF127" s="42"/>
      <c r="CG127" s="42"/>
      <c r="CH127" s="42"/>
      <c r="CI127" s="42"/>
      <c r="CJ127" s="42"/>
      <c r="CK127" s="42"/>
      <c r="CL127" s="42"/>
      <c r="CM127" s="42"/>
      <c r="CN127" s="42"/>
      <c r="CO127" s="42"/>
      <c r="CP127" s="42"/>
      <c r="CQ127" s="42"/>
      <c r="CR127" s="42"/>
      <c r="CS127" s="42"/>
      <c r="CT127" s="42"/>
      <c r="CU127" s="42"/>
      <c r="CV127" s="42"/>
      <c r="CW127" s="42"/>
      <c r="CX127" s="42"/>
      <c r="CY127" s="42"/>
      <c r="CZ127" s="42"/>
      <c r="DA127" s="42"/>
      <c r="DB127" s="42"/>
      <c r="DC127" s="42"/>
      <c r="DD127" s="42"/>
      <c r="DE127" s="42"/>
      <c r="DF127" s="42"/>
      <c r="DG127" s="42"/>
      <c r="DH127" s="42"/>
      <c r="DI127" s="42"/>
      <c r="DJ127" s="42"/>
      <c r="DK127" s="42"/>
      <c r="DL127" s="42"/>
      <c r="DM127" s="42"/>
      <c r="DN127" s="42"/>
    </row>
    <row r="128" spans="3:118" s="207" customFormat="1" x14ac:dyDescent="0.25">
      <c r="C128" s="208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  <c r="AA128" s="209"/>
      <c r="AB128" s="209"/>
      <c r="AC128" s="209"/>
      <c r="AD128" s="209"/>
      <c r="AE128" s="209"/>
      <c r="AF128" s="209"/>
      <c r="AG128" s="209"/>
      <c r="AH128" s="209"/>
      <c r="AI128" s="209"/>
      <c r="AJ128" s="209"/>
      <c r="AK128" s="209"/>
      <c r="AL128" s="209"/>
      <c r="AM128" s="209"/>
      <c r="AN128" s="209"/>
      <c r="AO128" s="209"/>
      <c r="AP128" s="209"/>
      <c r="AQ128" s="209"/>
      <c r="AR128" s="209"/>
      <c r="AS128" s="209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  <c r="BO128" s="42"/>
      <c r="BP128" s="42"/>
      <c r="BQ128" s="42"/>
      <c r="BR128" s="42"/>
      <c r="BS128" s="42"/>
      <c r="BT128" s="42"/>
      <c r="BU128" s="42"/>
      <c r="BV128" s="42"/>
      <c r="BW128" s="42"/>
      <c r="BX128" s="42"/>
      <c r="BY128" s="42"/>
      <c r="BZ128" s="42"/>
      <c r="CA128" s="42"/>
      <c r="CB128" s="42"/>
      <c r="CC128" s="42"/>
      <c r="CD128" s="42"/>
      <c r="CE128" s="42"/>
      <c r="CF128" s="42"/>
      <c r="CG128" s="42"/>
      <c r="CH128" s="42"/>
      <c r="CI128" s="42"/>
      <c r="CJ128" s="42"/>
      <c r="CK128" s="42"/>
      <c r="CL128" s="42"/>
      <c r="CM128" s="42"/>
      <c r="CN128" s="42"/>
      <c r="CO128" s="42"/>
      <c r="CP128" s="42"/>
      <c r="CQ128" s="42"/>
      <c r="CR128" s="42"/>
      <c r="CS128" s="42"/>
      <c r="CT128" s="42"/>
      <c r="CU128" s="42"/>
      <c r="CV128" s="42"/>
      <c r="CW128" s="42"/>
      <c r="CX128" s="42"/>
      <c r="CY128" s="42"/>
      <c r="CZ128" s="42"/>
      <c r="DA128" s="42"/>
      <c r="DB128" s="42"/>
      <c r="DC128" s="42"/>
      <c r="DD128" s="42"/>
      <c r="DE128" s="42"/>
      <c r="DF128" s="42"/>
      <c r="DG128" s="42"/>
      <c r="DH128" s="42"/>
      <c r="DI128" s="42"/>
      <c r="DJ128" s="42"/>
      <c r="DK128" s="42"/>
      <c r="DL128" s="42"/>
      <c r="DM128" s="42"/>
      <c r="DN128" s="42"/>
    </row>
    <row r="129" spans="3:118" s="207" customFormat="1" x14ac:dyDescent="0.25">
      <c r="C129" s="208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  <c r="AA129" s="209"/>
      <c r="AB129" s="209"/>
      <c r="AC129" s="209"/>
      <c r="AD129" s="209"/>
      <c r="AE129" s="209"/>
      <c r="AF129" s="209"/>
      <c r="AG129" s="209"/>
      <c r="AH129" s="209"/>
      <c r="AI129" s="209"/>
      <c r="AJ129" s="209"/>
      <c r="AK129" s="209"/>
      <c r="AL129" s="209"/>
      <c r="AM129" s="209"/>
      <c r="AN129" s="209"/>
      <c r="AO129" s="209"/>
      <c r="AP129" s="209"/>
      <c r="AQ129" s="209"/>
      <c r="AR129" s="209"/>
      <c r="AS129" s="209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  <c r="BO129" s="42"/>
      <c r="BP129" s="42"/>
      <c r="BQ129" s="42"/>
      <c r="BR129" s="42"/>
      <c r="BS129" s="42"/>
      <c r="BT129" s="42"/>
      <c r="BU129" s="42"/>
      <c r="BV129" s="42"/>
      <c r="BW129" s="42"/>
      <c r="BX129" s="42"/>
      <c r="BY129" s="42"/>
      <c r="BZ129" s="42"/>
      <c r="CA129" s="42"/>
      <c r="CB129" s="42"/>
      <c r="CC129" s="42"/>
      <c r="CD129" s="42"/>
      <c r="CE129" s="42"/>
      <c r="CF129" s="42"/>
      <c r="CG129" s="42"/>
      <c r="CH129" s="42"/>
      <c r="CI129" s="42"/>
      <c r="CJ129" s="42"/>
      <c r="CK129" s="42"/>
      <c r="CL129" s="42"/>
      <c r="CM129" s="42"/>
      <c r="CN129" s="42"/>
      <c r="CO129" s="42"/>
      <c r="CP129" s="42"/>
      <c r="CQ129" s="42"/>
      <c r="CR129" s="42"/>
      <c r="CS129" s="42"/>
      <c r="CT129" s="42"/>
      <c r="CU129" s="42"/>
      <c r="CV129" s="42"/>
      <c r="CW129" s="42"/>
      <c r="CX129" s="42"/>
      <c r="CY129" s="42"/>
      <c r="CZ129" s="42"/>
      <c r="DA129" s="42"/>
      <c r="DB129" s="42"/>
      <c r="DC129" s="42"/>
      <c r="DD129" s="42"/>
      <c r="DE129" s="42"/>
      <c r="DF129" s="42"/>
      <c r="DG129" s="42"/>
      <c r="DH129" s="42"/>
      <c r="DI129" s="42"/>
      <c r="DJ129" s="42"/>
      <c r="DK129" s="42"/>
      <c r="DL129" s="42"/>
      <c r="DM129" s="42"/>
      <c r="DN129" s="42"/>
    </row>
    <row r="130" spans="3:118" s="207" customFormat="1" x14ac:dyDescent="0.25">
      <c r="C130" s="208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  <c r="AA130" s="209"/>
      <c r="AB130" s="209"/>
      <c r="AC130" s="209"/>
      <c r="AD130" s="209"/>
      <c r="AE130" s="209"/>
      <c r="AF130" s="209"/>
      <c r="AG130" s="209"/>
      <c r="AH130" s="209"/>
      <c r="AI130" s="209"/>
      <c r="AJ130" s="209"/>
      <c r="AK130" s="209"/>
      <c r="AL130" s="209"/>
      <c r="AM130" s="209"/>
      <c r="AN130" s="209"/>
      <c r="AO130" s="209"/>
      <c r="AP130" s="209"/>
      <c r="AQ130" s="209"/>
      <c r="AR130" s="209"/>
      <c r="AS130" s="209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  <c r="BO130" s="42"/>
      <c r="BP130" s="42"/>
      <c r="BQ130" s="42"/>
      <c r="BR130" s="42"/>
      <c r="BS130" s="42"/>
      <c r="BT130" s="42"/>
      <c r="BU130" s="42"/>
      <c r="BV130" s="42"/>
      <c r="BW130" s="42"/>
      <c r="BX130" s="42"/>
      <c r="BY130" s="42"/>
      <c r="BZ130" s="42"/>
      <c r="CA130" s="42"/>
      <c r="CB130" s="42"/>
      <c r="CC130" s="42"/>
      <c r="CD130" s="42"/>
      <c r="CE130" s="42"/>
      <c r="CF130" s="42"/>
      <c r="CG130" s="42"/>
      <c r="CH130" s="42"/>
      <c r="CI130" s="42"/>
      <c r="CJ130" s="42"/>
      <c r="CK130" s="42"/>
      <c r="CL130" s="42"/>
      <c r="CM130" s="42"/>
      <c r="CN130" s="42"/>
      <c r="CO130" s="42"/>
      <c r="CP130" s="42"/>
      <c r="CQ130" s="42"/>
      <c r="CR130" s="42"/>
      <c r="CS130" s="42"/>
      <c r="CT130" s="42"/>
      <c r="CU130" s="42"/>
      <c r="CV130" s="42"/>
      <c r="CW130" s="42"/>
      <c r="CX130" s="42"/>
      <c r="CY130" s="42"/>
      <c r="CZ130" s="42"/>
      <c r="DA130" s="42"/>
      <c r="DB130" s="42"/>
      <c r="DC130" s="42"/>
      <c r="DD130" s="42"/>
      <c r="DE130" s="42"/>
      <c r="DF130" s="42"/>
      <c r="DG130" s="42"/>
      <c r="DH130" s="42"/>
      <c r="DI130" s="42"/>
      <c r="DJ130" s="42"/>
      <c r="DK130" s="42"/>
      <c r="DL130" s="42"/>
      <c r="DM130" s="42"/>
      <c r="DN130" s="42"/>
    </row>
    <row r="131" spans="3:118" s="207" customFormat="1" x14ac:dyDescent="0.25">
      <c r="C131" s="208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  <c r="AA131" s="209"/>
      <c r="AB131" s="209"/>
      <c r="AC131" s="209"/>
      <c r="AD131" s="209"/>
      <c r="AE131" s="209"/>
      <c r="AF131" s="209"/>
      <c r="AG131" s="209"/>
      <c r="AH131" s="209"/>
      <c r="AI131" s="209"/>
      <c r="AJ131" s="209"/>
      <c r="AK131" s="209"/>
      <c r="AL131" s="209"/>
      <c r="AM131" s="209"/>
      <c r="AN131" s="209"/>
      <c r="AO131" s="209"/>
      <c r="AP131" s="209"/>
      <c r="AQ131" s="209"/>
      <c r="AR131" s="209"/>
      <c r="AS131" s="209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  <c r="BO131" s="42"/>
      <c r="BP131" s="42"/>
      <c r="BQ131" s="42"/>
      <c r="BR131" s="42"/>
      <c r="BS131" s="42"/>
      <c r="BT131" s="42"/>
      <c r="BU131" s="42"/>
      <c r="BV131" s="42"/>
      <c r="BW131" s="42"/>
      <c r="BX131" s="42"/>
      <c r="BY131" s="42"/>
      <c r="BZ131" s="42"/>
      <c r="CA131" s="42"/>
      <c r="CB131" s="42"/>
      <c r="CC131" s="42"/>
      <c r="CD131" s="42"/>
      <c r="CE131" s="42"/>
      <c r="CF131" s="42"/>
      <c r="CG131" s="42"/>
      <c r="CH131" s="42"/>
      <c r="CI131" s="42"/>
      <c r="CJ131" s="42"/>
      <c r="CK131" s="42"/>
      <c r="CL131" s="42"/>
      <c r="CM131" s="42"/>
      <c r="CN131" s="42"/>
      <c r="CO131" s="42"/>
      <c r="CP131" s="42"/>
      <c r="CQ131" s="42"/>
      <c r="CR131" s="42"/>
      <c r="CS131" s="42"/>
      <c r="CT131" s="42"/>
      <c r="CU131" s="42"/>
      <c r="CV131" s="42"/>
      <c r="CW131" s="42"/>
      <c r="CX131" s="42"/>
      <c r="CY131" s="42"/>
      <c r="CZ131" s="42"/>
      <c r="DA131" s="42"/>
      <c r="DB131" s="42"/>
      <c r="DC131" s="42"/>
      <c r="DD131" s="42"/>
      <c r="DE131" s="42"/>
      <c r="DF131" s="42"/>
      <c r="DG131" s="42"/>
      <c r="DH131" s="42"/>
      <c r="DI131" s="42"/>
      <c r="DJ131" s="42"/>
      <c r="DK131" s="42"/>
      <c r="DL131" s="42"/>
      <c r="DM131" s="42"/>
      <c r="DN131" s="42"/>
    </row>
    <row r="132" spans="3:118" s="207" customFormat="1" x14ac:dyDescent="0.25">
      <c r="C132" s="208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  <c r="AA132" s="209"/>
      <c r="AB132" s="209"/>
      <c r="AC132" s="209"/>
      <c r="AD132" s="209"/>
      <c r="AE132" s="209"/>
      <c r="AF132" s="209"/>
      <c r="AG132" s="209"/>
      <c r="AH132" s="209"/>
      <c r="AI132" s="209"/>
      <c r="AJ132" s="209"/>
      <c r="AK132" s="209"/>
      <c r="AL132" s="209"/>
      <c r="AM132" s="209"/>
      <c r="AN132" s="209"/>
      <c r="AO132" s="209"/>
      <c r="AP132" s="209"/>
      <c r="AQ132" s="209"/>
      <c r="AR132" s="209"/>
      <c r="AS132" s="209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  <c r="BO132" s="42"/>
      <c r="BP132" s="42"/>
      <c r="BQ132" s="42"/>
      <c r="BR132" s="42"/>
      <c r="BS132" s="42"/>
      <c r="BT132" s="42"/>
      <c r="BU132" s="42"/>
      <c r="BV132" s="42"/>
      <c r="BW132" s="42"/>
      <c r="BX132" s="42"/>
      <c r="BY132" s="42"/>
      <c r="BZ132" s="42"/>
      <c r="CA132" s="42"/>
      <c r="CB132" s="42"/>
      <c r="CC132" s="42"/>
      <c r="CD132" s="42"/>
      <c r="CE132" s="42"/>
      <c r="CF132" s="42"/>
      <c r="CG132" s="42"/>
      <c r="CH132" s="42"/>
      <c r="CI132" s="42"/>
      <c r="CJ132" s="42"/>
      <c r="CK132" s="42"/>
      <c r="CL132" s="42"/>
      <c r="CM132" s="42"/>
      <c r="CN132" s="42"/>
      <c r="CO132" s="42"/>
      <c r="CP132" s="42"/>
      <c r="CQ132" s="42"/>
      <c r="CR132" s="42"/>
      <c r="CS132" s="42"/>
      <c r="CT132" s="42"/>
      <c r="CU132" s="42"/>
      <c r="CV132" s="42"/>
      <c r="CW132" s="42"/>
      <c r="CX132" s="42"/>
      <c r="CY132" s="42"/>
      <c r="CZ132" s="42"/>
      <c r="DA132" s="42"/>
      <c r="DB132" s="42"/>
      <c r="DC132" s="42"/>
      <c r="DD132" s="42"/>
      <c r="DE132" s="42"/>
      <c r="DF132" s="42"/>
      <c r="DG132" s="42"/>
      <c r="DH132" s="42"/>
      <c r="DI132" s="42"/>
      <c r="DJ132" s="42"/>
      <c r="DK132" s="42"/>
      <c r="DL132" s="42"/>
      <c r="DM132" s="42"/>
      <c r="DN132" s="42"/>
    </row>
    <row r="133" spans="3:118" s="207" customFormat="1" x14ac:dyDescent="0.25">
      <c r="C133" s="208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  <c r="AA133" s="209"/>
      <c r="AB133" s="209"/>
      <c r="AC133" s="209"/>
      <c r="AD133" s="209"/>
      <c r="AE133" s="209"/>
      <c r="AF133" s="209"/>
      <c r="AG133" s="209"/>
      <c r="AH133" s="209"/>
      <c r="AI133" s="209"/>
      <c r="AJ133" s="209"/>
      <c r="AK133" s="209"/>
      <c r="AL133" s="209"/>
      <c r="AM133" s="209"/>
      <c r="AN133" s="209"/>
      <c r="AO133" s="209"/>
      <c r="AP133" s="209"/>
      <c r="AQ133" s="209"/>
      <c r="AR133" s="209"/>
      <c r="AS133" s="209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  <c r="BO133" s="42"/>
      <c r="BP133" s="42"/>
      <c r="BQ133" s="42"/>
      <c r="BR133" s="42"/>
      <c r="BS133" s="42"/>
      <c r="BT133" s="42"/>
      <c r="BU133" s="42"/>
      <c r="BV133" s="42"/>
      <c r="BW133" s="42"/>
      <c r="BX133" s="42"/>
      <c r="BY133" s="42"/>
      <c r="BZ133" s="42"/>
      <c r="CA133" s="42"/>
      <c r="CB133" s="42"/>
      <c r="CC133" s="42"/>
      <c r="CD133" s="42"/>
      <c r="CE133" s="42"/>
      <c r="CF133" s="42"/>
      <c r="CG133" s="42"/>
      <c r="CH133" s="42"/>
      <c r="CI133" s="42"/>
      <c r="CJ133" s="42"/>
      <c r="CK133" s="42"/>
      <c r="CL133" s="42"/>
      <c r="CM133" s="42"/>
      <c r="CN133" s="42"/>
      <c r="CO133" s="42"/>
      <c r="CP133" s="42"/>
      <c r="CQ133" s="42"/>
      <c r="CR133" s="42"/>
      <c r="CS133" s="42"/>
      <c r="CT133" s="42"/>
      <c r="CU133" s="42"/>
      <c r="CV133" s="42"/>
      <c r="CW133" s="42"/>
      <c r="CX133" s="42"/>
      <c r="CY133" s="42"/>
      <c r="CZ133" s="42"/>
      <c r="DA133" s="42"/>
      <c r="DB133" s="42"/>
      <c r="DC133" s="42"/>
      <c r="DD133" s="42"/>
      <c r="DE133" s="42"/>
      <c r="DF133" s="42"/>
      <c r="DG133" s="42"/>
      <c r="DH133" s="42"/>
      <c r="DI133" s="42"/>
      <c r="DJ133" s="42"/>
      <c r="DK133" s="42"/>
      <c r="DL133" s="42"/>
      <c r="DM133" s="42"/>
      <c r="DN133" s="42"/>
    </row>
    <row r="134" spans="3:118" s="207" customFormat="1" x14ac:dyDescent="0.25">
      <c r="C134" s="208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  <c r="AA134" s="209"/>
      <c r="AB134" s="209"/>
      <c r="AC134" s="209"/>
      <c r="AD134" s="209"/>
      <c r="AE134" s="209"/>
      <c r="AF134" s="209"/>
      <c r="AG134" s="209"/>
      <c r="AH134" s="209"/>
      <c r="AI134" s="209"/>
      <c r="AJ134" s="209"/>
      <c r="AK134" s="209"/>
      <c r="AL134" s="209"/>
      <c r="AM134" s="209"/>
      <c r="AN134" s="209"/>
      <c r="AO134" s="209"/>
      <c r="AP134" s="209"/>
      <c r="AQ134" s="209"/>
      <c r="AR134" s="209"/>
      <c r="AS134" s="209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  <c r="BO134" s="42"/>
      <c r="BP134" s="42"/>
      <c r="BQ134" s="42"/>
      <c r="BR134" s="42"/>
      <c r="BS134" s="42"/>
      <c r="BT134" s="42"/>
      <c r="BU134" s="42"/>
      <c r="BV134" s="42"/>
      <c r="BW134" s="42"/>
      <c r="BX134" s="42"/>
      <c r="BY134" s="42"/>
      <c r="BZ134" s="42"/>
      <c r="CA134" s="42"/>
      <c r="CB134" s="42"/>
      <c r="CC134" s="42"/>
      <c r="CD134" s="42"/>
      <c r="CE134" s="42"/>
      <c r="CF134" s="42"/>
      <c r="CG134" s="42"/>
      <c r="CH134" s="42"/>
      <c r="CI134" s="42"/>
      <c r="CJ134" s="42"/>
      <c r="CK134" s="42"/>
      <c r="CL134" s="42"/>
      <c r="CM134" s="42"/>
      <c r="CN134" s="42"/>
      <c r="CO134" s="42"/>
      <c r="CP134" s="42"/>
      <c r="CQ134" s="42"/>
      <c r="CR134" s="42"/>
      <c r="CS134" s="42"/>
      <c r="CT134" s="42"/>
      <c r="CU134" s="42"/>
      <c r="CV134" s="42"/>
      <c r="CW134" s="42"/>
      <c r="CX134" s="42"/>
      <c r="CY134" s="42"/>
      <c r="CZ134" s="42"/>
      <c r="DA134" s="42"/>
      <c r="DB134" s="42"/>
      <c r="DC134" s="42"/>
      <c r="DD134" s="42"/>
      <c r="DE134" s="42"/>
      <c r="DF134" s="42"/>
      <c r="DG134" s="42"/>
      <c r="DH134" s="42"/>
      <c r="DI134" s="42"/>
      <c r="DJ134" s="42"/>
      <c r="DK134" s="42"/>
      <c r="DL134" s="42"/>
      <c r="DM134" s="42"/>
      <c r="DN134" s="42"/>
    </row>
    <row r="135" spans="3:118" s="207" customFormat="1" x14ac:dyDescent="0.25">
      <c r="C135" s="208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  <c r="AA135" s="209"/>
      <c r="AB135" s="209"/>
      <c r="AC135" s="209"/>
      <c r="AD135" s="209"/>
      <c r="AE135" s="209"/>
      <c r="AF135" s="209"/>
      <c r="AG135" s="209"/>
      <c r="AH135" s="209"/>
      <c r="AI135" s="209"/>
      <c r="AJ135" s="209"/>
      <c r="AK135" s="209"/>
      <c r="AL135" s="209"/>
      <c r="AM135" s="209"/>
      <c r="AN135" s="209"/>
      <c r="AO135" s="209"/>
      <c r="AP135" s="209"/>
      <c r="AQ135" s="209"/>
      <c r="AR135" s="209"/>
      <c r="AS135" s="209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  <c r="BO135" s="42"/>
      <c r="BP135" s="42"/>
      <c r="BQ135" s="42"/>
      <c r="BR135" s="42"/>
      <c r="BS135" s="42"/>
      <c r="BT135" s="42"/>
      <c r="BU135" s="42"/>
      <c r="BV135" s="42"/>
      <c r="BW135" s="42"/>
      <c r="BX135" s="42"/>
      <c r="BY135" s="42"/>
      <c r="BZ135" s="42"/>
      <c r="CA135" s="42"/>
      <c r="CB135" s="42"/>
      <c r="CC135" s="42"/>
      <c r="CD135" s="42"/>
      <c r="CE135" s="42"/>
      <c r="CF135" s="42"/>
      <c r="CG135" s="42"/>
      <c r="CH135" s="42"/>
      <c r="CI135" s="42"/>
      <c r="CJ135" s="42"/>
      <c r="CK135" s="42"/>
      <c r="CL135" s="42"/>
      <c r="CM135" s="42"/>
      <c r="CN135" s="42"/>
      <c r="CO135" s="42"/>
      <c r="CP135" s="42"/>
      <c r="CQ135" s="42"/>
      <c r="CR135" s="42"/>
      <c r="CS135" s="42"/>
      <c r="CT135" s="42"/>
      <c r="CU135" s="42"/>
      <c r="CV135" s="42"/>
      <c r="CW135" s="42"/>
      <c r="CX135" s="42"/>
      <c r="CY135" s="42"/>
      <c r="CZ135" s="42"/>
      <c r="DA135" s="42"/>
      <c r="DB135" s="42"/>
      <c r="DC135" s="42"/>
      <c r="DD135" s="42"/>
      <c r="DE135" s="42"/>
      <c r="DF135" s="42"/>
      <c r="DG135" s="42"/>
      <c r="DH135" s="42"/>
      <c r="DI135" s="42"/>
      <c r="DJ135" s="42"/>
      <c r="DK135" s="42"/>
      <c r="DL135" s="42"/>
      <c r="DM135" s="42"/>
      <c r="DN135" s="42"/>
    </row>
    <row r="136" spans="3:118" s="207" customFormat="1" x14ac:dyDescent="0.25">
      <c r="C136" s="208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  <c r="AA136" s="209"/>
      <c r="AB136" s="209"/>
      <c r="AC136" s="209"/>
      <c r="AD136" s="209"/>
      <c r="AE136" s="209"/>
      <c r="AF136" s="209"/>
      <c r="AG136" s="209"/>
      <c r="AH136" s="209"/>
      <c r="AI136" s="209"/>
      <c r="AJ136" s="209"/>
      <c r="AK136" s="209"/>
      <c r="AL136" s="209"/>
      <c r="AM136" s="209"/>
      <c r="AN136" s="209"/>
      <c r="AO136" s="209"/>
      <c r="AP136" s="209"/>
      <c r="AQ136" s="209"/>
      <c r="AR136" s="209"/>
      <c r="AS136" s="209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  <c r="BS136" s="42"/>
      <c r="BT136" s="42"/>
      <c r="BU136" s="42"/>
      <c r="BV136" s="42"/>
      <c r="BW136" s="42"/>
      <c r="BX136" s="42"/>
      <c r="BY136" s="42"/>
      <c r="BZ136" s="42"/>
      <c r="CA136" s="42"/>
      <c r="CB136" s="42"/>
      <c r="CC136" s="42"/>
      <c r="CD136" s="42"/>
      <c r="CE136" s="42"/>
      <c r="CF136" s="42"/>
      <c r="CG136" s="42"/>
      <c r="CH136" s="42"/>
      <c r="CI136" s="42"/>
      <c r="CJ136" s="42"/>
      <c r="CK136" s="42"/>
      <c r="CL136" s="42"/>
      <c r="CM136" s="42"/>
      <c r="CN136" s="42"/>
      <c r="CO136" s="42"/>
      <c r="CP136" s="42"/>
      <c r="CQ136" s="42"/>
      <c r="CR136" s="42"/>
      <c r="CS136" s="42"/>
      <c r="CT136" s="42"/>
      <c r="CU136" s="42"/>
      <c r="CV136" s="42"/>
      <c r="CW136" s="42"/>
      <c r="CX136" s="42"/>
      <c r="CY136" s="42"/>
      <c r="CZ136" s="42"/>
      <c r="DA136" s="42"/>
      <c r="DB136" s="42"/>
      <c r="DC136" s="42"/>
      <c r="DD136" s="42"/>
      <c r="DE136" s="42"/>
      <c r="DF136" s="42"/>
      <c r="DG136" s="42"/>
      <c r="DH136" s="42"/>
      <c r="DI136" s="42"/>
      <c r="DJ136" s="42"/>
      <c r="DK136" s="42"/>
      <c r="DL136" s="42"/>
      <c r="DM136" s="42"/>
      <c r="DN136" s="42"/>
    </row>
    <row r="137" spans="3:118" s="207" customFormat="1" x14ac:dyDescent="0.25">
      <c r="C137" s="208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  <c r="AA137" s="209"/>
      <c r="AB137" s="209"/>
      <c r="AC137" s="209"/>
      <c r="AD137" s="209"/>
      <c r="AE137" s="209"/>
      <c r="AF137" s="209"/>
      <c r="AG137" s="209"/>
      <c r="AH137" s="209"/>
      <c r="AI137" s="209"/>
      <c r="AJ137" s="209"/>
      <c r="AK137" s="209"/>
      <c r="AL137" s="209"/>
      <c r="AM137" s="209"/>
      <c r="AN137" s="209"/>
      <c r="AO137" s="209"/>
      <c r="AP137" s="209"/>
      <c r="AQ137" s="209"/>
      <c r="AR137" s="209"/>
      <c r="AS137" s="209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  <c r="BS137" s="42"/>
      <c r="BT137" s="42"/>
      <c r="BU137" s="42"/>
      <c r="BV137" s="42"/>
      <c r="BW137" s="42"/>
      <c r="BX137" s="42"/>
      <c r="BY137" s="42"/>
      <c r="BZ137" s="42"/>
      <c r="CA137" s="42"/>
      <c r="CB137" s="42"/>
      <c r="CC137" s="42"/>
      <c r="CD137" s="42"/>
      <c r="CE137" s="42"/>
      <c r="CF137" s="42"/>
      <c r="CG137" s="42"/>
      <c r="CH137" s="42"/>
      <c r="CI137" s="42"/>
      <c r="CJ137" s="42"/>
      <c r="CK137" s="42"/>
      <c r="CL137" s="42"/>
      <c r="CM137" s="42"/>
      <c r="CN137" s="42"/>
      <c r="CO137" s="42"/>
      <c r="CP137" s="42"/>
      <c r="CQ137" s="42"/>
      <c r="CR137" s="42"/>
      <c r="CS137" s="42"/>
      <c r="CT137" s="42"/>
      <c r="CU137" s="42"/>
      <c r="CV137" s="42"/>
      <c r="CW137" s="42"/>
      <c r="CX137" s="42"/>
      <c r="CY137" s="42"/>
      <c r="CZ137" s="42"/>
      <c r="DA137" s="42"/>
      <c r="DB137" s="42"/>
      <c r="DC137" s="42"/>
      <c r="DD137" s="42"/>
      <c r="DE137" s="42"/>
      <c r="DF137" s="42"/>
      <c r="DG137" s="42"/>
      <c r="DH137" s="42"/>
      <c r="DI137" s="42"/>
      <c r="DJ137" s="42"/>
      <c r="DK137" s="42"/>
      <c r="DL137" s="42"/>
      <c r="DM137" s="42"/>
      <c r="DN137" s="42"/>
    </row>
    <row r="138" spans="3:118" s="207" customFormat="1" x14ac:dyDescent="0.25">
      <c r="C138" s="208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  <c r="AA138" s="209"/>
      <c r="AB138" s="209"/>
      <c r="AC138" s="209"/>
      <c r="AD138" s="209"/>
      <c r="AE138" s="209"/>
      <c r="AF138" s="209"/>
      <c r="AG138" s="209"/>
      <c r="AH138" s="209"/>
      <c r="AI138" s="209"/>
      <c r="AJ138" s="209"/>
      <c r="AK138" s="209"/>
      <c r="AL138" s="209"/>
      <c r="AM138" s="209"/>
      <c r="AN138" s="209"/>
      <c r="AO138" s="209"/>
      <c r="AP138" s="209"/>
      <c r="AQ138" s="209"/>
      <c r="AR138" s="209"/>
      <c r="AS138" s="209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  <c r="BS138" s="42"/>
      <c r="BT138" s="42"/>
      <c r="BU138" s="42"/>
      <c r="BV138" s="42"/>
      <c r="BW138" s="42"/>
      <c r="BX138" s="42"/>
      <c r="BY138" s="42"/>
      <c r="BZ138" s="42"/>
      <c r="CA138" s="42"/>
      <c r="CB138" s="42"/>
      <c r="CC138" s="42"/>
      <c r="CD138" s="42"/>
      <c r="CE138" s="42"/>
      <c r="CF138" s="42"/>
      <c r="CG138" s="42"/>
      <c r="CH138" s="42"/>
      <c r="CI138" s="42"/>
      <c r="CJ138" s="42"/>
      <c r="CK138" s="42"/>
      <c r="CL138" s="42"/>
      <c r="CM138" s="42"/>
      <c r="CN138" s="42"/>
      <c r="CO138" s="42"/>
      <c r="CP138" s="42"/>
      <c r="CQ138" s="42"/>
      <c r="CR138" s="42"/>
      <c r="CS138" s="42"/>
      <c r="CT138" s="42"/>
      <c r="CU138" s="42"/>
      <c r="CV138" s="42"/>
      <c r="CW138" s="42"/>
      <c r="CX138" s="42"/>
      <c r="CY138" s="42"/>
      <c r="CZ138" s="42"/>
      <c r="DA138" s="42"/>
      <c r="DB138" s="42"/>
      <c r="DC138" s="42"/>
      <c r="DD138" s="42"/>
      <c r="DE138" s="42"/>
      <c r="DF138" s="42"/>
      <c r="DG138" s="42"/>
      <c r="DH138" s="42"/>
      <c r="DI138" s="42"/>
      <c r="DJ138" s="42"/>
      <c r="DK138" s="42"/>
      <c r="DL138" s="42"/>
      <c r="DM138" s="42"/>
      <c r="DN138" s="42"/>
    </row>
    <row r="139" spans="3:118" s="210" customFormat="1" x14ac:dyDescent="0.25">
      <c r="C139" s="211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  <c r="X139" s="212"/>
      <c r="Y139" s="212"/>
      <c r="Z139" s="212"/>
      <c r="AA139" s="212"/>
      <c r="AB139" s="212"/>
      <c r="AC139" s="212"/>
      <c r="AD139" s="212"/>
      <c r="AE139" s="212"/>
      <c r="AF139" s="212"/>
      <c r="AG139" s="212"/>
      <c r="AH139" s="212"/>
      <c r="AI139" s="212"/>
      <c r="AJ139" s="212"/>
      <c r="AK139" s="212"/>
      <c r="AL139" s="212"/>
      <c r="AM139" s="212"/>
      <c r="AN139" s="212"/>
      <c r="AO139" s="212"/>
      <c r="AP139" s="212"/>
      <c r="AQ139" s="212"/>
      <c r="AR139" s="212"/>
      <c r="AS139" s="21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  <c r="BS139" s="42"/>
      <c r="BT139" s="42"/>
      <c r="BU139" s="42"/>
      <c r="BV139" s="42"/>
      <c r="BW139" s="42"/>
      <c r="BX139" s="42"/>
      <c r="BY139" s="42"/>
      <c r="BZ139" s="42"/>
      <c r="CA139" s="42"/>
      <c r="CB139" s="42"/>
      <c r="CC139" s="42"/>
      <c r="CD139" s="42"/>
      <c r="CE139" s="42"/>
      <c r="CF139" s="42"/>
      <c r="CG139" s="42"/>
      <c r="CH139" s="42"/>
      <c r="CI139" s="42"/>
      <c r="CJ139" s="42"/>
      <c r="CK139" s="42"/>
      <c r="CL139" s="42"/>
      <c r="CM139" s="42"/>
      <c r="CN139" s="42"/>
      <c r="CO139" s="42"/>
      <c r="CP139" s="42"/>
      <c r="CQ139" s="42"/>
      <c r="CR139" s="42"/>
      <c r="CS139" s="42"/>
      <c r="CT139" s="42"/>
      <c r="CU139" s="42"/>
      <c r="CV139" s="42"/>
      <c r="CW139" s="42"/>
      <c r="CX139" s="42"/>
      <c r="CY139" s="42"/>
      <c r="CZ139" s="42"/>
      <c r="DA139" s="42"/>
      <c r="DB139" s="42"/>
      <c r="DC139" s="42"/>
      <c r="DD139" s="42"/>
      <c r="DE139" s="42"/>
      <c r="DF139" s="42"/>
      <c r="DG139" s="42"/>
      <c r="DH139" s="42"/>
      <c r="DI139" s="42"/>
      <c r="DJ139" s="42"/>
      <c r="DK139" s="42"/>
      <c r="DL139" s="42"/>
      <c r="DM139" s="42"/>
      <c r="DN139" s="42"/>
    </row>
    <row r="140" spans="3:118" s="204" customFormat="1" x14ac:dyDescent="0.25">
      <c r="C140" s="205"/>
      <c r="K140" s="206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206"/>
      <c r="Z140" s="206"/>
      <c r="AA140" s="206"/>
      <c r="AB140" s="206"/>
      <c r="AC140" s="206"/>
      <c r="AD140" s="206"/>
      <c r="AE140" s="206"/>
      <c r="AF140" s="206"/>
      <c r="AG140" s="206"/>
      <c r="AH140" s="206"/>
      <c r="AI140" s="206"/>
      <c r="AJ140" s="206"/>
      <c r="AK140" s="206"/>
      <c r="AL140" s="206"/>
      <c r="AM140" s="206"/>
      <c r="AN140" s="206"/>
      <c r="AO140" s="206"/>
      <c r="AP140" s="206"/>
      <c r="AQ140" s="206"/>
      <c r="AR140" s="206"/>
      <c r="AS140" s="206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  <c r="BS140" s="42"/>
      <c r="BT140" s="42"/>
      <c r="BU140" s="42"/>
      <c r="BV140" s="42"/>
      <c r="BW140" s="42"/>
      <c r="BX140" s="42"/>
      <c r="BY140" s="42"/>
      <c r="BZ140" s="42"/>
      <c r="CA140" s="42"/>
      <c r="CB140" s="42"/>
      <c r="CC140" s="42"/>
      <c r="CD140" s="42"/>
      <c r="CE140" s="42"/>
      <c r="CF140" s="42"/>
      <c r="CG140" s="42"/>
      <c r="CH140" s="42"/>
      <c r="CI140" s="42"/>
      <c r="CJ140" s="42"/>
      <c r="CK140" s="42"/>
      <c r="CL140" s="42"/>
      <c r="CM140" s="42"/>
      <c r="CN140" s="42"/>
      <c r="CO140" s="42"/>
      <c r="CP140" s="42"/>
      <c r="CQ140" s="42"/>
      <c r="CR140" s="42"/>
      <c r="CS140" s="42"/>
      <c r="CT140" s="42"/>
      <c r="CU140" s="42"/>
      <c r="CV140" s="42"/>
      <c r="CW140" s="42"/>
      <c r="CX140" s="42"/>
      <c r="CY140" s="42"/>
      <c r="CZ140" s="42"/>
      <c r="DA140" s="42"/>
      <c r="DB140" s="42"/>
      <c r="DC140" s="42"/>
      <c r="DD140" s="42"/>
      <c r="DE140" s="42"/>
      <c r="DF140" s="42"/>
      <c r="DG140" s="42"/>
      <c r="DH140" s="42"/>
      <c r="DI140" s="42"/>
      <c r="DJ140" s="42"/>
      <c r="DK140" s="42"/>
      <c r="DL140" s="42"/>
      <c r="DM140" s="42"/>
      <c r="DN140" s="42"/>
    </row>
    <row r="141" spans="3:118" s="204" customFormat="1" x14ac:dyDescent="0.25">
      <c r="C141" s="205"/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206"/>
      <c r="Z141" s="206"/>
      <c r="AA141" s="206"/>
      <c r="AB141" s="206"/>
      <c r="AC141" s="206"/>
      <c r="AD141" s="206"/>
      <c r="AE141" s="206"/>
      <c r="AF141" s="206"/>
      <c r="AG141" s="206"/>
      <c r="AH141" s="206"/>
      <c r="AI141" s="206"/>
      <c r="AJ141" s="206"/>
      <c r="AK141" s="206"/>
      <c r="AL141" s="206"/>
      <c r="AM141" s="206"/>
      <c r="AN141" s="206"/>
      <c r="AO141" s="206"/>
      <c r="AP141" s="206"/>
      <c r="AQ141" s="206"/>
      <c r="AR141" s="206"/>
      <c r="AS141" s="206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  <c r="BS141" s="42"/>
      <c r="BT141" s="42"/>
      <c r="BU141" s="42"/>
      <c r="BV141" s="42"/>
      <c r="BW141" s="42"/>
      <c r="BX141" s="42"/>
      <c r="BY141" s="42"/>
      <c r="BZ141" s="42"/>
      <c r="CA141" s="42"/>
      <c r="CB141" s="42"/>
      <c r="CC141" s="42"/>
      <c r="CD141" s="42"/>
      <c r="CE141" s="42"/>
      <c r="CF141" s="42"/>
      <c r="CG141" s="42"/>
      <c r="CH141" s="42"/>
      <c r="CI141" s="42"/>
      <c r="CJ141" s="42"/>
      <c r="CK141" s="42"/>
      <c r="CL141" s="42"/>
      <c r="CM141" s="42"/>
      <c r="CN141" s="42"/>
      <c r="CO141" s="42"/>
      <c r="CP141" s="42"/>
      <c r="CQ141" s="42"/>
      <c r="CR141" s="42"/>
      <c r="CS141" s="42"/>
      <c r="CT141" s="42"/>
      <c r="CU141" s="42"/>
      <c r="CV141" s="42"/>
      <c r="CW141" s="42"/>
      <c r="CX141" s="42"/>
      <c r="CY141" s="42"/>
      <c r="CZ141" s="42"/>
      <c r="DA141" s="42"/>
      <c r="DB141" s="42"/>
      <c r="DC141" s="42"/>
      <c r="DD141" s="42"/>
      <c r="DE141" s="42"/>
      <c r="DF141" s="42"/>
      <c r="DG141" s="42"/>
      <c r="DH141" s="42"/>
      <c r="DI141" s="42"/>
      <c r="DJ141" s="42"/>
      <c r="DK141" s="42"/>
      <c r="DL141" s="42"/>
      <c r="DM141" s="42"/>
      <c r="DN141" s="42"/>
    </row>
    <row r="142" spans="3:118" s="204" customFormat="1" x14ac:dyDescent="0.25">
      <c r="C142" s="205"/>
      <c r="K142" s="206"/>
      <c r="L142" s="206"/>
      <c r="M142" s="206"/>
      <c r="N142" s="206"/>
      <c r="O142" s="206"/>
      <c r="P142" s="206"/>
      <c r="Q142" s="206"/>
      <c r="R142" s="206"/>
      <c r="S142" s="206"/>
      <c r="T142" s="206"/>
      <c r="U142" s="206"/>
      <c r="V142" s="206"/>
      <c r="W142" s="206"/>
      <c r="X142" s="206"/>
      <c r="Y142" s="206"/>
      <c r="Z142" s="206"/>
      <c r="AA142" s="206"/>
      <c r="AB142" s="206"/>
      <c r="AC142" s="206"/>
      <c r="AD142" s="206"/>
      <c r="AE142" s="206"/>
      <c r="AF142" s="206"/>
      <c r="AG142" s="206"/>
      <c r="AH142" s="206"/>
      <c r="AI142" s="206"/>
      <c r="AJ142" s="206"/>
      <c r="AK142" s="206"/>
      <c r="AL142" s="206"/>
      <c r="AM142" s="206"/>
      <c r="AN142" s="206"/>
      <c r="AO142" s="206"/>
      <c r="AP142" s="206"/>
      <c r="AQ142" s="206"/>
      <c r="AR142" s="206"/>
      <c r="AS142" s="206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2"/>
      <c r="CA142" s="42"/>
      <c r="CB142" s="42"/>
      <c r="CC142" s="42"/>
      <c r="CD142" s="42"/>
      <c r="CE142" s="42"/>
      <c r="CF142" s="42"/>
      <c r="CG142" s="42"/>
      <c r="CH142" s="42"/>
      <c r="CI142" s="42"/>
      <c r="CJ142" s="42"/>
      <c r="CK142" s="42"/>
      <c r="CL142" s="42"/>
      <c r="CM142" s="42"/>
      <c r="CN142" s="42"/>
      <c r="CO142" s="42"/>
      <c r="CP142" s="42"/>
      <c r="CQ142" s="42"/>
      <c r="CR142" s="42"/>
      <c r="CS142" s="42"/>
      <c r="CT142" s="42"/>
      <c r="CU142" s="42"/>
      <c r="CV142" s="42"/>
      <c r="CW142" s="42"/>
      <c r="CX142" s="42"/>
      <c r="CY142" s="42"/>
      <c r="CZ142" s="42"/>
      <c r="DA142" s="42"/>
      <c r="DB142" s="42"/>
      <c r="DC142" s="42"/>
      <c r="DD142" s="42"/>
      <c r="DE142" s="42"/>
      <c r="DF142" s="42"/>
      <c r="DG142" s="42"/>
      <c r="DH142" s="42"/>
      <c r="DI142" s="42"/>
      <c r="DJ142" s="42"/>
      <c r="DK142" s="42"/>
      <c r="DL142" s="42"/>
      <c r="DM142" s="42"/>
      <c r="DN142" s="42"/>
    </row>
    <row r="143" spans="3:118" s="204" customFormat="1" x14ac:dyDescent="0.25">
      <c r="C143" s="205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  <c r="AA143" s="206"/>
      <c r="AB143" s="206"/>
      <c r="AC143" s="206"/>
      <c r="AD143" s="206"/>
      <c r="AE143" s="206"/>
      <c r="AF143" s="206"/>
      <c r="AG143" s="206"/>
      <c r="AH143" s="206"/>
      <c r="AI143" s="206"/>
      <c r="AJ143" s="206"/>
      <c r="AK143" s="206"/>
      <c r="AL143" s="206"/>
      <c r="AM143" s="206"/>
      <c r="AN143" s="206"/>
      <c r="AO143" s="206"/>
      <c r="AP143" s="206"/>
      <c r="AQ143" s="206"/>
      <c r="AR143" s="206"/>
      <c r="AS143" s="206"/>
      <c r="AT143" s="42"/>
      <c r="AU143" s="42"/>
      <c r="AV143" s="42"/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/>
      <c r="BN143" s="42"/>
      <c r="BO143" s="42"/>
      <c r="BP143" s="42"/>
      <c r="BQ143" s="42"/>
      <c r="BR143" s="42"/>
      <c r="BS143" s="42"/>
      <c r="BT143" s="42"/>
      <c r="BU143" s="42"/>
      <c r="BV143" s="42"/>
      <c r="BW143" s="42"/>
      <c r="BX143" s="42"/>
      <c r="BY143" s="42"/>
      <c r="BZ143" s="42"/>
      <c r="CA143" s="42"/>
      <c r="CB143" s="42"/>
      <c r="CC143" s="42"/>
      <c r="CD143" s="42"/>
      <c r="CE143" s="42"/>
      <c r="CF143" s="42"/>
      <c r="CG143" s="42"/>
      <c r="CH143" s="42"/>
      <c r="CI143" s="42"/>
      <c r="CJ143" s="42"/>
      <c r="CK143" s="42"/>
      <c r="CL143" s="42"/>
      <c r="CM143" s="42"/>
      <c r="CN143" s="42"/>
      <c r="CO143" s="42"/>
      <c r="CP143" s="42"/>
      <c r="CQ143" s="42"/>
      <c r="CR143" s="42"/>
      <c r="CS143" s="42"/>
      <c r="CT143" s="42"/>
      <c r="CU143" s="42"/>
      <c r="CV143" s="42"/>
      <c r="CW143" s="42"/>
      <c r="CX143" s="42"/>
      <c r="CY143" s="42"/>
      <c r="CZ143" s="42"/>
      <c r="DA143" s="42"/>
      <c r="DB143" s="42"/>
      <c r="DC143" s="42"/>
      <c r="DD143" s="42"/>
      <c r="DE143" s="42"/>
      <c r="DF143" s="42"/>
      <c r="DG143" s="42"/>
      <c r="DH143" s="42"/>
      <c r="DI143" s="42"/>
      <c r="DJ143" s="42"/>
      <c r="DK143" s="42"/>
      <c r="DL143" s="42"/>
      <c r="DM143" s="42"/>
      <c r="DN143" s="42"/>
    </row>
    <row r="144" spans="3:118" s="204" customFormat="1" x14ac:dyDescent="0.25">
      <c r="C144" s="205"/>
      <c r="K144" s="206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/>
      <c r="Y144" s="206"/>
      <c r="Z144" s="206"/>
      <c r="AA144" s="206"/>
      <c r="AB144" s="206"/>
      <c r="AC144" s="206"/>
      <c r="AD144" s="206"/>
      <c r="AE144" s="206"/>
      <c r="AF144" s="206"/>
      <c r="AG144" s="206"/>
      <c r="AH144" s="206"/>
      <c r="AI144" s="206"/>
      <c r="AJ144" s="206"/>
      <c r="AK144" s="206"/>
      <c r="AL144" s="206"/>
      <c r="AM144" s="206"/>
      <c r="AN144" s="206"/>
      <c r="AO144" s="206"/>
      <c r="AP144" s="206"/>
      <c r="AQ144" s="206"/>
      <c r="AR144" s="206"/>
      <c r="AS144" s="206"/>
      <c r="AT144" s="42"/>
      <c r="AU144" s="42"/>
      <c r="AV144" s="42"/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  <c r="BN144" s="42"/>
      <c r="BO144" s="42"/>
      <c r="BP144" s="42"/>
      <c r="BQ144" s="42"/>
      <c r="BR144" s="42"/>
      <c r="BS144" s="42"/>
      <c r="BT144" s="42"/>
      <c r="BU144" s="42"/>
      <c r="BV144" s="42"/>
      <c r="BW144" s="42"/>
      <c r="BX144" s="42"/>
      <c r="BY144" s="42"/>
      <c r="BZ144" s="42"/>
      <c r="CA144" s="42"/>
      <c r="CB144" s="42"/>
      <c r="CC144" s="42"/>
      <c r="CD144" s="42"/>
      <c r="CE144" s="42"/>
      <c r="CF144" s="42"/>
      <c r="CG144" s="42"/>
      <c r="CH144" s="42"/>
      <c r="CI144" s="42"/>
      <c r="CJ144" s="42"/>
      <c r="CK144" s="42"/>
      <c r="CL144" s="42"/>
      <c r="CM144" s="42"/>
      <c r="CN144" s="42"/>
      <c r="CO144" s="42"/>
      <c r="CP144" s="42"/>
      <c r="CQ144" s="42"/>
      <c r="CR144" s="42"/>
      <c r="CS144" s="42"/>
      <c r="CT144" s="42"/>
      <c r="CU144" s="42"/>
      <c r="CV144" s="42"/>
      <c r="CW144" s="42"/>
      <c r="CX144" s="42"/>
      <c r="CY144" s="42"/>
      <c r="CZ144" s="42"/>
      <c r="DA144" s="42"/>
      <c r="DB144" s="42"/>
      <c r="DC144" s="42"/>
      <c r="DD144" s="42"/>
      <c r="DE144" s="42"/>
      <c r="DF144" s="42"/>
      <c r="DG144" s="42"/>
      <c r="DH144" s="42"/>
      <c r="DI144" s="42"/>
      <c r="DJ144" s="42"/>
      <c r="DK144" s="42"/>
      <c r="DL144" s="42"/>
      <c r="DM144" s="42"/>
      <c r="DN144" s="42"/>
    </row>
    <row r="145" spans="3:118" s="207" customFormat="1" x14ac:dyDescent="0.25">
      <c r="C145" s="208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  <c r="AA145" s="209"/>
      <c r="AB145" s="209"/>
      <c r="AC145" s="209"/>
      <c r="AD145" s="209"/>
      <c r="AE145" s="209"/>
      <c r="AF145" s="209"/>
      <c r="AG145" s="209"/>
      <c r="AH145" s="209"/>
      <c r="AI145" s="209"/>
      <c r="AJ145" s="209"/>
      <c r="AK145" s="209"/>
      <c r="AL145" s="209"/>
      <c r="AM145" s="209"/>
      <c r="AN145" s="209"/>
      <c r="AO145" s="209"/>
      <c r="AP145" s="209"/>
      <c r="AQ145" s="209"/>
      <c r="AR145" s="209"/>
      <c r="AS145" s="209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2"/>
      <c r="BP145" s="42"/>
      <c r="BQ145" s="42"/>
      <c r="BR145" s="42"/>
      <c r="BS145" s="42"/>
      <c r="BT145" s="42"/>
      <c r="BU145" s="42"/>
      <c r="BV145" s="42"/>
      <c r="BW145" s="42"/>
      <c r="BX145" s="42"/>
      <c r="BY145" s="42"/>
      <c r="BZ145" s="42"/>
      <c r="CA145" s="42"/>
      <c r="CB145" s="42"/>
      <c r="CC145" s="42"/>
      <c r="CD145" s="42"/>
      <c r="CE145" s="42"/>
      <c r="CF145" s="42"/>
      <c r="CG145" s="42"/>
      <c r="CH145" s="42"/>
      <c r="CI145" s="42"/>
      <c r="CJ145" s="42"/>
      <c r="CK145" s="42"/>
      <c r="CL145" s="42"/>
      <c r="CM145" s="42"/>
      <c r="CN145" s="42"/>
      <c r="CO145" s="42"/>
      <c r="CP145" s="42"/>
      <c r="CQ145" s="42"/>
      <c r="CR145" s="42"/>
      <c r="CS145" s="42"/>
      <c r="CT145" s="42"/>
      <c r="CU145" s="42"/>
      <c r="CV145" s="42"/>
      <c r="CW145" s="42"/>
      <c r="CX145" s="42"/>
      <c r="CY145" s="42"/>
      <c r="CZ145" s="42"/>
      <c r="DA145" s="42"/>
      <c r="DB145" s="42"/>
      <c r="DC145" s="42"/>
      <c r="DD145" s="42"/>
      <c r="DE145" s="42"/>
      <c r="DF145" s="42"/>
      <c r="DG145" s="42"/>
      <c r="DH145" s="42"/>
      <c r="DI145" s="42"/>
      <c r="DJ145" s="42"/>
      <c r="DK145" s="42"/>
      <c r="DL145" s="42"/>
      <c r="DM145" s="42"/>
      <c r="DN145" s="42"/>
    </row>
    <row r="146" spans="3:118" s="207" customFormat="1" x14ac:dyDescent="0.25">
      <c r="C146" s="208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209"/>
      <c r="AA146" s="209"/>
      <c r="AB146" s="209"/>
      <c r="AC146" s="209"/>
      <c r="AD146" s="209"/>
      <c r="AE146" s="209"/>
      <c r="AF146" s="209"/>
      <c r="AG146" s="209"/>
      <c r="AH146" s="209"/>
      <c r="AI146" s="209"/>
      <c r="AJ146" s="209"/>
      <c r="AK146" s="209"/>
      <c r="AL146" s="209"/>
      <c r="AM146" s="209"/>
      <c r="AN146" s="209"/>
      <c r="AO146" s="209"/>
      <c r="AP146" s="209"/>
      <c r="AQ146" s="209"/>
      <c r="AR146" s="209"/>
      <c r="AS146" s="209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  <c r="BO146" s="42"/>
      <c r="BP146" s="42"/>
      <c r="BQ146" s="42"/>
      <c r="BR146" s="42"/>
      <c r="BS146" s="42"/>
      <c r="BT146" s="42"/>
      <c r="BU146" s="42"/>
      <c r="BV146" s="42"/>
      <c r="BW146" s="42"/>
      <c r="BX146" s="42"/>
      <c r="BY146" s="42"/>
      <c r="BZ146" s="42"/>
      <c r="CA146" s="42"/>
      <c r="CB146" s="42"/>
      <c r="CC146" s="42"/>
      <c r="CD146" s="42"/>
      <c r="CE146" s="42"/>
      <c r="CF146" s="42"/>
      <c r="CG146" s="42"/>
      <c r="CH146" s="42"/>
      <c r="CI146" s="42"/>
      <c r="CJ146" s="42"/>
      <c r="CK146" s="42"/>
      <c r="CL146" s="42"/>
      <c r="CM146" s="42"/>
      <c r="CN146" s="42"/>
      <c r="CO146" s="42"/>
      <c r="CP146" s="42"/>
      <c r="CQ146" s="42"/>
      <c r="CR146" s="42"/>
      <c r="CS146" s="42"/>
      <c r="CT146" s="42"/>
      <c r="CU146" s="42"/>
      <c r="CV146" s="42"/>
      <c r="CW146" s="42"/>
      <c r="CX146" s="42"/>
      <c r="CY146" s="42"/>
      <c r="CZ146" s="42"/>
      <c r="DA146" s="42"/>
      <c r="DB146" s="42"/>
      <c r="DC146" s="42"/>
      <c r="DD146" s="42"/>
      <c r="DE146" s="42"/>
      <c r="DF146" s="42"/>
      <c r="DG146" s="42"/>
      <c r="DH146" s="42"/>
      <c r="DI146" s="42"/>
      <c r="DJ146" s="42"/>
      <c r="DK146" s="42"/>
      <c r="DL146" s="42"/>
      <c r="DM146" s="42"/>
      <c r="DN146" s="42"/>
    </row>
    <row r="147" spans="3:118" s="207" customFormat="1" x14ac:dyDescent="0.25">
      <c r="C147" s="208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  <c r="X147" s="209"/>
      <c r="Y147" s="209"/>
      <c r="Z147" s="209"/>
      <c r="AA147" s="209"/>
      <c r="AB147" s="209"/>
      <c r="AC147" s="209"/>
      <c r="AD147" s="209"/>
      <c r="AE147" s="209"/>
      <c r="AF147" s="209"/>
      <c r="AG147" s="209"/>
      <c r="AH147" s="209"/>
      <c r="AI147" s="209"/>
      <c r="AJ147" s="209"/>
      <c r="AK147" s="209"/>
      <c r="AL147" s="209"/>
      <c r="AM147" s="209"/>
      <c r="AN147" s="209"/>
      <c r="AO147" s="209"/>
      <c r="AP147" s="209"/>
      <c r="AQ147" s="209"/>
      <c r="AR147" s="209"/>
      <c r="AS147" s="209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  <c r="BO147" s="42"/>
      <c r="BP147" s="42"/>
      <c r="BQ147" s="42"/>
      <c r="BR147" s="42"/>
      <c r="BS147" s="42"/>
      <c r="BT147" s="42"/>
      <c r="BU147" s="42"/>
      <c r="BV147" s="42"/>
      <c r="BW147" s="42"/>
      <c r="BX147" s="42"/>
      <c r="BY147" s="42"/>
      <c r="BZ147" s="42"/>
      <c r="CA147" s="42"/>
      <c r="CB147" s="42"/>
      <c r="CC147" s="42"/>
      <c r="CD147" s="42"/>
      <c r="CE147" s="42"/>
      <c r="CF147" s="42"/>
      <c r="CG147" s="42"/>
      <c r="CH147" s="42"/>
      <c r="CI147" s="42"/>
      <c r="CJ147" s="42"/>
      <c r="CK147" s="42"/>
      <c r="CL147" s="42"/>
      <c r="CM147" s="42"/>
      <c r="CN147" s="42"/>
      <c r="CO147" s="42"/>
      <c r="CP147" s="42"/>
      <c r="CQ147" s="42"/>
      <c r="CR147" s="42"/>
      <c r="CS147" s="42"/>
      <c r="CT147" s="42"/>
      <c r="CU147" s="42"/>
      <c r="CV147" s="42"/>
      <c r="CW147" s="42"/>
      <c r="CX147" s="42"/>
      <c r="CY147" s="42"/>
      <c r="CZ147" s="42"/>
      <c r="DA147" s="42"/>
      <c r="DB147" s="42"/>
      <c r="DC147" s="42"/>
      <c r="DD147" s="42"/>
      <c r="DE147" s="42"/>
      <c r="DF147" s="42"/>
      <c r="DG147" s="42"/>
      <c r="DH147" s="42"/>
      <c r="DI147" s="42"/>
      <c r="DJ147" s="42"/>
      <c r="DK147" s="42"/>
      <c r="DL147" s="42"/>
      <c r="DM147" s="42"/>
      <c r="DN147" s="42"/>
    </row>
    <row r="148" spans="3:118" s="207" customFormat="1" x14ac:dyDescent="0.25">
      <c r="C148" s="208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  <c r="AA148" s="209"/>
      <c r="AB148" s="209"/>
      <c r="AC148" s="209"/>
      <c r="AD148" s="209"/>
      <c r="AE148" s="209"/>
      <c r="AF148" s="209"/>
      <c r="AG148" s="209"/>
      <c r="AH148" s="209"/>
      <c r="AI148" s="209"/>
      <c r="AJ148" s="209"/>
      <c r="AK148" s="209"/>
      <c r="AL148" s="209"/>
      <c r="AM148" s="209"/>
      <c r="AN148" s="209"/>
      <c r="AO148" s="209"/>
      <c r="AP148" s="209"/>
      <c r="AQ148" s="209"/>
      <c r="AR148" s="209"/>
      <c r="AS148" s="209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/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2"/>
      <c r="CA148" s="42"/>
      <c r="CB148" s="42"/>
      <c r="CC148" s="42"/>
      <c r="CD148" s="42"/>
      <c r="CE148" s="42"/>
      <c r="CF148" s="42"/>
      <c r="CG148" s="42"/>
      <c r="CH148" s="42"/>
      <c r="CI148" s="42"/>
      <c r="CJ148" s="42"/>
      <c r="CK148" s="42"/>
      <c r="CL148" s="42"/>
      <c r="CM148" s="42"/>
      <c r="CN148" s="42"/>
      <c r="CO148" s="42"/>
      <c r="CP148" s="42"/>
      <c r="CQ148" s="42"/>
      <c r="CR148" s="42"/>
      <c r="CS148" s="42"/>
      <c r="CT148" s="42"/>
      <c r="CU148" s="42"/>
      <c r="CV148" s="42"/>
      <c r="CW148" s="42"/>
      <c r="CX148" s="42"/>
      <c r="CY148" s="42"/>
      <c r="CZ148" s="42"/>
      <c r="DA148" s="42"/>
      <c r="DB148" s="42"/>
      <c r="DC148" s="42"/>
      <c r="DD148" s="42"/>
      <c r="DE148" s="42"/>
      <c r="DF148" s="42"/>
      <c r="DG148" s="42"/>
      <c r="DH148" s="42"/>
      <c r="DI148" s="42"/>
      <c r="DJ148" s="42"/>
      <c r="DK148" s="42"/>
      <c r="DL148" s="42"/>
      <c r="DM148" s="42"/>
      <c r="DN148" s="42"/>
    </row>
    <row r="149" spans="3:118" s="207" customFormat="1" x14ac:dyDescent="0.25">
      <c r="C149" s="208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  <c r="AA149" s="209"/>
      <c r="AB149" s="209"/>
      <c r="AC149" s="209"/>
      <c r="AD149" s="209"/>
      <c r="AE149" s="209"/>
      <c r="AF149" s="209"/>
      <c r="AG149" s="209"/>
      <c r="AH149" s="209"/>
      <c r="AI149" s="209"/>
      <c r="AJ149" s="209"/>
      <c r="AK149" s="209"/>
      <c r="AL149" s="209"/>
      <c r="AM149" s="209"/>
      <c r="AN149" s="209"/>
      <c r="AO149" s="209"/>
      <c r="AP149" s="209"/>
      <c r="AQ149" s="209"/>
      <c r="AR149" s="209"/>
      <c r="AS149" s="209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  <c r="BO149" s="42"/>
      <c r="BP149" s="42"/>
      <c r="BQ149" s="42"/>
      <c r="BR149" s="42"/>
      <c r="BS149" s="42"/>
      <c r="BT149" s="42"/>
      <c r="BU149" s="42"/>
      <c r="BV149" s="42"/>
      <c r="BW149" s="42"/>
      <c r="BX149" s="42"/>
      <c r="BY149" s="42"/>
      <c r="BZ149" s="42"/>
      <c r="CA149" s="42"/>
      <c r="CB149" s="42"/>
      <c r="CC149" s="42"/>
      <c r="CD149" s="42"/>
      <c r="CE149" s="42"/>
      <c r="CF149" s="42"/>
      <c r="CG149" s="42"/>
      <c r="CH149" s="42"/>
      <c r="CI149" s="42"/>
      <c r="CJ149" s="42"/>
      <c r="CK149" s="42"/>
      <c r="CL149" s="42"/>
      <c r="CM149" s="42"/>
      <c r="CN149" s="42"/>
      <c r="CO149" s="42"/>
      <c r="CP149" s="42"/>
      <c r="CQ149" s="42"/>
      <c r="CR149" s="42"/>
      <c r="CS149" s="42"/>
      <c r="CT149" s="42"/>
      <c r="CU149" s="42"/>
      <c r="CV149" s="42"/>
      <c r="CW149" s="42"/>
      <c r="CX149" s="42"/>
      <c r="CY149" s="42"/>
      <c r="CZ149" s="42"/>
      <c r="DA149" s="42"/>
      <c r="DB149" s="42"/>
      <c r="DC149" s="42"/>
      <c r="DD149" s="42"/>
      <c r="DE149" s="42"/>
      <c r="DF149" s="42"/>
      <c r="DG149" s="42"/>
      <c r="DH149" s="42"/>
      <c r="DI149" s="42"/>
      <c r="DJ149" s="42"/>
      <c r="DK149" s="42"/>
      <c r="DL149" s="42"/>
      <c r="DM149" s="42"/>
      <c r="DN149" s="42"/>
    </row>
    <row r="150" spans="3:118" s="204" customFormat="1" x14ac:dyDescent="0.25">
      <c r="C150" s="205"/>
      <c r="K150" s="206"/>
      <c r="L150" s="206"/>
      <c r="M150" s="206"/>
      <c r="N150" s="206"/>
      <c r="O150" s="206"/>
      <c r="P150" s="206"/>
      <c r="Q150" s="206"/>
      <c r="R150" s="206"/>
      <c r="S150" s="206"/>
      <c r="T150" s="206"/>
      <c r="U150" s="206"/>
      <c r="V150" s="206"/>
      <c r="W150" s="206"/>
      <c r="X150" s="206"/>
      <c r="Y150" s="206"/>
      <c r="Z150" s="206"/>
      <c r="AA150" s="206"/>
      <c r="AB150" s="206"/>
      <c r="AC150" s="206"/>
      <c r="AD150" s="206"/>
      <c r="AE150" s="206"/>
      <c r="AF150" s="206"/>
      <c r="AG150" s="206"/>
      <c r="AH150" s="206"/>
      <c r="AI150" s="206"/>
      <c r="AJ150" s="206"/>
      <c r="AK150" s="206"/>
      <c r="AL150" s="206"/>
      <c r="AM150" s="206"/>
      <c r="AN150" s="206"/>
      <c r="AO150" s="206"/>
      <c r="AP150" s="206"/>
      <c r="AQ150" s="206"/>
      <c r="AR150" s="206"/>
      <c r="AS150" s="206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  <c r="BO150" s="42"/>
      <c r="BP150" s="42"/>
      <c r="BQ150" s="42"/>
      <c r="BR150" s="42"/>
      <c r="BS150" s="42"/>
      <c r="BT150" s="42"/>
      <c r="BU150" s="42"/>
      <c r="BV150" s="42"/>
      <c r="BW150" s="42"/>
      <c r="BX150" s="42"/>
      <c r="BY150" s="42"/>
      <c r="BZ150" s="42"/>
      <c r="CA150" s="42"/>
      <c r="CB150" s="42"/>
      <c r="CC150" s="42"/>
      <c r="CD150" s="42"/>
      <c r="CE150" s="42"/>
      <c r="CF150" s="42"/>
      <c r="CG150" s="42"/>
      <c r="CH150" s="42"/>
      <c r="CI150" s="42"/>
      <c r="CJ150" s="42"/>
      <c r="CK150" s="42"/>
      <c r="CL150" s="42"/>
      <c r="CM150" s="42"/>
      <c r="CN150" s="42"/>
      <c r="CO150" s="42"/>
      <c r="CP150" s="42"/>
      <c r="CQ150" s="42"/>
      <c r="CR150" s="42"/>
      <c r="CS150" s="42"/>
      <c r="CT150" s="42"/>
      <c r="CU150" s="42"/>
      <c r="CV150" s="42"/>
      <c r="CW150" s="42"/>
      <c r="CX150" s="42"/>
      <c r="CY150" s="42"/>
      <c r="CZ150" s="42"/>
      <c r="DA150" s="42"/>
      <c r="DB150" s="42"/>
      <c r="DC150" s="42"/>
      <c r="DD150" s="42"/>
      <c r="DE150" s="42"/>
      <c r="DF150" s="42"/>
      <c r="DG150" s="42"/>
      <c r="DH150" s="42"/>
      <c r="DI150" s="42"/>
      <c r="DJ150" s="42"/>
      <c r="DK150" s="42"/>
      <c r="DL150" s="42"/>
      <c r="DM150" s="42"/>
      <c r="DN150" s="42"/>
    </row>
    <row r="151" spans="3:118" s="204" customFormat="1" x14ac:dyDescent="0.25">
      <c r="C151" s="205"/>
      <c r="K151" s="206"/>
      <c r="L151" s="206"/>
      <c r="M151" s="206"/>
      <c r="N151" s="206"/>
      <c r="O151" s="206"/>
      <c r="P151" s="206"/>
      <c r="Q151" s="206"/>
      <c r="R151" s="206"/>
      <c r="S151" s="206"/>
      <c r="T151" s="206"/>
      <c r="U151" s="206"/>
      <c r="V151" s="206"/>
      <c r="W151" s="206"/>
      <c r="X151" s="206"/>
      <c r="Y151" s="206"/>
      <c r="Z151" s="206"/>
      <c r="AA151" s="206"/>
      <c r="AB151" s="206"/>
      <c r="AC151" s="206"/>
      <c r="AD151" s="206"/>
      <c r="AE151" s="206"/>
      <c r="AF151" s="206"/>
      <c r="AG151" s="206"/>
      <c r="AH151" s="206"/>
      <c r="AI151" s="206"/>
      <c r="AJ151" s="206"/>
      <c r="AK151" s="206"/>
      <c r="AL151" s="206"/>
      <c r="AM151" s="206"/>
      <c r="AN151" s="206"/>
      <c r="AO151" s="206"/>
      <c r="AP151" s="206"/>
      <c r="AQ151" s="206"/>
      <c r="AR151" s="206"/>
      <c r="AS151" s="206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  <c r="BO151" s="42"/>
      <c r="BP151" s="42"/>
      <c r="BQ151" s="42"/>
      <c r="BR151" s="42"/>
      <c r="BS151" s="42"/>
      <c r="BT151" s="42"/>
      <c r="BU151" s="42"/>
      <c r="BV151" s="42"/>
      <c r="BW151" s="42"/>
      <c r="BX151" s="42"/>
      <c r="BY151" s="42"/>
      <c r="BZ151" s="42"/>
      <c r="CA151" s="42"/>
      <c r="CB151" s="42"/>
      <c r="CC151" s="42"/>
      <c r="CD151" s="42"/>
      <c r="CE151" s="42"/>
      <c r="CF151" s="42"/>
      <c r="CG151" s="42"/>
      <c r="CH151" s="42"/>
      <c r="CI151" s="42"/>
      <c r="CJ151" s="42"/>
      <c r="CK151" s="42"/>
      <c r="CL151" s="42"/>
      <c r="CM151" s="42"/>
      <c r="CN151" s="42"/>
      <c r="CO151" s="42"/>
      <c r="CP151" s="42"/>
      <c r="CQ151" s="42"/>
      <c r="CR151" s="42"/>
      <c r="CS151" s="42"/>
      <c r="CT151" s="42"/>
      <c r="CU151" s="42"/>
      <c r="CV151" s="42"/>
      <c r="CW151" s="42"/>
      <c r="CX151" s="42"/>
      <c r="CY151" s="42"/>
      <c r="CZ151" s="42"/>
      <c r="DA151" s="42"/>
      <c r="DB151" s="42"/>
      <c r="DC151" s="42"/>
      <c r="DD151" s="42"/>
      <c r="DE151" s="42"/>
      <c r="DF151" s="42"/>
      <c r="DG151" s="42"/>
      <c r="DH151" s="42"/>
      <c r="DI151" s="42"/>
      <c r="DJ151" s="42"/>
      <c r="DK151" s="42"/>
      <c r="DL151" s="42"/>
      <c r="DM151" s="42"/>
      <c r="DN151" s="42"/>
    </row>
    <row r="152" spans="3:118" s="204" customFormat="1" x14ac:dyDescent="0.25">
      <c r="C152" s="205"/>
      <c r="K152" s="206"/>
      <c r="L152" s="206"/>
      <c r="M152" s="206"/>
      <c r="N152" s="206"/>
      <c r="O152" s="206"/>
      <c r="P152" s="206"/>
      <c r="Q152" s="206"/>
      <c r="R152" s="206"/>
      <c r="S152" s="206"/>
      <c r="T152" s="206"/>
      <c r="U152" s="206"/>
      <c r="V152" s="206"/>
      <c r="W152" s="206"/>
      <c r="X152" s="206"/>
      <c r="Y152" s="206"/>
      <c r="Z152" s="206"/>
      <c r="AA152" s="206"/>
      <c r="AB152" s="206"/>
      <c r="AC152" s="206"/>
      <c r="AD152" s="206"/>
      <c r="AE152" s="206"/>
      <c r="AF152" s="206"/>
      <c r="AG152" s="206"/>
      <c r="AH152" s="206"/>
      <c r="AI152" s="206"/>
      <c r="AJ152" s="206"/>
      <c r="AK152" s="206"/>
      <c r="AL152" s="206"/>
      <c r="AM152" s="206"/>
      <c r="AN152" s="206"/>
      <c r="AO152" s="206"/>
      <c r="AP152" s="206"/>
      <c r="AQ152" s="206"/>
      <c r="AR152" s="206"/>
      <c r="AS152" s="206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  <c r="BN152" s="42"/>
      <c r="BO152" s="42"/>
      <c r="BP152" s="42"/>
      <c r="BQ152" s="42"/>
      <c r="BR152" s="42"/>
      <c r="BS152" s="42"/>
      <c r="BT152" s="42"/>
      <c r="BU152" s="42"/>
      <c r="BV152" s="42"/>
      <c r="BW152" s="42"/>
      <c r="BX152" s="42"/>
      <c r="BY152" s="42"/>
      <c r="BZ152" s="42"/>
      <c r="CA152" s="42"/>
      <c r="CB152" s="42"/>
      <c r="CC152" s="42"/>
      <c r="CD152" s="42"/>
      <c r="CE152" s="42"/>
      <c r="CF152" s="42"/>
      <c r="CG152" s="42"/>
      <c r="CH152" s="42"/>
      <c r="CI152" s="42"/>
      <c r="CJ152" s="42"/>
      <c r="CK152" s="42"/>
      <c r="CL152" s="42"/>
      <c r="CM152" s="42"/>
      <c r="CN152" s="42"/>
      <c r="CO152" s="42"/>
      <c r="CP152" s="42"/>
      <c r="CQ152" s="42"/>
      <c r="CR152" s="42"/>
      <c r="CS152" s="42"/>
      <c r="CT152" s="42"/>
      <c r="CU152" s="42"/>
      <c r="CV152" s="42"/>
      <c r="CW152" s="42"/>
      <c r="CX152" s="42"/>
      <c r="CY152" s="42"/>
      <c r="CZ152" s="42"/>
      <c r="DA152" s="42"/>
      <c r="DB152" s="42"/>
      <c r="DC152" s="42"/>
      <c r="DD152" s="42"/>
      <c r="DE152" s="42"/>
      <c r="DF152" s="42"/>
      <c r="DG152" s="42"/>
      <c r="DH152" s="42"/>
      <c r="DI152" s="42"/>
      <c r="DJ152" s="42"/>
      <c r="DK152" s="42"/>
      <c r="DL152" s="42"/>
      <c r="DM152" s="42"/>
      <c r="DN152" s="42"/>
    </row>
    <row r="153" spans="3:118" s="204" customFormat="1" x14ac:dyDescent="0.25">
      <c r="C153" s="205"/>
      <c r="K153" s="206"/>
      <c r="L153" s="206"/>
      <c r="M153" s="206"/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  <c r="X153" s="206"/>
      <c r="Y153" s="206"/>
      <c r="Z153" s="206"/>
      <c r="AA153" s="206"/>
      <c r="AB153" s="206"/>
      <c r="AC153" s="206"/>
      <c r="AD153" s="206"/>
      <c r="AE153" s="206"/>
      <c r="AF153" s="206"/>
      <c r="AG153" s="206"/>
      <c r="AH153" s="206"/>
      <c r="AI153" s="206"/>
      <c r="AJ153" s="206"/>
      <c r="AK153" s="206"/>
      <c r="AL153" s="206"/>
      <c r="AM153" s="206"/>
      <c r="AN153" s="206"/>
      <c r="AO153" s="206"/>
      <c r="AP153" s="206"/>
      <c r="AQ153" s="206"/>
      <c r="AR153" s="206"/>
      <c r="AS153" s="206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2"/>
      <c r="BP153" s="42"/>
      <c r="BQ153" s="42"/>
      <c r="BR153" s="42"/>
      <c r="BS153" s="42"/>
      <c r="BT153" s="42"/>
      <c r="BU153" s="42"/>
      <c r="BV153" s="42"/>
      <c r="BW153" s="42"/>
      <c r="BX153" s="42"/>
      <c r="BY153" s="42"/>
      <c r="BZ153" s="42"/>
      <c r="CA153" s="42"/>
      <c r="CB153" s="42"/>
      <c r="CC153" s="42"/>
      <c r="CD153" s="42"/>
      <c r="CE153" s="42"/>
      <c r="CF153" s="42"/>
      <c r="CG153" s="42"/>
      <c r="CH153" s="42"/>
      <c r="CI153" s="42"/>
      <c r="CJ153" s="42"/>
      <c r="CK153" s="42"/>
      <c r="CL153" s="42"/>
      <c r="CM153" s="42"/>
      <c r="CN153" s="42"/>
      <c r="CO153" s="42"/>
      <c r="CP153" s="42"/>
      <c r="CQ153" s="42"/>
      <c r="CR153" s="42"/>
      <c r="CS153" s="42"/>
      <c r="CT153" s="42"/>
      <c r="CU153" s="42"/>
      <c r="CV153" s="42"/>
      <c r="CW153" s="42"/>
      <c r="CX153" s="42"/>
      <c r="CY153" s="42"/>
      <c r="CZ153" s="42"/>
      <c r="DA153" s="42"/>
      <c r="DB153" s="42"/>
      <c r="DC153" s="42"/>
      <c r="DD153" s="42"/>
      <c r="DE153" s="42"/>
      <c r="DF153" s="42"/>
      <c r="DG153" s="42"/>
      <c r="DH153" s="42"/>
      <c r="DI153" s="42"/>
      <c r="DJ153" s="42"/>
      <c r="DK153" s="42"/>
      <c r="DL153" s="42"/>
      <c r="DM153" s="42"/>
      <c r="DN153" s="42"/>
    </row>
    <row r="154" spans="3:118" s="204" customFormat="1" x14ac:dyDescent="0.25">
      <c r="C154" s="205"/>
      <c r="K154" s="206"/>
      <c r="L154" s="206"/>
      <c r="M154" s="206"/>
      <c r="N154" s="206"/>
      <c r="O154" s="206"/>
      <c r="P154" s="206"/>
      <c r="Q154" s="206"/>
      <c r="R154" s="206"/>
      <c r="S154" s="206"/>
      <c r="T154" s="206"/>
      <c r="U154" s="206"/>
      <c r="V154" s="206"/>
      <c r="W154" s="206"/>
      <c r="X154" s="206"/>
      <c r="Y154" s="206"/>
      <c r="Z154" s="206"/>
      <c r="AA154" s="206"/>
      <c r="AB154" s="206"/>
      <c r="AC154" s="206"/>
      <c r="AD154" s="206"/>
      <c r="AE154" s="206"/>
      <c r="AF154" s="206"/>
      <c r="AG154" s="206"/>
      <c r="AH154" s="206"/>
      <c r="AI154" s="206"/>
      <c r="AJ154" s="206"/>
      <c r="AK154" s="206"/>
      <c r="AL154" s="206"/>
      <c r="AM154" s="206"/>
      <c r="AN154" s="206"/>
      <c r="AO154" s="206"/>
      <c r="AP154" s="206"/>
      <c r="AQ154" s="206"/>
      <c r="AR154" s="206"/>
      <c r="AS154" s="206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  <c r="BN154" s="42"/>
      <c r="BO154" s="42"/>
      <c r="BP154" s="42"/>
      <c r="BQ154" s="42"/>
      <c r="BR154" s="42"/>
      <c r="BS154" s="42"/>
      <c r="BT154" s="42"/>
      <c r="BU154" s="42"/>
      <c r="BV154" s="42"/>
      <c r="BW154" s="42"/>
      <c r="BX154" s="42"/>
      <c r="BY154" s="42"/>
      <c r="BZ154" s="42"/>
      <c r="CA154" s="42"/>
      <c r="CB154" s="42"/>
      <c r="CC154" s="42"/>
      <c r="CD154" s="42"/>
      <c r="CE154" s="42"/>
      <c r="CF154" s="42"/>
      <c r="CG154" s="42"/>
      <c r="CH154" s="42"/>
      <c r="CI154" s="42"/>
      <c r="CJ154" s="42"/>
      <c r="CK154" s="42"/>
      <c r="CL154" s="42"/>
      <c r="CM154" s="42"/>
      <c r="CN154" s="42"/>
      <c r="CO154" s="42"/>
      <c r="CP154" s="42"/>
      <c r="CQ154" s="42"/>
      <c r="CR154" s="42"/>
      <c r="CS154" s="42"/>
      <c r="CT154" s="42"/>
      <c r="CU154" s="42"/>
      <c r="CV154" s="42"/>
      <c r="CW154" s="42"/>
      <c r="CX154" s="42"/>
      <c r="CY154" s="42"/>
      <c r="CZ154" s="42"/>
      <c r="DA154" s="42"/>
      <c r="DB154" s="42"/>
      <c r="DC154" s="42"/>
      <c r="DD154" s="42"/>
      <c r="DE154" s="42"/>
      <c r="DF154" s="42"/>
      <c r="DG154" s="42"/>
      <c r="DH154" s="42"/>
      <c r="DI154" s="42"/>
      <c r="DJ154" s="42"/>
      <c r="DK154" s="42"/>
      <c r="DL154" s="42"/>
      <c r="DM154" s="42"/>
      <c r="DN154" s="42"/>
    </row>
    <row r="155" spans="3:118" s="207" customFormat="1" x14ac:dyDescent="0.25">
      <c r="C155" s="208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  <c r="AA155" s="209"/>
      <c r="AB155" s="209"/>
      <c r="AC155" s="209"/>
      <c r="AD155" s="209"/>
      <c r="AE155" s="209"/>
      <c r="AF155" s="209"/>
      <c r="AG155" s="209"/>
      <c r="AH155" s="209"/>
      <c r="AI155" s="209"/>
      <c r="AJ155" s="209"/>
      <c r="AK155" s="209"/>
      <c r="AL155" s="209"/>
      <c r="AM155" s="209"/>
      <c r="AN155" s="209"/>
      <c r="AO155" s="209"/>
      <c r="AP155" s="209"/>
      <c r="AQ155" s="209"/>
      <c r="AR155" s="209"/>
      <c r="AS155" s="209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  <c r="BO155" s="42"/>
      <c r="BP155" s="42"/>
      <c r="BQ155" s="42"/>
      <c r="BR155" s="42"/>
      <c r="BS155" s="42"/>
      <c r="BT155" s="42"/>
      <c r="BU155" s="42"/>
      <c r="BV155" s="42"/>
      <c r="BW155" s="42"/>
      <c r="BX155" s="42"/>
      <c r="BY155" s="42"/>
      <c r="BZ155" s="42"/>
      <c r="CA155" s="42"/>
      <c r="CB155" s="42"/>
      <c r="CC155" s="42"/>
      <c r="CD155" s="42"/>
      <c r="CE155" s="42"/>
      <c r="CF155" s="42"/>
      <c r="CG155" s="42"/>
      <c r="CH155" s="42"/>
      <c r="CI155" s="42"/>
      <c r="CJ155" s="42"/>
      <c r="CK155" s="42"/>
      <c r="CL155" s="42"/>
      <c r="CM155" s="42"/>
      <c r="CN155" s="42"/>
      <c r="CO155" s="42"/>
      <c r="CP155" s="42"/>
      <c r="CQ155" s="42"/>
      <c r="CR155" s="42"/>
      <c r="CS155" s="42"/>
      <c r="CT155" s="42"/>
      <c r="CU155" s="42"/>
      <c r="CV155" s="42"/>
      <c r="CW155" s="42"/>
      <c r="CX155" s="42"/>
      <c r="CY155" s="42"/>
      <c r="CZ155" s="42"/>
      <c r="DA155" s="42"/>
      <c r="DB155" s="42"/>
      <c r="DC155" s="42"/>
      <c r="DD155" s="42"/>
      <c r="DE155" s="42"/>
      <c r="DF155" s="42"/>
      <c r="DG155" s="42"/>
      <c r="DH155" s="42"/>
      <c r="DI155" s="42"/>
      <c r="DJ155" s="42"/>
      <c r="DK155" s="42"/>
      <c r="DL155" s="42"/>
      <c r="DM155" s="42"/>
      <c r="DN155" s="42"/>
    </row>
    <row r="156" spans="3:118" s="207" customFormat="1" x14ac:dyDescent="0.25">
      <c r="C156" s="208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  <c r="AA156" s="209"/>
      <c r="AB156" s="209"/>
      <c r="AC156" s="209"/>
      <c r="AD156" s="209"/>
      <c r="AE156" s="209"/>
      <c r="AF156" s="209"/>
      <c r="AG156" s="209"/>
      <c r="AH156" s="209"/>
      <c r="AI156" s="209"/>
      <c r="AJ156" s="209"/>
      <c r="AK156" s="209"/>
      <c r="AL156" s="209"/>
      <c r="AM156" s="209"/>
      <c r="AN156" s="209"/>
      <c r="AO156" s="209"/>
      <c r="AP156" s="209"/>
      <c r="AQ156" s="209"/>
      <c r="AR156" s="209"/>
      <c r="AS156" s="209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42"/>
      <c r="BV156" s="42"/>
      <c r="BW156" s="42"/>
      <c r="BX156" s="42"/>
      <c r="BY156" s="42"/>
      <c r="BZ156" s="42"/>
      <c r="CA156" s="42"/>
      <c r="CB156" s="42"/>
      <c r="CC156" s="42"/>
      <c r="CD156" s="42"/>
      <c r="CE156" s="42"/>
      <c r="CF156" s="42"/>
      <c r="CG156" s="42"/>
      <c r="CH156" s="42"/>
      <c r="CI156" s="42"/>
      <c r="CJ156" s="42"/>
      <c r="CK156" s="42"/>
      <c r="CL156" s="42"/>
      <c r="CM156" s="42"/>
      <c r="CN156" s="42"/>
      <c r="CO156" s="42"/>
      <c r="CP156" s="42"/>
      <c r="CQ156" s="42"/>
      <c r="CR156" s="42"/>
      <c r="CS156" s="42"/>
      <c r="CT156" s="42"/>
      <c r="CU156" s="42"/>
      <c r="CV156" s="42"/>
      <c r="CW156" s="42"/>
      <c r="CX156" s="42"/>
      <c r="CY156" s="42"/>
      <c r="CZ156" s="42"/>
      <c r="DA156" s="42"/>
      <c r="DB156" s="42"/>
      <c r="DC156" s="42"/>
      <c r="DD156" s="42"/>
      <c r="DE156" s="42"/>
      <c r="DF156" s="42"/>
      <c r="DG156" s="42"/>
      <c r="DH156" s="42"/>
      <c r="DI156" s="42"/>
      <c r="DJ156" s="42"/>
      <c r="DK156" s="42"/>
      <c r="DL156" s="42"/>
      <c r="DM156" s="42"/>
      <c r="DN156" s="42"/>
    </row>
    <row r="157" spans="3:118" s="207" customFormat="1" x14ac:dyDescent="0.25">
      <c r="C157" s="208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  <c r="AA157" s="209"/>
      <c r="AB157" s="209"/>
      <c r="AC157" s="209"/>
      <c r="AD157" s="209"/>
      <c r="AE157" s="209"/>
      <c r="AF157" s="209"/>
      <c r="AG157" s="209"/>
      <c r="AH157" s="209"/>
      <c r="AI157" s="209"/>
      <c r="AJ157" s="209"/>
      <c r="AK157" s="209"/>
      <c r="AL157" s="209"/>
      <c r="AM157" s="209"/>
      <c r="AN157" s="209"/>
      <c r="AO157" s="209"/>
      <c r="AP157" s="209"/>
      <c r="AQ157" s="209"/>
      <c r="AR157" s="209"/>
      <c r="AS157" s="209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42"/>
      <c r="BV157" s="42"/>
      <c r="BW157" s="42"/>
      <c r="BX157" s="42"/>
      <c r="BY157" s="42"/>
      <c r="BZ157" s="42"/>
      <c r="CA157" s="42"/>
      <c r="CB157" s="42"/>
      <c r="CC157" s="42"/>
      <c r="CD157" s="42"/>
      <c r="CE157" s="42"/>
      <c r="CF157" s="42"/>
      <c r="CG157" s="42"/>
      <c r="CH157" s="42"/>
      <c r="CI157" s="42"/>
      <c r="CJ157" s="42"/>
      <c r="CK157" s="42"/>
      <c r="CL157" s="42"/>
      <c r="CM157" s="42"/>
      <c r="CN157" s="42"/>
      <c r="CO157" s="42"/>
      <c r="CP157" s="42"/>
      <c r="CQ157" s="42"/>
      <c r="CR157" s="42"/>
      <c r="CS157" s="42"/>
      <c r="CT157" s="42"/>
      <c r="CU157" s="42"/>
      <c r="CV157" s="42"/>
      <c r="CW157" s="42"/>
      <c r="CX157" s="42"/>
      <c r="CY157" s="42"/>
      <c r="CZ157" s="42"/>
      <c r="DA157" s="42"/>
      <c r="DB157" s="42"/>
      <c r="DC157" s="42"/>
      <c r="DD157" s="42"/>
      <c r="DE157" s="42"/>
      <c r="DF157" s="42"/>
      <c r="DG157" s="42"/>
      <c r="DH157" s="42"/>
      <c r="DI157" s="42"/>
      <c r="DJ157" s="42"/>
      <c r="DK157" s="42"/>
      <c r="DL157" s="42"/>
      <c r="DM157" s="42"/>
      <c r="DN157" s="42"/>
    </row>
    <row r="158" spans="3:118" s="207" customFormat="1" x14ac:dyDescent="0.25">
      <c r="C158" s="208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09"/>
      <c r="AG158" s="209"/>
      <c r="AH158" s="209"/>
      <c r="AI158" s="209"/>
      <c r="AJ158" s="209"/>
      <c r="AK158" s="209"/>
      <c r="AL158" s="209"/>
      <c r="AM158" s="209"/>
      <c r="AN158" s="209"/>
      <c r="AO158" s="209"/>
      <c r="AP158" s="209"/>
      <c r="AQ158" s="209"/>
      <c r="AR158" s="209"/>
      <c r="AS158" s="209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  <c r="BO158" s="42"/>
      <c r="BP158" s="42"/>
      <c r="BQ158" s="42"/>
      <c r="BR158" s="42"/>
      <c r="BS158" s="42"/>
      <c r="BT158" s="42"/>
      <c r="BU158" s="42"/>
      <c r="BV158" s="42"/>
      <c r="BW158" s="42"/>
      <c r="BX158" s="42"/>
      <c r="BY158" s="42"/>
      <c r="BZ158" s="42"/>
      <c r="CA158" s="42"/>
      <c r="CB158" s="42"/>
      <c r="CC158" s="42"/>
      <c r="CD158" s="42"/>
      <c r="CE158" s="42"/>
      <c r="CF158" s="42"/>
      <c r="CG158" s="42"/>
      <c r="CH158" s="42"/>
      <c r="CI158" s="42"/>
      <c r="CJ158" s="42"/>
      <c r="CK158" s="42"/>
      <c r="CL158" s="42"/>
      <c r="CM158" s="42"/>
      <c r="CN158" s="42"/>
      <c r="CO158" s="42"/>
      <c r="CP158" s="42"/>
      <c r="CQ158" s="42"/>
      <c r="CR158" s="42"/>
      <c r="CS158" s="42"/>
      <c r="CT158" s="42"/>
      <c r="CU158" s="42"/>
      <c r="CV158" s="42"/>
      <c r="CW158" s="42"/>
      <c r="CX158" s="42"/>
      <c r="CY158" s="42"/>
      <c r="CZ158" s="42"/>
      <c r="DA158" s="42"/>
      <c r="DB158" s="42"/>
      <c r="DC158" s="42"/>
      <c r="DD158" s="42"/>
      <c r="DE158" s="42"/>
      <c r="DF158" s="42"/>
      <c r="DG158" s="42"/>
      <c r="DH158" s="42"/>
      <c r="DI158" s="42"/>
      <c r="DJ158" s="42"/>
      <c r="DK158" s="42"/>
      <c r="DL158" s="42"/>
      <c r="DM158" s="42"/>
      <c r="DN158" s="42"/>
    </row>
    <row r="159" spans="3:118" s="207" customFormat="1" x14ac:dyDescent="0.25">
      <c r="C159" s="208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09"/>
      <c r="AG159" s="209"/>
      <c r="AH159" s="209"/>
      <c r="AI159" s="209"/>
      <c r="AJ159" s="209"/>
      <c r="AK159" s="209"/>
      <c r="AL159" s="209"/>
      <c r="AM159" s="209"/>
      <c r="AN159" s="209"/>
      <c r="AO159" s="209"/>
      <c r="AP159" s="209"/>
      <c r="AQ159" s="209"/>
      <c r="AR159" s="209"/>
      <c r="AS159" s="209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  <c r="BO159" s="42"/>
      <c r="BP159" s="42"/>
      <c r="BQ159" s="42"/>
      <c r="BR159" s="42"/>
      <c r="BS159" s="42"/>
      <c r="BT159" s="42"/>
      <c r="BU159" s="42"/>
      <c r="BV159" s="42"/>
      <c r="BW159" s="42"/>
      <c r="BX159" s="42"/>
      <c r="BY159" s="42"/>
      <c r="BZ159" s="42"/>
      <c r="CA159" s="42"/>
      <c r="CB159" s="42"/>
      <c r="CC159" s="42"/>
      <c r="CD159" s="42"/>
      <c r="CE159" s="42"/>
      <c r="CF159" s="42"/>
      <c r="CG159" s="42"/>
      <c r="CH159" s="42"/>
      <c r="CI159" s="42"/>
      <c r="CJ159" s="42"/>
      <c r="CK159" s="42"/>
      <c r="CL159" s="42"/>
      <c r="CM159" s="42"/>
      <c r="CN159" s="42"/>
      <c r="CO159" s="42"/>
      <c r="CP159" s="42"/>
      <c r="CQ159" s="42"/>
      <c r="CR159" s="42"/>
      <c r="CS159" s="42"/>
      <c r="CT159" s="42"/>
      <c r="CU159" s="42"/>
      <c r="CV159" s="42"/>
      <c r="CW159" s="42"/>
      <c r="CX159" s="42"/>
      <c r="CY159" s="42"/>
      <c r="CZ159" s="42"/>
      <c r="DA159" s="42"/>
      <c r="DB159" s="42"/>
      <c r="DC159" s="42"/>
      <c r="DD159" s="42"/>
      <c r="DE159" s="42"/>
      <c r="DF159" s="42"/>
      <c r="DG159" s="42"/>
      <c r="DH159" s="42"/>
      <c r="DI159" s="42"/>
      <c r="DJ159" s="42"/>
      <c r="DK159" s="42"/>
      <c r="DL159" s="42"/>
      <c r="DM159" s="42"/>
      <c r="DN159" s="42"/>
    </row>
    <row r="160" spans="3:118" s="204" customFormat="1" x14ac:dyDescent="0.25">
      <c r="C160" s="205"/>
      <c r="K160" s="206"/>
      <c r="L160" s="206"/>
      <c r="M160" s="206"/>
      <c r="N160" s="206"/>
      <c r="O160" s="206"/>
      <c r="P160" s="206"/>
      <c r="Q160" s="206"/>
      <c r="R160" s="206"/>
      <c r="S160" s="206"/>
      <c r="T160" s="206"/>
      <c r="U160" s="206"/>
      <c r="V160" s="206"/>
      <c r="W160" s="206"/>
      <c r="X160" s="206"/>
      <c r="Y160" s="206"/>
      <c r="Z160" s="206"/>
      <c r="AA160" s="206"/>
      <c r="AB160" s="206"/>
      <c r="AC160" s="206"/>
      <c r="AD160" s="206"/>
      <c r="AE160" s="206"/>
      <c r="AF160" s="206"/>
      <c r="AG160" s="206"/>
      <c r="AH160" s="206"/>
      <c r="AI160" s="206"/>
      <c r="AJ160" s="206"/>
      <c r="AK160" s="206"/>
      <c r="AL160" s="206"/>
      <c r="AM160" s="206"/>
      <c r="AN160" s="206"/>
      <c r="AO160" s="206"/>
      <c r="AP160" s="206"/>
      <c r="AQ160" s="206"/>
      <c r="AR160" s="206"/>
      <c r="AS160" s="206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  <c r="BO160" s="42"/>
      <c r="BP160" s="42"/>
      <c r="BQ160" s="42"/>
      <c r="BR160" s="42"/>
      <c r="BS160" s="42"/>
      <c r="BT160" s="42"/>
      <c r="BU160" s="42"/>
      <c r="BV160" s="42"/>
      <c r="BW160" s="42"/>
      <c r="BX160" s="42"/>
      <c r="BY160" s="42"/>
      <c r="BZ160" s="42"/>
      <c r="CA160" s="42"/>
      <c r="CB160" s="42"/>
      <c r="CC160" s="42"/>
      <c r="CD160" s="42"/>
      <c r="CE160" s="42"/>
      <c r="CF160" s="42"/>
      <c r="CG160" s="42"/>
      <c r="CH160" s="42"/>
      <c r="CI160" s="42"/>
      <c r="CJ160" s="42"/>
      <c r="CK160" s="42"/>
      <c r="CL160" s="42"/>
      <c r="CM160" s="42"/>
      <c r="CN160" s="42"/>
      <c r="CO160" s="42"/>
      <c r="CP160" s="42"/>
      <c r="CQ160" s="42"/>
      <c r="CR160" s="42"/>
      <c r="CS160" s="42"/>
      <c r="CT160" s="42"/>
      <c r="CU160" s="42"/>
      <c r="CV160" s="42"/>
      <c r="CW160" s="42"/>
      <c r="CX160" s="42"/>
      <c r="CY160" s="42"/>
      <c r="CZ160" s="42"/>
      <c r="DA160" s="42"/>
      <c r="DB160" s="42"/>
      <c r="DC160" s="42"/>
      <c r="DD160" s="42"/>
      <c r="DE160" s="42"/>
      <c r="DF160" s="42"/>
      <c r="DG160" s="42"/>
      <c r="DH160" s="42"/>
      <c r="DI160" s="42"/>
      <c r="DJ160" s="42"/>
      <c r="DK160" s="42"/>
      <c r="DL160" s="42"/>
      <c r="DM160" s="42"/>
      <c r="DN160" s="42"/>
    </row>
    <row r="161" spans="2:118" s="207" customFormat="1" x14ac:dyDescent="0.25">
      <c r="B161" s="204"/>
      <c r="C161" s="205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09"/>
      <c r="AG161" s="209"/>
      <c r="AH161" s="209"/>
      <c r="AI161" s="209"/>
      <c r="AJ161" s="209"/>
      <c r="AK161" s="209"/>
      <c r="AL161" s="209"/>
      <c r="AM161" s="209"/>
      <c r="AN161" s="209"/>
      <c r="AO161" s="209"/>
      <c r="AP161" s="209"/>
      <c r="AQ161" s="209"/>
      <c r="AR161" s="209"/>
      <c r="AS161" s="209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  <c r="BO161" s="42"/>
      <c r="BP161" s="42"/>
      <c r="BQ161" s="42"/>
      <c r="BR161" s="42"/>
      <c r="BS161" s="42"/>
      <c r="BT161" s="42"/>
      <c r="BU161" s="42"/>
      <c r="BV161" s="42"/>
      <c r="BW161" s="42"/>
      <c r="BX161" s="42"/>
      <c r="BY161" s="42"/>
      <c r="BZ161" s="42"/>
      <c r="CA161" s="42"/>
      <c r="CB161" s="42"/>
      <c r="CC161" s="42"/>
      <c r="CD161" s="42"/>
      <c r="CE161" s="42"/>
      <c r="CF161" s="42"/>
      <c r="CG161" s="42"/>
      <c r="CH161" s="42"/>
      <c r="CI161" s="42"/>
      <c r="CJ161" s="42"/>
      <c r="CK161" s="42"/>
      <c r="CL161" s="42"/>
      <c r="CM161" s="42"/>
      <c r="CN161" s="42"/>
      <c r="CO161" s="42"/>
      <c r="CP161" s="42"/>
      <c r="CQ161" s="42"/>
      <c r="CR161" s="42"/>
      <c r="CS161" s="42"/>
      <c r="CT161" s="42"/>
      <c r="CU161" s="42"/>
      <c r="CV161" s="42"/>
      <c r="CW161" s="42"/>
      <c r="CX161" s="42"/>
      <c r="CY161" s="42"/>
      <c r="CZ161" s="42"/>
      <c r="DA161" s="42"/>
      <c r="DB161" s="42"/>
      <c r="DC161" s="42"/>
      <c r="DD161" s="42"/>
      <c r="DE161" s="42"/>
      <c r="DF161" s="42"/>
      <c r="DG161" s="42"/>
      <c r="DH161" s="42"/>
      <c r="DI161" s="42"/>
      <c r="DJ161" s="42"/>
      <c r="DK161" s="42"/>
      <c r="DL161" s="42"/>
      <c r="DM161" s="42"/>
      <c r="DN161" s="42"/>
    </row>
    <row r="162" spans="2:118" s="204" customFormat="1" x14ac:dyDescent="0.25">
      <c r="B162" s="207"/>
      <c r="K162" s="206"/>
      <c r="L162" s="206"/>
      <c r="M162" s="206"/>
      <c r="N162" s="206"/>
      <c r="O162" s="206"/>
      <c r="P162" s="206"/>
      <c r="Q162" s="206"/>
      <c r="R162" s="206"/>
      <c r="S162" s="206"/>
      <c r="T162" s="206"/>
      <c r="U162" s="206"/>
      <c r="V162" s="206"/>
      <c r="W162" s="206"/>
      <c r="X162" s="206"/>
      <c r="Y162" s="206"/>
      <c r="Z162" s="206"/>
      <c r="AA162" s="206"/>
      <c r="AB162" s="206"/>
      <c r="AC162" s="206"/>
      <c r="AD162" s="206"/>
      <c r="AE162" s="206"/>
      <c r="AF162" s="206"/>
      <c r="AG162" s="206"/>
      <c r="AH162" s="206"/>
      <c r="AI162" s="206"/>
      <c r="AJ162" s="206"/>
      <c r="AK162" s="206"/>
      <c r="AL162" s="206"/>
      <c r="AM162" s="206"/>
      <c r="AN162" s="206"/>
      <c r="AO162" s="206"/>
      <c r="AP162" s="206"/>
      <c r="AQ162" s="206"/>
      <c r="AR162" s="206"/>
      <c r="AS162" s="206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  <c r="BO162" s="42"/>
      <c r="BP162" s="42"/>
      <c r="BQ162" s="42"/>
      <c r="BR162" s="42"/>
      <c r="BS162" s="42"/>
      <c r="BT162" s="42"/>
      <c r="BU162" s="42"/>
      <c r="BV162" s="42"/>
      <c r="BW162" s="42"/>
      <c r="BX162" s="42"/>
      <c r="BY162" s="42"/>
      <c r="BZ162" s="42"/>
      <c r="CA162" s="42"/>
      <c r="CB162" s="42"/>
      <c r="CC162" s="42"/>
      <c r="CD162" s="42"/>
      <c r="CE162" s="42"/>
      <c r="CF162" s="42"/>
      <c r="CG162" s="42"/>
      <c r="CH162" s="42"/>
      <c r="CI162" s="42"/>
      <c r="CJ162" s="42"/>
      <c r="CK162" s="42"/>
      <c r="CL162" s="42"/>
      <c r="CM162" s="42"/>
      <c r="CN162" s="42"/>
      <c r="CO162" s="42"/>
      <c r="CP162" s="42"/>
      <c r="CQ162" s="42"/>
      <c r="CR162" s="42"/>
      <c r="CS162" s="42"/>
      <c r="CT162" s="42"/>
      <c r="CU162" s="42"/>
      <c r="CV162" s="42"/>
      <c r="CW162" s="42"/>
      <c r="CX162" s="42"/>
      <c r="CY162" s="42"/>
      <c r="CZ162" s="42"/>
      <c r="DA162" s="42"/>
      <c r="DB162" s="42"/>
      <c r="DC162" s="42"/>
      <c r="DD162" s="42"/>
      <c r="DE162" s="42"/>
      <c r="DF162" s="42"/>
      <c r="DG162" s="42"/>
      <c r="DH162" s="42"/>
      <c r="DI162" s="42"/>
      <c r="DJ162" s="42"/>
      <c r="DK162" s="42"/>
      <c r="DL162" s="42"/>
      <c r="DM162" s="42"/>
      <c r="DN162" s="42"/>
    </row>
    <row r="163" spans="2:118" s="207" customFormat="1" x14ac:dyDescent="0.25">
      <c r="C163" s="208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  <c r="AA163" s="209"/>
      <c r="AB163" s="209"/>
      <c r="AC163" s="209"/>
      <c r="AD163" s="209"/>
      <c r="AE163" s="209"/>
      <c r="AF163" s="209"/>
      <c r="AG163" s="209"/>
      <c r="AH163" s="209"/>
      <c r="AI163" s="209"/>
      <c r="AJ163" s="209"/>
      <c r="AK163" s="209"/>
      <c r="AL163" s="209"/>
      <c r="AM163" s="209"/>
      <c r="AN163" s="209"/>
      <c r="AO163" s="209"/>
      <c r="AP163" s="209"/>
      <c r="AQ163" s="209"/>
      <c r="AR163" s="209"/>
      <c r="AS163" s="209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  <c r="BO163" s="42"/>
      <c r="BP163" s="42"/>
      <c r="BQ163" s="42"/>
      <c r="BR163" s="42"/>
      <c r="BS163" s="42"/>
      <c r="BT163" s="42"/>
      <c r="BU163" s="42"/>
      <c r="BV163" s="42"/>
      <c r="BW163" s="42"/>
      <c r="BX163" s="42"/>
      <c r="BY163" s="42"/>
      <c r="BZ163" s="42"/>
      <c r="CA163" s="42"/>
      <c r="CB163" s="42"/>
      <c r="CC163" s="42"/>
      <c r="CD163" s="42"/>
      <c r="CE163" s="42"/>
      <c r="CF163" s="42"/>
      <c r="CG163" s="42"/>
      <c r="CH163" s="42"/>
      <c r="CI163" s="42"/>
      <c r="CJ163" s="42"/>
      <c r="CK163" s="42"/>
      <c r="CL163" s="42"/>
      <c r="CM163" s="42"/>
      <c r="CN163" s="42"/>
      <c r="CO163" s="42"/>
      <c r="CP163" s="42"/>
      <c r="CQ163" s="42"/>
      <c r="CR163" s="42"/>
      <c r="CS163" s="42"/>
      <c r="CT163" s="42"/>
      <c r="CU163" s="42"/>
      <c r="CV163" s="42"/>
      <c r="CW163" s="42"/>
      <c r="CX163" s="42"/>
      <c r="CY163" s="42"/>
      <c r="CZ163" s="42"/>
      <c r="DA163" s="42"/>
      <c r="DB163" s="42"/>
      <c r="DC163" s="42"/>
      <c r="DD163" s="42"/>
      <c r="DE163" s="42"/>
      <c r="DF163" s="42"/>
      <c r="DG163" s="42"/>
      <c r="DH163" s="42"/>
      <c r="DI163" s="42"/>
      <c r="DJ163" s="42"/>
      <c r="DK163" s="42"/>
      <c r="DL163" s="42"/>
      <c r="DM163" s="42"/>
      <c r="DN163" s="42"/>
    </row>
    <row r="164" spans="2:118" s="204" customFormat="1" x14ac:dyDescent="0.25">
      <c r="C164" s="205"/>
      <c r="K164" s="206"/>
      <c r="L164" s="206"/>
      <c r="M164" s="206"/>
      <c r="N164" s="206"/>
      <c r="O164" s="206"/>
      <c r="P164" s="206"/>
      <c r="Q164" s="206"/>
      <c r="R164" s="206"/>
      <c r="S164" s="206"/>
      <c r="T164" s="206"/>
      <c r="U164" s="206"/>
      <c r="V164" s="206"/>
      <c r="W164" s="206"/>
      <c r="X164" s="206"/>
      <c r="Y164" s="206"/>
      <c r="Z164" s="206"/>
      <c r="AA164" s="206"/>
      <c r="AB164" s="206"/>
      <c r="AC164" s="206"/>
      <c r="AD164" s="206"/>
      <c r="AE164" s="206"/>
      <c r="AF164" s="206"/>
      <c r="AG164" s="206"/>
      <c r="AH164" s="206"/>
      <c r="AI164" s="206"/>
      <c r="AJ164" s="206"/>
      <c r="AK164" s="206"/>
      <c r="AL164" s="206"/>
      <c r="AM164" s="206"/>
      <c r="AN164" s="206"/>
      <c r="AO164" s="206"/>
      <c r="AP164" s="206"/>
      <c r="AQ164" s="206"/>
      <c r="AR164" s="206"/>
      <c r="AS164" s="206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2"/>
      <c r="BM164" s="42"/>
      <c r="BN164" s="42"/>
      <c r="BO164" s="42"/>
      <c r="BP164" s="42"/>
      <c r="BQ164" s="42"/>
      <c r="BR164" s="42"/>
      <c r="BS164" s="42"/>
      <c r="BT164" s="42"/>
      <c r="BU164" s="42"/>
      <c r="BV164" s="42"/>
      <c r="BW164" s="42"/>
      <c r="BX164" s="42"/>
      <c r="BY164" s="42"/>
      <c r="BZ164" s="42"/>
      <c r="CA164" s="42"/>
      <c r="CB164" s="42"/>
      <c r="CC164" s="42"/>
      <c r="CD164" s="42"/>
      <c r="CE164" s="42"/>
      <c r="CF164" s="42"/>
      <c r="CG164" s="42"/>
      <c r="CH164" s="42"/>
      <c r="CI164" s="42"/>
      <c r="CJ164" s="42"/>
      <c r="CK164" s="42"/>
      <c r="CL164" s="42"/>
      <c r="CM164" s="42"/>
      <c r="CN164" s="42"/>
      <c r="CO164" s="42"/>
      <c r="CP164" s="42"/>
      <c r="CQ164" s="42"/>
      <c r="CR164" s="42"/>
      <c r="CS164" s="42"/>
      <c r="CT164" s="42"/>
      <c r="CU164" s="42"/>
      <c r="CV164" s="42"/>
      <c r="CW164" s="42"/>
      <c r="CX164" s="42"/>
      <c r="CY164" s="42"/>
      <c r="CZ164" s="42"/>
      <c r="DA164" s="42"/>
      <c r="DB164" s="42"/>
      <c r="DC164" s="42"/>
      <c r="DD164" s="42"/>
      <c r="DE164" s="42"/>
      <c r="DF164" s="42"/>
      <c r="DG164" s="42"/>
      <c r="DH164" s="42"/>
      <c r="DI164" s="42"/>
      <c r="DJ164" s="42"/>
      <c r="DK164" s="42"/>
      <c r="DL164" s="42"/>
      <c r="DM164" s="42"/>
      <c r="DN164" s="42"/>
    </row>
    <row r="165" spans="2:118" s="204" customFormat="1" x14ac:dyDescent="0.25">
      <c r="C165" s="205"/>
      <c r="K165" s="206"/>
      <c r="L165" s="206"/>
      <c r="M165" s="206"/>
      <c r="N165" s="206"/>
      <c r="O165" s="206"/>
      <c r="P165" s="206"/>
      <c r="Q165" s="206"/>
      <c r="R165" s="206"/>
      <c r="S165" s="206"/>
      <c r="T165" s="206"/>
      <c r="U165" s="206"/>
      <c r="V165" s="206"/>
      <c r="W165" s="206"/>
      <c r="X165" s="206"/>
      <c r="Y165" s="206"/>
      <c r="Z165" s="206"/>
      <c r="AA165" s="206"/>
      <c r="AB165" s="206"/>
      <c r="AC165" s="206"/>
      <c r="AD165" s="206"/>
      <c r="AE165" s="206"/>
      <c r="AF165" s="206"/>
      <c r="AG165" s="206"/>
      <c r="AH165" s="206"/>
      <c r="AI165" s="206"/>
      <c r="AJ165" s="206"/>
      <c r="AK165" s="206"/>
      <c r="AL165" s="206"/>
      <c r="AM165" s="206"/>
      <c r="AN165" s="206"/>
      <c r="AO165" s="206"/>
      <c r="AP165" s="206"/>
      <c r="AQ165" s="206"/>
      <c r="AR165" s="206"/>
      <c r="AS165" s="206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2"/>
      <c r="BM165" s="42"/>
      <c r="BN165" s="42"/>
      <c r="BO165" s="42"/>
      <c r="BP165" s="42"/>
      <c r="BQ165" s="42"/>
      <c r="BR165" s="42"/>
      <c r="BS165" s="42"/>
      <c r="BT165" s="42"/>
      <c r="BU165" s="42"/>
      <c r="BV165" s="42"/>
      <c r="BW165" s="42"/>
      <c r="BX165" s="42"/>
      <c r="BY165" s="42"/>
      <c r="BZ165" s="42"/>
      <c r="CA165" s="42"/>
      <c r="CB165" s="42"/>
      <c r="CC165" s="42"/>
      <c r="CD165" s="42"/>
      <c r="CE165" s="42"/>
      <c r="CF165" s="42"/>
      <c r="CG165" s="42"/>
      <c r="CH165" s="42"/>
      <c r="CI165" s="42"/>
      <c r="CJ165" s="42"/>
      <c r="CK165" s="42"/>
      <c r="CL165" s="42"/>
      <c r="CM165" s="42"/>
      <c r="CN165" s="42"/>
      <c r="CO165" s="42"/>
      <c r="CP165" s="42"/>
      <c r="CQ165" s="42"/>
      <c r="CR165" s="42"/>
      <c r="CS165" s="42"/>
      <c r="CT165" s="42"/>
      <c r="CU165" s="42"/>
      <c r="CV165" s="42"/>
      <c r="CW165" s="42"/>
      <c r="CX165" s="42"/>
      <c r="CY165" s="42"/>
      <c r="CZ165" s="42"/>
      <c r="DA165" s="42"/>
      <c r="DB165" s="42"/>
      <c r="DC165" s="42"/>
      <c r="DD165" s="42"/>
      <c r="DE165" s="42"/>
      <c r="DF165" s="42"/>
      <c r="DG165" s="42"/>
      <c r="DH165" s="42"/>
      <c r="DI165" s="42"/>
      <c r="DJ165" s="42"/>
      <c r="DK165" s="42"/>
      <c r="DL165" s="42"/>
      <c r="DM165" s="42"/>
      <c r="DN165" s="42"/>
    </row>
    <row r="166" spans="2:118" s="207" customFormat="1" x14ac:dyDescent="0.25">
      <c r="C166" s="208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  <c r="X166" s="209"/>
      <c r="Y166" s="209"/>
      <c r="Z166" s="209"/>
      <c r="AA166" s="209"/>
      <c r="AB166" s="209"/>
      <c r="AC166" s="209"/>
      <c r="AD166" s="209"/>
      <c r="AE166" s="209"/>
      <c r="AF166" s="209"/>
      <c r="AG166" s="209"/>
      <c r="AH166" s="209"/>
      <c r="AI166" s="209"/>
      <c r="AJ166" s="209"/>
      <c r="AK166" s="209"/>
      <c r="AL166" s="209"/>
      <c r="AM166" s="209"/>
      <c r="AN166" s="209"/>
      <c r="AO166" s="209"/>
      <c r="AP166" s="209"/>
      <c r="AQ166" s="209"/>
      <c r="AR166" s="209"/>
      <c r="AS166" s="209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/>
      <c r="BN166" s="42"/>
      <c r="BO166" s="42"/>
      <c r="BP166" s="42"/>
      <c r="BQ166" s="42"/>
      <c r="BR166" s="42"/>
      <c r="BS166" s="42"/>
      <c r="BT166" s="42"/>
      <c r="BU166" s="42"/>
      <c r="BV166" s="42"/>
      <c r="BW166" s="42"/>
      <c r="BX166" s="42"/>
      <c r="BY166" s="42"/>
      <c r="BZ166" s="42"/>
      <c r="CA166" s="42"/>
      <c r="CB166" s="42"/>
      <c r="CC166" s="42"/>
      <c r="CD166" s="42"/>
      <c r="CE166" s="42"/>
      <c r="CF166" s="42"/>
      <c r="CG166" s="42"/>
      <c r="CH166" s="42"/>
      <c r="CI166" s="42"/>
      <c r="CJ166" s="42"/>
      <c r="CK166" s="42"/>
      <c r="CL166" s="42"/>
      <c r="CM166" s="42"/>
      <c r="CN166" s="42"/>
      <c r="CO166" s="42"/>
      <c r="CP166" s="42"/>
      <c r="CQ166" s="42"/>
      <c r="CR166" s="42"/>
      <c r="CS166" s="42"/>
      <c r="CT166" s="42"/>
      <c r="CU166" s="42"/>
      <c r="CV166" s="42"/>
      <c r="CW166" s="42"/>
      <c r="CX166" s="42"/>
      <c r="CY166" s="42"/>
      <c r="CZ166" s="42"/>
      <c r="DA166" s="42"/>
      <c r="DB166" s="42"/>
      <c r="DC166" s="42"/>
      <c r="DD166" s="42"/>
      <c r="DE166" s="42"/>
      <c r="DF166" s="42"/>
      <c r="DG166" s="42"/>
      <c r="DH166" s="42"/>
      <c r="DI166" s="42"/>
      <c r="DJ166" s="42"/>
      <c r="DK166" s="42"/>
      <c r="DL166" s="42"/>
      <c r="DM166" s="42"/>
      <c r="DN166" s="42"/>
    </row>
    <row r="167" spans="2:118" s="207" customFormat="1" x14ac:dyDescent="0.25">
      <c r="C167" s="208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  <c r="X167" s="209"/>
      <c r="Y167" s="209"/>
      <c r="Z167" s="209"/>
      <c r="AA167" s="209"/>
      <c r="AB167" s="209"/>
      <c r="AC167" s="209"/>
      <c r="AD167" s="209"/>
      <c r="AE167" s="209"/>
      <c r="AF167" s="209"/>
      <c r="AG167" s="209"/>
      <c r="AH167" s="209"/>
      <c r="AI167" s="209"/>
      <c r="AJ167" s="209"/>
      <c r="AK167" s="209"/>
      <c r="AL167" s="209"/>
      <c r="AM167" s="209"/>
      <c r="AN167" s="209"/>
      <c r="AO167" s="209"/>
      <c r="AP167" s="209"/>
      <c r="AQ167" s="209"/>
      <c r="AR167" s="209"/>
      <c r="AS167" s="209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/>
      <c r="BO167" s="42"/>
      <c r="BP167" s="42"/>
      <c r="BQ167" s="42"/>
      <c r="BR167" s="42"/>
      <c r="BS167" s="42"/>
      <c r="BT167" s="42"/>
      <c r="BU167" s="42"/>
      <c r="BV167" s="42"/>
      <c r="BW167" s="42"/>
      <c r="BX167" s="42"/>
      <c r="BY167" s="42"/>
      <c r="BZ167" s="42"/>
      <c r="CA167" s="42"/>
      <c r="CB167" s="42"/>
      <c r="CC167" s="42"/>
      <c r="CD167" s="42"/>
      <c r="CE167" s="42"/>
      <c r="CF167" s="42"/>
      <c r="CG167" s="42"/>
      <c r="CH167" s="42"/>
      <c r="CI167" s="42"/>
      <c r="CJ167" s="42"/>
      <c r="CK167" s="42"/>
      <c r="CL167" s="42"/>
      <c r="CM167" s="42"/>
      <c r="CN167" s="42"/>
      <c r="CO167" s="42"/>
      <c r="CP167" s="42"/>
      <c r="CQ167" s="42"/>
      <c r="CR167" s="42"/>
      <c r="CS167" s="42"/>
      <c r="CT167" s="42"/>
      <c r="CU167" s="42"/>
      <c r="CV167" s="42"/>
      <c r="CW167" s="42"/>
      <c r="CX167" s="42"/>
      <c r="CY167" s="42"/>
      <c r="CZ167" s="42"/>
      <c r="DA167" s="42"/>
      <c r="DB167" s="42"/>
      <c r="DC167" s="42"/>
      <c r="DD167" s="42"/>
      <c r="DE167" s="42"/>
      <c r="DF167" s="42"/>
      <c r="DG167" s="42"/>
      <c r="DH167" s="42"/>
      <c r="DI167" s="42"/>
      <c r="DJ167" s="42"/>
      <c r="DK167" s="42"/>
      <c r="DL167" s="42"/>
      <c r="DM167" s="42"/>
      <c r="DN167" s="42"/>
    </row>
    <row r="168" spans="2:118" s="207" customFormat="1" x14ac:dyDescent="0.25">
      <c r="C168" s="208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  <c r="X168" s="209"/>
      <c r="Y168" s="209"/>
      <c r="Z168" s="209"/>
      <c r="AA168" s="209"/>
      <c r="AB168" s="209"/>
      <c r="AC168" s="209"/>
      <c r="AD168" s="209"/>
      <c r="AE168" s="209"/>
      <c r="AF168" s="209"/>
      <c r="AG168" s="209"/>
      <c r="AH168" s="209"/>
      <c r="AI168" s="209"/>
      <c r="AJ168" s="209"/>
      <c r="AK168" s="209"/>
      <c r="AL168" s="209"/>
      <c r="AM168" s="209"/>
      <c r="AN168" s="209"/>
      <c r="AO168" s="209"/>
      <c r="AP168" s="209"/>
      <c r="AQ168" s="209"/>
      <c r="AR168" s="209"/>
      <c r="AS168" s="209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  <c r="BO168" s="42"/>
      <c r="BP168" s="42"/>
      <c r="BQ168" s="42"/>
      <c r="BR168" s="42"/>
      <c r="BS168" s="42"/>
      <c r="BT168" s="42"/>
      <c r="BU168" s="42"/>
      <c r="BV168" s="42"/>
      <c r="BW168" s="42"/>
      <c r="BX168" s="42"/>
      <c r="BY168" s="42"/>
      <c r="BZ168" s="42"/>
      <c r="CA168" s="42"/>
      <c r="CB168" s="42"/>
      <c r="CC168" s="42"/>
      <c r="CD168" s="42"/>
      <c r="CE168" s="42"/>
      <c r="CF168" s="42"/>
      <c r="CG168" s="42"/>
      <c r="CH168" s="42"/>
      <c r="CI168" s="42"/>
      <c r="CJ168" s="42"/>
      <c r="CK168" s="42"/>
      <c r="CL168" s="42"/>
      <c r="CM168" s="42"/>
      <c r="CN168" s="42"/>
      <c r="CO168" s="42"/>
      <c r="CP168" s="42"/>
      <c r="CQ168" s="42"/>
      <c r="CR168" s="42"/>
      <c r="CS168" s="42"/>
      <c r="CT168" s="42"/>
      <c r="CU168" s="42"/>
      <c r="CV168" s="42"/>
      <c r="CW168" s="42"/>
      <c r="CX168" s="42"/>
      <c r="CY168" s="42"/>
      <c r="CZ168" s="42"/>
      <c r="DA168" s="42"/>
      <c r="DB168" s="42"/>
      <c r="DC168" s="42"/>
      <c r="DD168" s="42"/>
      <c r="DE168" s="42"/>
      <c r="DF168" s="42"/>
      <c r="DG168" s="42"/>
      <c r="DH168" s="42"/>
      <c r="DI168" s="42"/>
      <c r="DJ168" s="42"/>
      <c r="DK168" s="42"/>
      <c r="DL168" s="42"/>
      <c r="DM168" s="42"/>
      <c r="DN168" s="42"/>
    </row>
    <row r="169" spans="2:118" s="207" customFormat="1" x14ac:dyDescent="0.25">
      <c r="C169" s="208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  <c r="X169" s="209"/>
      <c r="Y169" s="209"/>
      <c r="Z169" s="209"/>
      <c r="AA169" s="209"/>
      <c r="AB169" s="209"/>
      <c r="AC169" s="209"/>
      <c r="AD169" s="209"/>
      <c r="AE169" s="209"/>
      <c r="AF169" s="209"/>
      <c r="AG169" s="209"/>
      <c r="AH169" s="209"/>
      <c r="AI169" s="209"/>
      <c r="AJ169" s="209"/>
      <c r="AK169" s="209"/>
      <c r="AL169" s="209"/>
      <c r="AM169" s="209"/>
      <c r="AN169" s="209"/>
      <c r="AO169" s="209"/>
      <c r="AP169" s="209"/>
      <c r="AQ169" s="209"/>
      <c r="AR169" s="209"/>
      <c r="AS169" s="209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  <c r="BO169" s="42"/>
      <c r="BP169" s="42"/>
      <c r="BQ169" s="42"/>
      <c r="BR169" s="42"/>
      <c r="BS169" s="42"/>
      <c r="BT169" s="42"/>
      <c r="BU169" s="42"/>
      <c r="BV169" s="42"/>
      <c r="BW169" s="42"/>
      <c r="BX169" s="42"/>
      <c r="BY169" s="42"/>
      <c r="BZ169" s="42"/>
      <c r="CA169" s="42"/>
      <c r="CB169" s="42"/>
      <c r="CC169" s="42"/>
      <c r="CD169" s="42"/>
      <c r="CE169" s="42"/>
      <c r="CF169" s="42"/>
      <c r="CG169" s="42"/>
      <c r="CH169" s="42"/>
      <c r="CI169" s="42"/>
      <c r="CJ169" s="42"/>
      <c r="CK169" s="42"/>
      <c r="CL169" s="42"/>
      <c r="CM169" s="42"/>
      <c r="CN169" s="42"/>
      <c r="CO169" s="42"/>
      <c r="CP169" s="42"/>
      <c r="CQ169" s="42"/>
      <c r="CR169" s="42"/>
      <c r="CS169" s="42"/>
      <c r="CT169" s="42"/>
      <c r="CU169" s="42"/>
      <c r="CV169" s="42"/>
      <c r="CW169" s="42"/>
      <c r="CX169" s="42"/>
      <c r="CY169" s="42"/>
      <c r="CZ169" s="42"/>
      <c r="DA169" s="42"/>
      <c r="DB169" s="42"/>
      <c r="DC169" s="42"/>
      <c r="DD169" s="42"/>
      <c r="DE169" s="42"/>
      <c r="DF169" s="42"/>
      <c r="DG169" s="42"/>
      <c r="DH169" s="42"/>
      <c r="DI169" s="42"/>
      <c r="DJ169" s="42"/>
      <c r="DK169" s="42"/>
      <c r="DL169" s="42"/>
      <c r="DM169" s="42"/>
      <c r="DN169" s="42"/>
    </row>
    <row r="170" spans="2:118" s="207" customFormat="1" x14ac:dyDescent="0.25">
      <c r="C170" s="208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  <c r="X170" s="209"/>
      <c r="Y170" s="209"/>
      <c r="Z170" s="209"/>
      <c r="AA170" s="209"/>
      <c r="AB170" s="209"/>
      <c r="AC170" s="209"/>
      <c r="AD170" s="209"/>
      <c r="AE170" s="209"/>
      <c r="AF170" s="209"/>
      <c r="AG170" s="209"/>
      <c r="AH170" s="209"/>
      <c r="AI170" s="209"/>
      <c r="AJ170" s="209"/>
      <c r="AK170" s="209"/>
      <c r="AL170" s="209"/>
      <c r="AM170" s="209"/>
      <c r="AN170" s="209"/>
      <c r="AO170" s="209"/>
      <c r="AP170" s="209"/>
      <c r="AQ170" s="209"/>
      <c r="AR170" s="209"/>
      <c r="AS170" s="209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  <c r="BO170" s="42"/>
      <c r="BP170" s="42"/>
      <c r="BQ170" s="42"/>
      <c r="BR170" s="42"/>
      <c r="BS170" s="42"/>
      <c r="BT170" s="42"/>
      <c r="BU170" s="42"/>
      <c r="BV170" s="42"/>
      <c r="BW170" s="42"/>
      <c r="BX170" s="42"/>
      <c r="BY170" s="42"/>
      <c r="BZ170" s="42"/>
      <c r="CA170" s="42"/>
      <c r="CB170" s="42"/>
      <c r="CC170" s="42"/>
      <c r="CD170" s="42"/>
      <c r="CE170" s="42"/>
      <c r="CF170" s="42"/>
      <c r="CG170" s="42"/>
      <c r="CH170" s="42"/>
      <c r="CI170" s="42"/>
      <c r="CJ170" s="42"/>
      <c r="CK170" s="42"/>
      <c r="CL170" s="42"/>
      <c r="CM170" s="42"/>
      <c r="CN170" s="42"/>
      <c r="CO170" s="42"/>
      <c r="CP170" s="42"/>
      <c r="CQ170" s="42"/>
      <c r="CR170" s="42"/>
      <c r="CS170" s="42"/>
      <c r="CT170" s="42"/>
      <c r="CU170" s="42"/>
      <c r="CV170" s="42"/>
      <c r="CW170" s="42"/>
      <c r="CX170" s="42"/>
      <c r="CY170" s="42"/>
      <c r="CZ170" s="42"/>
      <c r="DA170" s="42"/>
      <c r="DB170" s="42"/>
      <c r="DC170" s="42"/>
      <c r="DD170" s="42"/>
      <c r="DE170" s="42"/>
      <c r="DF170" s="42"/>
      <c r="DG170" s="42"/>
      <c r="DH170" s="42"/>
      <c r="DI170" s="42"/>
      <c r="DJ170" s="42"/>
      <c r="DK170" s="42"/>
      <c r="DL170" s="42"/>
      <c r="DM170" s="42"/>
      <c r="DN170" s="42"/>
    </row>
  </sheetData>
  <autoFilter ref="A1:AS159" xr:uid="{7FE60582-8E84-4795-90E6-91E6C5CD9C07}"/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U9"/>
  <sheetViews>
    <sheetView topLeftCell="F1" zoomScale="85" zoomScaleNormal="85" workbookViewId="0">
      <pane ySplit="1" topLeftCell="A2" activePane="bottomLeft" state="frozen"/>
      <selection pane="bottomLeft" activeCell="A4" sqref="A4:AU9"/>
    </sheetView>
  </sheetViews>
  <sheetFormatPr defaultColWidth="8.85546875" defaultRowHeight="15" x14ac:dyDescent="0.25"/>
  <cols>
    <col min="1" max="1" width="11" bestFit="1" customWidth="1"/>
    <col min="2" max="2" width="40.140625" bestFit="1" customWidth="1"/>
    <col min="3" max="3" width="16.85546875" bestFit="1" customWidth="1"/>
    <col min="4" max="4" width="31.28515625" customWidth="1"/>
    <col min="5" max="5" width="30.7109375" bestFit="1" customWidth="1"/>
    <col min="6" max="6" width="12.42578125" customWidth="1"/>
    <col min="12" max="12" width="9.7109375" customWidth="1"/>
    <col min="13" max="39" width="6.42578125" bestFit="1" customWidth="1"/>
    <col min="40" max="45" width="7.42578125" bestFit="1" customWidth="1"/>
  </cols>
  <sheetData>
    <row r="1" spans="1:47" ht="45" x14ac:dyDescent="0.25">
      <c r="A1" s="197" t="s">
        <v>13</v>
      </c>
      <c r="B1" s="198" t="s">
        <v>10</v>
      </c>
      <c r="C1" s="196" t="s">
        <v>45</v>
      </c>
      <c r="D1" s="196" t="s">
        <v>46</v>
      </c>
      <c r="E1" s="199" t="s">
        <v>18</v>
      </c>
      <c r="F1" s="200" t="s">
        <v>35</v>
      </c>
      <c r="G1" s="201" t="s">
        <v>3</v>
      </c>
      <c r="H1" s="201" t="s">
        <v>42</v>
      </c>
      <c r="I1" s="197" t="s">
        <v>29</v>
      </c>
      <c r="J1" s="196" t="s">
        <v>30</v>
      </c>
      <c r="K1" s="196" t="s">
        <v>31</v>
      </c>
      <c r="L1" s="202" t="s">
        <v>32</v>
      </c>
      <c r="M1" s="197">
        <v>2021</v>
      </c>
      <c r="N1" s="196">
        <v>2022</v>
      </c>
      <c r="O1" s="197">
        <v>2023</v>
      </c>
      <c r="P1" s="196">
        <v>2024</v>
      </c>
      <c r="Q1" s="197">
        <v>2025</v>
      </c>
      <c r="R1" s="196">
        <v>2026</v>
      </c>
      <c r="S1" s="197">
        <v>2027</v>
      </c>
      <c r="T1" s="196">
        <v>2028</v>
      </c>
      <c r="U1" s="197">
        <v>2029</v>
      </c>
      <c r="V1" s="196">
        <v>2030</v>
      </c>
      <c r="W1" s="197">
        <v>2031</v>
      </c>
      <c r="X1" s="196">
        <v>2032</v>
      </c>
      <c r="Y1" s="197">
        <v>2033</v>
      </c>
      <c r="Z1" s="196">
        <v>2034</v>
      </c>
      <c r="AA1" s="197">
        <v>2035</v>
      </c>
      <c r="AB1" s="196">
        <v>2036</v>
      </c>
      <c r="AC1" s="197">
        <v>2037</v>
      </c>
      <c r="AD1" s="196">
        <v>2038</v>
      </c>
      <c r="AE1" s="197">
        <v>2039</v>
      </c>
      <c r="AF1" s="196">
        <v>2040</v>
      </c>
      <c r="AG1" s="197">
        <v>2041</v>
      </c>
      <c r="AH1" s="196">
        <v>2042</v>
      </c>
      <c r="AI1" s="197">
        <v>2043</v>
      </c>
      <c r="AJ1" s="196">
        <v>2044</v>
      </c>
      <c r="AK1" s="197">
        <v>2045</v>
      </c>
      <c r="AL1" s="196">
        <v>2046</v>
      </c>
      <c r="AM1" s="197">
        <v>2047</v>
      </c>
      <c r="AN1" s="196">
        <v>2048</v>
      </c>
      <c r="AO1" s="197">
        <v>2049</v>
      </c>
      <c r="AP1" s="196">
        <v>2050</v>
      </c>
      <c r="AQ1" s="197">
        <v>2051</v>
      </c>
      <c r="AR1" s="196">
        <v>2052</v>
      </c>
      <c r="AS1" s="197">
        <v>2053</v>
      </c>
      <c r="AT1" s="197">
        <v>2054</v>
      </c>
      <c r="AU1" s="196">
        <v>2055</v>
      </c>
    </row>
    <row r="2" spans="1:47" x14ac:dyDescent="0.25">
      <c r="A2" s="216" t="s">
        <v>6</v>
      </c>
      <c r="B2" s="216" t="s">
        <v>90</v>
      </c>
      <c r="C2" s="215" t="s">
        <v>92</v>
      </c>
      <c r="D2" s="214" t="s">
        <v>91</v>
      </c>
      <c r="E2" s="216"/>
      <c r="F2" s="216" t="s">
        <v>7</v>
      </c>
      <c r="G2" s="216" t="s">
        <v>50</v>
      </c>
      <c r="H2" s="216" t="s">
        <v>51</v>
      </c>
      <c r="I2" s="216"/>
      <c r="J2" s="216"/>
      <c r="K2" s="216"/>
      <c r="L2" s="216"/>
      <c r="M2" s="215">
        <v>9.7000000000000003E-2</v>
      </c>
      <c r="N2" s="215">
        <v>0.102465</v>
      </c>
      <c r="O2" s="215">
        <v>4.9399999999999999E-2</v>
      </c>
      <c r="P2" s="215">
        <v>0.1013</v>
      </c>
      <c r="Q2" s="215">
        <v>0.1013</v>
      </c>
      <c r="R2" s="215">
        <v>0.1013</v>
      </c>
      <c r="S2" s="215">
        <v>0.1013</v>
      </c>
      <c r="T2" s="215">
        <v>0.1013</v>
      </c>
      <c r="U2" s="215">
        <v>0.1013</v>
      </c>
      <c r="V2" s="215">
        <v>0.1013</v>
      </c>
      <c r="W2" s="215">
        <v>0.1013</v>
      </c>
      <c r="X2" s="215">
        <v>0.1013</v>
      </c>
      <c r="Y2" s="215">
        <v>0.1013</v>
      </c>
      <c r="Z2" s="215">
        <v>0.1013</v>
      </c>
      <c r="AA2" s="215">
        <v>0.1013</v>
      </c>
      <c r="AB2" s="215">
        <v>0.1013</v>
      </c>
      <c r="AC2" s="215">
        <v>0.1013</v>
      </c>
      <c r="AD2" s="215">
        <v>0.1013</v>
      </c>
      <c r="AE2" s="215">
        <v>0.1013</v>
      </c>
      <c r="AF2" s="215">
        <v>0.1013</v>
      </c>
      <c r="AG2" s="215">
        <v>0.1013</v>
      </c>
      <c r="AH2" s="215">
        <v>0.1013</v>
      </c>
      <c r="AI2" s="215">
        <v>0.1013</v>
      </c>
      <c r="AJ2" s="215">
        <v>0.1013</v>
      </c>
      <c r="AK2" s="215">
        <v>0.1013</v>
      </c>
      <c r="AL2" s="215">
        <v>0.1013</v>
      </c>
      <c r="AM2" s="215">
        <v>0.1013</v>
      </c>
      <c r="AN2" s="215">
        <v>0.1013</v>
      </c>
      <c r="AO2" s="215">
        <v>0.1013</v>
      </c>
      <c r="AP2" s="215">
        <v>0.1013</v>
      </c>
      <c r="AQ2" s="215">
        <v>0.1013</v>
      </c>
      <c r="AR2" s="215">
        <v>0.1013</v>
      </c>
      <c r="AS2" s="215">
        <v>0.1013</v>
      </c>
      <c r="AT2" s="215">
        <v>0.1013</v>
      </c>
      <c r="AU2" s="215">
        <v>0.1013</v>
      </c>
    </row>
    <row r="3" spans="1:47" x14ac:dyDescent="0.25">
      <c r="A3" s="216" t="s">
        <v>6</v>
      </c>
      <c r="B3" s="216" t="s">
        <v>90</v>
      </c>
      <c r="C3" s="215" t="s">
        <v>93</v>
      </c>
      <c r="D3" s="214" t="s">
        <v>91</v>
      </c>
      <c r="E3" s="215"/>
      <c r="F3" s="216" t="s">
        <v>7</v>
      </c>
      <c r="G3" s="216" t="s">
        <v>50</v>
      </c>
      <c r="H3" s="216" t="s">
        <v>51</v>
      </c>
      <c r="I3" s="215"/>
      <c r="J3" s="215"/>
      <c r="K3" s="215"/>
      <c r="L3" s="215"/>
      <c r="M3" s="215">
        <v>7.5576699999999998E-3</v>
      </c>
      <c r="N3" s="217">
        <v>0</v>
      </c>
      <c r="O3" s="215">
        <v>3.8117199999999997E-2</v>
      </c>
      <c r="P3" s="215">
        <v>3.7870599999999997E-2</v>
      </c>
      <c r="Q3" s="215">
        <v>3.7623799999999999E-2</v>
      </c>
      <c r="R3" s="215">
        <v>3.7376899999999998E-2</v>
      </c>
      <c r="S3" s="215">
        <v>3.71299E-2</v>
      </c>
      <c r="T3" s="215">
        <v>3.68828E-2</v>
      </c>
      <c r="U3" s="215">
        <v>3.6635500000000001E-2</v>
      </c>
      <c r="V3" s="215">
        <v>3.6388199999999996E-2</v>
      </c>
      <c r="W3" s="215">
        <v>3.6140699999999998E-2</v>
      </c>
      <c r="X3" s="215">
        <v>3.5893099999999997E-2</v>
      </c>
      <c r="Y3" s="215">
        <v>3.5645299999999998E-2</v>
      </c>
      <c r="Z3" s="215">
        <v>3.5397399999999996E-2</v>
      </c>
      <c r="AA3" s="215">
        <v>3.5149399999999997E-2</v>
      </c>
      <c r="AB3" s="215">
        <v>3.4901299999999996E-2</v>
      </c>
      <c r="AC3" s="215">
        <v>3.4653099999999999E-2</v>
      </c>
      <c r="AD3" s="215">
        <v>3.4404699999999996E-2</v>
      </c>
      <c r="AE3" s="215">
        <v>3.4156199999999998E-2</v>
      </c>
      <c r="AF3" s="215">
        <v>3.3907599999999996E-2</v>
      </c>
      <c r="AG3" s="215">
        <v>3.3658899999999999E-2</v>
      </c>
      <c r="AH3" s="215">
        <v>3.3409999999999995E-2</v>
      </c>
      <c r="AI3" s="215">
        <v>3.3161099999999999E-2</v>
      </c>
      <c r="AJ3" s="215">
        <v>3.2911999999999997E-2</v>
      </c>
      <c r="AK3" s="215">
        <v>3.2662699999999996E-2</v>
      </c>
      <c r="AL3" s="215">
        <v>3.2413399999999995E-2</v>
      </c>
      <c r="AM3" s="215">
        <v>3.2163899999999995E-2</v>
      </c>
      <c r="AN3" s="215">
        <v>3.19143E-2</v>
      </c>
      <c r="AO3" s="215">
        <v>3.1664600000000001E-2</v>
      </c>
      <c r="AP3" s="215">
        <v>3.1414699999999997E-2</v>
      </c>
      <c r="AQ3" s="215">
        <v>3.1164799999999999E-2</v>
      </c>
      <c r="AR3" s="215">
        <v>3.0914699999999996E-2</v>
      </c>
      <c r="AS3" s="215">
        <v>3.0664400000000001E-2</v>
      </c>
      <c r="AT3" s="215">
        <v>3.0414099999999999E-2</v>
      </c>
      <c r="AU3" s="215">
        <v>3.0163599999999999E-2</v>
      </c>
    </row>
    <row r="4" spans="1:47" x14ac:dyDescent="0.25">
      <c r="A4" s="218"/>
      <c r="B4" s="218"/>
      <c r="C4" s="219"/>
      <c r="D4" s="220"/>
      <c r="E4" s="218"/>
      <c r="F4" s="218"/>
      <c r="G4" s="218"/>
      <c r="H4" s="218"/>
      <c r="I4" s="218"/>
      <c r="J4" s="218"/>
      <c r="K4" s="218"/>
      <c r="L4" s="218"/>
      <c r="M4" s="221"/>
      <c r="N4" s="221"/>
      <c r="O4" s="221"/>
      <c r="P4" s="221"/>
      <c r="Q4" s="221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219"/>
      <c r="AU4" s="219"/>
    </row>
    <row r="5" spans="1:47" x14ac:dyDescent="0.25">
      <c r="A5" s="218"/>
      <c r="B5" s="218"/>
      <c r="C5" s="219"/>
      <c r="D5" s="220"/>
      <c r="E5" s="219"/>
      <c r="F5" s="218"/>
      <c r="G5" s="218"/>
      <c r="H5" s="218"/>
      <c r="I5" s="219"/>
      <c r="J5" s="219"/>
      <c r="K5" s="219"/>
      <c r="L5" s="219"/>
      <c r="M5" s="221"/>
      <c r="N5" s="221"/>
      <c r="O5" s="221"/>
      <c r="P5" s="221"/>
      <c r="Q5" s="221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</row>
    <row r="6" spans="1:47" x14ac:dyDescent="0.25">
      <c r="A6" s="218"/>
      <c r="B6" s="218"/>
      <c r="C6" s="219"/>
      <c r="D6" s="220"/>
      <c r="E6" s="218"/>
      <c r="F6" s="218"/>
      <c r="G6" s="218"/>
      <c r="H6" s="218"/>
      <c r="I6" s="218"/>
      <c r="J6" s="218"/>
      <c r="K6" s="218"/>
      <c r="L6" s="218"/>
      <c r="M6" s="221"/>
      <c r="N6" s="221"/>
      <c r="O6" s="221"/>
      <c r="P6" s="221"/>
      <c r="Q6" s="221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</row>
    <row r="7" spans="1:47" x14ac:dyDescent="0.25">
      <c r="A7" s="218"/>
      <c r="B7" s="218"/>
      <c r="C7" s="219"/>
      <c r="D7" s="220"/>
      <c r="E7" s="219"/>
      <c r="F7" s="218"/>
      <c r="G7" s="218"/>
      <c r="H7" s="218"/>
      <c r="I7" s="219"/>
      <c r="J7" s="219"/>
      <c r="K7" s="219"/>
      <c r="L7" s="219"/>
      <c r="M7" s="221"/>
      <c r="N7" s="221"/>
      <c r="O7" s="221"/>
      <c r="P7" s="221"/>
      <c r="Q7" s="221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  <c r="AD7" s="219"/>
      <c r="AE7" s="219"/>
      <c r="AF7" s="219"/>
      <c r="AG7" s="219"/>
      <c r="AH7" s="219"/>
      <c r="AI7" s="219"/>
      <c r="AJ7" s="219"/>
      <c r="AK7" s="219"/>
      <c r="AL7" s="219"/>
      <c r="AM7" s="219"/>
      <c r="AN7" s="219"/>
      <c r="AO7" s="219"/>
      <c r="AP7" s="219"/>
      <c r="AQ7" s="219"/>
      <c r="AR7" s="219"/>
      <c r="AS7" s="219"/>
      <c r="AT7" s="219"/>
      <c r="AU7" s="219"/>
    </row>
    <row r="8" spans="1:47" x14ac:dyDescent="0.25">
      <c r="A8" s="216"/>
      <c r="B8" s="216"/>
      <c r="C8" s="215"/>
      <c r="D8" s="214"/>
      <c r="E8" s="216"/>
      <c r="F8" s="216"/>
      <c r="G8" s="216"/>
      <c r="H8" s="216"/>
      <c r="I8" s="216"/>
      <c r="J8" s="216"/>
      <c r="K8" s="216"/>
      <c r="L8" s="216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15"/>
      <c r="AB8" s="215"/>
      <c r="AC8" s="215"/>
      <c r="AD8" s="215"/>
      <c r="AE8" s="215"/>
      <c r="AF8" s="215"/>
      <c r="AG8" s="215"/>
      <c r="AH8" s="215"/>
      <c r="AI8" s="215"/>
      <c r="AJ8" s="215"/>
      <c r="AK8" s="215"/>
      <c r="AL8" s="215"/>
      <c r="AM8" s="215"/>
      <c r="AN8" s="215"/>
      <c r="AO8" s="215"/>
      <c r="AP8" s="215"/>
      <c r="AQ8" s="215"/>
      <c r="AR8" s="215"/>
      <c r="AS8" s="215"/>
      <c r="AT8" s="215"/>
      <c r="AU8" s="215"/>
    </row>
    <row r="9" spans="1:47" x14ac:dyDescent="0.25">
      <c r="A9" s="216"/>
      <c r="B9" s="216"/>
      <c r="C9" s="215"/>
      <c r="D9" s="214"/>
      <c r="E9" s="215"/>
      <c r="F9" s="216"/>
      <c r="G9" s="216"/>
      <c r="H9" s="216"/>
      <c r="I9" s="215"/>
      <c r="J9" s="215"/>
      <c r="K9" s="215"/>
      <c r="L9" s="215"/>
      <c r="M9" s="215"/>
      <c r="N9" s="217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  <c r="AA9" s="215"/>
      <c r="AB9" s="215"/>
      <c r="AC9" s="215"/>
      <c r="AD9" s="215"/>
      <c r="AE9" s="215"/>
      <c r="AF9" s="215"/>
      <c r="AG9" s="215"/>
      <c r="AH9" s="215"/>
      <c r="AI9" s="215"/>
      <c r="AJ9" s="215"/>
      <c r="AK9" s="215"/>
      <c r="AL9" s="215"/>
      <c r="AM9" s="215"/>
      <c r="AN9" s="215"/>
      <c r="AO9" s="215"/>
      <c r="AP9" s="215"/>
      <c r="AQ9" s="215"/>
      <c r="AR9" s="215"/>
      <c r="AS9" s="215"/>
      <c r="AT9" s="215"/>
      <c r="AU9" s="2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9F48-CCC1-4C21-8CDC-93B44C34B376}">
  <dimension ref="A1:AS1"/>
  <sheetViews>
    <sheetView zoomScaleNormal="100" workbookViewId="0">
      <selection activeCell="G19" sqref="G19"/>
    </sheetView>
  </sheetViews>
  <sheetFormatPr defaultColWidth="8.85546875" defaultRowHeight="15" x14ac:dyDescent="0.25"/>
  <cols>
    <col min="1" max="1" width="11.5703125" bestFit="1" customWidth="1"/>
    <col min="2" max="2" width="23.42578125" bestFit="1" customWidth="1"/>
    <col min="3" max="3" width="10.5703125" bestFit="1" customWidth="1"/>
    <col min="4" max="4" width="13" bestFit="1" customWidth="1"/>
    <col min="5" max="5" width="20.42578125" bestFit="1" customWidth="1"/>
    <col min="6" max="6" width="10.28515625" bestFit="1" customWidth="1"/>
    <col min="7" max="7" width="13" bestFit="1" customWidth="1"/>
    <col min="8" max="8" width="10.5703125" bestFit="1" customWidth="1"/>
    <col min="9" max="9" width="7.42578125" bestFit="1" customWidth="1"/>
    <col min="10" max="11" width="10.5703125" bestFit="1" customWidth="1"/>
    <col min="12" max="12" width="10.28515625" bestFit="1" customWidth="1"/>
    <col min="13" max="14" width="11.42578125" bestFit="1" customWidth="1"/>
    <col min="15" max="15" width="10.140625" bestFit="1" customWidth="1"/>
    <col min="16" max="45" width="11.42578125" bestFit="1" customWidth="1"/>
  </cols>
  <sheetData>
    <row r="1" spans="1:45" ht="45.75" thickBot="1" x14ac:dyDescent="0.3">
      <c r="A1" s="143" t="s">
        <v>13</v>
      </c>
      <c r="B1" s="144" t="s">
        <v>10</v>
      </c>
      <c r="C1" s="144" t="s">
        <v>45</v>
      </c>
      <c r="D1" s="144" t="s">
        <v>46</v>
      </c>
      <c r="E1" s="144" t="s">
        <v>18</v>
      </c>
      <c r="F1" s="150" t="s">
        <v>35</v>
      </c>
      <c r="G1" s="151" t="s">
        <v>3</v>
      </c>
      <c r="H1" s="152" t="s">
        <v>42</v>
      </c>
      <c r="I1" s="143" t="s">
        <v>29</v>
      </c>
      <c r="J1" s="144" t="s">
        <v>30</v>
      </c>
      <c r="K1" s="144" t="s">
        <v>31</v>
      </c>
      <c r="L1" s="145" t="s">
        <v>32</v>
      </c>
      <c r="M1" s="144">
        <v>2018</v>
      </c>
      <c r="N1" s="144">
        <v>2019</v>
      </c>
      <c r="O1" s="144">
        <v>2020</v>
      </c>
      <c r="P1" s="144">
        <v>2021</v>
      </c>
      <c r="Q1" s="144">
        <v>2022</v>
      </c>
      <c r="R1" s="144">
        <v>2023</v>
      </c>
      <c r="S1" s="144">
        <v>2024</v>
      </c>
      <c r="T1" s="144">
        <v>2025</v>
      </c>
      <c r="U1" s="144">
        <v>2026</v>
      </c>
      <c r="V1" s="144">
        <v>2027</v>
      </c>
      <c r="W1" s="144">
        <v>2028</v>
      </c>
      <c r="X1" s="144">
        <v>2029</v>
      </c>
      <c r="Y1" s="144">
        <v>2030</v>
      </c>
      <c r="Z1" s="144">
        <v>2031</v>
      </c>
      <c r="AA1" s="144">
        <v>2032</v>
      </c>
      <c r="AB1" s="144">
        <v>2033</v>
      </c>
      <c r="AC1" s="144">
        <v>2034</v>
      </c>
      <c r="AD1" s="144">
        <v>2035</v>
      </c>
      <c r="AE1" s="144">
        <v>2036</v>
      </c>
      <c r="AF1" s="144">
        <v>2037</v>
      </c>
      <c r="AG1" s="144">
        <v>2038</v>
      </c>
      <c r="AH1" s="144">
        <v>2039</v>
      </c>
      <c r="AI1" s="144">
        <v>2040</v>
      </c>
      <c r="AJ1" s="144">
        <v>2041</v>
      </c>
      <c r="AK1" s="144">
        <v>2042</v>
      </c>
      <c r="AL1" s="144">
        <v>2043</v>
      </c>
      <c r="AM1" s="144">
        <v>2044</v>
      </c>
      <c r="AN1" s="144">
        <v>2045</v>
      </c>
      <c r="AO1" s="144">
        <v>2046</v>
      </c>
      <c r="AP1" s="144">
        <v>2047</v>
      </c>
      <c r="AQ1" s="144">
        <v>2048</v>
      </c>
      <c r="AR1" s="144">
        <v>2049</v>
      </c>
      <c r="AS1" s="145">
        <v>2050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AC0B-2969-43A6-B0E7-28226E62A913}">
  <dimension ref="A1:BM58"/>
  <sheetViews>
    <sheetView workbookViewId="0">
      <selection activeCell="K16" sqref="K16"/>
    </sheetView>
  </sheetViews>
  <sheetFormatPr defaultColWidth="8.85546875" defaultRowHeight="15" x14ac:dyDescent="0.25"/>
  <cols>
    <col min="1" max="1" width="8" bestFit="1" customWidth="1"/>
    <col min="2" max="2" width="79.7109375" bestFit="1" customWidth="1"/>
    <col min="3" max="3" width="16.5703125" customWidth="1"/>
    <col min="5" max="5" width="17.7109375" hidden="1" customWidth="1"/>
    <col min="6" max="6" width="11.140625" hidden="1" customWidth="1"/>
    <col min="7" max="7" width="9.5703125" hidden="1" customWidth="1"/>
    <col min="8" max="8" width="7.5703125" hidden="1" customWidth="1"/>
    <col min="9" max="9" width="4.85546875" customWidth="1"/>
    <col min="10" max="12" width="6.7109375" customWidth="1"/>
    <col min="15" max="15" width="7.85546875" bestFit="1" customWidth="1"/>
    <col min="51" max="51" width="7.85546875" bestFit="1" customWidth="1"/>
  </cols>
  <sheetData>
    <row r="1" spans="1:65" ht="45.75" thickBot="1" x14ac:dyDescent="0.3">
      <c r="A1" s="11" t="s">
        <v>13</v>
      </c>
      <c r="B1" s="28" t="s">
        <v>10</v>
      </c>
      <c r="C1" s="12" t="s">
        <v>45</v>
      </c>
      <c r="D1" s="12" t="s">
        <v>46</v>
      </c>
      <c r="E1" s="12" t="s">
        <v>18</v>
      </c>
      <c r="F1" s="22" t="s">
        <v>35</v>
      </c>
      <c r="G1" s="21" t="s">
        <v>3</v>
      </c>
      <c r="H1" s="21" t="s">
        <v>42</v>
      </c>
      <c r="I1" s="11" t="s">
        <v>29</v>
      </c>
      <c r="J1" s="12" t="s">
        <v>30</v>
      </c>
      <c r="K1" s="12" t="s">
        <v>31</v>
      </c>
      <c r="L1" s="13" t="s">
        <v>32</v>
      </c>
      <c r="M1" s="28">
        <v>2018</v>
      </c>
      <c r="N1" s="12">
        <v>2019</v>
      </c>
      <c r="O1" s="25">
        <v>2020</v>
      </c>
      <c r="P1" s="25">
        <v>2021</v>
      </c>
      <c r="Q1" s="25">
        <v>2022</v>
      </c>
      <c r="R1" s="25">
        <v>2023</v>
      </c>
      <c r="S1" s="25">
        <v>2024</v>
      </c>
      <c r="T1" s="25">
        <v>2025</v>
      </c>
      <c r="U1" s="25">
        <v>2026</v>
      </c>
      <c r="V1" s="25">
        <v>2027</v>
      </c>
      <c r="W1" s="25">
        <v>2028</v>
      </c>
      <c r="X1" s="25">
        <v>2029</v>
      </c>
      <c r="Y1" s="25">
        <v>2030</v>
      </c>
      <c r="Z1" s="25">
        <v>2031</v>
      </c>
      <c r="AA1" s="25">
        <v>2032</v>
      </c>
      <c r="AB1" s="25">
        <v>2033</v>
      </c>
      <c r="AC1" s="25">
        <v>2034</v>
      </c>
      <c r="AD1" s="25">
        <v>2035</v>
      </c>
      <c r="AE1" s="25">
        <v>2036</v>
      </c>
      <c r="AF1" s="25">
        <v>2037</v>
      </c>
      <c r="AG1" s="25">
        <v>2038</v>
      </c>
      <c r="AH1" s="25">
        <v>2039</v>
      </c>
      <c r="AI1" s="25">
        <v>2040</v>
      </c>
      <c r="AJ1" s="25">
        <v>2041</v>
      </c>
      <c r="AK1" s="25">
        <v>2042</v>
      </c>
      <c r="AL1" s="25">
        <v>2043</v>
      </c>
      <c r="AM1" s="25">
        <v>2044</v>
      </c>
      <c r="AN1" s="25">
        <v>2045</v>
      </c>
      <c r="AO1" s="25">
        <v>2046</v>
      </c>
      <c r="AP1" s="25">
        <v>2047</v>
      </c>
      <c r="AQ1" s="25">
        <v>2048</v>
      </c>
      <c r="AR1" s="25">
        <v>2049</v>
      </c>
      <c r="AS1" s="26">
        <v>2050</v>
      </c>
      <c r="AT1" s="25">
        <v>2051</v>
      </c>
      <c r="AU1" s="25">
        <v>2052</v>
      </c>
      <c r="AV1" s="25">
        <v>2053</v>
      </c>
      <c r="AW1" s="25">
        <v>2054</v>
      </c>
      <c r="AX1" s="25">
        <v>2055</v>
      </c>
      <c r="AY1" s="25">
        <v>2056</v>
      </c>
      <c r="AZ1" s="25">
        <v>2057</v>
      </c>
      <c r="BA1" s="25">
        <v>2058</v>
      </c>
      <c r="BB1" s="25">
        <v>2059</v>
      </c>
      <c r="BC1" s="25">
        <v>2060</v>
      </c>
      <c r="BD1" s="25">
        <v>2061</v>
      </c>
      <c r="BE1" s="25">
        <v>2062</v>
      </c>
      <c r="BF1" s="25">
        <v>2063</v>
      </c>
      <c r="BG1" s="25">
        <v>2064</v>
      </c>
      <c r="BH1" s="25">
        <v>2065</v>
      </c>
      <c r="BI1" s="25">
        <v>2066</v>
      </c>
      <c r="BJ1" s="25">
        <v>2067</v>
      </c>
      <c r="BK1" s="25">
        <v>2068</v>
      </c>
      <c r="BL1" s="25">
        <v>2069</v>
      </c>
      <c r="BM1" s="25">
        <v>2070</v>
      </c>
    </row>
    <row r="2" spans="1:65" x14ac:dyDescent="0.25">
      <c r="A2" s="32"/>
      <c r="B2" s="46"/>
      <c r="C2" s="27"/>
      <c r="D2" s="27"/>
      <c r="E2" s="33"/>
      <c r="F2" s="97"/>
      <c r="G2" s="34"/>
      <c r="H2" s="34"/>
      <c r="I2" s="32"/>
      <c r="J2" s="33"/>
      <c r="K2" s="33"/>
      <c r="L2" s="45"/>
      <c r="M2" s="40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0"/>
      <c r="AT2" s="99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0"/>
    </row>
    <row r="3" spans="1:65" ht="15.75" thickBot="1" x14ac:dyDescent="0.3">
      <c r="A3" s="54"/>
      <c r="B3" s="55"/>
      <c r="C3" s="56"/>
      <c r="D3" s="56"/>
      <c r="E3" s="55"/>
      <c r="F3" s="100"/>
      <c r="G3" s="57"/>
      <c r="H3" s="57"/>
      <c r="I3" s="9"/>
      <c r="J3" s="10"/>
      <c r="K3" s="10"/>
      <c r="L3" s="38"/>
      <c r="M3" s="4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153"/>
      <c r="AT3" s="95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5"/>
    </row>
    <row r="4" spans="1:65" x14ac:dyDescent="0.25">
      <c r="A4" s="32"/>
      <c r="B4" s="46"/>
      <c r="C4" s="96"/>
      <c r="D4" s="68"/>
      <c r="E4" s="33"/>
      <c r="F4" s="97"/>
      <c r="G4" s="34"/>
      <c r="H4" s="45"/>
      <c r="I4" s="31"/>
      <c r="J4" s="84"/>
      <c r="K4" s="84"/>
      <c r="L4" s="85"/>
      <c r="M4" s="159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1"/>
      <c r="AT4" s="87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16"/>
    </row>
    <row r="5" spans="1:65" x14ac:dyDescent="0.25">
      <c r="A5" s="8"/>
      <c r="B5" s="7"/>
      <c r="C5" s="61"/>
      <c r="D5" s="61"/>
      <c r="E5" s="7"/>
      <c r="F5" s="59"/>
      <c r="G5" s="7"/>
      <c r="H5" s="14"/>
      <c r="I5" s="8"/>
      <c r="J5" s="7"/>
      <c r="K5" s="7"/>
      <c r="L5" s="15"/>
      <c r="M5" s="162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63"/>
      <c r="AT5" s="36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14"/>
    </row>
    <row r="6" spans="1:65" x14ac:dyDescent="0.25">
      <c r="A6" s="8"/>
      <c r="B6" s="7"/>
      <c r="C6" s="61"/>
      <c r="D6" s="61"/>
      <c r="E6" s="7"/>
      <c r="F6" s="59"/>
      <c r="G6" s="7"/>
      <c r="H6" s="14"/>
      <c r="I6" s="8"/>
      <c r="J6" s="7"/>
      <c r="K6" s="7"/>
      <c r="L6" s="15"/>
      <c r="M6" s="164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6"/>
      <c r="AT6" s="36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14"/>
    </row>
    <row r="7" spans="1:65" x14ac:dyDescent="0.25">
      <c r="A7" s="8"/>
      <c r="B7" s="7"/>
      <c r="C7" s="61"/>
      <c r="D7" s="61"/>
      <c r="E7" s="7"/>
      <c r="F7" s="59"/>
      <c r="G7" s="7"/>
      <c r="H7" s="14"/>
      <c r="I7" s="8"/>
      <c r="J7" s="7"/>
      <c r="K7" s="7"/>
      <c r="L7" s="15"/>
      <c r="M7" s="164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6"/>
      <c r="AT7" s="36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14"/>
    </row>
    <row r="8" spans="1:65" x14ac:dyDescent="0.25">
      <c r="A8" s="8"/>
      <c r="B8" s="7"/>
      <c r="C8" s="61"/>
      <c r="D8" s="61"/>
      <c r="E8" s="7"/>
      <c r="F8" s="59"/>
      <c r="G8" s="7"/>
      <c r="H8" s="14"/>
      <c r="I8" s="8"/>
      <c r="J8" s="7"/>
      <c r="K8" s="7"/>
      <c r="L8" s="15"/>
      <c r="M8" s="88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90"/>
      <c r="AT8" s="36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14"/>
    </row>
    <row r="9" spans="1:65" x14ac:dyDescent="0.25">
      <c r="A9" s="8"/>
      <c r="B9" s="7"/>
      <c r="C9" s="61"/>
      <c r="D9" s="61"/>
      <c r="E9" s="7"/>
      <c r="F9" s="59"/>
      <c r="G9" s="7"/>
      <c r="H9" s="14"/>
      <c r="I9" s="8"/>
      <c r="J9" s="7"/>
      <c r="K9" s="7"/>
      <c r="L9" s="15"/>
      <c r="M9" s="88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90"/>
      <c r="AT9" s="36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14"/>
    </row>
    <row r="10" spans="1:65" x14ac:dyDescent="0.25">
      <c r="A10" s="8"/>
      <c r="B10" s="7"/>
      <c r="C10" s="61"/>
      <c r="D10" s="61"/>
      <c r="E10" s="7"/>
      <c r="F10" s="59"/>
      <c r="G10" s="7"/>
      <c r="H10" s="14"/>
      <c r="I10" s="8"/>
      <c r="J10" s="7"/>
      <c r="K10" s="7"/>
      <c r="L10" s="15"/>
      <c r="M10" s="88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90"/>
      <c r="AT10" s="36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14"/>
    </row>
    <row r="11" spans="1:65" x14ac:dyDescent="0.25">
      <c r="A11" s="8"/>
      <c r="B11" s="7"/>
      <c r="C11" s="61"/>
      <c r="D11" s="61"/>
      <c r="E11" s="7"/>
      <c r="F11" s="59"/>
      <c r="G11" s="7"/>
      <c r="H11" s="14"/>
      <c r="I11" s="8"/>
      <c r="J11" s="7"/>
      <c r="K11" s="7"/>
      <c r="L11" s="15"/>
      <c r="M11" s="88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90"/>
      <c r="AT11" s="36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14"/>
    </row>
    <row r="12" spans="1:65" x14ac:dyDescent="0.25">
      <c r="A12" s="8"/>
      <c r="B12" s="7"/>
      <c r="C12" s="61"/>
      <c r="D12" s="61"/>
      <c r="E12" s="7"/>
      <c r="F12" s="59"/>
      <c r="G12" s="7"/>
      <c r="H12" s="14"/>
      <c r="I12" s="8"/>
      <c r="J12" s="7"/>
      <c r="K12" s="7"/>
      <c r="L12" s="15"/>
      <c r="M12" s="88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90"/>
      <c r="AT12" s="36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14"/>
    </row>
    <row r="13" spans="1:65" ht="15.75" thickBot="1" x14ac:dyDescent="0.3">
      <c r="A13" s="9"/>
      <c r="B13" s="83"/>
      <c r="C13" s="91"/>
      <c r="D13" s="65"/>
      <c r="E13" s="10"/>
      <c r="F13" s="98"/>
      <c r="G13" s="35"/>
      <c r="H13" s="38"/>
      <c r="I13" s="9"/>
      <c r="J13" s="10"/>
      <c r="K13" s="10"/>
      <c r="L13" s="35"/>
      <c r="M13" s="92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4"/>
      <c r="AT13" s="95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5"/>
    </row>
    <row r="14" spans="1:65" x14ac:dyDescent="0.25">
      <c r="A14" s="32"/>
      <c r="B14" s="33"/>
      <c r="C14" s="58"/>
      <c r="D14" s="27"/>
      <c r="E14" s="33"/>
      <c r="F14" s="97"/>
      <c r="G14" s="34"/>
      <c r="H14" s="45"/>
      <c r="I14" s="32"/>
      <c r="J14" s="33"/>
      <c r="K14" s="34"/>
      <c r="L14" s="45"/>
      <c r="M14" s="32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45"/>
    </row>
    <row r="15" spans="1:65" x14ac:dyDescent="0.25">
      <c r="A15" s="8"/>
      <c r="B15" s="7"/>
      <c r="C15" s="60"/>
      <c r="D15" s="61"/>
      <c r="E15" s="7"/>
      <c r="F15" s="59"/>
      <c r="G15" s="7"/>
      <c r="H15" s="14"/>
      <c r="I15" s="8"/>
      <c r="J15" s="7"/>
      <c r="K15" s="7"/>
      <c r="L15" s="14"/>
      <c r="M15" s="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14"/>
    </row>
    <row r="16" spans="1:65" x14ac:dyDescent="0.25">
      <c r="A16" s="8"/>
      <c r="B16" s="7"/>
      <c r="C16" s="60"/>
      <c r="D16" s="61"/>
      <c r="E16" s="7"/>
      <c r="F16" s="59"/>
      <c r="G16" s="7"/>
      <c r="H16" s="14"/>
      <c r="I16" s="8"/>
      <c r="J16" s="7"/>
      <c r="K16" s="7"/>
      <c r="L16" s="14"/>
      <c r="M16" s="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14"/>
    </row>
    <row r="17" spans="1:65" x14ac:dyDescent="0.25">
      <c r="A17" s="8"/>
      <c r="B17" s="7"/>
      <c r="C17" s="60"/>
      <c r="D17" s="61"/>
      <c r="E17" s="7"/>
      <c r="F17" s="59"/>
      <c r="G17" s="7"/>
      <c r="H17" s="14"/>
      <c r="I17" s="8"/>
      <c r="J17" s="7"/>
      <c r="K17" s="7"/>
      <c r="L17" s="14"/>
      <c r="M17" s="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14"/>
    </row>
    <row r="18" spans="1:65" x14ac:dyDescent="0.25">
      <c r="A18" s="8"/>
      <c r="B18" s="7"/>
      <c r="C18" s="60"/>
      <c r="D18" s="61"/>
      <c r="E18" s="7"/>
      <c r="F18" s="59"/>
      <c r="G18" s="7"/>
      <c r="H18" s="14"/>
      <c r="I18" s="8"/>
      <c r="J18" s="7"/>
      <c r="K18" s="7"/>
      <c r="L18" s="14"/>
      <c r="M18" s="8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14"/>
    </row>
    <row r="19" spans="1:65" x14ac:dyDescent="0.25">
      <c r="A19" s="8"/>
      <c r="B19" s="7"/>
      <c r="C19" s="60"/>
      <c r="D19" s="61"/>
      <c r="E19" s="7"/>
      <c r="F19" s="59"/>
      <c r="G19" s="7"/>
      <c r="H19" s="14"/>
      <c r="I19" s="8"/>
      <c r="J19" s="7"/>
      <c r="K19" s="7"/>
      <c r="L19" s="14"/>
      <c r="M19" s="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14"/>
    </row>
    <row r="20" spans="1:65" x14ac:dyDescent="0.25">
      <c r="A20" s="8"/>
      <c r="B20" s="7"/>
      <c r="C20" s="60"/>
      <c r="D20" s="61"/>
      <c r="E20" s="7"/>
      <c r="F20" s="59"/>
      <c r="G20" s="7"/>
      <c r="H20" s="14"/>
      <c r="I20" s="8"/>
      <c r="J20" s="7"/>
      <c r="K20" s="7"/>
      <c r="L20" s="14"/>
      <c r="M20" s="8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14"/>
    </row>
    <row r="21" spans="1:65" x14ac:dyDescent="0.25">
      <c r="A21" s="8"/>
      <c r="B21" s="7"/>
      <c r="C21" s="60"/>
      <c r="D21" s="61"/>
      <c r="E21" s="7"/>
      <c r="F21" s="59"/>
      <c r="G21" s="7"/>
      <c r="H21" s="14"/>
      <c r="I21" s="8"/>
      <c r="J21" s="7"/>
      <c r="K21" s="7"/>
      <c r="L21" s="14"/>
      <c r="M21" s="8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14"/>
    </row>
    <row r="22" spans="1:65" x14ac:dyDescent="0.25">
      <c r="A22" s="8"/>
      <c r="B22" s="7"/>
      <c r="C22" s="60"/>
      <c r="D22" s="61"/>
      <c r="E22" s="7"/>
      <c r="F22" s="59"/>
      <c r="G22" s="7"/>
      <c r="H22" s="14"/>
      <c r="I22" s="8"/>
      <c r="J22" s="7"/>
      <c r="K22" s="7"/>
      <c r="L22" s="14"/>
      <c r="M22" s="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14"/>
    </row>
    <row r="23" spans="1:65" x14ac:dyDescent="0.25">
      <c r="A23" s="8"/>
      <c r="B23" s="7"/>
      <c r="C23" s="60"/>
      <c r="D23" s="61"/>
      <c r="E23" s="7"/>
      <c r="F23" s="59"/>
      <c r="G23" s="7"/>
      <c r="H23" s="14"/>
      <c r="I23" s="8"/>
      <c r="J23" s="7"/>
      <c r="K23" s="7"/>
      <c r="L23" s="14"/>
      <c r="M23" s="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14"/>
    </row>
    <row r="24" spans="1:65" x14ac:dyDescent="0.25">
      <c r="A24" s="8"/>
      <c r="B24" s="7"/>
      <c r="C24" s="60"/>
      <c r="D24" s="61"/>
      <c r="E24" s="7"/>
      <c r="F24" s="59"/>
      <c r="G24" s="7"/>
      <c r="H24" s="14"/>
      <c r="I24" s="8"/>
      <c r="J24" s="7"/>
      <c r="K24" s="7"/>
      <c r="L24" s="14"/>
      <c r="M24" s="8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14"/>
    </row>
    <row r="25" spans="1:65" x14ac:dyDescent="0.25">
      <c r="A25" s="8"/>
      <c r="B25" s="7"/>
      <c r="C25" s="60"/>
      <c r="D25" s="61"/>
      <c r="E25" s="7"/>
      <c r="F25" s="59"/>
      <c r="G25" s="7"/>
      <c r="H25" s="14"/>
      <c r="I25" s="8"/>
      <c r="J25" s="7"/>
      <c r="K25" s="7"/>
      <c r="L25" s="14"/>
      <c r="M25" s="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14"/>
    </row>
    <row r="26" spans="1:65" x14ac:dyDescent="0.25">
      <c r="A26" s="8"/>
      <c r="B26" s="7"/>
      <c r="C26" s="62"/>
      <c r="D26" s="61"/>
      <c r="E26" s="7"/>
      <c r="F26" s="59"/>
      <c r="G26" s="7"/>
      <c r="H26" s="14"/>
      <c r="I26" s="8"/>
      <c r="J26" s="7"/>
      <c r="K26" s="7"/>
      <c r="L26" s="14"/>
      <c r="M26" s="8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14"/>
    </row>
    <row r="27" spans="1:65" x14ac:dyDescent="0.25">
      <c r="A27" s="8"/>
      <c r="B27" s="59"/>
      <c r="C27" s="62"/>
      <c r="D27" s="61"/>
      <c r="E27" s="7"/>
      <c r="F27" s="59"/>
      <c r="G27" s="7"/>
      <c r="H27" s="14"/>
      <c r="I27" s="8"/>
      <c r="J27" s="7"/>
      <c r="K27" s="7"/>
      <c r="L27" s="14"/>
      <c r="M27" s="8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14"/>
    </row>
    <row r="28" spans="1:65" x14ac:dyDescent="0.25">
      <c r="A28" s="8"/>
      <c r="B28" s="59"/>
      <c r="C28" s="62"/>
      <c r="D28" s="61"/>
      <c r="E28" s="7"/>
      <c r="F28" s="59"/>
      <c r="G28" s="7"/>
      <c r="H28" s="14"/>
      <c r="I28" s="8"/>
      <c r="J28" s="7"/>
      <c r="K28" s="7"/>
      <c r="L28" s="14"/>
      <c r="M28" s="8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14"/>
    </row>
    <row r="29" spans="1:65" x14ac:dyDescent="0.25">
      <c r="A29" s="8"/>
      <c r="B29" s="59"/>
      <c r="C29" s="62"/>
      <c r="D29" s="61"/>
      <c r="E29" s="7"/>
      <c r="F29" s="59"/>
      <c r="G29" s="7"/>
      <c r="H29" s="14"/>
      <c r="I29" s="8"/>
      <c r="J29" s="7"/>
      <c r="K29" s="7"/>
      <c r="L29" s="14"/>
      <c r="M29" s="8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14"/>
    </row>
    <row r="30" spans="1:65" x14ac:dyDescent="0.25">
      <c r="A30" s="8"/>
      <c r="B30" s="59"/>
      <c r="C30" s="62"/>
      <c r="D30" s="61"/>
      <c r="E30" s="7"/>
      <c r="F30" s="59"/>
      <c r="G30" s="7"/>
      <c r="H30" s="14"/>
      <c r="I30" s="8"/>
      <c r="J30" s="7"/>
      <c r="K30" s="7"/>
      <c r="L30" s="14"/>
      <c r="M30" s="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14"/>
    </row>
    <row r="31" spans="1:65" x14ac:dyDescent="0.25">
      <c r="A31" s="8"/>
      <c r="B31" s="59"/>
      <c r="C31" s="62"/>
      <c r="D31" s="61"/>
      <c r="E31" s="7"/>
      <c r="F31" s="59"/>
      <c r="G31" s="7"/>
      <c r="H31" s="14"/>
      <c r="I31" s="8"/>
      <c r="J31" s="7"/>
      <c r="K31" s="7"/>
      <c r="L31" s="14"/>
      <c r="M31" s="8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14"/>
    </row>
    <row r="32" spans="1:65" x14ac:dyDescent="0.25">
      <c r="A32" s="8"/>
      <c r="B32" s="59"/>
      <c r="C32" s="62"/>
      <c r="D32" s="61"/>
      <c r="E32" s="7"/>
      <c r="F32" s="59"/>
      <c r="G32" s="7"/>
      <c r="H32" s="14"/>
      <c r="I32" s="8"/>
      <c r="J32" s="7"/>
      <c r="K32" s="7"/>
      <c r="L32" s="14"/>
      <c r="M32" s="8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14"/>
    </row>
    <row r="33" spans="1:65" x14ac:dyDescent="0.25">
      <c r="A33" s="8"/>
      <c r="B33" s="7"/>
      <c r="C33" s="62"/>
      <c r="D33" s="61"/>
      <c r="E33" s="7"/>
      <c r="F33" s="59"/>
      <c r="G33" s="7"/>
      <c r="H33" s="14"/>
      <c r="I33" s="8"/>
      <c r="J33" s="7"/>
      <c r="K33" s="7"/>
      <c r="L33" s="14"/>
      <c r="M33" s="8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14"/>
    </row>
    <row r="34" spans="1:65" x14ac:dyDescent="0.25">
      <c r="A34" s="8"/>
      <c r="B34" s="7"/>
      <c r="C34" s="62"/>
      <c r="D34" s="61"/>
      <c r="E34" s="7"/>
      <c r="F34" s="59"/>
      <c r="G34" s="7"/>
      <c r="H34" s="14"/>
      <c r="I34" s="8"/>
      <c r="J34" s="7"/>
      <c r="K34" s="7"/>
      <c r="L34" s="14"/>
      <c r="M34" s="8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14"/>
    </row>
    <row r="35" spans="1:65" x14ac:dyDescent="0.25">
      <c r="A35" s="8"/>
      <c r="B35" s="59"/>
      <c r="C35" s="62"/>
      <c r="D35" s="61"/>
      <c r="E35" s="7"/>
      <c r="F35" s="59"/>
      <c r="G35" s="7"/>
      <c r="H35" s="14"/>
      <c r="I35" s="8"/>
      <c r="J35" s="7"/>
      <c r="K35" s="7"/>
      <c r="L35" s="14"/>
      <c r="M35" s="8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14"/>
    </row>
    <row r="36" spans="1:65" x14ac:dyDescent="0.25">
      <c r="A36" s="8"/>
      <c r="B36" s="7"/>
      <c r="C36" s="62"/>
      <c r="D36" s="61"/>
      <c r="E36" s="7"/>
      <c r="F36" s="59"/>
      <c r="G36" s="7"/>
      <c r="H36" s="14"/>
      <c r="I36" s="8"/>
      <c r="J36" s="7"/>
      <c r="K36" s="7"/>
      <c r="L36" s="14"/>
      <c r="M36" s="8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14"/>
    </row>
    <row r="37" spans="1:65" x14ac:dyDescent="0.25">
      <c r="A37" s="8"/>
      <c r="B37" s="59"/>
      <c r="C37" s="62"/>
      <c r="D37" s="61"/>
      <c r="E37" s="7"/>
      <c r="F37" s="59"/>
      <c r="G37" s="7"/>
      <c r="H37" s="14"/>
      <c r="I37" s="8"/>
      <c r="J37" s="7"/>
      <c r="K37" s="7"/>
      <c r="L37" s="14"/>
      <c r="M37" s="8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14"/>
    </row>
    <row r="38" spans="1:65" x14ac:dyDescent="0.25">
      <c r="A38" s="8"/>
      <c r="B38" s="7"/>
      <c r="C38" s="62"/>
      <c r="D38" s="61"/>
      <c r="E38" s="7"/>
      <c r="F38" s="59"/>
      <c r="G38" s="7"/>
      <c r="H38" s="14"/>
      <c r="I38" s="8"/>
      <c r="J38" s="7"/>
      <c r="K38" s="7"/>
      <c r="L38" s="14"/>
      <c r="M38" s="8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14"/>
    </row>
    <row r="39" spans="1:65" x14ac:dyDescent="0.25">
      <c r="A39" s="8"/>
      <c r="B39" s="59"/>
      <c r="C39" s="62"/>
      <c r="D39" s="61"/>
      <c r="E39" s="7"/>
      <c r="F39" s="59"/>
      <c r="G39" s="7"/>
      <c r="H39" s="14"/>
      <c r="I39" s="8"/>
      <c r="J39" s="7"/>
      <c r="K39" s="7"/>
      <c r="L39" s="14"/>
      <c r="M39" s="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14"/>
    </row>
    <row r="40" spans="1:65" x14ac:dyDescent="0.25">
      <c r="A40" s="8"/>
      <c r="B40" s="7"/>
      <c r="C40" s="63"/>
      <c r="D40" s="61"/>
      <c r="E40" s="7"/>
      <c r="F40" s="59"/>
      <c r="G40" s="7"/>
      <c r="H40" s="14"/>
      <c r="I40" s="8"/>
      <c r="J40" s="7"/>
      <c r="K40" s="7"/>
      <c r="L40" s="14"/>
      <c r="M40" s="8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14"/>
    </row>
    <row r="41" spans="1:65" x14ac:dyDescent="0.25">
      <c r="A41" s="8"/>
      <c r="B41" s="7"/>
      <c r="C41" s="63"/>
      <c r="D41" s="61"/>
      <c r="E41" s="7"/>
      <c r="F41" s="59"/>
      <c r="G41" s="7"/>
      <c r="H41" s="14"/>
      <c r="I41" s="8"/>
      <c r="J41" s="7"/>
      <c r="K41" s="7"/>
      <c r="L41" s="14"/>
      <c r="M41" s="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14"/>
    </row>
    <row r="42" spans="1:65" x14ac:dyDescent="0.25">
      <c r="A42" s="8"/>
      <c r="B42" s="7"/>
      <c r="C42" s="63"/>
      <c r="D42" s="61"/>
      <c r="E42" s="7"/>
      <c r="F42" s="59"/>
      <c r="G42" s="7"/>
      <c r="H42" s="14"/>
      <c r="I42" s="8"/>
      <c r="J42" s="7"/>
      <c r="K42" s="7"/>
      <c r="L42" s="14"/>
      <c r="M42" s="8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14"/>
    </row>
    <row r="43" spans="1:65" x14ac:dyDescent="0.25">
      <c r="A43" s="8"/>
      <c r="B43" s="7"/>
      <c r="C43" s="63"/>
      <c r="D43" s="61"/>
      <c r="E43" s="7"/>
      <c r="F43" s="59"/>
      <c r="G43" s="7"/>
      <c r="H43" s="14"/>
      <c r="I43" s="8"/>
      <c r="J43" s="7"/>
      <c r="K43" s="7"/>
      <c r="L43" s="14"/>
      <c r="M43" s="8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14"/>
    </row>
    <row r="44" spans="1:65" x14ac:dyDescent="0.25">
      <c r="A44" s="8"/>
      <c r="B44" s="7"/>
      <c r="C44" s="63"/>
      <c r="D44" s="61"/>
      <c r="E44" s="7"/>
      <c r="F44" s="59"/>
      <c r="G44" s="7"/>
      <c r="H44" s="14"/>
      <c r="I44" s="8"/>
      <c r="J44" s="7"/>
      <c r="K44" s="7"/>
      <c r="L44" s="14"/>
      <c r="M44" s="8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14"/>
    </row>
    <row r="45" spans="1:65" x14ac:dyDescent="0.25">
      <c r="A45" s="8"/>
      <c r="B45" s="7"/>
      <c r="C45" s="63"/>
      <c r="D45" s="61"/>
      <c r="E45" s="7"/>
      <c r="F45" s="59"/>
      <c r="G45" s="7"/>
      <c r="H45" s="14"/>
      <c r="I45" s="8"/>
      <c r="J45" s="7"/>
      <c r="K45" s="7"/>
      <c r="L45" s="14"/>
      <c r="M45" s="8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14"/>
    </row>
    <row r="46" spans="1:65" x14ac:dyDescent="0.25">
      <c r="A46" s="8"/>
      <c r="B46" s="7"/>
      <c r="C46" s="63"/>
      <c r="D46" s="61"/>
      <c r="E46" s="7"/>
      <c r="F46" s="59"/>
      <c r="G46" s="7"/>
      <c r="H46" s="14"/>
      <c r="I46" s="8"/>
      <c r="J46" s="7"/>
      <c r="K46" s="7"/>
      <c r="L46" s="14"/>
      <c r="M46" s="8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14"/>
    </row>
    <row r="47" spans="1:65" x14ac:dyDescent="0.25">
      <c r="A47" s="8"/>
      <c r="B47" s="7"/>
      <c r="C47" s="63"/>
      <c r="D47" s="61"/>
      <c r="E47" s="7"/>
      <c r="F47" s="59"/>
      <c r="G47" s="7"/>
      <c r="H47" s="14"/>
      <c r="I47" s="8"/>
      <c r="J47" s="7"/>
      <c r="K47" s="7"/>
      <c r="L47" s="14"/>
      <c r="M47" s="8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14"/>
    </row>
    <row r="48" spans="1:65" x14ac:dyDescent="0.25">
      <c r="A48" s="8"/>
      <c r="B48" s="7"/>
      <c r="C48" s="63"/>
      <c r="D48" s="61"/>
      <c r="E48" s="7"/>
      <c r="F48" s="59"/>
      <c r="G48" s="7"/>
      <c r="H48" s="14"/>
      <c r="I48" s="8"/>
      <c r="J48" s="7"/>
      <c r="K48" s="7"/>
      <c r="L48" s="14"/>
      <c r="M48" s="8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14"/>
    </row>
    <row r="49" spans="1:65" x14ac:dyDescent="0.25">
      <c r="A49" s="8"/>
      <c r="B49" s="7"/>
      <c r="C49" s="63"/>
      <c r="D49" s="61"/>
      <c r="E49" s="7"/>
      <c r="F49" s="59"/>
      <c r="G49" s="7"/>
      <c r="H49" s="14"/>
      <c r="I49" s="8"/>
      <c r="J49" s="7"/>
      <c r="K49" s="7"/>
      <c r="L49" s="14"/>
      <c r="M49" s="8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14"/>
    </row>
    <row r="50" spans="1:65" x14ac:dyDescent="0.25">
      <c r="A50" s="8"/>
      <c r="B50" s="7"/>
      <c r="C50" s="63"/>
      <c r="D50" s="61"/>
      <c r="E50" s="7"/>
      <c r="F50" s="59"/>
      <c r="G50" s="7"/>
      <c r="H50" s="14"/>
      <c r="I50" s="8"/>
      <c r="J50" s="7"/>
      <c r="K50" s="7"/>
      <c r="L50" s="14"/>
      <c r="M50" s="8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14"/>
    </row>
    <row r="51" spans="1:65" x14ac:dyDescent="0.25">
      <c r="A51" s="8"/>
      <c r="B51" s="7"/>
      <c r="C51" s="64"/>
      <c r="D51" s="61"/>
      <c r="E51" s="7"/>
      <c r="F51" s="59"/>
      <c r="G51" s="7"/>
      <c r="H51" s="14"/>
      <c r="I51" s="8"/>
      <c r="J51" s="7"/>
      <c r="K51" s="7"/>
      <c r="L51" s="14"/>
      <c r="M51" s="8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14"/>
    </row>
    <row r="52" spans="1:65" x14ac:dyDescent="0.25">
      <c r="A52" s="8"/>
      <c r="B52" s="7"/>
      <c r="C52" s="64"/>
      <c r="D52" s="61"/>
      <c r="E52" s="7"/>
      <c r="F52" s="59"/>
      <c r="G52" s="7"/>
      <c r="H52" s="14"/>
      <c r="I52" s="8"/>
      <c r="J52" s="7"/>
      <c r="K52" s="7"/>
      <c r="L52" s="14"/>
      <c r="M52" s="8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14"/>
    </row>
    <row r="53" spans="1:65" x14ac:dyDescent="0.25">
      <c r="A53" s="8"/>
      <c r="B53" s="7"/>
      <c r="C53" s="64"/>
      <c r="D53" s="61"/>
      <c r="E53" s="7"/>
      <c r="F53" s="59"/>
      <c r="G53" s="7"/>
      <c r="H53" s="14"/>
      <c r="I53" s="8"/>
      <c r="J53" s="7"/>
      <c r="K53" s="7"/>
      <c r="L53" s="14"/>
      <c r="M53" s="8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14"/>
    </row>
    <row r="54" spans="1:65" ht="15.75" thickBot="1" x14ac:dyDescent="0.3">
      <c r="A54" s="9"/>
      <c r="B54" s="10"/>
      <c r="C54" s="104"/>
      <c r="D54" s="65"/>
      <c r="E54" s="10"/>
      <c r="F54" s="98"/>
      <c r="G54" s="10"/>
      <c r="H54" s="38"/>
      <c r="I54" s="9"/>
      <c r="J54" s="10"/>
      <c r="K54" s="10"/>
      <c r="L54" s="38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38"/>
    </row>
    <row r="55" spans="1:65" x14ac:dyDescent="0.25">
      <c r="A55" s="32"/>
      <c r="B55" s="33"/>
      <c r="C55" s="105"/>
      <c r="D55" s="68"/>
      <c r="E55" s="33"/>
      <c r="F55" s="97"/>
      <c r="G55" s="33"/>
      <c r="H55" s="45"/>
      <c r="I55" s="32"/>
      <c r="J55" s="33"/>
      <c r="K55" s="33"/>
      <c r="L55" s="45"/>
      <c r="M55" s="10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45"/>
    </row>
    <row r="56" spans="1:65" x14ac:dyDescent="0.25">
      <c r="A56" s="8"/>
      <c r="B56" s="7"/>
      <c r="C56" s="78"/>
      <c r="D56" s="61"/>
      <c r="E56" s="7"/>
      <c r="F56" s="59"/>
      <c r="G56" s="7"/>
      <c r="H56" s="14"/>
      <c r="I56" s="8"/>
      <c r="J56" s="7"/>
      <c r="K56" s="7"/>
      <c r="L56" s="14"/>
      <c r="M56" s="79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4"/>
    </row>
    <row r="57" spans="1:65" x14ac:dyDescent="0.25">
      <c r="A57" s="8"/>
      <c r="B57" s="7"/>
      <c r="C57" s="80"/>
      <c r="D57" s="61"/>
      <c r="E57" s="7"/>
      <c r="F57" s="59"/>
      <c r="G57" s="7"/>
      <c r="H57" s="14"/>
      <c r="I57" s="8"/>
      <c r="J57" s="7"/>
      <c r="K57" s="7"/>
      <c r="L57" s="14"/>
      <c r="M57" s="81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4"/>
    </row>
    <row r="58" spans="1:65" ht="15.75" thickBot="1" x14ac:dyDescent="0.3">
      <c r="A58" s="9"/>
      <c r="B58" s="10"/>
      <c r="C58" s="82"/>
      <c r="D58" s="65"/>
      <c r="E58" s="10"/>
      <c r="F58" s="98"/>
      <c r="G58" s="10"/>
      <c r="H58" s="38"/>
      <c r="I58" s="9"/>
      <c r="J58" s="10"/>
      <c r="K58" s="10"/>
      <c r="L58" s="38"/>
      <c r="M58" s="81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38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66BB-E93C-435F-A4D7-5C955C62089B}">
  <dimension ref="A1:BM26"/>
  <sheetViews>
    <sheetView workbookViewId="0">
      <selection activeCell="C14" sqref="C14"/>
    </sheetView>
  </sheetViews>
  <sheetFormatPr defaultColWidth="8.85546875" defaultRowHeight="15" x14ac:dyDescent="0.25"/>
  <cols>
    <col min="1" max="1" width="8" bestFit="1" customWidth="1"/>
    <col min="2" max="2" width="79.7109375" bestFit="1" customWidth="1"/>
    <col min="3" max="3" width="16.5703125" customWidth="1"/>
    <col min="5" max="5" width="17.7109375" customWidth="1"/>
    <col min="6" max="6" width="11.140625" customWidth="1"/>
    <col min="7" max="7" width="9.5703125" customWidth="1"/>
    <col min="8" max="8" width="7.5703125" customWidth="1"/>
    <col min="9" max="9" width="4.85546875" customWidth="1"/>
    <col min="10" max="11" width="6.7109375" customWidth="1"/>
    <col min="12" max="12" width="8.5703125" bestFit="1" customWidth="1"/>
    <col min="15" max="15" width="7.85546875" bestFit="1" customWidth="1"/>
    <col min="51" max="51" width="7.85546875" bestFit="1" customWidth="1"/>
  </cols>
  <sheetData>
    <row r="1" spans="1:65" ht="45.75" thickBot="1" x14ac:dyDescent="0.3">
      <c r="A1" s="11" t="s">
        <v>13</v>
      </c>
      <c r="B1" s="28" t="s">
        <v>10</v>
      </c>
      <c r="C1" s="12" t="s">
        <v>45</v>
      </c>
      <c r="D1" s="12" t="s">
        <v>46</v>
      </c>
      <c r="E1" s="12" t="s">
        <v>18</v>
      </c>
      <c r="F1" s="22" t="s">
        <v>35</v>
      </c>
      <c r="G1" s="21" t="s">
        <v>3</v>
      </c>
      <c r="H1" s="21" t="s">
        <v>42</v>
      </c>
      <c r="I1" s="11" t="s">
        <v>29</v>
      </c>
      <c r="J1" s="12" t="s">
        <v>30</v>
      </c>
      <c r="K1" s="12" t="s">
        <v>31</v>
      </c>
      <c r="L1" s="13" t="s">
        <v>32</v>
      </c>
      <c r="M1" s="28">
        <v>2018</v>
      </c>
      <c r="N1" s="12">
        <v>2019</v>
      </c>
      <c r="O1" s="25">
        <v>2020</v>
      </c>
      <c r="P1" s="25">
        <v>2021</v>
      </c>
      <c r="Q1" s="25">
        <v>2022</v>
      </c>
      <c r="R1" s="25">
        <v>2023</v>
      </c>
      <c r="S1" s="25">
        <v>2024</v>
      </c>
      <c r="T1" s="25">
        <v>2025</v>
      </c>
      <c r="U1" s="25">
        <v>2026</v>
      </c>
      <c r="V1" s="25">
        <v>2027</v>
      </c>
      <c r="W1" s="25">
        <v>2028</v>
      </c>
      <c r="X1" s="25">
        <v>2029</v>
      </c>
      <c r="Y1" s="25">
        <v>2030</v>
      </c>
      <c r="Z1" s="25">
        <v>2031</v>
      </c>
      <c r="AA1" s="25">
        <v>2032</v>
      </c>
      <c r="AB1" s="25">
        <v>2033</v>
      </c>
      <c r="AC1" s="25">
        <v>2034</v>
      </c>
      <c r="AD1" s="25">
        <v>2035</v>
      </c>
      <c r="AE1" s="25">
        <v>2036</v>
      </c>
      <c r="AF1" s="25">
        <v>2037</v>
      </c>
      <c r="AG1" s="25">
        <v>2038</v>
      </c>
      <c r="AH1" s="25">
        <v>2039</v>
      </c>
      <c r="AI1" s="25">
        <v>2040</v>
      </c>
      <c r="AJ1" s="25">
        <v>2041</v>
      </c>
      <c r="AK1" s="25">
        <v>2042</v>
      </c>
      <c r="AL1" s="25">
        <v>2043</v>
      </c>
      <c r="AM1" s="25">
        <v>2044</v>
      </c>
      <c r="AN1" s="25">
        <v>2045</v>
      </c>
      <c r="AO1" s="25">
        <v>2046</v>
      </c>
      <c r="AP1" s="25">
        <v>2047</v>
      </c>
      <c r="AQ1" s="25">
        <v>2048</v>
      </c>
      <c r="AR1" s="25">
        <v>2049</v>
      </c>
      <c r="AS1" s="26">
        <v>2050</v>
      </c>
      <c r="AT1" s="25">
        <v>2051</v>
      </c>
      <c r="AU1" s="25">
        <v>2052</v>
      </c>
      <c r="AV1" s="25">
        <v>2053</v>
      </c>
      <c r="AW1" s="25">
        <v>2054</v>
      </c>
      <c r="AX1" s="25">
        <v>2055</v>
      </c>
      <c r="AY1" s="25">
        <v>2056</v>
      </c>
      <c r="AZ1" s="25">
        <v>2057</v>
      </c>
      <c r="BA1" s="25">
        <v>2058</v>
      </c>
      <c r="BB1" s="25">
        <v>2059</v>
      </c>
      <c r="BC1" s="25">
        <v>2060</v>
      </c>
      <c r="BD1" s="25">
        <v>2061</v>
      </c>
      <c r="BE1" s="25">
        <v>2062</v>
      </c>
      <c r="BF1" s="25">
        <v>2063</v>
      </c>
      <c r="BG1" s="25">
        <v>2064</v>
      </c>
      <c r="BH1" s="25">
        <v>2065</v>
      </c>
      <c r="BI1" s="25">
        <v>2066</v>
      </c>
      <c r="BJ1" s="25">
        <v>2067</v>
      </c>
      <c r="BK1" s="25">
        <v>2068</v>
      </c>
      <c r="BL1" s="25">
        <v>2069</v>
      </c>
      <c r="BM1" s="25">
        <v>2070</v>
      </c>
    </row>
    <row r="2" spans="1:65" x14ac:dyDescent="0.25">
      <c r="A2" s="32"/>
      <c r="B2" s="33"/>
      <c r="C2" s="67"/>
      <c r="D2" s="101"/>
      <c r="E2" s="33"/>
      <c r="F2" s="102"/>
      <c r="G2" s="33"/>
      <c r="H2" s="45"/>
      <c r="I2" s="32"/>
      <c r="J2" s="33"/>
      <c r="K2" s="33"/>
      <c r="L2" s="45"/>
      <c r="M2" s="69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45"/>
    </row>
    <row r="3" spans="1:65" x14ac:dyDescent="0.25">
      <c r="A3" s="8"/>
      <c r="B3" s="7"/>
      <c r="C3" s="70"/>
      <c r="D3" s="103"/>
      <c r="E3" s="7"/>
      <c r="F3" s="59"/>
      <c r="G3" s="7"/>
      <c r="H3" s="14"/>
      <c r="I3" s="8"/>
      <c r="J3" s="7"/>
      <c r="K3" s="7"/>
      <c r="L3" s="14"/>
      <c r="M3" s="71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14"/>
    </row>
    <row r="4" spans="1:65" x14ac:dyDescent="0.25">
      <c r="A4" s="8"/>
      <c r="B4" s="7"/>
      <c r="C4" s="72"/>
      <c r="D4" s="103"/>
      <c r="E4" s="7"/>
      <c r="F4" s="59"/>
      <c r="G4" s="7"/>
      <c r="H4" s="14"/>
      <c r="I4" s="8"/>
      <c r="J4" s="7"/>
      <c r="K4" s="7"/>
      <c r="L4" s="14"/>
      <c r="M4" s="73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14"/>
    </row>
    <row r="5" spans="1:65" x14ac:dyDescent="0.25">
      <c r="A5" s="8"/>
      <c r="B5" s="7"/>
      <c r="C5" s="72"/>
      <c r="D5" s="103"/>
      <c r="E5" s="7"/>
      <c r="F5" s="59"/>
      <c r="G5" s="7"/>
      <c r="H5" s="14"/>
      <c r="I5" s="8"/>
      <c r="J5" s="7"/>
      <c r="K5" s="7"/>
      <c r="L5" s="14"/>
      <c r="M5" s="73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14"/>
    </row>
    <row r="6" spans="1:65" x14ac:dyDescent="0.25">
      <c r="A6" s="8"/>
      <c r="B6" s="7"/>
      <c r="C6" s="74"/>
      <c r="D6" s="103"/>
      <c r="E6" s="7"/>
      <c r="F6" s="59"/>
      <c r="G6" s="7"/>
      <c r="H6" s="14"/>
      <c r="I6" s="8"/>
      <c r="J6" s="7"/>
      <c r="K6" s="7"/>
      <c r="L6" s="14"/>
      <c r="M6" s="75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14"/>
    </row>
    <row r="7" spans="1:65" x14ac:dyDescent="0.25">
      <c r="A7" s="8"/>
      <c r="B7" s="7"/>
      <c r="C7" s="74"/>
      <c r="D7" s="103"/>
      <c r="E7" s="7"/>
      <c r="F7" s="59"/>
      <c r="G7" s="7"/>
      <c r="H7" s="14"/>
      <c r="I7" s="8"/>
      <c r="J7" s="7"/>
      <c r="K7" s="7"/>
      <c r="L7" s="14"/>
      <c r="M7" s="75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14"/>
    </row>
    <row r="8" spans="1:65" x14ac:dyDescent="0.25">
      <c r="A8" s="8"/>
      <c r="B8" s="7"/>
      <c r="C8" s="76"/>
      <c r="D8" s="103"/>
      <c r="E8" s="7"/>
      <c r="F8" s="59"/>
      <c r="G8" s="7"/>
      <c r="H8" s="14"/>
      <c r="I8" s="8"/>
      <c r="J8" s="7"/>
      <c r="K8" s="7"/>
      <c r="L8" s="14"/>
      <c r="M8" s="7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14"/>
    </row>
    <row r="9" spans="1:65" ht="15.75" thickBot="1" x14ac:dyDescent="0.3">
      <c r="A9" s="8"/>
      <c r="B9" s="7"/>
      <c r="C9" s="76"/>
      <c r="D9" s="103"/>
      <c r="E9" s="7"/>
      <c r="F9" s="59"/>
      <c r="G9" s="7"/>
      <c r="H9" s="14"/>
      <c r="I9" s="8"/>
      <c r="J9" s="7"/>
      <c r="K9" s="7"/>
      <c r="L9" s="14"/>
      <c r="M9" s="107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66"/>
    </row>
    <row r="10" spans="1:65" x14ac:dyDescent="0.25">
      <c r="A10" s="32"/>
      <c r="B10" s="33"/>
      <c r="C10" s="108"/>
      <c r="D10" s="68"/>
      <c r="E10" s="33"/>
      <c r="F10" s="109"/>
      <c r="G10" s="110"/>
      <c r="H10" s="111"/>
      <c r="I10" s="99"/>
      <c r="J10" s="27"/>
      <c r="K10" s="27"/>
      <c r="L10" s="112"/>
      <c r="M10" s="40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0"/>
    </row>
    <row r="11" spans="1:65" ht="15.75" thickBot="1" x14ac:dyDescent="0.3">
      <c r="A11" s="9"/>
      <c r="B11" s="10"/>
      <c r="C11" s="113"/>
      <c r="D11" s="65"/>
      <c r="E11" s="10"/>
      <c r="F11" s="114"/>
      <c r="G11" s="41"/>
      <c r="H11" s="115"/>
      <c r="I11" s="95"/>
      <c r="J11" s="6"/>
      <c r="K11" s="6"/>
      <c r="L11" s="116"/>
      <c r="M11" s="4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5"/>
    </row>
    <row r="12" spans="1:65" ht="15.75" thickBot="1" x14ac:dyDescent="0.3">
      <c r="A12" s="29"/>
      <c r="B12" s="30"/>
      <c r="C12" s="117"/>
      <c r="D12" s="118"/>
      <c r="E12" s="30"/>
      <c r="F12" s="119"/>
      <c r="G12" s="30"/>
      <c r="H12" s="120"/>
      <c r="I12" s="29"/>
      <c r="J12" s="30"/>
      <c r="K12" s="30"/>
      <c r="L12" s="120"/>
      <c r="M12" s="121"/>
      <c r="N12" s="122"/>
      <c r="O12" s="122"/>
      <c r="P12" s="122"/>
      <c r="Q12" s="122"/>
      <c r="R12" s="122"/>
      <c r="S12" s="122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3"/>
    </row>
    <row r="13" spans="1:65" ht="15.75" thickBot="1" x14ac:dyDescent="0.3">
      <c r="A13" s="29"/>
      <c r="B13" s="30"/>
      <c r="C13" s="117"/>
      <c r="D13" s="118"/>
      <c r="E13" s="30"/>
      <c r="F13" s="119"/>
      <c r="G13" s="30"/>
      <c r="H13" s="120"/>
      <c r="I13" s="29"/>
      <c r="J13" s="30"/>
      <c r="K13" s="30"/>
      <c r="L13" s="120"/>
      <c r="M13" s="121"/>
      <c r="N13" s="122"/>
      <c r="O13" s="122"/>
      <c r="P13" s="122"/>
      <c r="Q13" s="122"/>
      <c r="R13" s="122"/>
      <c r="S13" s="122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3"/>
    </row>
    <row r="14" spans="1:65" x14ac:dyDescent="0.25">
      <c r="A14" s="32"/>
      <c r="B14" s="33"/>
      <c r="C14" s="126"/>
      <c r="D14" s="68"/>
      <c r="E14" s="33"/>
      <c r="F14" s="97"/>
      <c r="G14" s="33"/>
      <c r="H14" s="34"/>
      <c r="I14" s="32"/>
      <c r="J14" s="33"/>
      <c r="K14" s="33"/>
      <c r="L14" s="45"/>
      <c r="M14" s="32"/>
      <c r="N14" s="33"/>
      <c r="O14" s="33"/>
      <c r="P14" s="33"/>
      <c r="Q14" s="33"/>
      <c r="R14" s="33"/>
      <c r="S14" s="33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45"/>
    </row>
    <row r="15" spans="1:65" x14ac:dyDescent="0.25">
      <c r="A15" s="8"/>
      <c r="B15" s="7"/>
      <c r="C15" s="127"/>
      <c r="D15" s="61"/>
      <c r="E15" s="7"/>
      <c r="F15" s="59"/>
      <c r="G15" s="7"/>
      <c r="H15" s="15"/>
      <c r="I15" s="8"/>
      <c r="J15" s="7"/>
      <c r="K15" s="7"/>
      <c r="L15" s="14"/>
      <c r="M15" s="8"/>
      <c r="N15" s="7"/>
      <c r="O15" s="7"/>
      <c r="P15" s="7"/>
      <c r="Q15" s="7"/>
      <c r="R15" s="7"/>
      <c r="S15" s="7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14"/>
    </row>
    <row r="16" spans="1:65" x14ac:dyDescent="0.25">
      <c r="A16" s="8"/>
      <c r="B16" s="7"/>
      <c r="C16" s="127"/>
      <c r="D16" s="61"/>
      <c r="E16" s="7"/>
      <c r="F16" s="59"/>
      <c r="G16" s="7"/>
      <c r="H16" s="15"/>
      <c r="I16" s="8"/>
      <c r="J16" s="7"/>
      <c r="K16" s="7"/>
      <c r="L16" s="14"/>
      <c r="M16" s="8"/>
      <c r="N16" s="7"/>
      <c r="O16" s="7"/>
      <c r="P16" s="7"/>
      <c r="Q16" s="7"/>
      <c r="R16" s="7"/>
      <c r="S16" s="7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14"/>
    </row>
    <row r="17" spans="1:65" x14ac:dyDescent="0.25">
      <c r="A17" s="8"/>
      <c r="B17" s="7"/>
      <c r="C17" s="127"/>
      <c r="D17" s="61"/>
      <c r="E17" s="7"/>
      <c r="F17" s="59"/>
      <c r="G17" s="7"/>
      <c r="H17" s="15"/>
      <c r="I17" s="8"/>
      <c r="J17" s="7"/>
      <c r="K17" s="7"/>
      <c r="L17" s="14"/>
      <c r="M17" s="8"/>
      <c r="N17" s="7"/>
      <c r="O17" s="7"/>
      <c r="P17" s="7"/>
      <c r="Q17" s="7"/>
      <c r="R17" s="7"/>
      <c r="S17" s="7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14"/>
    </row>
    <row r="18" spans="1:65" x14ac:dyDescent="0.25">
      <c r="A18" s="8"/>
      <c r="B18" s="7"/>
      <c r="C18" s="127"/>
      <c r="D18" s="61"/>
      <c r="E18" s="7"/>
      <c r="F18" s="59"/>
      <c r="G18" s="7"/>
      <c r="H18" s="15"/>
      <c r="I18" s="8"/>
      <c r="J18" s="7"/>
      <c r="K18" s="7"/>
      <c r="L18" s="14"/>
      <c r="M18" s="8"/>
      <c r="N18" s="7"/>
      <c r="O18" s="7"/>
      <c r="P18" s="7"/>
      <c r="Q18" s="7"/>
      <c r="R18" s="7"/>
      <c r="S18" s="7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14"/>
    </row>
    <row r="19" spans="1:65" x14ac:dyDescent="0.25">
      <c r="A19" s="8"/>
      <c r="B19" s="7"/>
      <c r="C19" s="127"/>
      <c r="D19" s="61"/>
      <c r="E19" s="7"/>
      <c r="F19" s="59"/>
      <c r="G19" s="7"/>
      <c r="H19" s="15"/>
      <c r="I19" s="8"/>
      <c r="J19" s="7"/>
      <c r="K19" s="7"/>
      <c r="L19" s="14"/>
      <c r="M19" s="8"/>
      <c r="N19" s="7"/>
      <c r="O19" s="7"/>
      <c r="P19" s="7"/>
      <c r="Q19" s="7"/>
      <c r="R19" s="7"/>
      <c r="S19" s="7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14"/>
    </row>
    <row r="20" spans="1:65" x14ac:dyDescent="0.25">
      <c r="A20" s="8"/>
      <c r="B20" s="7"/>
      <c r="C20" s="128"/>
      <c r="D20" s="61"/>
      <c r="E20" s="7"/>
      <c r="F20" s="59"/>
      <c r="G20" s="7"/>
      <c r="H20" s="15"/>
      <c r="I20" s="8"/>
      <c r="J20" s="7"/>
      <c r="K20" s="7"/>
      <c r="L20" s="14"/>
      <c r="M20" s="8"/>
      <c r="N20" s="7"/>
      <c r="O20" s="7"/>
      <c r="P20" s="7"/>
      <c r="Q20" s="7"/>
      <c r="R20" s="7"/>
      <c r="S20" s="7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14"/>
    </row>
    <row r="21" spans="1:65" x14ac:dyDescent="0.25">
      <c r="A21" s="8"/>
      <c r="B21" s="7"/>
      <c r="C21" s="128"/>
      <c r="D21" s="61"/>
      <c r="E21" s="7"/>
      <c r="F21" s="59"/>
      <c r="G21" s="7"/>
      <c r="H21" s="15"/>
      <c r="I21" s="8"/>
      <c r="J21" s="7"/>
      <c r="K21" s="7"/>
      <c r="L21" s="14"/>
      <c r="M21" s="8"/>
      <c r="N21" s="7"/>
      <c r="O21" s="7"/>
      <c r="P21" s="7"/>
      <c r="Q21" s="7"/>
      <c r="R21" s="7"/>
      <c r="S21" s="7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14"/>
    </row>
    <row r="22" spans="1:65" x14ac:dyDescent="0.25">
      <c r="A22" s="8"/>
      <c r="B22" s="7"/>
      <c r="C22" s="128"/>
      <c r="D22" s="61"/>
      <c r="E22" s="7"/>
      <c r="F22" s="59"/>
      <c r="G22" s="7"/>
      <c r="H22" s="15"/>
      <c r="I22" s="8"/>
      <c r="J22" s="7"/>
      <c r="K22" s="7"/>
      <c r="L22" s="14"/>
      <c r="M22" s="8"/>
      <c r="N22" s="7"/>
      <c r="O22" s="7"/>
      <c r="P22" s="7"/>
      <c r="Q22" s="7"/>
      <c r="R22" s="7"/>
      <c r="S22" s="7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14"/>
    </row>
    <row r="23" spans="1:65" x14ac:dyDescent="0.25">
      <c r="A23" s="8"/>
      <c r="B23" s="7"/>
      <c r="C23" s="128"/>
      <c r="D23" s="61"/>
      <c r="E23" s="7"/>
      <c r="F23" s="59"/>
      <c r="G23" s="7"/>
      <c r="H23" s="15"/>
      <c r="I23" s="8"/>
      <c r="J23" s="7"/>
      <c r="K23" s="7"/>
      <c r="L23" s="14"/>
      <c r="M23" s="8"/>
      <c r="N23" s="7"/>
      <c r="O23" s="7"/>
      <c r="P23" s="7"/>
      <c r="Q23" s="7"/>
      <c r="R23" s="7"/>
      <c r="S23" s="7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14"/>
    </row>
    <row r="24" spans="1:65" x14ac:dyDescent="0.25">
      <c r="A24" s="8"/>
      <c r="B24" s="7"/>
      <c r="C24" s="128"/>
      <c r="D24" s="61"/>
      <c r="E24" s="7"/>
      <c r="F24" s="59"/>
      <c r="G24" s="7"/>
      <c r="H24" s="15"/>
      <c r="I24" s="8"/>
      <c r="J24" s="7"/>
      <c r="K24" s="7"/>
      <c r="L24" s="14"/>
      <c r="M24" s="8"/>
      <c r="N24" s="7"/>
      <c r="O24" s="7"/>
      <c r="P24" s="7"/>
      <c r="Q24" s="7"/>
      <c r="R24" s="7"/>
      <c r="S24" s="7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14"/>
    </row>
    <row r="25" spans="1:65" ht="15.75" thickBot="1" x14ac:dyDescent="0.3">
      <c r="A25" s="54"/>
      <c r="B25" s="55"/>
      <c r="C25" s="129"/>
      <c r="D25" s="130"/>
      <c r="E25" s="55"/>
      <c r="F25" s="100"/>
      <c r="G25" s="55"/>
      <c r="H25" s="57"/>
      <c r="I25" s="54"/>
      <c r="J25" s="55"/>
      <c r="K25" s="55"/>
      <c r="L25" s="66"/>
      <c r="M25" s="54"/>
      <c r="N25" s="55"/>
      <c r="O25" s="55"/>
      <c r="P25" s="55"/>
      <c r="Q25" s="55"/>
      <c r="R25" s="55"/>
      <c r="S25" s="55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66"/>
    </row>
    <row r="26" spans="1:65" ht="15.75" thickBot="1" x14ac:dyDescent="0.3">
      <c r="A26" s="29"/>
      <c r="B26" s="30"/>
      <c r="C26" s="23"/>
      <c r="D26" s="23"/>
      <c r="E26" s="23"/>
      <c r="F26" s="119"/>
      <c r="G26" s="30"/>
      <c r="H26" s="120"/>
      <c r="I26" s="131"/>
      <c r="J26" s="23"/>
      <c r="K26" s="23"/>
      <c r="L26" s="24"/>
      <c r="M26" s="132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4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2EDB-AA1C-43EC-BE52-26B044BB4B5B}">
  <dimension ref="A1:AI1"/>
  <sheetViews>
    <sheetView tabSelected="1" workbookViewId="0">
      <selection activeCell="Q12" sqref="Q12"/>
    </sheetView>
  </sheetViews>
  <sheetFormatPr defaultColWidth="8.85546875" defaultRowHeight="15" x14ac:dyDescent="0.25"/>
  <cols>
    <col min="2" max="2" width="11.42578125" customWidth="1"/>
    <col min="3" max="3" width="6.85546875" customWidth="1"/>
  </cols>
  <sheetData>
    <row r="1" spans="1:35" ht="15.75" thickBot="1" x14ac:dyDescent="0.3">
      <c r="A1" s="134" t="s">
        <v>13</v>
      </c>
      <c r="B1" s="134" t="s">
        <v>47</v>
      </c>
      <c r="C1" s="11">
        <v>2018</v>
      </c>
      <c r="D1" s="12">
        <v>2019</v>
      </c>
      <c r="E1" s="25">
        <v>2020</v>
      </c>
      <c r="F1" s="25">
        <v>2021</v>
      </c>
      <c r="G1" s="25">
        <v>2022</v>
      </c>
      <c r="H1" s="25">
        <v>2023</v>
      </c>
      <c r="I1" s="25">
        <v>2024</v>
      </c>
      <c r="J1" s="25">
        <v>2025</v>
      </c>
      <c r="K1" s="25">
        <v>2026</v>
      </c>
      <c r="L1" s="25">
        <v>2027</v>
      </c>
      <c r="M1" s="25">
        <v>2028</v>
      </c>
      <c r="N1" s="25">
        <v>2029</v>
      </c>
      <c r="O1" s="25">
        <v>2030</v>
      </c>
      <c r="P1" s="25">
        <v>2031</v>
      </c>
      <c r="Q1" s="25">
        <v>2032</v>
      </c>
      <c r="R1" s="25">
        <v>2033</v>
      </c>
      <c r="S1" s="25">
        <v>2034</v>
      </c>
      <c r="T1" s="25">
        <v>2035</v>
      </c>
      <c r="U1" s="25">
        <v>2036</v>
      </c>
      <c r="V1" s="25">
        <v>2037</v>
      </c>
      <c r="W1" s="25">
        <v>2038</v>
      </c>
      <c r="X1" s="25">
        <v>2039</v>
      </c>
      <c r="Y1" s="25">
        <v>2040</v>
      </c>
      <c r="Z1" s="25">
        <v>2041</v>
      </c>
      <c r="AA1" s="25">
        <v>2042</v>
      </c>
      <c r="AB1" s="25">
        <v>2043</v>
      </c>
      <c r="AC1" s="25">
        <v>2044</v>
      </c>
      <c r="AD1" s="25">
        <v>2045</v>
      </c>
      <c r="AE1" s="25">
        <v>2046</v>
      </c>
      <c r="AF1" s="25">
        <v>2047</v>
      </c>
      <c r="AG1" s="25">
        <v>2048</v>
      </c>
      <c r="AH1" s="25">
        <v>2049</v>
      </c>
      <c r="AI1" s="26">
        <v>2050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55314f-45f1-40c9-9fce-63556e193d0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FB0E003A88C4B9D9793633BA4B356" ma:contentTypeVersion="12" ma:contentTypeDescription="Create a new document." ma:contentTypeScope="" ma:versionID="47be61afb57dbdcdac73424092eefa1c">
  <xsd:schema xmlns:xsd="http://www.w3.org/2001/XMLSchema" xmlns:xs="http://www.w3.org/2001/XMLSchema" xmlns:p="http://schemas.microsoft.com/office/2006/metadata/properties" xmlns:ns2="0d55314f-45f1-40c9-9fce-63556e193d03" targetNamespace="http://schemas.microsoft.com/office/2006/metadata/properties" ma:root="true" ma:fieldsID="2e59f5c7e704c6a619606efe0cdd9ac5" ns2:_="">
    <xsd:import namespace="0d55314f-45f1-40c9-9fce-63556e193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314f-45f1-40c9-9fce-63556e193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2C5AAE-4458-4DEE-9074-092470EFA1F2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0d55314f-45f1-40c9-9fce-63556e193d03"/>
  </ds:schemaRefs>
</ds:datastoreItem>
</file>

<file path=customXml/itemProps2.xml><?xml version="1.0" encoding="utf-8"?>
<ds:datastoreItem xmlns:ds="http://schemas.openxmlformats.org/officeDocument/2006/customXml" ds:itemID="{F32CCCFA-9BD8-482F-AB82-F78A273A39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55314f-45f1-40c9-9fce-63556e193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SmartGrid</vt:lpstr>
      <vt:lpstr>Efficiency</vt:lpstr>
      <vt:lpstr>TElasticity</vt:lpstr>
      <vt:lpstr>Waste</vt:lpstr>
      <vt:lpstr>IPPU</vt:lpstr>
      <vt:lpstr>Emission_Restriction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2025-08-05T20:32:08Z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0x010100F74FB0E003A88C4B9D9793633BA4B356</vt:lpwstr>
  </property>
  <property fmtid="{D5CDD505-2E9C-101B-9397-08002B2CF9AE}" pid="3" name="MediaServiceImageTags">
    <vt:lpwstr/>
  </property>
</Properties>
</file>