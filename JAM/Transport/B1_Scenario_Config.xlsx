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JAM\Transport\"/>
    </mc:Choice>
  </mc:AlternateContent>
  <xr:revisionPtr revIDLastSave="0" documentId="13_ncr:1_{1466F258-3A5D-4E2B-8498-C5A6E515A171}" xr6:coauthVersionLast="47" xr6:coauthVersionMax="47" xr10:uidLastSave="{00000000-0000-0000-0000-000000000000}"/>
  <bookViews>
    <workbookView xWindow="28680" yWindow="-120" windowWidth="29040" windowHeight="15720" tabRatio="705" firstSheet="7" activeTab="15" xr2:uid="{00000000-000D-0000-FFFF-FFFF00000000}"/>
  </bookViews>
  <sheets>
    <sheet name="Scenarios" sheetId="7" r:id="rId1"/>
    <sheet name="Overall_Parameters" sheetId="4" r:id="rId2"/>
    <sheet name="Mode_Shift" sheetId="5" r:id="rId3"/>
    <sheet name="Distance_Levers" sheetId="3" r:id="rId4"/>
    <sheet name="Mode_Shift_Old2Log" sheetId="21" r:id="rId5"/>
    <sheet name="Mode_Shift2" sheetId="19" r:id="rId6"/>
    <sheet name="Occupancy_Rate" sheetId="6" r:id="rId7"/>
    <sheet name="Electrical" sheetId="13" r:id="rId8"/>
    <sheet name="Tech_Adoption" sheetId="2" r:id="rId9"/>
    <sheet name="Tech_Adoption_Old2Log" sheetId="20" r:id="rId10"/>
    <sheet name="Tech_Adoption_Old" sheetId="18" r:id="rId11"/>
    <sheet name="T_Elasticity" sheetId="15" r:id="rId12"/>
    <sheet name="SmartGrid" sheetId="14" r:id="rId13"/>
    <sheet name="SmartGrid_old2" sheetId="22" r:id="rId14"/>
    <sheet name="SmartGrid_old" sheetId="17" r:id="rId15"/>
    <sheet name="Efficiency" sheetId="9" r:id="rId16"/>
  </sheets>
  <definedNames>
    <definedName name="_xlnm._FilterDatabase" localSheetId="7" hidden="1">Electrical!$A$1:$Q$1</definedName>
    <definedName name="_xlnm._FilterDatabase" localSheetId="8" hidden="1">Tech_Adoption!$A$1:$Q$71</definedName>
    <definedName name="_xlnm._FilterDatabase" localSheetId="10" hidden="1">Tech_Adoption_Old!$A$1:$Q$1</definedName>
    <definedName name="_xlnm._FilterDatabase" localSheetId="9" hidden="1">Tech_Adoption_Old2Log!$A$1:$Q$71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8" i="22" l="1"/>
  <c r="AM8" i="22"/>
  <c r="AL8" i="22"/>
  <c r="AK8" i="22"/>
  <c r="AJ8" i="22"/>
  <c r="AI8" i="22"/>
  <c r="AH8" i="22"/>
  <c r="AG8" i="22"/>
  <c r="AF8" i="22"/>
  <c r="AE8" i="22"/>
  <c r="AD8" i="22"/>
  <c r="AC8" i="22"/>
  <c r="AB8" i="22"/>
  <c r="AA8" i="22"/>
  <c r="Z8" i="22"/>
  <c r="Y8" i="22"/>
  <c r="X8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AN7" i="22"/>
  <c r="AM7" i="22"/>
  <c r="AL7" i="22"/>
  <c r="AK7" i="22"/>
  <c r="AJ7" i="22"/>
  <c r="AI7" i="22"/>
  <c r="AH7" i="22"/>
  <c r="AG7" i="22"/>
  <c r="AF7" i="22"/>
  <c r="AE7" i="22"/>
  <c r="AD7" i="22"/>
  <c r="AC7" i="22"/>
  <c r="AB7" i="22"/>
  <c r="AA7" i="22"/>
  <c r="Z7" i="22"/>
  <c r="Y7" i="22"/>
  <c r="X7" i="22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AN6" i="22"/>
  <c r="AM6" i="22"/>
  <c r="AL6" i="22"/>
  <c r="AK6" i="22"/>
  <c r="AJ6" i="22"/>
  <c r="AI6" i="22"/>
  <c r="AH6" i="22"/>
  <c r="AG6" i="22"/>
  <c r="AF6" i="22"/>
  <c r="AE6" i="22"/>
  <c r="AD6" i="22"/>
  <c r="AC6" i="22"/>
  <c r="AB6" i="22"/>
  <c r="AA6" i="22"/>
  <c r="Z6" i="22"/>
  <c r="Y6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AN5" i="22"/>
  <c r="AM5" i="22"/>
  <c r="AL5" i="22"/>
  <c r="AK5" i="22"/>
  <c r="AJ5" i="22"/>
  <c r="AI5" i="22"/>
  <c r="AH5" i="22"/>
  <c r="AG5" i="22"/>
  <c r="AF5" i="22"/>
  <c r="AE5" i="22"/>
  <c r="AD5" i="22"/>
  <c r="AC5" i="22"/>
  <c r="AB5" i="22"/>
  <c r="AA5" i="22"/>
  <c r="Z5" i="22"/>
  <c r="Y5" i="22"/>
  <c r="X5" i="22"/>
  <c r="W5" i="22"/>
  <c r="V5" i="22"/>
  <c r="U5" i="22"/>
  <c r="T5" i="22"/>
  <c r="S5" i="22"/>
  <c r="R5" i="22"/>
  <c r="Q5" i="22"/>
  <c r="P5" i="22"/>
  <c r="O5" i="22"/>
  <c r="N5" i="22"/>
  <c r="M5" i="22"/>
  <c r="L5" i="22"/>
  <c r="K5" i="22"/>
  <c r="AN4" i="22"/>
  <c r="AM4" i="22"/>
  <c r="AL4" i="22"/>
  <c r="AK4" i="22"/>
  <c r="AJ4" i="22"/>
  <c r="AI4" i="22"/>
  <c r="AH4" i="22"/>
  <c r="AG4" i="22"/>
  <c r="AF4" i="22"/>
  <c r="AE4" i="22"/>
  <c r="AD4" i="22"/>
  <c r="AC4" i="22"/>
  <c r="AB4" i="22"/>
  <c r="AA4" i="22"/>
  <c r="Z4" i="22"/>
  <c r="Y4" i="22"/>
  <c r="X4" i="22"/>
  <c r="W4" i="22"/>
  <c r="V4" i="22"/>
  <c r="U4" i="22"/>
  <c r="T4" i="22"/>
  <c r="S4" i="22"/>
  <c r="R4" i="22"/>
  <c r="Q4" i="22"/>
  <c r="P4" i="22"/>
  <c r="O4" i="22"/>
  <c r="N4" i="22"/>
  <c r="M4" i="22"/>
  <c r="L4" i="22"/>
  <c r="K4" i="22"/>
  <c r="AN3" i="22"/>
  <c r="AM3" i="22"/>
  <c r="AL3" i="22"/>
  <c r="AK3" i="22"/>
  <c r="AJ3" i="22"/>
  <c r="AI3" i="22"/>
  <c r="AH3" i="22"/>
  <c r="AG3" i="22"/>
  <c r="AF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AN2" i="22"/>
  <c r="AM2" i="22"/>
  <c r="AL2" i="22"/>
  <c r="AK2" i="22"/>
  <c r="AJ2" i="22"/>
  <c r="AI2" i="22"/>
  <c r="AH2" i="22"/>
  <c r="AG2" i="22"/>
  <c r="AF2" i="22"/>
  <c r="AE2" i="22"/>
  <c r="AD2" i="22"/>
  <c r="AC2" i="22"/>
  <c r="AB2" i="22"/>
  <c r="AA2" i="22"/>
  <c r="Z2" i="22"/>
  <c r="Y2" i="22"/>
  <c r="X2" i="22"/>
  <c r="W2" i="22"/>
  <c r="V2" i="22"/>
  <c r="U2" i="22"/>
  <c r="T2" i="22"/>
  <c r="S2" i="22"/>
  <c r="R2" i="22"/>
  <c r="Q2" i="22"/>
  <c r="P2" i="22"/>
  <c r="O2" i="22"/>
  <c r="N2" i="22"/>
  <c r="M2" i="22"/>
  <c r="L2" i="22"/>
  <c r="K2" i="22"/>
  <c r="AN8" i="17"/>
  <c r="T8" i="17"/>
  <c r="K8" i="17"/>
  <c r="AN7" i="17"/>
  <c r="T7" i="17"/>
  <c r="K7" i="17"/>
  <c r="AN6" i="17"/>
  <c r="T6" i="17"/>
  <c r="K6" i="17"/>
  <c r="AN5" i="17"/>
  <c r="T5" i="17"/>
  <c r="K5" i="17"/>
  <c r="AN4" i="17"/>
  <c r="T4" i="17"/>
  <c r="K4" i="17"/>
  <c r="AN3" i="17"/>
  <c r="T3" i="17"/>
  <c r="K3" i="17"/>
  <c r="AN2" i="17"/>
  <c r="T2" i="17"/>
  <c r="K2" i="17"/>
  <c r="AM2" i="17" l="1"/>
  <c r="AM4" i="17"/>
  <c r="AM5" i="17"/>
  <c r="S7" i="17"/>
  <c r="AM7" i="17"/>
  <c r="S4" i="17"/>
  <c r="S6" i="17"/>
  <c r="S3" i="17"/>
  <c r="AM6" i="17"/>
  <c r="S8" i="17"/>
  <c r="AM3" i="17"/>
  <c r="S5" i="17"/>
  <c r="S2" i="17"/>
  <c r="AM8" i="17"/>
  <c r="R6" i="17"/>
  <c r="R2" i="17"/>
  <c r="R7" i="17"/>
  <c r="R3" i="17"/>
  <c r="R8" i="17"/>
  <c r="R4" i="17"/>
  <c r="R5" i="17"/>
  <c r="AL8" i="17"/>
  <c r="AL4" i="17"/>
  <c r="AL5" i="17"/>
  <c r="AL6" i="17"/>
  <c r="AL2" i="17"/>
  <c r="AL7" i="17"/>
  <c r="AL3" i="17"/>
  <c r="AK8" i="17" l="1"/>
  <c r="AK4" i="17"/>
  <c r="AK2" i="17"/>
  <c r="AK5" i="17"/>
  <c r="AK6" i="17"/>
  <c r="AK7" i="17"/>
  <c r="AK3" i="17"/>
  <c r="Q6" i="17"/>
  <c r="Q2" i="17"/>
  <c r="Q8" i="17"/>
  <c r="Q7" i="17"/>
  <c r="Q3" i="17"/>
  <c r="Q4" i="17"/>
  <c r="Q5" i="17"/>
  <c r="P5" i="17" l="1"/>
  <c r="P6" i="17"/>
  <c r="P2" i="17"/>
  <c r="P7" i="17"/>
  <c r="P3" i="17"/>
  <c r="P8" i="17"/>
  <c r="P4" i="17"/>
  <c r="AJ7" i="17"/>
  <c r="AJ3" i="17"/>
  <c r="AJ8" i="17"/>
  <c r="AJ4" i="17"/>
  <c r="AJ5" i="17"/>
  <c r="AJ6" i="17"/>
  <c r="AJ2" i="17"/>
  <c r="O5" i="17" l="1"/>
  <c r="O7" i="17"/>
  <c r="O6" i="17"/>
  <c r="O2" i="17"/>
  <c r="O3" i="17"/>
  <c r="O8" i="17"/>
  <c r="O4" i="17"/>
  <c r="AI7" i="17"/>
  <c r="AI3" i="17"/>
  <c r="AI8" i="17"/>
  <c r="AI4" i="17"/>
  <c r="AI5" i="17"/>
  <c r="AI6" i="17"/>
  <c r="AI2" i="17"/>
  <c r="AH6" i="17" l="1"/>
  <c r="AH2" i="17"/>
  <c r="AH7" i="17"/>
  <c r="AH3" i="17"/>
  <c r="AH8" i="17"/>
  <c r="AH4" i="17"/>
  <c r="AH5" i="17"/>
  <c r="N8" i="17"/>
  <c r="N4" i="17"/>
  <c r="N5" i="17"/>
  <c r="N6" i="17"/>
  <c r="N2" i="17"/>
  <c r="N7" i="17"/>
  <c r="N3" i="17"/>
  <c r="M8" i="17" l="1"/>
  <c r="M4" i="17"/>
  <c r="M6" i="17"/>
  <c r="M5" i="17"/>
  <c r="M2" i="17"/>
  <c r="M7" i="17"/>
  <c r="M3" i="17"/>
  <c r="AG6" i="17"/>
  <c r="AG2" i="17"/>
  <c r="AG7" i="17"/>
  <c r="AG3" i="17"/>
  <c r="AG4" i="17"/>
  <c r="AG8" i="17"/>
  <c r="AG5" i="17"/>
  <c r="AF5" i="17" l="1"/>
  <c r="AF6" i="17"/>
  <c r="AF2" i="17"/>
  <c r="AF7" i="17"/>
  <c r="AF3" i="17"/>
  <c r="AF8" i="17"/>
  <c r="AF4" i="17"/>
  <c r="L7" i="17"/>
  <c r="L3" i="17"/>
  <c r="L8" i="17"/>
  <c r="L4" i="17"/>
  <c r="L5" i="17"/>
  <c r="L6" i="17"/>
  <c r="L2" i="17"/>
  <c r="AE5" i="17" l="1"/>
  <c r="AE6" i="17"/>
  <c r="AE2" i="17"/>
  <c r="AE3" i="17"/>
  <c r="AE7" i="17"/>
  <c r="AE8" i="17"/>
  <c r="AE4" i="17"/>
  <c r="AD8" i="17" l="1"/>
  <c r="AD4" i="17"/>
  <c r="AD5" i="17"/>
  <c r="AD6" i="17"/>
  <c r="AD2" i="17"/>
  <c r="AD7" i="17"/>
  <c r="AD3" i="17"/>
  <c r="AC8" i="17" l="1"/>
  <c r="AC4" i="17"/>
  <c r="AC5" i="17"/>
  <c r="AC6" i="17"/>
  <c r="AC2" i="17"/>
  <c r="AC7" i="17"/>
  <c r="AC3" i="17"/>
  <c r="AB7" i="17" l="1"/>
  <c r="AB3" i="17"/>
  <c r="AB8" i="17"/>
  <c r="AB4" i="17"/>
  <c r="AB5" i="17"/>
  <c r="AB6" i="17"/>
  <c r="AB2" i="17"/>
  <c r="AA7" i="17" l="1"/>
  <c r="AA3" i="17"/>
  <c r="AA8" i="17"/>
  <c r="AA4" i="17"/>
  <c r="AA5" i="17"/>
  <c r="AA6" i="17"/>
  <c r="AA2" i="17"/>
  <c r="Z6" i="17" l="1"/>
  <c r="Z2" i="17"/>
  <c r="Z7" i="17"/>
  <c r="Z3" i="17"/>
  <c r="Z8" i="17"/>
  <c r="Z4" i="17"/>
  <c r="Z5" i="17"/>
  <c r="Y6" i="17" l="1"/>
  <c r="Y2" i="17"/>
  <c r="Y7" i="17"/>
  <c r="Y3" i="17"/>
  <c r="Y8" i="17"/>
  <c r="Y4" i="17"/>
  <c r="Y5" i="17"/>
  <c r="X5" i="17" l="1"/>
  <c r="X6" i="17"/>
  <c r="X2" i="17"/>
  <c r="X7" i="17"/>
  <c r="X3" i="17"/>
  <c r="X8" i="17"/>
  <c r="X4" i="17"/>
  <c r="W5" i="17" l="1"/>
  <c r="W6" i="17"/>
  <c r="W2" i="17"/>
  <c r="W7" i="17"/>
  <c r="W3" i="17"/>
  <c r="W8" i="17"/>
  <c r="W4" i="17"/>
  <c r="V8" i="17" l="1"/>
  <c r="V4" i="17"/>
  <c r="V5" i="17"/>
  <c r="V6" i="17"/>
  <c r="V2" i="17"/>
  <c r="V7" i="17"/>
  <c r="V3" i="17"/>
  <c r="U8" i="17" l="1"/>
  <c r="U4" i="17"/>
  <c r="U5" i="17"/>
  <c r="U6" i="17"/>
  <c r="U2" i="17"/>
  <c r="U7" i="17"/>
  <c r="U3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B55EC6D8-8921-48FC-94D9-BB9572B53282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FF2808A2-75AF-4426-A35F-CE30E1E0BDA4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715B7105-9237-47CC-8C11-0981D248034A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73AA5241-3262-49C7-89CE-CFCC2167EA78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0775AA7D-2E52-4493-8CAD-C1F88D748161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H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H1" authorId="0" shapeId="0" xr:uid="{95C3B535-2EE3-4A6C-B452-ED306F73AE15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H1" authorId="0" shapeId="0" xr:uid="{3ACFE8F0-D459-4CE7-BDFB-8EFEDCEA07CF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Ignacio  Alfaro Corrales</author>
  </authors>
  <commentList>
    <comment ref="C2" authorId="0" shapeId="0" xr:uid="{6F425085-8D69-4C90-9897-FA2B67EDBDC1}">
      <text>
        <r>
          <rPr>
            <b/>
            <sz val="9"/>
            <color indexed="81"/>
            <rFont val="Tahoma"/>
            <family val="2"/>
          </rPr>
          <t>E4DSL_HEA</t>
        </r>
      </text>
    </comment>
    <comment ref="C3" authorId="0" shapeId="0" xr:uid="{86694677-3D8F-4429-A27F-DCE7BBBE458B}">
      <text>
        <r>
          <rPr>
            <b/>
            <sz val="9"/>
            <color indexed="81"/>
            <rFont val="Tahoma"/>
            <family val="2"/>
          </rPr>
          <t>E4FOI_HEA</t>
        </r>
      </text>
    </comment>
    <comment ref="C4" authorId="0" shapeId="0" xr:uid="{9031E78D-BC05-4F1B-A25A-2BC15913436E}">
      <text>
        <r>
          <rPr>
            <b/>
            <sz val="9"/>
            <color indexed="81"/>
            <rFont val="Tahoma"/>
            <family val="2"/>
          </rPr>
          <t>E4DSL_LIG</t>
        </r>
      </text>
    </comment>
    <comment ref="C5" authorId="0" shapeId="0" xr:uid="{4A6F11BD-729A-447B-8669-027F5B418A26}">
      <text>
        <r>
          <rPr>
            <b/>
            <sz val="9"/>
            <color indexed="81"/>
            <rFont val="Tahoma"/>
            <family val="2"/>
          </rPr>
          <t>E4GSL_LIG</t>
        </r>
      </text>
    </comment>
    <comment ref="C6" authorId="0" shapeId="0" xr:uid="{6D63F390-339A-483E-95E5-6B7C6CA056DB}">
      <text>
        <r>
          <rPr>
            <b/>
            <sz val="9"/>
            <color indexed="81"/>
            <rFont val="Tahoma"/>
            <family val="2"/>
          </rPr>
          <t>E4DSL_PRI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" authorId="0" shapeId="0" xr:uid="{012EA86C-BCC6-4031-B453-15682D1368BE}">
      <text>
        <r>
          <rPr>
            <b/>
            <sz val="9"/>
            <color indexed="81"/>
            <rFont val="Tahoma"/>
            <family val="2"/>
          </rPr>
          <t>E4GSL_PRI</t>
        </r>
      </text>
    </comment>
    <comment ref="C8" authorId="0" shapeId="0" xr:uid="{704A5C65-C290-4BD3-8F2B-294DB2E8B3F9}">
      <text>
        <r>
          <rPr>
            <b/>
            <sz val="9"/>
            <color indexed="81"/>
            <rFont val="Tahoma"/>
            <family val="2"/>
          </rPr>
          <t>E4GSL_PRI</t>
        </r>
      </text>
    </comment>
    <comment ref="C9" authorId="0" shapeId="0" xr:uid="{6A5D8B44-217F-42FC-9FB4-AB8FF03932B9}">
      <text>
        <r>
          <rPr>
            <b/>
            <sz val="9"/>
            <color indexed="81"/>
            <rFont val="Tahoma"/>
            <family val="2"/>
          </rPr>
          <t>E4DSL_PRI</t>
        </r>
      </text>
    </comment>
    <comment ref="C10" authorId="0" shapeId="0" xr:uid="{461769D8-82DC-46E8-B212-2B47BF2D2573}">
      <text>
        <r>
          <rPr>
            <b/>
            <sz val="9"/>
            <color indexed="81"/>
            <rFont val="Tahoma"/>
            <family val="2"/>
          </rPr>
          <t>E4GSL_PRI</t>
        </r>
      </text>
    </comment>
    <comment ref="C11" authorId="0" shapeId="0" xr:uid="{7BF4343A-E60B-4819-B153-A4EDB18288B2}">
      <text>
        <r>
          <rPr>
            <b/>
            <sz val="9"/>
            <color indexed="81"/>
            <rFont val="Tahoma"/>
            <family val="2"/>
          </rPr>
          <t>E4GSL_PUB</t>
        </r>
      </text>
    </comment>
    <comment ref="C12" authorId="0" shapeId="0" xr:uid="{BA5D959A-7A5E-4D5C-87BC-26289C7B35DD}">
      <text>
        <r>
          <rPr>
            <b/>
            <sz val="9"/>
            <color indexed="81"/>
            <rFont val="Tahoma"/>
            <family val="2"/>
          </rPr>
          <t>E4DSL_PUB</t>
        </r>
      </text>
    </comment>
    <comment ref="C13" authorId="0" shapeId="0" xr:uid="{FF3BCBB7-2CB3-4294-9C5C-F891B0890762}">
      <text>
        <r>
          <rPr>
            <b/>
            <sz val="9"/>
            <color indexed="81"/>
            <rFont val="Tahoma"/>
            <family val="2"/>
          </rPr>
          <t>E4GSL_PUB</t>
        </r>
      </text>
    </comment>
    <comment ref="C14" authorId="0" shapeId="0" xr:uid="{804C637E-B8DA-4438-A67A-2B33649C739B}">
      <text>
        <r>
          <rPr>
            <b/>
            <sz val="9"/>
            <color indexed="81"/>
            <rFont val="Tahoma"/>
            <family val="2"/>
          </rPr>
          <t>E4DSL_PUB</t>
        </r>
      </text>
    </comment>
    <comment ref="C15" authorId="0" shapeId="0" xr:uid="{9EEF2E50-9B00-4A3B-8B32-7859CCEB7B49}">
      <text>
        <r>
          <rPr>
            <b/>
            <sz val="9"/>
            <color indexed="81"/>
            <rFont val="Tahoma"/>
            <family val="2"/>
          </rPr>
          <t>E4GSL_PUB</t>
        </r>
      </text>
    </comment>
  </commentList>
</comments>
</file>

<file path=xl/sharedStrings.xml><?xml version="1.0" encoding="utf-8"?>
<sst xmlns="http://schemas.openxmlformats.org/spreadsheetml/2006/main" count="1708" uniqueCount="142">
  <si>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</si>
  <si>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</si>
  <si>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</si>
  <si>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</si>
  <si>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</si>
  <si>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</si>
  <si>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</si>
  <si>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</si>
  <si>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</si>
  <si>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Represents a system based on fossil fuels and private transport for the next 30 years.</t>
  </si>
  <si>
    <t>NO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</si>
  <si>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</si>
  <si>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</si>
  <si>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</si>
  <si>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</si>
  <si>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</si>
  <si>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</si>
  <si>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</si>
  <si>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</si>
  <si>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</si>
  <si>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</si>
  <si>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</si>
  <si>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</si>
  <si>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</si>
  <si>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</si>
  <si>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</si>
  <si>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</si>
  <si>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</si>
  <si>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</si>
  <si>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</si>
  <si>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</si>
  <si>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</si>
  <si>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</si>
  <si>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</si>
  <si>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Public</t>
  </si>
  <si>
    <t>n.a.</t>
  </si>
  <si>
    <t>Relative increase to BAU - occupancy rate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</si>
  <si>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</si>
  <si>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</si>
  <si>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</si>
  <si>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</si>
  <si>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</si>
  <si>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</si>
  <si>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</si>
  <si>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</si>
  <si>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</si>
  <si>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Sector</t>
  </si>
  <si>
    <t>Restriction_Type</t>
  </si>
  <si>
    <t>Set</t>
  </si>
  <si>
    <t>Set_Index</t>
  </si>
  <si>
    <t>None</t>
  </si>
  <si>
    <t>Exact_Multiplier</t>
  </si>
  <si>
    <t> </t>
  </si>
  <si>
    <t>EmissionActivityRatio</t>
  </si>
  <si>
    <t>T4DSL_PRI</t>
  </si>
  <si>
    <t>T4GSL_PRI</t>
  </si>
  <si>
    <t>T4GSL_PUB</t>
  </si>
  <si>
    <t>T4DSL_PUB</t>
  </si>
  <si>
    <t>T4DSL_HEA</t>
  </si>
  <si>
    <t>T4DSL_LIG</t>
  </si>
  <si>
    <t>T4GSL_LIG</t>
  </si>
  <si>
    <t>Maritime</t>
  </si>
  <si>
    <t>Aviation</t>
  </si>
  <si>
    <t>Maritime Freight</t>
  </si>
  <si>
    <t>Transport</t>
  </si>
  <si>
    <t>Private</t>
  </si>
  <si>
    <t>Automobiles Diesel</t>
  </si>
  <si>
    <t>TRAUTDSL</t>
  </si>
  <si>
    <t>interp</t>
  </si>
  <si>
    <t>Max</t>
  </si>
  <si>
    <t>Automobiles Gasoline</t>
  </si>
  <si>
    <t>TRAUTGSL</t>
  </si>
  <si>
    <t>Min</t>
  </si>
  <si>
    <t>Automobiles Electric</t>
  </si>
  <si>
    <t>TRAUTELE</t>
  </si>
  <si>
    <t>Min/Max</t>
  </si>
  <si>
    <t>Automobiles Hybrid Gasoline</t>
  </si>
  <si>
    <t>TRAUTHG</t>
  </si>
  <si>
    <t>Motorcycle Gasoline</t>
  </si>
  <si>
    <t>TRMOTGSL</t>
  </si>
  <si>
    <t>Motorcycle Electric</t>
  </si>
  <si>
    <t>TRMOTELE</t>
  </si>
  <si>
    <t>Pick Up and Jeep Diesel</t>
  </si>
  <si>
    <t>TRSUVDSL</t>
  </si>
  <si>
    <t>Pick Up and Jeep Gasoline</t>
  </si>
  <si>
    <t>TRSUVGSL</t>
  </si>
  <si>
    <t>Pick Up and Jeep Electric</t>
  </si>
  <si>
    <t>TRSUVELE</t>
  </si>
  <si>
    <t>Taxi Gasoline</t>
  </si>
  <si>
    <t>TRTAXGSL</t>
  </si>
  <si>
    <t>Taxi Electric</t>
  </si>
  <si>
    <t>TRTAXELE</t>
  </si>
  <si>
    <t>Minibus Diesel</t>
  </si>
  <si>
    <t>TRMBSDSL</t>
  </si>
  <si>
    <t>Minibus Gasoline</t>
  </si>
  <si>
    <t>TRMBSGSL</t>
  </si>
  <si>
    <t>Minibus Electric</t>
  </si>
  <si>
    <t>TRMBSELE</t>
  </si>
  <si>
    <t>Bus Public Diesel</t>
  </si>
  <si>
    <t>TRBPUDSL</t>
  </si>
  <si>
    <t>Bus Public Gasoline</t>
  </si>
  <si>
    <t>TRBPUGSL</t>
  </si>
  <si>
    <t>Bus Public Electric</t>
  </si>
  <si>
    <t>TRBPUELE</t>
  </si>
  <si>
    <t>Bus Public Hydrogen</t>
  </si>
  <si>
    <t>TRBPUHYD</t>
  </si>
  <si>
    <t>Heavy Fright</t>
  </si>
  <si>
    <t>Heavy Truck Diesel</t>
  </si>
  <si>
    <t>TRYTKDSL</t>
  </si>
  <si>
    <t>Heavy Truck Fuel Oil</t>
  </si>
  <si>
    <t>TRYTKFOI</t>
  </si>
  <si>
    <t>Heavy Truck Electric</t>
  </si>
  <si>
    <t>TRYTKELE</t>
  </si>
  <si>
    <t>Heavy Truck Hydrogen</t>
  </si>
  <si>
    <t>TRYTKHYD</t>
  </si>
  <si>
    <t>Heavy Truck Hybrid Diesel</t>
  </si>
  <si>
    <t>TRYTKHD</t>
  </si>
  <si>
    <t>Light Freight</t>
  </si>
  <si>
    <t>Light Truck Diesel</t>
  </si>
  <si>
    <t>TRYLFDSL</t>
  </si>
  <si>
    <t>Light Truck Gasoline</t>
  </si>
  <si>
    <t>TRYLFGSL</t>
  </si>
  <si>
    <t>Light Truck Electric</t>
  </si>
  <si>
    <t>TRYLFELE</t>
  </si>
  <si>
    <t>Light Truck Hybrid Diesel</t>
  </si>
  <si>
    <t>TRYLFHD</t>
  </si>
  <si>
    <t>Maritime Diesel</t>
  </si>
  <si>
    <t>TRMARDSL</t>
  </si>
  <si>
    <t>Maritime Fuel Oil</t>
  </si>
  <si>
    <t>TRMARFOI</t>
  </si>
  <si>
    <t>Maritime Hydrogen</t>
  </si>
  <si>
    <t>TRMARHYD</t>
  </si>
  <si>
    <t>Maritime Freight Diesel</t>
  </si>
  <si>
    <t>TRMAMFREDSL</t>
  </si>
  <si>
    <t>Maritime Freight Fuel Oil</t>
  </si>
  <si>
    <t>TRMAMFREFOI</t>
  </si>
  <si>
    <t>Maritime Freight Hydrogen</t>
  </si>
  <si>
    <t>TRMAMFREHYD</t>
  </si>
  <si>
    <t>Aviation Kerosen</t>
  </si>
  <si>
    <t>TRAVKER</t>
  </si>
  <si>
    <t>Aviation Hydrogen</t>
  </si>
  <si>
    <t>TRAVHYD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</si>
</sst>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rgb="FFFF7C8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E87331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D6E3BC"/>
        <bgColor rgb="FFD6E3BC"/>
      </patternFill>
    </fill>
    <fill>
      <patternFill patternType="solid">
        <fgColor rgb="FFDAEEF3"/>
        <bgColor rgb="FFDAEEF3"/>
      </patternFill>
    </fill>
    <fill>
      <patternFill patternType="solid">
        <fgColor rgb="FFE87331"/>
        <bgColor rgb="FFDAEEF3"/>
      </patternFill>
    </fill>
    <fill>
      <patternFill patternType="solid">
        <fgColor rgb="FF9BC2E6"/>
        <bgColor rgb="FF000000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4" xfId="0" applyBorder="1"/>
    <xf numFmtId="0" fontId="0" fillId="0" borderId="6" xfId="0" applyBorder="1"/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3" xfId="0" applyBorder="1"/>
    <xf numFmtId="0" fontId="1" fillId="0" borderId="14" xfId="0" applyFont="1" applyBorder="1"/>
    <xf numFmtId="0" fontId="1" fillId="0" borderId="7" xfId="0" applyFont="1" applyBorder="1"/>
    <xf numFmtId="0" fontId="1" fillId="0" borderId="15" xfId="0" applyFont="1" applyBorder="1"/>
    <xf numFmtId="0" fontId="0" fillId="0" borderId="2" xfId="0" applyBorder="1"/>
    <xf numFmtId="0" fontId="1" fillId="0" borderId="1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5" fillId="0" borderId="14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17" xfId="0" applyFont="1" applyBorder="1" applyAlignment="1">
      <alignment wrapText="1"/>
    </xf>
    <xf numFmtId="0" fontId="5" fillId="0" borderId="19" xfId="0" applyFont="1" applyBorder="1"/>
    <xf numFmtId="0" fontId="5" fillId="0" borderId="16" xfId="0" applyFont="1" applyBorder="1"/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3" xfId="0" applyBorder="1"/>
    <xf numFmtId="0" fontId="6" fillId="0" borderId="32" xfId="0" applyFont="1" applyBorder="1"/>
    <xf numFmtId="0" fontId="6" fillId="0" borderId="33" xfId="0" applyFont="1" applyBorder="1"/>
    <xf numFmtId="0" fontId="6" fillId="0" borderId="28" xfId="0" applyFont="1" applyBorder="1"/>
    <xf numFmtId="0" fontId="6" fillId="0" borderId="30" xfId="0" applyFont="1" applyBorder="1"/>
    <xf numFmtId="0" fontId="6" fillId="0" borderId="31" xfId="0" applyFont="1" applyBorder="1"/>
    <xf numFmtId="0" fontId="7" fillId="0" borderId="20" xfId="0" applyFont="1" applyBorder="1"/>
    <xf numFmtId="0" fontId="7" fillId="0" borderId="21" xfId="0" applyFont="1" applyBorder="1"/>
    <xf numFmtId="0" fontId="7" fillId="0" borderId="24" xfId="0" applyFont="1" applyBorder="1"/>
    <xf numFmtId="0" fontId="7" fillId="0" borderId="14" xfId="0" applyFont="1" applyBorder="1"/>
    <xf numFmtId="0" fontId="7" fillId="0" borderId="17" xfId="0" applyFont="1" applyBorder="1"/>
    <xf numFmtId="0" fontId="7" fillId="0" borderId="17" xfId="0" applyFont="1" applyBorder="1" applyAlignment="1">
      <alignment wrapText="1"/>
    </xf>
    <xf numFmtId="0" fontId="7" fillId="0" borderId="19" xfId="0" applyFont="1" applyBorder="1"/>
    <xf numFmtId="0" fontId="7" fillId="3" borderId="14" xfId="0" applyFont="1" applyFill="1" applyBorder="1"/>
    <xf numFmtId="0" fontId="7" fillId="3" borderId="17" xfId="0" applyFont="1" applyFill="1" applyBorder="1"/>
    <xf numFmtId="0" fontId="7" fillId="3" borderId="18" xfId="0" applyFont="1" applyFill="1" applyBorder="1"/>
    <xf numFmtId="0" fontId="7" fillId="0" borderId="18" xfId="0" applyFont="1" applyBorder="1"/>
    <xf numFmtId="0" fontId="6" fillId="0" borderId="29" xfId="0" applyFont="1" applyBorder="1"/>
    <xf numFmtId="0" fontId="6" fillId="0" borderId="23" xfId="0" applyFont="1" applyBorder="1"/>
    <xf numFmtId="0" fontId="6" fillId="0" borderId="24" xfId="0" applyFont="1" applyBorder="1"/>
    <xf numFmtId="0" fontId="6" fillId="0" borderId="22" xfId="0" applyFont="1" applyBorder="1"/>
    <xf numFmtId="0" fontId="6" fillId="0" borderId="25" xfId="0" applyFont="1" applyBorder="1"/>
    <xf numFmtId="0" fontId="6" fillId="0" borderId="0" xfId="0" applyFont="1"/>
    <xf numFmtId="0" fontId="6" fillId="0" borderId="26" xfId="0" applyFont="1" applyBorder="1"/>
    <xf numFmtId="0" fontId="6" fillId="0" borderId="27" xfId="0" applyFont="1" applyBorder="1"/>
    <xf numFmtId="0" fontId="0" fillId="0" borderId="8" xfId="0" applyBorder="1" applyAlignment="1">
      <alignment horizontal="center"/>
    </xf>
    <xf numFmtId="0" fontId="0" fillId="0" borderId="24" xfId="0" applyBorder="1"/>
    <xf numFmtId="0" fontId="0" fillId="0" borderId="26" xfId="0" applyBorder="1"/>
    <xf numFmtId="0" fontId="0" fillId="0" borderId="29" xfId="0" applyBorder="1"/>
    <xf numFmtId="0" fontId="8" fillId="4" borderId="23" xfId="0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8" fillId="5" borderId="28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6" borderId="23" xfId="0" applyFont="1" applyFill="1" applyBorder="1" applyAlignment="1">
      <alignment horizontal="center" vertical="center"/>
    </xf>
    <xf numFmtId="0" fontId="8" fillId="6" borderId="24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6" borderId="26" xfId="0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  <xf numFmtId="2" fontId="0" fillId="0" borderId="0" xfId="0" applyNumberFormat="1"/>
    <xf numFmtId="0" fontId="8" fillId="7" borderId="22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7" borderId="27" xfId="0" applyFont="1" applyFill="1" applyBorder="1" applyAlignment="1">
      <alignment horizontal="center" vertical="center"/>
    </xf>
    <xf numFmtId="0" fontId="8" fillId="7" borderId="28" xfId="0" applyFont="1" applyFill="1" applyBorder="1" applyAlignment="1">
      <alignment horizontal="center" vertical="center"/>
    </xf>
    <xf numFmtId="0" fontId="8" fillId="8" borderId="34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2" xfId="0" applyFont="1" applyFill="1" applyBorder="1" applyAlignment="1">
      <alignment horizontal="center" vertical="center"/>
    </xf>
    <xf numFmtId="0" fontId="8" fillId="8" borderId="27" xfId="0" applyFont="1" applyFill="1" applyBorder="1" applyAlignment="1">
      <alignment horizontal="center" vertical="center"/>
    </xf>
    <xf numFmtId="0" fontId="8" fillId="9" borderId="25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6" xfId="0" applyFont="1" applyFill="1" applyBorder="1" applyAlignment="1">
      <alignment horizontal="center" vertical="center"/>
    </xf>
    <xf numFmtId="0" fontId="8" fillId="9" borderId="27" xfId="0" applyFont="1" applyFill="1" applyBorder="1" applyAlignment="1">
      <alignment horizontal="center" vertical="center"/>
    </xf>
    <xf numFmtId="0" fontId="8" fillId="9" borderId="28" xfId="0" applyFont="1" applyFill="1" applyBorder="1" applyAlignment="1">
      <alignment horizontal="center" vertical="center"/>
    </xf>
    <xf numFmtId="0" fontId="8" fillId="9" borderId="29" xfId="0" applyFont="1" applyFill="1" applyBorder="1" applyAlignment="1">
      <alignment horizontal="center" vertical="center"/>
    </xf>
    <xf numFmtId="0" fontId="8" fillId="9" borderId="23" xfId="0" applyFont="1" applyFill="1" applyBorder="1" applyAlignment="1">
      <alignment horizontal="center" vertical="center"/>
    </xf>
    <xf numFmtId="0" fontId="8" fillId="10" borderId="23" xfId="0" applyFont="1" applyFill="1" applyBorder="1" applyAlignment="1">
      <alignment horizontal="center" vertical="center"/>
    </xf>
    <xf numFmtId="0" fontId="8" fillId="10" borderId="24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8" fillId="10" borderId="28" xfId="0" applyFont="1" applyFill="1" applyBorder="1" applyAlignment="1">
      <alignment horizontal="center" vertical="center"/>
    </xf>
    <xf numFmtId="0" fontId="8" fillId="10" borderId="29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6" borderId="34" xfId="0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center" vertical="center"/>
    </xf>
    <xf numFmtId="0" fontId="8" fillId="6" borderId="27" xfId="0" applyFont="1" applyFill="1" applyBorder="1" applyAlignment="1">
      <alignment horizontal="center" vertical="center"/>
    </xf>
    <xf numFmtId="0" fontId="8" fillId="11" borderId="28" xfId="0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8" fillId="12" borderId="25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8" fillId="12" borderId="23" xfId="0" applyFont="1" applyFill="1" applyBorder="1" applyAlignment="1">
      <alignment horizontal="center" vertical="center"/>
    </xf>
    <xf numFmtId="0" fontId="8" fillId="12" borderId="24" xfId="0" applyFont="1" applyFill="1" applyBorder="1" applyAlignment="1">
      <alignment horizontal="center" vertical="center"/>
    </xf>
    <xf numFmtId="0" fontId="8" fillId="12" borderId="27" xfId="0" applyFont="1" applyFill="1" applyBorder="1" applyAlignment="1">
      <alignment horizontal="center" vertical="center"/>
    </xf>
    <xf numFmtId="0" fontId="8" fillId="12" borderId="28" xfId="0" applyFont="1" applyFill="1" applyBorder="1" applyAlignment="1">
      <alignment horizontal="center" vertical="center"/>
    </xf>
    <xf numFmtId="0" fontId="8" fillId="12" borderId="29" xfId="0" applyFont="1" applyFill="1" applyBorder="1" applyAlignment="1">
      <alignment horizontal="center" vertical="center"/>
    </xf>
    <xf numFmtId="0" fontId="8" fillId="12" borderId="26" xfId="0" applyFont="1" applyFill="1" applyBorder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8" fillId="13" borderId="23" xfId="0" applyFont="1" applyFill="1" applyBorder="1" applyAlignment="1">
      <alignment horizontal="center" vertical="center"/>
    </xf>
    <xf numFmtId="0" fontId="8" fillId="13" borderId="24" xfId="0" applyFont="1" applyFill="1" applyBorder="1" applyAlignment="1">
      <alignment horizontal="center" vertical="center"/>
    </xf>
    <xf numFmtId="0" fontId="8" fillId="13" borderId="28" xfId="0" applyFont="1" applyFill="1" applyBorder="1" applyAlignment="1">
      <alignment horizontal="center" vertical="center"/>
    </xf>
    <xf numFmtId="0" fontId="8" fillId="13" borderId="29" xfId="0" applyFont="1" applyFill="1" applyBorder="1" applyAlignment="1">
      <alignment horizontal="center" vertical="center"/>
    </xf>
    <xf numFmtId="0" fontId="8" fillId="13" borderId="26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0" fillId="0" borderId="12" xfId="0" applyBorder="1"/>
    <xf numFmtId="0" fontId="0" fillId="0" borderId="35" xfId="0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15" borderId="36" xfId="0" applyFill="1" applyBorder="1" applyAlignment="1">
      <alignment horizontal="center" vertical="center"/>
    </xf>
    <xf numFmtId="164" fontId="0" fillId="16" borderId="1" xfId="0" applyNumberFormat="1" applyFill="1" applyBorder="1" applyAlignment="1">
      <alignment horizontal="center" vertical="center"/>
    </xf>
    <xf numFmtId="164" fontId="0" fillId="16" borderId="8" xfId="0" applyNumberFormat="1" applyFill="1" applyBorder="1" applyAlignment="1">
      <alignment horizontal="center" vertical="center"/>
    </xf>
    <xf numFmtId="164" fontId="0" fillId="16" borderId="2" xfId="0" applyNumberFormat="1" applyFill="1" applyBorder="1" applyAlignment="1">
      <alignment horizontal="center" vertical="center"/>
    </xf>
    <xf numFmtId="0" fontId="0" fillId="14" borderId="32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7" xfId="0" applyBorder="1"/>
    <xf numFmtId="0" fontId="0" fillId="0" borderId="30" xfId="0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15" borderId="38" xfId="0" applyFill="1" applyBorder="1" applyAlignment="1">
      <alignment horizontal="center" vertical="center"/>
    </xf>
    <xf numFmtId="164" fontId="0" fillId="16" borderId="5" xfId="0" applyNumberFormat="1" applyFill="1" applyBorder="1" applyAlignment="1">
      <alignment horizontal="center" vertical="center"/>
    </xf>
    <xf numFmtId="164" fontId="0" fillId="16" borderId="10" xfId="0" applyNumberFormat="1" applyFill="1" applyBorder="1" applyAlignment="1">
      <alignment horizontal="center" vertical="center"/>
    </xf>
    <xf numFmtId="164" fontId="0" fillId="16" borderId="6" xfId="0" applyNumberFormat="1" applyFill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8" fillId="17" borderId="28" xfId="0" applyFont="1" applyFill="1" applyBorder="1" applyAlignment="1">
      <alignment horizontal="center" vertical="center"/>
    </xf>
    <xf numFmtId="0" fontId="8" fillId="18" borderId="28" xfId="0" applyFont="1" applyFill="1" applyBorder="1" applyAlignment="1">
      <alignment horizontal="center" vertical="center"/>
    </xf>
    <xf numFmtId="0" fontId="9" fillId="10" borderId="9" xfId="0" applyFont="1" applyFill="1" applyBorder="1"/>
    <xf numFmtId="0" fontId="9" fillId="20" borderId="9" xfId="0" applyFont="1" applyFill="1" applyBorder="1"/>
    <xf numFmtId="0" fontId="1" fillId="0" borderId="39" xfId="0" applyFont="1" applyBorder="1" applyAlignment="1">
      <alignment horizontal="center" vertical="center"/>
    </xf>
    <xf numFmtId="0" fontId="9" fillId="19" borderId="1" xfId="0" applyFont="1" applyFill="1" applyBorder="1"/>
    <xf numFmtId="0" fontId="9" fillId="19" borderId="8" xfId="0" applyFont="1" applyFill="1" applyBorder="1"/>
    <xf numFmtId="0" fontId="9" fillId="10" borderId="3" xfId="0" applyFont="1" applyFill="1" applyBorder="1"/>
    <xf numFmtId="0" fontId="9" fillId="20" borderId="3" xfId="0" applyFont="1" applyFill="1" applyBorder="1"/>
    <xf numFmtId="0" fontId="0" fillId="0" borderId="10" xfId="0" applyBorder="1"/>
    <xf numFmtId="0" fontId="0" fillId="0" borderId="5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1" fillId="0" borderId="9" xfId="0" applyFont="1" applyBorder="1"/>
    <xf numFmtId="0" fontId="10" fillId="21" borderId="1" xfId="0" applyFont="1" applyFill="1" applyBorder="1"/>
    <xf numFmtId="0" fontId="1" fillId="0" borderId="8" xfId="0" applyFont="1" applyBorder="1"/>
    <xf numFmtId="0" fontId="10" fillId="21" borderId="2" xfId="0" applyFont="1" applyFill="1" applyBorder="1"/>
    <xf numFmtId="0" fontId="10" fillId="21" borderId="3" xfId="0" applyFont="1" applyFill="1" applyBorder="1"/>
    <xf numFmtId="0" fontId="10" fillId="21" borderId="4" xfId="0" applyFont="1" applyFill="1" applyBorder="1"/>
    <xf numFmtId="0" fontId="8" fillId="24" borderId="43" xfId="0" applyFont="1" applyFill="1" applyBorder="1"/>
    <xf numFmtId="0" fontId="9" fillId="19" borderId="44" xfId="0" applyFont="1" applyFill="1" applyBorder="1"/>
    <xf numFmtId="0" fontId="9" fillId="19" borderId="43" xfId="0" applyFont="1" applyFill="1" applyBorder="1"/>
    <xf numFmtId="0" fontId="0" fillId="0" borderId="45" xfId="0" applyBorder="1"/>
    <xf numFmtId="0" fontId="10" fillId="21" borderId="46" xfId="0" applyFont="1" applyFill="1" applyBorder="1"/>
    <xf numFmtId="0" fontId="1" fillId="0" borderId="47" xfId="0" applyFont="1" applyBorder="1"/>
    <xf numFmtId="0" fontId="10" fillId="21" borderId="48" xfId="0" applyFont="1" applyFill="1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9" fillId="20" borderId="46" xfId="0" applyFont="1" applyFill="1" applyBorder="1"/>
    <xf numFmtId="0" fontId="9" fillId="20" borderId="47" xfId="0" applyFont="1" applyFill="1" applyBorder="1"/>
    <xf numFmtId="0" fontId="11" fillId="22" borderId="9" xfId="0" applyFont="1" applyFill="1" applyBorder="1"/>
    <xf numFmtId="0" fontId="11" fillId="22" borderId="8" xfId="0" applyFont="1" applyFill="1" applyBorder="1"/>
    <xf numFmtId="0" fontId="11" fillId="22" borderId="10" xfId="0" applyFont="1" applyFill="1" applyBorder="1"/>
    <xf numFmtId="0" fontId="11" fillId="21" borderId="1" xfId="0" applyFont="1" applyFill="1" applyBorder="1"/>
    <xf numFmtId="0" fontId="11" fillId="21" borderId="2" xfId="0" applyFont="1" applyFill="1" applyBorder="1"/>
    <xf numFmtId="0" fontId="11" fillId="21" borderId="3" xfId="0" applyFont="1" applyFill="1" applyBorder="1"/>
    <xf numFmtId="0" fontId="11" fillId="21" borderId="4" xfId="0" applyFont="1" applyFill="1" applyBorder="1"/>
    <xf numFmtId="0" fontId="11" fillId="21" borderId="5" xfId="0" applyFont="1" applyFill="1" applyBorder="1"/>
    <xf numFmtId="0" fontId="11" fillId="21" borderId="6" xfId="0" applyFont="1" applyFill="1" applyBorder="1"/>
    <xf numFmtId="0" fontId="9" fillId="23" borderId="49" xfId="0" applyFont="1" applyFill="1" applyBorder="1"/>
    <xf numFmtId="0" fontId="8" fillId="19" borderId="43" xfId="0" applyFont="1" applyFill="1" applyBorder="1"/>
    <xf numFmtId="0" fontId="9" fillId="23" borderId="1" xfId="0" applyFont="1" applyFill="1" applyBorder="1"/>
    <xf numFmtId="0" fontId="9" fillId="23" borderId="50" xfId="0" applyFont="1" applyFill="1" applyBorder="1"/>
    <xf numFmtId="0" fontId="9" fillId="19" borderId="3" xfId="0" applyFont="1" applyFill="1" applyBorder="1"/>
    <xf numFmtId="0" fontId="9" fillId="19" borderId="51" xfId="0" applyFont="1" applyFill="1" applyBorder="1"/>
    <xf numFmtId="0" fontId="8" fillId="19" borderId="3" xfId="0" applyFont="1" applyFill="1" applyBorder="1"/>
    <xf numFmtId="0" fontId="8" fillId="19" borderId="51" xfId="0" applyFont="1" applyFill="1" applyBorder="1"/>
    <xf numFmtId="0" fontId="8" fillId="24" borderId="3" xfId="0" applyFont="1" applyFill="1" applyBorder="1"/>
    <xf numFmtId="0" fontId="8" fillId="24" borderId="51" xfId="0" applyFont="1" applyFill="1" applyBorder="1"/>
    <xf numFmtId="0" fontId="9" fillId="19" borderId="5" xfId="0" applyFont="1" applyFill="1" applyBorder="1"/>
    <xf numFmtId="0" fontId="9" fillId="19" borderId="5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6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3"/>
  <sheetViews>
    <sheetView zoomScale="85" zoomScaleNormal="85" workbookViewId="0">
      <selection activeCell="A3" sqref="A3:F3"/>
    </sheetView>
  </sheetViews>
  <sheetFormatPr defaultColWidth="8.7109375" defaultRowHeight="15" x14ac:dyDescent="0.25"/>
  <cols>
    <col min="1" max="1" width="18.28515625" bestFit="1" customWidth="1"/>
    <col min="2" max="2" width="9.28515625" bestFit="1" customWidth="1"/>
    <col min="3" max="3" width="9.28515625" customWidth="1"/>
    <col min="4" max="4" width="9.7109375" bestFit="1" customWidth="1"/>
    <col min="5" max="5" width="9.28515625" customWidth="1"/>
    <col min="6" max="6" width="93" bestFit="1" customWidth="1"/>
  </cols>
  <sheetData>
    <row r="1" spans="1:6" ht="15.75" thickBot="1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5" t="s">
        <v>5</v>
      </c>
    </row>
    <row r="2" spans="1:6" x14ac:dyDescent="0.25">
      <c r="A2" s="24" t="s">
        <v>6</v>
      </c>
      <c r="B2" s="19" t="s">
        <v>7</v>
      </c>
      <c r="C2" s="19" t="s">
        <v>7</v>
      </c>
      <c r="D2" s="19" t="s">
        <v>6</v>
      </c>
      <c r="E2" s="19" t="s">
        <v>8</v>
      </c>
      <c r="F2" s="16" t="s">
        <v>9</v>
      </c>
    </row>
    <row r="3" spans="1:6" x14ac:dyDescent="0.25">
      <c r="A3" s="37"/>
      <c r="B3" s="36"/>
      <c r="C3" s="36"/>
      <c r="D3" s="36"/>
      <c r="E3" s="36"/>
      <c r="F3" s="3"/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D4" sqref="D4"/>
    </sheetView>
  </sheetViews>
  <sheetFormatPr defaultColWidth="8.7109375" defaultRowHeight="15" x14ac:dyDescent="0.25"/>
  <cols>
    <col min="1" max="1" width="25" bestFit="1" customWidth="1"/>
  </cols>
  <sheetData>
    <row r="1" spans="1:2" x14ac:dyDescent="0.25">
      <c r="A1" s="2" t="s">
        <v>11</v>
      </c>
      <c r="B1" s="2" t="s">
        <v>12</v>
      </c>
    </row>
    <row r="2" spans="1:2" x14ac:dyDescent="0.25">
      <c r="A2" t="s">
        <v>13</v>
      </c>
      <c r="B2">
        <v>2025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sheetPr>
    <tabColor rgb="FF92D050"/>
  </sheetPr>
  <dimension ref="A1:Q2"/>
  <sheetViews>
    <sheetView zoomScale="130" zoomScaleNormal="130" workbookViewId="0">
      <selection activeCell="A2" sqref="A2:Q3"/>
    </sheetView>
  </sheetViews>
  <sheetFormatPr defaultColWidth="8.7109375" defaultRowHeight="15" x14ac:dyDescent="0.25"/>
  <cols>
    <col min="1" max="1" width="8.5703125" bestFit="1" customWidth="1"/>
    <col min="2" max="2" width="18.5703125" bestFit="1" customWidth="1"/>
    <col min="3" max="3" width="34.5703125" bestFit="1" customWidth="1"/>
    <col min="4" max="4" width="15.7109375" bestFit="1" customWidth="1"/>
    <col min="5" max="5" width="10.42578125" bestFit="1" customWidth="1"/>
    <col min="6" max="7" width="7.5703125" bestFit="1" customWidth="1"/>
    <col min="8" max="8" width="6.42578125" bestFit="1" customWidth="1"/>
    <col min="9" max="10" width="6.5703125" bestFit="1" customWidth="1"/>
    <col min="11" max="12" width="5.7109375" bestFit="1" customWidth="1"/>
    <col min="13" max="13" width="5.42578125" bestFit="1" customWidth="1"/>
    <col min="14" max="14" width="5.28515625" bestFit="1" customWidth="1"/>
    <col min="15" max="17" width="7.28515625" bestFit="1" customWidth="1"/>
  </cols>
  <sheetData>
    <row r="1" spans="1:17" ht="15.75" thickBot="1" x14ac:dyDescent="0.3">
      <c r="A1" s="9" t="s">
        <v>14</v>
      </c>
      <c r="B1" s="10" t="s">
        <v>18</v>
      </c>
      <c r="C1" s="10" t="s">
        <v>19</v>
      </c>
      <c r="D1" s="10" t="s">
        <v>20</v>
      </c>
      <c r="E1" s="10" t="s">
        <v>21</v>
      </c>
      <c r="F1" s="10" t="s">
        <v>22</v>
      </c>
      <c r="G1" s="10" t="s">
        <v>23</v>
      </c>
      <c r="H1" s="10" t="s">
        <v>24</v>
      </c>
      <c r="I1" s="10" t="s">
        <v>25</v>
      </c>
      <c r="J1" s="10" t="s">
        <v>26</v>
      </c>
      <c r="K1" s="10" t="s">
        <v>27</v>
      </c>
      <c r="L1" s="10" t="s">
        <v>28</v>
      </c>
      <c r="M1" s="10" t="s">
        <v>29</v>
      </c>
      <c r="N1" s="10" t="s">
        <v>30</v>
      </c>
      <c r="O1" s="10" t="s">
        <v>31</v>
      </c>
      <c r="P1" s="10" t="s">
        <v>32</v>
      </c>
      <c r="Q1" s="11" t="s">
        <v>33</v>
      </c>
    </row>
    <row r="2" spans="1:17" ht="15.75" thickBot="1" x14ac:dyDescent="0.3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40"/>
      <c r="P2" s="41"/>
      <c r="Q2" s="42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dimension ref="A1:D12"/>
  <sheetViews>
    <sheetView workbookViewId="0">
      <selection activeCell="A2" sqref="A2:D12"/>
    </sheetView>
  </sheetViews>
  <sheetFormatPr defaultColWidth="8.7109375" defaultRowHeight="15" x14ac:dyDescent="0.25"/>
  <cols>
    <col min="2" max="2" width="41.5703125" bestFit="1" customWidth="1"/>
    <col min="3" max="3" width="20.7109375" bestFit="1" customWidth="1"/>
    <col min="4" max="4" width="32.5703125" bestFit="1" customWidth="1"/>
    <col min="6" max="6" width="19.42578125" bestFit="1" customWidth="1"/>
  </cols>
  <sheetData>
    <row r="1" spans="1:4" ht="15.75" thickBot="1" x14ac:dyDescent="0.3">
      <c r="A1" s="9" t="s">
        <v>14</v>
      </c>
      <c r="B1" s="10" t="s">
        <v>15</v>
      </c>
      <c r="C1" s="10" t="s">
        <v>16</v>
      </c>
      <c r="D1" s="11" t="s">
        <v>17</v>
      </c>
    </row>
    <row r="2" spans="1:4" x14ac:dyDescent="0.25">
      <c r="A2" s="20"/>
      <c r="B2" s="21"/>
      <c r="C2" s="27"/>
      <c r="D2" s="12"/>
    </row>
    <row r="3" spans="1:4" x14ac:dyDescent="0.25">
      <c r="A3" s="20"/>
      <c r="B3" s="5"/>
      <c r="C3" s="25"/>
      <c r="D3" s="3"/>
    </row>
    <row r="4" spans="1:4" x14ac:dyDescent="0.25">
      <c r="A4" s="20"/>
      <c r="B4" s="5"/>
      <c r="C4" s="25"/>
      <c r="D4" s="3"/>
    </row>
    <row r="5" spans="1:4" x14ac:dyDescent="0.25">
      <c r="A5" s="20"/>
      <c r="B5" s="25"/>
      <c r="C5" s="5"/>
      <c r="D5" s="3"/>
    </row>
    <row r="6" spans="1:4" x14ac:dyDescent="0.25">
      <c r="A6" s="20"/>
      <c r="B6" s="5"/>
      <c r="C6" s="25"/>
      <c r="D6" s="3"/>
    </row>
    <row r="7" spans="1:4" x14ac:dyDescent="0.25">
      <c r="A7" s="20"/>
      <c r="B7" s="5"/>
      <c r="C7" s="25"/>
      <c r="D7" s="3"/>
    </row>
    <row r="8" spans="1:4" x14ac:dyDescent="0.25">
      <c r="A8" s="20"/>
      <c r="B8" s="5"/>
      <c r="C8" s="25"/>
      <c r="D8" s="3"/>
    </row>
    <row r="9" spans="1:4" x14ac:dyDescent="0.25">
      <c r="A9" s="20"/>
      <c r="B9" s="5"/>
      <c r="C9" s="25"/>
      <c r="D9" s="3"/>
    </row>
    <row r="10" spans="1:4" x14ac:dyDescent="0.25">
      <c r="A10" s="20"/>
      <c r="B10" s="5"/>
      <c r="C10" s="25"/>
      <c r="D10" s="3"/>
    </row>
    <row r="11" spans="1:4" x14ac:dyDescent="0.25">
      <c r="A11" s="20"/>
      <c r="B11" s="5"/>
      <c r="C11" s="25"/>
      <c r="D11" s="3"/>
    </row>
    <row r="12" spans="1:4" ht="15.75" thickBot="1" x14ac:dyDescent="0.3">
      <c r="A12" s="7"/>
      <c r="B12" s="8"/>
      <c r="C12" s="26"/>
      <c r="D12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DF490-73F6-4A89-A4CB-DBA1BB565D24}">
  <sheetPr>
    <tabColor rgb="FFFFC000"/>
  </sheetPr>
  <dimension ref="A1:Q2"/>
  <sheetViews>
    <sheetView zoomScale="130" zoomScaleNormal="130" workbookViewId="0">
      <selection activeCell="A2" sqref="A2:Q3"/>
    </sheetView>
  </sheetViews>
  <sheetFormatPr defaultColWidth="8.7109375" defaultRowHeight="15" x14ac:dyDescent="0.25"/>
  <cols>
    <col min="1" max="1" width="8.5703125" bestFit="1" customWidth="1"/>
    <col min="2" max="2" width="18.5703125" bestFit="1" customWidth="1"/>
    <col min="3" max="3" width="34.5703125" bestFit="1" customWidth="1"/>
    <col min="4" max="4" width="15.7109375" bestFit="1" customWidth="1"/>
    <col min="5" max="5" width="10.42578125" bestFit="1" customWidth="1"/>
    <col min="6" max="7" width="7.5703125" bestFit="1" customWidth="1"/>
    <col min="8" max="8" width="6.42578125" bestFit="1" customWidth="1"/>
    <col min="9" max="10" width="6.5703125" bestFit="1" customWidth="1"/>
    <col min="11" max="12" width="5.7109375" bestFit="1" customWidth="1"/>
    <col min="13" max="13" width="5.42578125" bestFit="1" customWidth="1"/>
    <col min="14" max="14" width="5.28515625" bestFit="1" customWidth="1"/>
    <col min="15" max="17" width="7.28515625" bestFit="1" customWidth="1"/>
  </cols>
  <sheetData>
    <row r="1" spans="1:17" ht="15.75" thickBot="1" x14ac:dyDescent="0.3">
      <c r="A1" s="9" t="s">
        <v>14</v>
      </c>
      <c r="B1" s="10" t="s">
        <v>18</v>
      </c>
      <c r="C1" s="10" t="s">
        <v>19</v>
      </c>
      <c r="D1" s="10" t="s">
        <v>20</v>
      </c>
      <c r="E1" s="10" t="s">
        <v>21</v>
      </c>
      <c r="F1" s="10" t="s">
        <v>22</v>
      </c>
      <c r="G1" s="10" t="s">
        <v>23</v>
      </c>
      <c r="H1" s="10" t="s">
        <v>24</v>
      </c>
      <c r="I1" s="10" t="s">
        <v>25</v>
      </c>
      <c r="J1" s="10" t="s">
        <v>26</v>
      </c>
      <c r="K1" s="10" t="s">
        <v>27</v>
      </c>
      <c r="L1" s="10" t="s">
        <v>28</v>
      </c>
      <c r="M1" s="10" t="s">
        <v>29</v>
      </c>
      <c r="N1" s="10" t="s">
        <v>30</v>
      </c>
      <c r="O1" s="10" t="s">
        <v>31</v>
      </c>
      <c r="P1" s="10" t="s">
        <v>32</v>
      </c>
      <c r="Q1" s="11" t="s">
        <v>33</v>
      </c>
    </row>
    <row r="2" spans="1:17" ht="15.75" thickBot="1" x14ac:dyDescent="0.3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40"/>
      <c r="P2" s="41"/>
      <c r="Q2" s="42"/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A5CEC-5E3E-4D09-9116-F631C455A54F}">
  <sheetPr>
    <tabColor rgb="FF92D050"/>
  </sheetPr>
  <dimension ref="A1:AU7"/>
  <sheetViews>
    <sheetView workbookViewId="0">
      <selection activeCell="A2" sqref="A2:AU7"/>
    </sheetView>
  </sheetViews>
  <sheetFormatPr defaultRowHeight="15" x14ac:dyDescent="0.25"/>
  <cols>
    <col min="1" max="1" width="10.140625" bestFit="1" customWidth="1"/>
    <col min="2" max="2" width="38.28515625" bestFit="1" customWidth="1"/>
    <col min="3" max="3" width="17.85546875" bestFit="1" customWidth="1"/>
    <col min="4" max="4" width="9.28515625" bestFit="1" customWidth="1"/>
    <col min="5" max="5" width="19.5703125" bestFit="1" customWidth="1"/>
    <col min="6" max="6" width="8.140625" bestFit="1" customWidth="1"/>
    <col min="7" max="7" width="9.42578125" bestFit="1" customWidth="1"/>
    <col min="8" max="8" width="7.7109375" bestFit="1" customWidth="1"/>
    <col min="9" max="9" width="5" bestFit="1" customWidth="1"/>
    <col min="10" max="12" width="7" bestFit="1" customWidth="1"/>
    <col min="13" max="47" width="8.5703125" bestFit="1" customWidth="1"/>
  </cols>
  <sheetData>
    <row r="1" spans="1:47" ht="45.75" thickBot="1" x14ac:dyDescent="0.3">
      <c r="A1" s="9" t="s">
        <v>14</v>
      </c>
      <c r="B1" s="128" t="s">
        <v>11</v>
      </c>
      <c r="C1" s="10" t="s">
        <v>48</v>
      </c>
      <c r="D1" s="10" t="s">
        <v>49</v>
      </c>
      <c r="E1" s="10" t="s">
        <v>19</v>
      </c>
      <c r="F1" s="18" t="s">
        <v>38</v>
      </c>
      <c r="G1" s="17" t="s">
        <v>3</v>
      </c>
      <c r="H1" s="17" t="s">
        <v>45</v>
      </c>
      <c r="I1" s="9" t="s">
        <v>30</v>
      </c>
      <c r="J1" s="10" t="s">
        <v>31</v>
      </c>
      <c r="K1" s="10" t="s">
        <v>32</v>
      </c>
      <c r="L1" s="11" t="s">
        <v>33</v>
      </c>
      <c r="M1" s="148">
        <v>2021</v>
      </c>
      <c r="N1" s="149">
        <v>2022</v>
      </c>
      <c r="O1" s="149">
        <v>2023</v>
      </c>
      <c r="P1" s="149">
        <v>2024</v>
      </c>
      <c r="Q1" s="149">
        <v>2025</v>
      </c>
      <c r="R1" s="149">
        <v>2026</v>
      </c>
      <c r="S1" s="149">
        <v>2027</v>
      </c>
      <c r="T1" s="149">
        <v>2028</v>
      </c>
      <c r="U1" s="149">
        <v>2029</v>
      </c>
      <c r="V1" s="149">
        <v>2030</v>
      </c>
      <c r="W1" s="149">
        <v>2031</v>
      </c>
      <c r="X1" s="149">
        <v>2032</v>
      </c>
      <c r="Y1" s="149">
        <v>2033</v>
      </c>
      <c r="Z1" s="149">
        <v>2034</v>
      </c>
      <c r="AA1" s="149">
        <v>2035</v>
      </c>
      <c r="AB1" s="149">
        <v>2036</v>
      </c>
      <c r="AC1" s="149">
        <v>2037</v>
      </c>
      <c r="AD1" s="149">
        <v>2038</v>
      </c>
      <c r="AE1" s="149">
        <v>2039</v>
      </c>
      <c r="AF1" s="149">
        <v>2040</v>
      </c>
      <c r="AG1" s="149">
        <v>2041</v>
      </c>
      <c r="AH1" s="149">
        <v>2042</v>
      </c>
      <c r="AI1" s="149">
        <v>2043</v>
      </c>
      <c r="AJ1" s="149">
        <v>2044</v>
      </c>
      <c r="AK1" s="149">
        <v>2045</v>
      </c>
      <c r="AL1" s="149">
        <v>2046</v>
      </c>
      <c r="AM1" s="149">
        <v>2047</v>
      </c>
      <c r="AN1" s="149">
        <v>2048</v>
      </c>
      <c r="AO1" s="149">
        <v>2049</v>
      </c>
      <c r="AP1" s="149">
        <v>2050</v>
      </c>
      <c r="AQ1" s="149">
        <v>2051</v>
      </c>
      <c r="AR1" s="149">
        <v>2052</v>
      </c>
      <c r="AS1" s="149">
        <v>2053</v>
      </c>
      <c r="AT1" s="149">
        <v>2054</v>
      </c>
      <c r="AU1" s="150">
        <v>2055</v>
      </c>
    </row>
    <row r="2" spans="1:47" x14ac:dyDescent="0.25">
      <c r="A2" s="129"/>
      <c r="B2" s="21"/>
      <c r="C2" s="130"/>
      <c r="D2" s="130"/>
      <c r="E2" s="21"/>
      <c r="F2" s="21"/>
      <c r="G2" s="131"/>
      <c r="H2" s="131"/>
      <c r="I2" s="132"/>
      <c r="J2" s="133"/>
      <c r="K2" s="133"/>
      <c r="L2" s="134"/>
      <c r="M2" s="135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7"/>
    </row>
    <row r="3" spans="1:47" ht="15.75" thickBot="1" x14ac:dyDescent="0.3">
      <c r="A3" s="138"/>
      <c r="B3" s="139"/>
      <c r="C3" s="140"/>
      <c r="D3" s="140"/>
      <c r="E3" s="139"/>
      <c r="F3" s="139"/>
      <c r="G3" s="141"/>
      <c r="H3" s="141"/>
      <c r="I3" s="142"/>
      <c r="J3" s="143"/>
      <c r="K3" s="143"/>
      <c r="L3" s="144"/>
      <c r="M3" s="145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6"/>
      <c r="AP3" s="146"/>
      <c r="AQ3" s="146"/>
      <c r="AR3" s="146"/>
      <c r="AS3" s="146"/>
      <c r="AT3" s="146"/>
      <c r="AU3" s="147"/>
    </row>
    <row r="4" spans="1:47" x14ac:dyDescent="0.25">
      <c r="A4" s="129"/>
      <c r="B4" s="21"/>
      <c r="C4" s="130"/>
      <c r="D4" s="130"/>
      <c r="E4" s="21"/>
      <c r="F4" s="21"/>
      <c r="G4" s="131"/>
      <c r="H4" s="131"/>
      <c r="I4" s="132"/>
      <c r="J4" s="133"/>
      <c r="K4" s="133"/>
      <c r="L4" s="134"/>
      <c r="M4" s="135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7"/>
    </row>
    <row r="5" spans="1:47" ht="15.75" thickBot="1" x14ac:dyDescent="0.3">
      <c r="A5" s="138"/>
      <c r="B5" s="139"/>
      <c r="C5" s="140"/>
      <c r="D5" s="140"/>
      <c r="E5" s="139"/>
      <c r="F5" s="139"/>
      <c r="G5" s="141"/>
      <c r="H5" s="141"/>
      <c r="I5" s="142"/>
      <c r="J5" s="143"/>
      <c r="K5" s="143"/>
      <c r="L5" s="144"/>
      <c r="M5" s="145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  <c r="AK5" s="146"/>
      <c r="AL5" s="146"/>
      <c r="AM5" s="146"/>
      <c r="AN5" s="146"/>
      <c r="AO5" s="146"/>
      <c r="AP5" s="146"/>
      <c r="AQ5" s="146"/>
      <c r="AR5" s="146"/>
      <c r="AS5" s="146"/>
      <c r="AT5" s="146"/>
      <c r="AU5" s="147"/>
    </row>
    <row r="6" spans="1:47" x14ac:dyDescent="0.25">
      <c r="A6" s="129"/>
      <c r="B6" s="21"/>
      <c r="C6" s="130"/>
      <c r="D6" s="130"/>
      <c r="E6" s="21"/>
      <c r="F6" s="21"/>
      <c r="G6" s="131"/>
      <c r="H6" s="131"/>
      <c r="I6" s="132"/>
      <c r="J6" s="133"/>
      <c r="K6" s="133"/>
      <c r="L6" s="134"/>
      <c r="M6" s="135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7"/>
    </row>
    <row r="7" spans="1:47" ht="15.75" thickBot="1" x14ac:dyDescent="0.3">
      <c r="A7" s="138"/>
      <c r="B7" s="139"/>
      <c r="C7" s="140"/>
      <c r="D7" s="140"/>
      <c r="E7" s="139"/>
      <c r="F7" s="139"/>
      <c r="G7" s="141"/>
      <c r="H7" s="141"/>
      <c r="I7" s="142"/>
      <c r="J7" s="143"/>
      <c r="K7" s="143"/>
      <c r="L7" s="144"/>
      <c r="M7" s="145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  <c r="AJ7" s="146"/>
      <c r="AK7" s="146"/>
      <c r="AL7" s="146"/>
      <c r="AM7" s="146"/>
      <c r="AN7" s="146"/>
      <c r="AO7" s="146"/>
      <c r="AP7" s="146"/>
      <c r="AQ7" s="146"/>
      <c r="AR7" s="146"/>
      <c r="AS7" s="146"/>
      <c r="AT7" s="146"/>
      <c r="AU7" s="147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dimension ref="A1:D12"/>
  <sheetViews>
    <sheetView workbookViewId="0">
      <selection activeCell="A2" sqref="A2:D12"/>
    </sheetView>
  </sheetViews>
  <sheetFormatPr defaultColWidth="8.7109375" defaultRowHeight="15" x14ac:dyDescent="0.25"/>
  <cols>
    <col min="1" max="1" width="8.42578125" bestFit="1" customWidth="1"/>
    <col min="2" max="2" width="34.42578125" bestFit="1" customWidth="1"/>
    <col min="3" max="3" width="20.7109375" bestFit="1" customWidth="1"/>
    <col min="4" max="4" width="37.42578125" bestFit="1" customWidth="1"/>
  </cols>
  <sheetData>
    <row r="1" spans="1:4" ht="15.75" thickBot="1" x14ac:dyDescent="0.3">
      <c r="A1" s="9" t="s">
        <v>14</v>
      </c>
      <c r="B1" s="10" t="s">
        <v>15</v>
      </c>
      <c r="C1" s="10" t="s">
        <v>16</v>
      </c>
      <c r="D1" s="11" t="s">
        <v>36</v>
      </c>
    </row>
    <row r="2" spans="1:4" x14ac:dyDescent="0.25">
      <c r="A2" s="34"/>
      <c r="B2" s="35"/>
      <c r="C2" s="62"/>
      <c r="D2" s="63"/>
    </row>
    <row r="3" spans="1:4" x14ac:dyDescent="0.25">
      <c r="A3" s="6"/>
      <c r="B3" s="5"/>
      <c r="C3" s="25"/>
      <c r="D3" s="64"/>
    </row>
    <row r="4" spans="1:4" x14ac:dyDescent="0.25">
      <c r="A4" s="6"/>
      <c r="B4" s="5"/>
      <c r="C4" s="25"/>
      <c r="D4" s="64"/>
    </row>
    <row r="5" spans="1:4" x14ac:dyDescent="0.25">
      <c r="A5" s="6"/>
      <c r="B5" s="25"/>
      <c r="C5" s="5"/>
      <c r="D5" s="64"/>
    </row>
    <row r="6" spans="1:4" x14ac:dyDescent="0.25">
      <c r="A6" s="6"/>
      <c r="B6" s="5"/>
      <c r="C6" s="25"/>
      <c r="D6" s="64"/>
    </row>
    <row r="7" spans="1:4" x14ac:dyDescent="0.25">
      <c r="A7" s="6"/>
      <c r="B7" s="5"/>
      <c r="C7" s="25"/>
      <c r="D7" s="64"/>
    </row>
    <row r="8" spans="1:4" x14ac:dyDescent="0.25">
      <c r="A8" s="6"/>
      <c r="B8" s="5"/>
      <c r="C8" s="25"/>
      <c r="D8" s="64"/>
    </row>
    <row r="9" spans="1:4" x14ac:dyDescent="0.25">
      <c r="A9" s="6"/>
      <c r="B9" s="5"/>
      <c r="C9" s="25"/>
      <c r="D9" s="64"/>
    </row>
    <row r="10" spans="1:4" x14ac:dyDescent="0.25">
      <c r="A10" s="6"/>
      <c r="B10" s="5"/>
      <c r="C10" s="25"/>
      <c r="D10" s="64"/>
    </row>
    <row r="11" spans="1:4" x14ac:dyDescent="0.25">
      <c r="A11" s="6"/>
      <c r="B11" s="5"/>
      <c r="C11" s="25"/>
      <c r="D11" s="64"/>
    </row>
    <row r="12" spans="1:4" ht="15.75" thickBot="1" x14ac:dyDescent="0.3">
      <c r="A12" s="7"/>
      <c r="B12" s="8"/>
      <c r="C12" s="26"/>
      <c r="D12" s="6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dimension ref="A1:N1"/>
  <sheetViews>
    <sheetView zoomScale="70" zoomScaleNormal="70" workbookViewId="0">
      <pane ySplit="1" topLeftCell="A2" activePane="bottomLeft" state="frozen"/>
      <selection activeCell="G1" sqref="G1"/>
      <selection pane="bottomLeft" activeCell="A2" sqref="A2:XFD51"/>
    </sheetView>
  </sheetViews>
  <sheetFormatPr defaultColWidth="8.7109375" defaultRowHeight="15" x14ac:dyDescent="0.25"/>
  <cols>
    <col min="1" max="1" width="14.28515625" customWidth="1"/>
    <col min="2" max="2" width="39.5703125" customWidth="1"/>
    <col min="3" max="3" width="18.7109375" bestFit="1" customWidth="1"/>
    <col min="4" max="4" width="66.5703125" bestFit="1" customWidth="1"/>
    <col min="5" max="5" width="17.42578125" customWidth="1"/>
    <col min="6" max="6" width="15" customWidth="1"/>
    <col min="7" max="7" width="51.7109375" customWidth="1"/>
    <col min="8" max="8" width="59.5703125" customWidth="1"/>
    <col min="9" max="9" width="13.28515625" bestFit="1" customWidth="1"/>
    <col min="10" max="10" width="16.28515625" customWidth="1"/>
    <col min="11" max="11" width="16" customWidth="1"/>
    <col min="12" max="12" width="8.7109375" customWidth="1"/>
    <col min="13" max="13" width="18.7109375" customWidth="1"/>
    <col min="14" max="14" width="44.28515625" customWidth="1"/>
  </cols>
  <sheetData>
    <row r="1" spans="1:14" ht="30.75" thickBot="1" x14ac:dyDescent="0.3">
      <c r="A1" s="9" t="s">
        <v>14</v>
      </c>
      <c r="B1" s="10" t="s">
        <v>11</v>
      </c>
      <c r="C1" s="10" t="s">
        <v>20</v>
      </c>
      <c r="D1" s="10" t="s">
        <v>37</v>
      </c>
      <c r="E1" s="18" t="s">
        <v>38</v>
      </c>
      <c r="F1" s="10" t="s">
        <v>24</v>
      </c>
      <c r="G1" s="23" t="s">
        <v>39</v>
      </c>
      <c r="H1" s="23" t="s">
        <v>40</v>
      </c>
      <c r="I1" s="10" t="s">
        <v>30</v>
      </c>
      <c r="J1" s="18" t="s">
        <v>41</v>
      </c>
      <c r="K1" s="18" t="s">
        <v>42</v>
      </c>
      <c r="L1" s="17" t="s">
        <v>43</v>
      </c>
      <c r="M1" s="22" t="s">
        <v>44</v>
      </c>
      <c r="N1" s="11" t="s">
        <v>45</v>
      </c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sheetPr>
    <tabColor rgb="FF92D050"/>
  </sheetPr>
  <dimension ref="A1:Q71"/>
  <sheetViews>
    <sheetView zoomScale="89" zoomScaleNormal="107" workbookViewId="0">
      <pane ySplit="1" topLeftCell="A33" activePane="bottomLeft" state="frozen"/>
      <selection pane="bottomLeft" activeCell="A37" sqref="A37:Q71"/>
    </sheetView>
  </sheetViews>
  <sheetFormatPr defaultColWidth="8.7109375" defaultRowHeight="15" x14ac:dyDescent="0.25"/>
  <cols>
    <col min="1" max="1" width="10.7109375" style="1" bestFit="1" customWidth="1"/>
    <col min="2" max="2" width="9.42578125" style="1" bestFit="1" customWidth="1"/>
    <col min="3" max="3" width="20.5703125" style="1" bestFit="1" customWidth="1"/>
    <col min="4" max="4" width="26.7109375" style="1" bestFit="1" customWidth="1"/>
    <col min="5" max="5" width="14.140625" style="1" bestFit="1" customWidth="1"/>
    <col min="6" max="6" width="9.85546875" style="1" bestFit="1" customWidth="1"/>
    <col min="7" max="7" width="8.85546875" style="1" bestFit="1" customWidth="1"/>
    <col min="8" max="9" width="9" style="1" bestFit="1" customWidth="1"/>
    <col min="10" max="12" width="5.42578125" style="1" bestFit="1" customWidth="1"/>
    <col min="13" max="13" width="7.42578125" style="1" bestFit="1" customWidth="1"/>
    <col min="14" max="16" width="9.85546875" style="1" bestFit="1" customWidth="1"/>
    <col min="17" max="17" width="17.85546875" style="1" bestFit="1" customWidth="1"/>
    <col min="18" max="16384" width="8.7109375" style="1"/>
  </cols>
  <sheetData>
    <row r="1" spans="1:17" ht="15.75" thickBot="1" x14ac:dyDescent="0.3">
      <c r="A1" s="43" t="s">
        <v>14</v>
      </c>
      <c r="B1" s="44" t="s">
        <v>46</v>
      </c>
      <c r="C1" s="44" t="s">
        <v>18</v>
      </c>
      <c r="D1" s="44" t="s">
        <v>19</v>
      </c>
      <c r="E1" s="44" t="s">
        <v>20</v>
      </c>
      <c r="F1" s="44" t="s">
        <v>23</v>
      </c>
      <c r="G1" s="44" t="s">
        <v>24</v>
      </c>
      <c r="H1" s="44" t="s">
        <v>25</v>
      </c>
      <c r="I1" s="44" t="s">
        <v>26</v>
      </c>
      <c r="J1" s="44" t="s">
        <v>27</v>
      </c>
      <c r="K1" s="44" t="s">
        <v>28</v>
      </c>
      <c r="L1" s="44" t="s">
        <v>29</v>
      </c>
      <c r="M1" s="44" t="s">
        <v>30</v>
      </c>
      <c r="N1" s="44" t="s">
        <v>31</v>
      </c>
      <c r="O1" s="44" t="s">
        <v>32</v>
      </c>
      <c r="P1" s="44" t="s">
        <v>33</v>
      </c>
      <c r="Q1" s="45" t="s">
        <v>47</v>
      </c>
    </row>
    <row r="2" spans="1:17" x14ac:dyDescent="0.25">
      <c r="A2" s="83" t="s">
        <v>6</v>
      </c>
      <c r="B2" s="84" t="s">
        <v>64</v>
      </c>
      <c r="C2" s="84" t="s">
        <v>65</v>
      </c>
      <c r="D2" s="84" t="s">
        <v>66</v>
      </c>
      <c r="E2" s="84" t="s">
        <v>67</v>
      </c>
      <c r="F2" s="84" t="s">
        <v>10</v>
      </c>
      <c r="G2" s="84" t="s">
        <v>7</v>
      </c>
      <c r="H2" s="66" t="s">
        <v>35</v>
      </c>
      <c r="I2" s="66" t="s">
        <v>35</v>
      </c>
      <c r="J2" s="66" t="s">
        <v>35</v>
      </c>
      <c r="K2" s="66" t="s">
        <v>35</v>
      </c>
      <c r="L2" s="66" t="s">
        <v>35</v>
      </c>
      <c r="M2" s="66">
        <v>2025</v>
      </c>
      <c r="N2" s="66" t="s">
        <v>68</v>
      </c>
      <c r="O2" s="66">
        <v>0</v>
      </c>
      <c r="P2" s="66">
        <v>0</v>
      </c>
      <c r="Q2" s="103" t="s">
        <v>69</v>
      </c>
    </row>
    <row r="3" spans="1:17" x14ac:dyDescent="0.25">
      <c r="A3" s="85" t="s">
        <v>6</v>
      </c>
      <c r="B3" s="86" t="s">
        <v>64</v>
      </c>
      <c r="C3" s="86" t="s">
        <v>65</v>
      </c>
      <c r="D3" s="86" t="s">
        <v>70</v>
      </c>
      <c r="E3" s="86" t="s">
        <v>71</v>
      </c>
      <c r="F3" s="86" t="s">
        <v>10</v>
      </c>
      <c r="G3" s="86" t="s">
        <v>7</v>
      </c>
      <c r="H3" s="69" t="s">
        <v>35</v>
      </c>
      <c r="I3" s="69" t="s">
        <v>35</v>
      </c>
      <c r="J3" s="69" t="s">
        <v>35</v>
      </c>
      <c r="K3" s="69" t="s">
        <v>35</v>
      </c>
      <c r="L3" s="69" t="s">
        <v>35</v>
      </c>
      <c r="M3" s="69">
        <v>2025</v>
      </c>
      <c r="N3" s="69" t="s">
        <v>68</v>
      </c>
      <c r="O3" s="69">
        <v>0</v>
      </c>
      <c r="P3" s="69">
        <v>0</v>
      </c>
      <c r="Q3" s="70" t="s">
        <v>72</v>
      </c>
    </row>
    <row r="4" spans="1:17" x14ac:dyDescent="0.25">
      <c r="A4" s="85" t="s">
        <v>6</v>
      </c>
      <c r="B4" s="86" t="s">
        <v>64</v>
      </c>
      <c r="C4" s="86" t="s">
        <v>65</v>
      </c>
      <c r="D4" s="86" t="s">
        <v>73</v>
      </c>
      <c r="E4" s="86" t="s">
        <v>74</v>
      </c>
      <c r="F4" s="86" t="s">
        <v>10</v>
      </c>
      <c r="G4" s="86" t="s">
        <v>7</v>
      </c>
      <c r="H4" s="69" t="s">
        <v>35</v>
      </c>
      <c r="I4" s="69" t="s">
        <v>35</v>
      </c>
      <c r="J4" s="69" t="s">
        <v>35</v>
      </c>
      <c r="K4" s="69" t="s">
        <v>35</v>
      </c>
      <c r="L4" s="69" t="s">
        <v>35</v>
      </c>
      <c r="M4" s="69">
        <v>2025</v>
      </c>
      <c r="N4" s="69">
        <v>0.01</v>
      </c>
      <c r="O4" s="69">
        <v>3.4999999999999996E-2</v>
      </c>
      <c r="P4" s="69">
        <v>6.0000000000000012E-2</v>
      </c>
      <c r="Q4" s="70" t="s">
        <v>75</v>
      </c>
    </row>
    <row r="5" spans="1:17" ht="15.75" thickBot="1" x14ac:dyDescent="0.3">
      <c r="A5" s="87" t="s">
        <v>6</v>
      </c>
      <c r="B5" s="88" t="s">
        <v>64</v>
      </c>
      <c r="C5" s="88" t="s">
        <v>65</v>
      </c>
      <c r="D5" s="88" t="s">
        <v>76</v>
      </c>
      <c r="E5" s="88" t="s">
        <v>77</v>
      </c>
      <c r="F5" s="88" t="s">
        <v>10</v>
      </c>
      <c r="G5" s="88" t="s">
        <v>7</v>
      </c>
      <c r="H5" s="73" t="s">
        <v>35</v>
      </c>
      <c r="I5" s="73" t="s">
        <v>35</v>
      </c>
      <c r="J5" s="73" t="s">
        <v>35</v>
      </c>
      <c r="K5" s="73" t="s">
        <v>35</v>
      </c>
      <c r="L5" s="73" t="s">
        <v>35</v>
      </c>
      <c r="M5" s="73">
        <v>2025</v>
      </c>
      <c r="N5" s="73" t="s">
        <v>68</v>
      </c>
      <c r="O5" s="73">
        <v>0</v>
      </c>
      <c r="P5" s="73">
        <v>0</v>
      </c>
      <c r="Q5" s="75" t="s">
        <v>69</v>
      </c>
    </row>
    <row r="6" spans="1:17" x14ac:dyDescent="0.25">
      <c r="A6" s="85" t="s">
        <v>6</v>
      </c>
      <c r="B6" s="86" t="s">
        <v>64</v>
      </c>
      <c r="C6" s="86" t="s">
        <v>65</v>
      </c>
      <c r="D6" s="86" t="s">
        <v>78</v>
      </c>
      <c r="E6" s="86" t="s">
        <v>79</v>
      </c>
      <c r="F6" s="84" t="s">
        <v>10</v>
      </c>
      <c r="G6" s="84" t="s">
        <v>7</v>
      </c>
      <c r="H6" s="66" t="s">
        <v>35</v>
      </c>
      <c r="I6" s="66" t="s">
        <v>35</v>
      </c>
      <c r="J6" s="66" t="s">
        <v>35</v>
      </c>
      <c r="K6" s="66" t="s">
        <v>35</v>
      </c>
      <c r="L6" s="66" t="s">
        <v>35</v>
      </c>
      <c r="M6" s="66">
        <v>2025</v>
      </c>
      <c r="N6" s="66" t="s">
        <v>68</v>
      </c>
      <c r="O6" s="66">
        <v>0.85</v>
      </c>
      <c r="P6" s="66">
        <v>0.9</v>
      </c>
      <c r="Q6" s="67" t="s">
        <v>72</v>
      </c>
    </row>
    <row r="7" spans="1:17" ht="15.75" thickBot="1" x14ac:dyDescent="0.3">
      <c r="A7" s="87" t="s">
        <v>6</v>
      </c>
      <c r="B7" s="88" t="s">
        <v>64</v>
      </c>
      <c r="C7" s="88" t="s">
        <v>65</v>
      </c>
      <c r="D7" s="88" t="s">
        <v>80</v>
      </c>
      <c r="E7" s="88" t="s">
        <v>81</v>
      </c>
      <c r="F7" s="88" t="s">
        <v>10</v>
      </c>
      <c r="G7" s="88" t="s">
        <v>7</v>
      </c>
      <c r="H7" s="151" t="s">
        <v>35</v>
      </c>
      <c r="I7" s="151" t="s">
        <v>35</v>
      </c>
      <c r="J7" s="73" t="s">
        <v>35</v>
      </c>
      <c r="K7" s="73" t="s">
        <v>35</v>
      </c>
      <c r="L7" s="73" t="s">
        <v>35</v>
      </c>
      <c r="M7" s="73">
        <v>2025</v>
      </c>
      <c r="N7" s="69">
        <v>0.01</v>
      </c>
      <c r="O7" s="69">
        <v>3.4999999999999996E-2</v>
      </c>
      <c r="P7" s="69">
        <v>6.0000000000000012E-2</v>
      </c>
      <c r="Q7" s="75" t="s">
        <v>75</v>
      </c>
    </row>
    <row r="8" spans="1:17" x14ac:dyDescent="0.25">
      <c r="A8" s="85" t="s">
        <v>6</v>
      </c>
      <c r="B8" s="86" t="s">
        <v>64</v>
      </c>
      <c r="C8" s="86" t="s">
        <v>65</v>
      </c>
      <c r="D8" s="86" t="s">
        <v>82</v>
      </c>
      <c r="E8" s="86" t="s">
        <v>83</v>
      </c>
      <c r="F8" s="84" t="s">
        <v>10</v>
      </c>
      <c r="G8" s="84" t="s">
        <v>7</v>
      </c>
      <c r="H8" s="66" t="s">
        <v>35</v>
      </c>
      <c r="I8" s="66" t="s">
        <v>35</v>
      </c>
      <c r="J8" s="66" t="s">
        <v>35</v>
      </c>
      <c r="K8" s="66" t="s">
        <v>35</v>
      </c>
      <c r="L8" s="66" t="s">
        <v>35</v>
      </c>
      <c r="M8" s="66">
        <v>2025</v>
      </c>
      <c r="N8" s="66" t="s">
        <v>68</v>
      </c>
      <c r="O8" s="66">
        <v>0.66</v>
      </c>
      <c r="P8" s="66">
        <v>0.67</v>
      </c>
      <c r="Q8" s="67" t="s">
        <v>72</v>
      </c>
    </row>
    <row r="9" spans="1:17" x14ac:dyDescent="0.25">
      <c r="A9" s="85" t="s">
        <v>6</v>
      </c>
      <c r="B9" s="86" t="s">
        <v>64</v>
      </c>
      <c r="C9" s="86" t="s">
        <v>65</v>
      </c>
      <c r="D9" s="86" t="s">
        <v>84</v>
      </c>
      <c r="E9" s="86" t="s">
        <v>85</v>
      </c>
      <c r="F9" s="86" t="s">
        <v>10</v>
      </c>
      <c r="G9" s="86" t="s">
        <v>7</v>
      </c>
      <c r="H9" s="69" t="s">
        <v>35</v>
      </c>
      <c r="I9" s="69" t="s">
        <v>35</v>
      </c>
      <c r="J9" s="69" t="s">
        <v>35</v>
      </c>
      <c r="K9" s="69" t="s">
        <v>35</v>
      </c>
      <c r="L9" s="69" t="s">
        <v>35</v>
      </c>
      <c r="M9" s="69">
        <v>2025</v>
      </c>
      <c r="N9" s="69" t="s">
        <v>68</v>
      </c>
      <c r="O9" s="69">
        <v>0.28999999999999998</v>
      </c>
      <c r="P9" s="69">
        <v>0.3</v>
      </c>
      <c r="Q9" s="70" t="s">
        <v>72</v>
      </c>
    </row>
    <row r="10" spans="1:17" ht="15.75" thickBot="1" x14ac:dyDescent="0.3">
      <c r="A10" s="87" t="s">
        <v>6</v>
      </c>
      <c r="B10" s="88" t="s">
        <v>64</v>
      </c>
      <c r="C10" s="88" t="s">
        <v>65</v>
      </c>
      <c r="D10" s="88" t="s">
        <v>86</v>
      </c>
      <c r="E10" s="88" t="s">
        <v>87</v>
      </c>
      <c r="F10" s="88" t="s">
        <v>10</v>
      </c>
      <c r="G10" s="88" t="s">
        <v>7</v>
      </c>
      <c r="H10" s="151" t="s">
        <v>35</v>
      </c>
      <c r="I10" s="151" t="s">
        <v>35</v>
      </c>
      <c r="J10" s="73" t="s">
        <v>35</v>
      </c>
      <c r="K10" s="73" t="s">
        <v>35</v>
      </c>
      <c r="L10" s="73" t="s">
        <v>35</v>
      </c>
      <c r="M10" s="73">
        <v>2025</v>
      </c>
      <c r="N10" s="69">
        <v>0.01</v>
      </c>
      <c r="O10" s="69">
        <v>3.4999999999999996E-2</v>
      </c>
      <c r="P10" s="69">
        <v>6.0000000000000012E-2</v>
      </c>
      <c r="Q10" s="75" t="s">
        <v>75</v>
      </c>
    </row>
    <row r="11" spans="1:17" x14ac:dyDescent="0.25">
      <c r="A11" s="114" t="s">
        <v>6</v>
      </c>
      <c r="B11" s="115" t="s">
        <v>64</v>
      </c>
      <c r="C11" s="115" t="s">
        <v>34</v>
      </c>
      <c r="D11" s="115" t="s">
        <v>88</v>
      </c>
      <c r="E11" s="115" t="s">
        <v>89</v>
      </c>
      <c r="F11" s="116" t="s">
        <v>10</v>
      </c>
      <c r="G11" s="116" t="s">
        <v>7</v>
      </c>
      <c r="H11" s="116" t="s">
        <v>35</v>
      </c>
      <c r="I11" s="116" t="s">
        <v>35</v>
      </c>
      <c r="J11" s="116" t="s">
        <v>35</v>
      </c>
      <c r="K11" s="116" t="s">
        <v>35</v>
      </c>
      <c r="L11" s="116" t="s">
        <v>35</v>
      </c>
      <c r="M11" s="116">
        <v>2025</v>
      </c>
      <c r="N11" s="116" t="s">
        <v>68</v>
      </c>
      <c r="O11" s="116">
        <v>0.85</v>
      </c>
      <c r="P11" s="116">
        <v>0.9</v>
      </c>
      <c r="Q11" s="117" t="s">
        <v>72</v>
      </c>
    </row>
    <row r="12" spans="1:17" ht="15.75" thickBot="1" x14ac:dyDescent="0.3">
      <c r="A12" s="118" t="s">
        <v>6</v>
      </c>
      <c r="B12" s="119" t="s">
        <v>64</v>
      </c>
      <c r="C12" s="119" t="s">
        <v>34</v>
      </c>
      <c r="D12" s="119" t="s">
        <v>90</v>
      </c>
      <c r="E12" s="119" t="s">
        <v>91</v>
      </c>
      <c r="F12" s="119" t="s">
        <v>10</v>
      </c>
      <c r="G12" s="119" t="s">
        <v>7</v>
      </c>
      <c r="H12" s="119" t="s">
        <v>35</v>
      </c>
      <c r="I12" s="119" t="s">
        <v>35</v>
      </c>
      <c r="J12" s="119" t="s">
        <v>35</v>
      </c>
      <c r="K12" s="119" t="s">
        <v>35</v>
      </c>
      <c r="L12" s="119" t="s">
        <v>35</v>
      </c>
      <c r="M12" s="119">
        <v>2025</v>
      </c>
      <c r="N12" s="119">
        <v>0.01</v>
      </c>
      <c r="O12" s="119">
        <v>3.4999999999999996E-2</v>
      </c>
      <c r="P12" s="119">
        <v>6.0000000000000012E-2</v>
      </c>
      <c r="Q12" s="120" t="s">
        <v>75</v>
      </c>
    </row>
    <row r="13" spans="1:17" x14ac:dyDescent="0.25">
      <c r="A13" s="114" t="s">
        <v>6</v>
      </c>
      <c r="B13" s="115" t="s">
        <v>64</v>
      </c>
      <c r="C13" s="115" t="s">
        <v>34</v>
      </c>
      <c r="D13" s="115" t="s">
        <v>92</v>
      </c>
      <c r="E13" s="115" t="s">
        <v>93</v>
      </c>
      <c r="F13" s="116" t="s">
        <v>10</v>
      </c>
      <c r="G13" s="116" t="s">
        <v>7</v>
      </c>
      <c r="H13" s="116" t="s">
        <v>35</v>
      </c>
      <c r="I13" s="116" t="s">
        <v>35</v>
      </c>
      <c r="J13" s="116" t="s">
        <v>35</v>
      </c>
      <c r="K13" s="116" t="s">
        <v>35</v>
      </c>
      <c r="L13" s="116" t="s">
        <v>35</v>
      </c>
      <c r="M13" s="116">
        <v>2025</v>
      </c>
      <c r="N13" s="116" t="s">
        <v>68</v>
      </c>
      <c r="O13" s="116">
        <v>0.57999999999999996</v>
      </c>
      <c r="P13" s="116">
        <v>0.59</v>
      </c>
      <c r="Q13" s="117" t="s">
        <v>72</v>
      </c>
    </row>
    <row r="14" spans="1:17" x14ac:dyDescent="0.25">
      <c r="A14" s="114" t="s">
        <v>6</v>
      </c>
      <c r="B14" s="115" t="s">
        <v>64</v>
      </c>
      <c r="C14" s="115" t="s">
        <v>34</v>
      </c>
      <c r="D14" s="115" t="s">
        <v>94</v>
      </c>
      <c r="E14" s="115" t="s">
        <v>95</v>
      </c>
      <c r="F14" s="115" t="s">
        <v>10</v>
      </c>
      <c r="G14" s="115" t="s">
        <v>7</v>
      </c>
      <c r="H14" s="115" t="s">
        <v>35</v>
      </c>
      <c r="I14" s="115" t="s">
        <v>35</v>
      </c>
      <c r="J14" s="115" t="s">
        <v>35</v>
      </c>
      <c r="K14" s="115" t="s">
        <v>35</v>
      </c>
      <c r="L14" s="115" t="s">
        <v>35</v>
      </c>
      <c r="M14" s="115">
        <v>2025</v>
      </c>
      <c r="N14" s="115" t="s">
        <v>68</v>
      </c>
      <c r="O14" s="115">
        <v>0.37</v>
      </c>
      <c r="P14" s="115">
        <v>0.38</v>
      </c>
      <c r="Q14" s="121" t="s">
        <v>72</v>
      </c>
    </row>
    <row r="15" spans="1:17" ht="15.75" thickBot="1" x14ac:dyDescent="0.3">
      <c r="A15" s="118" t="s">
        <v>6</v>
      </c>
      <c r="B15" s="119" t="s">
        <v>64</v>
      </c>
      <c r="C15" s="119" t="s">
        <v>34</v>
      </c>
      <c r="D15" s="119" t="s">
        <v>96</v>
      </c>
      <c r="E15" s="119" t="s">
        <v>97</v>
      </c>
      <c r="F15" s="119" t="s">
        <v>10</v>
      </c>
      <c r="G15" s="119" t="s">
        <v>7</v>
      </c>
      <c r="H15" s="119" t="s">
        <v>35</v>
      </c>
      <c r="I15" s="119" t="s">
        <v>35</v>
      </c>
      <c r="J15" s="119" t="s">
        <v>35</v>
      </c>
      <c r="K15" s="119" t="s">
        <v>35</v>
      </c>
      <c r="L15" s="119" t="s">
        <v>35</v>
      </c>
      <c r="M15" s="119">
        <v>2025</v>
      </c>
      <c r="N15" s="119">
        <v>0.01</v>
      </c>
      <c r="O15" s="119">
        <v>3.4999999999999996E-2</v>
      </c>
      <c r="P15" s="119">
        <v>6.0000000000000012E-2</v>
      </c>
      <c r="Q15" s="120" t="s">
        <v>75</v>
      </c>
    </row>
    <row r="16" spans="1:17" x14ac:dyDescent="0.25">
      <c r="A16" s="114" t="s">
        <v>6</v>
      </c>
      <c r="B16" s="115" t="s">
        <v>64</v>
      </c>
      <c r="C16" s="115" t="s">
        <v>34</v>
      </c>
      <c r="D16" s="115" t="s">
        <v>98</v>
      </c>
      <c r="E16" s="115" t="s">
        <v>99</v>
      </c>
      <c r="F16" s="116" t="s">
        <v>10</v>
      </c>
      <c r="G16" s="116" t="s">
        <v>7</v>
      </c>
      <c r="H16" s="116" t="s">
        <v>35</v>
      </c>
      <c r="I16" s="116" t="s">
        <v>35</v>
      </c>
      <c r="J16" s="116" t="s">
        <v>35</v>
      </c>
      <c r="K16" s="116" t="s">
        <v>35</v>
      </c>
      <c r="L16" s="116" t="s">
        <v>35</v>
      </c>
      <c r="M16" s="116">
        <v>2025</v>
      </c>
      <c r="N16" s="116" t="s">
        <v>68</v>
      </c>
      <c r="O16" s="116">
        <v>0.85</v>
      </c>
      <c r="P16" s="116">
        <v>0.9</v>
      </c>
      <c r="Q16" s="117" t="s">
        <v>72</v>
      </c>
    </row>
    <row r="17" spans="1:17" x14ac:dyDescent="0.25">
      <c r="A17" s="114" t="s">
        <v>6</v>
      </c>
      <c r="B17" s="115" t="s">
        <v>64</v>
      </c>
      <c r="C17" s="115" t="s">
        <v>34</v>
      </c>
      <c r="D17" s="115" t="s">
        <v>100</v>
      </c>
      <c r="E17" s="115" t="s">
        <v>101</v>
      </c>
      <c r="F17" s="115" t="s">
        <v>10</v>
      </c>
      <c r="G17" s="115" t="s">
        <v>7</v>
      </c>
      <c r="H17" s="115" t="s">
        <v>35</v>
      </c>
      <c r="I17" s="115" t="s">
        <v>35</v>
      </c>
      <c r="J17" s="115" t="s">
        <v>35</v>
      </c>
      <c r="K17" s="115" t="s">
        <v>35</v>
      </c>
      <c r="L17" s="115" t="s">
        <v>35</v>
      </c>
      <c r="M17" s="115">
        <v>2025</v>
      </c>
      <c r="N17" s="115" t="s">
        <v>68</v>
      </c>
      <c r="O17" s="115">
        <v>0</v>
      </c>
      <c r="P17" s="115">
        <v>0</v>
      </c>
      <c r="Q17" s="121" t="s">
        <v>69</v>
      </c>
    </row>
    <row r="18" spans="1:17" x14ac:dyDescent="0.25">
      <c r="A18" s="114" t="s">
        <v>6</v>
      </c>
      <c r="B18" s="115" t="s">
        <v>64</v>
      </c>
      <c r="C18" s="115" t="s">
        <v>34</v>
      </c>
      <c r="D18" s="115" t="s">
        <v>102</v>
      </c>
      <c r="E18" s="115" t="s">
        <v>103</v>
      </c>
      <c r="F18" s="115" t="s">
        <v>10</v>
      </c>
      <c r="G18" s="115" t="s">
        <v>7</v>
      </c>
      <c r="H18" s="115" t="s">
        <v>35</v>
      </c>
      <c r="I18" s="115" t="s">
        <v>35</v>
      </c>
      <c r="J18" s="115" t="s">
        <v>35</v>
      </c>
      <c r="K18" s="115" t="s">
        <v>35</v>
      </c>
      <c r="L18" s="115" t="s">
        <v>35</v>
      </c>
      <c r="M18" s="115">
        <v>2025</v>
      </c>
      <c r="N18" s="115">
        <v>0.01</v>
      </c>
      <c r="O18" s="115">
        <v>3.4999999999999996E-2</v>
      </c>
      <c r="P18" s="115">
        <v>6.0000000000000012E-2</v>
      </c>
      <c r="Q18" s="121" t="s">
        <v>75</v>
      </c>
    </row>
    <row r="19" spans="1:17" ht="15.75" thickBot="1" x14ac:dyDescent="0.3">
      <c r="A19" s="118" t="s">
        <v>6</v>
      </c>
      <c r="B19" s="119" t="s">
        <v>64</v>
      </c>
      <c r="C19" s="119" t="s">
        <v>34</v>
      </c>
      <c r="D19" s="119" t="s">
        <v>104</v>
      </c>
      <c r="E19" s="119" t="s">
        <v>105</v>
      </c>
      <c r="F19" s="119" t="s">
        <v>10</v>
      </c>
      <c r="G19" s="119" t="s">
        <v>7</v>
      </c>
      <c r="H19" s="119" t="s">
        <v>35</v>
      </c>
      <c r="I19" s="119" t="s">
        <v>35</v>
      </c>
      <c r="J19" s="119" t="s">
        <v>35</v>
      </c>
      <c r="K19" s="119" t="s">
        <v>35</v>
      </c>
      <c r="L19" s="119" t="s">
        <v>35</v>
      </c>
      <c r="M19" s="119">
        <v>2025</v>
      </c>
      <c r="N19" s="119" t="s">
        <v>68</v>
      </c>
      <c r="O19" s="119">
        <v>0</v>
      </c>
      <c r="P19" s="119">
        <v>0</v>
      </c>
      <c r="Q19" s="120" t="s">
        <v>69</v>
      </c>
    </row>
    <row r="20" spans="1:17" x14ac:dyDescent="0.25">
      <c r="A20" s="68" t="s">
        <v>6</v>
      </c>
      <c r="B20" s="69" t="s">
        <v>64</v>
      </c>
      <c r="C20" s="69" t="s">
        <v>106</v>
      </c>
      <c r="D20" s="69" t="s">
        <v>107</v>
      </c>
      <c r="E20" s="69" t="s">
        <v>108</v>
      </c>
      <c r="F20" s="66" t="s">
        <v>10</v>
      </c>
      <c r="G20" s="66" t="s">
        <v>7</v>
      </c>
      <c r="H20" s="66" t="s">
        <v>35</v>
      </c>
      <c r="I20" s="66" t="s">
        <v>35</v>
      </c>
      <c r="J20" s="66" t="s">
        <v>35</v>
      </c>
      <c r="K20" s="66" t="s">
        <v>35</v>
      </c>
      <c r="L20" s="66" t="s">
        <v>35</v>
      </c>
      <c r="M20" s="66">
        <v>2025</v>
      </c>
      <c r="N20" s="66" t="s">
        <v>68</v>
      </c>
      <c r="O20" s="66">
        <v>0.85</v>
      </c>
      <c r="P20" s="66">
        <v>0.9</v>
      </c>
      <c r="Q20" s="67" t="s">
        <v>72</v>
      </c>
    </row>
    <row r="21" spans="1:17" x14ac:dyDescent="0.25">
      <c r="A21" s="68" t="s">
        <v>6</v>
      </c>
      <c r="B21" s="69" t="s">
        <v>64</v>
      </c>
      <c r="C21" s="69" t="s">
        <v>106</v>
      </c>
      <c r="D21" s="69" t="s">
        <v>109</v>
      </c>
      <c r="E21" s="69" t="s">
        <v>110</v>
      </c>
      <c r="F21" s="69" t="s">
        <v>10</v>
      </c>
      <c r="G21" s="69" t="s">
        <v>7</v>
      </c>
      <c r="H21" s="69" t="s">
        <v>35</v>
      </c>
      <c r="I21" s="69" t="s">
        <v>35</v>
      </c>
      <c r="J21" s="69" t="s">
        <v>35</v>
      </c>
      <c r="K21" s="69" t="s">
        <v>35</v>
      </c>
      <c r="L21" s="69" t="s">
        <v>35</v>
      </c>
      <c r="M21" s="69">
        <v>2025</v>
      </c>
      <c r="N21" s="69" t="s">
        <v>68</v>
      </c>
      <c r="O21" s="69">
        <v>0</v>
      </c>
      <c r="P21" s="69">
        <v>0</v>
      </c>
      <c r="Q21" s="70" t="s">
        <v>72</v>
      </c>
    </row>
    <row r="22" spans="1:17" x14ac:dyDescent="0.25">
      <c r="A22" s="68" t="s">
        <v>6</v>
      </c>
      <c r="B22" s="69" t="s">
        <v>64</v>
      </c>
      <c r="C22" s="69" t="s">
        <v>106</v>
      </c>
      <c r="D22" s="69" t="s">
        <v>111</v>
      </c>
      <c r="E22" s="69" t="s">
        <v>112</v>
      </c>
      <c r="F22" s="69" t="s">
        <v>10</v>
      </c>
      <c r="G22" s="69" t="s">
        <v>7</v>
      </c>
      <c r="H22" s="69" t="s">
        <v>35</v>
      </c>
      <c r="I22" s="69" t="s">
        <v>35</v>
      </c>
      <c r="J22" s="69" t="s">
        <v>35</v>
      </c>
      <c r="K22" s="69" t="s">
        <v>35</v>
      </c>
      <c r="L22" s="69" t="s">
        <v>35</v>
      </c>
      <c r="M22" s="69">
        <v>2025</v>
      </c>
      <c r="N22" s="69" t="s">
        <v>68</v>
      </c>
      <c r="O22" s="69">
        <v>0</v>
      </c>
      <c r="P22" s="69">
        <v>0</v>
      </c>
      <c r="Q22" s="70" t="s">
        <v>69</v>
      </c>
    </row>
    <row r="23" spans="1:17" x14ac:dyDescent="0.25">
      <c r="A23" s="68" t="s">
        <v>6</v>
      </c>
      <c r="B23" s="69" t="s">
        <v>64</v>
      </c>
      <c r="C23" s="69" t="s">
        <v>106</v>
      </c>
      <c r="D23" s="69" t="s">
        <v>113</v>
      </c>
      <c r="E23" s="69" t="s">
        <v>114</v>
      </c>
      <c r="F23" s="69" t="s">
        <v>10</v>
      </c>
      <c r="G23" s="69" t="s">
        <v>7</v>
      </c>
      <c r="H23" s="69" t="s">
        <v>35</v>
      </c>
      <c r="I23" s="69" t="s">
        <v>35</v>
      </c>
      <c r="J23" s="69" t="s">
        <v>35</v>
      </c>
      <c r="K23" s="69" t="s">
        <v>35</v>
      </c>
      <c r="L23" s="69" t="s">
        <v>35</v>
      </c>
      <c r="M23" s="69">
        <v>2025</v>
      </c>
      <c r="N23" s="69" t="s">
        <v>68</v>
      </c>
      <c r="O23" s="69">
        <v>0</v>
      </c>
      <c r="P23" s="69">
        <v>0</v>
      </c>
      <c r="Q23" s="70" t="s">
        <v>69</v>
      </c>
    </row>
    <row r="24" spans="1:17" ht="15.75" thickBot="1" x14ac:dyDescent="0.3">
      <c r="A24" s="72" t="s">
        <v>6</v>
      </c>
      <c r="B24" s="73" t="s">
        <v>64</v>
      </c>
      <c r="C24" s="73" t="s">
        <v>106</v>
      </c>
      <c r="D24" s="73" t="s">
        <v>115</v>
      </c>
      <c r="E24" s="73" t="s">
        <v>116</v>
      </c>
      <c r="F24" s="73" t="s">
        <v>10</v>
      </c>
      <c r="G24" s="73" t="s">
        <v>7</v>
      </c>
      <c r="H24" s="73" t="s">
        <v>35</v>
      </c>
      <c r="I24" s="73" t="s">
        <v>35</v>
      </c>
      <c r="J24" s="73" t="s">
        <v>35</v>
      </c>
      <c r="K24" s="73" t="s">
        <v>35</v>
      </c>
      <c r="L24" s="73" t="s">
        <v>35</v>
      </c>
      <c r="M24" s="73">
        <v>2025</v>
      </c>
      <c r="N24" s="73" t="s">
        <v>68</v>
      </c>
      <c r="O24" s="73">
        <v>0</v>
      </c>
      <c r="P24" s="73">
        <v>0</v>
      </c>
      <c r="Q24" s="75" t="s">
        <v>69</v>
      </c>
    </row>
    <row r="25" spans="1:17" x14ac:dyDescent="0.25">
      <c r="A25" s="68" t="s">
        <v>6</v>
      </c>
      <c r="B25" s="69" t="s">
        <v>64</v>
      </c>
      <c r="C25" s="69" t="s">
        <v>117</v>
      </c>
      <c r="D25" s="69" t="s">
        <v>118</v>
      </c>
      <c r="E25" s="69" t="s">
        <v>119</v>
      </c>
      <c r="F25" s="66" t="s">
        <v>10</v>
      </c>
      <c r="G25" s="66" t="s">
        <v>7</v>
      </c>
      <c r="H25" s="66" t="s">
        <v>35</v>
      </c>
      <c r="I25" s="66" t="s">
        <v>35</v>
      </c>
      <c r="J25" s="66" t="s">
        <v>35</v>
      </c>
      <c r="K25" s="66" t="s">
        <v>35</v>
      </c>
      <c r="L25" s="66" t="s">
        <v>35</v>
      </c>
      <c r="M25" s="66">
        <v>2025</v>
      </c>
      <c r="N25" s="66" t="s">
        <v>68</v>
      </c>
      <c r="O25" s="66">
        <v>0.45</v>
      </c>
      <c r="P25" s="66">
        <v>0.5</v>
      </c>
      <c r="Q25" s="67" t="s">
        <v>72</v>
      </c>
    </row>
    <row r="26" spans="1:17" x14ac:dyDescent="0.25">
      <c r="A26" s="68" t="s">
        <v>6</v>
      </c>
      <c r="B26" s="69" t="s">
        <v>64</v>
      </c>
      <c r="C26" s="69" t="s">
        <v>117</v>
      </c>
      <c r="D26" s="69" t="s">
        <v>120</v>
      </c>
      <c r="E26" s="69" t="s">
        <v>121</v>
      </c>
      <c r="F26" s="69" t="s">
        <v>10</v>
      </c>
      <c r="G26" s="69" t="s">
        <v>7</v>
      </c>
      <c r="H26" s="69" t="s">
        <v>35</v>
      </c>
      <c r="I26" s="69" t="s">
        <v>35</v>
      </c>
      <c r="J26" s="69" t="s">
        <v>35</v>
      </c>
      <c r="K26" s="69" t="s">
        <v>35</v>
      </c>
      <c r="L26" s="69" t="s">
        <v>35</v>
      </c>
      <c r="M26" s="69">
        <v>2025</v>
      </c>
      <c r="N26" s="69" t="s">
        <v>68</v>
      </c>
      <c r="O26" s="69">
        <v>0.35</v>
      </c>
      <c r="P26" s="69">
        <v>0.4</v>
      </c>
      <c r="Q26" s="70" t="s">
        <v>72</v>
      </c>
    </row>
    <row r="27" spans="1:17" x14ac:dyDescent="0.25">
      <c r="A27" s="68" t="s">
        <v>6</v>
      </c>
      <c r="B27" s="69" t="s">
        <v>64</v>
      </c>
      <c r="C27" s="69" t="s">
        <v>117</v>
      </c>
      <c r="D27" s="69" t="s">
        <v>122</v>
      </c>
      <c r="E27" s="69" t="s">
        <v>123</v>
      </c>
      <c r="F27" s="69" t="s">
        <v>10</v>
      </c>
      <c r="G27" s="69" t="s">
        <v>7</v>
      </c>
      <c r="H27" s="69" t="s">
        <v>35</v>
      </c>
      <c r="I27" s="69" t="s">
        <v>35</v>
      </c>
      <c r="J27" s="69" t="s">
        <v>35</v>
      </c>
      <c r="K27" s="69" t="s">
        <v>35</v>
      </c>
      <c r="L27" s="69" t="s">
        <v>35</v>
      </c>
      <c r="M27" s="69">
        <v>2025</v>
      </c>
      <c r="N27" s="69" t="s">
        <v>68</v>
      </c>
      <c r="O27" s="69">
        <v>0</v>
      </c>
      <c r="P27" s="69">
        <v>0</v>
      </c>
      <c r="Q27" s="70" t="s">
        <v>69</v>
      </c>
    </row>
    <row r="28" spans="1:17" ht="15.75" thickBot="1" x14ac:dyDescent="0.3">
      <c r="A28" s="72" t="s">
        <v>6</v>
      </c>
      <c r="B28" s="73" t="s">
        <v>64</v>
      </c>
      <c r="C28" s="73" t="s">
        <v>117</v>
      </c>
      <c r="D28" s="73" t="s">
        <v>124</v>
      </c>
      <c r="E28" s="73" t="s">
        <v>125</v>
      </c>
      <c r="F28" s="73" t="s">
        <v>10</v>
      </c>
      <c r="G28" s="73" t="s">
        <v>7</v>
      </c>
      <c r="H28" s="73" t="s">
        <v>35</v>
      </c>
      <c r="I28" s="73" t="s">
        <v>35</v>
      </c>
      <c r="J28" s="73" t="s">
        <v>35</v>
      </c>
      <c r="K28" s="73" t="s">
        <v>35</v>
      </c>
      <c r="L28" s="73" t="s">
        <v>35</v>
      </c>
      <c r="M28" s="73">
        <v>2025</v>
      </c>
      <c r="N28" s="73" t="s">
        <v>68</v>
      </c>
      <c r="O28" s="73">
        <v>0</v>
      </c>
      <c r="P28" s="73">
        <v>0</v>
      </c>
      <c r="Q28" s="75" t="s">
        <v>69</v>
      </c>
    </row>
    <row r="29" spans="1:17" x14ac:dyDescent="0.25">
      <c r="A29" s="95" t="s">
        <v>6</v>
      </c>
      <c r="B29" s="96" t="s">
        <v>64</v>
      </c>
      <c r="C29" s="96" t="s">
        <v>61</v>
      </c>
      <c r="D29" s="96" t="s">
        <v>126</v>
      </c>
      <c r="E29" s="96" t="s">
        <v>127</v>
      </c>
      <c r="F29" s="96" t="s">
        <v>10</v>
      </c>
      <c r="G29" s="96" t="s">
        <v>7</v>
      </c>
      <c r="H29" s="96" t="s">
        <v>35</v>
      </c>
      <c r="I29" s="96" t="s">
        <v>35</v>
      </c>
      <c r="J29" s="96" t="s">
        <v>35</v>
      </c>
      <c r="K29" s="96" t="s">
        <v>35</v>
      </c>
      <c r="L29" s="96" t="s">
        <v>35</v>
      </c>
      <c r="M29" s="96">
        <v>2025</v>
      </c>
      <c r="N29" s="96" t="s">
        <v>68</v>
      </c>
      <c r="O29" s="96">
        <v>0</v>
      </c>
      <c r="P29" s="96">
        <v>0</v>
      </c>
      <c r="Q29" s="97" t="s">
        <v>72</v>
      </c>
    </row>
    <row r="30" spans="1:17" x14ac:dyDescent="0.25">
      <c r="A30" s="95" t="s">
        <v>6</v>
      </c>
      <c r="B30" s="96" t="s">
        <v>64</v>
      </c>
      <c r="C30" s="96" t="s">
        <v>61</v>
      </c>
      <c r="D30" s="96" t="s">
        <v>128</v>
      </c>
      <c r="E30" s="96" t="s">
        <v>129</v>
      </c>
      <c r="F30" s="96" t="s">
        <v>10</v>
      </c>
      <c r="G30" s="96" t="s">
        <v>7</v>
      </c>
      <c r="H30" s="96" t="s">
        <v>35</v>
      </c>
      <c r="I30" s="96" t="s">
        <v>35</v>
      </c>
      <c r="J30" s="96" t="s">
        <v>35</v>
      </c>
      <c r="K30" s="96" t="s">
        <v>35</v>
      </c>
      <c r="L30" s="96" t="s">
        <v>35</v>
      </c>
      <c r="M30" s="96">
        <v>2025</v>
      </c>
      <c r="N30" s="96" t="s">
        <v>68</v>
      </c>
      <c r="O30" s="96">
        <v>0</v>
      </c>
      <c r="P30" s="96">
        <v>0</v>
      </c>
      <c r="Q30" s="97" t="s">
        <v>72</v>
      </c>
    </row>
    <row r="31" spans="1:17" ht="15.75" thickBot="1" x14ac:dyDescent="0.3">
      <c r="A31" s="98" t="s">
        <v>6</v>
      </c>
      <c r="B31" s="99" t="s">
        <v>64</v>
      </c>
      <c r="C31" s="99" t="s">
        <v>61</v>
      </c>
      <c r="D31" s="99" t="s">
        <v>130</v>
      </c>
      <c r="E31" s="99" t="s">
        <v>131</v>
      </c>
      <c r="F31" s="99" t="s">
        <v>10</v>
      </c>
      <c r="G31" s="99" t="s">
        <v>7</v>
      </c>
      <c r="H31" s="99" t="s">
        <v>35</v>
      </c>
      <c r="I31" s="99" t="s">
        <v>35</v>
      </c>
      <c r="J31" s="99" t="s">
        <v>35</v>
      </c>
      <c r="K31" s="99" t="s">
        <v>35</v>
      </c>
      <c r="L31" s="99" t="s">
        <v>35</v>
      </c>
      <c r="M31" s="99">
        <v>2025</v>
      </c>
      <c r="N31" s="99" t="s">
        <v>68</v>
      </c>
      <c r="O31" s="99">
        <v>0</v>
      </c>
      <c r="P31" s="99">
        <v>0</v>
      </c>
      <c r="Q31" s="100" t="s">
        <v>69</v>
      </c>
    </row>
    <row r="32" spans="1:17" x14ac:dyDescent="0.25">
      <c r="A32" s="95" t="s">
        <v>6</v>
      </c>
      <c r="B32" s="96" t="s">
        <v>64</v>
      </c>
      <c r="C32" s="96" t="s">
        <v>63</v>
      </c>
      <c r="D32" s="96" t="s">
        <v>132</v>
      </c>
      <c r="E32" s="96" t="s">
        <v>133</v>
      </c>
      <c r="F32" s="96" t="s">
        <v>10</v>
      </c>
      <c r="G32" s="96" t="s">
        <v>7</v>
      </c>
      <c r="H32" s="96" t="s">
        <v>35</v>
      </c>
      <c r="I32" s="96" t="s">
        <v>35</v>
      </c>
      <c r="J32" s="96" t="s">
        <v>35</v>
      </c>
      <c r="K32" s="96" t="s">
        <v>35</v>
      </c>
      <c r="L32" s="96" t="s">
        <v>35</v>
      </c>
      <c r="M32" s="96">
        <v>2025</v>
      </c>
      <c r="N32" s="96" t="s">
        <v>68</v>
      </c>
      <c r="O32" s="96">
        <v>0</v>
      </c>
      <c r="P32" s="96">
        <v>0</v>
      </c>
      <c r="Q32" s="97" t="s">
        <v>72</v>
      </c>
    </row>
    <row r="33" spans="1:17" x14ac:dyDescent="0.25">
      <c r="A33" s="95" t="s">
        <v>6</v>
      </c>
      <c r="B33" s="96" t="s">
        <v>64</v>
      </c>
      <c r="C33" s="96" t="s">
        <v>63</v>
      </c>
      <c r="D33" s="96" t="s">
        <v>134</v>
      </c>
      <c r="E33" s="96" t="s">
        <v>135</v>
      </c>
      <c r="F33" s="96" t="s">
        <v>10</v>
      </c>
      <c r="G33" s="96" t="s">
        <v>7</v>
      </c>
      <c r="H33" s="96" t="s">
        <v>35</v>
      </c>
      <c r="I33" s="96" t="s">
        <v>35</v>
      </c>
      <c r="J33" s="96" t="s">
        <v>35</v>
      </c>
      <c r="K33" s="96" t="s">
        <v>35</v>
      </c>
      <c r="L33" s="96" t="s">
        <v>35</v>
      </c>
      <c r="M33" s="96">
        <v>2025</v>
      </c>
      <c r="N33" s="96" t="s">
        <v>68</v>
      </c>
      <c r="O33" s="96">
        <v>0</v>
      </c>
      <c r="P33" s="96">
        <v>0</v>
      </c>
      <c r="Q33" s="97" t="s">
        <v>72</v>
      </c>
    </row>
    <row r="34" spans="1:17" ht="15.75" thickBot="1" x14ac:dyDescent="0.3">
      <c r="A34" s="98" t="s">
        <v>6</v>
      </c>
      <c r="B34" s="99" t="s">
        <v>64</v>
      </c>
      <c r="C34" s="99" t="s">
        <v>63</v>
      </c>
      <c r="D34" s="99" t="s">
        <v>136</v>
      </c>
      <c r="E34" s="99" t="s">
        <v>137</v>
      </c>
      <c r="F34" s="99" t="s">
        <v>10</v>
      </c>
      <c r="G34" s="99" t="s">
        <v>7</v>
      </c>
      <c r="H34" s="99" t="s">
        <v>35</v>
      </c>
      <c r="I34" s="99" t="s">
        <v>35</v>
      </c>
      <c r="J34" s="99" t="s">
        <v>35</v>
      </c>
      <c r="K34" s="99" t="s">
        <v>35</v>
      </c>
      <c r="L34" s="99" t="s">
        <v>35</v>
      </c>
      <c r="M34" s="99">
        <v>2025</v>
      </c>
      <c r="N34" s="99" t="s">
        <v>68</v>
      </c>
      <c r="O34" s="99">
        <v>0</v>
      </c>
      <c r="P34" s="99">
        <v>0</v>
      </c>
      <c r="Q34" s="100" t="s">
        <v>69</v>
      </c>
    </row>
    <row r="35" spans="1:17" x14ac:dyDescent="0.25">
      <c r="A35" s="95" t="s">
        <v>6</v>
      </c>
      <c r="B35" s="96" t="s">
        <v>64</v>
      </c>
      <c r="C35" s="96" t="s">
        <v>62</v>
      </c>
      <c r="D35" s="96" t="s">
        <v>138</v>
      </c>
      <c r="E35" s="96" t="s">
        <v>139</v>
      </c>
      <c r="F35" s="96" t="s">
        <v>10</v>
      </c>
      <c r="G35" s="96" t="s">
        <v>7</v>
      </c>
      <c r="H35" s="96" t="s">
        <v>35</v>
      </c>
      <c r="I35" s="96" t="s">
        <v>35</v>
      </c>
      <c r="J35" s="96" t="s">
        <v>35</v>
      </c>
      <c r="K35" s="96" t="s">
        <v>35</v>
      </c>
      <c r="L35" s="96" t="s">
        <v>35</v>
      </c>
      <c r="M35" s="96">
        <v>2025</v>
      </c>
      <c r="N35" s="96" t="s">
        <v>68</v>
      </c>
      <c r="O35" s="96">
        <v>0</v>
      </c>
      <c r="P35" s="96">
        <v>0</v>
      </c>
      <c r="Q35" s="97" t="s">
        <v>72</v>
      </c>
    </row>
    <row r="36" spans="1:17" ht="15.75" thickBot="1" x14ac:dyDescent="0.3">
      <c r="A36" s="98" t="s">
        <v>6</v>
      </c>
      <c r="B36" s="99" t="s">
        <v>64</v>
      </c>
      <c r="C36" s="99" t="s">
        <v>62</v>
      </c>
      <c r="D36" s="99" t="s">
        <v>140</v>
      </c>
      <c r="E36" s="99" t="s">
        <v>141</v>
      </c>
      <c r="F36" s="99" t="s">
        <v>10</v>
      </c>
      <c r="G36" s="99" t="s">
        <v>7</v>
      </c>
      <c r="H36" s="99" t="s">
        <v>35</v>
      </c>
      <c r="I36" s="99" t="s">
        <v>35</v>
      </c>
      <c r="J36" s="99" t="s">
        <v>35</v>
      </c>
      <c r="K36" s="99" t="s">
        <v>35</v>
      </c>
      <c r="L36" s="99" t="s">
        <v>35</v>
      </c>
      <c r="M36" s="99">
        <v>2025</v>
      </c>
      <c r="N36" s="99" t="s">
        <v>68</v>
      </c>
      <c r="O36" s="99">
        <v>0</v>
      </c>
      <c r="P36" s="99">
        <v>0</v>
      </c>
      <c r="Q36" s="100" t="s">
        <v>69</v>
      </c>
    </row>
    <row r="37" spans="1:17" x14ac:dyDescent="0.25">
      <c r="A37" s="89"/>
      <c r="B37" s="89"/>
      <c r="C37" s="89"/>
      <c r="D37" s="89"/>
      <c r="E37" s="89"/>
      <c r="F37" s="90"/>
      <c r="G37" s="90"/>
      <c r="H37" s="76"/>
      <c r="I37" s="76"/>
      <c r="J37" s="76"/>
      <c r="K37" s="76"/>
      <c r="L37" s="76"/>
      <c r="M37" s="76"/>
      <c r="N37" s="76"/>
      <c r="O37" s="76"/>
      <c r="P37" s="76"/>
      <c r="Q37" s="77"/>
    </row>
    <row r="38" spans="1:17" x14ac:dyDescent="0.25">
      <c r="A38" s="91"/>
      <c r="B38" s="91"/>
      <c r="C38" s="91"/>
      <c r="D38" s="91"/>
      <c r="E38" s="91"/>
      <c r="F38" s="91"/>
      <c r="G38" s="91"/>
      <c r="H38" s="78"/>
      <c r="I38" s="78"/>
      <c r="J38" s="78"/>
      <c r="K38" s="78"/>
      <c r="L38" s="78"/>
      <c r="M38" s="78"/>
      <c r="N38" s="78"/>
      <c r="O38" s="78"/>
      <c r="P38" s="78"/>
      <c r="Q38" s="79"/>
    </row>
    <row r="39" spans="1:17" x14ac:dyDescent="0.25">
      <c r="A39" s="91"/>
      <c r="B39" s="91"/>
      <c r="C39" s="91"/>
      <c r="D39" s="91"/>
      <c r="E39" s="91"/>
      <c r="F39" s="91"/>
      <c r="G39" s="91"/>
      <c r="H39" s="78"/>
      <c r="I39" s="78"/>
      <c r="J39" s="78"/>
      <c r="K39" s="78"/>
      <c r="L39" s="78"/>
      <c r="M39" s="78"/>
      <c r="N39" s="78"/>
      <c r="O39" s="78"/>
      <c r="P39" s="78"/>
      <c r="Q39" s="79"/>
    </row>
    <row r="40" spans="1:17" ht="15.75" thickBot="1" x14ac:dyDescent="0.3">
      <c r="A40" s="92"/>
      <c r="B40" s="92"/>
      <c r="C40" s="92"/>
      <c r="D40" s="92"/>
      <c r="E40" s="92"/>
      <c r="F40" s="92"/>
      <c r="G40" s="92"/>
      <c r="H40" s="80"/>
      <c r="I40" s="80"/>
      <c r="J40" s="80"/>
      <c r="K40" s="80"/>
      <c r="L40" s="80"/>
      <c r="M40" s="80"/>
      <c r="N40" s="80"/>
      <c r="O40" s="80"/>
      <c r="P40" s="80"/>
      <c r="Q40" s="81"/>
    </row>
    <row r="41" spans="1:17" x14ac:dyDescent="0.25">
      <c r="A41" s="93"/>
      <c r="B41" s="90"/>
      <c r="C41" s="90"/>
      <c r="D41" s="90"/>
      <c r="E41" s="90"/>
      <c r="F41" s="90"/>
      <c r="G41" s="90"/>
      <c r="H41" s="76"/>
      <c r="I41" s="76"/>
      <c r="J41" s="76"/>
      <c r="K41" s="76"/>
      <c r="L41" s="76"/>
      <c r="M41" s="76"/>
      <c r="N41" s="76"/>
      <c r="O41" s="76"/>
      <c r="P41" s="76"/>
      <c r="Q41" s="77"/>
    </row>
    <row r="42" spans="1:17" ht="15.75" thickBot="1" x14ac:dyDescent="0.3">
      <c r="A42" s="94"/>
      <c r="B42" s="92"/>
      <c r="C42" s="92"/>
      <c r="D42" s="92"/>
      <c r="E42" s="92"/>
      <c r="F42" s="92"/>
      <c r="G42" s="92"/>
      <c r="H42" s="152"/>
      <c r="I42" s="152"/>
      <c r="J42" s="80"/>
      <c r="K42" s="80"/>
      <c r="L42" s="80"/>
      <c r="M42" s="80"/>
      <c r="N42" s="80"/>
      <c r="O42" s="80"/>
      <c r="P42" s="80"/>
      <c r="Q42" s="81"/>
    </row>
    <row r="43" spans="1:17" x14ac:dyDescent="0.25">
      <c r="A43" s="91"/>
      <c r="B43" s="91"/>
      <c r="C43" s="91"/>
      <c r="D43" s="91"/>
      <c r="E43" s="91"/>
      <c r="F43" s="90"/>
      <c r="G43" s="90"/>
      <c r="H43" s="76"/>
      <c r="I43" s="76"/>
      <c r="J43" s="76"/>
      <c r="K43" s="76"/>
      <c r="L43" s="76"/>
      <c r="M43" s="76"/>
      <c r="N43" s="76"/>
      <c r="O43" s="76"/>
      <c r="P43" s="76"/>
      <c r="Q43" s="77"/>
    </row>
    <row r="44" spans="1:17" x14ac:dyDescent="0.25">
      <c r="A44" s="91"/>
      <c r="B44" s="91"/>
      <c r="C44" s="91"/>
      <c r="D44" s="91"/>
      <c r="E44" s="91"/>
      <c r="F44" s="91"/>
      <c r="G44" s="91"/>
      <c r="H44" s="78"/>
      <c r="I44" s="78"/>
      <c r="J44" s="78"/>
      <c r="K44" s="78"/>
      <c r="L44" s="78"/>
      <c r="M44" s="78"/>
      <c r="N44" s="78"/>
      <c r="O44" s="78"/>
      <c r="P44" s="78"/>
      <c r="Q44" s="79"/>
    </row>
    <row r="45" spans="1:17" ht="15.75" thickBot="1" x14ac:dyDescent="0.3">
      <c r="A45" s="92"/>
      <c r="B45" s="92"/>
      <c r="C45" s="92"/>
      <c r="D45" s="92"/>
      <c r="E45" s="92"/>
      <c r="F45" s="92"/>
      <c r="G45" s="92"/>
      <c r="H45" s="152"/>
      <c r="I45" s="152"/>
      <c r="J45" s="80"/>
      <c r="K45" s="80"/>
      <c r="L45" s="80"/>
      <c r="M45" s="80"/>
      <c r="N45" s="80"/>
      <c r="O45" s="80"/>
      <c r="P45" s="80"/>
      <c r="Q45" s="81"/>
    </row>
    <row r="46" spans="1:17" x14ac:dyDescent="0.25">
      <c r="A46" s="122"/>
      <c r="B46" s="122"/>
      <c r="C46" s="122"/>
      <c r="D46" s="122"/>
      <c r="E46" s="122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4"/>
    </row>
    <row r="47" spans="1:17" ht="15.75" thickBot="1" x14ac:dyDescent="0.3">
      <c r="A47" s="125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6"/>
    </row>
    <row r="48" spans="1:17" x14ac:dyDescent="0.25">
      <c r="A48" s="122"/>
      <c r="B48" s="122"/>
      <c r="C48" s="122"/>
      <c r="D48" s="122"/>
      <c r="E48" s="122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4"/>
    </row>
    <row r="49" spans="1:17" x14ac:dyDescent="0.25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7"/>
    </row>
    <row r="50" spans="1:17" ht="15.75" thickBot="1" x14ac:dyDescent="0.3">
      <c r="A50" s="125"/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6"/>
    </row>
    <row r="51" spans="1:17" x14ac:dyDescent="0.25">
      <c r="A51" s="122"/>
      <c r="B51" s="122"/>
      <c r="C51" s="122"/>
      <c r="D51" s="122"/>
      <c r="E51" s="122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4"/>
    </row>
    <row r="52" spans="1:17" x14ac:dyDescent="0.25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7"/>
    </row>
    <row r="53" spans="1:17" x14ac:dyDescent="0.25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7"/>
    </row>
    <row r="54" spans="1:17" ht="15.75" thickBot="1" x14ac:dyDescent="0.3">
      <c r="A54" s="125"/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6"/>
    </row>
    <row r="55" spans="1:17" x14ac:dyDescent="0.25">
      <c r="A55" s="78"/>
      <c r="B55" s="78"/>
      <c r="C55" s="78"/>
      <c r="D55" s="78"/>
      <c r="E55" s="78"/>
      <c r="F55" s="76"/>
      <c r="G55" s="76"/>
      <c r="H55" s="76"/>
      <c r="I55" s="76"/>
      <c r="J55" s="76"/>
      <c r="K55" s="76"/>
      <c r="L55" s="76"/>
      <c r="M55" s="76"/>
      <c r="N55" s="76"/>
      <c r="O55" s="102"/>
      <c r="P55" s="102"/>
      <c r="Q55" s="103"/>
    </row>
    <row r="56" spans="1:17" x14ac:dyDescent="0.25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104"/>
      <c r="P56" s="104"/>
      <c r="Q56" s="105"/>
    </row>
    <row r="57" spans="1:17" x14ac:dyDescent="0.25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104"/>
      <c r="P57" s="104"/>
      <c r="Q57" s="105"/>
    </row>
    <row r="58" spans="1:17" x14ac:dyDescent="0.25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104"/>
      <c r="P58" s="104"/>
      <c r="Q58" s="105"/>
    </row>
    <row r="59" spans="1:17" ht="15.75" thickBot="1" x14ac:dyDescent="0.3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106"/>
      <c r="P59" s="106"/>
      <c r="Q59" s="107"/>
    </row>
    <row r="60" spans="1:17" x14ac:dyDescent="0.25">
      <c r="A60" s="78"/>
      <c r="B60" s="78"/>
      <c r="C60" s="78"/>
      <c r="D60" s="78"/>
      <c r="E60" s="78"/>
      <c r="F60" s="76"/>
      <c r="G60" s="76"/>
      <c r="H60" s="76"/>
      <c r="I60" s="76"/>
      <c r="J60" s="76"/>
      <c r="K60" s="76"/>
      <c r="L60" s="76"/>
      <c r="M60" s="76"/>
      <c r="N60" s="76"/>
      <c r="O60" s="102"/>
      <c r="P60" s="102"/>
      <c r="Q60" s="103"/>
    </row>
    <row r="61" spans="1:17" x14ac:dyDescent="0.2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104"/>
      <c r="P61" s="104"/>
      <c r="Q61" s="105"/>
    </row>
    <row r="62" spans="1:17" x14ac:dyDescent="0.25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104"/>
      <c r="P62" s="104"/>
      <c r="Q62" s="105"/>
    </row>
    <row r="63" spans="1:17" ht="15.75" thickBot="1" x14ac:dyDescent="0.3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106"/>
      <c r="P63" s="106"/>
      <c r="Q63" s="107"/>
    </row>
    <row r="64" spans="1:17" x14ac:dyDescent="0.25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101"/>
      <c r="P64" s="101"/>
      <c r="Q64" s="97"/>
    </row>
    <row r="65" spans="1:17" x14ac:dyDescent="0.25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7"/>
    </row>
    <row r="66" spans="1:17" ht="15.75" thickBot="1" x14ac:dyDescent="0.3">
      <c r="A66" s="99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100"/>
    </row>
    <row r="67" spans="1:17" x14ac:dyDescent="0.25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101"/>
      <c r="P67" s="101"/>
      <c r="Q67" s="97"/>
    </row>
    <row r="68" spans="1:17" x14ac:dyDescent="0.25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7"/>
    </row>
    <row r="69" spans="1:17" ht="15.75" thickBot="1" x14ac:dyDescent="0.3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100"/>
    </row>
    <row r="70" spans="1:17" x14ac:dyDescent="0.25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7"/>
    </row>
    <row r="71" spans="1:17" ht="15.75" thickBot="1" x14ac:dyDescent="0.3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100"/>
    </row>
  </sheetData>
  <autoFilter ref="A1:Q71" xr:uid="{06AEFB00-1289-4B8E-87A3-B856D2DE3F10}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125CD-80FE-460F-BC3F-4242477DD6E2}">
  <sheetPr>
    <tabColor rgb="FFFFC000"/>
  </sheetPr>
  <dimension ref="A1:Q71"/>
  <sheetViews>
    <sheetView zoomScale="89" zoomScaleNormal="107" workbookViewId="0">
      <pane ySplit="1" topLeftCell="A33" activePane="bottomLeft" state="frozen"/>
      <selection pane="bottomLeft" activeCell="A37" sqref="A37:Q71"/>
    </sheetView>
  </sheetViews>
  <sheetFormatPr defaultColWidth="8.7109375" defaultRowHeight="15" x14ac:dyDescent="0.25"/>
  <cols>
    <col min="1" max="1" width="10.7109375" style="1" bestFit="1" customWidth="1"/>
    <col min="2" max="2" width="9.42578125" style="1" bestFit="1" customWidth="1"/>
    <col min="3" max="3" width="20.5703125" style="1" bestFit="1" customWidth="1"/>
    <col min="4" max="4" width="26.7109375" style="1" bestFit="1" customWidth="1"/>
    <col min="5" max="5" width="14.140625" style="1" bestFit="1" customWidth="1"/>
    <col min="6" max="6" width="9.85546875" style="1" bestFit="1" customWidth="1"/>
    <col min="7" max="7" width="8.85546875" style="1" bestFit="1" customWidth="1"/>
    <col min="8" max="9" width="9" style="1" bestFit="1" customWidth="1"/>
    <col min="10" max="12" width="5.42578125" style="1" bestFit="1" customWidth="1"/>
    <col min="13" max="13" width="7.42578125" style="1" bestFit="1" customWidth="1"/>
    <col min="14" max="16" width="9.85546875" style="1" bestFit="1" customWidth="1"/>
    <col min="17" max="17" width="17.85546875" style="1" bestFit="1" customWidth="1"/>
    <col min="18" max="16384" width="8.7109375" style="1"/>
  </cols>
  <sheetData>
    <row r="1" spans="1:17" ht="15.75" thickBot="1" x14ac:dyDescent="0.3">
      <c r="A1" s="43" t="s">
        <v>14</v>
      </c>
      <c r="B1" s="44" t="s">
        <v>46</v>
      </c>
      <c r="C1" s="44" t="s">
        <v>18</v>
      </c>
      <c r="D1" s="44" t="s">
        <v>19</v>
      </c>
      <c r="E1" s="44" t="s">
        <v>20</v>
      </c>
      <c r="F1" s="44" t="s">
        <v>23</v>
      </c>
      <c r="G1" s="44" t="s">
        <v>24</v>
      </c>
      <c r="H1" s="44" t="s">
        <v>25</v>
      </c>
      <c r="I1" s="44" t="s">
        <v>26</v>
      </c>
      <c r="J1" s="44" t="s">
        <v>27</v>
      </c>
      <c r="K1" s="44" t="s">
        <v>28</v>
      </c>
      <c r="L1" s="44" t="s">
        <v>29</v>
      </c>
      <c r="M1" s="44" t="s">
        <v>30</v>
      </c>
      <c r="N1" s="44" t="s">
        <v>31</v>
      </c>
      <c r="O1" s="44" t="s">
        <v>32</v>
      </c>
      <c r="P1" s="44" t="s">
        <v>33</v>
      </c>
      <c r="Q1" s="45" t="s">
        <v>47</v>
      </c>
    </row>
    <row r="2" spans="1:17" x14ac:dyDescent="0.25">
      <c r="A2" s="83" t="s">
        <v>6</v>
      </c>
      <c r="B2" s="84" t="s">
        <v>64</v>
      </c>
      <c r="C2" s="84" t="s">
        <v>65</v>
      </c>
      <c r="D2" s="84" t="s">
        <v>66</v>
      </c>
      <c r="E2" s="84" t="s">
        <v>67</v>
      </c>
      <c r="F2" s="84" t="s">
        <v>10</v>
      </c>
      <c r="G2" s="84" t="s">
        <v>7</v>
      </c>
      <c r="H2" s="66" t="s">
        <v>35</v>
      </c>
      <c r="I2" s="66" t="s">
        <v>35</v>
      </c>
      <c r="J2" s="66" t="s">
        <v>35</v>
      </c>
      <c r="K2" s="66" t="s">
        <v>35</v>
      </c>
      <c r="L2" s="66" t="s">
        <v>35</v>
      </c>
      <c r="M2" s="66">
        <v>2025</v>
      </c>
      <c r="N2" s="66" t="s">
        <v>68</v>
      </c>
      <c r="O2" s="66">
        <v>0</v>
      </c>
      <c r="P2" s="66">
        <v>0</v>
      </c>
      <c r="Q2" s="103" t="s">
        <v>69</v>
      </c>
    </row>
    <row r="3" spans="1:17" x14ac:dyDescent="0.25">
      <c r="A3" s="85" t="s">
        <v>6</v>
      </c>
      <c r="B3" s="86" t="s">
        <v>64</v>
      </c>
      <c r="C3" s="86" t="s">
        <v>65</v>
      </c>
      <c r="D3" s="86" t="s">
        <v>70</v>
      </c>
      <c r="E3" s="86" t="s">
        <v>71</v>
      </c>
      <c r="F3" s="86" t="s">
        <v>10</v>
      </c>
      <c r="G3" s="86" t="s">
        <v>7</v>
      </c>
      <c r="H3" s="69" t="s">
        <v>35</v>
      </c>
      <c r="I3" s="69" t="s">
        <v>35</v>
      </c>
      <c r="J3" s="69" t="s">
        <v>35</v>
      </c>
      <c r="K3" s="69" t="s">
        <v>35</v>
      </c>
      <c r="L3" s="69" t="s">
        <v>35</v>
      </c>
      <c r="M3" s="69">
        <v>2025</v>
      </c>
      <c r="N3" s="69" t="s">
        <v>68</v>
      </c>
      <c r="O3" s="69">
        <v>0</v>
      </c>
      <c r="P3" s="69">
        <v>0</v>
      </c>
      <c r="Q3" s="70" t="s">
        <v>72</v>
      </c>
    </row>
    <row r="4" spans="1:17" x14ac:dyDescent="0.25">
      <c r="A4" s="85" t="s">
        <v>6</v>
      </c>
      <c r="B4" s="86" t="s">
        <v>64</v>
      </c>
      <c r="C4" s="86" t="s">
        <v>65</v>
      </c>
      <c r="D4" s="86" t="s">
        <v>73</v>
      </c>
      <c r="E4" s="86" t="s">
        <v>74</v>
      </c>
      <c r="F4" s="86" t="s">
        <v>7</v>
      </c>
      <c r="G4" s="86" t="s">
        <v>10</v>
      </c>
      <c r="H4" s="71">
        <v>1E-3</v>
      </c>
      <c r="I4" s="71">
        <v>0.99</v>
      </c>
      <c r="J4" s="69">
        <v>0.06</v>
      </c>
      <c r="K4" s="69">
        <v>0.01</v>
      </c>
      <c r="L4" s="69">
        <v>2030</v>
      </c>
      <c r="M4" s="69">
        <v>2025</v>
      </c>
      <c r="N4" s="69" t="s">
        <v>35</v>
      </c>
      <c r="O4" s="69" t="s">
        <v>35</v>
      </c>
      <c r="P4" s="69" t="s">
        <v>35</v>
      </c>
      <c r="Q4" s="70" t="s">
        <v>75</v>
      </c>
    </row>
    <row r="5" spans="1:17" ht="15.75" thickBot="1" x14ac:dyDescent="0.3">
      <c r="A5" s="87" t="s">
        <v>6</v>
      </c>
      <c r="B5" s="88" t="s">
        <v>64</v>
      </c>
      <c r="C5" s="88" t="s">
        <v>65</v>
      </c>
      <c r="D5" s="88" t="s">
        <v>76</v>
      </c>
      <c r="E5" s="88" t="s">
        <v>77</v>
      </c>
      <c r="F5" s="88" t="s">
        <v>10</v>
      </c>
      <c r="G5" s="88" t="s">
        <v>7</v>
      </c>
      <c r="H5" s="73" t="s">
        <v>35</v>
      </c>
      <c r="I5" s="73" t="s">
        <v>35</v>
      </c>
      <c r="J5" s="73" t="s">
        <v>35</v>
      </c>
      <c r="K5" s="73" t="s">
        <v>35</v>
      </c>
      <c r="L5" s="73" t="s">
        <v>35</v>
      </c>
      <c r="M5" s="73">
        <v>2025</v>
      </c>
      <c r="N5" s="73" t="s">
        <v>68</v>
      </c>
      <c r="O5" s="73">
        <v>0</v>
      </c>
      <c r="P5" s="73">
        <v>0</v>
      </c>
      <c r="Q5" s="75" t="s">
        <v>69</v>
      </c>
    </row>
    <row r="6" spans="1:17" x14ac:dyDescent="0.25">
      <c r="A6" s="85" t="s">
        <v>6</v>
      </c>
      <c r="B6" s="86" t="s">
        <v>64</v>
      </c>
      <c r="C6" s="86" t="s">
        <v>65</v>
      </c>
      <c r="D6" s="86" t="s">
        <v>78</v>
      </c>
      <c r="E6" s="86" t="s">
        <v>79</v>
      </c>
      <c r="F6" s="84" t="s">
        <v>10</v>
      </c>
      <c r="G6" s="84" t="s">
        <v>7</v>
      </c>
      <c r="H6" s="66" t="s">
        <v>35</v>
      </c>
      <c r="I6" s="66" t="s">
        <v>35</v>
      </c>
      <c r="J6" s="66" t="s">
        <v>35</v>
      </c>
      <c r="K6" s="66" t="s">
        <v>35</v>
      </c>
      <c r="L6" s="66" t="s">
        <v>35</v>
      </c>
      <c r="M6" s="66">
        <v>2025</v>
      </c>
      <c r="N6" s="66" t="s">
        <v>68</v>
      </c>
      <c r="O6" s="66">
        <v>0.85</v>
      </c>
      <c r="P6" s="66">
        <v>0.9</v>
      </c>
      <c r="Q6" s="67" t="s">
        <v>72</v>
      </c>
    </row>
    <row r="7" spans="1:17" ht="15.75" thickBot="1" x14ac:dyDescent="0.3">
      <c r="A7" s="87" t="s">
        <v>6</v>
      </c>
      <c r="B7" s="88" t="s">
        <v>64</v>
      </c>
      <c r="C7" s="88" t="s">
        <v>65</v>
      </c>
      <c r="D7" s="88" t="s">
        <v>80</v>
      </c>
      <c r="E7" s="88" t="s">
        <v>81</v>
      </c>
      <c r="F7" s="88" t="s">
        <v>7</v>
      </c>
      <c r="G7" s="88" t="s">
        <v>10</v>
      </c>
      <c r="H7" s="74">
        <v>1E-3</v>
      </c>
      <c r="I7" s="74">
        <v>0.99</v>
      </c>
      <c r="J7" s="73">
        <v>0.06</v>
      </c>
      <c r="K7" s="73">
        <v>0.01</v>
      </c>
      <c r="L7" s="73">
        <v>2030</v>
      </c>
      <c r="M7" s="73">
        <v>2025</v>
      </c>
      <c r="N7" s="73" t="s">
        <v>68</v>
      </c>
      <c r="O7" s="73">
        <v>0</v>
      </c>
      <c r="P7" s="73">
        <v>0</v>
      </c>
      <c r="Q7" s="75" t="s">
        <v>75</v>
      </c>
    </row>
    <row r="8" spans="1:17" x14ac:dyDescent="0.25">
      <c r="A8" s="85" t="s">
        <v>6</v>
      </c>
      <c r="B8" s="86" t="s">
        <v>64</v>
      </c>
      <c r="C8" s="86" t="s">
        <v>65</v>
      </c>
      <c r="D8" s="86" t="s">
        <v>82</v>
      </c>
      <c r="E8" s="86" t="s">
        <v>83</v>
      </c>
      <c r="F8" s="84" t="s">
        <v>10</v>
      </c>
      <c r="G8" s="84" t="s">
        <v>7</v>
      </c>
      <c r="H8" s="66" t="s">
        <v>35</v>
      </c>
      <c r="I8" s="66" t="s">
        <v>35</v>
      </c>
      <c r="J8" s="66" t="s">
        <v>35</v>
      </c>
      <c r="K8" s="66" t="s">
        <v>35</v>
      </c>
      <c r="L8" s="66" t="s">
        <v>35</v>
      </c>
      <c r="M8" s="66">
        <v>2025</v>
      </c>
      <c r="N8" s="66" t="s">
        <v>68</v>
      </c>
      <c r="O8" s="66">
        <v>0.66</v>
      </c>
      <c r="P8" s="66">
        <v>0.67</v>
      </c>
      <c r="Q8" s="67" t="s">
        <v>72</v>
      </c>
    </row>
    <row r="9" spans="1:17" x14ac:dyDescent="0.25">
      <c r="A9" s="85" t="s">
        <v>6</v>
      </c>
      <c r="B9" s="86" t="s">
        <v>64</v>
      </c>
      <c r="C9" s="86" t="s">
        <v>65</v>
      </c>
      <c r="D9" s="86" t="s">
        <v>84</v>
      </c>
      <c r="E9" s="86" t="s">
        <v>85</v>
      </c>
      <c r="F9" s="86" t="s">
        <v>10</v>
      </c>
      <c r="G9" s="86" t="s">
        <v>7</v>
      </c>
      <c r="H9" s="69" t="s">
        <v>35</v>
      </c>
      <c r="I9" s="69" t="s">
        <v>35</v>
      </c>
      <c r="J9" s="69" t="s">
        <v>35</v>
      </c>
      <c r="K9" s="69" t="s">
        <v>35</v>
      </c>
      <c r="L9" s="69" t="s">
        <v>35</v>
      </c>
      <c r="M9" s="69">
        <v>2025</v>
      </c>
      <c r="N9" s="69" t="s">
        <v>68</v>
      </c>
      <c r="O9" s="69">
        <v>0.28999999999999998</v>
      </c>
      <c r="P9" s="69">
        <v>0.3</v>
      </c>
      <c r="Q9" s="70" t="s">
        <v>72</v>
      </c>
    </row>
    <row r="10" spans="1:17" ht="15.75" thickBot="1" x14ac:dyDescent="0.3">
      <c r="A10" s="87" t="s">
        <v>6</v>
      </c>
      <c r="B10" s="88" t="s">
        <v>64</v>
      </c>
      <c r="C10" s="88" t="s">
        <v>65</v>
      </c>
      <c r="D10" s="88" t="s">
        <v>86</v>
      </c>
      <c r="E10" s="88" t="s">
        <v>87</v>
      </c>
      <c r="F10" s="88" t="s">
        <v>7</v>
      </c>
      <c r="G10" s="88" t="s">
        <v>10</v>
      </c>
      <c r="H10" s="74">
        <v>1E-3</v>
      </c>
      <c r="I10" s="74">
        <v>0.99</v>
      </c>
      <c r="J10" s="73">
        <v>0.06</v>
      </c>
      <c r="K10" s="73">
        <v>0.01</v>
      </c>
      <c r="L10" s="73">
        <v>2030</v>
      </c>
      <c r="M10" s="73">
        <v>2025</v>
      </c>
      <c r="N10" s="73" t="s">
        <v>35</v>
      </c>
      <c r="O10" s="73" t="s">
        <v>35</v>
      </c>
      <c r="P10" s="73" t="s">
        <v>35</v>
      </c>
      <c r="Q10" s="75" t="s">
        <v>75</v>
      </c>
    </row>
    <row r="11" spans="1:17" x14ac:dyDescent="0.25">
      <c r="A11" s="114" t="s">
        <v>6</v>
      </c>
      <c r="B11" s="115" t="s">
        <v>64</v>
      </c>
      <c r="C11" s="115" t="s">
        <v>34</v>
      </c>
      <c r="D11" s="115" t="s">
        <v>88</v>
      </c>
      <c r="E11" s="115" t="s">
        <v>89</v>
      </c>
      <c r="F11" s="116" t="s">
        <v>10</v>
      </c>
      <c r="G11" s="116" t="s">
        <v>7</v>
      </c>
      <c r="H11" s="116" t="s">
        <v>35</v>
      </c>
      <c r="I11" s="116" t="s">
        <v>35</v>
      </c>
      <c r="J11" s="116" t="s">
        <v>35</v>
      </c>
      <c r="K11" s="116" t="s">
        <v>35</v>
      </c>
      <c r="L11" s="116" t="s">
        <v>35</v>
      </c>
      <c r="M11" s="116">
        <v>2025</v>
      </c>
      <c r="N11" s="116" t="s">
        <v>68</v>
      </c>
      <c r="O11" s="116">
        <v>0.85</v>
      </c>
      <c r="P11" s="116">
        <v>0.9</v>
      </c>
      <c r="Q11" s="117" t="s">
        <v>72</v>
      </c>
    </row>
    <row r="12" spans="1:17" ht="15.75" thickBot="1" x14ac:dyDescent="0.3">
      <c r="A12" s="118" t="s">
        <v>6</v>
      </c>
      <c r="B12" s="119" t="s">
        <v>64</v>
      </c>
      <c r="C12" s="119" t="s">
        <v>34</v>
      </c>
      <c r="D12" s="119" t="s">
        <v>90</v>
      </c>
      <c r="E12" s="119" t="s">
        <v>91</v>
      </c>
      <c r="F12" s="119" t="s">
        <v>7</v>
      </c>
      <c r="G12" s="119" t="s">
        <v>10</v>
      </c>
      <c r="H12" s="119">
        <v>1E-3</v>
      </c>
      <c r="I12" s="119">
        <v>0.99</v>
      </c>
      <c r="J12" s="119">
        <v>0.06</v>
      </c>
      <c r="K12" s="119">
        <v>0.01</v>
      </c>
      <c r="L12" s="119">
        <v>2030</v>
      </c>
      <c r="M12" s="119">
        <v>2025</v>
      </c>
      <c r="N12" s="119" t="s">
        <v>35</v>
      </c>
      <c r="O12" s="119" t="s">
        <v>35</v>
      </c>
      <c r="P12" s="119" t="s">
        <v>35</v>
      </c>
      <c r="Q12" s="120" t="s">
        <v>75</v>
      </c>
    </row>
    <row r="13" spans="1:17" x14ac:dyDescent="0.25">
      <c r="A13" s="114" t="s">
        <v>6</v>
      </c>
      <c r="B13" s="115" t="s">
        <v>64</v>
      </c>
      <c r="C13" s="115" t="s">
        <v>34</v>
      </c>
      <c r="D13" s="115" t="s">
        <v>92</v>
      </c>
      <c r="E13" s="115" t="s">
        <v>93</v>
      </c>
      <c r="F13" s="116" t="s">
        <v>10</v>
      </c>
      <c r="G13" s="116" t="s">
        <v>7</v>
      </c>
      <c r="H13" s="116" t="s">
        <v>35</v>
      </c>
      <c r="I13" s="116" t="s">
        <v>35</v>
      </c>
      <c r="J13" s="116" t="s">
        <v>35</v>
      </c>
      <c r="K13" s="116" t="s">
        <v>35</v>
      </c>
      <c r="L13" s="116" t="s">
        <v>35</v>
      </c>
      <c r="M13" s="116">
        <v>2025</v>
      </c>
      <c r="N13" s="116" t="s">
        <v>68</v>
      </c>
      <c r="O13" s="116">
        <v>0.57999999999999996</v>
      </c>
      <c r="P13" s="116">
        <v>0.59</v>
      </c>
      <c r="Q13" s="117" t="s">
        <v>72</v>
      </c>
    </row>
    <row r="14" spans="1:17" x14ac:dyDescent="0.25">
      <c r="A14" s="114" t="s">
        <v>6</v>
      </c>
      <c r="B14" s="115" t="s">
        <v>64</v>
      </c>
      <c r="C14" s="115" t="s">
        <v>34</v>
      </c>
      <c r="D14" s="115" t="s">
        <v>94</v>
      </c>
      <c r="E14" s="115" t="s">
        <v>95</v>
      </c>
      <c r="F14" s="115" t="s">
        <v>10</v>
      </c>
      <c r="G14" s="115" t="s">
        <v>7</v>
      </c>
      <c r="H14" s="115" t="s">
        <v>35</v>
      </c>
      <c r="I14" s="115" t="s">
        <v>35</v>
      </c>
      <c r="J14" s="115" t="s">
        <v>35</v>
      </c>
      <c r="K14" s="115" t="s">
        <v>35</v>
      </c>
      <c r="L14" s="115" t="s">
        <v>35</v>
      </c>
      <c r="M14" s="115">
        <v>2025</v>
      </c>
      <c r="N14" s="115" t="s">
        <v>68</v>
      </c>
      <c r="O14" s="115">
        <v>0.37</v>
      </c>
      <c r="P14" s="115">
        <v>0.38</v>
      </c>
      <c r="Q14" s="121" t="s">
        <v>72</v>
      </c>
    </row>
    <row r="15" spans="1:17" ht="15.75" thickBot="1" x14ac:dyDescent="0.3">
      <c r="A15" s="118" t="s">
        <v>6</v>
      </c>
      <c r="B15" s="119" t="s">
        <v>64</v>
      </c>
      <c r="C15" s="119" t="s">
        <v>34</v>
      </c>
      <c r="D15" s="119" t="s">
        <v>96</v>
      </c>
      <c r="E15" s="119" t="s">
        <v>97</v>
      </c>
      <c r="F15" s="119" t="s">
        <v>7</v>
      </c>
      <c r="G15" s="119" t="s">
        <v>10</v>
      </c>
      <c r="H15" s="119">
        <v>1E-3</v>
      </c>
      <c r="I15" s="119">
        <v>0.99</v>
      </c>
      <c r="J15" s="119">
        <v>0.06</v>
      </c>
      <c r="K15" s="119">
        <v>0.01</v>
      </c>
      <c r="L15" s="119">
        <v>2030</v>
      </c>
      <c r="M15" s="119">
        <v>2025</v>
      </c>
      <c r="N15" s="119" t="s">
        <v>35</v>
      </c>
      <c r="O15" s="119" t="s">
        <v>35</v>
      </c>
      <c r="P15" s="119" t="s">
        <v>35</v>
      </c>
      <c r="Q15" s="120" t="s">
        <v>75</v>
      </c>
    </row>
    <row r="16" spans="1:17" x14ac:dyDescent="0.25">
      <c r="A16" s="114" t="s">
        <v>6</v>
      </c>
      <c r="B16" s="115" t="s">
        <v>64</v>
      </c>
      <c r="C16" s="115" t="s">
        <v>34</v>
      </c>
      <c r="D16" s="115" t="s">
        <v>98</v>
      </c>
      <c r="E16" s="115" t="s">
        <v>99</v>
      </c>
      <c r="F16" s="116" t="s">
        <v>10</v>
      </c>
      <c r="G16" s="116" t="s">
        <v>7</v>
      </c>
      <c r="H16" s="116" t="s">
        <v>35</v>
      </c>
      <c r="I16" s="116" t="s">
        <v>35</v>
      </c>
      <c r="J16" s="116" t="s">
        <v>35</v>
      </c>
      <c r="K16" s="116" t="s">
        <v>35</v>
      </c>
      <c r="L16" s="116" t="s">
        <v>35</v>
      </c>
      <c r="M16" s="116">
        <v>2025</v>
      </c>
      <c r="N16" s="116" t="s">
        <v>68</v>
      </c>
      <c r="O16" s="116">
        <v>0.85</v>
      </c>
      <c r="P16" s="116">
        <v>0.9</v>
      </c>
      <c r="Q16" s="117" t="s">
        <v>72</v>
      </c>
    </row>
    <row r="17" spans="1:17" x14ac:dyDescent="0.25">
      <c r="A17" s="114" t="s">
        <v>6</v>
      </c>
      <c r="B17" s="115" t="s">
        <v>64</v>
      </c>
      <c r="C17" s="115" t="s">
        <v>34</v>
      </c>
      <c r="D17" s="115" t="s">
        <v>100</v>
      </c>
      <c r="E17" s="115" t="s">
        <v>101</v>
      </c>
      <c r="F17" s="115" t="s">
        <v>10</v>
      </c>
      <c r="G17" s="115" t="s">
        <v>7</v>
      </c>
      <c r="H17" s="115" t="s">
        <v>35</v>
      </c>
      <c r="I17" s="115" t="s">
        <v>35</v>
      </c>
      <c r="J17" s="115" t="s">
        <v>35</v>
      </c>
      <c r="K17" s="115" t="s">
        <v>35</v>
      </c>
      <c r="L17" s="115" t="s">
        <v>35</v>
      </c>
      <c r="M17" s="115">
        <v>2025</v>
      </c>
      <c r="N17" s="115" t="s">
        <v>68</v>
      </c>
      <c r="O17" s="115">
        <v>0</v>
      </c>
      <c r="P17" s="115">
        <v>0</v>
      </c>
      <c r="Q17" s="121" t="s">
        <v>69</v>
      </c>
    </row>
    <row r="18" spans="1:17" x14ac:dyDescent="0.25">
      <c r="A18" s="114" t="s">
        <v>6</v>
      </c>
      <c r="B18" s="115" t="s">
        <v>64</v>
      </c>
      <c r="C18" s="115" t="s">
        <v>34</v>
      </c>
      <c r="D18" s="115" t="s">
        <v>102</v>
      </c>
      <c r="E18" s="115" t="s">
        <v>103</v>
      </c>
      <c r="F18" s="115" t="s">
        <v>7</v>
      </c>
      <c r="G18" s="115" t="s">
        <v>10</v>
      </c>
      <c r="H18" s="115">
        <v>1E-3</v>
      </c>
      <c r="I18" s="115">
        <v>0.99</v>
      </c>
      <c r="J18" s="115">
        <v>0.06</v>
      </c>
      <c r="K18" s="115">
        <v>0.01</v>
      </c>
      <c r="L18" s="115">
        <v>2030</v>
      </c>
      <c r="M18" s="115">
        <v>2025</v>
      </c>
      <c r="N18" s="115" t="s">
        <v>35</v>
      </c>
      <c r="O18" s="115" t="s">
        <v>35</v>
      </c>
      <c r="P18" s="115" t="s">
        <v>35</v>
      </c>
      <c r="Q18" s="121" t="s">
        <v>75</v>
      </c>
    </row>
    <row r="19" spans="1:17" ht="15.75" thickBot="1" x14ac:dyDescent="0.3">
      <c r="A19" s="118" t="s">
        <v>6</v>
      </c>
      <c r="B19" s="119" t="s">
        <v>64</v>
      </c>
      <c r="C19" s="119" t="s">
        <v>34</v>
      </c>
      <c r="D19" s="119" t="s">
        <v>104</v>
      </c>
      <c r="E19" s="119" t="s">
        <v>105</v>
      </c>
      <c r="F19" s="119" t="s">
        <v>10</v>
      </c>
      <c r="G19" s="119" t="s">
        <v>7</v>
      </c>
      <c r="H19" s="119" t="s">
        <v>35</v>
      </c>
      <c r="I19" s="119" t="s">
        <v>35</v>
      </c>
      <c r="J19" s="119" t="s">
        <v>35</v>
      </c>
      <c r="K19" s="119" t="s">
        <v>35</v>
      </c>
      <c r="L19" s="119" t="s">
        <v>35</v>
      </c>
      <c r="M19" s="119">
        <v>2025</v>
      </c>
      <c r="N19" s="119" t="s">
        <v>68</v>
      </c>
      <c r="O19" s="119">
        <v>0</v>
      </c>
      <c r="P19" s="119">
        <v>0</v>
      </c>
      <c r="Q19" s="120" t="s">
        <v>69</v>
      </c>
    </row>
    <row r="20" spans="1:17" x14ac:dyDescent="0.25">
      <c r="A20" s="68" t="s">
        <v>6</v>
      </c>
      <c r="B20" s="69" t="s">
        <v>64</v>
      </c>
      <c r="C20" s="69" t="s">
        <v>106</v>
      </c>
      <c r="D20" s="69" t="s">
        <v>107</v>
      </c>
      <c r="E20" s="69" t="s">
        <v>108</v>
      </c>
      <c r="F20" s="66" t="s">
        <v>10</v>
      </c>
      <c r="G20" s="66" t="s">
        <v>7</v>
      </c>
      <c r="H20" s="66" t="s">
        <v>35</v>
      </c>
      <c r="I20" s="66" t="s">
        <v>35</v>
      </c>
      <c r="J20" s="66" t="s">
        <v>35</v>
      </c>
      <c r="K20" s="66" t="s">
        <v>35</v>
      </c>
      <c r="L20" s="66" t="s">
        <v>35</v>
      </c>
      <c r="M20" s="66">
        <v>2025</v>
      </c>
      <c r="N20" s="66" t="s">
        <v>68</v>
      </c>
      <c r="O20" s="66">
        <v>0.85</v>
      </c>
      <c r="P20" s="66">
        <v>0.9</v>
      </c>
      <c r="Q20" s="67" t="s">
        <v>72</v>
      </c>
    </row>
    <row r="21" spans="1:17" x14ac:dyDescent="0.25">
      <c r="A21" s="68" t="s">
        <v>6</v>
      </c>
      <c r="B21" s="69" t="s">
        <v>64</v>
      </c>
      <c r="C21" s="69" t="s">
        <v>106</v>
      </c>
      <c r="D21" s="69" t="s">
        <v>109</v>
      </c>
      <c r="E21" s="69" t="s">
        <v>110</v>
      </c>
      <c r="F21" s="69" t="s">
        <v>10</v>
      </c>
      <c r="G21" s="69" t="s">
        <v>7</v>
      </c>
      <c r="H21" s="69" t="s">
        <v>35</v>
      </c>
      <c r="I21" s="69" t="s">
        <v>35</v>
      </c>
      <c r="J21" s="69" t="s">
        <v>35</v>
      </c>
      <c r="K21" s="69" t="s">
        <v>35</v>
      </c>
      <c r="L21" s="69" t="s">
        <v>35</v>
      </c>
      <c r="M21" s="69">
        <v>2025</v>
      </c>
      <c r="N21" s="69" t="s">
        <v>68</v>
      </c>
      <c r="O21" s="69">
        <v>0</v>
      </c>
      <c r="P21" s="69">
        <v>0</v>
      </c>
      <c r="Q21" s="70" t="s">
        <v>72</v>
      </c>
    </row>
    <row r="22" spans="1:17" x14ac:dyDescent="0.25">
      <c r="A22" s="68" t="s">
        <v>6</v>
      </c>
      <c r="B22" s="69" t="s">
        <v>64</v>
      </c>
      <c r="C22" s="69" t="s">
        <v>106</v>
      </c>
      <c r="D22" s="69" t="s">
        <v>111</v>
      </c>
      <c r="E22" s="69" t="s">
        <v>112</v>
      </c>
      <c r="F22" s="69" t="s">
        <v>10</v>
      </c>
      <c r="G22" s="69" t="s">
        <v>7</v>
      </c>
      <c r="H22" s="69" t="s">
        <v>35</v>
      </c>
      <c r="I22" s="69" t="s">
        <v>35</v>
      </c>
      <c r="J22" s="69" t="s">
        <v>35</v>
      </c>
      <c r="K22" s="69" t="s">
        <v>35</v>
      </c>
      <c r="L22" s="69" t="s">
        <v>35</v>
      </c>
      <c r="M22" s="69">
        <v>2025</v>
      </c>
      <c r="N22" s="69" t="s">
        <v>68</v>
      </c>
      <c r="O22" s="69">
        <v>0</v>
      </c>
      <c r="P22" s="69">
        <v>0</v>
      </c>
      <c r="Q22" s="70" t="s">
        <v>69</v>
      </c>
    </row>
    <row r="23" spans="1:17" x14ac:dyDescent="0.25">
      <c r="A23" s="68" t="s">
        <v>6</v>
      </c>
      <c r="B23" s="69" t="s">
        <v>64</v>
      </c>
      <c r="C23" s="69" t="s">
        <v>106</v>
      </c>
      <c r="D23" s="69" t="s">
        <v>113</v>
      </c>
      <c r="E23" s="69" t="s">
        <v>114</v>
      </c>
      <c r="F23" s="69" t="s">
        <v>10</v>
      </c>
      <c r="G23" s="69" t="s">
        <v>7</v>
      </c>
      <c r="H23" s="69" t="s">
        <v>35</v>
      </c>
      <c r="I23" s="69" t="s">
        <v>35</v>
      </c>
      <c r="J23" s="69" t="s">
        <v>35</v>
      </c>
      <c r="K23" s="69" t="s">
        <v>35</v>
      </c>
      <c r="L23" s="69" t="s">
        <v>35</v>
      </c>
      <c r="M23" s="69">
        <v>2025</v>
      </c>
      <c r="N23" s="69" t="s">
        <v>68</v>
      </c>
      <c r="O23" s="69">
        <v>0</v>
      </c>
      <c r="P23" s="69">
        <v>0</v>
      </c>
      <c r="Q23" s="70" t="s">
        <v>69</v>
      </c>
    </row>
    <row r="24" spans="1:17" ht="15.75" thickBot="1" x14ac:dyDescent="0.3">
      <c r="A24" s="72" t="s">
        <v>6</v>
      </c>
      <c r="B24" s="73" t="s">
        <v>64</v>
      </c>
      <c r="C24" s="73" t="s">
        <v>106</v>
      </c>
      <c r="D24" s="73" t="s">
        <v>115</v>
      </c>
      <c r="E24" s="73" t="s">
        <v>116</v>
      </c>
      <c r="F24" s="73" t="s">
        <v>10</v>
      </c>
      <c r="G24" s="73" t="s">
        <v>7</v>
      </c>
      <c r="H24" s="73" t="s">
        <v>35</v>
      </c>
      <c r="I24" s="73" t="s">
        <v>35</v>
      </c>
      <c r="J24" s="73" t="s">
        <v>35</v>
      </c>
      <c r="K24" s="73" t="s">
        <v>35</v>
      </c>
      <c r="L24" s="73" t="s">
        <v>35</v>
      </c>
      <c r="M24" s="73">
        <v>2025</v>
      </c>
      <c r="N24" s="73" t="s">
        <v>68</v>
      </c>
      <c r="O24" s="73">
        <v>0</v>
      </c>
      <c r="P24" s="73">
        <v>0</v>
      </c>
      <c r="Q24" s="75" t="s">
        <v>69</v>
      </c>
    </row>
    <row r="25" spans="1:17" x14ac:dyDescent="0.25">
      <c r="A25" s="68" t="s">
        <v>6</v>
      </c>
      <c r="B25" s="69" t="s">
        <v>64</v>
      </c>
      <c r="C25" s="69" t="s">
        <v>117</v>
      </c>
      <c r="D25" s="69" t="s">
        <v>118</v>
      </c>
      <c r="E25" s="69" t="s">
        <v>119</v>
      </c>
      <c r="F25" s="66" t="s">
        <v>10</v>
      </c>
      <c r="G25" s="66" t="s">
        <v>7</v>
      </c>
      <c r="H25" s="66" t="s">
        <v>35</v>
      </c>
      <c r="I25" s="66" t="s">
        <v>35</v>
      </c>
      <c r="J25" s="66" t="s">
        <v>35</v>
      </c>
      <c r="K25" s="66" t="s">
        <v>35</v>
      </c>
      <c r="L25" s="66" t="s">
        <v>35</v>
      </c>
      <c r="M25" s="66">
        <v>2025</v>
      </c>
      <c r="N25" s="66" t="s">
        <v>68</v>
      </c>
      <c r="O25" s="66">
        <v>0.45</v>
      </c>
      <c r="P25" s="66">
        <v>0.5</v>
      </c>
      <c r="Q25" s="67" t="s">
        <v>72</v>
      </c>
    </row>
    <row r="26" spans="1:17" x14ac:dyDescent="0.25">
      <c r="A26" s="68" t="s">
        <v>6</v>
      </c>
      <c r="B26" s="69" t="s">
        <v>64</v>
      </c>
      <c r="C26" s="69" t="s">
        <v>117</v>
      </c>
      <c r="D26" s="69" t="s">
        <v>120</v>
      </c>
      <c r="E26" s="69" t="s">
        <v>121</v>
      </c>
      <c r="F26" s="69" t="s">
        <v>10</v>
      </c>
      <c r="G26" s="69" t="s">
        <v>7</v>
      </c>
      <c r="H26" s="69" t="s">
        <v>35</v>
      </c>
      <c r="I26" s="69" t="s">
        <v>35</v>
      </c>
      <c r="J26" s="69" t="s">
        <v>35</v>
      </c>
      <c r="K26" s="69" t="s">
        <v>35</v>
      </c>
      <c r="L26" s="69" t="s">
        <v>35</v>
      </c>
      <c r="M26" s="69">
        <v>2025</v>
      </c>
      <c r="N26" s="69" t="s">
        <v>68</v>
      </c>
      <c r="O26" s="69">
        <v>0.35</v>
      </c>
      <c r="P26" s="69">
        <v>0.4</v>
      </c>
      <c r="Q26" s="70" t="s">
        <v>72</v>
      </c>
    </row>
    <row r="27" spans="1:17" x14ac:dyDescent="0.25">
      <c r="A27" s="68" t="s">
        <v>6</v>
      </c>
      <c r="B27" s="69" t="s">
        <v>64</v>
      </c>
      <c r="C27" s="69" t="s">
        <v>117</v>
      </c>
      <c r="D27" s="69" t="s">
        <v>122</v>
      </c>
      <c r="E27" s="69" t="s">
        <v>123</v>
      </c>
      <c r="F27" s="69" t="s">
        <v>10</v>
      </c>
      <c r="G27" s="69" t="s">
        <v>7</v>
      </c>
      <c r="H27" s="69" t="s">
        <v>35</v>
      </c>
      <c r="I27" s="69" t="s">
        <v>35</v>
      </c>
      <c r="J27" s="69" t="s">
        <v>35</v>
      </c>
      <c r="K27" s="69" t="s">
        <v>35</v>
      </c>
      <c r="L27" s="69" t="s">
        <v>35</v>
      </c>
      <c r="M27" s="69">
        <v>2025</v>
      </c>
      <c r="N27" s="69" t="s">
        <v>68</v>
      </c>
      <c r="O27" s="69">
        <v>0</v>
      </c>
      <c r="P27" s="69">
        <v>0</v>
      </c>
      <c r="Q27" s="70" t="s">
        <v>69</v>
      </c>
    </row>
    <row r="28" spans="1:17" ht="15.75" thickBot="1" x14ac:dyDescent="0.3">
      <c r="A28" s="72" t="s">
        <v>6</v>
      </c>
      <c r="B28" s="73" t="s">
        <v>64</v>
      </c>
      <c r="C28" s="73" t="s">
        <v>117</v>
      </c>
      <c r="D28" s="73" t="s">
        <v>124</v>
      </c>
      <c r="E28" s="73" t="s">
        <v>125</v>
      </c>
      <c r="F28" s="73" t="s">
        <v>10</v>
      </c>
      <c r="G28" s="73" t="s">
        <v>7</v>
      </c>
      <c r="H28" s="73" t="s">
        <v>35</v>
      </c>
      <c r="I28" s="73" t="s">
        <v>35</v>
      </c>
      <c r="J28" s="73" t="s">
        <v>35</v>
      </c>
      <c r="K28" s="73" t="s">
        <v>35</v>
      </c>
      <c r="L28" s="73" t="s">
        <v>35</v>
      </c>
      <c r="M28" s="73">
        <v>2025</v>
      </c>
      <c r="N28" s="73" t="s">
        <v>68</v>
      </c>
      <c r="O28" s="73">
        <v>0</v>
      </c>
      <c r="P28" s="73">
        <v>0</v>
      </c>
      <c r="Q28" s="75" t="s">
        <v>69</v>
      </c>
    </row>
    <row r="29" spans="1:17" x14ac:dyDescent="0.25">
      <c r="A29" s="95" t="s">
        <v>6</v>
      </c>
      <c r="B29" s="96" t="s">
        <v>64</v>
      </c>
      <c r="C29" s="96" t="s">
        <v>61</v>
      </c>
      <c r="D29" s="96" t="s">
        <v>126</v>
      </c>
      <c r="E29" s="96" t="s">
        <v>127</v>
      </c>
      <c r="F29" s="96" t="s">
        <v>10</v>
      </c>
      <c r="G29" s="96" t="s">
        <v>7</v>
      </c>
      <c r="H29" s="96" t="s">
        <v>35</v>
      </c>
      <c r="I29" s="96" t="s">
        <v>35</v>
      </c>
      <c r="J29" s="96" t="s">
        <v>35</v>
      </c>
      <c r="K29" s="96" t="s">
        <v>35</v>
      </c>
      <c r="L29" s="96" t="s">
        <v>35</v>
      </c>
      <c r="M29" s="96">
        <v>2025</v>
      </c>
      <c r="N29" s="96" t="s">
        <v>68</v>
      </c>
      <c r="O29" s="96">
        <v>0</v>
      </c>
      <c r="P29" s="96">
        <v>0</v>
      </c>
      <c r="Q29" s="97" t="s">
        <v>72</v>
      </c>
    </row>
    <row r="30" spans="1:17" x14ac:dyDescent="0.25">
      <c r="A30" s="95" t="s">
        <v>6</v>
      </c>
      <c r="B30" s="96" t="s">
        <v>64</v>
      </c>
      <c r="C30" s="96" t="s">
        <v>61</v>
      </c>
      <c r="D30" s="96" t="s">
        <v>128</v>
      </c>
      <c r="E30" s="96" t="s">
        <v>129</v>
      </c>
      <c r="F30" s="96" t="s">
        <v>10</v>
      </c>
      <c r="G30" s="96" t="s">
        <v>7</v>
      </c>
      <c r="H30" s="96" t="s">
        <v>35</v>
      </c>
      <c r="I30" s="96" t="s">
        <v>35</v>
      </c>
      <c r="J30" s="96" t="s">
        <v>35</v>
      </c>
      <c r="K30" s="96" t="s">
        <v>35</v>
      </c>
      <c r="L30" s="96" t="s">
        <v>35</v>
      </c>
      <c r="M30" s="96">
        <v>2025</v>
      </c>
      <c r="N30" s="96" t="s">
        <v>68</v>
      </c>
      <c r="O30" s="96">
        <v>0</v>
      </c>
      <c r="P30" s="96">
        <v>0</v>
      </c>
      <c r="Q30" s="97" t="s">
        <v>72</v>
      </c>
    </row>
    <row r="31" spans="1:17" ht="15.75" thickBot="1" x14ac:dyDescent="0.3">
      <c r="A31" s="98" t="s">
        <v>6</v>
      </c>
      <c r="B31" s="99" t="s">
        <v>64</v>
      </c>
      <c r="C31" s="99" t="s">
        <v>61</v>
      </c>
      <c r="D31" s="99" t="s">
        <v>130</v>
      </c>
      <c r="E31" s="99" t="s">
        <v>131</v>
      </c>
      <c r="F31" s="99" t="s">
        <v>10</v>
      </c>
      <c r="G31" s="99" t="s">
        <v>7</v>
      </c>
      <c r="H31" s="99" t="s">
        <v>35</v>
      </c>
      <c r="I31" s="99" t="s">
        <v>35</v>
      </c>
      <c r="J31" s="99" t="s">
        <v>35</v>
      </c>
      <c r="K31" s="99" t="s">
        <v>35</v>
      </c>
      <c r="L31" s="99" t="s">
        <v>35</v>
      </c>
      <c r="M31" s="99">
        <v>2025</v>
      </c>
      <c r="N31" s="99" t="s">
        <v>68</v>
      </c>
      <c r="O31" s="99">
        <v>0</v>
      </c>
      <c r="P31" s="99">
        <v>0</v>
      </c>
      <c r="Q31" s="100" t="s">
        <v>69</v>
      </c>
    </row>
    <row r="32" spans="1:17" x14ac:dyDescent="0.25">
      <c r="A32" s="95" t="s">
        <v>6</v>
      </c>
      <c r="B32" s="96" t="s">
        <v>64</v>
      </c>
      <c r="C32" s="96" t="s">
        <v>63</v>
      </c>
      <c r="D32" s="96" t="s">
        <v>132</v>
      </c>
      <c r="E32" s="96" t="s">
        <v>133</v>
      </c>
      <c r="F32" s="96" t="s">
        <v>10</v>
      </c>
      <c r="G32" s="96" t="s">
        <v>7</v>
      </c>
      <c r="H32" s="96" t="s">
        <v>35</v>
      </c>
      <c r="I32" s="96" t="s">
        <v>35</v>
      </c>
      <c r="J32" s="96" t="s">
        <v>35</v>
      </c>
      <c r="K32" s="96" t="s">
        <v>35</v>
      </c>
      <c r="L32" s="96" t="s">
        <v>35</v>
      </c>
      <c r="M32" s="96">
        <v>2025</v>
      </c>
      <c r="N32" s="96" t="s">
        <v>68</v>
      </c>
      <c r="O32" s="96">
        <v>0</v>
      </c>
      <c r="P32" s="96">
        <v>0</v>
      </c>
      <c r="Q32" s="97" t="s">
        <v>72</v>
      </c>
    </row>
    <row r="33" spans="1:17" x14ac:dyDescent="0.25">
      <c r="A33" s="95" t="s">
        <v>6</v>
      </c>
      <c r="B33" s="96" t="s">
        <v>64</v>
      </c>
      <c r="C33" s="96" t="s">
        <v>63</v>
      </c>
      <c r="D33" s="96" t="s">
        <v>134</v>
      </c>
      <c r="E33" s="96" t="s">
        <v>135</v>
      </c>
      <c r="F33" s="96" t="s">
        <v>10</v>
      </c>
      <c r="G33" s="96" t="s">
        <v>7</v>
      </c>
      <c r="H33" s="96" t="s">
        <v>35</v>
      </c>
      <c r="I33" s="96" t="s">
        <v>35</v>
      </c>
      <c r="J33" s="96" t="s">
        <v>35</v>
      </c>
      <c r="K33" s="96" t="s">
        <v>35</v>
      </c>
      <c r="L33" s="96" t="s">
        <v>35</v>
      </c>
      <c r="M33" s="96">
        <v>2025</v>
      </c>
      <c r="N33" s="96" t="s">
        <v>68</v>
      </c>
      <c r="O33" s="96">
        <v>0</v>
      </c>
      <c r="P33" s="96">
        <v>0</v>
      </c>
      <c r="Q33" s="97" t="s">
        <v>72</v>
      </c>
    </row>
    <row r="34" spans="1:17" ht="15.75" thickBot="1" x14ac:dyDescent="0.3">
      <c r="A34" s="98" t="s">
        <v>6</v>
      </c>
      <c r="B34" s="99" t="s">
        <v>64</v>
      </c>
      <c r="C34" s="99" t="s">
        <v>63</v>
      </c>
      <c r="D34" s="99" t="s">
        <v>136</v>
      </c>
      <c r="E34" s="99" t="s">
        <v>137</v>
      </c>
      <c r="F34" s="99" t="s">
        <v>10</v>
      </c>
      <c r="G34" s="99" t="s">
        <v>7</v>
      </c>
      <c r="H34" s="99" t="s">
        <v>35</v>
      </c>
      <c r="I34" s="99" t="s">
        <v>35</v>
      </c>
      <c r="J34" s="99" t="s">
        <v>35</v>
      </c>
      <c r="K34" s="99" t="s">
        <v>35</v>
      </c>
      <c r="L34" s="99" t="s">
        <v>35</v>
      </c>
      <c r="M34" s="99">
        <v>2025</v>
      </c>
      <c r="N34" s="99" t="s">
        <v>68</v>
      </c>
      <c r="O34" s="99">
        <v>0</v>
      </c>
      <c r="P34" s="99">
        <v>0</v>
      </c>
      <c r="Q34" s="100" t="s">
        <v>69</v>
      </c>
    </row>
    <row r="35" spans="1:17" x14ac:dyDescent="0.25">
      <c r="A35" s="95" t="s">
        <v>6</v>
      </c>
      <c r="B35" s="96" t="s">
        <v>64</v>
      </c>
      <c r="C35" s="96" t="s">
        <v>62</v>
      </c>
      <c r="D35" s="96" t="s">
        <v>138</v>
      </c>
      <c r="E35" s="96" t="s">
        <v>139</v>
      </c>
      <c r="F35" s="96" t="s">
        <v>10</v>
      </c>
      <c r="G35" s="96" t="s">
        <v>7</v>
      </c>
      <c r="H35" s="96" t="s">
        <v>35</v>
      </c>
      <c r="I35" s="96" t="s">
        <v>35</v>
      </c>
      <c r="J35" s="96" t="s">
        <v>35</v>
      </c>
      <c r="K35" s="96" t="s">
        <v>35</v>
      </c>
      <c r="L35" s="96" t="s">
        <v>35</v>
      </c>
      <c r="M35" s="96">
        <v>2025</v>
      </c>
      <c r="N35" s="96" t="s">
        <v>68</v>
      </c>
      <c r="O35" s="96">
        <v>0</v>
      </c>
      <c r="P35" s="96">
        <v>0</v>
      </c>
      <c r="Q35" s="97" t="s">
        <v>72</v>
      </c>
    </row>
    <row r="36" spans="1:17" ht="15.75" thickBot="1" x14ac:dyDescent="0.3">
      <c r="A36" s="98" t="s">
        <v>6</v>
      </c>
      <c r="B36" s="99" t="s">
        <v>64</v>
      </c>
      <c r="C36" s="99" t="s">
        <v>62</v>
      </c>
      <c r="D36" s="99" t="s">
        <v>140</v>
      </c>
      <c r="E36" s="99" t="s">
        <v>141</v>
      </c>
      <c r="F36" s="99" t="s">
        <v>10</v>
      </c>
      <c r="G36" s="99" t="s">
        <v>7</v>
      </c>
      <c r="H36" s="99" t="s">
        <v>35</v>
      </c>
      <c r="I36" s="99" t="s">
        <v>35</v>
      </c>
      <c r="J36" s="99" t="s">
        <v>35</v>
      </c>
      <c r="K36" s="99" t="s">
        <v>35</v>
      </c>
      <c r="L36" s="99" t="s">
        <v>35</v>
      </c>
      <c r="M36" s="99">
        <v>2025</v>
      </c>
      <c r="N36" s="99" t="s">
        <v>68</v>
      </c>
      <c r="O36" s="99">
        <v>0</v>
      </c>
      <c r="P36" s="99">
        <v>0</v>
      </c>
      <c r="Q36" s="100" t="s">
        <v>69</v>
      </c>
    </row>
    <row r="37" spans="1:17" x14ac:dyDescent="0.25">
      <c r="A37" s="89"/>
      <c r="B37" s="89"/>
      <c r="C37" s="89"/>
      <c r="D37" s="89"/>
      <c r="E37" s="89"/>
      <c r="F37" s="90"/>
      <c r="G37" s="90"/>
      <c r="H37" s="76"/>
      <c r="I37" s="76"/>
      <c r="J37" s="76"/>
      <c r="K37" s="76"/>
      <c r="L37" s="76"/>
      <c r="M37" s="76"/>
      <c r="N37" s="76"/>
      <c r="O37" s="76"/>
      <c r="P37" s="76"/>
      <c r="Q37" s="77"/>
    </row>
    <row r="38" spans="1:17" x14ac:dyDescent="0.25">
      <c r="A38" s="91"/>
      <c r="B38" s="91"/>
      <c r="C38" s="91"/>
      <c r="D38" s="91"/>
      <c r="E38" s="91"/>
      <c r="F38" s="91"/>
      <c r="G38" s="91"/>
      <c r="H38" s="78"/>
      <c r="I38" s="78"/>
      <c r="J38" s="78"/>
      <c r="K38" s="78"/>
      <c r="L38" s="78"/>
      <c r="M38" s="78"/>
      <c r="N38" s="78"/>
      <c r="O38" s="78"/>
      <c r="P38" s="78"/>
      <c r="Q38" s="79"/>
    </row>
    <row r="39" spans="1:17" x14ac:dyDescent="0.25">
      <c r="A39" s="91"/>
      <c r="B39" s="91"/>
      <c r="C39" s="91"/>
      <c r="D39" s="91"/>
      <c r="E39" s="91"/>
      <c r="F39" s="91"/>
      <c r="G39" s="91"/>
      <c r="H39" s="71"/>
      <c r="I39" s="71"/>
      <c r="J39" s="78"/>
      <c r="K39" s="78"/>
      <c r="L39" s="78"/>
      <c r="M39" s="78"/>
      <c r="N39" s="78"/>
      <c r="O39" s="78"/>
      <c r="P39" s="78"/>
      <c r="Q39" s="79"/>
    </row>
    <row r="40" spans="1:17" ht="15.75" thickBot="1" x14ac:dyDescent="0.3">
      <c r="A40" s="92"/>
      <c r="B40" s="92"/>
      <c r="C40" s="92"/>
      <c r="D40" s="92"/>
      <c r="E40" s="92"/>
      <c r="F40" s="92"/>
      <c r="G40" s="92"/>
      <c r="H40" s="80"/>
      <c r="I40" s="80"/>
      <c r="J40" s="80"/>
      <c r="K40" s="80"/>
      <c r="L40" s="80"/>
      <c r="M40" s="80"/>
      <c r="N40" s="80"/>
      <c r="O40" s="80"/>
      <c r="P40" s="80"/>
      <c r="Q40" s="81"/>
    </row>
    <row r="41" spans="1:17" x14ac:dyDescent="0.25">
      <c r="A41" s="93"/>
      <c r="B41" s="90"/>
      <c r="C41" s="90"/>
      <c r="D41" s="90"/>
      <c r="E41" s="90"/>
      <c r="F41" s="90"/>
      <c r="G41" s="90"/>
      <c r="H41" s="76"/>
      <c r="I41" s="76"/>
      <c r="J41" s="76"/>
      <c r="K41" s="76"/>
      <c r="L41" s="76"/>
      <c r="M41" s="76"/>
      <c r="N41" s="76"/>
      <c r="O41" s="76"/>
      <c r="P41" s="76"/>
      <c r="Q41" s="77"/>
    </row>
    <row r="42" spans="1:17" ht="15.75" thickBot="1" x14ac:dyDescent="0.3">
      <c r="A42" s="94"/>
      <c r="B42" s="92"/>
      <c r="C42" s="92"/>
      <c r="D42" s="92"/>
      <c r="E42" s="92"/>
      <c r="F42" s="92"/>
      <c r="G42" s="92"/>
      <c r="H42" s="74"/>
      <c r="I42" s="74"/>
      <c r="J42" s="80"/>
      <c r="K42" s="80"/>
      <c r="L42" s="80"/>
      <c r="M42" s="80"/>
      <c r="N42" s="80"/>
      <c r="O42" s="80"/>
      <c r="P42" s="80"/>
      <c r="Q42" s="81"/>
    </row>
    <row r="43" spans="1:17" x14ac:dyDescent="0.25">
      <c r="A43" s="91"/>
      <c r="B43" s="91"/>
      <c r="C43" s="91"/>
      <c r="D43" s="91"/>
      <c r="E43" s="91"/>
      <c r="F43" s="90"/>
      <c r="G43" s="90"/>
      <c r="H43" s="76"/>
      <c r="I43" s="76"/>
      <c r="J43" s="76"/>
      <c r="K43" s="76"/>
      <c r="L43" s="76"/>
      <c r="M43" s="76"/>
      <c r="N43" s="76"/>
      <c r="O43" s="76"/>
      <c r="P43" s="76"/>
      <c r="Q43" s="77"/>
    </row>
    <row r="44" spans="1:17" x14ac:dyDescent="0.25">
      <c r="A44" s="91"/>
      <c r="B44" s="91"/>
      <c r="C44" s="91"/>
      <c r="D44" s="91"/>
      <c r="E44" s="91"/>
      <c r="F44" s="91"/>
      <c r="G44" s="91"/>
      <c r="H44" s="78"/>
      <c r="I44" s="78"/>
      <c r="J44" s="78"/>
      <c r="K44" s="78"/>
      <c r="L44" s="78"/>
      <c r="M44" s="78"/>
      <c r="N44" s="78"/>
      <c r="O44" s="78"/>
      <c r="P44" s="78"/>
      <c r="Q44" s="79"/>
    </row>
    <row r="45" spans="1:17" ht="15.75" thickBot="1" x14ac:dyDescent="0.3">
      <c r="A45" s="92"/>
      <c r="B45" s="92"/>
      <c r="C45" s="92"/>
      <c r="D45" s="92"/>
      <c r="E45" s="92"/>
      <c r="F45" s="92"/>
      <c r="G45" s="92"/>
      <c r="H45" s="74"/>
      <c r="I45" s="74"/>
      <c r="J45" s="80"/>
      <c r="K45" s="80"/>
      <c r="L45" s="80"/>
      <c r="M45" s="80"/>
      <c r="N45" s="80"/>
      <c r="O45" s="80"/>
      <c r="P45" s="80"/>
      <c r="Q45" s="81"/>
    </row>
    <row r="46" spans="1:17" x14ac:dyDescent="0.25">
      <c r="A46" s="122"/>
      <c r="B46" s="122"/>
      <c r="C46" s="122"/>
      <c r="D46" s="122"/>
      <c r="E46" s="122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4"/>
    </row>
    <row r="47" spans="1:17" ht="15.75" thickBot="1" x14ac:dyDescent="0.3">
      <c r="A47" s="125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6"/>
    </row>
    <row r="48" spans="1:17" x14ac:dyDescent="0.25">
      <c r="A48" s="122"/>
      <c r="B48" s="122"/>
      <c r="C48" s="122"/>
      <c r="D48" s="122"/>
      <c r="E48" s="122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4"/>
    </row>
    <row r="49" spans="1:17" x14ac:dyDescent="0.25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7"/>
    </row>
    <row r="50" spans="1:17" ht="15.75" thickBot="1" x14ac:dyDescent="0.3">
      <c r="A50" s="125"/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6"/>
    </row>
    <row r="51" spans="1:17" x14ac:dyDescent="0.25">
      <c r="A51" s="122"/>
      <c r="B51" s="122"/>
      <c r="C51" s="122"/>
      <c r="D51" s="122"/>
      <c r="E51" s="122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4"/>
    </row>
    <row r="52" spans="1:17" x14ac:dyDescent="0.25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7"/>
    </row>
    <row r="53" spans="1:17" x14ac:dyDescent="0.25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7"/>
    </row>
    <row r="54" spans="1:17" ht="15.75" thickBot="1" x14ac:dyDescent="0.3">
      <c r="A54" s="125"/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6"/>
    </row>
    <row r="55" spans="1:17" x14ac:dyDescent="0.25">
      <c r="A55" s="78"/>
      <c r="B55" s="78"/>
      <c r="C55" s="78"/>
      <c r="D55" s="78"/>
      <c r="E55" s="78"/>
      <c r="F55" s="76"/>
      <c r="G55" s="76"/>
      <c r="H55" s="76"/>
      <c r="I55" s="76"/>
      <c r="J55" s="76"/>
      <c r="K55" s="76"/>
      <c r="L55" s="76"/>
      <c r="M55" s="76"/>
      <c r="N55" s="76"/>
      <c r="O55" s="102"/>
      <c r="P55" s="102"/>
      <c r="Q55" s="103"/>
    </row>
    <row r="56" spans="1:17" x14ac:dyDescent="0.25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104"/>
      <c r="P56" s="104"/>
      <c r="Q56" s="105"/>
    </row>
    <row r="57" spans="1:17" x14ac:dyDescent="0.25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104"/>
      <c r="P57" s="104"/>
      <c r="Q57" s="105"/>
    </row>
    <row r="58" spans="1:17" x14ac:dyDescent="0.25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104"/>
      <c r="P58" s="104"/>
      <c r="Q58" s="105"/>
    </row>
    <row r="59" spans="1:17" ht="15.75" thickBot="1" x14ac:dyDescent="0.3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106"/>
      <c r="P59" s="106"/>
      <c r="Q59" s="107"/>
    </row>
    <row r="60" spans="1:17" x14ac:dyDescent="0.25">
      <c r="A60" s="78"/>
      <c r="B60" s="78"/>
      <c r="C60" s="78"/>
      <c r="D60" s="78"/>
      <c r="E60" s="78"/>
      <c r="F60" s="76"/>
      <c r="G60" s="76"/>
      <c r="H60" s="76"/>
      <c r="I60" s="76"/>
      <c r="J60" s="76"/>
      <c r="K60" s="76"/>
      <c r="L60" s="76"/>
      <c r="M60" s="76"/>
      <c r="N60" s="76"/>
      <c r="O60" s="102"/>
      <c r="P60" s="102"/>
      <c r="Q60" s="103"/>
    </row>
    <row r="61" spans="1:17" x14ac:dyDescent="0.2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104"/>
      <c r="P61" s="104"/>
      <c r="Q61" s="105"/>
    </row>
    <row r="62" spans="1:17" x14ac:dyDescent="0.25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104"/>
      <c r="P62" s="104"/>
      <c r="Q62" s="105"/>
    </row>
    <row r="63" spans="1:17" ht="15.75" thickBot="1" x14ac:dyDescent="0.3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106"/>
      <c r="P63" s="106"/>
      <c r="Q63" s="107"/>
    </row>
    <row r="64" spans="1:17" x14ac:dyDescent="0.25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101"/>
      <c r="P64" s="101"/>
      <c r="Q64" s="97"/>
    </row>
    <row r="65" spans="1:17" x14ac:dyDescent="0.25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7"/>
    </row>
    <row r="66" spans="1:17" ht="15.75" thickBot="1" x14ac:dyDescent="0.3">
      <c r="A66" s="99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100"/>
    </row>
    <row r="67" spans="1:17" x14ac:dyDescent="0.25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101"/>
      <c r="P67" s="101"/>
      <c r="Q67" s="97"/>
    </row>
    <row r="68" spans="1:17" x14ac:dyDescent="0.25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7"/>
    </row>
    <row r="69" spans="1:17" ht="15.75" thickBot="1" x14ac:dyDescent="0.3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100"/>
    </row>
    <row r="70" spans="1:17" x14ac:dyDescent="0.25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7"/>
    </row>
    <row r="71" spans="1:17" ht="15.75" thickBot="1" x14ac:dyDescent="0.3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100"/>
    </row>
  </sheetData>
  <autoFilter ref="A1:Q71" xr:uid="{06AEFB00-1289-4B8E-87A3-B856D2DE3F10}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FAD7-E5DB-4DF9-B093-95F9F3C906DB}">
  <sheetPr>
    <tabColor rgb="FFFF0000"/>
  </sheetPr>
  <dimension ref="A1:Q71"/>
  <sheetViews>
    <sheetView zoomScale="89" zoomScaleNormal="107" workbookViewId="0">
      <pane ySplit="1" topLeftCell="A34" activePane="bottomLeft" state="frozen"/>
      <selection pane="bottomLeft" activeCell="A37" sqref="A37:Q71"/>
    </sheetView>
  </sheetViews>
  <sheetFormatPr defaultColWidth="8.7109375" defaultRowHeight="15" x14ac:dyDescent="0.25"/>
  <cols>
    <col min="1" max="1" width="10.7109375" style="1" bestFit="1" customWidth="1"/>
    <col min="2" max="2" width="9.42578125" style="1" bestFit="1" customWidth="1"/>
    <col min="3" max="3" width="20.5703125" style="1" bestFit="1" customWidth="1"/>
    <col min="4" max="4" width="26.7109375" style="1" bestFit="1" customWidth="1"/>
    <col min="5" max="5" width="14.140625" style="1" bestFit="1" customWidth="1"/>
    <col min="6" max="6" width="9.85546875" style="1" bestFit="1" customWidth="1"/>
    <col min="7" max="7" width="8.85546875" style="1" bestFit="1" customWidth="1"/>
    <col min="8" max="9" width="9" style="1" bestFit="1" customWidth="1"/>
    <col min="10" max="12" width="5.42578125" style="1" bestFit="1" customWidth="1"/>
    <col min="13" max="13" width="7.42578125" style="1" bestFit="1" customWidth="1"/>
    <col min="14" max="16" width="9.85546875" style="1" bestFit="1" customWidth="1"/>
    <col min="17" max="17" width="17.85546875" style="1" bestFit="1" customWidth="1"/>
    <col min="18" max="16384" width="8.7109375" style="1"/>
  </cols>
  <sheetData>
    <row r="1" spans="1:17" ht="15.75" thickBot="1" x14ac:dyDescent="0.3">
      <c r="A1" s="43" t="s">
        <v>14</v>
      </c>
      <c r="B1" s="44" t="s">
        <v>46</v>
      </c>
      <c r="C1" s="44" t="s">
        <v>18</v>
      </c>
      <c r="D1" s="44" t="s">
        <v>19</v>
      </c>
      <c r="E1" s="44" t="s">
        <v>20</v>
      </c>
      <c r="F1" s="44" t="s">
        <v>23</v>
      </c>
      <c r="G1" s="44" t="s">
        <v>24</v>
      </c>
      <c r="H1" s="44" t="s">
        <v>25</v>
      </c>
      <c r="I1" s="44" t="s">
        <v>26</v>
      </c>
      <c r="J1" s="44" t="s">
        <v>27</v>
      </c>
      <c r="K1" s="44" t="s">
        <v>28</v>
      </c>
      <c r="L1" s="44" t="s">
        <v>29</v>
      </c>
      <c r="M1" s="44" t="s">
        <v>30</v>
      </c>
      <c r="N1" s="44" t="s">
        <v>31</v>
      </c>
      <c r="O1" s="44" t="s">
        <v>32</v>
      </c>
      <c r="P1" s="44" t="s">
        <v>33</v>
      </c>
      <c r="Q1" s="45" t="s">
        <v>47</v>
      </c>
    </row>
    <row r="2" spans="1:17" x14ac:dyDescent="0.25">
      <c r="A2" s="108" t="s">
        <v>6</v>
      </c>
      <c r="B2" s="66" t="s">
        <v>64</v>
      </c>
      <c r="C2" s="66" t="s">
        <v>65</v>
      </c>
      <c r="D2" s="66" t="s">
        <v>66</v>
      </c>
      <c r="E2" s="66" t="s">
        <v>67</v>
      </c>
      <c r="F2" s="66" t="s">
        <v>10</v>
      </c>
      <c r="G2" s="66" t="s">
        <v>7</v>
      </c>
      <c r="H2" s="66" t="s">
        <v>35</v>
      </c>
      <c r="I2" s="66" t="s">
        <v>35</v>
      </c>
      <c r="J2" s="66" t="s">
        <v>35</v>
      </c>
      <c r="K2" s="66" t="s">
        <v>35</v>
      </c>
      <c r="L2" s="66" t="s">
        <v>35</v>
      </c>
      <c r="M2" s="66">
        <v>2024</v>
      </c>
      <c r="N2" s="66" t="s">
        <v>68</v>
      </c>
      <c r="O2" s="66">
        <v>0</v>
      </c>
      <c r="P2" s="66">
        <v>0</v>
      </c>
      <c r="Q2" s="67" t="s">
        <v>69</v>
      </c>
    </row>
    <row r="3" spans="1:17" x14ac:dyDescent="0.25">
      <c r="A3" s="68" t="s">
        <v>6</v>
      </c>
      <c r="B3" s="69" t="s">
        <v>64</v>
      </c>
      <c r="C3" s="69" t="s">
        <v>65</v>
      </c>
      <c r="D3" s="69" t="s">
        <v>70</v>
      </c>
      <c r="E3" s="69" t="s">
        <v>71</v>
      </c>
      <c r="F3" s="69" t="s">
        <v>10</v>
      </c>
      <c r="G3" s="69" t="s">
        <v>7</v>
      </c>
      <c r="H3" s="69" t="s">
        <v>35</v>
      </c>
      <c r="I3" s="69" t="s">
        <v>35</v>
      </c>
      <c r="J3" s="69" t="s">
        <v>35</v>
      </c>
      <c r="K3" s="69" t="s">
        <v>35</v>
      </c>
      <c r="L3" s="69" t="s">
        <v>35</v>
      </c>
      <c r="M3" s="69">
        <v>2024</v>
      </c>
      <c r="N3" s="69" t="s">
        <v>68</v>
      </c>
      <c r="O3" s="69">
        <v>0</v>
      </c>
      <c r="P3" s="69">
        <v>0</v>
      </c>
      <c r="Q3" s="70" t="s">
        <v>72</v>
      </c>
    </row>
    <row r="4" spans="1:17" x14ac:dyDescent="0.25">
      <c r="A4" s="68" t="s">
        <v>6</v>
      </c>
      <c r="B4" s="69" t="s">
        <v>64</v>
      </c>
      <c r="C4" s="69" t="s">
        <v>65</v>
      </c>
      <c r="D4" s="69" t="s">
        <v>73</v>
      </c>
      <c r="E4" s="69" t="s">
        <v>74</v>
      </c>
      <c r="F4" s="69" t="s">
        <v>7</v>
      </c>
      <c r="G4" s="69" t="s">
        <v>10</v>
      </c>
      <c r="H4" s="71">
        <v>1E-3</v>
      </c>
      <c r="I4" s="71">
        <v>0.99</v>
      </c>
      <c r="J4" s="69">
        <v>0.06</v>
      </c>
      <c r="K4" s="69">
        <v>0.01</v>
      </c>
      <c r="L4" s="69">
        <v>2030</v>
      </c>
      <c r="M4" s="69">
        <v>2024</v>
      </c>
      <c r="N4" s="69" t="s">
        <v>35</v>
      </c>
      <c r="O4" s="69" t="s">
        <v>35</v>
      </c>
      <c r="P4" s="69" t="s">
        <v>35</v>
      </c>
      <c r="Q4" s="70" t="s">
        <v>75</v>
      </c>
    </row>
    <row r="5" spans="1:17" ht="15.75" thickBot="1" x14ac:dyDescent="0.3">
      <c r="A5" s="72" t="s">
        <v>6</v>
      </c>
      <c r="B5" s="73" t="s">
        <v>64</v>
      </c>
      <c r="C5" s="73" t="s">
        <v>65</v>
      </c>
      <c r="D5" s="73" t="s">
        <v>76</v>
      </c>
      <c r="E5" s="73" t="s">
        <v>77</v>
      </c>
      <c r="F5" s="73" t="s">
        <v>10</v>
      </c>
      <c r="G5" s="73" t="s">
        <v>7</v>
      </c>
      <c r="H5" s="73" t="s">
        <v>35</v>
      </c>
      <c r="I5" s="73" t="s">
        <v>35</v>
      </c>
      <c r="J5" s="73" t="s">
        <v>35</v>
      </c>
      <c r="K5" s="73" t="s">
        <v>35</v>
      </c>
      <c r="L5" s="73" t="s">
        <v>35</v>
      </c>
      <c r="M5" s="73">
        <v>2024</v>
      </c>
      <c r="N5" s="73" t="s">
        <v>68</v>
      </c>
      <c r="O5" s="73">
        <v>0</v>
      </c>
      <c r="P5" s="73">
        <v>0</v>
      </c>
      <c r="Q5" s="75" t="s">
        <v>69</v>
      </c>
    </row>
    <row r="6" spans="1:17" x14ac:dyDescent="0.25">
      <c r="A6" s="68" t="s">
        <v>6</v>
      </c>
      <c r="B6" s="69" t="s">
        <v>64</v>
      </c>
      <c r="C6" s="69" t="s">
        <v>65</v>
      </c>
      <c r="D6" s="69" t="s">
        <v>78</v>
      </c>
      <c r="E6" s="69" t="s">
        <v>79</v>
      </c>
      <c r="F6" s="66" t="s">
        <v>10</v>
      </c>
      <c r="G6" s="66" t="s">
        <v>7</v>
      </c>
      <c r="H6" s="66" t="s">
        <v>35</v>
      </c>
      <c r="I6" s="66" t="s">
        <v>35</v>
      </c>
      <c r="J6" s="66" t="s">
        <v>35</v>
      </c>
      <c r="K6" s="66" t="s">
        <v>35</v>
      </c>
      <c r="L6" s="66" t="s">
        <v>35</v>
      </c>
      <c r="M6" s="66">
        <v>2024</v>
      </c>
      <c r="N6" s="66" t="s">
        <v>68</v>
      </c>
      <c r="O6" s="66">
        <v>0.85</v>
      </c>
      <c r="P6" s="66">
        <v>0.9</v>
      </c>
      <c r="Q6" s="67" t="s">
        <v>72</v>
      </c>
    </row>
    <row r="7" spans="1:17" ht="15.75" thickBot="1" x14ac:dyDescent="0.3">
      <c r="A7" s="72" t="s">
        <v>6</v>
      </c>
      <c r="B7" s="73" t="s">
        <v>64</v>
      </c>
      <c r="C7" s="73" t="s">
        <v>65</v>
      </c>
      <c r="D7" s="73" t="s">
        <v>80</v>
      </c>
      <c r="E7" s="73" t="s">
        <v>81</v>
      </c>
      <c r="F7" s="73" t="s">
        <v>7</v>
      </c>
      <c r="G7" s="73" t="s">
        <v>10</v>
      </c>
      <c r="H7" s="74">
        <v>1E-3</v>
      </c>
      <c r="I7" s="74">
        <v>0.99</v>
      </c>
      <c r="J7" s="73">
        <v>0.06</v>
      </c>
      <c r="K7" s="73">
        <v>0.01</v>
      </c>
      <c r="L7" s="73">
        <v>2030</v>
      </c>
      <c r="M7" s="73">
        <v>2024</v>
      </c>
      <c r="N7" s="73" t="s">
        <v>68</v>
      </c>
      <c r="O7" s="73">
        <v>0</v>
      </c>
      <c r="P7" s="73">
        <v>0</v>
      </c>
      <c r="Q7" s="75" t="s">
        <v>75</v>
      </c>
    </row>
    <row r="8" spans="1:17" x14ac:dyDescent="0.25">
      <c r="A8" s="68" t="s">
        <v>6</v>
      </c>
      <c r="B8" s="69" t="s">
        <v>64</v>
      </c>
      <c r="C8" s="69" t="s">
        <v>65</v>
      </c>
      <c r="D8" s="69" t="s">
        <v>82</v>
      </c>
      <c r="E8" s="69" t="s">
        <v>83</v>
      </c>
      <c r="F8" s="66" t="s">
        <v>10</v>
      </c>
      <c r="G8" s="66" t="s">
        <v>7</v>
      </c>
      <c r="H8" s="66" t="s">
        <v>35</v>
      </c>
      <c r="I8" s="66" t="s">
        <v>35</v>
      </c>
      <c r="J8" s="66" t="s">
        <v>35</v>
      </c>
      <c r="K8" s="66" t="s">
        <v>35</v>
      </c>
      <c r="L8" s="66" t="s">
        <v>35</v>
      </c>
      <c r="M8" s="66">
        <v>2024</v>
      </c>
      <c r="N8" s="66" t="s">
        <v>68</v>
      </c>
      <c r="O8" s="66">
        <v>0.66</v>
      </c>
      <c r="P8" s="66">
        <v>0.67</v>
      </c>
      <c r="Q8" s="67" t="s">
        <v>72</v>
      </c>
    </row>
    <row r="9" spans="1:17" x14ac:dyDescent="0.25">
      <c r="A9" s="68" t="s">
        <v>6</v>
      </c>
      <c r="B9" s="69" t="s">
        <v>64</v>
      </c>
      <c r="C9" s="69" t="s">
        <v>65</v>
      </c>
      <c r="D9" s="69" t="s">
        <v>84</v>
      </c>
      <c r="E9" s="69" t="s">
        <v>85</v>
      </c>
      <c r="F9" s="69" t="s">
        <v>10</v>
      </c>
      <c r="G9" s="69" t="s">
        <v>7</v>
      </c>
      <c r="H9" s="69" t="s">
        <v>35</v>
      </c>
      <c r="I9" s="69" t="s">
        <v>35</v>
      </c>
      <c r="J9" s="69" t="s">
        <v>35</v>
      </c>
      <c r="K9" s="69" t="s">
        <v>35</v>
      </c>
      <c r="L9" s="69" t="s">
        <v>35</v>
      </c>
      <c r="M9" s="69">
        <v>2024</v>
      </c>
      <c r="N9" s="69" t="s">
        <v>68</v>
      </c>
      <c r="O9" s="69">
        <v>0.28999999999999998</v>
      </c>
      <c r="P9" s="69">
        <v>0.3</v>
      </c>
      <c r="Q9" s="70" t="s">
        <v>72</v>
      </c>
    </row>
    <row r="10" spans="1:17" ht="15.75" thickBot="1" x14ac:dyDescent="0.3">
      <c r="A10" s="72" t="s">
        <v>6</v>
      </c>
      <c r="B10" s="73" t="s">
        <v>64</v>
      </c>
      <c r="C10" s="73" t="s">
        <v>65</v>
      </c>
      <c r="D10" s="73" t="s">
        <v>86</v>
      </c>
      <c r="E10" s="73" t="s">
        <v>87</v>
      </c>
      <c r="F10" s="73" t="s">
        <v>7</v>
      </c>
      <c r="G10" s="73" t="s">
        <v>10</v>
      </c>
      <c r="H10" s="74">
        <v>1E-3</v>
      </c>
      <c r="I10" s="74">
        <v>0.99</v>
      </c>
      <c r="J10" s="73">
        <v>0.06</v>
      </c>
      <c r="K10" s="73">
        <v>0.01</v>
      </c>
      <c r="L10" s="73">
        <v>2030</v>
      </c>
      <c r="M10" s="73">
        <v>2024</v>
      </c>
      <c r="N10" s="73" t="s">
        <v>35</v>
      </c>
      <c r="O10" s="73" t="s">
        <v>35</v>
      </c>
      <c r="P10" s="73" t="s">
        <v>35</v>
      </c>
      <c r="Q10" s="75" t="s">
        <v>75</v>
      </c>
    </row>
    <row r="11" spans="1:17" x14ac:dyDescent="0.25">
      <c r="A11" s="68" t="s">
        <v>6</v>
      </c>
      <c r="B11" s="69" t="s">
        <v>64</v>
      </c>
      <c r="C11" s="69" t="s">
        <v>34</v>
      </c>
      <c r="D11" s="69" t="s">
        <v>88</v>
      </c>
      <c r="E11" s="69" t="s">
        <v>89</v>
      </c>
      <c r="F11" s="66" t="s">
        <v>10</v>
      </c>
      <c r="G11" s="66" t="s">
        <v>7</v>
      </c>
      <c r="H11" s="66" t="s">
        <v>35</v>
      </c>
      <c r="I11" s="66" t="s">
        <v>35</v>
      </c>
      <c r="J11" s="66" t="s">
        <v>35</v>
      </c>
      <c r="K11" s="66" t="s">
        <v>35</v>
      </c>
      <c r="L11" s="66" t="s">
        <v>35</v>
      </c>
      <c r="M11" s="66">
        <v>2024</v>
      </c>
      <c r="N11" s="66" t="s">
        <v>68</v>
      </c>
      <c r="O11" s="66">
        <v>0.85</v>
      </c>
      <c r="P11" s="66">
        <v>0.9</v>
      </c>
      <c r="Q11" s="67" t="s">
        <v>72</v>
      </c>
    </row>
    <row r="12" spans="1:17" ht="15.75" thickBot="1" x14ac:dyDescent="0.3">
      <c r="A12" s="72" t="s">
        <v>6</v>
      </c>
      <c r="B12" s="73" t="s">
        <v>64</v>
      </c>
      <c r="C12" s="73" t="s">
        <v>34</v>
      </c>
      <c r="D12" s="73" t="s">
        <v>90</v>
      </c>
      <c r="E12" s="73" t="s">
        <v>91</v>
      </c>
      <c r="F12" s="73" t="s">
        <v>7</v>
      </c>
      <c r="G12" s="73" t="s">
        <v>10</v>
      </c>
      <c r="H12" s="74">
        <v>1E-3</v>
      </c>
      <c r="I12" s="74">
        <v>0.99</v>
      </c>
      <c r="J12" s="73">
        <v>0.06</v>
      </c>
      <c r="K12" s="73">
        <v>0.01</v>
      </c>
      <c r="L12" s="73">
        <v>2030</v>
      </c>
      <c r="M12" s="73">
        <v>2024</v>
      </c>
      <c r="N12" s="73" t="s">
        <v>35</v>
      </c>
      <c r="O12" s="73" t="s">
        <v>35</v>
      </c>
      <c r="P12" s="73" t="s">
        <v>35</v>
      </c>
      <c r="Q12" s="75" t="s">
        <v>75</v>
      </c>
    </row>
    <row r="13" spans="1:17" x14ac:dyDescent="0.25">
      <c r="A13" s="68" t="s">
        <v>6</v>
      </c>
      <c r="B13" s="69" t="s">
        <v>64</v>
      </c>
      <c r="C13" s="69" t="s">
        <v>34</v>
      </c>
      <c r="D13" s="69" t="s">
        <v>92</v>
      </c>
      <c r="E13" s="69" t="s">
        <v>93</v>
      </c>
      <c r="F13" s="66" t="s">
        <v>10</v>
      </c>
      <c r="G13" s="66" t="s">
        <v>7</v>
      </c>
      <c r="H13" s="66" t="s">
        <v>35</v>
      </c>
      <c r="I13" s="66" t="s">
        <v>35</v>
      </c>
      <c r="J13" s="66" t="s">
        <v>35</v>
      </c>
      <c r="K13" s="66" t="s">
        <v>35</v>
      </c>
      <c r="L13" s="66" t="s">
        <v>35</v>
      </c>
      <c r="M13" s="66">
        <v>2024</v>
      </c>
      <c r="N13" s="66" t="s">
        <v>68</v>
      </c>
      <c r="O13" s="66">
        <v>0.57999999999999996</v>
      </c>
      <c r="P13" s="66">
        <v>0.59</v>
      </c>
      <c r="Q13" s="67" t="s">
        <v>72</v>
      </c>
    </row>
    <row r="14" spans="1:17" x14ac:dyDescent="0.25">
      <c r="A14" s="68" t="s">
        <v>6</v>
      </c>
      <c r="B14" s="69" t="s">
        <v>64</v>
      </c>
      <c r="C14" s="69" t="s">
        <v>34</v>
      </c>
      <c r="D14" s="69" t="s">
        <v>94</v>
      </c>
      <c r="E14" s="69" t="s">
        <v>95</v>
      </c>
      <c r="F14" s="69" t="s">
        <v>10</v>
      </c>
      <c r="G14" s="69" t="s">
        <v>7</v>
      </c>
      <c r="H14" s="69" t="s">
        <v>35</v>
      </c>
      <c r="I14" s="69" t="s">
        <v>35</v>
      </c>
      <c r="J14" s="69" t="s">
        <v>35</v>
      </c>
      <c r="K14" s="69" t="s">
        <v>35</v>
      </c>
      <c r="L14" s="69" t="s">
        <v>35</v>
      </c>
      <c r="M14" s="69">
        <v>2024</v>
      </c>
      <c r="N14" s="69" t="s">
        <v>68</v>
      </c>
      <c r="O14" s="69">
        <v>0.37</v>
      </c>
      <c r="P14" s="69">
        <v>0.38</v>
      </c>
      <c r="Q14" s="70" t="s">
        <v>72</v>
      </c>
    </row>
    <row r="15" spans="1:17" ht="15.75" thickBot="1" x14ac:dyDescent="0.3">
      <c r="A15" s="72" t="s">
        <v>6</v>
      </c>
      <c r="B15" s="73" t="s">
        <v>64</v>
      </c>
      <c r="C15" s="73" t="s">
        <v>34</v>
      </c>
      <c r="D15" s="73" t="s">
        <v>96</v>
      </c>
      <c r="E15" s="73" t="s">
        <v>97</v>
      </c>
      <c r="F15" s="73" t="s">
        <v>7</v>
      </c>
      <c r="G15" s="73" t="s">
        <v>10</v>
      </c>
      <c r="H15" s="74">
        <v>1E-3</v>
      </c>
      <c r="I15" s="74">
        <v>0.99</v>
      </c>
      <c r="J15" s="73">
        <v>0.06</v>
      </c>
      <c r="K15" s="73">
        <v>0.01</v>
      </c>
      <c r="L15" s="73">
        <v>2030</v>
      </c>
      <c r="M15" s="73">
        <v>2024</v>
      </c>
      <c r="N15" s="73" t="s">
        <v>35</v>
      </c>
      <c r="O15" s="73" t="s">
        <v>35</v>
      </c>
      <c r="P15" s="73" t="s">
        <v>35</v>
      </c>
      <c r="Q15" s="75" t="s">
        <v>75</v>
      </c>
    </row>
    <row r="16" spans="1:17" x14ac:dyDescent="0.25">
      <c r="A16" s="68" t="s">
        <v>6</v>
      </c>
      <c r="B16" s="69" t="s">
        <v>64</v>
      </c>
      <c r="C16" s="69" t="s">
        <v>34</v>
      </c>
      <c r="D16" s="69" t="s">
        <v>98</v>
      </c>
      <c r="E16" s="69" t="s">
        <v>99</v>
      </c>
      <c r="F16" s="66" t="s">
        <v>10</v>
      </c>
      <c r="G16" s="66" t="s">
        <v>7</v>
      </c>
      <c r="H16" s="66" t="s">
        <v>35</v>
      </c>
      <c r="I16" s="66" t="s">
        <v>35</v>
      </c>
      <c r="J16" s="66" t="s">
        <v>35</v>
      </c>
      <c r="K16" s="66" t="s">
        <v>35</v>
      </c>
      <c r="L16" s="66" t="s">
        <v>35</v>
      </c>
      <c r="M16" s="66">
        <v>2024</v>
      </c>
      <c r="N16" s="66" t="s">
        <v>68</v>
      </c>
      <c r="O16" s="66">
        <v>0.85</v>
      </c>
      <c r="P16" s="66">
        <v>0.9</v>
      </c>
      <c r="Q16" s="67" t="s">
        <v>72</v>
      </c>
    </row>
    <row r="17" spans="1:17" x14ac:dyDescent="0.25">
      <c r="A17" s="68" t="s">
        <v>6</v>
      </c>
      <c r="B17" s="69" t="s">
        <v>64</v>
      </c>
      <c r="C17" s="69" t="s">
        <v>34</v>
      </c>
      <c r="D17" s="69" t="s">
        <v>100</v>
      </c>
      <c r="E17" s="69" t="s">
        <v>101</v>
      </c>
      <c r="F17" s="69" t="s">
        <v>10</v>
      </c>
      <c r="G17" s="69" t="s">
        <v>7</v>
      </c>
      <c r="H17" s="69" t="s">
        <v>35</v>
      </c>
      <c r="I17" s="69" t="s">
        <v>35</v>
      </c>
      <c r="J17" s="69" t="s">
        <v>35</v>
      </c>
      <c r="K17" s="69" t="s">
        <v>35</v>
      </c>
      <c r="L17" s="69" t="s">
        <v>35</v>
      </c>
      <c r="M17" s="69">
        <v>2024</v>
      </c>
      <c r="N17" s="69" t="s">
        <v>68</v>
      </c>
      <c r="O17" s="69">
        <v>0</v>
      </c>
      <c r="P17" s="69">
        <v>0</v>
      </c>
      <c r="Q17" s="70" t="s">
        <v>69</v>
      </c>
    </row>
    <row r="18" spans="1:17" x14ac:dyDescent="0.25">
      <c r="A18" s="68" t="s">
        <v>6</v>
      </c>
      <c r="B18" s="69" t="s">
        <v>64</v>
      </c>
      <c r="C18" s="69" t="s">
        <v>34</v>
      </c>
      <c r="D18" s="69" t="s">
        <v>102</v>
      </c>
      <c r="E18" s="69" t="s">
        <v>103</v>
      </c>
      <c r="F18" s="69" t="s">
        <v>7</v>
      </c>
      <c r="G18" s="69" t="s">
        <v>10</v>
      </c>
      <c r="H18" s="71">
        <v>1E-3</v>
      </c>
      <c r="I18" s="71">
        <v>0.99</v>
      </c>
      <c r="J18" s="69">
        <v>0.06</v>
      </c>
      <c r="K18" s="69">
        <v>0.01</v>
      </c>
      <c r="L18" s="69">
        <v>2030</v>
      </c>
      <c r="M18" s="69">
        <v>2024</v>
      </c>
      <c r="N18" s="69" t="s">
        <v>35</v>
      </c>
      <c r="O18" s="69" t="s">
        <v>35</v>
      </c>
      <c r="P18" s="69" t="s">
        <v>35</v>
      </c>
      <c r="Q18" s="70" t="s">
        <v>75</v>
      </c>
    </row>
    <row r="19" spans="1:17" ht="15.75" thickBot="1" x14ac:dyDescent="0.3">
      <c r="A19" s="72" t="s">
        <v>6</v>
      </c>
      <c r="B19" s="73" t="s">
        <v>64</v>
      </c>
      <c r="C19" s="73" t="s">
        <v>34</v>
      </c>
      <c r="D19" s="73" t="s">
        <v>104</v>
      </c>
      <c r="E19" s="73" t="s">
        <v>105</v>
      </c>
      <c r="F19" s="73" t="s">
        <v>10</v>
      </c>
      <c r="G19" s="73" t="s">
        <v>7</v>
      </c>
      <c r="H19" s="73" t="s">
        <v>35</v>
      </c>
      <c r="I19" s="73" t="s">
        <v>35</v>
      </c>
      <c r="J19" s="73" t="s">
        <v>35</v>
      </c>
      <c r="K19" s="73" t="s">
        <v>35</v>
      </c>
      <c r="L19" s="73" t="s">
        <v>35</v>
      </c>
      <c r="M19" s="73">
        <v>2024</v>
      </c>
      <c r="N19" s="73" t="s">
        <v>68</v>
      </c>
      <c r="O19" s="73">
        <v>0</v>
      </c>
      <c r="P19" s="73">
        <v>0</v>
      </c>
      <c r="Q19" s="75" t="s">
        <v>69</v>
      </c>
    </row>
    <row r="20" spans="1:17" x14ac:dyDescent="0.25">
      <c r="A20" s="68" t="s">
        <v>6</v>
      </c>
      <c r="B20" s="69" t="s">
        <v>64</v>
      </c>
      <c r="C20" s="69" t="s">
        <v>106</v>
      </c>
      <c r="D20" s="69" t="s">
        <v>107</v>
      </c>
      <c r="E20" s="69" t="s">
        <v>108</v>
      </c>
      <c r="F20" s="66" t="s">
        <v>10</v>
      </c>
      <c r="G20" s="66" t="s">
        <v>7</v>
      </c>
      <c r="H20" s="66" t="s">
        <v>35</v>
      </c>
      <c r="I20" s="66" t="s">
        <v>35</v>
      </c>
      <c r="J20" s="66" t="s">
        <v>35</v>
      </c>
      <c r="K20" s="66" t="s">
        <v>35</v>
      </c>
      <c r="L20" s="66" t="s">
        <v>35</v>
      </c>
      <c r="M20" s="66">
        <v>2024</v>
      </c>
      <c r="N20" s="66" t="s">
        <v>68</v>
      </c>
      <c r="O20" s="66">
        <v>0.85</v>
      </c>
      <c r="P20" s="66">
        <v>0.9</v>
      </c>
      <c r="Q20" s="67" t="s">
        <v>72</v>
      </c>
    </row>
    <row r="21" spans="1:17" x14ac:dyDescent="0.25">
      <c r="A21" s="68" t="s">
        <v>6</v>
      </c>
      <c r="B21" s="69" t="s">
        <v>64</v>
      </c>
      <c r="C21" s="69" t="s">
        <v>106</v>
      </c>
      <c r="D21" s="69" t="s">
        <v>109</v>
      </c>
      <c r="E21" s="69" t="s">
        <v>110</v>
      </c>
      <c r="F21" s="69" t="s">
        <v>10</v>
      </c>
      <c r="G21" s="69" t="s">
        <v>7</v>
      </c>
      <c r="H21" s="69" t="s">
        <v>35</v>
      </c>
      <c r="I21" s="69" t="s">
        <v>35</v>
      </c>
      <c r="J21" s="69" t="s">
        <v>35</v>
      </c>
      <c r="K21" s="69" t="s">
        <v>35</v>
      </c>
      <c r="L21" s="69" t="s">
        <v>35</v>
      </c>
      <c r="M21" s="69">
        <v>2024</v>
      </c>
      <c r="N21" s="69" t="s">
        <v>68</v>
      </c>
      <c r="O21" s="69">
        <v>0</v>
      </c>
      <c r="P21" s="69">
        <v>0</v>
      </c>
      <c r="Q21" s="70" t="s">
        <v>72</v>
      </c>
    </row>
    <row r="22" spans="1:17" x14ac:dyDescent="0.25">
      <c r="A22" s="68" t="s">
        <v>6</v>
      </c>
      <c r="B22" s="69" t="s">
        <v>64</v>
      </c>
      <c r="C22" s="69" t="s">
        <v>106</v>
      </c>
      <c r="D22" s="69" t="s">
        <v>111</v>
      </c>
      <c r="E22" s="69" t="s">
        <v>112</v>
      </c>
      <c r="F22" s="69" t="s">
        <v>10</v>
      </c>
      <c r="G22" s="69" t="s">
        <v>7</v>
      </c>
      <c r="H22" s="69" t="s">
        <v>35</v>
      </c>
      <c r="I22" s="69" t="s">
        <v>35</v>
      </c>
      <c r="J22" s="69" t="s">
        <v>35</v>
      </c>
      <c r="K22" s="69" t="s">
        <v>35</v>
      </c>
      <c r="L22" s="69" t="s">
        <v>35</v>
      </c>
      <c r="M22" s="69">
        <v>2024</v>
      </c>
      <c r="N22" s="69" t="s">
        <v>68</v>
      </c>
      <c r="O22" s="69">
        <v>0</v>
      </c>
      <c r="P22" s="69">
        <v>0</v>
      </c>
      <c r="Q22" s="70" t="s">
        <v>69</v>
      </c>
    </row>
    <row r="23" spans="1:17" x14ac:dyDescent="0.25">
      <c r="A23" s="68" t="s">
        <v>6</v>
      </c>
      <c r="B23" s="69" t="s">
        <v>64</v>
      </c>
      <c r="C23" s="69" t="s">
        <v>106</v>
      </c>
      <c r="D23" s="69" t="s">
        <v>113</v>
      </c>
      <c r="E23" s="69" t="s">
        <v>114</v>
      </c>
      <c r="F23" s="69" t="s">
        <v>10</v>
      </c>
      <c r="G23" s="69" t="s">
        <v>7</v>
      </c>
      <c r="H23" s="69" t="s">
        <v>35</v>
      </c>
      <c r="I23" s="69" t="s">
        <v>35</v>
      </c>
      <c r="J23" s="69" t="s">
        <v>35</v>
      </c>
      <c r="K23" s="69" t="s">
        <v>35</v>
      </c>
      <c r="L23" s="69" t="s">
        <v>35</v>
      </c>
      <c r="M23" s="69">
        <v>2024</v>
      </c>
      <c r="N23" s="69" t="s">
        <v>68</v>
      </c>
      <c r="O23" s="69">
        <v>0</v>
      </c>
      <c r="P23" s="69">
        <v>0</v>
      </c>
      <c r="Q23" s="70" t="s">
        <v>69</v>
      </c>
    </row>
    <row r="24" spans="1:17" ht="15.75" thickBot="1" x14ac:dyDescent="0.3">
      <c r="A24" s="72" t="s">
        <v>6</v>
      </c>
      <c r="B24" s="73" t="s">
        <v>64</v>
      </c>
      <c r="C24" s="73" t="s">
        <v>106</v>
      </c>
      <c r="D24" s="73" t="s">
        <v>115</v>
      </c>
      <c r="E24" s="73" t="s">
        <v>116</v>
      </c>
      <c r="F24" s="73" t="s">
        <v>10</v>
      </c>
      <c r="G24" s="73" t="s">
        <v>7</v>
      </c>
      <c r="H24" s="73" t="s">
        <v>35</v>
      </c>
      <c r="I24" s="73" t="s">
        <v>35</v>
      </c>
      <c r="J24" s="73" t="s">
        <v>35</v>
      </c>
      <c r="K24" s="73" t="s">
        <v>35</v>
      </c>
      <c r="L24" s="73" t="s">
        <v>35</v>
      </c>
      <c r="M24" s="73">
        <v>2024</v>
      </c>
      <c r="N24" s="73" t="s">
        <v>68</v>
      </c>
      <c r="O24" s="73">
        <v>0</v>
      </c>
      <c r="P24" s="73">
        <v>0</v>
      </c>
      <c r="Q24" s="75" t="s">
        <v>69</v>
      </c>
    </row>
    <row r="25" spans="1:17" x14ac:dyDescent="0.25">
      <c r="A25" s="68" t="s">
        <v>6</v>
      </c>
      <c r="B25" s="69" t="s">
        <v>64</v>
      </c>
      <c r="C25" s="69" t="s">
        <v>117</v>
      </c>
      <c r="D25" s="69" t="s">
        <v>118</v>
      </c>
      <c r="E25" s="69" t="s">
        <v>119</v>
      </c>
      <c r="F25" s="66" t="s">
        <v>10</v>
      </c>
      <c r="G25" s="66" t="s">
        <v>7</v>
      </c>
      <c r="H25" s="66" t="s">
        <v>35</v>
      </c>
      <c r="I25" s="66" t="s">
        <v>35</v>
      </c>
      <c r="J25" s="66" t="s">
        <v>35</v>
      </c>
      <c r="K25" s="66" t="s">
        <v>35</v>
      </c>
      <c r="L25" s="66" t="s">
        <v>35</v>
      </c>
      <c r="M25" s="66">
        <v>2024</v>
      </c>
      <c r="N25" s="66" t="s">
        <v>68</v>
      </c>
      <c r="O25" s="66">
        <v>0.45</v>
      </c>
      <c r="P25" s="66">
        <v>0.5</v>
      </c>
      <c r="Q25" s="67" t="s">
        <v>72</v>
      </c>
    </row>
    <row r="26" spans="1:17" x14ac:dyDescent="0.25">
      <c r="A26" s="68" t="s">
        <v>6</v>
      </c>
      <c r="B26" s="69" t="s">
        <v>64</v>
      </c>
      <c r="C26" s="69" t="s">
        <v>117</v>
      </c>
      <c r="D26" s="69" t="s">
        <v>120</v>
      </c>
      <c r="E26" s="69" t="s">
        <v>121</v>
      </c>
      <c r="F26" s="69" t="s">
        <v>10</v>
      </c>
      <c r="G26" s="69" t="s">
        <v>7</v>
      </c>
      <c r="H26" s="69" t="s">
        <v>35</v>
      </c>
      <c r="I26" s="69" t="s">
        <v>35</v>
      </c>
      <c r="J26" s="69" t="s">
        <v>35</v>
      </c>
      <c r="K26" s="69" t="s">
        <v>35</v>
      </c>
      <c r="L26" s="69" t="s">
        <v>35</v>
      </c>
      <c r="M26" s="69">
        <v>2024</v>
      </c>
      <c r="N26" s="69" t="s">
        <v>68</v>
      </c>
      <c r="O26" s="69">
        <v>0.35</v>
      </c>
      <c r="P26" s="69">
        <v>0.4</v>
      </c>
      <c r="Q26" s="70" t="s">
        <v>72</v>
      </c>
    </row>
    <row r="27" spans="1:17" x14ac:dyDescent="0.25">
      <c r="A27" s="68" t="s">
        <v>6</v>
      </c>
      <c r="B27" s="69" t="s">
        <v>64</v>
      </c>
      <c r="C27" s="69" t="s">
        <v>117</v>
      </c>
      <c r="D27" s="69" t="s">
        <v>122</v>
      </c>
      <c r="E27" s="69" t="s">
        <v>123</v>
      </c>
      <c r="F27" s="69" t="s">
        <v>10</v>
      </c>
      <c r="G27" s="69" t="s">
        <v>7</v>
      </c>
      <c r="H27" s="69" t="s">
        <v>35</v>
      </c>
      <c r="I27" s="69" t="s">
        <v>35</v>
      </c>
      <c r="J27" s="69" t="s">
        <v>35</v>
      </c>
      <c r="K27" s="69" t="s">
        <v>35</v>
      </c>
      <c r="L27" s="69" t="s">
        <v>35</v>
      </c>
      <c r="M27" s="69">
        <v>2024</v>
      </c>
      <c r="N27" s="69" t="s">
        <v>68</v>
      </c>
      <c r="O27" s="69">
        <v>0</v>
      </c>
      <c r="P27" s="69">
        <v>0</v>
      </c>
      <c r="Q27" s="70" t="s">
        <v>69</v>
      </c>
    </row>
    <row r="28" spans="1:17" ht="15.75" thickBot="1" x14ac:dyDescent="0.3">
      <c r="A28" s="72" t="s">
        <v>6</v>
      </c>
      <c r="B28" s="73" t="s">
        <v>64</v>
      </c>
      <c r="C28" s="73" t="s">
        <v>117</v>
      </c>
      <c r="D28" s="73" t="s">
        <v>124</v>
      </c>
      <c r="E28" s="73" t="s">
        <v>125</v>
      </c>
      <c r="F28" s="73" t="s">
        <v>10</v>
      </c>
      <c r="G28" s="73" t="s">
        <v>7</v>
      </c>
      <c r="H28" s="73" t="s">
        <v>35</v>
      </c>
      <c r="I28" s="73" t="s">
        <v>35</v>
      </c>
      <c r="J28" s="73" t="s">
        <v>35</v>
      </c>
      <c r="K28" s="73" t="s">
        <v>35</v>
      </c>
      <c r="L28" s="73" t="s">
        <v>35</v>
      </c>
      <c r="M28" s="73">
        <v>2024</v>
      </c>
      <c r="N28" s="73" t="s">
        <v>68</v>
      </c>
      <c r="O28" s="73">
        <v>0</v>
      </c>
      <c r="P28" s="73">
        <v>0</v>
      </c>
      <c r="Q28" s="75" t="s">
        <v>69</v>
      </c>
    </row>
    <row r="29" spans="1:17" x14ac:dyDescent="0.25">
      <c r="A29" s="68" t="s">
        <v>6</v>
      </c>
      <c r="B29" s="69" t="s">
        <v>64</v>
      </c>
      <c r="C29" s="69" t="s">
        <v>61</v>
      </c>
      <c r="D29" s="69" t="s">
        <v>126</v>
      </c>
      <c r="E29" s="69" t="s">
        <v>127</v>
      </c>
      <c r="F29" s="69" t="s">
        <v>10</v>
      </c>
      <c r="G29" s="69" t="s">
        <v>7</v>
      </c>
      <c r="H29" s="69" t="s">
        <v>35</v>
      </c>
      <c r="I29" s="69" t="s">
        <v>35</v>
      </c>
      <c r="J29" s="69" t="s">
        <v>35</v>
      </c>
      <c r="K29" s="69" t="s">
        <v>35</v>
      </c>
      <c r="L29" s="69" t="s">
        <v>35</v>
      </c>
      <c r="M29" s="69">
        <v>2024</v>
      </c>
      <c r="N29" s="69" t="s">
        <v>68</v>
      </c>
      <c r="O29" s="69">
        <v>0</v>
      </c>
      <c r="P29" s="69">
        <v>0</v>
      </c>
      <c r="Q29" s="70" t="s">
        <v>72</v>
      </c>
    </row>
    <row r="30" spans="1:17" x14ac:dyDescent="0.25">
      <c r="A30" s="68" t="s">
        <v>6</v>
      </c>
      <c r="B30" s="69" t="s">
        <v>64</v>
      </c>
      <c r="C30" s="69" t="s">
        <v>61</v>
      </c>
      <c r="D30" s="69" t="s">
        <v>128</v>
      </c>
      <c r="E30" s="69" t="s">
        <v>129</v>
      </c>
      <c r="F30" s="69" t="s">
        <v>10</v>
      </c>
      <c r="G30" s="69" t="s">
        <v>7</v>
      </c>
      <c r="H30" s="69" t="s">
        <v>35</v>
      </c>
      <c r="I30" s="69" t="s">
        <v>35</v>
      </c>
      <c r="J30" s="69" t="s">
        <v>35</v>
      </c>
      <c r="K30" s="69" t="s">
        <v>35</v>
      </c>
      <c r="L30" s="69" t="s">
        <v>35</v>
      </c>
      <c r="M30" s="69">
        <v>2024</v>
      </c>
      <c r="N30" s="69" t="s">
        <v>68</v>
      </c>
      <c r="O30" s="69">
        <v>0</v>
      </c>
      <c r="P30" s="69">
        <v>0</v>
      </c>
      <c r="Q30" s="70" t="s">
        <v>72</v>
      </c>
    </row>
    <row r="31" spans="1:17" ht="15.75" thickBot="1" x14ac:dyDescent="0.3">
      <c r="A31" s="72" t="s">
        <v>6</v>
      </c>
      <c r="B31" s="73" t="s">
        <v>64</v>
      </c>
      <c r="C31" s="73" t="s">
        <v>61</v>
      </c>
      <c r="D31" s="73" t="s">
        <v>130</v>
      </c>
      <c r="E31" s="73" t="s">
        <v>131</v>
      </c>
      <c r="F31" s="73" t="s">
        <v>10</v>
      </c>
      <c r="G31" s="73" t="s">
        <v>7</v>
      </c>
      <c r="H31" s="73" t="s">
        <v>35</v>
      </c>
      <c r="I31" s="73" t="s">
        <v>35</v>
      </c>
      <c r="J31" s="73" t="s">
        <v>35</v>
      </c>
      <c r="K31" s="73" t="s">
        <v>35</v>
      </c>
      <c r="L31" s="73" t="s">
        <v>35</v>
      </c>
      <c r="M31" s="73">
        <v>2024</v>
      </c>
      <c r="N31" s="73" t="s">
        <v>68</v>
      </c>
      <c r="O31" s="73">
        <v>0</v>
      </c>
      <c r="P31" s="73">
        <v>0</v>
      </c>
      <c r="Q31" s="75" t="s">
        <v>69</v>
      </c>
    </row>
    <row r="32" spans="1:17" x14ac:dyDescent="0.25">
      <c r="A32" s="68" t="s">
        <v>6</v>
      </c>
      <c r="B32" s="69" t="s">
        <v>64</v>
      </c>
      <c r="C32" s="69" t="s">
        <v>63</v>
      </c>
      <c r="D32" s="69" t="s">
        <v>132</v>
      </c>
      <c r="E32" s="69" t="s">
        <v>133</v>
      </c>
      <c r="F32" s="69" t="s">
        <v>10</v>
      </c>
      <c r="G32" s="69" t="s">
        <v>7</v>
      </c>
      <c r="H32" s="69" t="s">
        <v>35</v>
      </c>
      <c r="I32" s="69" t="s">
        <v>35</v>
      </c>
      <c r="J32" s="69" t="s">
        <v>35</v>
      </c>
      <c r="K32" s="69" t="s">
        <v>35</v>
      </c>
      <c r="L32" s="69" t="s">
        <v>35</v>
      </c>
      <c r="M32" s="69">
        <v>2024</v>
      </c>
      <c r="N32" s="69" t="s">
        <v>68</v>
      </c>
      <c r="O32" s="69">
        <v>0</v>
      </c>
      <c r="P32" s="69">
        <v>0</v>
      </c>
      <c r="Q32" s="70" t="s">
        <v>72</v>
      </c>
    </row>
    <row r="33" spans="1:17" x14ac:dyDescent="0.25">
      <c r="A33" s="68" t="s">
        <v>6</v>
      </c>
      <c r="B33" s="69" t="s">
        <v>64</v>
      </c>
      <c r="C33" s="69" t="s">
        <v>63</v>
      </c>
      <c r="D33" s="69" t="s">
        <v>134</v>
      </c>
      <c r="E33" s="69" t="s">
        <v>135</v>
      </c>
      <c r="F33" s="69" t="s">
        <v>10</v>
      </c>
      <c r="G33" s="69" t="s">
        <v>7</v>
      </c>
      <c r="H33" s="69" t="s">
        <v>35</v>
      </c>
      <c r="I33" s="69" t="s">
        <v>35</v>
      </c>
      <c r="J33" s="69" t="s">
        <v>35</v>
      </c>
      <c r="K33" s="69" t="s">
        <v>35</v>
      </c>
      <c r="L33" s="69" t="s">
        <v>35</v>
      </c>
      <c r="M33" s="69">
        <v>2024</v>
      </c>
      <c r="N33" s="69" t="s">
        <v>68</v>
      </c>
      <c r="O33" s="69">
        <v>0</v>
      </c>
      <c r="P33" s="69">
        <v>0</v>
      </c>
      <c r="Q33" s="70" t="s">
        <v>72</v>
      </c>
    </row>
    <row r="34" spans="1:17" ht="15.75" thickBot="1" x14ac:dyDescent="0.3">
      <c r="A34" s="72" t="s">
        <v>6</v>
      </c>
      <c r="B34" s="73" t="s">
        <v>64</v>
      </c>
      <c r="C34" s="73" t="s">
        <v>63</v>
      </c>
      <c r="D34" s="73" t="s">
        <v>136</v>
      </c>
      <c r="E34" s="73" t="s">
        <v>137</v>
      </c>
      <c r="F34" s="73" t="s">
        <v>10</v>
      </c>
      <c r="G34" s="73" t="s">
        <v>7</v>
      </c>
      <c r="H34" s="73" t="s">
        <v>35</v>
      </c>
      <c r="I34" s="73" t="s">
        <v>35</v>
      </c>
      <c r="J34" s="73" t="s">
        <v>35</v>
      </c>
      <c r="K34" s="73" t="s">
        <v>35</v>
      </c>
      <c r="L34" s="73" t="s">
        <v>35</v>
      </c>
      <c r="M34" s="73">
        <v>2024</v>
      </c>
      <c r="N34" s="73" t="s">
        <v>68</v>
      </c>
      <c r="O34" s="73">
        <v>0</v>
      </c>
      <c r="P34" s="73">
        <v>0</v>
      </c>
      <c r="Q34" s="75" t="s">
        <v>69</v>
      </c>
    </row>
    <row r="35" spans="1:17" x14ac:dyDescent="0.25">
      <c r="A35" s="68" t="s">
        <v>6</v>
      </c>
      <c r="B35" s="69" t="s">
        <v>64</v>
      </c>
      <c r="C35" s="69" t="s">
        <v>62</v>
      </c>
      <c r="D35" s="69" t="s">
        <v>138</v>
      </c>
      <c r="E35" s="69" t="s">
        <v>139</v>
      </c>
      <c r="F35" s="69" t="s">
        <v>10</v>
      </c>
      <c r="G35" s="69" t="s">
        <v>7</v>
      </c>
      <c r="H35" s="69" t="s">
        <v>35</v>
      </c>
      <c r="I35" s="69" t="s">
        <v>35</v>
      </c>
      <c r="J35" s="69" t="s">
        <v>35</v>
      </c>
      <c r="K35" s="69" t="s">
        <v>35</v>
      </c>
      <c r="L35" s="69" t="s">
        <v>35</v>
      </c>
      <c r="M35" s="69">
        <v>2024</v>
      </c>
      <c r="N35" s="69" t="s">
        <v>68</v>
      </c>
      <c r="O35" s="69">
        <v>0</v>
      </c>
      <c r="P35" s="69">
        <v>0</v>
      </c>
      <c r="Q35" s="70" t="s">
        <v>72</v>
      </c>
    </row>
    <row r="36" spans="1:17" ht="15.75" thickBot="1" x14ac:dyDescent="0.3">
      <c r="A36" s="72" t="s">
        <v>6</v>
      </c>
      <c r="B36" s="73" t="s">
        <v>64</v>
      </c>
      <c r="C36" s="73" t="s">
        <v>62</v>
      </c>
      <c r="D36" s="73" t="s">
        <v>140</v>
      </c>
      <c r="E36" s="73" t="s">
        <v>141</v>
      </c>
      <c r="F36" s="73" t="s">
        <v>10</v>
      </c>
      <c r="G36" s="73" t="s">
        <v>7</v>
      </c>
      <c r="H36" s="73" t="s">
        <v>35</v>
      </c>
      <c r="I36" s="73" t="s">
        <v>35</v>
      </c>
      <c r="J36" s="73" t="s">
        <v>35</v>
      </c>
      <c r="K36" s="73" t="s">
        <v>35</v>
      </c>
      <c r="L36" s="73" t="s">
        <v>35</v>
      </c>
      <c r="M36" s="73">
        <v>2024</v>
      </c>
      <c r="N36" s="73" t="s">
        <v>68</v>
      </c>
      <c r="O36" s="73">
        <v>0</v>
      </c>
      <c r="P36" s="73">
        <v>0</v>
      </c>
      <c r="Q36" s="75" t="s">
        <v>69</v>
      </c>
    </row>
    <row r="37" spans="1:17" x14ac:dyDescent="0.25">
      <c r="A37" s="109"/>
      <c r="B37" s="109"/>
      <c r="C37" s="109"/>
      <c r="D37" s="109"/>
      <c r="E37" s="109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7"/>
    </row>
    <row r="38" spans="1:17" x14ac:dyDescent="0.2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9"/>
    </row>
    <row r="39" spans="1:17" x14ac:dyDescent="0.25">
      <c r="A39" s="78"/>
      <c r="B39" s="78"/>
      <c r="C39" s="78"/>
      <c r="D39" s="78"/>
      <c r="E39" s="78"/>
      <c r="F39" s="78"/>
      <c r="G39" s="78"/>
      <c r="H39" s="71"/>
      <c r="I39" s="71"/>
      <c r="J39" s="113"/>
      <c r="K39" s="113"/>
      <c r="L39" s="78"/>
      <c r="M39" s="78"/>
      <c r="N39" s="78"/>
      <c r="O39" s="78"/>
      <c r="P39" s="78"/>
      <c r="Q39" s="79"/>
    </row>
    <row r="40" spans="1:17" ht="15.75" thickBot="1" x14ac:dyDescent="0.3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1"/>
    </row>
    <row r="41" spans="1:17" x14ac:dyDescent="0.25">
      <c r="A41" s="110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7"/>
    </row>
    <row r="42" spans="1:17" ht="15.75" thickBot="1" x14ac:dyDescent="0.3">
      <c r="A42" s="111"/>
      <c r="B42" s="80"/>
      <c r="C42" s="80"/>
      <c r="D42" s="80"/>
      <c r="E42" s="80"/>
      <c r="F42" s="80"/>
      <c r="G42" s="80"/>
      <c r="H42" s="74"/>
      <c r="I42" s="74"/>
      <c r="J42" s="112"/>
      <c r="K42" s="112"/>
      <c r="L42" s="80"/>
      <c r="M42" s="80"/>
      <c r="N42" s="80"/>
      <c r="O42" s="80"/>
      <c r="P42" s="80"/>
      <c r="Q42" s="81"/>
    </row>
    <row r="43" spans="1:17" x14ac:dyDescent="0.25">
      <c r="A43" s="78"/>
      <c r="B43" s="78"/>
      <c r="C43" s="78"/>
      <c r="D43" s="78"/>
      <c r="E43" s="78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7"/>
    </row>
    <row r="44" spans="1:17" x14ac:dyDescent="0.25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9"/>
    </row>
    <row r="45" spans="1:17" ht="15.75" thickBot="1" x14ac:dyDescent="0.3">
      <c r="A45" s="80"/>
      <c r="B45" s="80"/>
      <c r="C45" s="80"/>
      <c r="D45" s="80"/>
      <c r="E45" s="80"/>
      <c r="F45" s="80"/>
      <c r="G45" s="80"/>
      <c r="H45" s="74"/>
      <c r="I45" s="74"/>
      <c r="J45" s="112"/>
      <c r="K45" s="112"/>
      <c r="L45" s="80"/>
      <c r="M45" s="80"/>
      <c r="N45" s="80"/>
      <c r="O45" s="80"/>
      <c r="P45" s="80"/>
      <c r="Q45" s="81"/>
    </row>
    <row r="46" spans="1:17" x14ac:dyDescent="0.25">
      <c r="A46" s="78"/>
      <c r="B46" s="78"/>
      <c r="C46" s="78"/>
      <c r="D46" s="78"/>
      <c r="E46" s="78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7"/>
    </row>
    <row r="47" spans="1:17" ht="15.75" thickBot="1" x14ac:dyDescent="0.3">
      <c r="A47" s="80"/>
      <c r="B47" s="80"/>
      <c r="C47" s="80"/>
      <c r="D47" s="80"/>
      <c r="E47" s="80"/>
      <c r="F47" s="80"/>
      <c r="G47" s="80"/>
      <c r="H47" s="74"/>
      <c r="I47" s="74"/>
      <c r="J47" s="112"/>
      <c r="K47" s="112"/>
      <c r="L47" s="80"/>
      <c r="M47" s="80"/>
      <c r="N47" s="80"/>
      <c r="O47" s="80"/>
      <c r="P47" s="80"/>
      <c r="Q47" s="81"/>
    </row>
    <row r="48" spans="1:17" x14ac:dyDescent="0.25">
      <c r="A48" s="78"/>
      <c r="B48" s="78"/>
      <c r="C48" s="78"/>
      <c r="D48" s="78"/>
      <c r="E48" s="78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7"/>
    </row>
    <row r="49" spans="1:17" x14ac:dyDescent="0.25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9"/>
    </row>
    <row r="50" spans="1:17" ht="15.75" thickBot="1" x14ac:dyDescent="0.3">
      <c r="A50" s="80"/>
      <c r="B50" s="80"/>
      <c r="C50" s="80"/>
      <c r="D50" s="80"/>
      <c r="E50" s="80"/>
      <c r="F50" s="80"/>
      <c r="G50" s="80"/>
      <c r="H50" s="74"/>
      <c r="I50" s="74"/>
      <c r="J50" s="112"/>
      <c r="K50" s="112"/>
      <c r="L50" s="80"/>
      <c r="M50" s="80"/>
      <c r="N50" s="80"/>
      <c r="O50" s="80"/>
      <c r="P50" s="80"/>
      <c r="Q50" s="81"/>
    </row>
    <row r="51" spans="1:17" x14ac:dyDescent="0.25">
      <c r="A51" s="78"/>
      <c r="B51" s="78"/>
      <c r="C51" s="78"/>
      <c r="D51" s="78"/>
      <c r="E51" s="78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7"/>
    </row>
    <row r="52" spans="1:17" x14ac:dyDescent="0.25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9"/>
    </row>
    <row r="53" spans="1:17" x14ac:dyDescent="0.25">
      <c r="A53" s="78"/>
      <c r="B53" s="78"/>
      <c r="C53" s="78"/>
      <c r="D53" s="78"/>
      <c r="E53" s="78"/>
      <c r="F53" s="78"/>
      <c r="G53" s="78"/>
      <c r="H53" s="71"/>
      <c r="I53" s="71"/>
      <c r="J53" s="113"/>
      <c r="K53" s="113"/>
      <c r="L53" s="78"/>
      <c r="M53" s="78"/>
      <c r="N53" s="78"/>
      <c r="O53" s="78"/>
      <c r="P53" s="78"/>
      <c r="Q53" s="79"/>
    </row>
    <row r="54" spans="1:17" ht="15.75" thickBot="1" x14ac:dyDescent="0.3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1"/>
    </row>
    <row r="55" spans="1:17" x14ac:dyDescent="0.25">
      <c r="A55" s="78"/>
      <c r="B55" s="78"/>
      <c r="C55" s="78"/>
      <c r="D55" s="78"/>
      <c r="E55" s="78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7"/>
    </row>
    <row r="56" spans="1:17" x14ac:dyDescent="0.25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9"/>
    </row>
    <row r="57" spans="1:17" x14ac:dyDescent="0.25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9"/>
    </row>
    <row r="58" spans="1:17" x14ac:dyDescent="0.25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9"/>
    </row>
    <row r="59" spans="1:17" ht="15.75" thickBot="1" x14ac:dyDescent="0.3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1"/>
    </row>
    <row r="60" spans="1:17" x14ac:dyDescent="0.25">
      <c r="A60" s="78"/>
      <c r="B60" s="78"/>
      <c r="C60" s="78"/>
      <c r="D60" s="78"/>
      <c r="E60" s="78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7"/>
    </row>
    <row r="61" spans="1:17" x14ac:dyDescent="0.2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9"/>
    </row>
    <row r="62" spans="1:17" x14ac:dyDescent="0.25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9"/>
    </row>
    <row r="63" spans="1:17" ht="15.75" thickBot="1" x14ac:dyDescent="0.3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1"/>
    </row>
    <row r="64" spans="1:17" x14ac:dyDescent="0.25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6"/>
      <c r="P64" s="76"/>
      <c r="Q64" s="79"/>
    </row>
    <row r="65" spans="1:17" x14ac:dyDescent="0.2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9"/>
    </row>
    <row r="66" spans="1:17" ht="15.75" thickBot="1" x14ac:dyDescent="0.3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1"/>
    </row>
    <row r="67" spans="1:17" x14ac:dyDescent="0.25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6"/>
      <c r="P67" s="76"/>
      <c r="Q67" s="79"/>
    </row>
    <row r="68" spans="1:17" x14ac:dyDescent="0.25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9"/>
    </row>
    <row r="69" spans="1:17" ht="15.75" thickBot="1" x14ac:dyDescent="0.3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1"/>
    </row>
    <row r="70" spans="1:17" x14ac:dyDescent="0.25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9"/>
    </row>
    <row r="71" spans="1:17" ht="15.75" thickBot="1" x14ac:dyDescent="0.3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1"/>
    </row>
  </sheetData>
  <autoFilter ref="A1:Q1" xr:uid="{AAF9FAD7-E5DB-4DF9-B093-95F9F3C906DB}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73D3-03DD-492F-9A04-FE201DBE063D}">
  <dimension ref="A1:AS1"/>
  <sheetViews>
    <sheetView workbookViewId="0">
      <selection activeCell="F14" sqref="F14"/>
    </sheetView>
  </sheetViews>
  <sheetFormatPr defaultColWidth="10.7109375" defaultRowHeight="15" x14ac:dyDescent="0.25"/>
  <cols>
    <col min="2" max="2" width="20.7109375" bestFit="1" customWidth="1"/>
  </cols>
  <sheetData>
    <row r="1" spans="1:45" ht="45.75" thickBot="1" x14ac:dyDescent="0.3">
      <c r="A1" s="28" t="s">
        <v>14</v>
      </c>
      <c r="B1" s="29" t="s">
        <v>11</v>
      </c>
      <c r="C1" s="29" t="s">
        <v>48</v>
      </c>
      <c r="D1" s="29" t="s">
        <v>49</v>
      </c>
      <c r="E1" s="29" t="s">
        <v>19</v>
      </c>
      <c r="F1" s="31" t="s">
        <v>38</v>
      </c>
      <c r="G1" s="32" t="s">
        <v>3</v>
      </c>
      <c r="H1" s="33" t="s">
        <v>45</v>
      </c>
      <c r="I1" s="28" t="s">
        <v>30</v>
      </c>
      <c r="J1" s="29" t="s">
        <v>31</v>
      </c>
      <c r="K1" s="29" t="s">
        <v>32</v>
      </c>
      <c r="L1" s="30" t="s">
        <v>33</v>
      </c>
      <c r="M1" s="29">
        <v>2018</v>
      </c>
      <c r="N1" s="29">
        <v>2019</v>
      </c>
      <c r="O1" s="29">
        <v>2020</v>
      </c>
      <c r="P1" s="29">
        <v>2021</v>
      </c>
      <c r="Q1" s="29">
        <v>2022</v>
      </c>
      <c r="R1" s="29">
        <v>2023</v>
      </c>
      <c r="S1" s="29">
        <v>2024</v>
      </c>
      <c r="T1" s="29">
        <v>2025</v>
      </c>
      <c r="U1" s="29">
        <v>2026</v>
      </c>
      <c r="V1" s="29">
        <v>2027</v>
      </c>
      <c r="W1" s="29">
        <v>2028</v>
      </c>
      <c r="X1" s="29">
        <v>2029</v>
      </c>
      <c r="Y1" s="29">
        <v>2030</v>
      </c>
      <c r="Z1" s="29">
        <v>2031</v>
      </c>
      <c r="AA1" s="29">
        <v>2032</v>
      </c>
      <c r="AB1" s="29">
        <v>2033</v>
      </c>
      <c r="AC1" s="29">
        <v>2034</v>
      </c>
      <c r="AD1" s="29">
        <v>2035</v>
      </c>
      <c r="AE1" s="29">
        <v>2036</v>
      </c>
      <c r="AF1" s="29">
        <v>2037</v>
      </c>
      <c r="AG1" s="29">
        <v>2038</v>
      </c>
      <c r="AH1" s="29">
        <v>2039</v>
      </c>
      <c r="AI1" s="29">
        <v>2040</v>
      </c>
      <c r="AJ1" s="29">
        <v>2041</v>
      </c>
      <c r="AK1" s="29">
        <v>2042</v>
      </c>
      <c r="AL1" s="29">
        <v>2043</v>
      </c>
      <c r="AM1" s="29">
        <v>2044</v>
      </c>
      <c r="AN1" s="29">
        <v>2045</v>
      </c>
      <c r="AO1" s="29">
        <v>2046</v>
      </c>
      <c r="AP1" s="29">
        <v>2047</v>
      </c>
      <c r="AQ1" s="29">
        <v>2048</v>
      </c>
      <c r="AR1" s="29">
        <v>2049</v>
      </c>
      <c r="AS1" s="30">
        <v>2050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sheetPr>
    <tabColor rgb="FF92D050"/>
  </sheetPr>
  <dimension ref="A1:AS1"/>
  <sheetViews>
    <sheetView zoomScale="70" zoomScaleNormal="7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1.7109375" style="1" customWidth="1"/>
    <col min="2" max="2" width="20.85546875" bestFit="1" customWidth="1"/>
    <col min="3" max="3" width="10.85546875" bestFit="1" customWidth="1"/>
    <col min="4" max="4" width="26.5703125" customWidth="1"/>
    <col min="5" max="5" width="14.7109375" customWidth="1"/>
    <col min="6" max="6" width="10.28515625" bestFit="1" customWidth="1"/>
    <col min="7" max="7" width="17.42578125" bestFit="1" customWidth="1"/>
    <col min="8" max="8" width="10.5703125" customWidth="1"/>
    <col min="9" max="10" width="15.5703125" customWidth="1"/>
    <col min="11" max="43" width="12" bestFit="1" customWidth="1"/>
  </cols>
  <sheetData>
    <row r="1" spans="1:45" ht="30.75" thickBot="1" x14ac:dyDescent="0.3">
      <c r="A1" s="46" t="s">
        <v>14</v>
      </c>
      <c r="B1" s="47" t="s">
        <v>11</v>
      </c>
      <c r="C1" s="47" t="s">
        <v>20</v>
      </c>
      <c r="D1" s="48" t="s">
        <v>37</v>
      </c>
      <c r="E1" s="48" t="s">
        <v>38</v>
      </c>
      <c r="F1" s="47" t="s">
        <v>3</v>
      </c>
      <c r="G1" s="49" t="s">
        <v>45</v>
      </c>
      <c r="H1" s="50" t="s">
        <v>30</v>
      </c>
      <c r="I1" s="51" t="s">
        <v>41</v>
      </c>
      <c r="J1" s="52" t="s">
        <v>42</v>
      </c>
      <c r="K1" s="47">
        <v>2021</v>
      </c>
      <c r="L1" s="47">
        <v>2022</v>
      </c>
      <c r="M1" s="47">
        <v>2023</v>
      </c>
      <c r="N1" s="47">
        <v>2024</v>
      </c>
      <c r="O1" s="47">
        <v>2025</v>
      </c>
      <c r="P1" s="47">
        <v>2026</v>
      </c>
      <c r="Q1" s="47">
        <v>2027</v>
      </c>
      <c r="R1" s="47">
        <v>2028</v>
      </c>
      <c r="S1" s="47">
        <v>2029</v>
      </c>
      <c r="T1" s="47">
        <v>2030</v>
      </c>
      <c r="U1" s="47">
        <v>2031</v>
      </c>
      <c r="V1" s="47">
        <v>2032</v>
      </c>
      <c r="W1" s="47">
        <v>2033</v>
      </c>
      <c r="X1" s="47">
        <v>2034</v>
      </c>
      <c r="Y1" s="47">
        <v>2035</v>
      </c>
      <c r="Z1" s="47">
        <v>2036</v>
      </c>
      <c r="AA1" s="47">
        <v>2037</v>
      </c>
      <c r="AB1" s="47">
        <v>2038</v>
      </c>
      <c r="AC1" s="47">
        <v>2039</v>
      </c>
      <c r="AD1" s="47">
        <v>2040</v>
      </c>
      <c r="AE1" s="47">
        <v>2041</v>
      </c>
      <c r="AF1" s="47">
        <v>2042</v>
      </c>
      <c r="AG1" s="47">
        <v>2043</v>
      </c>
      <c r="AH1" s="47">
        <v>2044</v>
      </c>
      <c r="AI1" s="47">
        <v>2045</v>
      </c>
      <c r="AJ1" s="47">
        <v>2046</v>
      </c>
      <c r="AK1" s="47">
        <v>2047</v>
      </c>
      <c r="AL1" s="47">
        <v>2048</v>
      </c>
      <c r="AM1" s="47">
        <v>2049</v>
      </c>
      <c r="AN1" s="53">
        <v>2050</v>
      </c>
      <c r="AO1" s="47">
        <v>2051</v>
      </c>
      <c r="AP1" s="47">
        <v>2052</v>
      </c>
      <c r="AQ1" s="53">
        <v>2053</v>
      </c>
      <c r="AR1" s="47">
        <v>2054</v>
      </c>
      <c r="AS1" s="47">
        <v>2055</v>
      </c>
    </row>
  </sheetData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FE11-542B-43C4-98E5-BB0D286F8602}">
  <dimension ref="A1:AS25"/>
  <sheetViews>
    <sheetView topLeftCell="J1" zoomScale="70" zoomScaleNormal="70" workbookViewId="0">
      <pane ySplit="1" topLeftCell="A13" activePane="bottomLeft" state="frozen"/>
      <selection pane="bottomLeft" activeCell="J24" sqref="J24:AN30"/>
    </sheetView>
  </sheetViews>
  <sheetFormatPr defaultColWidth="8.7109375" defaultRowHeight="15" x14ac:dyDescent="0.25"/>
  <cols>
    <col min="1" max="1" width="11.7109375" style="1" customWidth="1"/>
    <col min="2" max="2" width="20.85546875" bestFit="1" customWidth="1"/>
    <col min="3" max="3" width="10.85546875" bestFit="1" customWidth="1"/>
    <col min="4" max="4" width="26.5703125" customWidth="1"/>
    <col min="5" max="5" width="14.7109375" customWidth="1"/>
    <col min="6" max="6" width="10.28515625" bestFit="1" customWidth="1"/>
    <col min="7" max="7" width="17.42578125" bestFit="1" customWidth="1"/>
    <col min="8" max="8" width="10.5703125" customWidth="1"/>
    <col min="9" max="10" width="15.5703125" customWidth="1"/>
    <col min="11" max="43" width="12" bestFit="1" customWidth="1"/>
  </cols>
  <sheetData>
    <row r="1" spans="1:45" ht="30.75" thickBot="1" x14ac:dyDescent="0.3">
      <c r="A1" s="46" t="s">
        <v>14</v>
      </c>
      <c r="B1" s="47" t="s">
        <v>11</v>
      </c>
      <c r="C1" s="47" t="s">
        <v>20</v>
      </c>
      <c r="D1" s="48" t="s">
        <v>37</v>
      </c>
      <c r="E1" s="48" t="s">
        <v>38</v>
      </c>
      <c r="F1" s="47" t="s">
        <v>3</v>
      </c>
      <c r="G1" s="49" t="s">
        <v>45</v>
      </c>
      <c r="H1" s="50" t="s">
        <v>30</v>
      </c>
      <c r="I1" s="51" t="s">
        <v>41</v>
      </c>
      <c r="J1" s="52" t="s">
        <v>42</v>
      </c>
      <c r="K1" s="47">
        <v>2021</v>
      </c>
      <c r="L1" s="47">
        <v>2022</v>
      </c>
      <c r="M1" s="47">
        <v>2023</v>
      </c>
      <c r="N1" s="47">
        <v>2024</v>
      </c>
      <c r="O1" s="47">
        <v>2025</v>
      </c>
      <c r="P1" s="47">
        <v>2026</v>
      </c>
      <c r="Q1" s="47">
        <v>2027</v>
      </c>
      <c r="R1" s="47">
        <v>2028</v>
      </c>
      <c r="S1" s="47">
        <v>2029</v>
      </c>
      <c r="T1" s="47">
        <v>2030</v>
      </c>
      <c r="U1" s="47">
        <v>2031</v>
      </c>
      <c r="V1" s="47">
        <v>2032</v>
      </c>
      <c r="W1" s="47">
        <v>2033</v>
      </c>
      <c r="X1" s="47">
        <v>2034</v>
      </c>
      <c r="Y1" s="47">
        <v>2035</v>
      </c>
      <c r="Z1" s="47">
        <v>2036</v>
      </c>
      <c r="AA1" s="47">
        <v>2037</v>
      </c>
      <c r="AB1" s="47">
        <v>2038</v>
      </c>
      <c r="AC1" s="47">
        <v>2039</v>
      </c>
      <c r="AD1" s="47">
        <v>2040</v>
      </c>
      <c r="AE1" s="47">
        <v>2041</v>
      </c>
      <c r="AF1" s="47">
        <v>2042</v>
      </c>
      <c r="AG1" s="47">
        <v>2043</v>
      </c>
      <c r="AH1" s="47">
        <v>2044</v>
      </c>
      <c r="AI1" s="47">
        <v>2045</v>
      </c>
      <c r="AJ1" s="47">
        <v>2046</v>
      </c>
      <c r="AK1" s="47">
        <v>2047</v>
      </c>
      <c r="AL1" s="47">
        <v>2048</v>
      </c>
      <c r="AM1" s="47">
        <v>2049</v>
      </c>
      <c r="AN1" s="53">
        <v>2050</v>
      </c>
      <c r="AO1" s="47">
        <v>2051</v>
      </c>
      <c r="AP1" s="47">
        <v>2052</v>
      </c>
      <c r="AQ1" s="53">
        <v>2053</v>
      </c>
      <c r="AR1" s="47">
        <v>2054</v>
      </c>
      <c r="AS1" s="47">
        <v>2055</v>
      </c>
    </row>
    <row r="2" spans="1:45" x14ac:dyDescent="0.25">
      <c r="A2" s="57" t="s">
        <v>6</v>
      </c>
      <c r="B2" s="55" t="s">
        <v>53</v>
      </c>
      <c r="C2" s="55" t="s">
        <v>54</v>
      </c>
      <c r="D2" s="55" t="s">
        <v>52</v>
      </c>
      <c r="E2" s="55" t="s">
        <v>7</v>
      </c>
      <c r="F2" s="55" t="s">
        <v>50</v>
      </c>
      <c r="G2" s="55" t="s">
        <v>51</v>
      </c>
      <c r="H2" s="55"/>
      <c r="I2" s="55" t="s">
        <v>52</v>
      </c>
      <c r="J2" s="55" t="s">
        <v>52</v>
      </c>
      <c r="K2" s="55" t="e">
        <f t="shared" ref="K2:K8" si="0">1/$K$25</f>
        <v>#DIV/0!</v>
      </c>
      <c r="L2" s="55" t="e">
        <f t="shared" ref="L2:L8" si="1">1/$L$25</f>
        <v>#DIV/0!</v>
      </c>
      <c r="M2" s="55" t="e">
        <f t="shared" ref="M2:M8" si="2">1/$M$25</f>
        <v>#DIV/0!</v>
      </c>
      <c r="N2" s="55" t="e">
        <f t="shared" ref="N2:N8" si="3">1/$N$25</f>
        <v>#DIV/0!</v>
      </c>
      <c r="O2" s="55" t="e">
        <f t="shared" ref="O2:O8" si="4">1/$O$25</f>
        <v>#DIV/0!</v>
      </c>
      <c r="P2" s="55" t="e">
        <f t="shared" ref="P2:P8" si="5">1/$P$25</f>
        <v>#DIV/0!</v>
      </c>
      <c r="Q2" s="55" t="e">
        <f t="shared" ref="Q2:Q8" si="6">1/$Q$25</f>
        <v>#DIV/0!</v>
      </c>
      <c r="R2" s="55" t="e">
        <f t="shared" ref="R2:R8" si="7">1/$R$25</f>
        <v>#DIV/0!</v>
      </c>
      <c r="S2" s="55" t="e">
        <f t="shared" ref="S2:S8" si="8">1/$S$25</f>
        <v>#DIV/0!</v>
      </c>
      <c r="T2" s="55" t="e">
        <f t="shared" ref="T2:T8" si="9">1/$T$25</f>
        <v>#DIV/0!</v>
      </c>
      <c r="U2" s="55" t="e">
        <f t="shared" ref="U2:U8" si="10">1/$U$25</f>
        <v>#DIV/0!</v>
      </c>
      <c r="V2" s="55" t="e">
        <f t="shared" ref="V2:V8" si="11">1/$V$25</f>
        <v>#DIV/0!</v>
      </c>
      <c r="W2" s="55" t="e">
        <f t="shared" ref="W2:W8" si="12">1/$W$25</f>
        <v>#DIV/0!</v>
      </c>
      <c r="X2" s="55" t="e">
        <f t="shared" ref="X2:X8" si="13">1/$X$25</f>
        <v>#DIV/0!</v>
      </c>
      <c r="Y2" s="55" t="e">
        <f t="shared" ref="Y2:Y8" si="14">1/$Y$25</f>
        <v>#DIV/0!</v>
      </c>
      <c r="Z2" s="55" t="e">
        <f t="shared" ref="Z2:Z8" si="15">1/$Z$25</f>
        <v>#DIV/0!</v>
      </c>
      <c r="AA2" s="55" t="e">
        <f t="shared" ref="AA2:AA8" si="16">1/$AA$25</f>
        <v>#DIV/0!</v>
      </c>
      <c r="AB2" s="55" t="e">
        <f t="shared" ref="AB2:AB8" si="17">1/$AB$25</f>
        <v>#DIV/0!</v>
      </c>
      <c r="AC2" s="55" t="e">
        <f t="shared" ref="AC2:AC8" si="18">1/$AC$25</f>
        <v>#DIV/0!</v>
      </c>
      <c r="AD2" s="55" t="e">
        <f t="shared" ref="AD2:AD8" si="19">1/$AD$25</f>
        <v>#DIV/0!</v>
      </c>
      <c r="AE2" s="55" t="e">
        <f t="shared" ref="AE2:AE8" si="20">1/$AE$25</f>
        <v>#DIV/0!</v>
      </c>
      <c r="AF2" s="55" t="e">
        <f t="shared" ref="AF2:AF8" si="21">1/$AF$25</f>
        <v>#DIV/0!</v>
      </c>
      <c r="AG2" s="55" t="e">
        <f t="shared" ref="AG2:AG8" si="22">1/$AG$25</f>
        <v>#DIV/0!</v>
      </c>
      <c r="AH2" s="55" t="e">
        <f t="shared" ref="AH2:AH8" si="23">1/$AH$25</f>
        <v>#DIV/0!</v>
      </c>
      <c r="AI2" s="55" t="e">
        <f t="shared" ref="AI2:AI8" si="24">1/$AI$25</f>
        <v>#DIV/0!</v>
      </c>
      <c r="AJ2" s="55" t="e">
        <f t="shared" ref="AJ2:AJ8" si="25">1/$AJ$25</f>
        <v>#DIV/0!</v>
      </c>
      <c r="AK2" s="55" t="e">
        <f t="shared" ref="AK2:AK8" si="26">1/$AK$25</f>
        <v>#DIV/0!</v>
      </c>
      <c r="AL2" s="55" t="e">
        <f t="shared" ref="AL2:AL8" si="27">1/$AL$25</f>
        <v>#DIV/0!</v>
      </c>
      <c r="AM2" s="55" t="e">
        <f t="shared" ref="AM2:AM8" si="28">1/$AM$25</f>
        <v>#DIV/0!</v>
      </c>
      <c r="AN2" s="55" t="e">
        <f t="shared" ref="AN2:AN8" si="29">1/$AN$25</f>
        <v>#DIV/0!</v>
      </c>
      <c r="AO2" s="55">
        <v>0.92800000000000005</v>
      </c>
      <c r="AP2" s="55">
        <v>0.92400000000000004</v>
      </c>
      <c r="AQ2" s="56">
        <v>0.92</v>
      </c>
      <c r="AR2" s="56">
        <v>0.92</v>
      </c>
      <c r="AS2" s="56">
        <v>0.92</v>
      </c>
    </row>
    <row r="3" spans="1:45" x14ac:dyDescent="0.25">
      <c r="A3" s="58" t="s">
        <v>6</v>
      </c>
      <c r="B3" s="59" t="s">
        <v>53</v>
      </c>
      <c r="C3" s="59" t="s">
        <v>55</v>
      </c>
      <c r="D3" s="59"/>
      <c r="E3" s="59" t="s">
        <v>7</v>
      </c>
      <c r="F3" s="59" t="s">
        <v>50</v>
      </c>
      <c r="G3" s="59" t="s">
        <v>51</v>
      </c>
      <c r="H3" s="59"/>
      <c r="I3" s="59"/>
      <c r="J3" s="59"/>
      <c r="K3" s="59" t="e">
        <f t="shared" si="0"/>
        <v>#DIV/0!</v>
      </c>
      <c r="L3" s="59" t="e">
        <f t="shared" si="1"/>
        <v>#DIV/0!</v>
      </c>
      <c r="M3" s="59" t="e">
        <f t="shared" si="2"/>
        <v>#DIV/0!</v>
      </c>
      <c r="N3" s="59" t="e">
        <f t="shared" si="3"/>
        <v>#DIV/0!</v>
      </c>
      <c r="O3" s="59" t="e">
        <f t="shared" si="4"/>
        <v>#DIV/0!</v>
      </c>
      <c r="P3" s="59" t="e">
        <f t="shared" si="5"/>
        <v>#DIV/0!</v>
      </c>
      <c r="Q3" s="59" t="e">
        <f t="shared" si="6"/>
        <v>#DIV/0!</v>
      </c>
      <c r="R3" s="59" t="e">
        <f t="shared" si="7"/>
        <v>#DIV/0!</v>
      </c>
      <c r="S3" s="59" t="e">
        <f t="shared" si="8"/>
        <v>#DIV/0!</v>
      </c>
      <c r="T3" s="59" t="e">
        <f t="shared" si="9"/>
        <v>#DIV/0!</v>
      </c>
      <c r="U3" s="59" t="e">
        <f t="shared" si="10"/>
        <v>#DIV/0!</v>
      </c>
      <c r="V3" s="59" t="e">
        <f t="shared" si="11"/>
        <v>#DIV/0!</v>
      </c>
      <c r="W3" s="59" t="e">
        <f t="shared" si="12"/>
        <v>#DIV/0!</v>
      </c>
      <c r="X3" s="59" t="e">
        <f t="shared" si="13"/>
        <v>#DIV/0!</v>
      </c>
      <c r="Y3" s="59" t="e">
        <f t="shared" si="14"/>
        <v>#DIV/0!</v>
      </c>
      <c r="Z3" s="59" t="e">
        <f t="shared" si="15"/>
        <v>#DIV/0!</v>
      </c>
      <c r="AA3" s="59" t="e">
        <f t="shared" si="16"/>
        <v>#DIV/0!</v>
      </c>
      <c r="AB3" s="59" t="e">
        <f t="shared" si="17"/>
        <v>#DIV/0!</v>
      </c>
      <c r="AC3" s="59" t="e">
        <f t="shared" si="18"/>
        <v>#DIV/0!</v>
      </c>
      <c r="AD3" s="59" t="e">
        <f t="shared" si="19"/>
        <v>#DIV/0!</v>
      </c>
      <c r="AE3" s="59" t="e">
        <f t="shared" si="20"/>
        <v>#DIV/0!</v>
      </c>
      <c r="AF3" s="59" t="e">
        <f t="shared" si="21"/>
        <v>#DIV/0!</v>
      </c>
      <c r="AG3" s="59" t="e">
        <f t="shared" si="22"/>
        <v>#DIV/0!</v>
      </c>
      <c r="AH3" s="59" t="e">
        <f t="shared" si="23"/>
        <v>#DIV/0!</v>
      </c>
      <c r="AI3" s="59" t="e">
        <f t="shared" si="24"/>
        <v>#DIV/0!</v>
      </c>
      <c r="AJ3" s="59" t="e">
        <f t="shared" si="25"/>
        <v>#DIV/0!</v>
      </c>
      <c r="AK3" s="59" t="e">
        <f t="shared" si="26"/>
        <v>#DIV/0!</v>
      </c>
      <c r="AL3" s="59" t="e">
        <f t="shared" si="27"/>
        <v>#DIV/0!</v>
      </c>
      <c r="AM3" s="59" t="e">
        <f t="shared" si="28"/>
        <v>#DIV/0!</v>
      </c>
      <c r="AN3" s="59" t="e">
        <f t="shared" si="29"/>
        <v>#DIV/0!</v>
      </c>
      <c r="AO3" s="59">
        <v>0.92800000000000005</v>
      </c>
      <c r="AP3" s="59">
        <v>0.92400000000000004</v>
      </c>
      <c r="AQ3" s="60">
        <v>0.92</v>
      </c>
      <c r="AR3" s="60">
        <v>0.92</v>
      </c>
      <c r="AS3" s="60">
        <v>0.92</v>
      </c>
    </row>
    <row r="4" spans="1:45" x14ac:dyDescent="0.25">
      <c r="A4" s="58" t="s">
        <v>6</v>
      </c>
      <c r="B4" s="59" t="s">
        <v>53</v>
      </c>
      <c r="C4" s="59" t="s">
        <v>56</v>
      </c>
      <c r="D4" s="59"/>
      <c r="E4" s="59" t="s">
        <v>7</v>
      </c>
      <c r="F4" s="59" t="s">
        <v>50</v>
      </c>
      <c r="G4" s="59" t="s">
        <v>51</v>
      </c>
      <c r="H4" s="59"/>
      <c r="I4" s="59"/>
      <c r="J4" s="59"/>
      <c r="K4" s="59" t="e">
        <f t="shared" si="0"/>
        <v>#DIV/0!</v>
      </c>
      <c r="L4" s="59" t="e">
        <f t="shared" si="1"/>
        <v>#DIV/0!</v>
      </c>
      <c r="M4" s="59" t="e">
        <f t="shared" si="2"/>
        <v>#DIV/0!</v>
      </c>
      <c r="N4" s="59" t="e">
        <f t="shared" si="3"/>
        <v>#DIV/0!</v>
      </c>
      <c r="O4" s="59" t="e">
        <f t="shared" si="4"/>
        <v>#DIV/0!</v>
      </c>
      <c r="P4" s="59" t="e">
        <f t="shared" si="5"/>
        <v>#DIV/0!</v>
      </c>
      <c r="Q4" s="59" t="e">
        <f t="shared" si="6"/>
        <v>#DIV/0!</v>
      </c>
      <c r="R4" s="59" t="e">
        <f t="shared" si="7"/>
        <v>#DIV/0!</v>
      </c>
      <c r="S4" s="59" t="e">
        <f t="shared" si="8"/>
        <v>#DIV/0!</v>
      </c>
      <c r="T4" s="59" t="e">
        <f t="shared" si="9"/>
        <v>#DIV/0!</v>
      </c>
      <c r="U4" s="59" t="e">
        <f t="shared" si="10"/>
        <v>#DIV/0!</v>
      </c>
      <c r="V4" s="59" t="e">
        <f t="shared" si="11"/>
        <v>#DIV/0!</v>
      </c>
      <c r="W4" s="59" t="e">
        <f t="shared" si="12"/>
        <v>#DIV/0!</v>
      </c>
      <c r="X4" s="59" t="e">
        <f t="shared" si="13"/>
        <v>#DIV/0!</v>
      </c>
      <c r="Y4" s="59" t="e">
        <f t="shared" si="14"/>
        <v>#DIV/0!</v>
      </c>
      <c r="Z4" s="59" t="e">
        <f t="shared" si="15"/>
        <v>#DIV/0!</v>
      </c>
      <c r="AA4" s="59" t="e">
        <f t="shared" si="16"/>
        <v>#DIV/0!</v>
      </c>
      <c r="AB4" s="59" t="e">
        <f t="shared" si="17"/>
        <v>#DIV/0!</v>
      </c>
      <c r="AC4" s="59" t="e">
        <f t="shared" si="18"/>
        <v>#DIV/0!</v>
      </c>
      <c r="AD4" s="59" t="e">
        <f t="shared" si="19"/>
        <v>#DIV/0!</v>
      </c>
      <c r="AE4" s="59" t="e">
        <f t="shared" si="20"/>
        <v>#DIV/0!</v>
      </c>
      <c r="AF4" s="59" t="e">
        <f t="shared" si="21"/>
        <v>#DIV/0!</v>
      </c>
      <c r="AG4" s="59" t="e">
        <f t="shared" si="22"/>
        <v>#DIV/0!</v>
      </c>
      <c r="AH4" s="59" t="e">
        <f t="shared" si="23"/>
        <v>#DIV/0!</v>
      </c>
      <c r="AI4" s="59" t="e">
        <f t="shared" si="24"/>
        <v>#DIV/0!</v>
      </c>
      <c r="AJ4" s="59" t="e">
        <f t="shared" si="25"/>
        <v>#DIV/0!</v>
      </c>
      <c r="AK4" s="59" t="e">
        <f t="shared" si="26"/>
        <v>#DIV/0!</v>
      </c>
      <c r="AL4" s="59" t="e">
        <f t="shared" si="27"/>
        <v>#DIV/0!</v>
      </c>
      <c r="AM4" s="59" t="e">
        <f t="shared" si="28"/>
        <v>#DIV/0!</v>
      </c>
      <c r="AN4" s="59" t="e">
        <f t="shared" si="29"/>
        <v>#DIV/0!</v>
      </c>
      <c r="AO4" s="59">
        <v>0.92800000000000005</v>
      </c>
      <c r="AP4" s="59">
        <v>0.92400000000000004</v>
      </c>
      <c r="AQ4" s="60">
        <v>0.92</v>
      </c>
      <c r="AR4" s="60">
        <v>0.92</v>
      </c>
      <c r="AS4" s="60">
        <v>0.92</v>
      </c>
    </row>
    <row r="5" spans="1:45" x14ac:dyDescent="0.25">
      <c r="A5" s="58" t="s">
        <v>6</v>
      </c>
      <c r="B5" s="59" t="s">
        <v>53</v>
      </c>
      <c r="C5" s="59" t="s">
        <v>57</v>
      </c>
      <c r="D5" s="59"/>
      <c r="E5" s="59" t="s">
        <v>7</v>
      </c>
      <c r="F5" s="59" t="s">
        <v>50</v>
      </c>
      <c r="G5" s="59" t="s">
        <v>51</v>
      </c>
      <c r="H5" s="59"/>
      <c r="I5" s="59"/>
      <c r="J5" s="59"/>
      <c r="K5" s="59" t="e">
        <f t="shared" si="0"/>
        <v>#DIV/0!</v>
      </c>
      <c r="L5" s="59" t="e">
        <f t="shared" si="1"/>
        <v>#DIV/0!</v>
      </c>
      <c r="M5" s="59" t="e">
        <f t="shared" si="2"/>
        <v>#DIV/0!</v>
      </c>
      <c r="N5" s="59" t="e">
        <f t="shared" si="3"/>
        <v>#DIV/0!</v>
      </c>
      <c r="O5" s="59" t="e">
        <f t="shared" si="4"/>
        <v>#DIV/0!</v>
      </c>
      <c r="P5" s="59" t="e">
        <f t="shared" si="5"/>
        <v>#DIV/0!</v>
      </c>
      <c r="Q5" s="59" t="e">
        <f t="shared" si="6"/>
        <v>#DIV/0!</v>
      </c>
      <c r="R5" s="59" t="e">
        <f t="shared" si="7"/>
        <v>#DIV/0!</v>
      </c>
      <c r="S5" s="59" t="e">
        <f t="shared" si="8"/>
        <v>#DIV/0!</v>
      </c>
      <c r="T5" s="59" t="e">
        <f t="shared" si="9"/>
        <v>#DIV/0!</v>
      </c>
      <c r="U5" s="59" t="e">
        <f t="shared" si="10"/>
        <v>#DIV/0!</v>
      </c>
      <c r="V5" s="59" t="e">
        <f t="shared" si="11"/>
        <v>#DIV/0!</v>
      </c>
      <c r="W5" s="59" t="e">
        <f t="shared" si="12"/>
        <v>#DIV/0!</v>
      </c>
      <c r="X5" s="59" t="e">
        <f t="shared" si="13"/>
        <v>#DIV/0!</v>
      </c>
      <c r="Y5" s="59" t="e">
        <f t="shared" si="14"/>
        <v>#DIV/0!</v>
      </c>
      <c r="Z5" s="59" t="e">
        <f t="shared" si="15"/>
        <v>#DIV/0!</v>
      </c>
      <c r="AA5" s="59" t="e">
        <f t="shared" si="16"/>
        <v>#DIV/0!</v>
      </c>
      <c r="AB5" s="59" t="e">
        <f t="shared" si="17"/>
        <v>#DIV/0!</v>
      </c>
      <c r="AC5" s="59" t="e">
        <f t="shared" si="18"/>
        <v>#DIV/0!</v>
      </c>
      <c r="AD5" s="59" t="e">
        <f t="shared" si="19"/>
        <v>#DIV/0!</v>
      </c>
      <c r="AE5" s="59" t="e">
        <f t="shared" si="20"/>
        <v>#DIV/0!</v>
      </c>
      <c r="AF5" s="59" t="e">
        <f t="shared" si="21"/>
        <v>#DIV/0!</v>
      </c>
      <c r="AG5" s="59" t="e">
        <f t="shared" si="22"/>
        <v>#DIV/0!</v>
      </c>
      <c r="AH5" s="59" t="e">
        <f t="shared" si="23"/>
        <v>#DIV/0!</v>
      </c>
      <c r="AI5" s="59" t="e">
        <f t="shared" si="24"/>
        <v>#DIV/0!</v>
      </c>
      <c r="AJ5" s="59" t="e">
        <f t="shared" si="25"/>
        <v>#DIV/0!</v>
      </c>
      <c r="AK5" s="59" t="e">
        <f t="shared" si="26"/>
        <v>#DIV/0!</v>
      </c>
      <c r="AL5" s="59" t="e">
        <f t="shared" si="27"/>
        <v>#DIV/0!</v>
      </c>
      <c r="AM5" s="59" t="e">
        <f t="shared" si="28"/>
        <v>#DIV/0!</v>
      </c>
      <c r="AN5" s="59" t="e">
        <f t="shared" si="29"/>
        <v>#DIV/0!</v>
      </c>
      <c r="AO5" s="59">
        <v>0.92800000000000005</v>
      </c>
      <c r="AP5" s="59">
        <v>0.92400000000000004</v>
      </c>
      <c r="AQ5" s="60">
        <v>0.92</v>
      </c>
      <c r="AR5" s="60">
        <v>0.92</v>
      </c>
      <c r="AS5" s="60">
        <v>0.92</v>
      </c>
    </row>
    <row r="6" spans="1:45" x14ac:dyDescent="0.25">
      <c r="A6" s="58" t="s">
        <v>6</v>
      </c>
      <c r="B6" s="59" t="s">
        <v>53</v>
      </c>
      <c r="C6" s="59" t="s">
        <v>58</v>
      </c>
      <c r="D6" s="59"/>
      <c r="E6" s="59" t="s">
        <v>7</v>
      </c>
      <c r="F6" s="59" t="s">
        <v>50</v>
      </c>
      <c r="G6" s="59" t="s">
        <v>51</v>
      </c>
      <c r="H6" s="59"/>
      <c r="I6" s="59"/>
      <c r="J6" s="59"/>
      <c r="K6" s="59" t="e">
        <f t="shared" si="0"/>
        <v>#DIV/0!</v>
      </c>
      <c r="L6" s="59" t="e">
        <f t="shared" si="1"/>
        <v>#DIV/0!</v>
      </c>
      <c r="M6" s="59" t="e">
        <f t="shared" si="2"/>
        <v>#DIV/0!</v>
      </c>
      <c r="N6" s="59" t="e">
        <f t="shared" si="3"/>
        <v>#DIV/0!</v>
      </c>
      <c r="O6" s="59" t="e">
        <f t="shared" si="4"/>
        <v>#DIV/0!</v>
      </c>
      <c r="P6" s="59" t="e">
        <f t="shared" si="5"/>
        <v>#DIV/0!</v>
      </c>
      <c r="Q6" s="59" t="e">
        <f t="shared" si="6"/>
        <v>#DIV/0!</v>
      </c>
      <c r="R6" s="59" t="e">
        <f t="shared" si="7"/>
        <v>#DIV/0!</v>
      </c>
      <c r="S6" s="59" t="e">
        <f t="shared" si="8"/>
        <v>#DIV/0!</v>
      </c>
      <c r="T6" s="59" t="e">
        <f t="shared" si="9"/>
        <v>#DIV/0!</v>
      </c>
      <c r="U6" s="59" t="e">
        <f t="shared" si="10"/>
        <v>#DIV/0!</v>
      </c>
      <c r="V6" s="59" t="e">
        <f t="shared" si="11"/>
        <v>#DIV/0!</v>
      </c>
      <c r="W6" s="59" t="e">
        <f t="shared" si="12"/>
        <v>#DIV/0!</v>
      </c>
      <c r="X6" s="59" t="e">
        <f t="shared" si="13"/>
        <v>#DIV/0!</v>
      </c>
      <c r="Y6" s="59" t="e">
        <f t="shared" si="14"/>
        <v>#DIV/0!</v>
      </c>
      <c r="Z6" s="59" t="e">
        <f t="shared" si="15"/>
        <v>#DIV/0!</v>
      </c>
      <c r="AA6" s="59" t="e">
        <f t="shared" si="16"/>
        <v>#DIV/0!</v>
      </c>
      <c r="AB6" s="59" t="e">
        <f t="shared" si="17"/>
        <v>#DIV/0!</v>
      </c>
      <c r="AC6" s="59" t="e">
        <f t="shared" si="18"/>
        <v>#DIV/0!</v>
      </c>
      <c r="AD6" s="59" t="e">
        <f t="shared" si="19"/>
        <v>#DIV/0!</v>
      </c>
      <c r="AE6" s="59" t="e">
        <f t="shared" si="20"/>
        <v>#DIV/0!</v>
      </c>
      <c r="AF6" s="59" t="e">
        <f t="shared" si="21"/>
        <v>#DIV/0!</v>
      </c>
      <c r="AG6" s="59" t="e">
        <f t="shared" si="22"/>
        <v>#DIV/0!</v>
      </c>
      <c r="AH6" s="59" t="e">
        <f t="shared" si="23"/>
        <v>#DIV/0!</v>
      </c>
      <c r="AI6" s="59" t="e">
        <f t="shared" si="24"/>
        <v>#DIV/0!</v>
      </c>
      <c r="AJ6" s="59" t="e">
        <f t="shared" si="25"/>
        <v>#DIV/0!</v>
      </c>
      <c r="AK6" s="59" t="e">
        <f t="shared" si="26"/>
        <v>#DIV/0!</v>
      </c>
      <c r="AL6" s="59" t="e">
        <f t="shared" si="27"/>
        <v>#DIV/0!</v>
      </c>
      <c r="AM6" s="59" t="e">
        <f t="shared" si="28"/>
        <v>#DIV/0!</v>
      </c>
      <c r="AN6" s="59" t="e">
        <f t="shared" si="29"/>
        <v>#DIV/0!</v>
      </c>
      <c r="AO6" s="59">
        <v>0.92800000000000005</v>
      </c>
      <c r="AP6" s="59">
        <v>0.92400000000000004</v>
      </c>
      <c r="AQ6" s="60">
        <v>0.92</v>
      </c>
      <c r="AR6" s="60">
        <v>0.92</v>
      </c>
      <c r="AS6" s="60">
        <v>0.92</v>
      </c>
    </row>
    <row r="7" spans="1:45" x14ac:dyDescent="0.25">
      <c r="A7" s="58" t="s">
        <v>6</v>
      </c>
      <c r="B7" s="59" t="s">
        <v>53</v>
      </c>
      <c r="C7" s="59" t="s">
        <v>59</v>
      </c>
      <c r="D7" s="59"/>
      <c r="E7" s="59" t="s">
        <v>7</v>
      </c>
      <c r="F7" s="59" t="s">
        <v>50</v>
      </c>
      <c r="G7" s="59" t="s">
        <v>51</v>
      </c>
      <c r="H7" s="59"/>
      <c r="I7" s="59"/>
      <c r="J7" s="59"/>
      <c r="K7" s="59" t="e">
        <f t="shared" si="0"/>
        <v>#DIV/0!</v>
      </c>
      <c r="L7" s="59" t="e">
        <f t="shared" si="1"/>
        <v>#DIV/0!</v>
      </c>
      <c r="M7" s="59" t="e">
        <f t="shared" si="2"/>
        <v>#DIV/0!</v>
      </c>
      <c r="N7" s="59" t="e">
        <f t="shared" si="3"/>
        <v>#DIV/0!</v>
      </c>
      <c r="O7" s="59" t="e">
        <f t="shared" si="4"/>
        <v>#DIV/0!</v>
      </c>
      <c r="P7" s="59" t="e">
        <f t="shared" si="5"/>
        <v>#DIV/0!</v>
      </c>
      <c r="Q7" s="59" t="e">
        <f t="shared" si="6"/>
        <v>#DIV/0!</v>
      </c>
      <c r="R7" s="59" t="e">
        <f t="shared" si="7"/>
        <v>#DIV/0!</v>
      </c>
      <c r="S7" s="59" t="e">
        <f t="shared" si="8"/>
        <v>#DIV/0!</v>
      </c>
      <c r="T7" s="59" t="e">
        <f t="shared" si="9"/>
        <v>#DIV/0!</v>
      </c>
      <c r="U7" s="59" t="e">
        <f t="shared" si="10"/>
        <v>#DIV/0!</v>
      </c>
      <c r="V7" s="59" t="e">
        <f t="shared" si="11"/>
        <v>#DIV/0!</v>
      </c>
      <c r="W7" s="59" t="e">
        <f t="shared" si="12"/>
        <v>#DIV/0!</v>
      </c>
      <c r="X7" s="59" t="e">
        <f t="shared" si="13"/>
        <v>#DIV/0!</v>
      </c>
      <c r="Y7" s="59" t="e">
        <f t="shared" si="14"/>
        <v>#DIV/0!</v>
      </c>
      <c r="Z7" s="59" t="e">
        <f t="shared" si="15"/>
        <v>#DIV/0!</v>
      </c>
      <c r="AA7" s="59" t="e">
        <f t="shared" si="16"/>
        <v>#DIV/0!</v>
      </c>
      <c r="AB7" s="59" t="e">
        <f t="shared" si="17"/>
        <v>#DIV/0!</v>
      </c>
      <c r="AC7" s="59" t="e">
        <f t="shared" si="18"/>
        <v>#DIV/0!</v>
      </c>
      <c r="AD7" s="59" t="e">
        <f t="shared" si="19"/>
        <v>#DIV/0!</v>
      </c>
      <c r="AE7" s="59" t="e">
        <f t="shared" si="20"/>
        <v>#DIV/0!</v>
      </c>
      <c r="AF7" s="59" t="e">
        <f t="shared" si="21"/>
        <v>#DIV/0!</v>
      </c>
      <c r="AG7" s="59" t="e">
        <f t="shared" si="22"/>
        <v>#DIV/0!</v>
      </c>
      <c r="AH7" s="59" t="e">
        <f t="shared" si="23"/>
        <v>#DIV/0!</v>
      </c>
      <c r="AI7" s="59" t="e">
        <f t="shared" si="24"/>
        <v>#DIV/0!</v>
      </c>
      <c r="AJ7" s="59" t="e">
        <f t="shared" si="25"/>
        <v>#DIV/0!</v>
      </c>
      <c r="AK7" s="59" t="e">
        <f t="shared" si="26"/>
        <v>#DIV/0!</v>
      </c>
      <c r="AL7" s="59" t="e">
        <f t="shared" si="27"/>
        <v>#DIV/0!</v>
      </c>
      <c r="AM7" s="59" t="e">
        <f t="shared" si="28"/>
        <v>#DIV/0!</v>
      </c>
      <c r="AN7" s="59" t="e">
        <f t="shared" si="29"/>
        <v>#DIV/0!</v>
      </c>
      <c r="AO7" s="59">
        <v>0.92800000000000005</v>
      </c>
      <c r="AP7" s="59">
        <v>0.92400000000000004</v>
      </c>
      <c r="AQ7" s="60">
        <v>0.92</v>
      </c>
      <c r="AR7" s="60">
        <v>0.92</v>
      </c>
      <c r="AS7" s="60">
        <v>0.92</v>
      </c>
    </row>
    <row r="8" spans="1:45" ht="15.75" thickBot="1" x14ac:dyDescent="0.3">
      <c r="A8" s="61" t="s">
        <v>6</v>
      </c>
      <c r="B8" s="40" t="s">
        <v>53</v>
      </c>
      <c r="C8" s="40" t="s">
        <v>60</v>
      </c>
      <c r="D8" s="40" t="s">
        <v>52</v>
      </c>
      <c r="E8" s="40" t="s">
        <v>7</v>
      </c>
      <c r="F8" s="40" t="s">
        <v>50</v>
      </c>
      <c r="G8" s="40" t="s">
        <v>51</v>
      </c>
      <c r="H8" s="40"/>
      <c r="I8" s="40" t="s">
        <v>52</v>
      </c>
      <c r="J8" s="40" t="s">
        <v>52</v>
      </c>
      <c r="K8" s="40" t="e">
        <f t="shared" si="0"/>
        <v>#DIV/0!</v>
      </c>
      <c r="L8" s="40" t="e">
        <f t="shared" si="1"/>
        <v>#DIV/0!</v>
      </c>
      <c r="M8" s="40" t="e">
        <f t="shared" si="2"/>
        <v>#DIV/0!</v>
      </c>
      <c r="N8" s="40" t="e">
        <f t="shared" si="3"/>
        <v>#DIV/0!</v>
      </c>
      <c r="O8" s="40" t="e">
        <f t="shared" si="4"/>
        <v>#DIV/0!</v>
      </c>
      <c r="P8" s="40" t="e">
        <f t="shared" si="5"/>
        <v>#DIV/0!</v>
      </c>
      <c r="Q8" s="40" t="e">
        <f t="shared" si="6"/>
        <v>#DIV/0!</v>
      </c>
      <c r="R8" s="40" t="e">
        <f t="shared" si="7"/>
        <v>#DIV/0!</v>
      </c>
      <c r="S8" s="40" t="e">
        <f t="shared" si="8"/>
        <v>#DIV/0!</v>
      </c>
      <c r="T8" s="40" t="e">
        <f t="shared" si="9"/>
        <v>#DIV/0!</v>
      </c>
      <c r="U8" s="40" t="e">
        <f t="shared" si="10"/>
        <v>#DIV/0!</v>
      </c>
      <c r="V8" s="40" t="e">
        <f t="shared" si="11"/>
        <v>#DIV/0!</v>
      </c>
      <c r="W8" s="40" t="e">
        <f t="shared" si="12"/>
        <v>#DIV/0!</v>
      </c>
      <c r="X8" s="40" t="e">
        <f t="shared" si="13"/>
        <v>#DIV/0!</v>
      </c>
      <c r="Y8" s="40" t="e">
        <f t="shared" si="14"/>
        <v>#DIV/0!</v>
      </c>
      <c r="Z8" s="40" t="e">
        <f t="shared" si="15"/>
        <v>#DIV/0!</v>
      </c>
      <c r="AA8" s="40" t="e">
        <f t="shared" si="16"/>
        <v>#DIV/0!</v>
      </c>
      <c r="AB8" s="40" t="e">
        <f t="shared" si="17"/>
        <v>#DIV/0!</v>
      </c>
      <c r="AC8" s="40" t="e">
        <f t="shared" si="18"/>
        <v>#DIV/0!</v>
      </c>
      <c r="AD8" s="40" t="e">
        <f t="shared" si="19"/>
        <v>#DIV/0!</v>
      </c>
      <c r="AE8" s="40" t="e">
        <f t="shared" si="20"/>
        <v>#DIV/0!</v>
      </c>
      <c r="AF8" s="40" t="e">
        <f t="shared" si="21"/>
        <v>#DIV/0!</v>
      </c>
      <c r="AG8" s="40" t="e">
        <f t="shared" si="22"/>
        <v>#DIV/0!</v>
      </c>
      <c r="AH8" s="40" t="e">
        <f t="shared" si="23"/>
        <v>#DIV/0!</v>
      </c>
      <c r="AI8" s="40" t="e">
        <f t="shared" si="24"/>
        <v>#DIV/0!</v>
      </c>
      <c r="AJ8" s="40" t="e">
        <f t="shared" si="25"/>
        <v>#DIV/0!</v>
      </c>
      <c r="AK8" s="40" t="e">
        <f t="shared" si="26"/>
        <v>#DIV/0!</v>
      </c>
      <c r="AL8" s="40" t="e">
        <f t="shared" si="27"/>
        <v>#DIV/0!</v>
      </c>
      <c r="AM8" s="40" t="e">
        <f t="shared" si="28"/>
        <v>#DIV/0!</v>
      </c>
      <c r="AN8" s="40" t="e">
        <f t="shared" si="29"/>
        <v>#DIV/0!</v>
      </c>
      <c r="AO8" s="40">
        <v>0.92800000000000005</v>
      </c>
      <c r="AP8" s="40">
        <v>0.92400000000000004</v>
      </c>
      <c r="AQ8" s="54">
        <v>0.92</v>
      </c>
      <c r="AR8" s="54">
        <v>0.92</v>
      </c>
      <c r="AS8" s="54">
        <v>0.92</v>
      </c>
    </row>
    <row r="24" spans="11:40" x14ac:dyDescent="0.25"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</row>
    <row r="25" spans="11:40" x14ac:dyDescent="0.25"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</row>
  </sheetData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43A69-D395-48B8-995C-DFD1200CFE6E}">
  <sheetPr>
    <tabColor rgb="FFFF0000"/>
  </sheetPr>
  <dimension ref="A1:AS8"/>
  <sheetViews>
    <sheetView topLeftCell="J1" zoomScale="70" zoomScaleNormal="70" workbookViewId="0">
      <pane ySplit="1" topLeftCell="A2" activePane="bottomLeft" state="frozen"/>
      <selection pane="bottomLeft" activeCell="J24" sqref="J24:AN29"/>
    </sheetView>
  </sheetViews>
  <sheetFormatPr defaultColWidth="8.7109375" defaultRowHeight="15" x14ac:dyDescent="0.25"/>
  <cols>
    <col min="1" max="1" width="11.7109375" style="1" customWidth="1"/>
    <col min="2" max="2" width="40.28515625" bestFit="1" customWidth="1"/>
    <col min="3" max="3" width="31.42578125" bestFit="1" customWidth="1"/>
    <col min="4" max="4" width="26.5703125" customWidth="1"/>
    <col min="5" max="5" width="14.7109375" customWidth="1"/>
    <col min="6" max="6" width="14.5703125" customWidth="1"/>
    <col min="7" max="7" width="17.42578125" bestFit="1" customWidth="1"/>
    <col min="8" max="8" width="10.5703125" customWidth="1"/>
    <col min="9" max="10" width="15.5703125" customWidth="1"/>
    <col min="11" max="43" width="12" bestFit="1" customWidth="1"/>
  </cols>
  <sheetData>
    <row r="1" spans="1:45" ht="30.75" thickBot="1" x14ac:dyDescent="0.3">
      <c r="A1" s="46" t="s">
        <v>14</v>
      </c>
      <c r="B1" s="47" t="s">
        <v>11</v>
      </c>
      <c r="C1" s="47" t="s">
        <v>20</v>
      </c>
      <c r="D1" s="48" t="s">
        <v>37</v>
      </c>
      <c r="E1" s="48" t="s">
        <v>38</v>
      </c>
      <c r="F1" s="47" t="s">
        <v>3</v>
      </c>
      <c r="G1" s="49" t="s">
        <v>45</v>
      </c>
      <c r="H1" s="50" t="s">
        <v>30</v>
      </c>
      <c r="I1" s="51" t="s">
        <v>41</v>
      </c>
      <c r="J1" s="52" t="s">
        <v>42</v>
      </c>
      <c r="K1" s="47">
        <v>2021</v>
      </c>
      <c r="L1" s="47">
        <v>2022</v>
      </c>
      <c r="M1" s="47">
        <v>2023</v>
      </c>
      <c r="N1" s="47">
        <v>2024</v>
      </c>
      <c r="O1" s="47">
        <v>2025</v>
      </c>
      <c r="P1" s="47">
        <v>2026</v>
      </c>
      <c r="Q1" s="47">
        <v>2027</v>
      </c>
      <c r="R1" s="47">
        <v>2028</v>
      </c>
      <c r="S1" s="47">
        <v>2029</v>
      </c>
      <c r="T1" s="47">
        <v>2030</v>
      </c>
      <c r="U1" s="47">
        <v>2031</v>
      </c>
      <c r="V1" s="47">
        <v>2032</v>
      </c>
      <c r="W1" s="47">
        <v>2033</v>
      </c>
      <c r="X1" s="47">
        <v>2034</v>
      </c>
      <c r="Y1" s="47">
        <v>2035</v>
      </c>
      <c r="Z1" s="47">
        <v>2036</v>
      </c>
      <c r="AA1" s="47">
        <v>2037</v>
      </c>
      <c r="AB1" s="47">
        <v>2038</v>
      </c>
      <c r="AC1" s="47">
        <v>2039</v>
      </c>
      <c r="AD1" s="47">
        <v>2040</v>
      </c>
      <c r="AE1" s="47">
        <v>2041</v>
      </c>
      <c r="AF1" s="47">
        <v>2042</v>
      </c>
      <c r="AG1" s="47">
        <v>2043</v>
      </c>
      <c r="AH1" s="47">
        <v>2044</v>
      </c>
      <c r="AI1" s="47">
        <v>2045</v>
      </c>
      <c r="AJ1" s="47">
        <v>2046</v>
      </c>
      <c r="AK1" s="47">
        <v>2047</v>
      </c>
      <c r="AL1" s="47">
        <v>2048</v>
      </c>
      <c r="AM1" s="47">
        <v>2049</v>
      </c>
      <c r="AN1" s="53">
        <v>2050</v>
      </c>
      <c r="AO1" s="47">
        <v>2051</v>
      </c>
      <c r="AP1" s="47">
        <v>2052</v>
      </c>
      <c r="AQ1" s="53">
        <v>2053</v>
      </c>
      <c r="AR1" s="47">
        <v>2054</v>
      </c>
      <c r="AS1" s="47">
        <v>2055</v>
      </c>
    </row>
    <row r="2" spans="1:45" x14ac:dyDescent="0.25">
      <c r="A2" s="57" t="s">
        <v>6</v>
      </c>
      <c r="B2" s="55" t="s">
        <v>53</v>
      </c>
      <c r="C2" s="55" t="s">
        <v>54</v>
      </c>
      <c r="D2" s="55" t="s">
        <v>52</v>
      </c>
      <c r="E2" s="55" t="s">
        <v>7</v>
      </c>
      <c r="F2" s="55" t="s">
        <v>50</v>
      </c>
      <c r="G2" s="55" t="s">
        <v>51</v>
      </c>
      <c r="H2" s="55"/>
      <c r="I2" s="55" t="s">
        <v>52</v>
      </c>
      <c r="J2" s="55" t="s">
        <v>52</v>
      </c>
      <c r="K2" s="55" t="e">
        <f t="shared" ref="K2:K8" si="0">1/$K$25</f>
        <v>#DIV/0!</v>
      </c>
      <c r="L2" s="55" t="e">
        <f t="shared" ref="L2:L8" si="1">1/$L$25</f>
        <v>#DIV/0!</v>
      </c>
      <c r="M2" s="55" t="e">
        <f t="shared" ref="M2:M8" si="2">1/$M$25</f>
        <v>#DIV/0!</v>
      </c>
      <c r="N2" s="55" t="e">
        <f t="shared" ref="N2:N8" si="3">1/$N$25</f>
        <v>#DIV/0!</v>
      </c>
      <c r="O2" s="55" t="e">
        <f t="shared" ref="O2:O8" si="4">1/$O$25</f>
        <v>#DIV/0!</v>
      </c>
      <c r="P2" s="55" t="e">
        <f t="shared" ref="P2:P8" si="5">1/$P$25</f>
        <v>#DIV/0!</v>
      </c>
      <c r="Q2" s="55" t="e">
        <f t="shared" ref="Q2:Q8" si="6">1/$Q$25</f>
        <v>#DIV/0!</v>
      </c>
      <c r="R2" s="55" t="e">
        <f t="shared" ref="R2:R8" si="7">1/$R$25</f>
        <v>#DIV/0!</v>
      </c>
      <c r="S2" s="55" t="e">
        <f t="shared" ref="S2:S8" si="8">1/$S$25</f>
        <v>#DIV/0!</v>
      </c>
      <c r="T2" s="55" t="e">
        <f t="shared" ref="T2:T8" si="9">1/$T$25</f>
        <v>#DIV/0!</v>
      </c>
      <c r="U2" s="55" t="e">
        <f t="shared" ref="U2:U8" si="10">1/$U$25</f>
        <v>#DIV/0!</v>
      </c>
      <c r="V2" s="55" t="e">
        <f t="shared" ref="V2:V8" si="11">1/$V$25</f>
        <v>#DIV/0!</v>
      </c>
      <c r="W2" s="55" t="e">
        <f t="shared" ref="W2:W8" si="12">1/$W$25</f>
        <v>#DIV/0!</v>
      </c>
      <c r="X2" s="55" t="e">
        <f t="shared" ref="X2:X8" si="13">1/$X$25</f>
        <v>#DIV/0!</v>
      </c>
      <c r="Y2" s="55" t="e">
        <f t="shared" ref="Y2:Y8" si="14">1/$Y$25</f>
        <v>#DIV/0!</v>
      </c>
      <c r="Z2" s="55" t="e">
        <f t="shared" ref="Z2:Z8" si="15">1/$Z$25</f>
        <v>#DIV/0!</v>
      </c>
      <c r="AA2" s="55" t="e">
        <f t="shared" ref="AA2:AA8" si="16">1/$AA$25</f>
        <v>#DIV/0!</v>
      </c>
      <c r="AB2" s="55" t="e">
        <f t="shared" ref="AB2:AB8" si="17">1/$AB$25</f>
        <v>#DIV/0!</v>
      </c>
      <c r="AC2" s="55" t="e">
        <f t="shared" ref="AC2:AC8" si="18">1/$AC$25</f>
        <v>#DIV/0!</v>
      </c>
      <c r="AD2" s="55" t="e">
        <f t="shared" ref="AD2:AD8" si="19">1/$AD$25</f>
        <v>#DIV/0!</v>
      </c>
      <c r="AE2" s="55" t="e">
        <f t="shared" ref="AE2:AE8" si="20">1/$AE$25</f>
        <v>#DIV/0!</v>
      </c>
      <c r="AF2" s="55" t="e">
        <f t="shared" ref="AF2:AF8" si="21">1/$AF$25</f>
        <v>#DIV/0!</v>
      </c>
      <c r="AG2" s="55" t="e">
        <f t="shared" ref="AG2:AG8" si="22">1/$AG$25</f>
        <v>#DIV/0!</v>
      </c>
      <c r="AH2" s="55" t="e">
        <f t="shared" ref="AH2:AH8" si="23">1/$AH$25</f>
        <v>#DIV/0!</v>
      </c>
      <c r="AI2" s="55" t="e">
        <f t="shared" ref="AI2:AI8" si="24">1/$AI$25</f>
        <v>#DIV/0!</v>
      </c>
      <c r="AJ2" s="55" t="e">
        <f t="shared" ref="AJ2:AJ8" si="25">1/$AJ$25</f>
        <v>#DIV/0!</v>
      </c>
      <c r="AK2" s="55" t="e">
        <f t="shared" ref="AK2:AK8" si="26">1/$AK$25</f>
        <v>#DIV/0!</v>
      </c>
      <c r="AL2" s="55" t="e">
        <f t="shared" ref="AL2:AL8" si="27">1/$AL$25</f>
        <v>#DIV/0!</v>
      </c>
      <c r="AM2" s="55" t="e">
        <f t="shared" ref="AM2:AM8" si="28">1/$AM$25</f>
        <v>#DIV/0!</v>
      </c>
      <c r="AN2" s="55" t="e">
        <f t="shared" ref="AN2:AN8" si="29">1/$AN$25</f>
        <v>#DIV/0!</v>
      </c>
      <c r="AO2" s="55">
        <v>0.92800000000000005</v>
      </c>
      <c r="AP2" s="55">
        <v>0.92400000000000004</v>
      </c>
      <c r="AQ2" s="56">
        <v>0.92</v>
      </c>
      <c r="AR2" s="56">
        <v>0.92</v>
      </c>
      <c r="AS2" s="56">
        <v>0.92</v>
      </c>
    </row>
    <row r="3" spans="1:45" x14ac:dyDescent="0.25">
      <c r="A3" s="58" t="s">
        <v>6</v>
      </c>
      <c r="B3" s="59" t="s">
        <v>53</v>
      </c>
      <c r="C3" s="59" t="s">
        <v>55</v>
      </c>
      <c r="D3" s="59"/>
      <c r="E3" s="59" t="s">
        <v>7</v>
      </c>
      <c r="F3" s="59" t="s">
        <v>50</v>
      </c>
      <c r="G3" s="59" t="s">
        <v>51</v>
      </c>
      <c r="H3" s="59"/>
      <c r="I3" s="59"/>
      <c r="J3" s="59"/>
      <c r="K3" s="59" t="e">
        <f t="shared" si="0"/>
        <v>#DIV/0!</v>
      </c>
      <c r="L3" s="59" t="e">
        <f t="shared" si="1"/>
        <v>#DIV/0!</v>
      </c>
      <c r="M3" s="59" t="e">
        <f t="shared" si="2"/>
        <v>#DIV/0!</v>
      </c>
      <c r="N3" s="59" t="e">
        <f t="shared" si="3"/>
        <v>#DIV/0!</v>
      </c>
      <c r="O3" s="59" t="e">
        <f t="shared" si="4"/>
        <v>#DIV/0!</v>
      </c>
      <c r="P3" s="59" t="e">
        <f t="shared" si="5"/>
        <v>#DIV/0!</v>
      </c>
      <c r="Q3" s="59" t="e">
        <f t="shared" si="6"/>
        <v>#DIV/0!</v>
      </c>
      <c r="R3" s="59" t="e">
        <f t="shared" si="7"/>
        <v>#DIV/0!</v>
      </c>
      <c r="S3" s="59" t="e">
        <f t="shared" si="8"/>
        <v>#DIV/0!</v>
      </c>
      <c r="T3" s="59" t="e">
        <f t="shared" si="9"/>
        <v>#DIV/0!</v>
      </c>
      <c r="U3" s="59" t="e">
        <f t="shared" si="10"/>
        <v>#DIV/0!</v>
      </c>
      <c r="V3" s="59" t="e">
        <f t="shared" si="11"/>
        <v>#DIV/0!</v>
      </c>
      <c r="W3" s="59" t="e">
        <f t="shared" si="12"/>
        <v>#DIV/0!</v>
      </c>
      <c r="X3" s="59" t="e">
        <f t="shared" si="13"/>
        <v>#DIV/0!</v>
      </c>
      <c r="Y3" s="59" t="e">
        <f t="shared" si="14"/>
        <v>#DIV/0!</v>
      </c>
      <c r="Z3" s="59" t="e">
        <f t="shared" si="15"/>
        <v>#DIV/0!</v>
      </c>
      <c r="AA3" s="59" t="e">
        <f t="shared" si="16"/>
        <v>#DIV/0!</v>
      </c>
      <c r="AB3" s="59" t="e">
        <f t="shared" si="17"/>
        <v>#DIV/0!</v>
      </c>
      <c r="AC3" s="59" t="e">
        <f t="shared" si="18"/>
        <v>#DIV/0!</v>
      </c>
      <c r="AD3" s="59" t="e">
        <f t="shared" si="19"/>
        <v>#DIV/0!</v>
      </c>
      <c r="AE3" s="59" t="e">
        <f t="shared" si="20"/>
        <v>#DIV/0!</v>
      </c>
      <c r="AF3" s="59" t="e">
        <f t="shared" si="21"/>
        <v>#DIV/0!</v>
      </c>
      <c r="AG3" s="59" t="e">
        <f t="shared" si="22"/>
        <v>#DIV/0!</v>
      </c>
      <c r="AH3" s="59" t="e">
        <f t="shared" si="23"/>
        <v>#DIV/0!</v>
      </c>
      <c r="AI3" s="59" t="e">
        <f t="shared" si="24"/>
        <v>#DIV/0!</v>
      </c>
      <c r="AJ3" s="59" t="e">
        <f t="shared" si="25"/>
        <v>#DIV/0!</v>
      </c>
      <c r="AK3" s="59" t="e">
        <f t="shared" si="26"/>
        <v>#DIV/0!</v>
      </c>
      <c r="AL3" s="59" t="e">
        <f t="shared" si="27"/>
        <v>#DIV/0!</v>
      </c>
      <c r="AM3" s="59" t="e">
        <f t="shared" si="28"/>
        <v>#DIV/0!</v>
      </c>
      <c r="AN3" s="59" t="e">
        <f t="shared" si="29"/>
        <v>#DIV/0!</v>
      </c>
      <c r="AO3" s="59">
        <v>0.92800000000000005</v>
      </c>
      <c r="AP3" s="59">
        <v>0.92400000000000004</v>
      </c>
      <c r="AQ3" s="60">
        <v>0.92</v>
      </c>
      <c r="AR3" s="60">
        <v>0.92</v>
      </c>
      <c r="AS3" s="60">
        <v>0.92</v>
      </c>
    </row>
    <row r="4" spans="1:45" x14ac:dyDescent="0.25">
      <c r="A4" s="58" t="s">
        <v>6</v>
      </c>
      <c r="B4" s="59" t="s">
        <v>53</v>
      </c>
      <c r="C4" s="59" t="s">
        <v>56</v>
      </c>
      <c r="D4" s="59"/>
      <c r="E4" s="59" t="s">
        <v>7</v>
      </c>
      <c r="F4" s="59" t="s">
        <v>50</v>
      </c>
      <c r="G4" s="59" t="s">
        <v>51</v>
      </c>
      <c r="H4" s="59"/>
      <c r="I4" s="59"/>
      <c r="J4" s="59"/>
      <c r="K4" s="59" t="e">
        <f t="shared" si="0"/>
        <v>#DIV/0!</v>
      </c>
      <c r="L4" s="59" t="e">
        <f t="shared" si="1"/>
        <v>#DIV/0!</v>
      </c>
      <c r="M4" s="59" t="e">
        <f t="shared" si="2"/>
        <v>#DIV/0!</v>
      </c>
      <c r="N4" s="59" t="e">
        <f t="shared" si="3"/>
        <v>#DIV/0!</v>
      </c>
      <c r="O4" s="59" t="e">
        <f t="shared" si="4"/>
        <v>#DIV/0!</v>
      </c>
      <c r="P4" s="59" t="e">
        <f t="shared" si="5"/>
        <v>#DIV/0!</v>
      </c>
      <c r="Q4" s="59" t="e">
        <f t="shared" si="6"/>
        <v>#DIV/0!</v>
      </c>
      <c r="R4" s="59" t="e">
        <f t="shared" si="7"/>
        <v>#DIV/0!</v>
      </c>
      <c r="S4" s="59" t="e">
        <f t="shared" si="8"/>
        <v>#DIV/0!</v>
      </c>
      <c r="T4" s="59" t="e">
        <f t="shared" si="9"/>
        <v>#DIV/0!</v>
      </c>
      <c r="U4" s="59" t="e">
        <f t="shared" si="10"/>
        <v>#DIV/0!</v>
      </c>
      <c r="V4" s="59" t="e">
        <f t="shared" si="11"/>
        <v>#DIV/0!</v>
      </c>
      <c r="W4" s="59" t="e">
        <f t="shared" si="12"/>
        <v>#DIV/0!</v>
      </c>
      <c r="X4" s="59" t="e">
        <f t="shared" si="13"/>
        <v>#DIV/0!</v>
      </c>
      <c r="Y4" s="59" t="e">
        <f t="shared" si="14"/>
        <v>#DIV/0!</v>
      </c>
      <c r="Z4" s="59" t="e">
        <f t="shared" si="15"/>
        <v>#DIV/0!</v>
      </c>
      <c r="AA4" s="59" t="e">
        <f t="shared" si="16"/>
        <v>#DIV/0!</v>
      </c>
      <c r="AB4" s="59" t="e">
        <f t="shared" si="17"/>
        <v>#DIV/0!</v>
      </c>
      <c r="AC4" s="59" t="e">
        <f t="shared" si="18"/>
        <v>#DIV/0!</v>
      </c>
      <c r="AD4" s="59" t="e">
        <f t="shared" si="19"/>
        <v>#DIV/0!</v>
      </c>
      <c r="AE4" s="59" t="e">
        <f t="shared" si="20"/>
        <v>#DIV/0!</v>
      </c>
      <c r="AF4" s="59" t="e">
        <f t="shared" si="21"/>
        <v>#DIV/0!</v>
      </c>
      <c r="AG4" s="59" t="e">
        <f t="shared" si="22"/>
        <v>#DIV/0!</v>
      </c>
      <c r="AH4" s="59" t="e">
        <f t="shared" si="23"/>
        <v>#DIV/0!</v>
      </c>
      <c r="AI4" s="59" t="e">
        <f t="shared" si="24"/>
        <v>#DIV/0!</v>
      </c>
      <c r="AJ4" s="59" t="e">
        <f t="shared" si="25"/>
        <v>#DIV/0!</v>
      </c>
      <c r="AK4" s="59" t="e">
        <f t="shared" si="26"/>
        <v>#DIV/0!</v>
      </c>
      <c r="AL4" s="59" t="e">
        <f t="shared" si="27"/>
        <v>#DIV/0!</v>
      </c>
      <c r="AM4" s="59" t="e">
        <f t="shared" si="28"/>
        <v>#DIV/0!</v>
      </c>
      <c r="AN4" s="59" t="e">
        <f t="shared" si="29"/>
        <v>#DIV/0!</v>
      </c>
      <c r="AO4" s="59">
        <v>0.92800000000000005</v>
      </c>
      <c r="AP4" s="59">
        <v>0.92400000000000004</v>
      </c>
      <c r="AQ4" s="60">
        <v>0.92</v>
      </c>
      <c r="AR4" s="60">
        <v>0.92</v>
      </c>
      <c r="AS4" s="60">
        <v>0.92</v>
      </c>
    </row>
    <row r="5" spans="1:45" x14ac:dyDescent="0.25">
      <c r="A5" s="58" t="s">
        <v>6</v>
      </c>
      <c r="B5" s="59" t="s">
        <v>53</v>
      </c>
      <c r="C5" s="59" t="s">
        <v>57</v>
      </c>
      <c r="D5" s="59"/>
      <c r="E5" s="59" t="s">
        <v>7</v>
      </c>
      <c r="F5" s="59" t="s">
        <v>50</v>
      </c>
      <c r="G5" s="59" t="s">
        <v>51</v>
      </c>
      <c r="H5" s="59"/>
      <c r="I5" s="59"/>
      <c r="J5" s="59"/>
      <c r="K5" s="59" t="e">
        <f t="shared" si="0"/>
        <v>#DIV/0!</v>
      </c>
      <c r="L5" s="59" t="e">
        <f t="shared" si="1"/>
        <v>#DIV/0!</v>
      </c>
      <c r="M5" s="59" t="e">
        <f t="shared" si="2"/>
        <v>#DIV/0!</v>
      </c>
      <c r="N5" s="59" t="e">
        <f t="shared" si="3"/>
        <v>#DIV/0!</v>
      </c>
      <c r="O5" s="59" t="e">
        <f t="shared" si="4"/>
        <v>#DIV/0!</v>
      </c>
      <c r="P5" s="59" t="e">
        <f t="shared" si="5"/>
        <v>#DIV/0!</v>
      </c>
      <c r="Q5" s="59" t="e">
        <f t="shared" si="6"/>
        <v>#DIV/0!</v>
      </c>
      <c r="R5" s="59" t="e">
        <f t="shared" si="7"/>
        <v>#DIV/0!</v>
      </c>
      <c r="S5" s="59" t="e">
        <f t="shared" si="8"/>
        <v>#DIV/0!</v>
      </c>
      <c r="T5" s="59" t="e">
        <f t="shared" si="9"/>
        <v>#DIV/0!</v>
      </c>
      <c r="U5" s="59" t="e">
        <f t="shared" si="10"/>
        <v>#DIV/0!</v>
      </c>
      <c r="V5" s="59" t="e">
        <f t="shared" si="11"/>
        <v>#DIV/0!</v>
      </c>
      <c r="W5" s="59" t="e">
        <f t="shared" si="12"/>
        <v>#DIV/0!</v>
      </c>
      <c r="X5" s="59" t="e">
        <f t="shared" si="13"/>
        <v>#DIV/0!</v>
      </c>
      <c r="Y5" s="59" t="e">
        <f t="shared" si="14"/>
        <v>#DIV/0!</v>
      </c>
      <c r="Z5" s="59" t="e">
        <f t="shared" si="15"/>
        <v>#DIV/0!</v>
      </c>
      <c r="AA5" s="59" t="e">
        <f t="shared" si="16"/>
        <v>#DIV/0!</v>
      </c>
      <c r="AB5" s="59" t="e">
        <f t="shared" si="17"/>
        <v>#DIV/0!</v>
      </c>
      <c r="AC5" s="59" t="e">
        <f t="shared" si="18"/>
        <v>#DIV/0!</v>
      </c>
      <c r="AD5" s="59" t="e">
        <f t="shared" si="19"/>
        <v>#DIV/0!</v>
      </c>
      <c r="AE5" s="59" t="e">
        <f t="shared" si="20"/>
        <v>#DIV/0!</v>
      </c>
      <c r="AF5" s="59" t="e">
        <f t="shared" si="21"/>
        <v>#DIV/0!</v>
      </c>
      <c r="AG5" s="59" t="e">
        <f t="shared" si="22"/>
        <v>#DIV/0!</v>
      </c>
      <c r="AH5" s="59" t="e">
        <f t="shared" si="23"/>
        <v>#DIV/0!</v>
      </c>
      <c r="AI5" s="59" t="e">
        <f t="shared" si="24"/>
        <v>#DIV/0!</v>
      </c>
      <c r="AJ5" s="59" t="e">
        <f t="shared" si="25"/>
        <v>#DIV/0!</v>
      </c>
      <c r="AK5" s="59" t="e">
        <f t="shared" si="26"/>
        <v>#DIV/0!</v>
      </c>
      <c r="AL5" s="59" t="e">
        <f t="shared" si="27"/>
        <v>#DIV/0!</v>
      </c>
      <c r="AM5" s="59" t="e">
        <f t="shared" si="28"/>
        <v>#DIV/0!</v>
      </c>
      <c r="AN5" s="59" t="e">
        <f t="shared" si="29"/>
        <v>#DIV/0!</v>
      </c>
      <c r="AO5" s="59">
        <v>0.92800000000000005</v>
      </c>
      <c r="AP5" s="59">
        <v>0.92400000000000004</v>
      </c>
      <c r="AQ5" s="60">
        <v>0.92</v>
      </c>
      <c r="AR5" s="60">
        <v>0.92</v>
      </c>
      <c r="AS5" s="60">
        <v>0.92</v>
      </c>
    </row>
    <row r="6" spans="1:45" x14ac:dyDescent="0.25">
      <c r="A6" s="58" t="s">
        <v>6</v>
      </c>
      <c r="B6" s="59" t="s">
        <v>53</v>
      </c>
      <c r="C6" s="59" t="s">
        <v>58</v>
      </c>
      <c r="D6" s="59"/>
      <c r="E6" s="59" t="s">
        <v>7</v>
      </c>
      <c r="F6" s="59" t="s">
        <v>50</v>
      </c>
      <c r="G6" s="59" t="s">
        <v>51</v>
      </c>
      <c r="H6" s="59"/>
      <c r="I6" s="59"/>
      <c r="J6" s="59"/>
      <c r="K6" s="59" t="e">
        <f t="shared" si="0"/>
        <v>#DIV/0!</v>
      </c>
      <c r="L6" s="59" t="e">
        <f t="shared" si="1"/>
        <v>#DIV/0!</v>
      </c>
      <c r="M6" s="59" t="e">
        <f t="shared" si="2"/>
        <v>#DIV/0!</v>
      </c>
      <c r="N6" s="59" t="e">
        <f t="shared" si="3"/>
        <v>#DIV/0!</v>
      </c>
      <c r="O6" s="59" t="e">
        <f t="shared" si="4"/>
        <v>#DIV/0!</v>
      </c>
      <c r="P6" s="59" t="e">
        <f t="shared" si="5"/>
        <v>#DIV/0!</v>
      </c>
      <c r="Q6" s="59" t="e">
        <f t="shared" si="6"/>
        <v>#DIV/0!</v>
      </c>
      <c r="R6" s="59" t="e">
        <f t="shared" si="7"/>
        <v>#DIV/0!</v>
      </c>
      <c r="S6" s="59" t="e">
        <f t="shared" si="8"/>
        <v>#DIV/0!</v>
      </c>
      <c r="T6" s="59" t="e">
        <f t="shared" si="9"/>
        <v>#DIV/0!</v>
      </c>
      <c r="U6" s="59" t="e">
        <f t="shared" si="10"/>
        <v>#DIV/0!</v>
      </c>
      <c r="V6" s="59" t="e">
        <f t="shared" si="11"/>
        <v>#DIV/0!</v>
      </c>
      <c r="W6" s="59" t="e">
        <f t="shared" si="12"/>
        <v>#DIV/0!</v>
      </c>
      <c r="X6" s="59" t="e">
        <f t="shared" si="13"/>
        <v>#DIV/0!</v>
      </c>
      <c r="Y6" s="59" t="e">
        <f t="shared" si="14"/>
        <v>#DIV/0!</v>
      </c>
      <c r="Z6" s="59" t="e">
        <f t="shared" si="15"/>
        <v>#DIV/0!</v>
      </c>
      <c r="AA6" s="59" t="e">
        <f t="shared" si="16"/>
        <v>#DIV/0!</v>
      </c>
      <c r="AB6" s="59" t="e">
        <f t="shared" si="17"/>
        <v>#DIV/0!</v>
      </c>
      <c r="AC6" s="59" t="e">
        <f t="shared" si="18"/>
        <v>#DIV/0!</v>
      </c>
      <c r="AD6" s="59" t="e">
        <f t="shared" si="19"/>
        <v>#DIV/0!</v>
      </c>
      <c r="AE6" s="59" t="e">
        <f t="shared" si="20"/>
        <v>#DIV/0!</v>
      </c>
      <c r="AF6" s="59" t="e">
        <f t="shared" si="21"/>
        <v>#DIV/0!</v>
      </c>
      <c r="AG6" s="59" t="e">
        <f t="shared" si="22"/>
        <v>#DIV/0!</v>
      </c>
      <c r="AH6" s="59" t="e">
        <f t="shared" si="23"/>
        <v>#DIV/0!</v>
      </c>
      <c r="AI6" s="59" t="e">
        <f t="shared" si="24"/>
        <v>#DIV/0!</v>
      </c>
      <c r="AJ6" s="59" t="e">
        <f t="shared" si="25"/>
        <v>#DIV/0!</v>
      </c>
      <c r="AK6" s="59" t="e">
        <f t="shared" si="26"/>
        <v>#DIV/0!</v>
      </c>
      <c r="AL6" s="59" t="e">
        <f t="shared" si="27"/>
        <v>#DIV/0!</v>
      </c>
      <c r="AM6" s="59" t="e">
        <f t="shared" si="28"/>
        <v>#DIV/0!</v>
      </c>
      <c r="AN6" s="59" t="e">
        <f t="shared" si="29"/>
        <v>#DIV/0!</v>
      </c>
      <c r="AO6" s="59">
        <v>0.92800000000000005</v>
      </c>
      <c r="AP6" s="59">
        <v>0.92400000000000004</v>
      </c>
      <c r="AQ6" s="60">
        <v>0.92</v>
      </c>
      <c r="AR6" s="60">
        <v>0.92</v>
      </c>
      <c r="AS6" s="60">
        <v>0.92</v>
      </c>
    </row>
    <row r="7" spans="1:45" x14ac:dyDescent="0.25">
      <c r="A7" s="58" t="s">
        <v>6</v>
      </c>
      <c r="B7" s="59" t="s">
        <v>53</v>
      </c>
      <c r="C7" s="59" t="s">
        <v>59</v>
      </c>
      <c r="D7" s="59"/>
      <c r="E7" s="59" t="s">
        <v>7</v>
      </c>
      <c r="F7" s="59" t="s">
        <v>50</v>
      </c>
      <c r="G7" s="59" t="s">
        <v>51</v>
      </c>
      <c r="H7" s="59"/>
      <c r="I7" s="59"/>
      <c r="J7" s="59"/>
      <c r="K7" s="59" t="e">
        <f t="shared" si="0"/>
        <v>#DIV/0!</v>
      </c>
      <c r="L7" s="59" t="e">
        <f t="shared" si="1"/>
        <v>#DIV/0!</v>
      </c>
      <c r="M7" s="59" t="e">
        <f t="shared" si="2"/>
        <v>#DIV/0!</v>
      </c>
      <c r="N7" s="59" t="e">
        <f t="shared" si="3"/>
        <v>#DIV/0!</v>
      </c>
      <c r="O7" s="59" t="e">
        <f t="shared" si="4"/>
        <v>#DIV/0!</v>
      </c>
      <c r="P7" s="59" t="e">
        <f t="shared" si="5"/>
        <v>#DIV/0!</v>
      </c>
      <c r="Q7" s="59" t="e">
        <f t="shared" si="6"/>
        <v>#DIV/0!</v>
      </c>
      <c r="R7" s="59" t="e">
        <f t="shared" si="7"/>
        <v>#DIV/0!</v>
      </c>
      <c r="S7" s="59" t="e">
        <f t="shared" si="8"/>
        <v>#DIV/0!</v>
      </c>
      <c r="T7" s="59" t="e">
        <f t="shared" si="9"/>
        <v>#DIV/0!</v>
      </c>
      <c r="U7" s="59" t="e">
        <f t="shared" si="10"/>
        <v>#DIV/0!</v>
      </c>
      <c r="V7" s="59" t="e">
        <f t="shared" si="11"/>
        <v>#DIV/0!</v>
      </c>
      <c r="W7" s="59" t="e">
        <f t="shared" si="12"/>
        <v>#DIV/0!</v>
      </c>
      <c r="X7" s="59" t="e">
        <f t="shared" si="13"/>
        <v>#DIV/0!</v>
      </c>
      <c r="Y7" s="59" t="e">
        <f t="shared" si="14"/>
        <v>#DIV/0!</v>
      </c>
      <c r="Z7" s="59" t="e">
        <f t="shared" si="15"/>
        <v>#DIV/0!</v>
      </c>
      <c r="AA7" s="59" t="e">
        <f t="shared" si="16"/>
        <v>#DIV/0!</v>
      </c>
      <c r="AB7" s="59" t="e">
        <f t="shared" si="17"/>
        <v>#DIV/0!</v>
      </c>
      <c r="AC7" s="59" t="e">
        <f t="shared" si="18"/>
        <v>#DIV/0!</v>
      </c>
      <c r="AD7" s="59" t="e">
        <f t="shared" si="19"/>
        <v>#DIV/0!</v>
      </c>
      <c r="AE7" s="59" t="e">
        <f t="shared" si="20"/>
        <v>#DIV/0!</v>
      </c>
      <c r="AF7" s="59" t="e">
        <f t="shared" si="21"/>
        <v>#DIV/0!</v>
      </c>
      <c r="AG7" s="59" t="e">
        <f t="shared" si="22"/>
        <v>#DIV/0!</v>
      </c>
      <c r="AH7" s="59" t="e">
        <f t="shared" si="23"/>
        <v>#DIV/0!</v>
      </c>
      <c r="AI7" s="59" t="e">
        <f t="shared" si="24"/>
        <v>#DIV/0!</v>
      </c>
      <c r="AJ7" s="59" t="e">
        <f t="shared" si="25"/>
        <v>#DIV/0!</v>
      </c>
      <c r="AK7" s="59" t="e">
        <f t="shared" si="26"/>
        <v>#DIV/0!</v>
      </c>
      <c r="AL7" s="59" t="e">
        <f t="shared" si="27"/>
        <v>#DIV/0!</v>
      </c>
      <c r="AM7" s="59" t="e">
        <f t="shared" si="28"/>
        <v>#DIV/0!</v>
      </c>
      <c r="AN7" s="59" t="e">
        <f t="shared" si="29"/>
        <v>#DIV/0!</v>
      </c>
      <c r="AO7" s="59">
        <v>0.92800000000000005</v>
      </c>
      <c r="AP7" s="59">
        <v>0.92400000000000004</v>
      </c>
      <c r="AQ7" s="60">
        <v>0.92</v>
      </c>
      <c r="AR7" s="60">
        <v>0.92</v>
      </c>
      <c r="AS7" s="60">
        <v>0.92</v>
      </c>
    </row>
    <row r="8" spans="1:45" ht="15.75" thickBot="1" x14ac:dyDescent="0.3">
      <c r="A8" s="61" t="s">
        <v>6</v>
      </c>
      <c r="B8" s="40" t="s">
        <v>53</v>
      </c>
      <c r="C8" s="40" t="s">
        <v>60</v>
      </c>
      <c r="D8" s="40" t="s">
        <v>52</v>
      </c>
      <c r="E8" s="40" t="s">
        <v>7</v>
      </c>
      <c r="F8" s="40" t="s">
        <v>50</v>
      </c>
      <c r="G8" s="40" t="s">
        <v>51</v>
      </c>
      <c r="H8" s="40"/>
      <c r="I8" s="40" t="s">
        <v>52</v>
      </c>
      <c r="J8" s="40" t="s">
        <v>52</v>
      </c>
      <c r="K8" s="40" t="e">
        <f t="shared" si="0"/>
        <v>#DIV/0!</v>
      </c>
      <c r="L8" s="40" t="e">
        <f t="shared" si="1"/>
        <v>#DIV/0!</v>
      </c>
      <c r="M8" s="40" t="e">
        <f t="shared" si="2"/>
        <v>#DIV/0!</v>
      </c>
      <c r="N8" s="40" t="e">
        <f t="shared" si="3"/>
        <v>#DIV/0!</v>
      </c>
      <c r="O8" s="40" t="e">
        <f t="shared" si="4"/>
        <v>#DIV/0!</v>
      </c>
      <c r="P8" s="40" t="e">
        <f t="shared" si="5"/>
        <v>#DIV/0!</v>
      </c>
      <c r="Q8" s="40" t="e">
        <f t="shared" si="6"/>
        <v>#DIV/0!</v>
      </c>
      <c r="R8" s="40" t="e">
        <f t="shared" si="7"/>
        <v>#DIV/0!</v>
      </c>
      <c r="S8" s="40" t="e">
        <f t="shared" si="8"/>
        <v>#DIV/0!</v>
      </c>
      <c r="T8" s="40" t="e">
        <f t="shared" si="9"/>
        <v>#DIV/0!</v>
      </c>
      <c r="U8" s="40" t="e">
        <f t="shared" si="10"/>
        <v>#DIV/0!</v>
      </c>
      <c r="V8" s="40" t="e">
        <f t="shared" si="11"/>
        <v>#DIV/0!</v>
      </c>
      <c r="W8" s="40" t="e">
        <f t="shared" si="12"/>
        <v>#DIV/0!</v>
      </c>
      <c r="X8" s="40" t="e">
        <f t="shared" si="13"/>
        <v>#DIV/0!</v>
      </c>
      <c r="Y8" s="40" t="e">
        <f t="shared" si="14"/>
        <v>#DIV/0!</v>
      </c>
      <c r="Z8" s="40" t="e">
        <f t="shared" si="15"/>
        <v>#DIV/0!</v>
      </c>
      <c r="AA8" s="40" t="e">
        <f t="shared" si="16"/>
        <v>#DIV/0!</v>
      </c>
      <c r="AB8" s="40" t="e">
        <f t="shared" si="17"/>
        <v>#DIV/0!</v>
      </c>
      <c r="AC8" s="40" t="e">
        <f t="shared" si="18"/>
        <v>#DIV/0!</v>
      </c>
      <c r="AD8" s="40" t="e">
        <f t="shared" si="19"/>
        <v>#DIV/0!</v>
      </c>
      <c r="AE8" s="40" t="e">
        <f t="shared" si="20"/>
        <v>#DIV/0!</v>
      </c>
      <c r="AF8" s="40" t="e">
        <f t="shared" si="21"/>
        <v>#DIV/0!</v>
      </c>
      <c r="AG8" s="40" t="e">
        <f t="shared" si="22"/>
        <v>#DIV/0!</v>
      </c>
      <c r="AH8" s="40" t="e">
        <f t="shared" si="23"/>
        <v>#DIV/0!</v>
      </c>
      <c r="AI8" s="40" t="e">
        <f t="shared" si="24"/>
        <v>#DIV/0!</v>
      </c>
      <c r="AJ8" s="40" t="e">
        <f t="shared" si="25"/>
        <v>#DIV/0!</v>
      </c>
      <c r="AK8" s="40" t="e">
        <f t="shared" si="26"/>
        <v>#DIV/0!</v>
      </c>
      <c r="AL8" s="40" t="e">
        <f t="shared" si="27"/>
        <v>#DIV/0!</v>
      </c>
      <c r="AM8" s="40" t="e">
        <f t="shared" si="28"/>
        <v>#DIV/0!</v>
      </c>
      <c r="AN8" s="40" t="e">
        <f t="shared" si="29"/>
        <v>#DIV/0!</v>
      </c>
      <c r="AO8" s="40">
        <v>0.92800000000000005</v>
      </c>
      <c r="AP8" s="40">
        <v>0.92400000000000004</v>
      </c>
      <c r="AQ8" s="54">
        <v>0.92</v>
      </c>
      <c r="AR8" s="54">
        <v>0.92</v>
      </c>
      <c r="AS8" s="54">
        <v>0.92</v>
      </c>
    </row>
  </sheetData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4E7-7771-4AA2-98CF-22F8526ED390}">
  <sheetPr>
    <tabColor rgb="FF92D050"/>
  </sheetPr>
  <dimension ref="A1:AU15"/>
  <sheetViews>
    <sheetView tabSelected="1" topLeftCell="V1" zoomScale="78" zoomScaleNormal="85" workbookViewId="0">
      <pane ySplit="1" topLeftCell="A2" activePane="bottomLeft" state="frozen"/>
      <selection pane="bottomLeft" activeCell="A2" sqref="A2:AU15"/>
    </sheetView>
  </sheetViews>
  <sheetFormatPr defaultColWidth="8.7109375" defaultRowHeight="15" x14ac:dyDescent="0.25"/>
  <cols>
    <col min="1" max="1" width="8.28515625" bestFit="1" customWidth="1"/>
    <col min="2" max="2" width="16.5703125" bestFit="1" customWidth="1"/>
    <col min="3" max="3" width="10.140625" bestFit="1" customWidth="1"/>
    <col min="4" max="4" width="10.85546875" bestFit="1" customWidth="1"/>
    <col min="5" max="5" width="26.140625" bestFit="1" customWidth="1"/>
    <col min="6" max="6" width="10.42578125" bestFit="1" customWidth="1"/>
    <col min="7" max="7" width="9.7109375" bestFit="1" customWidth="1"/>
    <col min="8" max="8" width="7.85546875" bestFit="1" customWidth="1"/>
    <col min="9" max="9" width="5.140625" bestFit="1" customWidth="1"/>
    <col min="10" max="12" width="7.28515625" bestFit="1" customWidth="1"/>
    <col min="13" max="47" width="12.85546875" bestFit="1" customWidth="1"/>
  </cols>
  <sheetData>
    <row r="1" spans="1:47" ht="45.75" thickBot="1" x14ac:dyDescent="0.3">
      <c r="A1" s="9" t="s">
        <v>14</v>
      </c>
      <c r="B1" s="10" t="s">
        <v>11</v>
      </c>
      <c r="C1" s="10" t="s">
        <v>48</v>
      </c>
      <c r="D1" s="10" t="s">
        <v>49</v>
      </c>
      <c r="E1" s="10" t="s">
        <v>19</v>
      </c>
      <c r="F1" s="18" t="s">
        <v>38</v>
      </c>
      <c r="G1" s="10" t="s">
        <v>3</v>
      </c>
      <c r="H1" s="10" t="s">
        <v>45</v>
      </c>
      <c r="I1" s="10" t="s">
        <v>30</v>
      </c>
      <c r="J1" s="10" t="s">
        <v>31</v>
      </c>
      <c r="K1" s="10" t="s">
        <v>32</v>
      </c>
      <c r="L1" s="10" t="s">
        <v>33</v>
      </c>
      <c r="M1" s="10">
        <v>2021</v>
      </c>
      <c r="N1" s="10">
        <v>2022</v>
      </c>
      <c r="O1" s="10">
        <v>2023</v>
      </c>
      <c r="P1" s="10">
        <v>2024</v>
      </c>
      <c r="Q1" s="10">
        <v>2025</v>
      </c>
      <c r="R1" s="10">
        <v>2026</v>
      </c>
      <c r="S1" s="10">
        <v>2027</v>
      </c>
      <c r="T1" s="10">
        <v>2028</v>
      </c>
      <c r="U1" s="10">
        <v>2029</v>
      </c>
      <c r="V1" s="155">
        <v>2030</v>
      </c>
      <c r="W1" s="10">
        <v>2031</v>
      </c>
      <c r="X1" s="10">
        <v>2032</v>
      </c>
      <c r="Y1" s="10">
        <v>2033</v>
      </c>
      <c r="Z1" s="10">
        <v>2034</v>
      </c>
      <c r="AA1" s="10">
        <v>2035</v>
      </c>
      <c r="AB1" s="10">
        <v>2036</v>
      </c>
      <c r="AC1" s="10">
        <v>2037</v>
      </c>
      <c r="AD1" s="10">
        <v>2038</v>
      </c>
      <c r="AE1" s="10">
        <v>2039</v>
      </c>
      <c r="AF1" s="10">
        <v>2040</v>
      </c>
      <c r="AG1" s="10">
        <v>2041</v>
      </c>
      <c r="AH1" s="10">
        <v>2042</v>
      </c>
      <c r="AI1" s="10">
        <v>2043</v>
      </c>
      <c r="AJ1" s="10">
        <v>2044</v>
      </c>
      <c r="AK1" s="10">
        <v>2045</v>
      </c>
      <c r="AL1" s="10">
        <v>2046</v>
      </c>
      <c r="AM1" s="10">
        <v>2047</v>
      </c>
      <c r="AN1" s="10">
        <v>2048</v>
      </c>
      <c r="AO1" s="10">
        <v>2049</v>
      </c>
      <c r="AP1" s="155">
        <v>2050</v>
      </c>
      <c r="AQ1" s="10">
        <v>2051</v>
      </c>
      <c r="AR1" s="10">
        <v>2052</v>
      </c>
      <c r="AS1" s="10">
        <v>2053</v>
      </c>
      <c r="AT1" s="10">
        <v>2054</v>
      </c>
      <c r="AU1" s="11">
        <v>2055</v>
      </c>
    </row>
    <row r="2" spans="1:47" x14ac:dyDescent="0.25">
      <c r="A2" s="162"/>
      <c r="B2" s="162"/>
      <c r="C2" s="166"/>
      <c r="D2" s="167"/>
      <c r="E2" s="168"/>
      <c r="F2" s="162"/>
      <c r="G2" s="162"/>
      <c r="H2" s="162"/>
      <c r="I2" s="24"/>
      <c r="J2" s="19"/>
      <c r="K2" s="19"/>
      <c r="L2" s="16"/>
      <c r="M2" s="156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</row>
    <row r="3" spans="1:47" x14ac:dyDescent="0.25">
      <c r="A3" s="163"/>
      <c r="B3" s="163"/>
      <c r="C3" s="169"/>
      <c r="D3" s="165"/>
      <c r="E3" s="170"/>
      <c r="F3" s="163"/>
      <c r="G3" s="163"/>
      <c r="H3" s="163"/>
      <c r="I3" s="37"/>
      <c r="J3" s="36"/>
      <c r="K3" s="36"/>
      <c r="L3" s="3"/>
      <c r="M3" s="158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</row>
    <row r="4" spans="1:47" x14ac:dyDescent="0.25">
      <c r="A4" s="163"/>
      <c r="B4" s="163"/>
      <c r="C4" s="169"/>
      <c r="D4" s="165"/>
      <c r="E4" s="170"/>
      <c r="F4" s="163"/>
      <c r="G4" s="163"/>
      <c r="H4" s="163"/>
      <c r="I4" s="37"/>
      <c r="J4" s="36"/>
      <c r="K4" s="36"/>
      <c r="L4" s="3"/>
      <c r="M4" s="159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4"/>
      <c r="AP4" s="154"/>
      <c r="AQ4" s="154"/>
      <c r="AR4" s="154"/>
      <c r="AS4" s="154"/>
      <c r="AT4" s="154"/>
      <c r="AU4" s="154"/>
    </row>
    <row r="5" spans="1:47" ht="15.75" thickBot="1" x14ac:dyDescent="0.3">
      <c r="A5" s="174"/>
      <c r="B5" s="174"/>
      <c r="C5" s="175"/>
      <c r="D5" s="176"/>
      <c r="E5" s="177"/>
      <c r="F5" s="174"/>
      <c r="G5" s="174"/>
      <c r="H5" s="174"/>
      <c r="I5" s="178"/>
      <c r="J5" s="179"/>
      <c r="K5" s="179"/>
      <c r="L5" s="180"/>
      <c r="M5" s="181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82"/>
      <c r="AM5" s="182"/>
      <c r="AN5" s="182"/>
      <c r="AO5" s="182"/>
      <c r="AP5" s="182"/>
      <c r="AQ5" s="182"/>
      <c r="AR5" s="182"/>
      <c r="AS5" s="182"/>
      <c r="AT5" s="182"/>
      <c r="AU5" s="182"/>
    </row>
    <row r="6" spans="1:47" x14ac:dyDescent="0.25">
      <c r="A6" s="162"/>
      <c r="B6" s="162"/>
      <c r="C6" s="186"/>
      <c r="D6" s="184"/>
      <c r="E6" s="187"/>
      <c r="F6" s="162"/>
      <c r="G6" s="162"/>
      <c r="H6" s="162"/>
      <c r="I6" s="24"/>
      <c r="J6" s="19"/>
      <c r="K6" s="19"/>
      <c r="L6" s="16"/>
      <c r="M6" s="194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  <c r="AG6" s="192"/>
      <c r="AH6" s="192"/>
      <c r="AI6" s="192"/>
      <c r="AJ6" s="192"/>
      <c r="AK6" s="192"/>
      <c r="AL6" s="192"/>
      <c r="AM6" s="192"/>
      <c r="AN6" s="192"/>
      <c r="AO6" s="192"/>
      <c r="AP6" s="192"/>
      <c r="AQ6" s="192"/>
      <c r="AR6" s="192"/>
      <c r="AS6" s="192"/>
      <c r="AT6" s="192"/>
      <c r="AU6" s="195"/>
    </row>
    <row r="7" spans="1:47" x14ac:dyDescent="0.25">
      <c r="A7" s="163"/>
      <c r="B7" s="163"/>
      <c r="C7" s="188"/>
      <c r="D7" s="183"/>
      <c r="E7" s="189"/>
      <c r="F7" s="163"/>
      <c r="G7" s="163"/>
      <c r="H7" s="163"/>
      <c r="I7" s="37"/>
      <c r="J7" s="36"/>
      <c r="K7" s="36"/>
      <c r="L7" s="3"/>
      <c r="M7" s="196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97"/>
    </row>
    <row r="8" spans="1:47" x14ac:dyDescent="0.25">
      <c r="A8" s="163"/>
      <c r="B8" s="163"/>
      <c r="C8" s="188"/>
      <c r="D8" s="183"/>
      <c r="E8" s="189"/>
      <c r="F8" s="163"/>
      <c r="G8" s="163"/>
      <c r="H8" s="163"/>
      <c r="I8" s="37"/>
      <c r="J8" s="36"/>
      <c r="K8" s="36"/>
      <c r="L8" s="3"/>
      <c r="M8" s="198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  <c r="AB8" s="193"/>
      <c r="AC8" s="193"/>
      <c r="AD8" s="193"/>
      <c r="AE8" s="193"/>
      <c r="AF8" s="193"/>
      <c r="AG8" s="193"/>
      <c r="AH8" s="193"/>
      <c r="AI8" s="193"/>
      <c r="AJ8" s="193"/>
      <c r="AK8" s="193"/>
      <c r="AL8" s="193"/>
      <c r="AM8" s="193"/>
      <c r="AN8" s="193"/>
      <c r="AO8" s="193"/>
      <c r="AP8" s="193"/>
      <c r="AQ8" s="193"/>
      <c r="AR8" s="193"/>
      <c r="AS8" s="193"/>
      <c r="AT8" s="193"/>
      <c r="AU8" s="199"/>
    </row>
    <row r="9" spans="1:47" x14ac:dyDescent="0.25">
      <c r="A9" s="163"/>
      <c r="B9" s="163"/>
      <c r="C9" s="188"/>
      <c r="D9" s="183"/>
      <c r="E9" s="189"/>
      <c r="F9" s="163"/>
      <c r="G9" s="163"/>
      <c r="H9" s="163"/>
      <c r="I9" s="37"/>
      <c r="J9" s="36"/>
      <c r="K9" s="36"/>
      <c r="L9" s="3"/>
      <c r="M9" s="200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171"/>
      <c r="AI9" s="171"/>
      <c r="AJ9" s="171"/>
      <c r="AK9" s="171"/>
      <c r="AL9" s="171"/>
      <c r="AM9" s="171"/>
      <c r="AN9" s="171"/>
      <c r="AO9" s="171"/>
      <c r="AP9" s="171"/>
      <c r="AQ9" s="171"/>
      <c r="AR9" s="171"/>
      <c r="AS9" s="171"/>
      <c r="AT9" s="171"/>
      <c r="AU9" s="201"/>
    </row>
    <row r="10" spans="1:47" x14ac:dyDescent="0.25">
      <c r="A10" s="163"/>
      <c r="B10" s="163"/>
      <c r="C10" s="188"/>
      <c r="D10" s="183"/>
      <c r="E10" s="189"/>
      <c r="F10" s="163"/>
      <c r="G10" s="163"/>
      <c r="H10" s="163"/>
      <c r="I10" s="37"/>
      <c r="J10" s="36"/>
      <c r="K10" s="36"/>
      <c r="L10" s="3"/>
      <c r="M10" s="200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171"/>
      <c r="AI10" s="171"/>
      <c r="AJ10" s="171"/>
      <c r="AK10" s="171"/>
      <c r="AL10" s="171"/>
      <c r="AM10" s="171"/>
      <c r="AN10" s="171"/>
      <c r="AO10" s="171"/>
      <c r="AP10" s="171"/>
      <c r="AQ10" s="171"/>
      <c r="AR10" s="171"/>
      <c r="AS10" s="171"/>
      <c r="AT10" s="171"/>
      <c r="AU10" s="201"/>
    </row>
    <row r="11" spans="1:47" x14ac:dyDescent="0.25">
      <c r="A11" s="163"/>
      <c r="B11" s="163"/>
      <c r="C11" s="188"/>
      <c r="D11" s="183"/>
      <c r="E11" s="189"/>
      <c r="F11" s="163"/>
      <c r="G11" s="163"/>
      <c r="H11" s="163"/>
      <c r="I11" s="37"/>
      <c r="J11" s="36"/>
      <c r="K11" s="36"/>
      <c r="L11" s="3"/>
      <c r="M11" s="198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93"/>
      <c r="AS11" s="193"/>
      <c r="AT11" s="193"/>
      <c r="AU11" s="199"/>
    </row>
    <row r="12" spans="1:47" x14ac:dyDescent="0.25">
      <c r="A12" s="163"/>
      <c r="B12" s="163"/>
      <c r="C12" s="188"/>
      <c r="D12" s="183"/>
      <c r="E12" s="189"/>
      <c r="F12" s="163"/>
      <c r="G12" s="163"/>
      <c r="H12" s="163"/>
      <c r="I12" s="37"/>
      <c r="J12" s="36"/>
      <c r="K12" s="36"/>
      <c r="L12" s="3"/>
      <c r="M12" s="196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  <c r="AT12" s="173"/>
      <c r="AU12" s="197"/>
    </row>
    <row r="13" spans="1:47" x14ac:dyDescent="0.25">
      <c r="A13" s="163"/>
      <c r="B13" s="163"/>
      <c r="C13" s="188"/>
      <c r="D13" s="183"/>
      <c r="E13" s="189"/>
      <c r="F13" s="163"/>
      <c r="G13" s="163"/>
      <c r="H13" s="163"/>
      <c r="I13" s="37"/>
      <c r="J13" s="36"/>
      <c r="K13" s="36"/>
      <c r="L13" s="3"/>
      <c r="M13" s="196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  <c r="AM13" s="173"/>
      <c r="AN13" s="173"/>
      <c r="AO13" s="173"/>
      <c r="AP13" s="173"/>
      <c r="AQ13" s="173"/>
      <c r="AR13" s="173"/>
      <c r="AS13" s="173"/>
      <c r="AT13" s="173"/>
      <c r="AU13" s="197"/>
    </row>
    <row r="14" spans="1:47" x14ac:dyDescent="0.25">
      <c r="A14" s="163"/>
      <c r="B14" s="163"/>
      <c r="C14" s="188"/>
      <c r="D14" s="183"/>
      <c r="E14" s="189"/>
      <c r="F14" s="163"/>
      <c r="G14" s="163"/>
      <c r="H14" s="163"/>
      <c r="I14" s="37"/>
      <c r="J14" s="36"/>
      <c r="K14" s="36"/>
      <c r="L14" s="3"/>
      <c r="M14" s="196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73"/>
      <c r="AH14" s="173"/>
      <c r="AI14" s="173"/>
      <c r="AJ14" s="173"/>
      <c r="AK14" s="173"/>
      <c r="AL14" s="173"/>
      <c r="AM14" s="173"/>
      <c r="AN14" s="173"/>
      <c r="AO14" s="173"/>
      <c r="AP14" s="173"/>
      <c r="AQ14" s="173"/>
      <c r="AR14" s="173"/>
      <c r="AS14" s="173"/>
      <c r="AT14" s="173"/>
      <c r="AU14" s="197"/>
    </row>
    <row r="15" spans="1:47" ht="15.75" thickBot="1" x14ac:dyDescent="0.3">
      <c r="A15" s="164"/>
      <c r="B15" s="164"/>
      <c r="C15" s="190"/>
      <c r="D15" s="185"/>
      <c r="E15" s="191"/>
      <c r="F15" s="164"/>
      <c r="G15" s="164"/>
      <c r="H15" s="164"/>
      <c r="I15" s="161"/>
      <c r="J15" s="160"/>
      <c r="K15" s="160"/>
      <c r="L15" s="4"/>
      <c r="M15" s="20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  <c r="AS15" s="172"/>
      <c r="AT15" s="172"/>
      <c r="AU15" s="203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4FB0E003A88C4B9D9793633BA4B356" ma:contentTypeVersion="12" ma:contentTypeDescription="Create a new document." ma:contentTypeScope="" ma:versionID="47be61afb57dbdcdac73424092eefa1c">
  <xsd:schema xmlns:xsd="http://www.w3.org/2001/XMLSchema" xmlns:xs="http://www.w3.org/2001/XMLSchema" xmlns:p="http://schemas.microsoft.com/office/2006/metadata/properties" xmlns:ns2="0d55314f-45f1-40c9-9fce-63556e193d03" targetNamespace="http://schemas.microsoft.com/office/2006/metadata/properties" ma:root="true" ma:fieldsID="2e59f5c7e704c6a619606efe0cdd9ac5" ns2:_="">
    <xsd:import namespace="0d55314f-45f1-40c9-9fce-63556e193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314f-45f1-40c9-9fce-63556e193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55314f-45f1-40c9-9fce-63556e193d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C6DFED-A995-434B-BD0E-DE66269514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68E591-1AC9-4EBD-9470-98B054C1EB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55314f-45f1-40c9-9fce-63556e193d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D6DB45-3CD0-49C0-ABD9-1D7EE66B996B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Scenarios</vt:lpstr>
      <vt:lpstr>Overall_Parameters</vt:lpstr>
      <vt:lpstr>Mode_Shift</vt:lpstr>
      <vt:lpstr>Distance_Levers</vt:lpstr>
      <vt:lpstr>Mode_Shift_Old2Log</vt:lpstr>
      <vt:lpstr>Mode_Shift2</vt:lpstr>
      <vt:lpstr>Occupancy_Rate</vt:lpstr>
      <vt:lpstr>Electrical</vt:lpstr>
      <vt:lpstr>Tech_Adoption</vt:lpstr>
      <vt:lpstr>Tech_Adoption_Old2Log</vt:lpstr>
      <vt:lpstr>Tech_Adoption_Old</vt:lpstr>
      <vt:lpstr>T_Elasticity</vt:lpstr>
      <vt:lpstr>SmartGrid</vt:lpstr>
      <vt:lpstr>SmartGrid_old2</vt:lpstr>
      <vt:lpstr>SmartGrid_old</vt:lpstr>
      <vt:lpstr>Efficiency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2025-08-05T20:37:48Z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0x010100F74FB0E003A88C4B9D9793633BA4B356</vt:lpwstr>
  </property>
  <property fmtid="{D5CDD505-2E9C-101B-9397-08002B2CF9AE}" pid="3" name="MediaServiceImageTags">
    <vt:lpwstr/>
  </property>
</Properties>
</file>