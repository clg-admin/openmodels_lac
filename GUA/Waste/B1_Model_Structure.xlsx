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B08ADDD6-7C8B-446C-820E-DD1D8B2B890C}" xr6:coauthVersionLast="47" xr6:coauthVersionMax="47" xr10:uidLastSave="{00000000-0000-0000-0000-000000000000}"/>
  <bookViews>
    <workbookView xWindow="34620" yWindow="2895" windowWidth="17280" windowHeight="8280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F3" i="1"/>
  <c r="G3" i="1"/>
  <c r="H3" i="1"/>
  <c r="I3" i="1"/>
  <c r="J3" i="1"/>
  <c r="K3" i="1"/>
  <c r="L3" i="1"/>
  <c r="B3" i="1"/>
</calcChain>
</file>

<file path=xl/sharedStrings.xml><?xml version="1.0" encoding="utf-8"?>
<sst xmlns="http://schemas.openxmlformats.org/spreadsheetml/2006/main" count="435" uniqueCount="182">
  <si>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</si>
  <si>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</si>
  <si>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</si>
  <si>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</si>
  <si>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</si>
  <si>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</si>
  <si>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</si>
  <si>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</si>
  <si>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</si>
  <si>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</si>
  <si>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</si>
  <si>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</si>
  <si>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</si>
  <si>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</si>
  <si>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</si>
  <si>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</si>
  <si>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</si>
  <si>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</si>
  <si>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</si>
  <si>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</si>
  <si>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</si>
  <si>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</si>
  <si>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</si>
  <si>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</si>
  <si>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</si>
  <si>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</si>
  <si>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</si>
  <si>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</si>
  <si>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</si>
  <si>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</si>
  <si>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</si>
  <si>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</si>
  <si>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</si>
  <si>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</si>
  <si>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</si>
  <si>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</si>
  <si>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</si>
  <si>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</si>
  <si>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</si>
  <si>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</si>
  <si>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</si>
  <si>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</si>
  <si>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</si>
  <si>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</si>
  <si>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</si>
  <si>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</si>
  <si>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</si>
  <si>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</si>
  <si>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</si>
  <si>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</si>
  <si>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</si>
  <si>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</si>
  <si>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</si>
  <si>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</si>
  <si>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</si>
  <si>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</si>
  <si>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</si>
  <si>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</si>
  <si>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</si>
  <si>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</si>
  <si>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</si>
  <si>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</si>
  <si>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</si>
  <si>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</si>
  <si>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</si>
  <si>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</si>
  <si>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</si>
  <si>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</si>
  <si>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</si>
  <si>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</si>
  <si>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</si>
  <si>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</si>
  <si>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</si>
  <si>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</si>
  <si>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</si>
  <si>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</si>
  <si>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</si>
  <si>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</si>
  <si>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</si>
  <si>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</si>
  <si>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</si>
  <si>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</si>
  <si>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</si>
  <si>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</si>
  <si>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</si>
  <si>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</si>
  <si>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</si>
  <si>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</si>
  <si>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</si>
  <si>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</si>
  <si>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</si>
  <si>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</si>
  <si>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</si>
  <si>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</si>
  <si>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</si>
  <si>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</si>
  <si>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</si>
  <si>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</si>
  <si>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</si>
  <si>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</si>
  <si>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</si>
  <si>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</si>
  <si>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</si>
  <si>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</si>
  <si>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</si>
  <si>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</si>
  <si>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</si>
  <si>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</si>
  <si>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</si>
  <si>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</si>
  <si>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</si>
  <si>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</si>
  <si>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</si>
  <si>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All</t>
  </si>
  <si>
    <t>CO2e_WASTE</t>
  </si>
  <si>
    <t>OSS_INORG</t>
  </si>
  <si>
    <t>OSS_ORG</t>
  </si>
  <si>
    <t>NO_OSS</t>
  </si>
  <si>
    <t>NO_COLL_SDF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</si>
  <si>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</si>
  <si>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</si>
  <si>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</si>
  <si>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</si>
  <si>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</si>
  <si>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</si>
  <si>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</si>
  <si>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</si>
  <si>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E5TSWTSW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</si>
  <si>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</si>
  <si>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</si>
  <si>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</si>
  <si>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</si>
  <si>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</si>
  <si>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</si>
  <si>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</si>
  <si>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</si>
  <si>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</si>
  <si>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</si>
  <si>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</si>
  <si>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</si>
  <si>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</si>
  <si>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</si>
  <si>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</si>
  <si>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</si>
  <si>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</si>
  <si>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</si>
  <si>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T5TSWTSW</t>
  </si>
  <si>
    <t>LANDFILL_ELEC</t>
  </si>
  <si>
    <t>E5TSWLANDFILL_ELEC</t>
  </si>
  <si>
    <t>T5LANDFILL_ELECTSW</t>
  </si>
  <si>
    <t>N2O_WASTE</t>
  </si>
  <si>
    <t>CH4_WASTE</t>
  </si>
  <si>
    <t>CO2_WASTE</t>
  </si>
  <si>
    <t>IND_SW</t>
  </si>
  <si>
    <t>E5TSWIND_SW</t>
  </si>
  <si>
    <t>T5IND_SWTSW</t>
  </si>
  <si>
    <t>CO2_CH4_BURN</t>
  </si>
  <si>
    <t>T5CO2_CH4_BURNTSW</t>
  </si>
  <si>
    <t>E5TSWCO2_CH4_BURN</t>
  </si>
  <si>
    <t>GAS_MSW</t>
  </si>
  <si>
    <t>HTC</t>
  </si>
  <si>
    <t>GUA</t>
  </si>
  <si>
    <t>DWW_DC</t>
  </si>
  <si>
    <t>DWW_N</t>
  </si>
  <si>
    <t>IWW</t>
  </si>
  <si>
    <t>E5WWDWW_DC</t>
  </si>
  <si>
    <t>E5WWDWW_N</t>
  </si>
  <si>
    <t>E5WWIWW</t>
  </si>
  <si>
    <t>T5DWW_DCWW</t>
  </si>
  <si>
    <t>T5DWW_NWW</t>
  </si>
  <si>
    <t>T5IWWWW</t>
  </si>
  <si>
    <t>COMPOST_DOM</t>
  </si>
  <si>
    <t>COMPOST_COFFEE</t>
  </si>
  <si>
    <t>T5COMPOST_DOMTSW</t>
  </si>
  <si>
    <t>T5COMPOST_COFFEETSW</t>
  </si>
  <si>
    <t>E5TSWCOMPOST_DOM</t>
  </si>
  <si>
    <t>E5TSWCOMPOST_COFFEE</t>
  </si>
  <si>
    <t>salud_residuos</t>
  </si>
  <si>
    <t>contam_agua</t>
  </si>
  <si>
    <t>turismo_residuos</t>
  </si>
  <si>
    <t>RM</t>
  </si>
  <si>
    <t>FERT_ORG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</si>
</sst>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topLeftCell="A7" zoomScaleNormal="100" workbookViewId="0">
      <selection activeCell="G9" sqref="G9"/>
    </sheetView>
  </sheetViews>
  <sheetFormatPr defaultColWidth="9.109375" defaultRowHeight="14.4" x14ac:dyDescent="0.3"/>
  <cols>
    <col min="2" max="2" width="7.5546875" bestFit="1" customWidth="1"/>
    <col min="3" max="3" width="21" bestFit="1" customWidth="1"/>
    <col min="4" max="4" width="9.6640625" bestFit="1" customWidth="1"/>
    <col min="5" max="5" width="20.5546875" bestFit="1" customWidth="1"/>
    <col min="6" max="6" width="16.88671875" bestFit="1" customWidth="1"/>
    <col min="7" max="7" width="20.44140625" bestFit="1" customWidth="1"/>
    <col min="8" max="9" width="7.5546875" bestFit="1" customWidth="1"/>
    <col min="10" max="10" width="8.33203125" bestFit="1" customWidth="1"/>
    <col min="11" max="11" width="17.66406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1</v>
      </c>
      <c r="B3">
        <f>+COUNTA(B4:B1048576)</f>
        <v>33</v>
      </c>
      <c r="C3">
        <f>+COUNTA(C4:C1048576)</f>
        <v>39</v>
      </c>
      <c r="D3">
        <f t="shared" ref="D3:L3" si="0">+COUNTA(D4:D1048576)</f>
        <v>1</v>
      </c>
      <c r="E3">
        <f>+COUNTA(E4:E1048576)</f>
        <v>29</v>
      </c>
      <c r="F3">
        <f>+COUNTA(F4:F1048576)</f>
        <v>9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2018</v>
      </c>
      <c r="C4" t="s">
        <v>128</v>
      </c>
      <c r="D4" t="s">
        <v>113</v>
      </c>
      <c r="E4" t="s">
        <v>115</v>
      </c>
      <c r="F4" t="s">
        <v>150</v>
      </c>
      <c r="G4">
        <v>1</v>
      </c>
      <c r="H4" t="s">
        <v>161</v>
      </c>
    </row>
    <row r="5" spans="1:12" x14ac:dyDescent="0.3">
      <c r="B5">
        <v>2019</v>
      </c>
      <c r="C5" t="s">
        <v>129</v>
      </c>
      <c r="E5" t="s">
        <v>116</v>
      </c>
      <c r="F5" t="s">
        <v>151</v>
      </c>
    </row>
    <row r="6" spans="1:12" x14ac:dyDescent="0.3">
      <c r="B6">
        <v>2020</v>
      </c>
      <c r="C6" t="s">
        <v>130</v>
      </c>
      <c r="E6" t="s">
        <v>117</v>
      </c>
      <c r="F6" t="s">
        <v>152</v>
      </c>
    </row>
    <row r="7" spans="1:12" x14ac:dyDescent="0.3">
      <c r="B7">
        <v>2021</v>
      </c>
      <c r="C7" t="s">
        <v>131</v>
      </c>
      <c r="E7" t="s">
        <v>118</v>
      </c>
      <c r="F7" t="s">
        <v>114</v>
      </c>
    </row>
    <row r="8" spans="1:12" x14ac:dyDescent="0.3">
      <c r="B8">
        <v>2022</v>
      </c>
      <c r="C8" t="s">
        <v>132</v>
      </c>
      <c r="E8" t="s">
        <v>147</v>
      </c>
      <c r="F8" t="s">
        <v>177</v>
      </c>
    </row>
    <row r="9" spans="1:12" x14ac:dyDescent="0.3">
      <c r="B9">
        <v>2023</v>
      </c>
      <c r="C9" t="s">
        <v>133</v>
      </c>
      <c r="E9" t="s">
        <v>153</v>
      </c>
      <c r="F9" t="s">
        <v>178</v>
      </c>
    </row>
    <row r="10" spans="1:12" x14ac:dyDescent="0.3">
      <c r="B10">
        <v>2024</v>
      </c>
      <c r="C10" t="s">
        <v>134</v>
      </c>
      <c r="E10" t="s">
        <v>156</v>
      </c>
      <c r="F10" t="s">
        <v>179</v>
      </c>
    </row>
    <row r="11" spans="1:12" x14ac:dyDescent="0.3">
      <c r="B11">
        <v>2025</v>
      </c>
      <c r="C11" t="s">
        <v>159</v>
      </c>
      <c r="E11" t="s">
        <v>171</v>
      </c>
      <c r="F11" t="s">
        <v>180</v>
      </c>
    </row>
    <row r="12" spans="1:12" x14ac:dyDescent="0.3">
      <c r="B12">
        <v>2026</v>
      </c>
      <c r="C12" t="s">
        <v>160</v>
      </c>
      <c r="E12" t="s">
        <v>172</v>
      </c>
      <c r="F12" t="s">
        <v>181</v>
      </c>
    </row>
    <row r="13" spans="1:12" x14ac:dyDescent="0.3">
      <c r="B13">
        <v>2027</v>
      </c>
      <c r="C13" t="s">
        <v>135</v>
      </c>
      <c r="E13" t="s">
        <v>162</v>
      </c>
    </row>
    <row r="14" spans="1:12" x14ac:dyDescent="0.3">
      <c r="B14">
        <v>2028</v>
      </c>
      <c r="C14" t="s">
        <v>136</v>
      </c>
      <c r="E14" t="s">
        <v>163</v>
      </c>
    </row>
    <row r="15" spans="1:12" x14ac:dyDescent="0.3">
      <c r="B15">
        <v>2029</v>
      </c>
      <c r="C15" t="s">
        <v>147</v>
      </c>
      <c r="E15" t="s">
        <v>164</v>
      </c>
    </row>
    <row r="16" spans="1:12" x14ac:dyDescent="0.3">
      <c r="B16">
        <v>2030</v>
      </c>
      <c r="C16" t="s">
        <v>153</v>
      </c>
      <c r="E16" t="s">
        <v>119</v>
      </c>
    </row>
    <row r="17" spans="2:5" x14ac:dyDescent="0.3">
      <c r="B17">
        <v>2031</v>
      </c>
      <c r="C17" t="s">
        <v>156</v>
      </c>
      <c r="E17" t="s">
        <v>120</v>
      </c>
    </row>
    <row r="18" spans="2:5" x14ac:dyDescent="0.3">
      <c r="B18">
        <v>2032</v>
      </c>
      <c r="C18" t="s">
        <v>171</v>
      </c>
      <c r="E18" t="s">
        <v>121</v>
      </c>
    </row>
    <row r="19" spans="2:5" x14ac:dyDescent="0.3">
      <c r="B19">
        <v>2033</v>
      </c>
      <c r="C19" t="s">
        <v>172</v>
      </c>
      <c r="E19" t="s">
        <v>122</v>
      </c>
    </row>
    <row r="20" spans="2:5" x14ac:dyDescent="0.3">
      <c r="B20">
        <v>2034</v>
      </c>
      <c r="C20" t="s">
        <v>162</v>
      </c>
      <c r="E20" t="s">
        <v>123</v>
      </c>
    </row>
    <row r="21" spans="2:5" x14ac:dyDescent="0.3">
      <c r="B21">
        <v>2035</v>
      </c>
      <c r="C21" t="s">
        <v>163</v>
      </c>
      <c r="E21" t="s">
        <v>124</v>
      </c>
    </row>
    <row r="22" spans="2:5" x14ac:dyDescent="0.3">
      <c r="B22">
        <v>2036</v>
      </c>
      <c r="C22" t="s">
        <v>164</v>
      </c>
      <c r="E22" t="s">
        <v>125</v>
      </c>
    </row>
    <row r="23" spans="2:5" x14ac:dyDescent="0.3">
      <c r="B23">
        <v>2037</v>
      </c>
      <c r="C23" t="s">
        <v>115</v>
      </c>
      <c r="E23" t="s">
        <v>126</v>
      </c>
    </row>
    <row r="24" spans="2:5" x14ac:dyDescent="0.3">
      <c r="B24">
        <v>2038</v>
      </c>
      <c r="C24" t="s">
        <v>116</v>
      </c>
      <c r="E24" t="s">
        <v>127</v>
      </c>
    </row>
    <row r="25" spans="2:5" x14ac:dyDescent="0.3">
      <c r="B25">
        <v>2039</v>
      </c>
      <c r="C25" t="s">
        <v>137</v>
      </c>
      <c r="E25" t="s">
        <v>148</v>
      </c>
    </row>
    <row r="26" spans="2:5" x14ac:dyDescent="0.3">
      <c r="B26">
        <v>2040</v>
      </c>
      <c r="C26" t="s">
        <v>138</v>
      </c>
      <c r="E26" t="s">
        <v>154</v>
      </c>
    </row>
    <row r="27" spans="2:5" x14ac:dyDescent="0.3">
      <c r="B27">
        <v>2041</v>
      </c>
      <c r="C27" t="s">
        <v>139</v>
      </c>
      <c r="E27" t="s">
        <v>158</v>
      </c>
    </row>
    <row r="28" spans="2:5" x14ac:dyDescent="0.3">
      <c r="B28">
        <v>2042</v>
      </c>
      <c r="C28" t="s">
        <v>140</v>
      </c>
      <c r="E28" t="s">
        <v>175</v>
      </c>
    </row>
    <row r="29" spans="2:5" x14ac:dyDescent="0.3">
      <c r="B29">
        <v>2043</v>
      </c>
      <c r="C29" t="s">
        <v>141</v>
      </c>
      <c r="E29" t="s">
        <v>176</v>
      </c>
    </row>
    <row r="30" spans="2:5" x14ac:dyDescent="0.3">
      <c r="B30">
        <v>2044</v>
      </c>
      <c r="C30" t="s">
        <v>142</v>
      </c>
      <c r="E30" t="s">
        <v>165</v>
      </c>
    </row>
    <row r="31" spans="2:5" x14ac:dyDescent="0.3">
      <c r="B31">
        <v>2045</v>
      </c>
      <c r="C31" t="s">
        <v>143</v>
      </c>
      <c r="E31" t="s">
        <v>166</v>
      </c>
    </row>
    <row r="32" spans="2:5" x14ac:dyDescent="0.3">
      <c r="B32">
        <v>2046</v>
      </c>
      <c r="C32" t="s">
        <v>144</v>
      </c>
      <c r="E32" t="s">
        <v>167</v>
      </c>
    </row>
    <row r="33" spans="2:3" x14ac:dyDescent="0.3">
      <c r="B33">
        <v>2047</v>
      </c>
      <c r="C33" t="s">
        <v>145</v>
      </c>
    </row>
    <row r="34" spans="2:3" x14ac:dyDescent="0.3">
      <c r="B34">
        <v>2048</v>
      </c>
      <c r="C34" t="s">
        <v>146</v>
      </c>
    </row>
    <row r="35" spans="2:3" x14ac:dyDescent="0.3">
      <c r="B35">
        <v>2049</v>
      </c>
      <c r="C35" t="s">
        <v>149</v>
      </c>
    </row>
    <row r="36" spans="2:3" x14ac:dyDescent="0.3">
      <c r="B36">
        <v>2050</v>
      </c>
      <c r="C36" t="s">
        <v>155</v>
      </c>
    </row>
    <row r="37" spans="2:3" x14ac:dyDescent="0.3">
      <c r="C37" t="s">
        <v>157</v>
      </c>
    </row>
    <row r="38" spans="2:3" x14ac:dyDescent="0.3">
      <c r="C38" t="s">
        <v>173</v>
      </c>
    </row>
    <row r="39" spans="2:3" x14ac:dyDescent="0.3">
      <c r="C39" t="s">
        <v>174</v>
      </c>
    </row>
    <row r="40" spans="2:3" x14ac:dyDescent="0.3">
      <c r="C40" t="s">
        <v>168</v>
      </c>
    </row>
    <row r="41" spans="2:3" x14ac:dyDescent="0.3">
      <c r="C41" t="s">
        <v>169</v>
      </c>
    </row>
    <row r="42" spans="2:3" x14ac:dyDescent="0.3">
      <c r="C4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/>
  </sheetViews>
  <sheetFormatPr defaultColWidth="9.109375" defaultRowHeight="14.4" x14ac:dyDescent="0.3"/>
  <cols>
    <col min="1" max="1" width="9.5546875" bestFit="1" customWidth="1"/>
    <col min="2" max="2" width="8.109375" customWidth="1"/>
    <col min="3" max="3" width="11.88671875" bestFit="1" customWidth="1"/>
    <col min="4" max="4" width="18.109375" bestFit="1" customWidth="1"/>
    <col min="5" max="5" width="20.88671875" bestFit="1" customWidth="1"/>
    <col min="6" max="6" width="20.6640625" bestFit="1" customWidth="1"/>
    <col min="7" max="8" width="19.6640625" bestFit="1" customWidth="1"/>
    <col min="9" max="9" width="15.109375" bestFit="1" customWidth="1"/>
    <col min="10" max="10" width="13.6640625" bestFit="1" customWidth="1"/>
    <col min="11" max="11" width="14.88671875" bestFit="1" customWidth="1"/>
    <col min="12" max="12" width="15.6640625" bestFit="1" customWidth="1"/>
    <col min="13" max="13" width="17.33203125" bestFit="1" customWidth="1"/>
    <col min="14" max="14" width="15.109375" bestFit="1" customWidth="1"/>
    <col min="15" max="15" width="11.33203125" bestFit="1" customWidth="1"/>
    <col min="17" max="17" width="21.6640625" bestFit="1" customWidth="1"/>
    <col min="18" max="18" width="21.109375" bestFit="1" customWidth="1"/>
    <col min="19" max="19" width="31" bestFit="1" customWidth="1"/>
    <col min="20" max="20" width="30.5546875" bestFit="1" customWidth="1"/>
    <col min="21" max="21" width="35.6640625" bestFit="1" customWidth="1"/>
    <col min="22" max="22" width="35.8867187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88671875" customWidth="1"/>
    <col min="31" max="31" width="15" bestFit="1" customWidth="1"/>
  </cols>
  <sheetData>
    <row r="1" spans="1:31" x14ac:dyDescent="0.3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109</v>
      </c>
      <c r="AB1" t="s">
        <v>50</v>
      </c>
    </row>
    <row r="2" spans="1:31" x14ac:dyDescent="0.3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89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104</v>
      </c>
      <c r="T2" t="s">
        <v>105</v>
      </c>
      <c r="U2" t="s">
        <v>108</v>
      </c>
      <c r="V2" t="s">
        <v>106</v>
      </c>
      <c r="W2" t="s">
        <v>48</v>
      </c>
      <c r="X2" t="s">
        <v>107</v>
      </c>
      <c r="Y2" t="s">
        <v>110</v>
      </c>
      <c r="Z2" t="s">
        <v>111</v>
      </c>
      <c r="AA2" t="s">
        <v>112</v>
      </c>
      <c r="AB2" t="s">
        <v>51</v>
      </c>
      <c r="AC2" t="s">
        <v>52</v>
      </c>
      <c r="AD2" t="s">
        <v>90</v>
      </c>
      <c r="AE2" t="s">
        <v>92</v>
      </c>
    </row>
    <row r="3" spans="1:31" x14ac:dyDescent="0.3">
      <c r="A3" t="s">
        <v>1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3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3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3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/>
  </sheetViews>
  <sheetFormatPr defaultColWidth="9.10937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8867187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8867187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109375" bestFit="1" customWidth="1"/>
    <col min="30" max="30" width="25.33203125" bestFit="1" customWidth="1"/>
    <col min="31" max="31" width="22.6640625" bestFit="1" customWidth="1"/>
    <col min="32" max="32" width="29.88671875" bestFit="1" customWidth="1"/>
    <col min="33" max="33" width="18.33203125" bestFit="1" customWidth="1"/>
  </cols>
  <sheetData>
    <row r="1" spans="1:44" x14ac:dyDescent="0.3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91</v>
      </c>
    </row>
    <row r="2" spans="1:44" x14ac:dyDescent="0.3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</row>
    <row r="3" spans="1:44" x14ac:dyDescent="0.3">
      <c r="A3" t="s">
        <v>1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3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3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3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3">
      <c r="M9" t="s">
        <v>20</v>
      </c>
      <c r="S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79A15-FCC6-40B1-BEF8-F88BEF3CE21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012BCA27-10E6-496A-8A21-2BE066DB3E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2025-09-05T19:20:11Z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