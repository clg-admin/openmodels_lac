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20AAF87E-8109-4F12-A2D0-F2441C484B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s" sheetId="1" r:id="rId1"/>
    <sheet name="parameters" sheetId="2" r:id="rId2"/>
    <sheet name="variables" sheetId="3" r:id="rId3"/>
  </sheets>
  <definedNames>
    <definedName name="_xlnm._FilterDatabase" localSheetId="0" hidden="1">sets!$A$1:$L$151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E3" i="1"/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G3" i="1"/>
  <c r="H3" i="1"/>
  <c r="I3" i="1"/>
  <c r="J3" i="1"/>
  <c r="K3" i="1"/>
  <c r="L3" i="1"/>
  <c r="B3" i="1"/>
</calcChain>
</file>

<file path=xl/sharedStrings.xml><?xml version="1.0" encoding="utf-8"?>
<sst xmlns="http://schemas.openxmlformats.org/spreadsheetml/2006/main" count="422" uniqueCount="164">
  <si>
    <t>set</t>
  </si>
  <si>
    <t>number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</si>
  <si>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</si>
  <si>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</si>
  <si>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</si>
  <si>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</si>
  <si>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</si>
  <si>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</si>
  <si>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</si>
  <si>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</si>
  <si>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</si>
  <si>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</si>
  <si>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</si>
  <si>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parameter</t>
  </si>
  <si>
    <t>category</t>
  </si>
  <si>
    <t>Global parameters</t>
  </si>
  <si>
    <t>YearSplit</t>
  </si>
  <si>
    <t>DiscountRate</t>
  </si>
  <si>
    <t>DepreciationMethod</t>
  </si>
  <si>
    <t>r</t>
  </si>
  <si>
    <t>y</t>
  </si>
  <si>
    <t>Demands</t>
  </si>
  <si>
    <t>index</t>
  </si>
  <si>
    <t>t</t>
  </si>
  <si>
    <t>l</t>
  </si>
  <si>
    <t>f</t>
  </si>
  <si>
    <t>e</t>
  </si>
  <si>
    <t>m</t>
  </si>
  <si>
    <t>ls</t>
  </si>
  <si>
    <t>ld</t>
  </si>
  <si>
    <t>lh</t>
  </si>
  <si>
    <t>s</t>
  </si>
  <si>
    <t>SpecifiedAnnualDemand</t>
  </si>
  <si>
    <t>SpecifiedDemandProfile</t>
  </si>
  <si>
    <t>Performance</t>
  </si>
  <si>
    <t>CapacityToActivityUnit</t>
  </si>
  <si>
    <t>AvailabilityFactor</t>
  </si>
  <si>
    <t>OperationalLife</t>
  </si>
  <si>
    <t>ResidualCapacity</t>
  </si>
  <si>
    <t>InputActivityRatio</t>
  </si>
  <si>
    <t>OutputActivityRatio</t>
  </si>
  <si>
    <t>Technology costs</t>
  </si>
  <si>
    <t>CapitalCost</t>
  </si>
  <si>
    <t>VariableCost</t>
  </si>
  <si>
    <t>FixedCost</t>
  </si>
  <si>
    <t>Capacity constraints</t>
  </si>
  <si>
    <t>TotalAnnualMaxCapacity</t>
  </si>
  <si>
    <t>TotalAnnualMinCapacity</t>
  </si>
  <si>
    <t>TotalTechnologyModelPeriodActivityUpperLimit</t>
  </si>
  <si>
    <t>Activity constraints</t>
  </si>
  <si>
    <t>Emissions</t>
  </si>
  <si>
    <t>EmissionActivityRatio</t>
  </si>
  <si>
    <t>AnnualEmissionLimit</t>
  </si>
  <si>
    <t>RateOfDemand</t>
  </si>
  <si>
    <t>Demand</t>
  </si>
  <si>
    <t>variable</t>
  </si>
  <si>
    <t>Capacity variables</t>
  </si>
  <si>
    <t>NumberOfNewTechnologyUnits</t>
  </si>
  <si>
    <t>NewCapacity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</si>
  <si>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</si>
  <si>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</si>
  <si>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</si>
  <si>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</si>
  <si>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</si>
  <si>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</si>
  <si>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</si>
  <si>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</si>
  <si>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</si>
  <si>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</si>
  <si>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</si>
  <si>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</si>
  <si>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</si>
  <si>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</si>
  <si>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</si>
  <si>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</si>
  <si>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</si>
  <si>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</si>
  <si>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</si>
  <si>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</si>
  <si>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</si>
  <si>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</si>
  <si>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</si>
  <si>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</si>
  <si>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</si>
  <si>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</si>
  <si>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</si>
  <si>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</si>
  <si>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</si>
  <si>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</si>
  <si>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CapacityFactor</t>
  </si>
  <si>
    <t>ModelPeriodEmissionLimit</t>
  </si>
  <si>
    <t>Reserve margin</t>
  </si>
  <si>
    <t>EmissionsPenalty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</si>
  <si>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</si>
  <si>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</si>
  <si>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</si>
  <si>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</si>
  <si>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</si>
  <si>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</si>
  <si>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</si>
  <si>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</si>
  <si>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</si>
  <si>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</si>
  <si>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</si>
  <si>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TotalAnnualMaxCapacityInvestment</t>
  </si>
  <si>
    <t>TotalAnnualMinCapacityInvestment</t>
  </si>
  <si>
    <t>TotalTechnologyAnnualActivityLowerLimit</t>
  </si>
  <si>
    <t>TotalTechnologyModelPeriodActivityLowerLimit</t>
  </si>
  <si>
    <t>TotalTechnologyAnnualActivityUpperLimit</t>
  </si>
  <si>
    <t>RE Generation Target</t>
  </si>
  <si>
    <t>RETagTechnology</t>
  </si>
  <si>
    <t>RETagFuel</t>
  </si>
  <si>
    <t>REMinProductionTarget</t>
  </si>
  <si>
    <t>All</t>
  </si>
  <si>
    <t>RAW_MAT_CLK</t>
  </si>
  <si>
    <t>RAW_MAT_CEM</t>
  </si>
  <si>
    <t>IMP_STOR</t>
  </si>
  <si>
    <t>PROD_CLK_TRAD</t>
  </si>
  <si>
    <t>PROD_CEM</t>
  </si>
  <si>
    <t>CLK_PROD</t>
  </si>
  <si>
    <t>CEM_PROD</t>
  </si>
  <si>
    <t>CO2e_IPPU</t>
  </si>
  <si>
    <t>E5INDCEM_PROD</t>
  </si>
  <si>
    <t>T5CEM_PRODIND</t>
  </si>
  <si>
    <t>PARAFFIN</t>
  </si>
  <si>
    <t>E5IPPUPARAFFIN</t>
  </si>
  <si>
    <t>T5PARAFFINIPPU</t>
  </si>
  <si>
    <t>LUBRI_OILS</t>
  </si>
  <si>
    <t>T5LUBRI_OILSIPPU</t>
  </si>
  <si>
    <t>E5IPPULUBRI_OILS</t>
  </si>
  <si>
    <t>REFR_AC_HFC32</t>
  </si>
  <si>
    <t>REFR_AC_HFC125</t>
  </si>
  <si>
    <t>REFR_AC_HFC134a</t>
  </si>
  <si>
    <t>REFR_AC_HFC143a</t>
  </si>
  <si>
    <t>T5REFR_AC_HFC32IPPU</t>
  </si>
  <si>
    <t>T5REFR_AC_HFC125IPPU</t>
  </si>
  <si>
    <t>T5REFR_AC_HFC134aIPPU</t>
  </si>
  <si>
    <t>T5REFR_AC_HFC143aIPPU</t>
  </si>
  <si>
    <t>E5IPPUREFR_AC_HFC32</t>
  </si>
  <si>
    <t>E5IPPUREFR_AC_HFC125</t>
  </si>
  <si>
    <t>E5IPPUREFR_AC_HFC134a</t>
  </si>
  <si>
    <t>E5IPPUREFR_AC_HFC143a</t>
  </si>
  <si>
    <t>PROD_FERRO</t>
  </si>
  <si>
    <t>E5IPPUPROD_FERRO</t>
  </si>
  <si>
    <t>T5PROD_FERROIPPU</t>
  </si>
  <si>
    <t>GUA</t>
  </si>
  <si>
    <t>LIME_CAL_PROD</t>
  </si>
  <si>
    <t>LIME_DOL_PROD</t>
  </si>
  <si>
    <t>GLASS_PROD</t>
  </si>
  <si>
    <t>CARBONATE_CERAMICS</t>
  </si>
  <si>
    <t>CARBONATE_ASH</t>
  </si>
  <si>
    <t>IRON_STEEL</t>
  </si>
  <si>
    <t>E5IPPULIME_CAL_PROD</t>
  </si>
  <si>
    <t>T5LIME_CAL_PRODIPPU</t>
  </si>
  <si>
    <t>E5IPPULIME_DOL_PROD</t>
  </si>
  <si>
    <t>T5LIME_DOL_PRODIPPU</t>
  </si>
  <si>
    <t>E5IPPUGLASS_PROD</t>
  </si>
  <si>
    <t>T5GLASS_PRODIPPU</t>
  </si>
  <si>
    <t>E5IPPUCARBONATE_CERAMICS</t>
  </si>
  <si>
    <t>T5CARBONATE_CERAMICSIPPU</t>
  </si>
  <si>
    <t>E5IPPUCARBONATE_ASH</t>
  </si>
  <si>
    <t>T5CARBONATE_ASHIPPU</t>
  </si>
  <si>
    <t>E5IPPUIRON_STEEL</t>
  </si>
  <si>
    <t>T5IRON_STEELIPPU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</si>
</sst>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Normal="100" workbookViewId="0">
      <selection activeCell="C4" sqref="C4:H35"/>
    </sheetView>
  </sheetViews>
  <sheetFormatPr defaultColWidth="9.109375" defaultRowHeight="14.4" x14ac:dyDescent="0.3"/>
  <cols>
    <col min="2" max="2" width="7.5546875" bestFit="1" customWidth="1"/>
    <col min="3" max="3" width="21" bestFit="1" customWidth="1"/>
    <col min="4" max="4" width="9.6640625" bestFit="1" customWidth="1"/>
    <col min="5" max="5" width="19.6640625" bestFit="1" customWidth="1"/>
    <col min="6" max="6" width="21.88671875" bestFit="1" customWidth="1"/>
    <col min="7" max="7" width="20.44140625" bestFit="1" customWidth="1"/>
    <col min="8" max="9" width="7.5546875" bestFit="1" customWidth="1"/>
    <col min="10" max="10" width="8.33203125" bestFit="1" customWidth="1"/>
    <col min="11" max="11" width="17.6640625" bestFit="1" customWidth="1"/>
  </cols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22</v>
      </c>
      <c r="B2" t="s">
        <v>20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19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3">
      <c r="A3" t="s">
        <v>1</v>
      </c>
      <c r="B3">
        <f>+COUNTA(B4:B1048576)</f>
        <v>33</v>
      </c>
      <c r="C3">
        <f>+COUNTA(C4:C1048576)</f>
        <v>32</v>
      </c>
      <c r="D3">
        <f t="shared" ref="D3:L3" si="0">+COUNTA(D4:D1048576)</f>
        <v>1</v>
      </c>
      <c r="E3">
        <f>+COUNTA(E4:E1048576)</f>
        <v>31</v>
      </c>
      <c r="F3">
        <f>+COUNTA(F4:F1048576)</f>
        <v>1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2018</v>
      </c>
      <c r="C4" t="s">
        <v>114</v>
      </c>
      <c r="D4" t="s">
        <v>113</v>
      </c>
      <c r="E4" t="s">
        <v>114</v>
      </c>
      <c r="F4" t="s">
        <v>121</v>
      </c>
      <c r="G4">
        <v>1</v>
      </c>
      <c r="H4" t="s">
        <v>145</v>
      </c>
    </row>
    <row r="5" spans="1:12" x14ac:dyDescent="0.3">
      <c r="B5">
        <v>2019</v>
      </c>
      <c r="C5" t="s">
        <v>115</v>
      </c>
      <c r="E5" t="s">
        <v>115</v>
      </c>
    </row>
    <row r="6" spans="1:12" x14ac:dyDescent="0.3">
      <c r="B6">
        <v>2020</v>
      </c>
      <c r="C6" t="s">
        <v>116</v>
      </c>
      <c r="E6" t="s">
        <v>119</v>
      </c>
    </row>
    <row r="7" spans="1:12" x14ac:dyDescent="0.3">
      <c r="B7">
        <v>2021</v>
      </c>
      <c r="C7" t="s">
        <v>146</v>
      </c>
      <c r="E7" t="s">
        <v>146</v>
      </c>
    </row>
    <row r="8" spans="1:12" x14ac:dyDescent="0.3">
      <c r="B8">
        <v>2022</v>
      </c>
      <c r="C8" t="s">
        <v>147</v>
      </c>
      <c r="E8" t="s">
        <v>147</v>
      </c>
    </row>
    <row r="9" spans="1:12" x14ac:dyDescent="0.3">
      <c r="B9">
        <v>2023</v>
      </c>
      <c r="C9" t="s">
        <v>148</v>
      </c>
      <c r="E9" t="s">
        <v>148</v>
      </c>
    </row>
    <row r="10" spans="1:12" x14ac:dyDescent="0.3">
      <c r="B10">
        <v>2024</v>
      </c>
      <c r="C10" t="s">
        <v>149</v>
      </c>
      <c r="E10" t="s">
        <v>149</v>
      </c>
    </row>
    <row r="11" spans="1:12" x14ac:dyDescent="0.3">
      <c r="B11">
        <v>2025</v>
      </c>
      <c r="C11" t="s">
        <v>150</v>
      </c>
      <c r="E11" t="s">
        <v>150</v>
      </c>
    </row>
    <row r="12" spans="1:12" x14ac:dyDescent="0.3">
      <c r="B12">
        <v>2026</v>
      </c>
      <c r="C12" t="s">
        <v>151</v>
      </c>
      <c r="E12" t="s">
        <v>151</v>
      </c>
    </row>
    <row r="13" spans="1:12" x14ac:dyDescent="0.3">
      <c r="B13">
        <v>2027</v>
      </c>
      <c r="C13" t="s">
        <v>142</v>
      </c>
      <c r="E13" t="s">
        <v>142</v>
      </c>
    </row>
    <row r="14" spans="1:12" x14ac:dyDescent="0.3">
      <c r="B14">
        <v>2028</v>
      </c>
      <c r="C14" t="s">
        <v>127</v>
      </c>
      <c r="E14" t="s">
        <v>127</v>
      </c>
    </row>
    <row r="15" spans="1:12" x14ac:dyDescent="0.3">
      <c r="B15">
        <v>2029</v>
      </c>
      <c r="C15" t="s">
        <v>124</v>
      </c>
      <c r="E15" t="s">
        <v>124</v>
      </c>
    </row>
    <row r="16" spans="1:12" x14ac:dyDescent="0.3">
      <c r="B16">
        <v>2030</v>
      </c>
      <c r="C16" t="s">
        <v>130</v>
      </c>
      <c r="E16" t="s">
        <v>130</v>
      </c>
    </row>
    <row r="17" spans="2:5" x14ac:dyDescent="0.3">
      <c r="B17">
        <v>2031</v>
      </c>
      <c r="C17" t="s">
        <v>131</v>
      </c>
      <c r="E17" t="s">
        <v>131</v>
      </c>
    </row>
    <row r="18" spans="2:5" x14ac:dyDescent="0.3">
      <c r="B18">
        <v>2032</v>
      </c>
      <c r="C18" t="s">
        <v>132</v>
      </c>
      <c r="E18" t="s">
        <v>132</v>
      </c>
    </row>
    <row r="19" spans="2:5" x14ac:dyDescent="0.3">
      <c r="B19">
        <v>2033</v>
      </c>
      <c r="C19" t="s">
        <v>133</v>
      </c>
      <c r="E19" t="s">
        <v>133</v>
      </c>
    </row>
    <row r="20" spans="2:5" x14ac:dyDescent="0.3">
      <c r="B20">
        <v>2034</v>
      </c>
      <c r="C20" t="s">
        <v>117</v>
      </c>
      <c r="E20" t="s">
        <v>120</v>
      </c>
    </row>
    <row r="21" spans="2:5" x14ac:dyDescent="0.3">
      <c r="B21">
        <v>2035</v>
      </c>
      <c r="C21" t="s">
        <v>118</v>
      </c>
      <c r="E21" t="s">
        <v>122</v>
      </c>
    </row>
    <row r="22" spans="2:5" x14ac:dyDescent="0.3">
      <c r="B22">
        <v>2036</v>
      </c>
      <c r="C22" t="s">
        <v>123</v>
      </c>
      <c r="E22" t="s">
        <v>152</v>
      </c>
    </row>
    <row r="23" spans="2:5" x14ac:dyDescent="0.3">
      <c r="B23">
        <v>2037</v>
      </c>
      <c r="C23" t="s">
        <v>153</v>
      </c>
      <c r="E23" t="s">
        <v>154</v>
      </c>
    </row>
    <row r="24" spans="2:5" x14ac:dyDescent="0.3">
      <c r="B24">
        <v>2038</v>
      </c>
      <c r="C24" t="s">
        <v>155</v>
      </c>
      <c r="E24" t="s">
        <v>156</v>
      </c>
    </row>
    <row r="25" spans="2:5" x14ac:dyDescent="0.3">
      <c r="B25">
        <v>2039</v>
      </c>
      <c r="C25" t="s">
        <v>157</v>
      </c>
      <c r="E25" t="s">
        <v>158</v>
      </c>
    </row>
    <row r="26" spans="2:5" x14ac:dyDescent="0.3">
      <c r="B26">
        <v>2040</v>
      </c>
      <c r="C26" t="s">
        <v>159</v>
      </c>
      <c r="E26" t="s">
        <v>160</v>
      </c>
    </row>
    <row r="27" spans="2:5" x14ac:dyDescent="0.3">
      <c r="B27">
        <v>2041</v>
      </c>
      <c r="C27" t="s">
        <v>161</v>
      </c>
      <c r="E27" t="s">
        <v>162</v>
      </c>
    </row>
    <row r="28" spans="2:5" x14ac:dyDescent="0.3">
      <c r="B28">
        <v>2042</v>
      </c>
      <c r="C28" t="s">
        <v>163</v>
      </c>
      <c r="E28" t="s">
        <v>143</v>
      </c>
    </row>
    <row r="29" spans="2:5" x14ac:dyDescent="0.3">
      <c r="B29">
        <v>2043</v>
      </c>
      <c r="C29" t="s">
        <v>144</v>
      </c>
      <c r="E29" t="s">
        <v>129</v>
      </c>
    </row>
    <row r="30" spans="2:5" x14ac:dyDescent="0.3">
      <c r="B30">
        <v>2044</v>
      </c>
      <c r="C30" t="s">
        <v>128</v>
      </c>
      <c r="E30" t="s">
        <v>125</v>
      </c>
    </row>
    <row r="31" spans="2:5" x14ac:dyDescent="0.3">
      <c r="B31">
        <v>2045</v>
      </c>
      <c r="C31" t="s">
        <v>126</v>
      </c>
      <c r="E31" t="s">
        <v>138</v>
      </c>
    </row>
    <row r="32" spans="2:5" x14ac:dyDescent="0.3">
      <c r="B32">
        <v>2046</v>
      </c>
      <c r="C32" t="s">
        <v>134</v>
      </c>
      <c r="E32" t="s">
        <v>139</v>
      </c>
    </row>
    <row r="33" spans="2:5" x14ac:dyDescent="0.3">
      <c r="B33">
        <v>2047</v>
      </c>
      <c r="C33" t="s">
        <v>135</v>
      </c>
      <c r="E33" t="s">
        <v>140</v>
      </c>
    </row>
    <row r="34" spans="2:5" x14ac:dyDescent="0.3">
      <c r="B34">
        <v>2048</v>
      </c>
      <c r="C34" t="s">
        <v>136</v>
      </c>
      <c r="E34" t="s">
        <v>141</v>
      </c>
    </row>
    <row r="35" spans="2:5" x14ac:dyDescent="0.3">
      <c r="B35">
        <v>2049</v>
      </c>
      <c r="C35" t="s">
        <v>137</v>
      </c>
    </row>
    <row r="36" spans="2:5" x14ac:dyDescent="0.3">
      <c r="B36">
        <v>2050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/>
  </sheetViews>
  <sheetFormatPr defaultColWidth="9.109375" defaultRowHeight="14.4" x14ac:dyDescent="0.3"/>
  <cols>
    <col min="1" max="1" width="9.5546875" bestFit="1" customWidth="1"/>
    <col min="2" max="2" width="8.109375" customWidth="1"/>
    <col min="3" max="3" width="11.88671875" bestFit="1" customWidth="1"/>
    <col min="4" max="4" width="18.109375" bestFit="1" customWidth="1"/>
    <col min="5" max="5" width="20.88671875" bestFit="1" customWidth="1"/>
    <col min="6" max="6" width="20.6640625" bestFit="1" customWidth="1"/>
    <col min="7" max="8" width="19.6640625" bestFit="1" customWidth="1"/>
    <col min="9" max="9" width="15.109375" bestFit="1" customWidth="1"/>
    <col min="10" max="10" width="13.6640625" bestFit="1" customWidth="1"/>
    <col min="11" max="11" width="14.88671875" bestFit="1" customWidth="1"/>
    <col min="12" max="12" width="15.6640625" bestFit="1" customWidth="1"/>
    <col min="13" max="13" width="17.33203125" bestFit="1" customWidth="1"/>
    <col min="14" max="14" width="15.109375" bestFit="1" customWidth="1"/>
    <col min="15" max="15" width="11.33203125" bestFit="1" customWidth="1"/>
    <col min="17" max="17" width="21.6640625" bestFit="1" customWidth="1"/>
    <col min="18" max="18" width="21.109375" bestFit="1" customWidth="1"/>
    <col min="19" max="19" width="31" bestFit="1" customWidth="1"/>
    <col min="20" max="20" width="30.5546875" bestFit="1" customWidth="1"/>
    <col min="21" max="21" width="35.6640625" bestFit="1" customWidth="1"/>
    <col min="22" max="22" width="35.88671875" bestFit="1" customWidth="1"/>
    <col min="23" max="23" width="40.6640625" bestFit="1" customWidth="1"/>
    <col min="24" max="24" width="40.6640625" customWidth="1"/>
    <col min="25" max="25" width="18.5546875" bestFit="1" customWidth="1"/>
    <col min="26" max="26" width="9.33203125" bestFit="1" customWidth="1"/>
    <col min="27" max="27" width="20.5546875" bestFit="1" customWidth="1"/>
    <col min="28" max="28" width="18.6640625" bestFit="1" customWidth="1"/>
    <col min="29" max="29" width="13.88671875" customWidth="1"/>
    <col min="31" max="31" width="15" bestFit="1" customWidth="1"/>
  </cols>
  <sheetData>
    <row r="1" spans="1:31" x14ac:dyDescent="0.3">
      <c r="A1" t="s">
        <v>14</v>
      </c>
      <c r="B1" t="s">
        <v>15</v>
      </c>
      <c r="E1" t="s">
        <v>21</v>
      </c>
      <c r="G1" t="s">
        <v>34</v>
      </c>
      <c r="N1" t="s">
        <v>41</v>
      </c>
      <c r="Q1" t="s">
        <v>45</v>
      </c>
      <c r="U1" t="s">
        <v>49</v>
      </c>
      <c r="Y1" t="s">
        <v>109</v>
      </c>
      <c r="AB1" t="s">
        <v>50</v>
      </c>
    </row>
    <row r="2" spans="1:31" x14ac:dyDescent="0.3">
      <c r="A2" t="s">
        <v>13</v>
      </c>
      <c r="B2" t="s">
        <v>16</v>
      </c>
      <c r="C2" t="s">
        <v>17</v>
      </c>
      <c r="D2" t="s">
        <v>18</v>
      </c>
      <c r="E2" t="s">
        <v>32</v>
      </c>
      <c r="F2" t="s">
        <v>33</v>
      </c>
      <c r="G2" t="s">
        <v>35</v>
      </c>
      <c r="H2" t="s">
        <v>89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42</v>
      </c>
      <c r="O2" t="s">
        <v>43</v>
      </c>
      <c r="P2" t="s">
        <v>44</v>
      </c>
      <c r="Q2" t="s">
        <v>46</v>
      </c>
      <c r="R2" t="s">
        <v>47</v>
      </c>
      <c r="S2" t="s">
        <v>104</v>
      </c>
      <c r="T2" t="s">
        <v>105</v>
      </c>
      <c r="U2" t="s">
        <v>108</v>
      </c>
      <c r="V2" t="s">
        <v>106</v>
      </c>
      <c r="W2" t="s">
        <v>48</v>
      </c>
      <c r="X2" t="s">
        <v>107</v>
      </c>
      <c r="Y2" t="s">
        <v>110</v>
      </c>
      <c r="Z2" t="s">
        <v>111</v>
      </c>
      <c r="AA2" t="s">
        <v>112</v>
      </c>
      <c r="AB2" t="s">
        <v>51</v>
      </c>
      <c r="AC2" t="s">
        <v>52</v>
      </c>
      <c r="AD2" t="s">
        <v>90</v>
      </c>
      <c r="AE2" t="s">
        <v>92</v>
      </c>
    </row>
    <row r="3" spans="1:31" x14ac:dyDescent="0.3">
      <c r="A3" t="s">
        <v>1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24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20</v>
      </c>
      <c r="E5" t="s">
        <v>25</v>
      </c>
      <c r="F5" t="s">
        <v>25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25</v>
      </c>
      <c r="AA5" t="s">
        <v>20</v>
      </c>
      <c r="AB5" t="s">
        <v>23</v>
      </c>
      <c r="AC5" t="s">
        <v>26</v>
      </c>
      <c r="AD5" t="s">
        <v>26</v>
      </c>
      <c r="AE5" t="s">
        <v>26</v>
      </c>
    </row>
    <row r="6" spans="1:31" x14ac:dyDescent="0.3">
      <c r="E6" t="s">
        <v>20</v>
      </c>
      <c r="F6" t="s">
        <v>24</v>
      </c>
      <c r="H6" t="s">
        <v>24</v>
      </c>
      <c r="I6" t="s">
        <v>20</v>
      </c>
      <c r="K6" t="s">
        <v>20</v>
      </c>
      <c r="L6" t="s">
        <v>25</v>
      </c>
      <c r="M6" t="s">
        <v>25</v>
      </c>
      <c r="N6" t="s">
        <v>20</v>
      </c>
      <c r="O6" t="s">
        <v>27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Y6" t="s">
        <v>20</v>
      </c>
      <c r="Z6" t="s">
        <v>20</v>
      </c>
      <c r="AB6" t="s">
        <v>26</v>
      </c>
      <c r="AC6" t="s">
        <v>20</v>
      </c>
      <c r="AE6" t="s">
        <v>20</v>
      </c>
    </row>
    <row r="7" spans="1:31" x14ac:dyDescent="0.3">
      <c r="F7" t="s">
        <v>20</v>
      </c>
      <c r="H7" t="s">
        <v>20</v>
      </c>
      <c r="L7" t="s">
        <v>27</v>
      </c>
      <c r="M7" t="s">
        <v>27</v>
      </c>
      <c r="O7" t="s">
        <v>20</v>
      </c>
      <c r="AB7" t="s">
        <v>27</v>
      </c>
    </row>
    <row r="8" spans="1:31" x14ac:dyDescent="0.3">
      <c r="L8" t="s">
        <v>20</v>
      </c>
      <c r="M8" t="s">
        <v>20</v>
      </c>
      <c r="AB8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/>
  </sheetViews>
  <sheetFormatPr defaultColWidth="9.109375" defaultRowHeight="14.4" x14ac:dyDescent="0.3"/>
  <cols>
    <col min="1" max="1" width="9.5546875" bestFit="1" customWidth="1"/>
    <col min="2" max="2" width="13.6640625" bestFit="1" customWidth="1"/>
    <col min="4" max="4" width="27.33203125" bestFit="1" customWidth="1"/>
    <col min="5" max="5" width="11.6640625" bestFit="1" customWidth="1"/>
    <col min="6" max="6" width="22.6640625" bestFit="1" customWidth="1"/>
    <col min="7" max="7" width="18" bestFit="1" customWidth="1"/>
    <col min="8" max="8" width="14.6640625" bestFit="1" customWidth="1"/>
    <col min="9" max="9" width="17.3320312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33203125" bestFit="1" customWidth="1"/>
    <col min="17" max="17" width="15.6640625" bestFit="1" customWidth="1"/>
    <col min="18" max="18" width="9.88671875" bestFit="1" customWidth="1"/>
    <col min="19" max="19" width="28.44140625" bestFit="1" customWidth="1"/>
    <col min="20" max="20" width="21.5546875" bestFit="1" customWidth="1"/>
    <col min="21" max="21" width="21.33203125" bestFit="1" customWidth="1"/>
    <col min="22" max="22" width="15.5546875" bestFit="1" customWidth="1"/>
    <col min="23" max="23" width="9.6640625" bestFit="1" customWidth="1"/>
    <col min="24" max="24" width="15.88671875" bestFit="1" customWidth="1"/>
    <col min="25" max="25" width="25.33203125" bestFit="1" customWidth="1"/>
    <col min="26" max="26" width="11.6640625" bestFit="1" customWidth="1"/>
    <col min="27" max="27" width="21" bestFit="1" customWidth="1"/>
    <col min="28" max="28" width="12.6640625" bestFit="1" customWidth="1"/>
    <col min="29" max="29" width="22.109375" bestFit="1" customWidth="1"/>
    <col min="30" max="30" width="25.33203125" bestFit="1" customWidth="1"/>
    <col min="31" max="31" width="22.6640625" bestFit="1" customWidth="1"/>
    <col min="32" max="32" width="29.88671875" bestFit="1" customWidth="1"/>
    <col min="33" max="33" width="18.33203125" bestFit="1" customWidth="1"/>
  </cols>
  <sheetData>
    <row r="1" spans="1:44" x14ac:dyDescent="0.3">
      <c r="A1" t="s">
        <v>14</v>
      </c>
      <c r="B1" t="s">
        <v>21</v>
      </c>
      <c r="D1" t="s">
        <v>56</v>
      </c>
      <c r="H1" t="s">
        <v>61</v>
      </c>
      <c r="X1" t="s">
        <v>78</v>
      </c>
      <c r="AH1" t="s">
        <v>91</v>
      </c>
    </row>
    <row r="2" spans="1:44" x14ac:dyDescent="0.3">
      <c r="A2" t="s">
        <v>55</v>
      </c>
      <c r="B2" t="s">
        <v>53</v>
      </c>
      <c r="C2" t="s">
        <v>54</v>
      </c>
      <c r="D2" t="s">
        <v>57</v>
      </c>
      <c r="E2" t="s">
        <v>58</v>
      </c>
      <c r="F2" t="s">
        <v>59</v>
      </c>
      <c r="G2" t="s">
        <v>60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</row>
    <row r="3" spans="1:44" x14ac:dyDescent="0.3">
      <c r="A3" t="s">
        <v>1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24</v>
      </c>
      <c r="C5" t="s">
        <v>24</v>
      </c>
      <c r="D5" t="s">
        <v>23</v>
      </c>
      <c r="E5" t="s">
        <v>23</v>
      </c>
      <c r="F5" t="s">
        <v>23</v>
      </c>
      <c r="G5" t="s">
        <v>23</v>
      </c>
      <c r="H5" t="s">
        <v>24</v>
      </c>
      <c r="I5" t="s">
        <v>23</v>
      </c>
      <c r="J5" t="s">
        <v>23</v>
      </c>
      <c r="K5" t="s">
        <v>23</v>
      </c>
      <c r="L5" t="s">
        <v>23</v>
      </c>
      <c r="M5" t="s">
        <v>24</v>
      </c>
      <c r="N5" t="s">
        <v>24</v>
      </c>
      <c r="O5" t="s">
        <v>24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  <c r="U5" t="s">
        <v>23</v>
      </c>
      <c r="V5" t="s">
        <v>24</v>
      </c>
      <c r="W5" t="s">
        <v>25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20</v>
      </c>
      <c r="AH5" t="s">
        <v>20</v>
      </c>
      <c r="AI5" t="s">
        <v>24</v>
      </c>
      <c r="AJ5" t="s">
        <v>20</v>
      </c>
      <c r="AK5" t="s">
        <v>20</v>
      </c>
      <c r="AL5" t="s">
        <v>23</v>
      </c>
      <c r="AM5" t="s">
        <v>23</v>
      </c>
      <c r="AN5" t="s">
        <v>23</v>
      </c>
      <c r="AO5" t="s">
        <v>23</v>
      </c>
      <c r="AP5" t="s">
        <v>23</v>
      </c>
      <c r="AQ5" t="s">
        <v>26</v>
      </c>
      <c r="AR5" t="s">
        <v>26</v>
      </c>
    </row>
    <row r="6" spans="1:44" x14ac:dyDescent="0.3">
      <c r="B6" t="s">
        <v>25</v>
      </c>
      <c r="C6" t="s">
        <v>25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24</v>
      </c>
      <c r="J6" t="s">
        <v>20</v>
      </c>
      <c r="K6" t="s">
        <v>27</v>
      </c>
      <c r="M6" t="s">
        <v>23</v>
      </c>
      <c r="N6" t="s">
        <v>23</v>
      </c>
      <c r="O6" t="s">
        <v>23</v>
      </c>
      <c r="P6" t="s">
        <v>25</v>
      </c>
      <c r="Q6" t="s">
        <v>25</v>
      </c>
      <c r="R6" t="s">
        <v>25</v>
      </c>
      <c r="S6" t="s">
        <v>23</v>
      </c>
      <c r="T6" t="s">
        <v>23</v>
      </c>
      <c r="U6" t="s">
        <v>25</v>
      </c>
      <c r="V6" t="s">
        <v>23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I6" t="s">
        <v>20</v>
      </c>
      <c r="AL6" t="s">
        <v>26</v>
      </c>
      <c r="AM6" t="s">
        <v>26</v>
      </c>
      <c r="AN6" t="s">
        <v>26</v>
      </c>
      <c r="AO6" t="s">
        <v>20</v>
      </c>
      <c r="AP6" t="s">
        <v>20</v>
      </c>
      <c r="AQ6" t="s">
        <v>20</v>
      </c>
    </row>
    <row r="7" spans="1:44" x14ac:dyDescent="0.3">
      <c r="B7" t="s">
        <v>20</v>
      </c>
      <c r="C7" t="s">
        <v>20</v>
      </c>
      <c r="H7" t="s">
        <v>27</v>
      </c>
      <c r="I7" t="s">
        <v>20</v>
      </c>
      <c r="K7" t="s">
        <v>20</v>
      </c>
      <c r="M7" t="s">
        <v>27</v>
      </c>
      <c r="N7" t="s">
        <v>25</v>
      </c>
      <c r="O7" t="s">
        <v>25</v>
      </c>
      <c r="P7" t="s">
        <v>20</v>
      </c>
      <c r="Q7" t="s">
        <v>20</v>
      </c>
      <c r="R7" t="s">
        <v>20</v>
      </c>
      <c r="S7" t="s">
        <v>27</v>
      </c>
      <c r="T7" t="s">
        <v>25</v>
      </c>
      <c r="U7" t="s">
        <v>20</v>
      </c>
      <c r="V7" t="s">
        <v>25</v>
      </c>
      <c r="AL7" t="s">
        <v>27</v>
      </c>
      <c r="AM7" t="s">
        <v>20</v>
      </c>
      <c r="AN7" t="s">
        <v>20</v>
      </c>
    </row>
    <row r="8" spans="1:44" x14ac:dyDescent="0.3">
      <c r="H8" t="s">
        <v>20</v>
      </c>
      <c r="M8" t="s">
        <v>25</v>
      </c>
      <c r="N8" t="s">
        <v>20</v>
      </c>
      <c r="O8" t="s">
        <v>20</v>
      </c>
      <c r="S8" t="s">
        <v>25</v>
      </c>
      <c r="T8" t="s">
        <v>20</v>
      </c>
      <c r="V8" t="s">
        <v>20</v>
      </c>
      <c r="AL8" t="s">
        <v>20</v>
      </c>
    </row>
    <row r="9" spans="1:44" x14ac:dyDescent="0.3">
      <c r="M9" t="s">
        <v>20</v>
      </c>
      <c r="S9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79A15-FCC6-40B1-BEF8-F88BEF3CE214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2487F5-2D0F-43FD-AD29-5F6913A06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2025-09-08T22:08:38Z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