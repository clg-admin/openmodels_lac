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Energía&amp;Transporte\NuevosEscenarios\Escenario_medio\"/>
    </mc:Choice>
  </mc:AlternateContent>
  <xr:revisionPtr revIDLastSave="0" documentId="13_ncr:1_{C9737986-C684-443F-BC1C-000D4C7310EB}" xr6:coauthVersionLast="47" xr6:coauthVersionMax="47" xr10:uidLastSave="{00000000-0000-0000-0000-000000000000}"/>
  <bookViews>
    <workbookView xWindow="28680" yWindow="-120" windowWidth="29040" windowHeight="15720" tabRatio="705" activeTab="9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Tech_Adoption" sheetId="2" r:id="rId6"/>
    <sheet name="Electrical" sheetId="13" r:id="rId7"/>
    <sheet name="SmartGrid" sheetId="14" r:id="rId8"/>
    <sheet name="Efficiency" sheetId="9" r:id="rId9"/>
    <sheet name="Others" sheetId="17" r:id="rId10"/>
  </sheets>
  <definedNames>
    <definedName name="_xlnm._FilterDatabase" localSheetId="8" hidden="1">Efficiency!$A$1:$AS$14</definedName>
    <definedName name="_xlnm._FilterDatabase" localSheetId="6" hidden="1">Electrical!$A$1:$N$33</definedName>
    <definedName name="_xlnm._FilterDatabase" localSheetId="7" hidden="1">SmartGrid!$A$1:$AQ$15</definedName>
    <definedName name="_xlnm._FilterDatabase" localSheetId="5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14" l="1"/>
  <c r="AC7" i="14"/>
  <c r="AB7" i="14"/>
  <c r="AA7" i="14"/>
  <c r="Z7" i="14"/>
  <c r="Y7" i="14"/>
  <c r="X7" i="14"/>
  <c r="W7" i="14"/>
  <c r="V7" i="14"/>
  <c r="U7" i="14"/>
  <c r="T7" i="14"/>
  <c r="AN7" i="14" l="1"/>
  <c r="AO7" i="14" s="1"/>
  <c r="AP7" i="14" s="1"/>
  <c r="AQ7" i="14" s="1"/>
  <c r="AE7" i="14" l="1"/>
  <c r="AF7" i="14"/>
  <c r="AG7" i="14"/>
  <c r="AH7" i="14"/>
  <c r="AI7" i="14"/>
  <c r="AJ7" i="14"/>
  <c r="AK7" i="14"/>
  <c r="AL7" i="14"/>
  <c r="AM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7954707-E516-4DD7-8F14-84EFFDA118DA}">
      <text>
        <r>
          <rPr>
            <b/>
            <sz val="9"/>
            <color rgb="FF000000"/>
            <rFont val="Tahoma"/>
            <family val="2"/>
          </rPr>
          <t xml:space="preserve">YES: the indices can be called from the stable_scenario dictionary.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NO: the system must generate the fields.
</t>
        </r>
      </text>
    </comment>
    <comment ref="G1" authorId="0" shapeId="0" xr:uid="{FDD0569C-9594-4FEB-A4DE-A783D0BB0E62}">
      <text>
        <r>
          <rPr>
            <b/>
            <sz val="9"/>
            <color rgb="FF000000"/>
            <rFont val="Tahoma"/>
            <family val="2"/>
          </rPr>
          <t xml:space="preserve">Used for exact values before y_ini
</t>
        </r>
      </text>
    </comment>
    <comment ref="I1" authorId="0" shapeId="0" xr:uid="{39FD1E08-23E7-43C0-B0EA-8F305E7811C5}">
      <text>
        <r>
          <rPr>
            <b/>
            <sz val="9"/>
            <color rgb="FF000000"/>
            <rFont val="Tahoma"/>
            <family val="2"/>
          </rPr>
          <t>Preceding year of initial year of separation between values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<sst xmlns="http://schemas.openxmlformats.org/spreadsheetml/2006/main" count="566" uniqueCount="176">
  <si>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</si>
  <si>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</si>
  <si>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</si>
  <si>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</si>
  <si>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</si>
  <si>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</si>
  <si>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</si>
  <si>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</si>
  <si>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</si>
  <si>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</si>
  <si>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NDP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</si>
  <si>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</si>
  <si>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</si>
  <si>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</si>
  <si>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</si>
  <si>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</si>
  <si>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</si>
  <si>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</si>
  <si>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</si>
  <si>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</si>
  <si>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</si>
  <si>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</si>
  <si>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</si>
  <si>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</si>
  <si>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</si>
  <si>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</si>
  <si>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</si>
  <si>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</si>
  <si>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</si>
  <si>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</si>
  <si>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</si>
  <si>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</si>
  <si>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</si>
  <si>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</si>
  <si>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</si>
  <si>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</si>
  <si>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</si>
  <si>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Relative increase to BAU - occupancy rate</t>
  </si>
  <si>
    <t>Sector</t>
  </si>
  <si>
    <t>Restriction_Type</t>
  </si>
  <si>
    <t>Transport</t>
  </si>
  <si>
    <t>Private</t>
  </si>
  <si>
    <t>Light Freight</t>
  </si>
  <si>
    <t>Bus Private Electric</t>
  </si>
  <si>
    <t>TRBPRELE</t>
  </si>
  <si>
    <t>Bus Private Hydrogen</t>
  </si>
  <si>
    <t>TRBPRHYD</t>
  </si>
  <si>
    <t>Bus Public Hydrogen</t>
  </si>
  <si>
    <t>TRBPUHYD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</si>
  <si>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</si>
  <si>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</si>
  <si>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</si>
  <si>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</si>
  <si>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</si>
  <si>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</si>
  <si>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</si>
  <si>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</si>
  <si>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</si>
  <si>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TotalTechnologyAnnualActivityLowerLimit</t>
  </si>
  <si>
    <t>IMP_ELE</t>
  </si>
  <si>
    <t>Primary - Import - Electricity</t>
  </si>
  <si>
    <t>2018 ; 2019 ; 2020 ; 2021 ; 2022 ; 2023 ; 2024 ; 2025 ; 2026 ; 2027 ; 2028 ; 2029 ; 2030 ; 2031</t>
  </si>
  <si>
    <t>0 ; 3.517 ; 3.54 ; 4.226 ; 0 ; 6.741 ; 6.5 ; 6 ; 5 ; 4 ; 5 ; 4 ; 4 ; 4</t>
  </si>
  <si>
    <t>PJ</t>
  </si>
  <si>
    <t>Write ; Interpolate ; Fix_Last</t>
  </si>
  <si>
    <t>TotalTechnologyAnnualActivityUpperLimit</t>
  </si>
  <si>
    <t>2.41 ; 3.517 ; 3.54 ; 4.226 ; 4.886 ; 6.741 ; 6.5 ; 6 ; 5 ; 4 ; 5 ; 4 ; 4 ; 4</t>
  </si>
  <si>
    <t>Write ; Interpolate_Escalate ; Fix_Last</t>
  </si>
  <si>
    <t>PPBGS</t>
  </si>
  <si>
    <t>The minimum production with biogas</t>
  </si>
  <si>
    <t>2018 ; 2019 ; 2020 ; 2021 ; 2022 ; 2023 ; 2024 ; 2025 ; 2026 ; 2027 ; 2028 ; 2030</t>
  </si>
  <si>
    <t>0.09 ; 0.096 ; 0.125 ; 0.118 ; 0 ; 0.1 ; 0.1 ; 0.1 ; 0.1 ; 0.1 ; 0.1 ; 0.13</t>
  </si>
  <si>
    <t>All</t>
  </si>
  <si>
    <t>The minimum production of biogas</t>
  </si>
  <si>
    <t>PPBIM</t>
  </si>
  <si>
    <t>The minimum production with biomass</t>
  </si>
  <si>
    <t>2018 ; 2019 ; 2020 ; 2021 ; 2022 ; 2023 ; 2024 ; 2025 ; 2026 ; 2027 ; 2028</t>
  </si>
  <si>
    <t>0 ; 7.241 ; 7.1815 ; 7.558 ; 0 ; 6.89 ; 8 ; 10 ; 11 ; 11.5  ; 12</t>
  </si>
  <si>
    <t>2018 ; 2019 ; 2020 ; 2021 ; 2022 ; 2023 ; 2024 ; 2025 ; 2026 ; 2027 ; 2028 ; 2029 ; 2030</t>
  </si>
  <si>
    <t>CapacityFactor</t>
  </si>
  <si>
    <t>PPCOA</t>
  </si>
  <si>
    <t>The capacity factor of coal</t>
  </si>
  <si>
    <t>2018 ; 2019 ; 2020 ; 2021 ; 2022 ; 2023</t>
  </si>
  <si>
    <t>0.9 ; 0.99 ; 0.7 ; 0.8 ; 0.8 ; 0.8</t>
  </si>
  <si>
    <t>PJ/GW</t>
  </si>
  <si>
    <t>Overwrite ; Interpolate ; Fix_Last</t>
  </si>
  <si>
    <t>The minimum production with coal</t>
  </si>
  <si>
    <t>16.55 ; 18.227 ; 10.48 ; 13.97 ; 9.948 ; 15.091</t>
  </si>
  <si>
    <t>PPDSL</t>
  </si>
  <si>
    <t>The minimum production with diesel</t>
  </si>
  <si>
    <t>2018 ; 2019 ; 2020 ; 2021 ; 2022 ; 2023 ; 2024 ; 2025</t>
  </si>
  <si>
    <t>0.007 ; 0.0065 ; 0.02 ; 0.012 ; 0.025 ; 0.031 ; 0.031 ; 0.031</t>
  </si>
  <si>
    <t>PPFOI</t>
  </si>
  <si>
    <t>The minimum production with fuel oil</t>
  </si>
  <si>
    <t>2018 ; 2019 ; 2020 ; 2021 ; 2022 ; 2023 ; 2024</t>
  </si>
  <si>
    <t>1.42 ; 1.928 ; 0.96 ; 0.996 ; 0.696 ; 2.379 ; 2.38</t>
  </si>
  <si>
    <t>TotalAnnualMaxCapacity</t>
  </si>
  <si>
    <t>PPGEO</t>
  </si>
  <si>
    <t>The max capacity of Geothermal</t>
  </si>
  <si>
    <t>2018 ; 2019 ; 2020 ; 2021</t>
  </si>
  <si>
    <t>0.5; 0.5; 0.5; 0.4</t>
  </si>
  <si>
    <t>GW</t>
  </si>
  <si>
    <t>TotalAnnualMaxCapacityInvestment</t>
  </si>
  <si>
    <t>The max capacity investment of Geothermal</t>
  </si>
  <si>
    <t>The minimum production of geothermal</t>
  </si>
  <si>
    <t>2018 ; 2019 ; 2020 ; 2021 ; 2022 ; 2023 ; 2024 ; 2025 ; 2026 ; 2027 ; 2028 ; 2029 ; 2030 2031 ; 2032 ; 2033</t>
  </si>
  <si>
    <t>0 ; 1.026 ; 1.14 ; 1.16 ; 0 ; 1.21 ; 1.212 ; 1.212 ; 1.212 ; 1.28 ; 1.28 ; 1.28 ; 1.28 ; 1.28 ; 1.28 ; 1.28</t>
  </si>
  <si>
    <t>TotalAnnualMinCapacityInvestment</t>
  </si>
  <si>
    <t>The min capacity investment of wind</t>
  </si>
  <si>
    <t>2030 ; 2031 ; 2033 ; 2034 ; 2035 ; 2039 ; 2040 ; 2041</t>
  </si>
  <si>
    <t>0.1 ; 0 ; 0 ; 0.115 ; 0 ; 0 ; 0.235 ; 0</t>
  </si>
  <si>
    <t>0.94 ; 1.027 ; 1.145 ; 1.17 ; 1.158 ; 1.21</t>
  </si>
  <si>
    <t>PPHDAM</t>
  </si>
  <si>
    <t>The minimum production of dam hydropower</t>
  </si>
  <si>
    <t>18.4632 ; 16.09 ; 22.99 ; 24.698 ; 26.89 ; 22.105; 22.63</t>
  </si>
  <si>
    <t>2018 ; 2019 ; 2020 ; 2021 ; 2022 ; 2023 ; 2024 ; 2025 ; 2026 ; 2027 ; 2028 ; 2029</t>
  </si>
  <si>
    <t>18.46 ; 16.09 ; 22.99 ; 24.697 ; 26.89 ; 22.105; 22.63 ; 22.63 ; 22.63 ; 22.63  ; 22.63 ; 22.63</t>
  </si>
  <si>
    <t>PPHROR</t>
  </si>
  <si>
    <t>The minimum production of run-of-river</t>
  </si>
  <si>
    <t>1.0194 ; 1.071 ; 1.322 ; 1.52 ; 1.6088 ; 1.523 ; 1.55</t>
  </si>
  <si>
    <t>1.01 ; 1.07 ; 1.32 ; 1.52 ; 1.608 ; 1.523 ; 1.55 ; 1.7 ; 1.7 ; 1.77 ; 1.77 ; 1.77 ; 1.77</t>
  </si>
  <si>
    <t>PPNGS</t>
  </si>
  <si>
    <t>The minimum production with natural gas</t>
  </si>
  <si>
    <t>0 ; 0 ; 0.02 ; 0.06 ; 0.037 ; 0 ; 0.037 ; 0.037 ; 0.6 ; 0.6 ; 0.6 ; 0.6 ; 5</t>
  </si>
  <si>
    <t>The min capacity investment of natural gas</t>
  </si>
  <si>
    <t>2026 ; 2027 ; 2029 ; 2030 ; 2031 ; 2039 ; 2040 ; 2041</t>
  </si>
  <si>
    <t>0.04375 ; 0 ; 0 ; 0.6 ; 0 ; 0 ; 0.25 ; 0</t>
  </si>
  <si>
    <t>PPPVD</t>
  </si>
  <si>
    <t>The max capacity of of solar (distribution)</t>
  </si>
  <si>
    <t>0.2 ; 0.2 ; 0.2 ; 0.2</t>
  </si>
  <si>
    <t>PPPVDS</t>
  </si>
  <si>
    <t>The max capacity ofof solar (distribution  w. s.)</t>
  </si>
  <si>
    <t>0 ; 0 ; 0 ; 0</t>
  </si>
  <si>
    <t>The minimum production of solar (distribution)</t>
  </si>
  <si>
    <t>2018 ; 2019 ; 2020 ; 2021 ; 2022 ; 2023 ; 2024 ; 2025 ; 2026 ; 2027</t>
  </si>
  <si>
    <t>0 ; 0 ; 0.11 ; 0 ; 0.109 ; 0.185 ; 0.185 ; 0.185 ; 0.24 ; 0.24</t>
  </si>
  <si>
    <t>The minimum production of solar (transmission)</t>
  </si>
  <si>
    <t>The minimum production of solar (distribution w. s.)</t>
  </si>
  <si>
    <t>0 ; 0 ; 0 ; 0 ; 0 ; 0 ; 0 ; 0 ; 0 ; 0 ; 0 ; 0</t>
  </si>
  <si>
    <t>PPPVT</t>
  </si>
  <si>
    <t>0.68 ; 0.808 ; 0.81 ; 0.89 ; 0.79 ; 0.858 ; 0.859 ; 0.9  ; 1.5 ; 1.5 ; 4</t>
  </si>
  <si>
    <t>The max capacity of solar (transmission)</t>
  </si>
  <si>
    <t>2018 ; 2019 ; 2020 ; 2021 ; 2022</t>
  </si>
  <si>
    <t>0.1 ; 0.1 ; 0.1 ; 0.1 ; 0.5</t>
  </si>
  <si>
    <t>PPPVTS</t>
  </si>
  <si>
    <t>The max capacity of solar (transmission  w. s.)</t>
  </si>
  <si>
    <t>0.69 ; 0.81 ; 0.811 ; 0.892 ; 0.793 ; 0.858</t>
  </si>
  <si>
    <t>The minimum production of solar (transmission w. s.)</t>
  </si>
  <si>
    <t>PPWNDON</t>
  </si>
  <si>
    <t>0.15 ; 0.15 ; 0.15 ; 0.15 ; 0.15</t>
  </si>
  <si>
    <t>The minimum production of wind</t>
  </si>
  <si>
    <t xml:space="preserve">0 ; 1.29 ; 1.307 ; 1.424 ; 0 ; 1.459 ; 1.46 ; 1.46 ; 1.5 ; 1.5 ; 1.5 ; 2 </t>
  </si>
  <si>
    <t>1.2 ; 1.3 ; 1.31 ; 1.424 ; 1.288 ; 1.46</t>
  </si>
  <si>
    <t>CapitalCost</t>
  </si>
  <si>
    <t>None</t>
  </si>
  <si>
    <t>Exact</t>
  </si>
  <si>
    <t>T5ELEAERO</t>
  </si>
  <si>
    <t>Capital cost of Aero</t>
  </si>
  <si>
    <t>FixedCost</t>
  </si>
  <si>
    <t>Fixed Cost of Aero</t>
  </si>
  <si>
    <t>T5ELEBRT</t>
  </si>
  <si>
    <t>Capital cost of Train</t>
  </si>
  <si>
    <t>Fixed Cost of Train</t>
  </si>
  <si>
    <t>Set</t>
  </si>
  <si>
    <t>Set_Index</t>
  </si>
  <si>
    <t>Bus Private Plug-in Hybrid Diesel</t>
  </si>
  <si>
    <t>TRBPRPHD</t>
  </si>
  <si>
    <t>Max</t>
  </si>
  <si>
    <t>Minibus Plug-in Hybrid Diesel</t>
  </si>
  <si>
    <t>TRMBSPHD</t>
  </si>
  <si>
    <t>Bus Public Plug-in Hybrid Diesel</t>
  </si>
  <si>
    <t>TRBPUPHD</t>
  </si>
  <si>
    <t>Light Truck Hybrid Diesel</t>
  </si>
  <si>
    <t>TRYLFHD</t>
  </si>
  <si>
    <t>Light Truck Plug-in Hybrid Diesel</t>
  </si>
  <si>
    <t>TRYLFPHD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</si>
</sst>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CFB7"/>
        <bgColor rgb="FF000000"/>
      </patternFill>
    </fill>
    <fill>
      <patternFill patternType="solid">
        <fgColor rgb="FFD3BDFF"/>
        <bgColor rgb="FF000000"/>
      </patternFill>
    </fill>
    <fill>
      <patternFill patternType="solid">
        <fgColor rgb="FFDDBA97"/>
        <bgColor rgb="FF000000"/>
      </patternFill>
    </fill>
    <fill>
      <patternFill patternType="solid">
        <fgColor rgb="FFFF6D6D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/>
    <xf numFmtId="0" fontId="2" fillId="0" borderId="16" xfId="0" applyFont="1" applyBorder="1"/>
    <xf numFmtId="0" fontId="2" fillId="0" borderId="7" xfId="0" applyFont="1" applyBorder="1"/>
    <xf numFmtId="0" fontId="2" fillId="0" borderId="17" xfId="0" applyFont="1" applyBorder="1"/>
    <xf numFmtId="0" fontId="0" fillId="0" borderId="2" xfId="0" applyBorder="1"/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8" xfId="0" applyBorder="1"/>
    <xf numFmtId="0" fontId="2" fillId="0" borderId="21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14" xfId="0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7" borderId="9" xfId="0" applyNumberFormat="1" applyFill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165" fontId="0" fillId="11" borderId="10" xfId="0" applyNumberFormat="1" applyFill="1" applyBorder="1" applyAlignment="1">
      <alignment horizontal="center" vertical="center"/>
    </xf>
    <xf numFmtId="0" fontId="2" fillId="2" borderId="15" xfId="0" applyFont="1" applyFill="1" applyBorder="1"/>
    <xf numFmtId="0" fontId="0" fillId="12" borderId="0" xfId="0" applyFill="1"/>
    <xf numFmtId="0" fontId="11" fillId="24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1" fillId="26" borderId="9" xfId="0" applyFont="1" applyFill="1" applyBorder="1" applyAlignment="1">
      <alignment horizontal="center" vertical="center"/>
    </xf>
    <xf numFmtId="0" fontId="9" fillId="7" borderId="0" xfId="0" applyFont="1" applyFill="1"/>
    <xf numFmtId="0" fontId="9" fillId="0" borderId="0" xfId="0" applyFont="1"/>
    <xf numFmtId="165" fontId="10" fillId="17" borderId="26" xfId="0" applyNumberFormat="1" applyFont="1" applyFill="1" applyBorder="1" applyAlignment="1">
      <alignment horizontal="right"/>
    </xf>
    <xf numFmtId="165" fontId="10" fillId="18" borderId="26" xfId="0" applyNumberFormat="1" applyFont="1" applyFill="1" applyBorder="1" applyAlignment="1">
      <alignment horizontal="right"/>
    </xf>
    <xf numFmtId="165" fontId="10" fillId="19" borderId="26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1" applyFont="1" applyFill="1"/>
    <xf numFmtId="166" fontId="0" fillId="0" borderId="0" xfId="0" applyNumberFormat="1"/>
    <xf numFmtId="166" fontId="0" fillId="0" borderId="0" xfId="1" applyNumberFormat="1" applyFont="1"/>
    <xf numFmtId="165" fontId="10" fillId="19" borderId="26" xfId="0" applyNumberFormat="1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/>
    </xf>
    <xf numFmtId="0" fontId="1" fillId="24" borderId="9" xfId="0" applyFont="1" applyFill="1" applyBorder="1" applyAlignment="1">
      <alignment horizontal="center" vertical="center"/>
    </xf>
    <xf numFmtId="0" fontId="1" fillId="25" borderId="9" xfId="0" applyFont="1" applyFill="1" applyBorder="1" applyAlignment="1">
      <alignment horizontal="center" vertical="center"/>
    </xf>
    <xf numFmtId="0" fontId="1" fillId="25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26" borderId="9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9" fillId="16" borderId="0" xfId="0" applyFont="1" applyFill="1" applyAlignment="1">
      <alignment horizontal="left" vertical="center"/>
    </xf>
    <xf numFmtId="0" fontId="9" fillId="23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9" fillId="15" borderId="0" xfId="0" applyFont="1" applyFill="1" applyAlignment="1">
      <alignment horizontal="left" vertical="center"/>
    </xf>
    <xf numFmtId="0" fontId="9" fillId="22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21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20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D6D"/>
      <color rgb="FFDDBA97"/>
      <color rgb="FFD3BDFF"/>
      <color rgb="FFE7C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140625" bestFit="1" customWidth="1"/>
    <col min="2" max="2" width="9" bestFit="1" customWidth="1"/>
    <col min="3" max="3" width="9" customWidth="1"/>
    <col min="4" max="4" width="9.85546875" bestFit="1" customWidth="1"/>
    <col min="5" max="5" width="9" customWidth="1"/>
    <col min="6" max="6" width="93" bestFit="1" customWidth="1"/>
  </cols>
  <sheetData>
    <row r="1" spans="1:6" ht="15.75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</row>
    <row r="2" spans="1:6" x14ac:dyDescent="0.25">
      <c r="A2" s="48" t="s">
        <v>6</v>
      </c>
      <c r="B2" s="39" t="s">
        <v>7</v>
      </c>
      <c r="C2" s="39" t="s">
        <v>7</v>
      </c>
      <c r="D2" s="39" t="s">
        <v>6</v>
      </c>
      <c r="E2" s="39" t="s">
        <v>8</v>
      </c>
      <c r="F2" s="23" t="s">
        <v>9</v>
      </c>
    </row>
    <row r="3" spans="1:6" ht="15.75" thickBot="1" x14ac:dyDescent="0.3">
      <c r="A3" s="4"/>
      <c r="B3" s="6"/>
      <c r="C3" s="6"/>
      <c r="D3" s="6"/>
      <c r="E3" s="6"/>
      <c r="F3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F3" sqref="F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12</v>
      </c>
      <c r="B1" s="2" t="s">
        <v>13</v>
      </c>
    </row>
    <row r="2" spans="1:2" x14ac:dyDescent="0.25">
      <c r="A2" t="s">
        <v>14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A2" sqref="A2:D8"/>
    </sheetView>
  </sheetViews>
  <sheetFormatPr defaultColWidth="8.85546875" defaultRowHeight="15" x14ac:dyDescent="0.25"/>
  <cols>
    <col min="2" max="2" width="41.42578125" bestFit="1" customWidth="1"/>
    <col min="3" max="3" width="16.85546875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14" t="s">
        <v>15</v>
      </c>
      <c r="B1" s="15" t="s">
        <v>16</v>
      </c>
      <c r="C1" s="15" t="s">
        <v>17</v>
      </c>
      <c r="D1" s="16" t="s">
        <v>18</v>
      </c>
    </row>
    <row r="2" spans="1:4" x14ac:dyDescent="0.25">
      <c r="A2" s="44"/>
      <c r="B2" s="45"/>
      <c r="C2" s="61"/>
      <c r="D2" s="73"/>
    </row>
    <row r="3" spans="1:4" x14ac:dyDescent="0.25">
      <c r="A3" s="11"/>
      <c r="B3" s="7"/>
      <c r="C3" s="49"/>
      <c r="D3" s="70"/>
    </row>
    <row r="4" spans="1:4" x14ac:dyDescent="0.25">
      <c r="A4" s="11"/>
      <c r="B4" s="7"/>
      <c r="C4" s="49"/>
      <c r="D4" s="3"/>
    </row>
    <row r="5" spans="1:4" x14ac:dyDescent="0.25">
      <c r="A5" s="11"/>
      <c r="B5" s="7"/>
      <c r="C5" s="49"/>
      <c r="D5" s="3"/>
    </row>
    <row r="6" spans="1:4" x14ac:dyDescent="0.25">
      <c r="A6" s="11"/>
      <c r="B6" s="7"/>
      <c r="C6" s="49"/>
      <c r="D6" s="3"/>
    </row>
    <row r="7" spans="1:4" x14ac:dyDescent="0.25">
      <c r="A7" s="11"/>
      <c r="B7" s="7"/>
      <c r="C7" s="49"/>
      <c r="D7" s="70"/>
    </row>
    <row r="8" spans="1:4" ht="15.75" thickBot="1" x14ac:dyDescent="0.3">
      <c r="A8" s="11"/>
      <c r="B8" s="13"/>
      <c r="C8" s="50"/>
      <c r="D8" s="7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  <c r="D15" s="60"/>
    </row>
    <row r="16" spans="1:4" x14ac:dyDescent="0.25">
      <c r="A16" s="1"/>
      <c r="B16" s="1"/>
      <c r="C16" s="1"/>
    </row>
    <row r="17" spans="2:2" x14ac:dyDescent="0.25">
      <c r="B17" s="59"/>
    </row>
    <row r="18" spans="2:2" x14ac:dyDescent="0.25">
      <c r="B1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R6"/>
  <sheetViews>
    <sheetView workbookViewId="0">
      <selection activeCell="A2" sqref="A2:Q3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42578125" bestFit="1" customWidth="1"/>
    <col min="4" max="4" width="14" bestFit="1" customWidth="1"/>
    <col min="5" max="5" width="14" customWidth="1"/>
    <col min="6" max="7" width="7.28515625" bestFit="1" customWidth="1"/>
    <col min="8" max="8" width="6.140625" bestFit="1" customWidth="1"/>
    <col min="9" max="10" width="6" bestFit="1" customWidth="1"/>
    <col min="11" max="12" width="6.42578125" bestFit="1" customWidth="1"/>
    <col min="13" max="14" width="5" bestFit="1" customWidth="1"/>
    <col min="15" max="15" width="7" bestFit="1" customWidth="1"/>
    <col min="16" max="16" width="7" customWidth="1"/>
    <col min="17" max="17" width="7" bestFit="1" customWidth="1"/>
  </cols>
  <sheetData>
    <row r="1" spans="1:18" x14ac:dyDescent="0.25">
      <c r="A1" s="8" t="s">
        <v>15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  <c r="Q1" s="10" t="s">
        <v>34</v>
      </c>
    </row>
    <row r="2" spans="1:18" x14ac:dyDescent="0.25">
      <c r="A2" s="11"/>
      <c r="B2" s="7"/>
      <c r="C2" s="7"/>
      <c r="D2" s="49"/>
      <c r="E2" s="49"/>
      <c r="F2" s="49"/>
      <c r="G2" s="7"/>
      <c r="H2" s="7"/>
      <c r="I2" s="7"/>
      <c r="J2" s="7"/>
      <c r="K2" s="69"/>
      <c r="L2" s="51"/>
      <c r="M2" s="7"/>
      <c r="N2" s="7"/>
      <c r="O2" s="18"/>
      <c r="P2" s="18"/>
      <c r="Q2" s="17"/>
    </row>
    <row r="3" spans="1:18" ht="15.75" thickBot="1" x14ac:dyDescent="0.3">
      <c r="A3" s="12"/>
      <c r="B3" s="13"/>
      <c r="C3" s="13"/>
      <c r="D3" s="50"/>
      <c r="E3" s="50"/>
      <c r="F3" s="50"/>
      <c r="G3" s="13"/>
      <c r="H3" s="13"/>
      <c r="I3" s="13"/>
      <c r="J3" s="13"/>
      <c r="K3" s="72"/>
      <c r="L3" s="52"/>
      <c r="M3" s="13"/>
      <c r="N3" s="13"/>
      <c r="O3" s="46"/>
      <c r="P3" s="46"/>
      <c r="Q3" s="47"/>
    </row>
    <row r="4" spans="1:18" x14ac:dyDescent="0.25">
      <c r="A4" s="1"/>
      <c r="B4" s="1"/>
      <c r="C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8"/>
  <sheetViews>
    <sheetView workbookViewId="0">
      <selection activeCell="A2" sqref="A2:D8"/>
    </sheetView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14" t="s">
        <v>15</v>
      </c>
      <c r="B1" s="15" t="s">
        <v>16</v>
      </c>
      <c r="C1" s="15" t="s">
        <v>17</v>
      </c>
      <c r="D1" s="16" t="s">
        <v>37</v>
      </c>
    </row>
    <row r="2" spans="1:4" x14ac:dyDescent="0.25">
      <c r="A2" s="44"/>
      <c r="B2" s="45"/>
      <c r="C2" s="61"/>
      <c r="D2" s="19"/>
    </row>
    <row r="3" spans="1:4" x14ac:dyDescent="0.25">
      <c r="A3" s="11"/>
      <c r="B3" s="7"/>
      <c r="C3" s="49"/>
      <c r="D3" s="3"/>
    </row>
    <row r="4" spans="1:4" x14ac:dyDescent="0.25">
      <c r="A4" s="11"/>
      <c r="B4" s="7"/>
      <c r="C4" s="49"/>
      <c r="D4" s="3"/>
    </row>
    <row r="5" spans="1:4" x14ac:dyDescent="0.25">
      <c r="A5" s="11"/>
      <c r="B5" s="7"/>
      <c r="C5" s="49"/>
      <c r="D5" s="3"/>
    </row>
    <row r="6" spans="1:4" x14ac:dyDescent="0.25">
      <c r="A6" s="11"/>
      <c r="B6" s="7"/>
      <c r="C6" s="49"/>
      <c r="D6" s="3"/>
    </row>
    <row r="7" spans="1:4" x14ac:dyDescent="0.25">
      <c r="A7" s="11"/>
      <c r="B7" s="7"/>
      <c r="C7" s="49"/>
      <c r="D7" s="3"/>
    </row>
    <row r="8" spans="1:4" ht="15.75" thickBot="1" x14ac:dyDescent="0.3">
      <c r="A8" s="11"/>
      <c r="B8" s="13"/>
      <c r="C8" s="50"/>
      <c r="D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23"/>
  <sheetViews>
    <sheetView zoomScaleNormal="100" workbookViewId="0">
      <pane ySplit="1" topLeftCell="A2" activePane="bottomLeft" state="frozen"/>
      <selection pane="bottomLeft" activeCell="A2" sqref="A2:Q23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6" customWidth="1"/>
    <col min="5" max="5" width="17.28515625" bestFit="1" customWidth="1"/>
    <col min="6" max="6" width="10.42578125" bestFit="1" customWidth="1"/>
    <col min="7" max="8" width="8.42578125" bestFit="1" customWidth="1"/>
    <col min="10" max="12" width="6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42578125" bestFit="1" customWidth="1"/>
    <col min="20" max="20" width="16.7109375" bestFit="1" customWidth="1"/>
  </cols>
  <sheetData>
    <row r="1" spans="1:17" ht="15.75" thickBot="1" x14ac:dyDescent="0.3">
      <c r="A1" s="14" t="s">
        <v>15</v>
      </c>
      <c r="B1" s="40" t="s">
        <v>38</v>
      </c>
      <c r="C1" s="15" t="s">
        <v>19</v>
      </c>
      <c r="D1" s="15" t="s">
        <v>20</v>
      </c>
      <c r="E1" s="15" t="s">
        <v>21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6" t="s">
        <v>39</v>
      </c>
    </row>
    <row r="2" spans="1:17" ht="15.75" x14ac:dyDescent="0.25">
      <c r="A2" s="92"/>
      <c r="B2" s="92"/>
      <c r="C2" s="92"/>
      <c r="D2" s="92"/>
      <c r="E2" s="92"/>
      <c r="F2" s="92"/>
      <c r="G2" s="92"/>
      <c r="H2" s="92"/>
      <c r="I2" s="92"/>
      <c r="J2" s="93"/>
      <c r="K2" s="93"/>
      <c r="L2" s="93"/>
      <c r="M2" s="92"/>
      <c r="N2" s="92"/>
      <c r="O2" s="92"/>
      <c r="P2" s="92"/>
      <c r="Q2" s="92"/>
    </row>
    <row r="3" spans="1:17" ht="15.75" x14ac:dyDescent="0.25">
      <c r="A3" s="94"/>
      <c r="B3" s="94"/>
      <c r="C3" s="94"/>
      <c r="D3" s="75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15.75" x14ac:dyDescent="0.25">
      <c r="A4" s="94"/>
      <c r="B4" s="94"/>
      <c r="C4" s="94"/>
      <c r="D4" s="75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1:17" ht="15.75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</row>
    <row r="6" spans="1:17" ht="15.75" x14ac:dyDescent="0.25">
      <c r="A6" s="94"/>
      <c r="B6" s="94"/>
      <c r="C6" s="94"/>
      <c r="D6" s="75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ht="15.75" x14ac:dyDescent="0.25">
      <c r="A7" s="94"/>
      <c r="B7" s="94"/>
      <c r="C7" s="94"/>
      <c r="D7" s="75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1:17" ht="15.75" x14ac:dyDescent="0.25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</row>
    <row r="9" spans="1:17" ht="15.75" x14ac:dyDescent="0.25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</row>
    <row r="10" spans="1:17" ht="15.75" x14ac:dyDescent="0.25">
      <c r="A10" s="94"/>
      <c r="B10" s="94"/>
      <c r="C10" s="94"/>
      <c r="D10" s="75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1:17" ht="15.75" x14ac:dyDescent="0.25">
      <c r="A11" s="94"/>
      <c r="B11" s="94"/>
      <c r="C11" s="94"/>
      <c r="D11" s="75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1:17" ht="15.75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</row>
    <row r="13" spans="1:17" ht="15.75" x14ac:dyDescent="0.25">
      <c r="A13" s="95"/>
      <c r="B13" s="95"/>
      <c r="C13" s="95"/>
      <c r="D13" s="95"/>
      <c r="E13" s="95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</row>
    <row r="14" spans="1:17" ht="15.75" x14ac:dyDescent="0.25">
      <c r="A14" s="80"/>
      <c r="B14" s="80"/>
      <c r="C14" s="80"/>
      <c r="D14" s="76"/>
      <c r="E14" s="8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</row>
    <row r="15" spans="1:17" ht="15.75" x14ac:dyDescent="0.2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</row>
    <row r="16" spans="1:17" ht="15.75" x14ac:dyDescent="0.25">
      <c r="A16" s="95"/>
      <c r="B16" s="95"/>
      <c r="C16" s="95"/>
      <c r="D16" s="95"/>
      <c r="E16" s="95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</row>
    <row r="17" spans="1:17" ht="15.75" x14ac:dyDescent="0.25">
      <c r="A17" s="80"/>
      <c r="B17" s="80"/>
      <c r="C17" s="80"/>
      <c r="D17" s="76"/>
      <c r="E17" s="80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</row>
    <row r="18" spans="1:17" ht="15.75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8"/>
      <c r="K18" s="92"/>
      <c r="L18" s="92"/>
      <c r="M18" s="92"/>
      <c r="N18" s="92"/>
      <c r="O18" s="92"/>
      <c r="P18" s="92"/>
      <c r="Q18" s="92"/>
    </row>
    <row r="19" spans="1:17" ht="15.75" x14ac:dyDescent="0.25">
      <c r="A19" s="95"/>
      <c r="B19" s="95"/>
      <c r="C19" s="95"/>
      <c r="D19" s="95"/>
      <c r="E19" s="95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</row>
    <row r="20" spans="1:17" ht="15.75" x14ac:dyDescent="0.25">
      <c r="A20" s="80"/>
      <c r="B20" s="80"/>
      <c r="C20" s="80"/>
      <c r="D20" s="76"/>
      <c r="E20" s="80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</row>
    <row r="21" spans="1:17" ht="15.75" x14ac:dyDescent="0.25">
      <c r="A21" s="77"/>
      <c r="B21" s="78"/>
      <c r="C21" s="79"/>
      <c r="D21" s="79"/>
      <c r="E21" s="79"/>
      <c r="F21" s="92"/>
      <c r="G21" s="92"/>
      <c r="H21" s="92"/>
      <c r="I21" s="92"/>
      <c r="J21" s="81"/>
      <c r="K21" s="92"/>
      <c r="L21" s="92"/>
      <c r="M21" s="92"/>
      <c r="N21" s="92"/>
      <c r="O21" s="92"/>
      <c r="P21" s="92"/>
      <c r="Q21" s="99"/>
    </row>
    <row r="22" spans="1:17" ht="15.75" x14ac:dyDescent="0.25">
      <c r="A22" s="80"/>
      <c r="B22" s="80"/>
      <c r="C22" s="80"/>
      <c r="D22" s="76"/>
      <c r="E22" s="80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</row>
    <row r="23" spans="1:17" ht="15.75" x14ac:dyDescent="0.25">
      <c r="A23" s="80"/>
      <c r="B23" s="80"/>
      <c r="C23" s="80"/>
      <c r="D23" s="76"/>
      <c r="E23" s="8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</row>
  </sheetData>
  <autoFilter ref="A1:Q1" xr:uid="{06AEFB00-1289-4B8E-87A3-B856D2DE3F1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34"/>
  <sheetViews>
    <sheetView zoomScale="85" zoomScaleNormal="85" workbookViewId="0">
      <pane xSplit="3" topLeftCell="D1" activePane="topRight" state="frozen"/>
      <selection pane="topRight" activeCell="D15" sqref="D15"/>
    </sheetView>
  </sheetViews>
  <sheetFormatPr defaultColWidth="8.85546875" defaultRowHeight="15" x14ac:dyDescent="0.25"/>
  <cols>
    <col min="1" max="1" width="12" bestFit="1" customWidth="1"/>
    <col min="2" max="2" width="35" bestFit="1" customWidth="1"/>
    <col min="3" max="3" width="10.42578125" customWidth="1"/>
    <col min="4" max="4" width="45.140625" customWidth="1"/>
    <col min="5" max="5" width="17.42578125" customWidth="1"/>
    <col min="6" max="6" width="15" customWidth="1"/>
    <col min="7" max="7" width="59" customWidth="1"/>
    <col min="8" max="8" width="64.28515625" bestFit="1" customWidth="1"/>
    <col min="9" max="9" width="13.140625" bestFit="1" customWidth="1"/>
    <col min="10" max="10" width="14" customWidth="1"/>
    <col min="11" max="11" width="13.140625" customWidth="1"/>
    <col min="12" max="12" width="8.85546875" customWidth="1"/>
    <col min="13" max="13" width="12.42578125" customWidth="1"/>
    <col min="14" max="14" width="44" customWidth="1"/>
  </cols>
  <sheetData>
    <row r="1" spans="1:14" ht="30" x14ac:dyDescent="0.25">
      <c r="A1" s="100" t="s">
        <v>15</v>
      </c>
      <c r="B1" s="101" t="s">
        <v>12</v>
      </c>
      <c r="C1" s="101" t="s">
        <v>21</v>
      </c>
      <c r="D1" s="101" t="s">
        <v>49</v>
      </c>
      <c r="E1" s="102" t="s">
        <v>50</v>
      </c>
      <c r="F1" s="101" t="s">
        <v>25</v>
      </c>
      <c r="G1" s="103" t="s">
        <v>51</v>
      </c>
      <c r="H1" s="103" t="s">
        <v>52</v>
      </c>
      <c r="I1" s="101" t="s">
        <v>31</v>
      </c>
      <c r="J1" s="102" t="s">
        <v>53</v>
      </c>
      <c r="K1" s="102" t="s">
        <v>54</v>
      </c>
      <c r="L1" s="104" t="s">
        <v>55</v>
      </c>
      <c r="M1" s="105" t="s">
        <v>56</v>
      </c>
      <c r="N1" s="106" t="s">
        <v>57</v>
      </c>
    </row>
    <row r="2" spans="1:14" x14ac:dyDescent="0.25">
      <c r="A2" s="107" t="s">
        <v>6</v>
      </c>
      <c r="B2" s="107" t="s">
        <v>58</v>
      </c>
      <c r="C2" s="107" t="s">
        <v>59</v>
      </c>
      <c r="D2" s="107" t="s">
        <v>60</v>
      </c>
      <c r="E2" s="107" t="s">
        <v>11</v>
      </c>
      <c r="F2" s="107" t="s">
        <v>7</v>
      </c>
      <c r="G2" s="107" t="s">
        <v>61</v>
      </c>
      <c r="H2" s="107" t="s">
        <v>62</v>
      </c>
      <c r="I2" s="107">
        <v>2032</v>
      </c>
      <c r="J2" s="107">
        <v>2032</v>
      </c>
      <c r="K2" s="107">
        <v>0</v>
      </c>
      <c r="L2" s="107" t="s">
        <v>63</v>
      </c>
      <c r="M2" s="107">
        <v>0.95</v>
      </c>
      <c r="N2" s="107" t="s">
        <v>64</v>
      </c>
    </row>
    <row r="3" spans="1:14" x14ac:dyDescent="0.25">
      <c r="A3" s="107" t="s">
        <v>6</v>
      </c>
      <c r="B3" s="107" t="s">
        <v>65</v>
      </c>
      <c r="C3" s="107" t="s">
        <v>59</v>
      </c>
      <c r="D3" s="107" t="s">
        <v>60</v>
      </c>
      <c r="E3" s="107" t="s">
        <v>11</v>
      </c>
      <c r="F3" s="107" t="s">
        <v>7</v>
      </c>
      <c r="G3" s="107" t="s">
        <v>61</v>
      </c>
      <c r="H3" s="107" t="s">
        <v>66</v>
      </c>
      <c r="I3" s="107"/>
      <c r="J3" s="107">
        <v>2032</v>
      </c>
      <c r="K3" s="107">
        <v>0</v>
      </c>
      <c r="L3" s="107" t="s">
        <v>63</v>
      </c>
      <c r="M3" s="107">
        <v>0.95</v>
      </c>
      <c r="N3" s="107" t="s">
        <v>67</v>
      </c>
    </row>
    <row r="4" spans="1:14" x14ac:dyDescent="0.25">
      <c r="A4" s="108" t="s">
        <v>6</v>
      </c>
      <c r="B4" s="108" t="s">
        <v>58</v>
      </c>
      <c r="C4" s="108" t="s">
        <v>68</v>
      </c>
      <c r="D4" s="108" t="s">
        <v>69</v>
      </c>
      <c r="E4" s="108" t="s">
        <v>11</v>
      </c>
      <c r="F4" s="108" t="s">
        <v>7</v>
      </c>
      <c r="G4" s="108" t="s">
        <v>70</v>
      </c>
      <c r="H4" s="108" t="s">
        <v>71</v>
      </c>
      <c r="I4" s="108">
        <v>2031</v>
      </c>
      <c r="J4" s="108">
        <v>2050</v>
      </c>
      <c r="K4" s="108">
        <v>4.2050000000000001</v>
      </c>
      <c r="L4" s="108" t="s">
        <v>63</v>
      </c>
      <c r="M4" s="108">
        <v>0.8</v>
      </c>
      <c r="N4" s="108" t="s">
        <v>64</v>
      </c>
    </row>
    <row r="5" spans="1:14" x14ac:dyDescent="0.25">
      <c r="A5" s="108" t="s">
        <v>72</v>
      </c>
      <c r="B5" s="108" t="s">
        <v>65</v>
      </c>
      <c r="C5" s="108" t="s">
        <v>68</v>
      </c>
      <c r="D5" s="108" t="s">
        <v>73</v>
      </c>
      <c r="E5" s="108" t="s">
        <v>11</v>
      </c>
      <c r="F5" s="108" t="s">
        <v>7</v>
      </c>
      <c r="G5" s="108">
        <v>2018</v>
      </c>
      <c r="H5" s="108">
        <v>9.4E-2</v>
      </c>
      <c r="I5" s="108"/>
      <c r="J5" s="108">
        <v>2019</v>
      </c>
      <c r="K5" s="108">
        <v>14</v>
      </c>
      <c r="L5" s="108" t="s">
        <v>63</v>
      </c>
      <c r="M5" s="108">
        <v>0.8</v>
      </c>
      <c r="N5" s="108" t="s">
        <v>67</v>
      </c>
    </row>
    <row r="6" spans="1:14" x14ac:dyDescent="0.25">
      <c r="A6" s="109" t="s">
        <v>6</v>
      </c>
      <c r="B6" s="109" t="s">
        <v>58</v>
      </c>
      <c r="C6" s="109" t="s">
        <v>74</v>
      </c>
      <c r="D6" s="109" t="s">
        <v>75</v>
      </c>
      <c r="E6" s="109" t="s">
        <v>11</v>
      </c>
      <c r="F6" s="109" t="s">
        <v>7</v>
      </c>
      <c r="G6" s="109" t="s">
        <v>76</v>
      </c>
      <c r="H6" s="109" t="s">
        <v>77</v>
      </c>
      <c r="I6" s="109">
        <v>2029</v>
      </c>
      <c r="J6" s="109">
        <v>2050</v>
      </c>
      <c r="K6" s="109">
        <v>22</v>
      </c>
      <c r="L6" s="109" t="s">
        <v>63</v>
      </c>
      <c r="M6" s="109">
        <v>0.8</v>
      </c>
      <c r="N6" s="109" t="s">
        <v>64</v>
      </c>
    </row>
    <row r="7" spans="1:14" x14ac:dyDescent="0.25">
      <c r="A7" s="110" t="s">
        <v>72</v>
      </c>
      <c r="B7" s="110" t="s">
        <v>79</v>
      </c>
      <c r="C7" s="110" t="s">
        <v>80</v>
      </c>
      <c r="D7" s="110" t="s">
        <v>81</v>
      </c>
      <c r="E7" s="110" t="s">
        <v>7</v>
      </c>
      <c r="F7" s="110" t="s">
        <v>7</v>
      </c>
      <c r="G7" s="110" t="s">
        <v>82</v>
      </c>
      <c r="H7" s="110" t="s">
        <v>83</v>
      </c>
      <c r="I7" s="110"/>
      <c r="J7" s="110">
        <v>2050</v>
      </c>
      <c r="K7" s="110">
        <v>0.73404870899999997</v>
      </c>
      <c r="L7" s="110" t="s">
        <v>84</v>
      </c>
      <c r="M7" s="110">
        <v>1</v>
      </c>
      <c r="N7" s="110" t="s">
        <v>85</v>
      </c>
    </row>
    <row r="8" spans="1:14" x14ac:dyDescent="0.25">
      <c r="A8" s="110" t="s">
        <v>6</v>
      </c>
      <c r="B8" s="110" t="s">
        <v>58</v>
      </c>
      <c r="C8" s="110" t="s">
        <v>80</v>
      </c>
      <c r="D8" s="110" t="s">
        <v>86</v>
      </c>
      <c r="E8" s="110" t="s">
        <v>11</v>
      </c>
      <c r="F8" s="110" t="s">
        <v>7</v>
      </c>
      <c r="G8" s="110" t="s">
        <v>82</v>
      </c>
      <c r="H8" s="110" t="s">
        <v>87</v>
      </c>
      <c r="I8" s="110">
        <v>2024</v>
      </c>
      <c r="J8" s="110">
        <v>2050</v>
      </c>
      <c r="K8" s="110">
        <v>15.92</v>
      </c>
      <c r="L8" s="110" t="s">
        <v>63</v>
      </c>
      <c r="M8" s="110">
        <v>0.8</v>
      </c>
      <c r="N8" s="110" t="s">
        <v>64</v>
      </c>
    </row>
    <row r="9" spans="1:14" x14ac:dyDescent="0.25">
      <c r="A9" s="111" t="s">
        <v>6</v>
      </c>
      <c r="B9" s="111" t="s">
        <v>58</v>
      </c>
      <c r="C9" s="111" t="s">
        <v>88</v>
      </c>
      <c r="D9" s="111" t="s">
        <v>89</v>
      </c>
      <c r="E9" s="111" t="s">
        <v>11</v>
      </c>
      <c r="F9" s="111" t="s">
        <v>7</v>
      </c>
      <c r="G9" s="111" t="s">
        <v>90</v>
      </c>
      <c r="H9" s="111" t="s">
        <v>91</v>
      </c>
      <c r="I9" s="111">
        <v>2026</v>
      </c>
      <c r="J9" s="111">
        <v>2050</v>
      </c>
      <c r="K9" s="111">
        <v>1.7000000000000001E-2</v>
      </c>
      <c r="L9" s="111" t="s">
        <v>63</v>
      </c>
      <c r="M9" s="111">
        <v>0.8</v>
      </c>
      <c r="N9" s="111" t="s">
        <v>64</v>
      </c>
    </row>
    <row r="10" spans="1:14" x14ac:dyDescent="0.25">
      <c r="A10" s="112" t="s">
        <v>6</v>
      </c>
      <c r="B10" s="112" t="s">
        <v>58</v>
      </c>
      <c r="C10" s="112" t="s">
        <v>92</v>
      </c>
      <c r="D10" s="112" t="s">
        <v>93</v>
      </c>
      <c r="E10" s="112" t="s">
        <v>11</v>
      </c>
      <c r="F10" s="112" t="s">
        <v>7</v>
      </c>
      <c r="G10" s="112" t="s">
        <v>94</v>
      </c>
      <c r="H10" s="112" t="s">
        <v>95</v>
      </c>
      <c r="I10" s="112">
        <v>2025</v>
      </c>
      <c r="J10" s="112">
        <v>2050</v>
      </c>
      <c r="K10" s="112">
        <v>2.5099999999999998</v>
      </c>
      <c r="L10" s="112" t="s">
        <v>63</v>
      </c>
      <c r="M10" s="112">
        <v>0.8</v>
      </c>
      <c r="N10" s="112" t="s">
        <v>64</v>
      </c>
    </row>
    <row r="11" spans="1:14" x14ac:dyDescent="0.25">
      <c r="A11" s="113" t="s">
        <v>72</v>
      </c>
      <c r="B11" s="113" t="s">
        <v>96</v>
      </c>
      <c r="C11" s="113" t="s">
        <v>97</v>
      </c>
      <c r="D11" s="113" t="s">
        <v>98</v>
      </c>
      <c r="E11" s="113" t="s">
        <v>7</v>
      </c>
      <c r="F11" s="113" t="s">
        <v>7</v>
      </c>
      <c r="G11" s="113" t="s">
        <v>99</v>
      </c>
      <c r="H11" s="113" t="s">
        <v>100</v>
      </c>
      <c r="I11" s="113"/>
      <c r="J11" s="113">
        <v>2022</v>
      </c>
      <c r="K11" s="113">
        <v>1</v>
      </c>
      <c r="L11" s="113" t="s">
        <v>101</v>
      </c>
      <c r="M11" s="113">
        <v>1</v>
      </c>
      <c r="N11" s="113" t="s">
        <v>85</v>
      </c>
    </row>
    <row r="12" spans="1:14" x14ac:dyDescent="0.25">
      <c r="A12" s="113" t="s">
        <v>72</v>
      </c>
      <c r="B12" s="113" t="s">
        <v>102</v>
      </c>
      <c r="C12" s="113" t="s">
        <v>97</v>
      </c>
      <c r="D12" s="113" t="s">
        <v>103</v>
      </c>
      <c r="E12" s="113" t="s">
        <v>11</v>
      </c>
      <c r="F12" s="113" t="s">
        <v>7</v>
      </c>
      <c r="G12" s="113">
        <v>2018</v>
      </c>
      <c r="H12" s="113">
        <v>0</v>
      </c>
      <c r="I12" s="113"/>
      <c r="J12" s="113">
        <v>2024</v>
      </c>
      <c r="K12" s="113">
        <v>1</v>
      </c>
      <c r="L12" s="113" t="s">
        <v>101</v>
      </c>
      <c r="M12" s="113">
        <v>1</v>
      </c>
      <c r="N12" s="113" t="s">
        <v>67</v>
      </c>
    </row>
    <row r="13" spans="1:14" x14ac:dyDescent="0.25">
      <c r="A13" s="113" t="s">
        <v>6</v>
      </c>
      <c r="B13" s="113" t="s">
        <v>58</v>
      </c>
      <c r="C13" s="113" t="s">
        <v>97</v>
      </c>
      <c r="D13" s="113" t="s">
        <v>104</v>
      </c>
      <c r="E13" s="113" t="s">
        <v>11</v>
      </c>
      <c r="F13" s="113" t="s">
        <v>7</v>
      </c>
      <c r="G13" s="113" t="s">
        <v>105</v>
      </c>
      <c r="H13" s="113" t="s">
        <v>106</v>
      </c>
      <c r="I13" s="113">
        <v>2034</v>
      </c>
      <c r="J13" s="113">
        <v>2050</v>
      </c>
      <c r="K13" s="113">
        <v>12.9</v>
      </c>
      <c r="L13" s="113" t="s">
        <v>63</v>
      </c>
      <c r="M13" s="113">
        <v>0.8</v>
      </c>
      <c r="N13" s="113" t="s">
        <v>64</v>
      </c>
    </row>
    <row r="14" spans="1:14" x14ac:dyDescent="0.25">
      <c r="A14" s="113" t="s">
        <v>6</v>
      </c>
      <c r="B14" s="113" t="s">
        <v>107</v>
      </c>
      <c r="C14" s="113" t="s">
        <v>97</v>
      </c>
      <c r="D14" s="113" t="s">
        <v>108</v>
      </c>
      <c r="E14" s="113" t="s">
        <v>7</v>
      </c>
      <c r="F14" s="113" t="s">
        <v>7</v>
      </c>
      <c r="G14" s="113" t="s">
        <v>109</v>
      </c>
      <c r="H14" s="113" t="s">
        <v>110</v>
      </c>
      <c r="I14" s="113"/>
      <c r="J14" s="113">
        <v>2042</v>
      </c>
      <c r="K14" s="113">
        <v>0</v>
      </c>
      <c r="L14" s="113" t="s">
        <v>101</v>
      </c>
      <c r="M14" s="113">
        <v>1</v>
      </c>
      <c r="N14" s="113" t="s">
        <v>85</v>
      </c>
    </row>
    <row r="15" spans="1:14" x14ac:dyDescent="0.25">
      <c r="A15" s="113" t="s">
        <v>72</v>
      </c>
      <c r="B15" s="113" t="s">
        <v>65</v>
      </c>
      <c r="C15" s="113" t="s">
        <v>97</v>
      </c>
      <c r="D15" s="113" t="s">
        <v>104</v>
      </c>
      <c r="E15" s="113" t="s">
        <v>11</v>
      </c>
      <c r="F15" s="113" t="s">
        <v>7</v>
      </c>
      <c r="G15" s="113" t="s">
        <v>82</v>
      </c>
      <c r="H15" s="113" t="s">
        <v>111</v>
      </c>
      <c r="I15" s="113"/>
      <c r="J15" s="113">
        <v>2024</v>
      </c>
      <c r="K15" s="113">
        <v>50</v>
      </c>
      <c r="L15" s="113" t="s">
        <v>63</v>
      </c>
      <c r="M15" s="113">
        <v>0.8</v>
      </c>
      <c r="N15" s="113" t="s">
        <v>67</v>
      </c>
    </row>
    <row r="16" spans="1:14" x14ac:dyDescent="0.25">
      <c r="A16" s="114" t="s">
        <v>6</v>
      </c>
      <c r="B16" s="114" t="s">
        <v>65</v>
      </c>
      <c r="C16" s="114" t="s">
        <v>112</v>
      </c>
      <c r="D16" s="114" t="s">
        <v>113</v>
      </c>
      <c r="E16" s="114" t="s">
        <v>11</v>
      </c>
      <c r="F16" s="114" t="s">
        <v>7</v>
      </c>
      <c r="G16" s="114" t="s">
        <v>94</v>
      </c>
      <c r="H16" s="114" t="s">
        <v>114</v>
      </c>
      <c r="I16" s="114"/>
      <c r="J16" s="114">
        <v>2025</v>
      </c>
      <c r="K16" s="114">
        <v>100</v>
      </c>
      <c r="L16" s="114" t="s">
        <v>63</v>
      </c>
      <c r="M16" s="114">
        <v>0.8</v>
      </c>
      <c r="N16" s="107" t="s">
        <v>67</v>
      </c>
    </row>
    <row r="17" spans="1:14" x14ac:dyDescent="0.25">
      <c r="A17" s="114" t="s">
        <v>6</v>
      </c>
      <c r="B17" s="114" t="s">
        <v>58</v>
      </c>
      <c r="C17" s="114" t="s">
        <v>112</v>
      </c>
      <c r="D17" s="114" t="s">
        <v>113</v>
      </c>
      <c r="E17" s="114" t="s">
        <v>11</v>
      </c>
      <c r="F17" s="114" t="s">
        <v>7</v>
      </c>
      <c r="G17" s="114" t="s">
        <v>115</v>
      </c>
      <c r="H17" s="114" t="s">
        <v>116</v>
      </c>
      <c r="I17" s="114">
        <v>2030</v>
      </c>
      <c r="J17" s="114">
        <v>2050</v>
      </c>
      <c r="K17" s="114">
        <v>54.14</v>
      </c>
      <c r="L17" s="114" t="s">
        <v>63</v>
      </c>
      <c r="M17" s="114">
        <v>0.8</v>
      </c>
      <c r="N17" s="114" t="s">
        <v>64</v>
      </c>
    </row>
    <row r="18" spans="1:14" x14ac:dyDescent="0.25">
      <c r="A18" s="114" t="s">
        <v>6</v>
      </c>
      <c r="B18" s="114" t="s">
        <v>65</v>
      </c>
      <c r="C18" s="114" t="s">
        <v>117</v>
      </c>
      <c r="D18" s="114" t="s">
        <v>118</v>
      </c>
      <c r="E18" s="114" t="s">
        <v>11</v>
      </c>
      <c r="F18" s="114" t="s">
        <v>7</v>
      </c>
      <c r="G18" s="114" t="s">
        <v>94</v>
      </c>
      <c r="H18" s="114" t="s">
        <v>119</v>
      </c>
      <c r="I18" s="114"/>
      <c r="J18" s="114">
        <v>2025</v>
      </c>
      <c r="K18" s="114">
        <v>100</v>
      </c>
      <c r="L18" s="114" t="s">
        <v>63</v>
      </c>
      <c r="M18" s="114">
        <v>0.8</v>
      </c>
      <c r="N18" s="107" t="s">
        <v>67</v>
      </c>
    </row>
    <row r="19" spans="1:14" x14ac:dyDescent="0.25">
      <c r="A19" s="114" t="s">
        <v>6</v>
      </c>
      <c r="B19" s="114" t="s">
        <v>58</v>
      </c>
      <c r="C19" s="114" t="s">
        <v>117</v>
      </c>
      <c r="D19" s="114" t="s">
        <v>118</v>
      </c>
      <c r="E19" s="114" t="s">
        <v>11</v>
      </c>
      <c r="F19" s="114" t="s">
        <v>7</v>
      </c>
      <c r="G19" s="114" t="s">
        <v>78</v>
      </c>
      <c r="H19" s="114" t="s">
        <v>120</v>
      </c>
      <c r="I19" s="114">
        <v>2031</v>
      </c>
      <c r="J19" s="114">
        <v>2050</v>
      </c>
      <c r="K19" s="114">
        <v>8.1199999999999992</v>
      </c>
      <c r="L19" s="114" t="s">
        <v>63</v>
      </c>
      <c r="M19" s="114">
        <v>0.8</v>
      </c>
      <c r="N19" s="114" t="s">
        <v>64</v>
      </c>
    </row>
    <row r="20" spans="1:14" x14ac:dyDescent="0.25">
      <c r="A20" s="115" t="s">
        <v>6</v>
      </c>
      <c r="B20" s="115" t="s">
        <v>58</v>
      </c>
      <c r="C20" s="115" t="s">
        <v>121</v>
      </c>
      <c r="D20" s="115" t="s">
        <v>122</v>
      </c>
      <c r="E20" s="115" t="s">
        <v>11</v>
      </c>
      <c r="F20" s="115" t="s">
        <v>7</v>
      </c>
      <c r="G20" s="115" t="s">
        <v>78</v>
      </c>
      <c r="H20" s="115" t="s">
        <v>123</v>
      </c>
      <c r="I20" s="115">
        <v>2031</v>
      </c>
      <c r="J20" s="115">
        <v>2050</v>
      </c>
      <c r="K20" s="115">
        <v>13.9</v>
      </c>
      <c r="L20" s="115" t="s">
        <v>63</v>
      </c>
      <c r="M20" s="115">
        <v>0.8</v>
      </c>
      <c r="N20" s="115" t="s">
        <v>64</v>
      </c>
    </row>
    <row r="21" spans="1:14" x14ac:dyDescent="0.25">
      <c r="A21" s="115" t="s">
        <v>6</v>
      </c>
      <c r="B21" s="115" t="s">
        <v>107</v>
      </c>
      <c r="C21" s="115" t="s">
        <v>121</v>
      </c>
      <c r="D21" s="115" t="s">
        <v>124</v>
      </c>
      <c r="E21" s="115" t="s">
        <v>7</v>
      </c>
      <c r="F21" s="115" t="s">
        <v>7</v>
      </c>
      <c r="G21" s="115" t="s">
        <v>125</v>
      </c>
      <c r="H21" s="115" t="s">
        <v>126</v>
      </c>
      <c r="I21" s="115"/>
      <c r="J21" s="115">
        <v>2042</v>
      </c>
      <c r="K21" s="115">
        <v>0</v>
      </c>
      <c r="L21" s="115" t="s">
        <v>101</v>
      </c>
      <c r="M21" s="115">
        <v>1</v>
      </c>
      <c r="N21" s="115" t="s">
        <v>85</v>
      </c>
    </row>
    <row r="22" spans="1:14" x14ac:dyDescent="0.25">
      <c r="A22" s="116" t="s">
        <v>6</v>
      </c>
      <c r="B22" s="116" t="s">
        <v>96</v>
      </c>
      <c r="C22" s="116" t="s">
        <v>127</v>
      </c>
      <c r="D22" s="116" t="s">
        <v>128</v>
      </c>
      <c r="E22" s="116" t="s">
        <v>7</v>
      </c>
      <c r="F22" s="116" t="s">
        <v>7</v>
      </c>
      <c r="G22" s="116" t="s">
        <v>99</v>
      </c>
      <c r="H22" s="116" t="s">
        <v>129</v>
      </c>
      <c r="I22" s="116"/>
      <c r="J22" s="116">
        <v>2030</v>
      </c>
      <c r="K22" s="116">
        <v>0.4</v>
      </c>
      <c r="L22" s="116" t="s">
        <v>101</v>
      </c>
      <c r="M22" s="116">
        <v>1</v>
      </c>
      <c r="N22" s="116" t="s">
        <v>85</v>
      </c>
    </row>
    <row r="23" spans="1:14" x14ac:dyDescent="0.25">
      <c r="A23" s="116" t="s">
        <v>6</v>
      </c>
      <c r="B23" s="116" t="s">
        <v>96</v>
      </c>
      <c r="C23" s="116" t="s">
        <v>130</v>
      </c>
      <c r="D23" s="116" t="s">
        <v>131</v>
      </c>
      <c r="E23" s="116" t="s">
        <v>7</v>
      </c>
      <c r="F23" s="116" t="s">
        <v>7</v>
      </c>
      <c r="G23" s="116" t="s">
        <v>99</v>
      </c>
      <c r="H23" s="116" t="s">
        <v>132</v>
      </c>
      <c r="I23" s="116"/>
      <c r="J23" s="116">
        <v>2030</v>
      </c>
      <c r="K23" s="116">
        <v>0.4</v>
      </c>
      <c r="L23" s="116" t="s">
        <v>101</v>
      </c>
      <c r="M23" s="116">
        <v>1</v>
      </c>
      <c r="N23" s="116" t="s">
        <v>85</v>
      </c>
    </row>
    <row r="24" spans="1:14" x14ac:dyDescent="0.25">
      <c r="A24" s="116" t="s">
        <v>6</v>
      </c>
      <c r="B24" s="116" t="s">
        <v>58</v>
      </c>
      <c r="C24" s="116" t="s">
        <v>127</v>
      </c>
      <c r="D24" s="116" t="s">
        <v>133</v>
      </c>
      <c r="E24" s="116" t="s">
        <v>11</v>
      </c>
      <c r="F24" s="116" t="s">
        <v>7</v>
      </c>
      <c r="G24" s="116" t="s">
        <v>134</v>
      </c>
      <c r="H24" s="116" t="s">
        <v>135</v>
      </c>
      <c r="I24" s="116">
        <v>2028</v>
      </c>
      <c r="J24" s="116">
        <v>2050</v>
      </c>
      <c r="K24" s="116">
        <v>0</v>
      </c>
      <c r="L24" s="116" t="s">
        <v>63</v>
      </c>
      <c r="M24" s="116">
        <v>0.8</v>
      </c>
      <c r="N24" s="116" t="s">
        <v>64</v>
      </c>
    </row>
    <row r="25" spans="1:14" x14ac:dyDescent="0.25">
      <c r="A25" s="116" t="s">
        <v>72</v>
      </c>
      <c r="B25" s="116" t="s">
        <v>65</v>
      </c>
      <c r="C25" s="116" t="s">
        <v>127</v>
      </c>
      <c r="D25" s="116" t="s">
        <v>136</v>
      </c>
      <c r="E25" s="116" t="s">
        <v>11</v>
      </c>
      <c r="F25" s="116" t="s">
        <v>7</v>
      </c>
      <c r="G25" s="116">
        <v>2018</v>
      </c>
      <c r="H25" s="116">
        <v>9.6000000000000002E-2</v>
      </c>
      <c r="I25" s="116"/>
      <c r="J25" s="116">
        <v>2019</v>
      </c>
      <c r="K25" s="116">
        <v>50</v>
      </c>
      <c r="L25" s="116" t="s">
        <v>63</v>
      </c>
      <c r="M25" s="116">
        <v>0.8</v>
      </c>
      <c r="N25" s="116" t="s">
        <v>67</v>
      </c>
    </row>
    <row r="26" spans="1:14" x14ac:dyDescent="0.25">
      <c r="A26" s="116" t="s">
        <v>6</v>
      </c>
      <c r="B26" s="116" t="s">
        <v>58</v>
      </c>
      <c r="C26" s="116" t="s">
        <v>130</v>
      </c>
      <c r="D26" s="116" t="s">
        <v>137</v>
      </c>
      <c r="E26" s="116" t="s">
        <v>11</v>
      </c>
      <c r="F26" s="116" t="s">
        <v>7</v>
      </c>
      <c r="G26" s="116" t="s">
        <v>115</v>
      </c>
      <c r="H26" s="116" t="s">
        <v>138</v>
      </c>
      <c r="I26" s="116">
        <v>2030</v>
      </c>
      <c r="J26" s="116">
        <v>2050</v>
      </c>
      <c r="K26" s="116">
        <v>0</v>
      </c>
      <c r="L26" s="116" t="s">
        <v>63</v>
      </c>
      <c r="M26" s="116">
        <v>0.8</v>
      </c>
      <c r="N26" s="116" t="s">
        <v>64</v>
      </c>
    </row>
    <row r="27" spans="1:14" x14ac:dyDescent="0.25">
      <c r="A27" s="116" t="s">
        <v>6</v>
      </c>
      <c r="B27" s="116" t="s">
        <v>58</v>
      </c>
      <c r="C27" s="116" t="s">
        <v>139</v>
      </c>
      <c r="D27" s="116" t="s">
        <v>136</v>
      </c>
      <c r="E27" s="116" t="s">
        <v>11</v>
      </c>
      <c r="F27" s="116" t="s">
        <v>7</v>
      </c>
      <c r="G27" s="116" t="s">
        <v>76</v>
      </c>
      <c r="H27" s="116" t="s">
        <v>140</v>
      </c>
      <c r="I27" s="116">
        <v>2029</v>
      </c>
      <c r="J27" s="116">
        <v>2050</v>
      </c>
      <c r="K27" s="116">
        <v>10</v>
      </c>
      <c r="L27" s="116" t="s">
        <v>63</v>
      </c>
      <c r="M27" s="116">
        <v>0.8</v>
      </c>
      <c r="N27" s="116" t="s">
        <v>64</v>
      </c>
    </row>
    <row r="28" spans="1:14" x14ac:dyDescent="0.25">
      <c r="A28" s="116" t="s">
        <v>6</v>
      </c>
      <c r="B28" s="116" t="s">
        <v>96</v>
      </c>
      <c r="C28" s="116" t="s">
        <v>139</v>
      </c>
      <c r="D28" s="116" t="s">
        <v>141</v>
      </c>
      <c r="E28" s="116" t="s">
        <v>7</v>
      </c>
      <c r="F28" s="116" t="s">
        <v>7</v>
      </c>
      <c r="G28" s="116" t="s">
        <v>142</v>
      </c>
      <c r="H28" s="116" t="s">
        <v>143</v>
      </c>
      <c r="I28" s="116"/>
      <c r="J28" s="116">
        <v>2026</v>
      </c>
      <c r="K28" s="116">
        <v>0.875</v>
      </c>
      <c r="L28" s="116" t="s">
        <v>101</v>
      </c>
      <c r="M28" s="116">
        <v>1</v>
      </c>
      <c r="N28" s="116" t="s">
        <v>85</v>
      </c>
    </row>
    <row r="29" spans="1:14" x14ac:dyDescent="0.25">
      <c r="A29" s="116" t="s">
        <v>6</v>
      </c>
      <c r="B29" s="116" t="s">
        <v>96</v>
      </c>
      <c r="C29" s="116" t="s">
        <v>144</v>
      </c>
      <c r="D29" s="116" t="s">
        <v>145</v>
      </c>
      <c r="E29" s="116" t="s">
        <v>7</v>
      </c>
      <c r="F29" s="116" t="s">
        <v>7</v>
      </c>
      <c r="G29" s="116" t="s">
        <v>99</v>
      </c>
      <c r="H29" s="116" t="s">
        <v>132</v>
      </c>
      <c r="I29" s="116"/>
      <c r="J29" s="116">
        <v>2030</v>
      </c>
      <c r="K29" s="116">
        <v>0.5</v>
      </c>
      <c r="L29" s="116" t="s">
        <v>101</v>
      </c>
      <c r="M29" s="116">
        <v>1</v>
      </c>
      <c r="N29" s="116" t="s">
        <v>85</v>
      </c>
    </row>
    <row r="30" spans="1:14" x14ac:dyDescent="0.25">
      <c r="A30" s="116" t="s">
        <v>72</v>
      </c>
      <c r="B30" s="116" t="s">
        <v>65</v>
      </c>
      <c r="C30" s="116" t="s">
        <v>139</v>
      </c>
      <c r="D30" s="116" t="s">
        <v>136</v>
      </c>
      <c r="E30" s="116" t="s">
        <v>11</v>
      </c>
      <c r="F30" s="116" t="s">
        <v>7</v>
      </c>
      <c r="G30" s="116" t="s">
        <v>82</v>
      </c>
      <c r="H30" s="116" t="s">
        <v>146</v>
      </c>
      <c r="I30" s="116"/>
      <c r="J30" s="116">
        <v>2024</v>
      </c>
      <c r="K30" s="116">
        <v>50</v>
      </c>
      <c r="L30" s="116" t="s">
        <v>63</v>
      </c>
      <c r="M30" s="116">
        <v>0.8</v>
      </c>
      <c r="N30" s="116" t="s">
        <v>67</v>
      </c>
    </row>
    <row r="31" spans="1:14" x14ac:dyDescent="0.25">
      <c r="A31" s="116" t="s">
        <v>6</v>
      </c>
      <c r="B31" s="116" t="s">
        <v>58</v>
      </c>
      <c r="C31" s="116" t="s">
        <v>144</v>
      </c>
      <c r="D31" s="116" t="s">
        <v>147</v>
      </c>
      <c r="E31" s="116" t="s">
        <v>11</v>
      </c>
      <c r="F31" s="116" t="s">
        <v>7</v>
      </c>
      <c r="G31" s="116" t="s">
        <v>115</v>
      </c>
      <c r="H31" s="116" t="s">
        <v>138</v>
      </c>
      <c r="I31" s="116">
        <v>2030</v>
      </c>
      <c r="J31" s="116">
        <v>2050</v>
      </c>
      <c r="K31" s="116">
        <v>6.07</v>
      </c>
      <c r="L31" s="116" t="s">
        <v>63</v>
      </c>
      <c r="M31" s="116">
        <v>0.8</v>
      </c>
      <c r="N31" s="116" t="s">
        <v>64</v>
      </c>
    </row>
    <row r="32" spans="1:14" x14ac:dyDescent="0.25">
      <c r="A32" s="117" t="s">
        <v>6</v>
      </c>
      <c r="B32" s="117" t="s">
        <v>96</v>
      </c>
      <c r="C32" s="117" t="s">
        <v>148</v>
      </c>
      <c r="D32" s="117" t="s">
        <v>141</v>
      </c>
      <c r="E32" s="117" t="s">
        <v>7</v>
      </c>
      <c r="F32" s="117" t="s">
        <v>7</v>
      </c>
      <c r="G32" s="117" t="s">
        <v>142</v>
      </c>
      <c r="H32" s="117" t="s">
        <v>149</v>
      </c>
      <c r="I32" s="117"/>
      <c r="J32" s="117">
        <v>2030</v>
      </c>
      <c r="K32" s="117">
        <v>0.50900000000000001</v>
      </c>
      <c r="L32" s="117" t="s">
        <v>101</v>
      </c>
      <c r="M32" s="117">
        <v>1</v>
      </c>
      <c r="N32" s="117" t="s">
        <v>85</v>
      </c>
    </row>
    <row r="33" spans="1:14" x14ac:dyDescent="0.25">
      <c r="A33" s="117" t="s">
        <v>6</v>
      </c>
      <c r="B33" s="117" t="s">
        <v>58</v>
      </c>
      <c r="C33" s="117" t="s">
        <v>148</v>
      </c>
      <c r="D33" s="117" t="s">
        <v>150</v>
      </c>
      <c r="E33" s="117" t="s">
        <v>11</v>
      </c>
      <c r="F33" s="117" t="s">
        <v>7</v>
      </c>
      <c r="G33" s="117" t="s">
        <v>115</v>
      </c>
      <c r="H33" s="117" t="s">
        <v>151</v>
      </c>
      <c r="I33" s="117">
        <v>2030</v>
      </c>
      <c r="J33" s="117">
        <v>2050</v>
      </c>
      <c r="K33" s="117">
        <v>9.5679999999999996</v>
      </c>
      <c r="L33" s="117" t="s">
        <v>63</v>
      </c>
      <c r="M33" s="117">
        <v>0.8</v>
      </c>
      <c r="N33" s="117" t="s">
        <v>64</v>
      </c>
    </row>
    <row r="34" spans="1:14" x14ac:dyDescent="0.25">
      <c r="A34" s="117" t="s">
        <v>72</v>
      </c>
      <c r="B34" s="117" t="s">
        <v>65</v>
      </c>
      <c r="C34" s="117" t="s">
        <v>148</v>
      </c>
      <c r="D34" s="117" t="s">
        <v>150</v>
      </c>
      <c r="E34" s="117" t="s">
        <v>11</v>
      </c>
      <c r="F34" s="117" t="s">
        <v>7</v>
      </c>
      <c r="G34" s="117" t="s">
        <v>82</v>
      </c>
      <c r="H34" s="117" t="s">
        <v>152</v>
      </c>
      <c r="I34" s="117"/>
      <c r="J34" s="117">
        <v>2024</v>
      </c>
      <c r="K34" s="117">
        <v>14</v>
      </c>
      <c r="L34" s="117" t="s">
        <v>63</v>
      </c>
      <c r="M34" s="117">
        <v>0.8</v>
      </c>
      <c r="N34" s="117" t="s">
        <v>67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sheetPr filterMode="1"/>
  <dimension ref="A1:AQ15"/>
  <sheetViews>
    <sheetView zoomScaleNormal="100" workbookViewId="0">
      <selection activeCell="A2" sqref="A2:AQ15"/>
    </sheetView>
  </sheetViews>
  <sheetFormatPr defaultColWidth="8.85546875" defaultRowHeight="15" x14ac:dyDescent="0.25"/>
  <cols>
    <col min="1" max="1" width="11.85546875" customWidth="1"/>
    <col min="2" max="2" width="18.28515625" bestFit="1" customWidth="1"/>
    <col min="3" max="3" width="18.28515625" customWidth="1"/>
    <col min="4" max="4" width="26.42578125" customWidth="1"/>
    <col min="5" max="5" width="13.85546875" customWidth="1"/>
    <col min="6" max="6" width="9.85546875" bestFit="1" customWidth="1"/>
    <col min="7" max="7" width="11.85546875" customWidth="1"/>
    <col min="8" max="8" width="5" bestFit="1" customWidth="1"/>
    <col min="9" max="10" width="5.7109375" customWidth="1"/>
    <col min="11" max="16" width="9" customWidth="1"/>
    <col min="17" max="19" width="12" bestFit="1" customWidth="1"/>
    <col min="20" max="24" width="13.28515625" bestFit="1" customWidth="1"/>
    <col min="25" max="25" width="13.85546875" bestFit="1" customWidth="1"/>
    <col min="26" max="26" width="13.28515625" bestFit="1" customWidth="1"/>
    <col min="27" max="27" width="15" bestFit="1" customWidth="1"/>
    <col min="28" max="39" width="13.28515625" bestFit="1" customWidth="1"/>
    <col min="40" max="40" width="14" bestFit="1" customWidth="1"/>
    <col min="41" max="43" width="13.28515625" bestFit="1" customWidth="1"/>
  </cols>
  <sheetData>
    <row r="1" spans="1:43" ht="45.75" thickBot="1" x14ac:dyDescent="0.3">
      <c r="A1" s="14" t="s">
        <v>15</v>
      </c>
      <c r="B1" s="15" t="s">
        <v>12</v>
      </c>
      <c r="C1" s="15" t="s">
        <v>21</v>
      </c>
      <c r="D1" s="25" t="s">
        <v>49</v>
      </c>
      <c r="E1" s="25" t="s">
        <v>50</v>
      </c>
      <c r="F1" s="15" t="s">
        <v>3</v>
      </c>
      <c r="G1" s="24" t="s">
        <v>57</v>
      </c>
      <c r="H1" s="41" t="s">
        <v>31</v>
      </c>
      <c r="I1" s="42" t="s">
        <v>53</v>
      </c>
      <c r="J1" s="43" t="s">
        <v>54</v>
      </c>
      <c r="K1" s="40">
        <v>2018</v>
      </c>
      <c r="L1" s="15">
        <v>2019</v>
      </c>
      <c r="M1" s="40">
        <v>2020</v>
      </c>
      <c r="N1" s="40">
        <v>2021</v>
      </c>
      <c r="O1" s="40">
        <v>2022</v>
      </c>
      <c r="P1" s="40">
        <v>2023</v>
      </c>
      <c r="Q1" s="40">
        <v>2024</v>
      </c>
      <c r="R1" s="40">
        <v>2025</v>
      </c>
      <c r="S1" s="40">
        <v>2026</v>
      </c>
      <c r="T1" s="40">
        <v>2027</v>
      </c>
      <c r="U1" s="40">
        <v>2028</v>
      </c>
      <c r="V1" s="40">
        <v>2029</v>
      </c>
      <c r="W1" s="40">
        <v>2030</v>
      </c>
      <c r="X1" s="40">
        <v>2031</v>
      </c>
      <c r="Y1" s="40">
        <v>2032</v>
      </c>
      <c r="Z1" s="40">
        <v>2033</v>
      </c>
      <c r="AA1" s="40">
        <v>2034</v>
      </c>
      <c r="AB1" s="40">
        <v>2035</v>
      </c>
      <c r="AC1" s="40">
        <v>2036</v>
      </c>
      <c r="AD1" s="40">
        <v>2037</v>
      </c>
      <c r="AE1" s="40">
        <v>2038</v>
      </c>
      <c r="AF1" s="40">
        <v>2039</v>
      </c>
      <c r="AG1" s="40">
        <v>2040</v>
      </c>
      <c r="AH1" s="40">
        <v>2041</v>
      </c>
      <c r="AI1" s="40">
        <v>2042</v>
      </c>
      <c r="AJ1" s="40">
        <v>2043</v>
      </c>
      <c r="AK1" s="40">
        <v>2044</v>
      </c>
      <c r="AL1" s="40">
        <v>2045</v>
      </c>
      <c r="AM1" s="40">
        <v>2046</v>
      </c>
      <c r="AN1" s="40">
        <v>2047</v>
      </c>
      <c r="AO1" s="40">
        <v>2048</v>
      </c>
      <c r="AP1" s="40">
        <v>2049</v>
      </c>
      <c r="AQ1" s="40">
        <v>2050</v>
      </c>
    </row>
    <row r="2" spans="1:43" x14ac:dyDescent="0.25"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</row>
    <row r="3" spans="1:43" s="74" customForma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</row>
    <row r="4" spans="1:43" hidden="1" x14ac:dyDescent="0.25">
      <c r="A4" t="s">
        <v>10</v>
      </c>
      <c r="B4" t="s">
        <v>153</v>
      </c>
      <c r="C4" t="s">
        <v>156</v>
      </c>
      <c r="D4" t="s">
        <v>157</v>
      </c>
      <c r="E4" t="s">
        <v>7</v>
      </c>
      <c r="F4" t="s">
        <v>154</v>
      </c>
      <c r="G4" t="s">
        <v>155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88">
        <v>2076.6799999999998</v>
      </c>
      <c r="Z4" s="88">
        <v>0</v>
      </c>
      <c r="AA4" s="88">
        <v>0</v>
      </c>
      <c r="AB4" s="88">
        <v>0</v>
      </c>
      <c r="AC4" s="88">
        <v>0</v>
      </c>
      <c r="AD4" s="88">
        <v>0</v>
      </c>
      <c r="AE4" s="88">
        <v>0</v>
      </c>
      <c r="AF4" s="88">
        <v>0</v>
      </c>
      <c r="AG4" s="88">
        <v>0</v>
      </c>
      <c r="AH4" s="88">
        <v>0</v>
      </c>
      <c r="AI4" s="88">
        <v>0</v>
      </c>
      <c r="AJ4" s="88">
        <v>0</v>
      </c>
      <c r="AK4" s="88">
        <v>0</v>
      </c>
      <c r="AL4" s="88">
        <v>0</v>
      </c>
      <c r="AM4" s="88">
        <v>0</v>
      </c>
      <c r="AN4" s="88">
        <v>0</v>
      </c>
      <c r="AO4" s="88">
        <v>0</v>
      </c>
      <c r="AP4" s="88">
        <v>0</v>
      </c>
      <c r="AQ4" s="88">
        <v>0</v>
      </c>
    </row>
    <row r="5" spans="1:43" hidden="1" x14ac:dyDescent="0.25">
      <c r="A5" t="s">
        <v>10</v>
      </c>
      <c r="B5" t="s">
        <v>158</v>
      </c>
      <c r="C5" t="s">
        <v>156</v>
      </c>
      <c r="D5" t="s">
        <v>159</v>
      </c>
      <c r="E5" t="s">
        <v>7</v>
      </c>
      <c r="F5" t="s">
        <v>154</v>
      </c>
      <c r="G5" t="s">
        <v>155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2.4304895494757939</v>
      </c>
      <c r="Z5">
        <v>4.8609790989515878</v>
      </c>
      <c r="AA5">
        <v>7.2914686484273803</v>
      </c>
      <c r="AB5">
        <v>9.7219581979031755</v>
      </c>
      <c r="AC5">
        <v>12.152447747378968</v>
      </c>
      <c r="AD5">
        <v>12.152447747378968</v>
      </c>
      <c r="AE5">
        <v>12.152447747378968</v>
      </c>
      <c r="AF5">
        <v>12.152447747378968</v>
      </c>
      <c r="AG5">
        <v>12.152447747378968</v>
      </c>
      <c r="AH5">
        <v>12.152447747378968</v>
      </c>
      <c r="AI5">
        <v>12.152447747378968</v>
      </c>
      <c r="AJ5">
        <v>12.152447747378968</v>
      </c>
      <c r="AK5">
        <v>12.152447747378968</v>
      </c>
      <c r="AL5">
        <v>12.152447747378968</v>
      </c>
      <c r="AM5">
        <v>12.152447747378968</v>
      </c>
      <c r="AN5">
        <v>12.152447747378968</v>
      </c>
      <c r="AO5">
        <v>12.152447747378968</v>
      </c>
      <c r="AP5">
        <v>12.152447747378968</v>
      </c>
      <c r="AQ5">
        <v>12.152447747378968</v>
      </c>
    </row>
    <row r="6" spans="1:43" hidden="1" x14ac:dyDescent="0.25">
      <c r="A6" t="s">
        <v>10</v>
      </c>
      <c r="B6" t="s">
        <v>153</v>
      </c>
      <c r="C6" t="s">
        <v>160</v>
      </c>
      <c r="D6" t="s">
        <v>161</v>
      </c>
      <c r="E6" t="s">
        <v>7</v>
      </c>
      <c r="F6" t="s">
        <v>154</v>
      </c>
      <c r="G6" t="s">
        <v>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1259.8021194452699</v>
      </c>
      <c r="U6">
        <v>0</v>
      </c>
      <c r="V6">
        <v>0</v>
      </c>
      <c r="W6">
        <v>0</v>
      </c>
      <c r="X6">
        <v>0</v>
      </c>
      <c r="Y6" s="88">
        <v>0</v>
      </c>
      <c r="Z6" s="88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37.794063583358238</v>
      </c>
      <c r="AO6">
        <v>0</v>
      </c>
      <c r="AP6">
        <v>0</v>
      </c>
      <c r="AQ6">
        <v>0</v>
      </c>
    </row>
    <row r="7" spans="1:43" hidden="1" x14ac:dyDescent="0.25">
      <c r="A7" t="s">
        <v>10</v>
      </c>
      <c r="B7" t="s">
        <v>158</v>
      </c>
      <c r="C7" t="s">
        <v>160</v>
      </c>
      <c r="D7" t="s">
        <v>162</v>
      </c>
      <c r="E7" t="s">
        <v>7</v>
      </c>
      <c r="F7" t="s">
        <v>154</v>
      </c>
      <c r="G7" t="s">
        <v>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88">
        <f>(50.48568781/3.0560355)*0.2</f>
        <v>3.3039987794644405</v>
      </c>
      <c r="U7" s="88">
        <f>(50.48568781/3.0560355)*0.4</f>
        <v>6.6079975589288811</v>
      </c>
      <c r="V7" s="88">
        <f>(50.48568781/3.0560355)*0.6</f>
        <v>9.9119963383933207</v>
      </c>
      <c r="W7" s="88">
        <f>(50.48568781/3.0560355)*0.8</f>
        <v>13.215995117857762</v>
      </c>
      <c r="X7" s="88">
        <f t="shared" ref="X7:AM7" si="0">50.48568781/3.0560355</f>
        <v>16.519993897322202</v>
      </c>
      <c r="Y7" s="88">
        <f t="shared" si="0"/>
        <v>16.519993897322202</v>
      </c>
      <c r="Z7" s="88">
        <f t="shared" si="0"/>
        <v>16.519993897322202</v>
      </c>
      <c r="AA7" s="88">
        <f t="shared" si="0"/>
        <v>16.519993897322202</v>
      </c>
      <c r="AB7" s="88">
        <f t="shared" si="0"/>
        <v>16.519993897322202</v>
      </c>
      <c r="AC7" s="88">
        <f t="shared" si="0"/>
        <v>16.519993897322202</v>
      </c>
      <c r="AD7" s="88">
        <f t="shared" si="0"/>
        <v>16.519993897322202</v>
      </c>
      <c r="AE7" s="88">
        <f t="shared" si="0"/>
        <v>16.519993897322202</v>
      </c>
      <c r="AF7" s="88">
        <f t="shared" si="0"/>
        <v>16.519993897322202</v>
      </c>
      <c r="AG7" s="88">
        <f t="shared" si="0"/>
        <v>16.519993897322202</v>
      </c>
      <c r="AH7" s="88">
        <f t="shared" si="0"/>
        <v>16.519993897322202</v>
      </c>
      <c r="AI7" s="88">
        <f t="shared" si="0"/>
        <v>16.519993897322202</v>
      </c>
      <c r="AJ7" s="88">
        <f t="shared" si="0"/>
        <v>16.519993897322202</v>
      </c>
      <c r="AK7" s="88">
        <f t="shared" si="0"/>
        <v>16.519993897322202</v>
      </c>
      <c r="AL7" s="88">
        <f t="shared" si="0"/>
        <v>16.519993897322202</v>
      </c>
      <c r="AM7" s="88">
        <f t="shared" si="0"/>
        <v>16.519993897322202</v>
      </c>
      <c r="AN7" s="88">
        <f>(50.48568781/3.0560355)+(50.48568781/3.0560355*0.26)</f>
        <v>20.815192310625974</v>
      </c>
      <c r="AO7" s="88">
        <f>AN7</f>
        <v>20.815192310625974</v>
      </c>
      <c r="AP7" s="88">
        <f>AO7</f>
        <v>20.815192310625974</v>
      </c>
      <c r="AQ7" s="88">
        <f>AP7</f>
        <v>20.815192310625974</v>
      </c>
    </row>
    <row r="8" spans="1:43" x14ac:dyDescent="0.25">
      <c r="C8" s="83"/>
      <c r="T8" s="89"/>
      <c r="U8" s="89"/>
      <c r="V8" s="89"/>
      <c r="W8" s="89"/>
      <c r="X8" s="89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</row>
    <row r="9" spans="1:43" x14ac:dyDescent="0.25">
      <c r="C9" s="83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</row>
    <row r="10" spans="1:43" x14ac:dyDescent="0.25">
      <c r="C10" s="83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</row>
    <row r="11" spans="1:43" x14ac:dyDescent="0.25">
      <c r="C11" s="83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</row>
    <row r="12" spans="1:43" x14ac:dyDescent="0.25">
      <c r="C12" s="83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</row>
    <row r="13" spans="1:43" x14ac:dyDescent="0.25">
      <c r="C13" s="83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</row>
    <row r="14" spans="1:43" x14ac:dyDescent="0.25"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</row>
    <row r="15" spans="1:43" x14ac:dyDescent="0.25"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</row>
  </sheetData>
  <autoFilter ref="A1:AQ15" xr:uid="{7FE60582-8E84-4795-90E6-91E6C5CD9C07}">
    <filterColumn colId="2">
      <filters>
        <filter val="T5COKIND"/>
        <filter val="T5DSLIND"/>
        <filter val="T5ELECOM"/>
        <filter val="T5ELEIND"/>
        <filter val="T5ELERES"/>
        <filter val="T5FIRCOM"/>
        <filter val="T5FOIIND"/>
        <filter val="T5LPGCOM"/>
        <filter val="T5LPGIND"/>
        <filter val="T5LPGRES"/>
      </filters>
    </filterColumn>
    <sortState xmlns:xlrd2="http://schemas.microsoft.com/office/spreadsheetml/2017/richdata2" ref="A2:AQ15">
      <sortCondition ref="C1:C15"/>
    </sortState>
  </autoFilter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14"/>
  <sheetViews>
    <sheetView zoomScale="130" zoomScaleNormal="130" workbookViewId="0">
      <selection activeCell="A2" sqref="A2:AS14"/>
    </sheetView>
  </sheetViews>
  <sheetFormatPr defaultColWidth="8.85546875" defaultRowHeight="15" x14ac:dyDescent="0.25"/>
  <cols>
    <col min="1" max="1" width="11" bestFit="1" customWidth="1"/>
    <col min="2" max="2" width="23.85546875" bestFit="1" customWidth="1"/>
    <col min="3" max="3" width="10" bestFit="1" customWidth="1"/>
    <col min="4" max="4" width="10" customWidth="1"/>
    <col min="5" max="5" width="28" customWidth="1"/>
    <col min="6" max="6" width="12.42578125" customWidth="1"/>
    <col min="9" max="11" width="8.85546875" hidden="1" customWidth="1"/>
    <col min="12" max="12" width="9.85546875" hidden="1" customWidth="1"/>
    <col min="19" max="19" width="13.42578125" bestFit="1" customWidth="1"/>
  </cols>
  <sheetData>
    <row r="1" spans="1:45" ht="45.75" thickBot="1" x14ac:dyDescent="0.3">
      <c r="A1" s="14" t="s">
        <v>15</v>
      </c>
      <c r="B1" s="40" t="s">
        <v>12</v>
      </c>
      <c r="C1" s="15" t="s">
        <v>163</v>
      </c>
      <c r="D1" s="15" t="s">
        <v>164</v>
      </c>
      <c r="E1" s="15" t="s">
        <v>20</v>
      </c>
      <c r="F1" s="25" t="s">
        <v>50</v>
      </c>
      <c r="G1" s="24" t="s">
        <v>3</v>
      </c>
      <c r="H1" s="24" t="s">
        <v>57</v>
      </c>
      <c r="I1" s="14" t="s">
        <v>31</v>
      </c>
      <c r="J1" s="15" t="s">
        <v>32</v>
      </c>
      <c r="K1" s="15" t="s">
        <v>33</v>
      </c>
      <c r="L1" s="16" t="s">
        <v>34</v>
      </c>
      <c r="M1" s="14">
        <v>2018</v>
      </c>
      <c r="N1" s="15">
        <v>2019</v>
      </c>
      <c r="O1" s="37">
        <v>2020</v>
      </c>
      <c r="P1" s="37">
        <v>2021</v>
      </c>
      <c r="Q1" s="37">
        <v>2022</v>
      </c>
      <c r="R1" s="37">
        <v>2023</v>
      </c>
      <c r="S1" s="37">
        <v>2024</v>
      </c>
      <c r="T1" s="37">
        <v>2025</v>
      </c>
      <c r="U1" s="37">
        <v>2026</v>
      </c>
      <c r="V1" s="37">
        <v>2027</v>
      </c>
      <c r="W1" s="37">
        <v>2028</v>
      </c>
      <c r="X1" s="37">
        <v>2029</v>
      </c>
      <c r="Y1" s="37">
        <v>2030</v>
      </c>
      <c r="Z1" s="37">
        <v>2031</v>
      </c>
      <c r="AA1" s="37">
        <v>2032</v>
      </c>
      <c r="AB1" s="37">
        <v>2033</v>
      </c>
      <c r="AC1" s="37">
        <v>2034</v>
      </c>
      <c r="AD1" s="37">
        <v>2035</v>
      </c>
      <c r="AE1" s="37">
        <v>2036</v>
      </c>
      <c r="AF1" s="37">
        <v>2037</v>
      </c>
      <c r="AG1" s="37">
        <v>2038</v>
      </c>
      <c r="AH1" s="37">
        <v>2039</v>
      </c>
      <c r="AI1" s="37">
        <v>2040</v>
      </c>
      <c r="AJ1" s="37">
        <v>2041</v>
      </c>
      <c r="AK1" s="37">
        <v>2042</v>
      </c>
      <c r="AL1" s="37">
        <v>2043</v>
      </c>
      <c r="AM1" s="37">
        <v>2044</v>
      </c>
      <c r="AN1" s="37">
        <v>2045</v>
      </c>
      <c r="AO1" s="37">
        <v>2046</v>
      </c>
      <c r="AP1" s="37">
        <v>2047</v>
      </c>
      <c r="AQ1" s="37">
        <v>2048</v>
      </c>
      <c r="AR1" s="37">
        <v>2049</v>
      </c>
      <c r="AS1" s="38">
        <v>2050</v>
      </c>
    </row>
    <row r="2" spans="1:45" x14ac:dyDescent="0.25">
      <c r="E2" s="82"/>
      <c r="R2" s="84"/>
    </row>
    <row r="3" spans="1:45" x14ac:dyDescent="0.25">
      <c r="E3" s="83"/>
      <c r="R3" s="84"/>
    </row>
    <row r="4" spans="1:45" x14ac:dyDescent="0.25">
      <c r="E4" s="83"/>
      <c r="R4" s="84"/>
    </row>
    <row r="5" spans="1:45" x14ac:dyDescent="0.25">
      <c r="E5" s="83"/>
      <c r="R5" s="85"/>
    </row>
    <row r="6" spans="1:45" x14ac:dyDescent="0.25">
      <c r="E6" s="83"/>
      <c r="R6" s="85"/>
    </row>
    <row r="7" spans="1:45" x14ac:dyDescent="0.25">
      <c r="E7" s="82"/>
      <c r="R7" s="85"/>
    </row>
    <row r="8" spans="1:45" x14ac:dyDescent="0.25">
      <c r="E8" s="83"/>
      <c r="R8" s="85"/>
    </row>
    <row r="9" spans="1:45" x14ac:dyDescent="0.25">
      <c r="E9" s="83"/>
      <c r="R9" s="85"/>
    </row>
    <row r="10" spans="1:45" x14ac:dyDescent="0.25">
      <c r="E10" s="82"/>
      <c r="M10" s="91"/>
      <c r="R10" s="86"/>
    </row>
    <row r="11" spans="1:45" x14ac:dyDescent="0.25">
      <c r="E11" s="83"/>
      <c r="R11" s="86"/>
    </row>
    <row r="12" spans="1:45" x14ac:dyDescent="0.25">
      <c r="E12" s="83"/>
      <c r="R12" s="86"/>
    </row>
    <row r="13" spans="1:45" x14ac:dyDescent="0.25">
      <c r="E13" s="83"/>
      <c r="R13" s="87"/>
    </row>
    <row r="14" spans="1:45" x14ac:dyDescent="0.25">
      <c r="E14" s="83"/>
      <c r="R14" s="87"/>
    </row>
  </sheetData>
  <autoFilter ref="A1:AS14" xr:uid="{943814E7-7771-4AA2-98CF-22F8526ED390}">
    <sortState xmlns:xlrd2="http://schemas.microsoft.com/office/spreadsheetml/2017/richdata2" ref="A2:AS14">
      <sortCondition ref="C1:C1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7383-2877-C54B-8A0D-EDAF5DF83FC0}">
  <dimension ref="A1:Q31"/>
  <sheetViews>
    <sheetView tabSelected="1" workbookViewId="0">
      <selection activeCell="A11" sqref="A11:Q31"/>
    </sheetView>
  </sheetViews>
  <sheetFormatPr defaultColWidth="10.7109375" defaultRowHeight="15" x14ac:dyDescent="0.25"/>
  <sheetData>
    <row r="1" spans="1:17" ht="15.75" thickBot="1" x14ac:dyDescent="0.3"/>
    <row r="2" spans="1:17" ht="15.75" thickBot="1" x14ac:dyDescent="0.3">
      <c r="A2" s="14" t="s">
        <v>15</v>
      </c>
      <c r="B2" s="40" t="s">
        <v>38</v>
      </c>
      <c r="C2" s="15" t="s">
        <v>19</v>
      </c>
      <c r="D2" s="15" t="s">
        <v>20</v>
      </c>
      <c r="E2" s="15" t="s">
        <v>21</v>
      </c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5" t="s">
        <v>30</v>
      </c>
      <c r="M2" s="15" t="s">
        <v>31</v>
      </c>
      <c r="N2" s="15" t="s">
        <v>32</v>
      </c>
      <c r="O2" s="15" t="s">
        <v>33</v>
      </c>
      <c r="P2" s="15" t="s">
        <v>34</v>
      </c>
      <c r="Q2" s="16" t="s">
        <v>39</v>
      </c>
    </row>
    <row r="3" spans="1:17" ht="15.75" thickBot="1" x14ac:dyDescent="0.3">
      <c r="A3" s="68" t="s">
        <v>6</v>
      </c>
      <c r="B3" s="54" t="s">
        <v>40</v>
      </c>
      <c r="C3" s="26" t="s">
        <v>41</v>
      </c>
      <c r="D3" s="26" t="s">
        <v>165</v>
      </c>
      <c r="E3" s="26" t="s">
        <v>166</v>
      </c>
      <c r="F3" s="26" t="s">
        <v>11</v>
      </c>
      <c r="G3" s="26" t="s">
        <v>7</v>
      </c>
      <c r="H3" s="26" t="s">
        <v>36</v>
      </c>
      <c r="I3" s="26" t="s">
        <v>36</v>
      </c>
      <c r="J3" s="26" t="s">
        <v>36</v>
      </c>
      <c r="K3" s="26" t="s">
        <v>36</v>
      </c>
      <c r="L3" s="26" t="s">
        <v>36</v>
      </c>
      <c r="M3" s="26">
        <v>2023</v>
      </c>
      <c r="N3" s="26">
        <v>0</v>
      </c>
      <c r="O3" s="26">
        <v>0</v>
      </c>
      <c r="P3" s="26">
        <v>0</v>
      </c>
      <c r="Q3" s="27" t="s">
        <v>167</v>
      </c>
    </row>
    <row r="4" spans="1:17" ht="15.75" thickBot="1" x14ac:dyDescent="0.3">
      <c r="A4" s="68" t="s">
        <v>6</v>
      </c>
      <c r="B4" s="67" t="s">
        <v>40</v>
      </c>
      <c r="C4" s="62" t="s">
        <v>41</v>
      </c>
      <c r="D4" s="62" t="s">
        <v>168</v>
      </c>
      <c r="E4" s="62" t="s">
        <v>169</v>
      </c>
      <c r="F4" s="26" t="s">
        <v>11</v>
      </c>
      <c r="G4" s="26" t="s">
        <v>7</v>
      </c>
      <c r="H4" s="26" t="s">
        <v>36</v>
      </c>
      <c r="I4" s="26" t="s">
        <v>36</v>
      </c>
      <c r="J4" s="26" t="s">
        <v>36</v>
      </c>
      <c r="K4" s="26" t="s">
        <v>36</v>
      </c>
      <c r="L4" s="26" t="s">
        <v>36</v>
      </c>
      <c r="M4" s="26">
        <v>2023</v>
      </c>
      <c r="N4" s="26">
        <v>0</v>
      </c>
      <c r="O4" s="26">
        <v>0</v>
      </c>
      <c r="P4" s="26">
        <v>0</v>
      </c>
      <c r="Q4" s="27" t="s">
        <v>167</v>
      </c>
    </row>
    <row r="5" spans="1:17" ht="15.75" thickBot="1" x14ac:dyDescent="0.3">
      <c r="A5" s="68" t="s">
        <v>6</v>
      </c>
      <c r="B5" s="67" t="s">
        <v>40</v>
      </c>
      <c r="C5" s="62" t="s">
        <v>35</v>
      </c>
      <c r="D5" s="62" t="s">
        <v>170</v>
      </c>
      <c r="E5" s="62" t="s">
        <v>171</v>
      </c>
      <c r="F5" s="26" t="s">
        <v>11</v>
      </c>
      <c r="G5" s="26" t="s">
        <v>7</v>
      </c>
      <c r="H5" s="26" t="s">
        <v>36</v>
      </c>
      <c r="I5" s="26" t="s">
        <v>36</v>
      </c>
      <c r="J5" s="26" t="s">
        <v>36</v>
      </c>
      <c r="K5" s="26" t="s">
        <v>36</v>
      </c>
      <c r="L5" s="26" t="s">
        <v>36</v>
      </c>
      <c r="M5" s="26">
        <v>2023</v>
      </c>
      <c r="N5" s="26">
        <v>0</v>
      </c>
      <c r="O5" s="26">
        <v>0</v>
      </c>
      <c r="P5" s="26">
        <v>0</v>
      </c>
      <c r="Q5" s="27" t="s">
        <v>167</v>
      </c>
    </row>
    <row r="6" spans="1:17" ht="15.75" thickBot="1" x14ac:dyDescent="0.3">
      <c r="A6" s="68" t="s">
        <v>6</v>
      </c>
      <c r="B6" s="54" t="s">
        <v>40</v>
      </c>
      <c r="C6" s="26" t="s">
        <v>42</v>
      </c>
      <c r="D6" s="26" t="s">
        <v>172</v>
      </c>
      <c r="E6" s="26" t="s">
        <v>173</v>
      </c>
      <c r="F6" s="26" t="s">
        <v>11</v>
      </c>
      <c r="G6" s="26" t="s">
        <v>7</v>
      </c>
      <c r="H6" s="26" t="s">
        <v>36</v>
      </c>
      <c r="I6" s="26" t="s">
        <v>36</v>
      </c>
      <c r="J6" s="26" t="s">
        <v>36</v>
      </c>
      <c r="K6" s="26" t="s">
        <v>36</v>
      </c>
      <c r="L6" s="26" t="s">
        <v>36</v>
      </c>
      <c r="M6" s="26">
        <v>2023</v>
      </c>
      <c r="N6" s="26">
        <v>0</v>
      </c>
      <c r="O6" s="26">
        <v>0</v>
      </c>
      <c r="P6" s="26">
        <v>0</v>
      </c>
      <c r="Q6" s="27" t="s">
        <v>167</v>
      </c>
    </row>
    <row r="7" spans="1:17" ht="15.75" thickBot="1" x14ac:dyDescent="0.3">
      <c r="A7" s="68" t="s">
        <v>6</v>
      </c>
      <c r="B7" s="55" t="s">
        <v>40</v>
      </c>
      <c r="C7" s="53" t="s">
        <v>42</v>
      </c>
      <c r="D7" s="53" t="s">
        <v>174</v>
      </c>
      <c r="E7" s="53" t="s">
        <v>175</v>
      </c>
      <c r="F7" s="26" t="s">
        <v>11</v>
      </c>
      <c r="G7" s="26" t="s">
        <v>7</v>
      </c>
      <c r="H7" s="26" t="s">
        <v>36</v>
      </c>
      <c r="I7" s="26" t="s">
        <v>36</v>
      </c>
      <c r="J7" s="26" t="s">
        <v>36</v>
      </c>
      <c r="K7" s="26" t="s">
        <v>36</v>
      </c>
      <c r="L7" s="26" t="s">
        <v>36</v>
      </c>
      <c r="M7" s="26">
        <v>2023</v>
      </c>
      <c r="N7" s="26">
        <v>0</v>
      </c>
      <c r="O7" s="26">
        <v>0</v>
      </c>
      <c r="P7" s="26">
        <v>0</v>
      </c>
      <c r="Q7" s="27" t="s">
        <v>167</v>
      </c>
    </row>
    <row r="8" spans="1:17" ht="15.75" thickBot="1" x14ac:dyDescent="0.3">
      <c r="A8" s="68" t="s">
        <v>6</v>
      </c>
      <c r="B8" s="56" t="s">
        <v>40</v>
      </c>
      <c r="C8" s="28" t="s">
        <v>41</v>
      </c>
      <c r="D8" s="28" t="s">
        <v>43</v>
      </c>
      <c r="E8" s="28" t="s">
        <v>44</v>
      </c>
      <c r="F8" s="28" t="s">
        <v>11</v>
      </c>
      <c r="G8" s="28" t="s">
        <v>7</v>
      </c>
      <c r="H8" s="28" t="s">
        <v>36</v>
      </c>
      <c r="I8" s="28" t="s">
        <v>36</v>
      </c>
      <c r="J8" s="28" t="s">
        <v>36</v>
      </c>
      <c r="K8" s="28" t="s">
        <v>36</v>
      </c>
      <c r="L8" s="28" t="s">
        <v>36</v>
      </c>
      <c r="M8" s="28">
        <v>2023</v>
      </c>
      <c r="N8" s="28">
        <v>0</v>
      </c>
      <c r="O8" s="28">
        <v>0</v>
      </c>
      <c r="P8" s="28">
        <v>0</v>
      </c>
      <c r="Q8" s="29" t="s">
        <v>167</v>
      </c>
    </row>
    <row r="9" spans="1:17" ht="15.75" thickBot="1" x14ac:dyDescent="0.3">
      <c r="A9" s="68" t="s">
        <v>6</v>
      </c>
      <c r="B9" s="65" t="s">
        <v>40</v>
      </c>
      <c r="C9" s="63" t="s">
        <v>41</v>
      </c>
      <c r="D9" s="63" t="s">
        <v>45</v>
      </c>
      <c r="E9" s="63" t="s">
        <v>46</v>
      </c>
      <c r="F9" s="30" t="s">
        <v>11</v>
      </c>
      <c r="G9" s="30" t="s">
        <v>7</v>
      </c>
      <c r="H9" s="30" t="s">
        <v>36</v>
      </c>
      <c r="I9" s="30" t="s">
        <v>36</v>
      </c>
      <c r="J9" s="30" t="s">
        <v>36</v>
      </c>
      <c r="K9" s="30" t="s">
        <v>36</v>
      </c>
      <c r="L9" s="30" t="s">
        <v>36</v>
      </c>
      <c r="M9" s="30">
        <v>2023</v>
      </c>
      <c r="N9" s="30">
        <v>0</v>
      </c>
      <c r="O9" s="30">
        <v>0</v>
      </c>
      <c r="P9" s="30">
        <v>0</v>
      </c>
      <c r="Q9" s="31" t="s">
        <v>167</v>
      </c>
    </row>
    <row r="10" spans="1:17" ht="15.75" thickBot="1" x14ac:dyDescent="0.3">
      <c r="A10" s="68" t="s">
        <v>6</v>
      </c>
      <c r="B10" s="57" t="s">
        <v>40</v>
      </c>
      <c r="C10" s="30" t="s">
        <v>35</v>
      </c>
      <c r="D10" s="30" t="s">
        <v>47</v>
      </c>
      <c r="E10" s="30" t="s">
        <v>48</v>
      </c>
      <c r="F10" s="30" t="s">
        <v>11</v>
      </c>
      <c r="G10" s="30" t="s">
        <v>7</v>
      </c>
      <c r="H10" s="30" t="s">
        <v>36</v>
      </c>
      <c r="I10" s="30" t="s">
        <v>36</v>
      </c>
      <c r="J10" s="30" t="s">
        <v>36</v>
      </c>
      <c r="K10" s="30" t="s">
        <v>36</v>
      </c>
      <c r="L10" s="30" t="s">
        <v>36</v>
      </c>
      <c r="M10" s="30">
        <v>2023</v>
      </c>
      <c r="N10" s="30">
        <v>0</v>
      </c>
      <c r="O10" s="30">
        <v>0</v>
      </c>
      <c r="P10" s="30">
        <v>0</v>
      </c>
      <c r="Q10" s="31" t="s">
        <v>167</v>
      </c>
    </row>
    <row r="11" spans="1:17" ht="15.75" thickBot="1" x14ac:dyDescent="0.3">
      <c r="A11" s="68"/>
      <c r="B11" s="5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5.75" thickBot="1" x14ac:dyDescent="0.3">
      <c r="A12" s="68"/>
      <c r="B12" s="54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5.75" thickBot="1" x14ac:dyDescent="0.3">
      <c r="A13" s="68"/>
      <c r="B13" s="67"/>
      <c r="C13" s="62"/>
      <c r="D13" s="62"/>
      <c r="E13" s="6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5.75" thickBot="1" x14ac:dyDescent="0.3">
      <c r="A14" s="68"/>
      <c r="B14" s="67"/>
      <c r="C14" s="62"/>
      <c r="D14" s="62"/>
      <c r="E14" s="6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</row>
    <row r="15" spans="1:17" ht="15.75" thickBot="1" x14ac:dyDescent="0.3">
      <c r="A15" s="68"/>
      <c r="B15" s="54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5.75" thickBot="1" x14ac:dyDescent="0.3">
      <c r="A16" s="68"/>
      <c r="B16" s="55"/>
      <c r="C16" s="53"/>
      <c r="D16" s="53"/>
      <c r="E16" s="53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</row>
    <row r="17" spans="1:17" ht="15.75" thickBot="1" x14ac:dyDescent="0.3">
      <c r="A17" s="68"/>
      <c r="B17" s="56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</row>
    <row r="18" spans="1:17" ht="15.75" thickBot="1" x14ac:dyDescent="0.3">
      <c r="A18" s="68"/>
      <c r="B18" s="65"/>
      <c r="C18" s="63"/>
      <c r="D18" s="63"/>
      <c r="E18" s="63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</row>
    <row r="19" spans="1:17" ht="15.75" thickBot="1" x14ac:dyDescent="0.3">
      <c r="A19" s="68"/>
      <c r="B19" s="66"/>
      <c r="C19" s="64"/>
      <c r="D19" s="64"/>
      <c r="E19" s="6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</row>
    <row r="20" spans="1:17" ht="15.75" thickBot="1" x14ac:dyDescent="0.3">
      <c r="A20" s="68"/>
      <c r="B20" s="65"/>
      <c r="C20" s="63"/>
      <c r="D20" s="63"/>
      <c r="E20" s="63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1"/>
    </row>
    <row r="21" spans="1:17" ht="15.75" thickBot="1" x14ac:dyDescent="0.3">
      <c r="A21" s="68"/>
      <c r="B21" s="5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1"/>
    </row>
    <row r="22" spans="1:17" x14ac:dyDescent="0.25">
      <c r="A22" s="68"/>
      <c r="B22" s="58"/>
      <c r="C22" s="34"/>
      <c r="D22" s="34"/>
      <c r="E22" s="34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/>
    </row>
    <row r="27" spans="1:17" ht="15.75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3"/>
      <c r="K27" s="93"/>
      <c r="L27" s="93"/>
      <c r="M27" s="92"/>
      <c r="N27" s="92"/>
      <c r="O27" s="92"/>
      <c r="P27" s="92"/>
      <c r="Q27" s="92"/>
    </row>
    <row r="28" spans="1:17" ht="15.75" x14ac:dyDescent="0.25">
      <c r="A28" s="94"/>
      <c r="B28" s="94"/>
      <c r="C28" s="94"/>
      <c r="D28" s="75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</row>
    <row r="29" spans="1:17" ht="15.75" x14ac:dyDescent="0.25">
      <c r="A29" s="94"/>
      <c r="B29" s="94"/>
      <c r="C29" s="94"/>
      <c r="D29" s="75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</row>
    <row r="30" spans="1:17" ht="15.75" x14ac:dyDescent="0.25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pans="1:17" ht="15.75" x14ac:dyDescent="0.25">
      <c r="A31" s="95"/>
      <c r="B31" s="95"/>
      <c r="C31" s="95"/>
      <c r="D31" s="95"/>
      <c r="E31" s="95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88BCF7-8960-47C8-86EA-6FB3970D4B97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7011FB73-B788-4D3D-9D0B-EAF1A1136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91A51D-4C8B-411E-97C8-D6340EC011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Scenarios</vt:lpstr>
      <vt:lpstr>Overall_Parameters</vt:lpstr>
      <vt:lpstr>Distance_Levers</vt:lpstr>
      <vt:lpstr>Mode_Shift</vt:lpstr>
      <vt:lpstr>Occupancy_Rate</vt:lpstr>
      <vt:lpstr>Tech_Adoption</vt:lpstr>
      <vt:lpstr>Electrical</vt:lpstr>
      <vt:lpstr>SmartGrid</vt:lpstr>
      <vt:lpstr>Efficiency</vt:lpstr>
      <vt:lpstr>Others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