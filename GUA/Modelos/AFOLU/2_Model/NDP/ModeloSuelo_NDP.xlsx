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6"/>
  <workbookPr codeName="ThisWorkbook" defaultThemeVersion="166925"/>
  <mc:AlternateContent xmlns:mc="http://schemas.openxmlformats.org/markup-compatibility/2006">
    <mc:Choice Requires="x15">
      <x15ac:absPath xmlns:x15ac="http://schemas.microsoft.com/office/spreadsheetml/2010/11/ac" url="https://uvggt.sharepoint.com/sites/OES/Documentos compartidos/General/Proyectos/CLG - NDC/Modelo/OSeMOSYS/2_Model/NDP/"/>
    </mc:Choice>
  </mc:AlternateContent>
  <xr:revisionPtr revIDLastSave="19" documentId="6_{7A43EB42-E88D-9F4C-A411-321BED49C876}" xr6:coauthVersionLast="47" xr6:coauthVersionMax="47" xr10:uidLastSave="{CEB36EEA-EC4B-8A44-AC24-701577B4168E}"/>
  <bookViews>
    <workbookView xWindow="60" yWindow="620" windowWidth="14500" windowHeight="16100" firstSheet="18" activeTab="19" xr2:uid="{00000000-000D-0000-FFFF-FFFF00000000}"/>
  </bookViews>
  <sheets>
    <sheet name="Content" sheetId="13" r:id="rId1"/>
    <sheet name="Structure" sheetId="29" r:id="rId2"/>
    <sheet name="Sets" sheetId="11" r:id="rId3"/>
    <sheet name="Sets_Land" sheetId="84" r:id="rId4"/>
    <sheet name="Parameters" sheetId="1" r:id="rId5"/>
    <sheet name="AccumulatedAnnualDemand" sheetId="86" r:id="rId6"/>
    <sheet name="EmissionActivityRatio" sheetId="57" r:id="rId7"/>
    <sheet name="EmissionsPenalty" sheetId="87" r:id="rId8"/>
    <sheet name="CapitalCost" sheetId="54" r:id="rId9"/>
    <sheet name="VariableCost" sheetId="82" r:id="rId10"/>
    <sheet name="FixedCost" sheetId="59" r:id="rId11"/>
    <sheet name="InputActivityRatio" sheetId="60" r:id="rId12"/>
    <sheet name="OperationalLife" sheetId="62" r:id="rId13"/>
    <sheet name="OutputActivityRatio" sheetId="63" r:id="rId14"/>
    <sheet name="ResidualCapacity" sheetId="70" r:id="rId15"/>
    <sheet name="SpecifiedAnnualDemand" sheetId="71" r:id="rId16"/>
    <sheet name="SpecifiedDemandProfile" sheetId="72" r:id="rId17"/>
    <sheet name="TotalAnnualMaxCapacity" sheetId="73" r:id="rId18"/>
    <sheet name="TotalTechnologyAnnualActivityLo" sheetId="77" r:id="rId19"/>
    <sheet name="TotalTechnologyAnnualActivityUp" sheetId="78" r:id="rId20"/>
    <sheet name="YearSplit" sheetId="83"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84" l="1"/>
  <c r="E3" i="84" l="1"/>
  <c r="L3" i="84"/>
  <c r="K3" i="84"/>
  <c r="J3" i="84"/>
  <c r="I3" i="84"/>
  <c r="H3" i="84"/>
  <c r="G3" i="84"/>
  <c r="F3" i="84"/>
  <c r="D3" i="84"/>
  <c r="B3" i="84"/>
</calcChain>
</file>

<file path=xl/sharedStrings.xml><?xml version="1.0" encoding="utf-8"?>
<sst xmlns="http://schemas.openxmlformats.org/spreadsheetml/2006/main" count="1174" uniqueCount="258">
  <si>
    <t xml:space="preserve">Type </t>
  </si>
  <si>
    <t>Name</t>
  </si>
  <si>
    <t>Description</t>
  </si>
  <si>
    <t>Global parameters</t>
  </si>
  <si>
    <t>YearSplit[l,y]</t>
  </si>
  <si>
    <t>Duration of a modelled time slice, expressed as a fraction of the year. The sum of each entry over one modelled year should equal 1.</t>
  </si>
  <si>
    <t>DiscountRate[r]</t>
  </si>
  <si>
    <t>Region specific value for the discount rate, expressed in decimals (e.g. 0.05)</t>
  </si>
  <si>
    <t>DaySplit[lh,y]</t>
  </si>
  <si>
    <t>Length of one DailyTimeBracket in one specific day as a fraction of the year (e.g., when distinguishing between days and night: 12h/(24h*365d)).</t>
  </si>
  <si>
    <t>Conversionls[l,ls]</t>
  </si>
  <si>
    <t>Binary parameter linking one TimeSlice to a certain Season. It has value 0 if the TimeSlice does not pertain to the specific season, 1 if it does.</t>
  </si>
  <si>
    <t>Conversionld[ld,l]</t>
  </si>
  <si>
    <t>Binary parameter linking one TimeSlice to a certain DayType. It has value 0 if the TimeSlice does not pertain to the specific DayType, 1 if it does.</t>
  </si>
  <si>
    <t>Conversionlh[lh,l]</t>
  </si>
  <si>
    <t>Binary parameter linking one TimeSlice to a certain DaylyTimeBracket. It has value 0 if the TimeSlice does not pertain to the specific DaylyTimeBracket, 1 if it does.</t>
  </si>
  <si>
    <t>DaysInDayType[ls,ld,y]</t>
  </si>
  <si>
    <t>Number of days for each day type, within one week (natural number, ranging from 1 to 7)</t>
  </si>
  <si>
    <t>TradeRoute[r,rr,f,y]</t>
  </si>
  <si>
    <t>Binary parameter defining the links between region r and region rr, to enable or disable trading of a specific commodity. It has value 1 when two regions are linked, 0 otherwise</t>
  </si>
  <si>
    <t>DepreciationMethod[r]</t>
  </si>
  <si>
    <t>Binary parameter defining the type of depreciation to be applied. It has value 1 for sinking fund depreciation, value 2 for straight-line depreciation.</t>
  </si>
  <si>
    <t>Demands</t>
  </si>
  <si>
    <t>SpecifiedAnnualDemand[r,f,y]</t>
  </si>
  <si>
    <t>Total specified demand for the year, linked to a specific ‘time of use’ during the year.</t>
  </si>
  <si>
    <t>SpecifiedDemandProfile[r,f,l,y]</t>
  </si>
  <si>
    <t>Annual fraction of energy-service or commodity demand that is required in each time slice. For each year, all the defined SpecifiedDemandProfile input values should sum up to 1.</t>
  </si>
  <si>
    <t>AccumulatedAnnualDemand[r,f,y]</t>
  </si>
  <si>
    <t>Accumulated Demand for a certain commodity in one specific year. It cannot be defined for a commodity if its SpecifiedAnnualDemand for the same year is already defined and vice versa.</t>
  </si>
  <si>
    <t>Performance</t>
  </si>
  <si>
    <t>CapacityToActivityUnit[r,t]</t>
  </si>
  <si>
    <t>Conversion factor relating the energy that would be produced when one unit of capacity is fully used in one year.</t>
  </si>
  <si>
    <t>CapacityFactor[r,t,l,y]</t>
  </si>
  <si>
    <t>Capacity available per each TimeSlice expressed as a fraction of the total installed capacity, with values ranging from 0 to 1. It gives the possibility to account for forced outages.</t>
  </si>
  <si>
    <t>AvailabilityFactor[r,t,y]</t>
  </si>
  <si>
    <t>Maximum time a technology can run in the whole year, as a fraction of the year ranging from 0 to 1. It gives the possibility to account for planned outages.</t>
  </si>
  <si>
    <t>OperationalLife[r,t]</t>
  </si>
  <si>
    <t>Useful lifetime of a technology, expressed in years.</t>
  </si>
  <si>
    <t>ResidualCapacity[r,t,y]</t>
  </si>
  <si>
    <t>Remained capacity available from before the modelling period.</t>
  </si>
  <si>
    <t>InputActivityRatio[r,t,f,m,y]</t>
  </si>
  <si>
    <t>Rate of use of a commodity by a technology, as a ratio of the rate of activity.</t>
  </si>
  <si>
    <t>OutputActivityRatio[r,t,f,m,y]</t>
  </si>
  <si>
    <t>Rate of commodity output from a technology, as a ratio of the rate of activity.</t>
  </si>
  <si>
    <t>Technology cost</t>
  </si>
  <si>
    <t>CapitalCost[r,t,y]</t>
  </si>
  <si>
    <t>Capital investment cost of a technology, per unit of capacity.</t>
  </si>
  <si>
    <t>VariableCost[r,t,m,y]</t>
  </si>
  <si>
    <t>Cost of a technology for a given mode of operation (Variable O&amp;M cost), per unit of activity.</t>
  </si>
  <si>
    <t>FixedCost[r,t,y]</t>
  </si>
  <si>
    <t>Fixed O&amp;M cost of a technology, per unit of capacity.</t>
  </si>
  <si>
    <t>Storage</t>
  </si>
  <si>
    <t>TechnologyToStorage[r,t,s,m]</t>
  </si>
  <si>
    <t>Binary parameter linking a technology to the storage facility it charges. It has value 1 if the technology and the storage facility are linked, 0 otherwise.</t>
  </si>
  <si>
    <t>TechnologyFromStorage[r,t,s,m]</t>
  </si>
  <si>
    <t>Binary parameter linking a storage facility to the technology it feeds. It has value 1 if the technology and the storage facility are linked, 0 otherwise.</t>
  </si>
  <si>
    <t>StorageLevelStart[r,s]</t>
  </si>
  <si>
    <t>Level of storage at the beginning of first modelled year, in units of activity.</t>
  </si>
  <si>
    <t>StorageMaxChargeRate[r,s]</t>
  </si>
  <si>
    <t>Maximum charging rate for the storage, in units of activity per year.</t>
  </si>
  <si>
    <t>StorageMaxDischargeRate[r,s]</t>
  </si>
  <si>
    <t>Maximum discharging rate for the storage, in units of activity per year.</t>
  </si>
  <si>
    <t>MinStorageCharge[r,s,y]</t>
  </si>
  <si>
    <t>It sets a lower bound to the amount of energy stored, as a fraction of the maximum, with a number reanging between 0 and 1. The storage facility cannot be emptied below this level.</t>
  </si>
  <si>
    <t>OperationalLifeStorage[r,s]</t>
  </si>
  <si>
    <t>Useful lifetime of the storage facility.</t>
  </si>
  <si>
    <t>CapitalCostStorage[r,s,y]</t>
  </si>
  <si>
    <t>Binary parameter linking a technology to the storage facility it charges. It has value 0 if the technology and the storage facility are not linked, 1 if they are.</t>
  </si>
  <si>
    <t>ResidualStorageCapacity[r,s,y]</t>
  </si>
  <si>
    <t>Binary parameter linking a storage facility to the technology it feeds. It has value 0 if the technology and the storage facility are not linked, 1 if they are.</t>
  </si>
  <si>
    <t>CapacityOfOneTechnologyUnit[r,t,y]</t>
  </si>
  <si>
    <t>Capacity of one new unit of a technology. In case the user sets this parameter, the related technology will be installed only in batches of the specified capacity and the problem will turn into a Mixed Integer Linear Problem.</t>
  </si>
  <si>
    <t>TotalAnnualMaxCapacity[r,t,y]</t>
  </si>
  <si>
    <t>Total maximum existing (residual plus cumulatively installed) capacity allowed for a technology in a specified year.</t>
  </si>
  <si>
    <t>TotalAnnualMinCapacity[r,t,y]</t>
  </si>
  <si>
    <t>Total minimum existing (residual plus cumulatively installed) capacity allowed for a technology in a specified year.</t>
  </si>
  <si>
    <t>Investment constraints</t>
  </si>
  <si>
    <t>TotalAnnualMaxCapacityInvestment[r,t,y]</t>
  </si>
  <si>
    <t>Maximum capacity of a technology, expressed in power units.</t>
  </si>
  <si>
    <t>TotalAnnualMinCapacityInvestment[r,t,y]</t>
  </si>
  <si>
    <t>Minimum capacity of a technology, expressed in power units.</t>
  </si>
  <si>
    <t>Capacity constrains</t>
  </si>
  <si>
    <t>Activity constrains</t>
  </si>
  <si>
    <t>TotalTechnologyAnnualActivityUpperLimit[r,t,y]</t>
  </si>
  <si>
    <t>Total maximum level of activity allowed for a technology in one year.</t>
  </si>
  <si>
    <t>TotalTechnologyAnnualActivityLowerLimit[r,t,y]</t>
  </si>
  <si>
    <t>Total minimum level of activity allowed for a technology in one year.</t>
  </si>
  <si>
    <t>TotalTechnologyModelPeriodActivityUpperLimit[r,t]</t>
  </si>
  <si>
    <t>Total maximum level of activity allowed for a technology in the entire modelled period.</t>
  </si>
  <si>
    <t>TotalTechnologyModelPeriodActivityLowerLimit[r,t]</t>
  </si>
  <si>
    <t>Total minimum level of activity allowed for a technology in the entire modelled period.</t>
  </si>
  <si>
    <t>ReserveMarginTagTechnology[r,t,y]</t>
  </si>
  <si>
    <t>Binary parameter tagging the technologies that are allowed to contribute to the reserve margin. It has value 1 for the technologies allowed, 0 otherwise.</t>
  </si>
  <si>
    <t>ReserveMarginTagFuel[r,f,y]</t>
  </si>
  <si>
    <t>Binary parameter tagging the fuels to which the reserve margin applies. It has value 1 if the reserve margin applies to the fuel, 0 otherwise.</t>
  </si>
  <si>
    <t>ReserveMargin[r,y]</t>
  </si>
  <si>
    <t>Minimum level of the reserve margin required to be provided for all the tagged commodities, by the tagged technologies. If no reserve margin is required, the parameter will have value 1; if, for instance, 20% reserve margin is required, the parameter will have value 1.2.</t>
  </si>
  <si>
    <t>Reserve margin</t>
  </si>
  <si>
    <t>EmissionActivityRatio[r,t,e,m,y]</t>
  </si>
  <si>
    <t>Emission factor of a technology per unit of activity, per mode of operation.</t>
  </si>
  <si>
    <t>EmissionsPenalty[r,e,y]</t>
  </si>
  <si>
    <t>Penalty per unit of emission.</t>
  </si>
  <si>
    <t>AnnualExogenousEmission[r,e,y]</t>
  </si>
  <si>
    <t>It allows the user to account for additional annual emissions, on top of those computed endogenously by the model (e.g. emissions generated outside the region).</t>
  </si>
  <si>
    <t>AnnualEmissionLimit[r,e,y]</t>
  </si>
  <si>
    <t>Annual upper limit for a specific emission generated in the whole modelled region.</t>
  </si>
  <si>
    <t>ModelPeriodExogenousEmission[r,e]</t>
  </si>
  <si>
    <t>It allows the user to account for additional emissions over the entire modelled period, on top of those computed endogenously by the model (e.g. generated outside the region).</t>
  </si>
  <si>
    <t>ModelPeriodEmissionLimit[r,e]</t>
  </si>
  <si>
    <t>Annual upper limit for a specific emission generated in the whole modelled region, over the entire modelled period.</t>
  </si>
  <si>
    <t>Emissions</t>
  </si>
  <si>
    <t>Parameter</t>
  </si>
  <si>
    <t>Index</t>
  </si>
  <si>
    <t>YEAR</t>
  </si>
  <si>
    <t>It represents the time frame of the model, it contains all the years to be considered in the study.</t>
  </si>
  <si>
    <t>y</t>
  </si>
  <si>
    <t>TECHNOLOGY</t>
  </si>
  <si>
    <t>It includes any element of the energy system that changes a commodity from one form to another, uses it or supplies it. All system components are set up as a ‘technology’ in OSeMOSYS. As the model is an abstraction, the modeller is free to interpret the role of a technology at will, where relevant. It may for example represent a single real technology (such as a power plant) or can represent a heavily aggregated collection of technologies (such as the stock of several million light bulbs), or may even simply be a ‘dummy technology’, perhaps used for accounting purposes.</t>
  </si>
  <si>
    <t>t</t>
  </si>
  <si>
    <t>TIMESLICE</t>
  </si>
  <si>
    <t>It represents the time split of each modelled year, therefore the time resolution of the model. Common to several energy systems modelling tools (incl. MESSAGE / MARKAL / TIMES), the annual demand is ‘sliced’ into representative fractions of the year. It is necessary to assess times of the year when demand is high separately from times when demand is low, for fuels that are expensive to store. In order to reduce the computation time, these ‘slices’ are often grouped. Thus, the annual demand may be split into aggregate seasons where demand levels are similar (such as ‘summer, winter and intermediate’). Those seasons may be subdivided into aggregate ‘day types’ (such as workdays and weekends), and the day further sub divided (such as into day and night) depending on the level of demand.</t>
  </si>
  <si>
    <t>l</t>
  </si>
  <si>
    <t>FUEL</t>
  </si>
  <si>
    <t>It includes any energy vector, energy service or proxies entering or exiting technologies. These can be aggregate groups, individual flows or artificially separated, depending on the requirements of the analysis.</t>
  </si>
  <si>
    <t>f</t>
  </si>
  <si>
    <t>EMISSION</t>
  </si>
  <si>
    <t>It includes any kind of emission potentially deriving from the operation of the defined technologies. Typical examples would include atmospheric emissions of greenhouse gasses, such as CO2.</t>
  </si>
  <si>
    <t>e</t>
  </si>
  <si>
    <t>MODE_OF_OPERATION</t>
  </si>
  <si>
    <t>It defines the number of modes of operation that the technologies can have. If a technology can have various input or output fuels and it can choose the mix (i.e. any linear combination) of these input or output fuels, each mix can be accounted as a separate mode of operation. For example, a CHP plant may produce heat in one mode of operation and electricity in another.</t>
  </si>
  <si>
    <t>m</t>
  </si>
  <si>
    <t>REGION</t>
  </si>
  <si>
    <t>It sets the regions to be modelled, e.g. different countries. For each of them, the supply-demand balances for all the energy vectors are ensured, including trades with other regions. In some occasions it might be computationally more convenient to model different countries within the same region and differentiate them simply by creating ad hoc fuels and technologies for each of them.</t>
  </si>
  <si>
    <t>r</t>
  </si>
  <si>
    <t>SEASON</t>
  </si>
  <si>
    <t>It gives indication (by successive numerical values) of how many seasons (e.g. winter, intermediate, summer) are accounted for and in which order. This set is needed if storage facilities are included in the model.</t>
  </si>
  <si>
    <t>ls</t>
  </si>
  <si>
    <t>DAYTYPE</t>
  </si>
  <si>
    <t>It gives indication (by successive numerical values) of how many day types (e.g. workday, weekend) are accounted for and in which order. This set is needed if storage facilities are included in the model.</t>
  </si>
  <si>
    <t>ld</t>
  </si>
  <si>
    <t>DAILYTIMEBRACKET</t>
  </si>
  <si>
    <t>It gives indication (by successive numerical values) of how many parts the day is split into (e.g. night, morning, afternoon, evening) and in which order these parts are sorted. This set is needed if storage facilities are included in the model.</t>
  </si>
  <si>
    <t>lh</t>
  </si>
  <si>
    <t>STORAGE</t>
  </si>
  <si>
    <t>It includes storage facilities in the model.</t>
  </si>
  <si>
    <t>s</t>
  </si>
  <si>
    <t xml:space="preserve">*Source: </t>
  </si>
  <si>
    <t>https://osemosys.readthedocs.io/en/latest/manual/Structure%20of%20OSeMOSYS.html</t>
  </si>
  <si>
    <t>*Source:</t>
  </si>
  <si>
    <t>Sets and Parameters documentation</t>
  </si>
  <si>
    <t>1. OSeMOSYS Structure</t>
  </si>
  <si>
    <t>2. Sets</t>
  </si>
  <si>
    <t>2.1 Year</t>
  </si>
  <si>
    <t>2.2 Technology</t>
  </si>
  <si>
    <t>2.3 Timeslice</t>
  </si>
  <si>
    <t xml:space="preserve">2.4 Fuel </t>
  </si>
  <si>
    <t>2.5 Emission</t>
  </si>
  <si>
    <t>2.6 Others</t>
  </si>
  <si>
    <t>3. Paramenters</t>
  </si>
  <si>
    <t xml:space="preserve">Sets: </t>
  </si>
  <si>
    <t>They define the physical structure of a model, usually independent from the specific scenarios which will be run. They define the time domain and time split, the spatial coverage, the technologies and energy vectors to be considered, etc. </t>
  </si>
  <si>
    <t>Parameters:</t>
  </si>
  <si>
    <t>They are the user-defined numerical inputs to the model. While usually the structure of a model, therefore the sets, remains fixed across scenarios, it is common practice to change the values of some parameters when running different scenarios and/or sensitivity analyses. Each parameter is a function of the elements in one or more sets. </t>
  </si>
  <si>
    <t>Variables:</t>
  </si>
  <si>
    <t>The variables are the outputs computed by the code. As much as the parameters, also the variables are functions of the elements in one or more sets. </t>
  </si>
  <si>
    <t>In OSeMOSYS, like usually in linear programs, sets, parameters and variables are defined:</t>
  </si>
  <si>
    <t xml:space="preserve">Source: </t>
  </si>
  <si>
    <t>https://osemosys.readthedocs.io/en/latest/manual/Structure%20of%20OSeMOSYS.html#</t>
  </si>
  <si>
    <t>OSeMOSYS Structure</t>
  </si>
  <si>
    <t>Back to table of contents</t>
  </si>
  <si>
    <t>Value</t>
  </si>
  <si>
    <t>Yes</t>
  </si>
  <si>
    <t>Used?</t>
  </si>
  <si>
    <t xml:space="preserve"> </t>
  </si>
  <si>
    <t>Table of contents</t>
  </si>
  <si>
    <t>Parameters List</t>
  </si>
  <si>
    <t xml:space="preserve">Yes </t>
  </si>
  <si>
    <r>
      <t xml:space="preserve">In the energy model, this parameter relate power and energy. </t>
    </r>
    <r>
      <rPr>
        <sz val="11"/>
        <color rgb="FFFF0000"/>
        <rFont val="Calibri"/>
        <family val="2"/>
        <scheme val="minor"/>
      </rPr>
      <t>Is it necessary for land and water?</t>
    </r>
  </si>
  <si>
    <t xml:space="preserve">0.05. Default value.. </t>
  </si>
  <si>
    <r>
      <t xml:space="preserve">Name </t>
    </r>
    <r>
      <rPr>
        <b/>
        <sz val="11"/>
        <color rgb="FF0070C0"/>
        <rFont val="Calibri"/>
        <family val="2"/>
        <scheme val="minor"/>
      </rPr>
      <t xml:space="preserve">(Used parameters have an hyperlink) </t>
    </r>
  </si>
  <si>
    <t xml:space="preserve">No. The model will be devided in two seasons. </t>
  </si>
  <si>
    <t xml:space="preserve">No. A daily split will not be considered in this first model. </t>
  </si>
  <si>
    <t xml:space="preserve">No. Day types will not be considered in this first model </t>
  </si>
  <si>
    <t xml:space="preserve">No. Daily time brakets will not be considered in this first model. </t>
  </si>
  <si>
    <t xml:space="preserve">No. This first model will have a singular region. </t>
  </si>
  <si>
    <t>CLEW Model of Costa Rica</t>
  </si>
  <si>
    <t>YearSplit</t>
  </si>
  <si>
    <t>CapitalCost</t>
  </si>
  <si>
    <t>FixedCost</t>
  </si>
  <si>
    <t>InputActivityRatio</t>
  </si>
  <si>
    <t>OutputActivityRatio</t>
  </si>
  <si>
    <t>SpecifiedAnnualDemand</t>
  </si>
  <si>
    <t>VariableCost</t>
  </si>
  <si>
    <t>OperationalLife</t>
  </si>
  <si>
    <t>set</t>
  </si>
  <si>
    <t>index</t>
  </si>
  <si>
    <t>number</t>
  </si>
  <si>
    <t>Guatemala</t>
  </si>
  <si>
    <t>EmissionActivityRatio</t>
  </si>
  <si>
    <t>All</t>
  </si>
  <si>
    <t>TotalTechnologyAnnualActivityLowerLimit</t>
  </si>
  <si>
    <t>co2e</t>
  </si>
  <si>
    <t>Bosques</t>
  </si>
  <si>
    <t>Lena</t>
  </si>
  <si>
    <t>Demanda_lena</t>
  </si>
  <si>
    <t>lena_local</t>
  </si>
  <si>
    <t>lena_demandado</t>
  </si>
  <si>
    <t>Lena_total</t>
  </si>
  <si>
    <t>servicios_ecosistemicos</t>
  </si>
  <si>
    <t>EmissionPenalty</t>
  </si>
  <si>
    <t>Estufa_nueva</t>
  </si>
  <si>
    <t>Estufa_stock</t>
  </si>
  <si>
    <t>absorcion</t>
  </si>
  <si>
    <t>dano_lena</t>
  </si>
  <si>
    <t>Casas_lena</t>
  </si>
  <si>
    <t>AG2</t>
  </si>
  <si>
    <t>AG2_income</t>
  </si>
  <si>
    <t>AG3</t>
  </si>
  <si>
    <t>AG4</t>
  </si>
  <si>
    <t>AG3_income</t>
  </si>
  <si>
    <t>AG4_income</t>
  </si>
  <si>
    <t>GAN1</t>
  </si>
  <si>
    <t>GAN1_income</t>
  </si>
  <si>
    <t>GAN2_income</t>
  </si>
  <si>
    <t>FOLU1_income</t>
  </si>
  <si>
    <t>FOLU2_income</t>
  </si>
  <si>
    <t>FOLU3_income</t>
  </si>
  <si>
    <t>GAN2</t>
  </si>
  <si>
    <t>FOLU1</t>
  </si>
  <si>
    <t>FOLU2</t>
  </si>
  <si>
    <t>FOLU3</t>
  </si>
  <si>
    <t>AG1b</t>
  </si>
  <si>
    <t>AG1a</t>
  </si>
  <si>
    <t>FOLU4</t>
  </si>
  <si>
    <t>NUEVAFOLU</t>
  </si>
  <si>
    <t>AG1a_income</t>
  </si>
  <si>
    <t>AG1b_income</t>
  </si>
  <si>
    <t>FOLU4_income</t>
  </si>
  <si>
    <t>NUEVAFOLU_income</t>
  </si>
  <si>
    <t>GAN3</t>
  </si>
  <si>
    <t>GAN3_income</t>
  </si>
  <si>
    <t>Plantaciones</t>
  </si>
  <si>
    <t>CultivosGenerales</t>
  </si>
  <si>
    <t>CultivosPermanentes</t>
  </si>
  <si>
    <t>SAF</t>
  </si>
  <si>
    <t>Pastos</t>
  </si>
  <si>
    <t>Humedales</t>
  </si>
  <si>
    <t>Asentamientos</t>
  </si>
  <si>
    <t>OtrasTierras</t>
  </si>
  <si>
    <t>AreaIncendiada</t>
  </si>
  <si>
    <t>Deforestacion</t>
  </si>
  <si>
    <t>Restauracion</t>
  </si>
  <si>
    <t>FermentacionEnterica</t>
  </si>
  <si>
    <t>GestionEstiercol1</t>
  </si>
  <si>
    <t>GestionEstiercol2</t>
  </si>
  <si>
    <t>CultivoArroz</t>
  </si>
  <si>
    <t>SuelosAgricolas</t>
  </si>
  <si>
    <t>OtrosAgricolas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</si>
</sst>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0"/>
  </numFmts>
  <fonts count="16" x14ac:knownFonts="1">
    <font>
      <sz val="11"/>
      <color theme="1"/>
      <name val="Calibri"/>
      <family val="2"/>
      <scheme val="minor"/>
    </font>
    <font>
      <b/>
      <sz val="11"/>
      <color theme="1"/>
      <name val="Calibri"/>
      <family val="2"/>
      <scheme val="minor"/>
    </font>
    <font>
      <sz val="11"/>
      <name val="Calibri"/>
      <family val="2"/>
      <scheme val="minor"/>
    </font>
    <font>
      <u/>
      <sz val="11"/>
      <color theme="10"/>
      <name val="Calibri"/>
      <family val="2"/>
      <scheme val="minor"/>
    </font>
    <font>
      <sz val="11"/>
      <color theme="1"/>
      <name val="Calibri"/>
      <family val="2"/>
      <scheme val="minor"/>
    </font>
    <font>
      <sz val="11"/>
      <color rgb="FF404040"/>
      <name val="Calibri"/>
      <family val="2"/>
      <scheme val="minor"/>
    </font>
    <font>
      <sz val="12"/>
      <name val="Calibri"/>
      <family val="2"/>
      <scheme val="minor"/>
    </font>
    <font>
      <sz val="11"/>
      <color rgb="FFFF0000"/>
      <name val="Calibri"/>
      <family val="2"/>
      <scheme val="minor"/>
    </font>
    <font>
      <sz val="11"/>
      <color rgb="FF0070C0"/>
      <name val="Calibri"/>
      <family val="2"/>
      <scheme val="minor"/>
    </font>
    <font>
      <b/>
      <sz val="11"/>
      <color rgb="FF0070C0"/>
      <name val="Calibri"/>
      <family val="2"/>
      <scheme val="minor"/>
    </font>
    <font>
      <sz val="10"/>
      <name val="Arial"/>
      <family val="2"/>
    </font>
    <font>
      <sz val="8"/>
      <name val="Calibri"/>
      <family val="2"/>
      <scheme val="minor"/>
    </font>
    <font>
      <u/>
      <sz val="11"/>
      <color theme="1"/>
      <name val="Calibri"/>
      <family val="2"/>
      <scheme val="minor"/>
    </font>
    <font>
      <u/>
      <sz val="11"/>
      <color rgb="FFFF0000"/>
      <name val="Calibri"/>
      <family val="2"/>
      <scheme val="minor"/>
    </font>
    <font>
      <sz val="11"/>
      <color theme="1"/>
      <name val="Calibri"/>
      <family val="2"/>
    </font>
    <font>
      <sz val="12"/>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rgb="FFFBE4D5"/>
        <bgColor rgb="FFFBE4D5"/>
      </patternFill>
    </fill>
    <fill>
      <patternFill patternType="solid">
        <fgColor rgb="FFFFFF00"/>
        <bgColor indexed="64"/>
      </patternFill>
    </fill>
    <fill>
      <patternFill patternType="solid">
        <fgColor theme="8" tint="0.79998168889431442"/>
        <bgColor indexed="64"/>
      </patternFill>
    </fill>
  </fills>
  <borders count="35">
    <border>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8">
    <xf numFmtId="0" fontId="0" fillId="0" borderId="0"/>
    <xf numFmtId="0" fontId="3" fillId="0" borderId="0" applyNumberFormat="0" applyFill="0" applyBorder="0" applyAlignment="0" applyProtection="0"/>
    <xf numFmtId="164" fontId="4" fillId="0" borderId="0" applyFont="0" applyFill="0" applyBorder="0" applyAlignment="0" applyProtection="0"/>
    <xf numFmtId="0" fontId="10" fillId="0" borderId="0"/>
    <xf numFmtId="0" fontId="4" fillId="0" borderId="0"/>
    <xf numFmtId="0" fontId="10" fillId="0" borderId="0"/>
    <xf numFmtId="0" fontId="3" fillId="0" borderId="0" applyNumberFormat="0" applyFill="0" applyBorder="0" applyAlignment="0" applyProtection="0"/>
    <xf numFmtId="0" fontId="15" fillId="0" borderId="0"/>
  </cellStyleXfs>
  <cellXfs count="113">
    <xf numFmtId="0" fontId="0" fillId="0" borderId="0" xfId="0"/>
    <xf numFmtId="0" fontId="0" fillId="0" borderId="0" xfId="0" applyAlignment="1">
      <alignment wrapText="1"/>
    </xf>
    <xf numFmtId="0" fontId="3" fillId="0" borderId="0" xfId="1"/>
    <xf numFmtId="0" fontId="0" fillId="2" borderId="16" xfId="0" applyFill="1" applyBorder="1"/>
    <xf numFmtId="0" fontId="0" fillId="2" borderId="22" xfId="0" applyFill="1" applyBorder="1"/>
    <xf numFmtId="0" fontId="0" fillId="2" borderId="17" xfId="0" applyFill="1" applyBorder="1"/>
    <xf numFmtId="0" fontId="0" fillId="2" borderId="18" xfId="0" applyFill="1" applyBorder="1"/>
    <xf numFmtId="0" fontId="0" fillId="2" borderId="0" xfId="0" applyFill="1"/>
    <xf numFmtId="0" fontId="0" fillId="2" borderId="19" xfId="0" applyFill="1" applyBorder="1"/>
    <xf numFmtId="0" fontId="0" fillId="2" borderId="20" xfId="0" applyFill="1" applyBorder="1"/>
    <xf numFmtId="0" fontId="0" fillId="2" borderId="23" xfId="0" applyFill="1" applyBorder="1"/>
    <xf numFmtId="0" fontId="0" fillId="2" borderId="21" xfId="0" applyFill="1" applyBorder="1"/>
    <xf numFmtId="0" fontId="1" fillId="2" borderId="0" xfId="0" applyFont="1" applyFill="1" applyAlignment="1">
      <alignment horizontal="center"/>
    </xf>
    <xf numFmtId="0" fontId="0" fillId="2" borderId="0" xfId="0" applyFill="1" applyAlignment="1">
      <alignment horizontal="center"/>
    </xf>
    <xf numFmtId="0" fontId="5" fillId="2" borderId="0" xfId="0" applyFont="1" applyFill="1" applyAlignment="1">
      <alignment wrapText="1"/>
    </xf>
    <xf numFmtId="0" fontId="6" fillId="2" borderId="0" xfId="0" applyFont="1" applyFill="1" applyAlignment="1">
      <alignment vertical="top" wrapText="1"/>
    </xf>
    <xf numFmtId="0" fontId="2" fillId="2" borderId="0" xfId="0" applyFont="1" applyFill="1" applyAlignment="1">
      <alignment horizontal="left" wrapText="1"/>
    </xf>
    <xf numFmtId="0" fontId="1" fillId="2" borderId="0" xfId="0" applyFont="1" applyFill="1" applyAlignment="1">
      <alignment horizontal="center" vertical="top"/>
    </xf>
    <xf numFmtId="0" fontId="0" fillId="2" borderId="0" xfId="0" applyFill="1" applyAlignment="1">
      <alignment horizontal="center" vertical="top"/>
    </xf>
    <xf numFmtId="0" fontId="1" fillId="0" borderId="0" xfId="0" applyFont="1" applyAlignment="1">
      <alignment horizontal="right"/>
    </xf>
    <xf numFmtId="0" fontId="3" fillId="0" borderId="0" xfId="1" applyFill="1"/>
    <xf numFmtId="0" fontId="3" fillId="0" borderId="22" xfId="1" applyBorder="1"/>
    <xf numFmtId="0" fontId="0" fillId="0" borderId="22" xfId="0" applyBorder="1"/>
    <xf numFmtId="0" fontId="0" fillId="2" borderId="5" xfId="0" applyFill="1" applyBorder="1" applyAlignment="1">
      <alignment horizontal="center" vertical="center"/>
    </xf>
    <xf numFmtId="0" fontId="0" fillId="2" borderId="7" xfId="0" applyFill="1" applyBorder="1" applyAlignment="1">
      <alignment horizontal="center" vertical="center"/>
    </xf>
    <xf numFmtId="0" fontId="0" fillId="2" borderId="2" xfId="0" applyFill="1" applyBorder="1" applyAlignment="1">
      <alignment horizontal="center" vertical="center"/>
    </xf>
    <xf numFmtId="0" fontId="0" fillId="2" borderId="8" xfId="0" applyFill="1" applyBorder="1" applyAlignment="1">
      <alignment horizontal="center" vertical="center"/>
    </xf>
    <xf numFmtId="0" fontId="8" fillId="2" borderId="0" xfId="0" applyFont="1" applyFill="1"/>
    <xf numFmtId="0" fontId="8" fillId="2" borderId="23" xfId="0" applyFont="1" applyFill="1" applyBorder="1"/>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0" fillId="0" borderId="0" xfId="0" applyAlignment="1">
      <alignment horizontal="center" vertical="center"/>
    </xf>
    <xf numFmtId="0" fontId="3" fillId="3" borderId="4" xfId="1" applyFill="1" applyBorder="1" applyAlignment="1">
      <alignment horizontal="center" vertical="center"/>
    </xf>
    <xf numFmtId="0" fontId="0" fillId="3" borderId="2" xfId="0" applyFill="1" applyBorder="1" applyAlignment="1">
      <alignment horizontal="center" vertical="center"/>
    </xf>
    <xf numFmtId="0" fontId="0" fillId="3" borderId="8" xfId="0" applyFill="1" applyBorder="1" applyAlignment="1">
      <alignment horizontal="center" vertical="center"/>
    </xf>
    <xf numFmtId="0" fontId="3" fillId="3" borderId="2" xfId="1" applyFill="1" applyBorder="1" applyAlignment="1">
      <alignment horizontal="center" vertical="center"/>
    </xf>
    <xf numFmtId="0" fontId="0" fillId="3" borderId="4" xfId="0" applyFill="1" applyBorder="1" applyAlignment="1">
      <alignment horizontal="center" vertical="center"/>
    </xf>
    <xf numFmtId="0" fontId="3" fillId="3" borderId="8" xfId="1" applyFill="1" applyBorder="1" applyAlignment="1">
      <alignment horizontal="center" vertical="center"/>
    </xf>
    <xf numFmtId="0" fontId="2" fillId="4" borderId="3"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0" fillId="4" borderId="3" xfId="0" applyFill="1" applyBorder="1" applyAlignment="1">
      <alignment horizontal="center" vertical="center"/>
    </xf>
    <xf numFmtId="0" fontId="0" fillId="4" borderId="7" xfId="0" applyFill="1" applyBorder="1" applyAlignment="1">
      <alignment horizontal="center" vertical="center"/>
    </xf>
    <xf numFmtId="0" fontId="0" fillId="4" borderId="26" xfId="0" applyFill="1" applyBorder="1" applyAlignment="1">
      <alignment horizontal="center" vertical="center" wrapText="1"/>
    </xf>
    <xf numFmtId="0" fontId="0" fillId="4" borderId="27" xfId="0" applyFill="1" applyBorder="1" applyAlignment="1">
      <alignment horizontal="center" vertical="center" wrapText="1"/>
    </xf>
    <xf numFmtId="0" fontId="0" fillId="4" borderId="24" xfId="0" applyFill="1" applyBorder="1" applyAlignment="1">
      <alignment horizontal="center" vertical="center" wrapText="1"/>
    </xf>
    <xf numFmtId="0" fontId="0" fillId="4" borderId="28" xfId="0" applyFill="1" applyBorder="1" applyAlignment="1">
      <alignment horizontal="center" vertical="center"/>
    </xf>
    <xf numFmtId="0" fontId="0" fillId="4" borderId="28" xfId="0" applyFill="1" applyBorder="1" applyAlignment="1">
      <alignment horizontal="center" vertical="center" wrapText="1"/>
    </xf>
    <xf numFmtId="0" fontId="0" fillId="4" borderId="25" xfId="0" applyFill="1" applyBorder="1" applyAlignment="1">
      <alignment horizontal="center" vertical="center" wrapText="1"/>
    </xf>
    <xf numFmtId="0" fontId="0" fillId="4" borderId="29" xfId="0" applyFill="1" applyBorder="1" applyAlignment="1">
      <alignment horizontal="center" vertical="center"/>
    </xf>
    <xf numFmtId="0" fontId="0" fillId="4" borderId="27" xfId="0" applyFill="1" applyBorder="1" applyAlignment="1">
      <alignment horizontal="center" vertical="center"/>
    </xf>
    <xf numFmtId="0" fontId="0" fillId="4" borderId="30" xfId="0" applyFill="1" applyBorder="1" applyAlignment="1">
      <alignment horizontal="center" vertical="center"/>
    </xf>
    <xf numFmtId="0" fontId="0" fillId="4" borderId="31" xfId="0" applyFill="1" applyBorder="1" applyAlignment="1">
      <alignment horizontal="center" vertical="center"/>
    </xf>
    <xf numFmtId="0" fontId="0" fillId="2" borderId="11" xfId="0" applyFill="1" applyBorder="1" applyAlignment="1">
      <alignment horizontal="center" vertical="center"/>
    </xf>
    <xf numFmtId="0" fontId="0" fillId="2" borderId="10" xfId="0" applyFill="1" applyBorder="1" applyAlignment="1">
      <alignment horizontal="center" vertical="center"/>
    </xf>
    <xf numFmtId="0" fontId="0" fillId="2" borderId="12" xfId="0" applyFill="1" applyBorder="1" applyAlignment="1">
      <alignment vertical="top" wrapText="1"/>
    </xf>
    <xf numFmtId="0" fontId="0" fillId="2" borderId="6" xfId="0" applyFill="1" applyBorder="1" applyAlignment="1">
      <alignment vertical="top" wrapText="1"/>
    </xf>
    <xf numFmtId="0" fontId="0" fillId="2" borderId="9" xfId="0" applyFill="1" applyBorder="1" applyAlignment="1">
      <alignment vertical="top" wrapText="1"/>
    </xf>
    <xf numFmtId="0" fontId="1" fillId="5" borderId="13" xfId="0" applyFont="1" applyFill="1" applyBorder="1"/>
    <xf numFmtId="0" fontId="1" fillId="5" borderId="14" xfId="0" applyFont="1" applyFill="1" applyBorder="1"/>
    <xf numFmtId="0" fontId="1" fillId="5" borderId="15" xfId="0" applyFont="1" applyFill="1" applyBorder="1"/>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0" fillId="0" borderId="16" xfId="0" applyBorder="1"/>
    <xf numFmtId="0" fontId="0" fillId="0" borderId="17" xfId="0" applyBorder="1"/>
    <xf numFmtId="0" fontId="0" fillId="0" borderId="18" xfId="0" applyBorder="1"/>
    <xf numFmtId="0" fontId="0" fillId="0" borderId="19" xfId="0" applyBorder="1"/>
    <xf numFmtId="0" fontId="3" fillId="0" borderId="16" xfId="1" applyBorder="1" applyAlignment="1">
      <alignment horizontal="center"/>
    </xf>
    <xf numFmtId="0" fontId="3" fillId="0" borderId="22" xfId="1" applyBorder="1" applyAlignment="1">
      <alignment horizontal="center"/>
    </xf>
    <xf numFmtId="0" fontId="0" fillId="6" borderId="16" xfId="0" applyFill="1" applyBorder="1"/>
    <xf numFmtId="0" fontId="0" fillId="6" borderId="22" xfId="0" applyFill="1" applyBorder="1"/>
    <xf numFmtId="0" fontId="0" fillId="6" borderId="17" xfId="0" applyFill="1" applyBorder="1"/>
    <xf numFmtId="11" fontId="0" fillId="0" borderId="0" xfId="0" applyNumberFormat="1"/>
    <xf numFmtId="1" fontId="0" fillId="0" borderId="0" xfId="0" applyNumberFormat="1"/>
    <xf numFmtId="0" fontId="0" fillId="6" borderId="32" xfId="0" applyFill="1" applyBorder="1"/>
    <xf numFmtId="0" fontId="0" fillId="6" borderId="34" xfId="0" applyFill="1" applyBorder="1"/>
    <xf numFmtId="0" fontId="0" fillId="6" borderId="33" xfId="0" applyFill="1" applyBorder="1"/>
    <xf numFmtId="2" fontId="0" fillId="0" borderId="0" xfId="0" applyNumberFormat="1"/>
    <xf numFmtId="1" fontId="0" fillId="6" borderId="32" xfId="0" applyNumberFormat="1" applyFill="1" applyBorder="1"/>
    <xf numFmtId="1" fontId="0" fillId="6" borderId="33" xfId="0" applyNumberFormat="1" applyFill="1" applyBorder="1"/>
    <xf numFmtId="0" fontId="12" fillId="0" borderId="16" xfId="1" applyFont="1" applyBorder="1" applyAlignment="1">
      <alignment horizontal="center"/>
    </xf>
    <xf numFmtId="0" fontId="12" fillId="0" borderId="22" xfId="1" applyFont="1" applyBorder="1" applyAlignment="1">
      <alignment horizontal="center"/>
    </xf>
    <xf numFmtId="0" fontId="12" fillId="0" borderId="22" xfId="1" applyFont="1" applyBorder="1"/>
    <xf numFmtId="0" fontId="4" fillId="0" borderId="22" xfId="0" applyFont="1" applyBorder="1"/>
    <xf numFmtId="0" fontId="4" fillId="0" borderId="0" xfId="0" applyFont="1"/>
    <xf numFmtId="0" fontId="4" fillId="6" borderId="34" xfId="0" applyFont="1" applyFill="1" applyBorder="1"/>
    <xf numFmtId="0" fontId="4" fillId="6" borderId="32" xfId="0" applyFont="1" applyFill="1" applyBorder="1"/>
    <xf numFmtId="0" fontId="4" fillId="6" borderId="33" xfId="0" applyFont="1" applyFill="1" applyBorder="1"/>
    <xf numFmtId="165" fontId="4" fillId="0" borderId="0" xfId="0" applyNumberFormat="1" applyFont="1"/>
    <xf numFmtId="0" fontId="4" fillId="6" borderId="16" xfId="0" applyFont="1" applyFill="1" applyBorder="1"/>
    <xf numFmtId="0" fontId="4" fillId="6" borderId="22" xfId="0" applyFont="1" applyFill="1" applyBorder="1"/>
    <xf numFmtId="0" fontId="4" fillId="6" borderId="17" xfId="0" applyFont="1" applyFill="1" applyBorder="1"/>
    <xf numFmtId="0" fontId="4" fillId="6" borderId="32" xfId="0" applyFont="1" applyFill="1" applyBorder="1" applyAlignment="1">
      <alignment horizontal="left"/>
    </xf>
    <xf numFmtId="1" fontId="4" fillId="6" borderId="22" xfId="0" applyNumberFormat="1" applyFont="1" applyFill="1" applyBorder="1"/>
    <xf numFmtId="0" fontId="0" fillId="0" borderId="21" xfId="0" applyBorder="1"/>
    <xf numFmtId="0" fontId="13" fillId="3" borderId="8" xfId="1" applyFont="1" applyFill="1" applyBorder="1" applyAlignment="1">
      <alignment horizontal="center" vertical="center"/>
    </xf>
    <xf numFmtId="0" fontId="13" fillId="3" borderId="2" xfId="1" applyFont="1" applyFill="1" applyBorder="1" applyAlignment="1">
      <alignment horizontal="center" vertical="center"/>
    </xf>
    <xf numFmtId="0" fontId="13" fillId="3" borderId="4" xfId="1" applyFont="1" applyFill="1" applyBorder="1" applyAlignment="1">
      <alignment horizontal="center" vertical="center"/>
    </xf>
    <xf numFmtId="1" fontId="0" fillId="6" borderId="22" xfId="0" applyNumberFormat="1" applyFill="1" applyBorder="1"/>
    <xf numFmtId="0" fontId="14" fillId="0" borderId="0" xfId="0" applyFont="1"/>
    <xf numFmtId="165" fontId="14" fillId="7" borderId="0" xfId="0" applyNumberFormat="1" applyFont="1" applyFill="1" applyAlignment="1">
      <alignment horizontal="left" vertical="center"/>
    </xf>
    <xf numFmtId="0" fontId="0" fillId="9" borderId="0" xfId="0" applyFill="1"/>
    <xf numFmtId="0" fontId="0" fillId="8" borderId="0" xfId="0" applyFill="1"/>
    <xf numFmtId="165" fontId="14" fillId="0" borderId="0" xfId="0" applyNumberFormat="1" applyFont="1" applyAlignment="1">
      <alignment horizontal="left" vertical="center"/>
    </xf>
    <xf numFmtId="0" fontId="14" fillId="0" borderId="0" xfId="0" quotePrefix="1" applyFont="1"/>
    <xf numFmtId="1" fontId="14" fillId="0" borderId="0" xfId="0" applyNumberFormat="1" applyFont="1" applyAlignment="1">
      <alignment horizontal="left" vertical="center"/>
    </xf>
    <xf numFmtId="0" fontId="0" fillId="0" borderId="0" xfId="0"/>
    <xf numFmtId="0" fontId="1" fillId="2" borderId="0" xfId="0" applyFont="1" applyFill="1" applyAlignment="1">
      <alignment horizontal="center"/>
    </xf>
    <xf numFmtId="0" fontId="8" fillId="2" borderId="0" xfId="0" applyFont="1" applyFill="1"/>
    <xf numFmtId="0" fontId="5" fillId="2" borderId="0" xfId="0" applyFont="1" applyFill="1" applyAlignment="1">
      <alignment horizontal="left"/>
    </xf>
    <xf numFmtId="0" fontId="0" fillId="2" borderId="0" xfId="0" applyFill="1" applyAlignment="1">
      <alignment horizontal="center"/>
    </xf>
    <xf numFmtId="0" fontId="3" fillId="0" borderId="0" xfId="1" applyAlignment="1">
      <alignment horizontal="center"/>
    </xf>
  </cellXfs>
  <cellStyles count="8">
    <cellStyle name="Hipervínculo 2 2" xfId="6" xr:uid="{00000000-0005-0000-0000-000001000000}"/>
    <cellStyle name="Hyperlink" xfId="1" builtinId="8"/>
    <cellStyle name="Millares 2" xfId="2" xr:uid="{00000000-0005-0000-0000-000002000000}"/>
    <cellStyle name="Normal" xfId="0" builtinId="0"/>
    <cellStyle name="Normal 2" xfId="7" xr:uid="{C7D314E6-AD4F-4FEB-97D4-DEA0E4C4E83C}"/>
    <cellStyle name="Normal 2 2 2" xfId="5" xr:uid="{00000000-0005-0000-0000-000004000000}"/>
    <cellStyle name="Normal 3 2" xfId="3" xr:uid="{00000000-0005-0000-0000-000005000000}"/>
    <cellStyle name="Normal 5" xfId="4" xr:uid="{00000000-0005-0000-0000-000006000000}"/>
  </cellStyles>
  <dxfs count="0"/>
  <tableStyles count="0" defaultTableStyle="TableStyleMedium2" defaultPivotStyle="PivotStyleLight16"/>
  <colors>
    <mruColors>
      <color rgb="FFEED4FF"/>
      <color rgb="FFE8D2EE"/>
      <color rgb="FF793B5A"/>
      <color rgb="FFFF7586"/>
      <color rgb="FFEE92C2"/>
      <color rgb="FF8C144C"/>
      <color rgb="FFFFAAC6"/>
      <color rgb="FFFF899A"/>
      <color rgb="FF967C3C"/>
      <color rgb="FFB063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semosys.readthedocs.io/en/latest/manual/Structure%20of%20OSeMOSYS.html"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I17"/>
  <sheetViews>
    <sheetView zoomScale="95" zoomScaleNormal="95" workbookViewId="0"/>
  </sheetViews>
  <sheetFormatPr baseColWidth="10" defaultColWidth="11.5" defaultRowHeight="15" x14ac:dyDescent="0.2"/>
  <cols>
    <col min="1" max="1" width="3.1640625" customWidth="1"/>
    <col min="2" max="2" width="3.5" customWidth="1"/>
    <col min="4" max="4" width="23.5" customWidth="1"/>
    <col min="5" max="5" width="3.5" customWidth="1"/>
    <col min="6" max="7" width="4" customWidth="1"/>
    <col min="8" max="8" width="23.5" customWidth="1"/>
    <col min="9" max="9" width="15.1640625" customWidth="1"/>
  </cols>
  <sheetData>
    <row r="1" spans="1:9" ht="16" thickBot="1" x14ac:dyDescent="0.25"/>
    <row r="2" spans="1:9" x14ac:dyDescent="0.2">
      <c r="B2" s="3"/>
      <c r="C2" s="4"/>
      <c r="D2" s="4"/>
      <c r="E2" s="5"/>
      <c r="H2" s="107"/>
      <c r="I2" s="107"/>
    </row>
    <row r="3" spans="1:9" x14ac:dyDescent="0.2">
      <c r="B3" s="6"/>
      <c r="C3" s="108" t="s">
        <v>185</v>
      </c>
      <c r="D3" s="108"/>
      <c r="E3" s="8"/>
    </row>
    <row r="4" spans="1:9" x14ac:dyDescent="0.2">
      <c r="B4" s="6"/>
      <c r="C4" s="108" t="s">
        <v>149</v>
      </c>
      <c r="D4" s="108"/>
      <c r="E4" s="8"/>
    </row>
    <row r="5" spans="1:9" x14ac:dyDescent="0.2">
      <c r="A5" s="2"/>
      <c r="B5" s="6"/>
      <c r="C5" s="7"/>
      <c r="D5" s="7"/>
      <c r="E5" s="8"/>
    </row>
    <row r="6" spans="1:9" x14ac:dyDescent="0.2">
      <c r="A6" s="2"/>
      <c r="B6" s="6"/>
      <c r="C6" s="109" t="s">
        <v>150</v>
      </c>
      <c r="D6" s="109"/>
      <c r="E6" s="8"/>
    </row>
    <row r="7" spans="1:9" x14ac:dyDescent="0.2">
      <c r="A7" s="2"/>
      <c r="B7" s="6"/>
      <c r="C7" s="27"/>
      <c r="D7" s="27"/>
      <c r="E7" s="8"/>
    </row>
    <row r="8" spans="1:9" x14ac:dyDescent="0.2">
      <c r="B8" s="6"/>
      <c r="C8" s="109" t="s">
        <v>151</v>
      </c>
      <c r="D8" s="109"/>
      <c r="E8" s="8"/>
    </row>
    <row r="9" spans="1:9" x14ac:dyDescent="0.2">
      <c r="B9" s="6"/>
      <c r="C9" s="27"/>
      <c r="D9" s="27" t="s">
        <v>152</v>
      </c>
      <c r="E9" s="8"/>
    </row>
    <row r="10" spans="1:9" x14ac:dyDescent="0.2">
      <c r="B10" s="6"/>
      <c r="C10" s="27"/>
      <c r="D10" s="27" t="s">
        <v>153</v>
      </c>
      <c r="E10" s="8"/>
    </row>
    <row r="11" spans="1:9" x14ac:dyDescent="0.2">
      <c r="B11" s="6"/>
      <c r="C11" s="27"/>
      <c r="D11" s="27" t="s">
        <v>154</v>
      </c>
      <c r="E11" s="8"/>
    </row>
    <row r="12" spans="1:9" x14ac:dyDescent="0.2">
      <c r="B12" s="6"/>
      <c r="C12" s="27"/>
      <c r="D12" s="27" t="s">
        <v>155</v>
      </c>
      <c r="E12" s="8"/>
    </row>
    <row r="13" spans="1:9" x14ac:dyDescent="0.2">
      <c r="B13" s="6"/>
      <c r="C13" s="27"/>
      <c r="D13" s="27" t="s">
        <v>156</v>
      </c>
      <c r="E13" s="8"/>
    </row>
    <row r="14" spans="1:9" x14ac:dyDescent="0.2">
      <c r="B14" s="6"/>
      <c r="C14" s="27"/>
      <c r="D14" s="27" t="s">
        <v>157</v>
      </c>
      <c r="E14" s="8"/>
    </row>
    <row r="15" spans="1:9" x14ac:dyDescent="0.2">
      <c r="B15" s="6"/>
      <c r="C15" s="27"/>
      <c r="D15" s="27"/>
      <c r="E15" s="8"/>
    </row>
    <row r="16" spans="1:9" x14ac:dyDescent="0.2">
      <c r="B16" s="6"/>
      <c r="C16" s="109" t="s">
        <v>158</v>
      </c>
      <c r="D16" s="109"/>
      <c r="E16" s="8"/>
    </row>
    <row r="17" spans="2:5" ht="16" thickBot="1" x14ac:dyDescent="0.25">
      <c r="B17" s="9"/>
      <c r="C17" s="28"/>
      <c r="D17" s="28"/>
      <c r="E17" s="11"/>
    </row>
  </sheetData>
  <mergeCells count="6">
    <mergeCell ref="H2:I2"/>
    <mergeCell ref="C4:D4"/>
    <mergeCell ref="C3:D3"/>
    <mergeCell ref="C6:D6"/>
    <mergeCell ref="C16:D16"/>
    <mergeCell ref="C8:D8"/>
  </mergeCells>
  <hyperlinks>
    <hyperlink ref="C8" location="Sets!A1" display="1. Sets" xr:uid="{00000000-0004-0000-0000-000000000000}"/>
    <hyperlink ref="C16" location="Parameters!A1" display="2. Paramenters" xr:uid="{00000000-0004-0000-0000-000001000000}"/>
    <hyperlink ref="D9" location="Year!A1" display="1.1 Year" xr:uid="{00000000-0004-0000-0000-000002000000}"/>
    <hyperlink ref="D10" location="Technology!A1" display="1.2 Technology" xr:uid="{00000000-0004-0000-0000-000003000000}"/>
    <hyperlink ref="D11" location="Timeslice!A1" display="1.3 Timeslice" xr:uid="{00000000-0004-0000-0000-000004000000}"/>
    <hyperlink ref="D12" location="Fuel!A1" display="1.4 Fuel " xr:uid="{00000000-0004-0000-0000-000005000000}"/>
    <hyperlink ref="D13" location="Emission!A1" display="1.5 Emission" xr:uid="{00000000-0004-0000-0000-000006000000}"/>
    <hyperlink ref="D14" location="Others!A1" display="1.6 Others" xr:uid="{00000000-0004-0000-0000-000007000000}"/>
    <hyperlink ref="C6" location="Structure!A1" display="1. OSeMOSYS Structure" xr:uid="{00000000-0004-0000-0000-000008000000}"/>
  </hyperlink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election activeCell="D21" sqref="D21"/>
    </sheetView>
  </sheetViews>
  <sheetFormatPr baseColWidth="10" defaultColWidth="11.5" defaultRowHeight="15" x14ac:dyDescent="0.2"/>
  <cols>
    <col min="1" max="2" width="3.83203125" customWidth="1"/>
    <col min="3" max="3" width="14.5" customWidth="1"/>
    <col min="4" max="4" width="68.83203125" customWidth="1"/>
    <col min="5" max="5" width="4.1640625" customWidth="1"/>
    <col min="6" max="6" width="4.5" customWidth="1"/>
    <col min="8" max="8" width="12.5" customWidth="1"/>
    <col min="9" max="9" width="17.5" customWidth="1"/>
  </cols>
  <sheetData>
    <row r="1" spans="1:5" ht="16" thickBot="1" x14ac:dyDescent="0.25">
      <c r="A1" s="112" t="s">
        <v>169</v>
      </c>
      <c r="B1" s="112"/>
      <c r="C1" s="112"/>
    </row>
    <row r="2" spans="1:5" x14ac:dyDescent="0.2">
      <c r="B2" s="3"/>
      <c r="C2" s="4"/>
      <c r="D2" s="4"/>
      <c r="E2" s="5"/>
    </row>
    <row r="3" spans="1:5" x14ac:dyDescent="0.2">
      <c r="B3" s="6"/>
      <c r="C3" s="108" t="s">
        <v>168</v>
      </c>
      <c r="D3" s="111"/>
      <c r="E3" s="8"/>
    </row>
    <row r="4" spans="1:5" x14ac:dyDescent="0.2">
      <c r="B4" s="6"/>
      <c r="C4" s="12"/>
      <c r="D4" s="13"/>
      <c r="E4" s="8"/>
    </row>
    <row r="5" spans="1:5" x14ac:dyDescent="0.2">
      <c r="B5" s="6"/>
      <c r="C5" s="110" t="s">
        <v>165</v>
      </c>
      <c r="D5" s="110"/>
      <c r="E5" s="8"/>
    </row>
    <row r="6" spans="1:5" x14ac:dyDescent="0.2">
      <c r="B6" s="6"/>
      <c r="C6" s="7"/>
      <c r="D6" s="7"/>
      <c r="E6" s="8"/>
    </row>
    <row r="7" spans="1:5" ht="48" x14ac:dyDescent="0.2">
      <c r="B7" s="6"/>
      <c r="C7" s="17" t="s">
        <v>159</v>
      </c>
      <c r="D7" s="14" t="s">
        <v>160</v>
      </c>
      <c r="E7" s="8"/>
    </row>
    <row r="8" spans="1:5" x14ac:dyDescent="0.2">
      <c r="B8" s="6"/>
      <c r="C8" s="18"/>
      <c r="D8" s="7"/>
      <c r="E8" s="8"/>
    </row>
    <row r="9" spans="1:5" ht="81" customHeight="1" x14ac:dyDescent="0.2">
      <c r="B9" s="6"/>
      <c r="C9" s="17" t="s">
        <v>161</v>
      </c>
      <c r="D9" s="15" t="s">
        <v>162</v>
      </c>
      <c r="E9" s="8"/>
    </row>
    <row r="10" spans="1:5" x14ac:dyDescent="0.2">
      <c r="B10" s="6"/>
      <c r="C10" s="18"/>
      <c r="D10" s="7"/>
      <c r="E10" s="8"/>
    </row>
    <row r="11" spans="1:5" ht="32" x14ac:dyDescent="0.2">
      <c r="B11" s="6"/>
      <c r="C11" s="17" t="s">
        <v>163</v>
      </c>
      <c r="D11" s="16" t="s">
        <v>164</v>
      </c>
      <c r="E11" s="8"/>
    </row>
    <row r="12" spans="1:5" ht="16" thickBot="1" x14ac:dyDescent="0.25">
      <c r="B12" s="9"/>
      <c r="C12" s="10"/>
      <c r="D12" s="10"/>
      <c r="E12" s="11"/>
    </row>
    <row r="13" spans="1:5" x14ac:dyDescent="0.2">
      <c r="C13" s="19" t="s">
        <v>166</v>
      </c>
      <c r="D13" s="2" t="s">
        <v>167</v>
      </c>
    </row>
  </sheetData>
  <mergeCells count="3">
    <mergeCell ref="C5:D5"/>
    <mergeCell ref="C3:D3"/>
    <mergeCell ref="A1:C1"/>
  </mergeCells>
  <hyperlinks>
    <hyperlink ref="D13" r:id="rId1" display="https://osemosys.readthedocs.io/en/latest/manual/Structure of OSeMOSYS.html" xr:uid="{00000000-0004-0000-0100-000000000000}"/>
    <hyperlink ref="A1:C1" location="Content!A1" display="Back to table of contents"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C14"/>
  <sheetViews>
    <sheetView workbookViewId="0">
      <selection activeCell="B36" sqref="B36"/>
    </sheetView>
  </sheetViews>
  <sheetFormatPr baseColWidth="10" defaultColWidth="11.5" defaultRowHeight="15" x14ac:dyDescent="0.2"/>
  <cols>
    <col min="1" max="1" width="22.5" customWidth="1"/>
    <col min="2" max="2" width="23.5" customWidth="1"/>
    <col min="3" max="3" width="170" customWidth="1"/>
  </cols>
  <sheetData>
    <row r="1" spans="1:3" ht="16" thickBot="1" x14ac:dyDescent="0.25">
      <c r="A1" s="20" t="s">
        <v>169</v>
      </c>
    </row>
    <row r="2" spans="1:3" ht="16" thickBot="1" x14ac:dyDescent="0.25">
      <c r="A2" s="59" t="s">
        <v>1</v>
      </c>
      <c r="B2" s="60" t="s">
        <v>112</v>
      </c>
      <c r="C2" s="61" t="s">
        <v>2</v>
      </c>
    </row>
    <row r="3" spans="1:3" ht="16" x14ac:dyDescent="0.2">
      <c r="A3" s="54" t="s">
        <v>113</v>
      </c>
      <c r="B3" s="55" t="s">
        <v>115</v>
      </c>
      <c r="C3" s="56" t="s">
        <v>114</v>
      </c>
    </row>
    <row r="4" spans="1:3" ht="48" x14ac:dyDescent="0.2">
      <c r="A4" s="23" t="s">
        <v>116</v>
      </c>
      <c r="B4" s="25" t="s">
        <v>118</v>
      </c>
      <c r="C4" s="57" t="s">
        <v>117</v>
      </c>
    </row>
    <row r="5" spans="1:3" ht="64" x14ac:dyDescent="0.2">
      <c r="A5" s="23" t="s">
        <v>119</v>
      </c>
      <c r="B5" s="25" t="s">
        <v>121</v>
      </c>
      <c r="C5" s="57" t="s">
        <v>120</v>
      </c>
    </row>
    <row r="6" spans="1:3" ht="16" x14ac:dyDescent="0.2">
      <c r="A6" s="23" t="s">
        <v>122</v>
      </c>
      <c r="B6" s="25" t="s">
        <v>124</v>
      </c>
      <c r="C6" s="57" t="s">
        <v>123</v>
      </c>
    </row>
    <row r="7" spans="1:3" ht="16" x14ac:dyDescent="0.2">
      <c r="A7" s="23" t="s">
        <v>125</v>
      </c>
      <c r="B7" s="25" t="s">
        <v>127</v>
      </c>
      <c r="C7" s="57" t="s">
        <v>126</v>
      </c>
    </row>
    <row r="8" spans="1:3" ht="32" x14ac:dyDescent="0.2">
      <c r="A8" s="23" t="s">
        <v>128</v>
      </c>
      <c r="B8" s="25" t="s">
        <v>130</v>
      </c>
      <c r="C8" s="57" t="s">
        <v>129</v>
      </c>
    </row>
    <row r="9" spans="1:3" ht="32" x14ac:dyDescent="0.2">
      <c r="A9" s="23" t="s">
        <v>131</v>
      </c>
      <c r="B9" s="25" t="s">
        <v>133</v>
      </c>
      <c r="C9" s="57" t="s">
        <v>132</v>
      </c>
    </row>
    <row r="10" spans="1:3" ht="16" x14ac:dyDescent="0.2">
      <c r="A10" s="23" t="s">
        <v>134</v>
      </c>
      <c r="B10" s="25" t="s">
        <v>136</v>
      </c>
      <c r="C10" s="57" t="s">
        <v>135</v>
      </c>
    </row>
    <row r="11" spans="1:3" ht="16" x14ac:dyDescent="0.2">
      <c r="A11" s="23" t="s">
        <v>137</v>
      </c>
      <c r="B11" s="25" t="s">
        <v>139</v>
      </c>
      <c r="C11" s="57" t="s">
        <v>138</v>
      </c>
    </row>
    <row r="12" spans="1:3" ht="32" x14ac:dyDescent="0.2">
      <c r="A12" s="23" t="s">
        <v>140</v>
      </c>
      <c r="B12" s="25" t="s">
        <v>142</v>
      </c>
      <c r="C12" s="57" t="s">
        <v>141</v>
      </c>
    </row>
    <row r="13" spans="1:3" ht="17" thickBot="1" x14ac:dyDescent="0.25">
      <c r="A13" s="24" t="s">
        <v>143</v>
      </c>
      <c r="B13" s="26" t="s">
        <v>145</v>
      </c>
      <c r="C13" s="58" t="s">
        <v>144</v>
      </c>
    </row>
    <row r="14" spans="1:3" x14ac:dyDescent="0.2">
      <c r="A14" t="s">
        <v>146</v>
      </c>
      <c r="B14" t="s">
        <v>147</v>
      </c>
    </row>
  </sheetData>
  <hyperlinks>
    <hyperlink ref="B14" r:id="rId1" display="https://osemosys.readthedocs.io/en/latest/manual/Structure of OSeMOSYS.html" xr:uid="{00000000-0004-0000-0200-000000000000}"/>
    <hyperlink ref="A1" location="Content!A1" display="Back to table of contents"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0"/>
  <sheetViews>
    <sheetView topLeftCell="A29" zoomScale="150" zoomScaleNormal="150" workbookViewId="0">
      <selection activeCell="C39" sqref="C39:C40"/>
    </sheetView>
  </sheetViews>
  <sheetFormatPr baseColWidth="10" defaultColWidth="9.1640625" defaultRowHeight="15" x14ac:dyDescent="0.2"/>
  <cols>
    <col min="2" max="2" width="10.83203125" customWidth="1"/>
    <col min="3" max="3" width="35" bestFit="1" customWidth="1"/>
    <col min="4" max="4" width="20.5" customWidth="1"/>
    <col min="5" max="5" width="23.83203125" customWidth="1"/>
    <col min="6" max="6" width="21.83203125" customWidth="1"/>
    <col min="7" max="7" width="18.5" bestFit="1" customWidth="1"/>
  </cols>
  <sheetData>
    <row r="1" spans="1:12" x14ac:dyDescent="0.2">
      <c r="A1" t="s">
        <v>194</v>
      </c>
      <c r="B1" t="s">
        <v>113</v>
      </c>
      <c r="C1" t="s">
        <v>116</v>
      </c>
      <c r="D1" t="s">
        <v>119</v>
      </c>
      <c r="E1" t="s">
        <v>122</v>
      </c>
      <c r="F1" t="s">
        <v>125</v>
      </c>
      <c r="G1" t="s">
        <v>128</v>
      </c>
      <c r="H1" t="s">
        <v>131</v>
      </c>
      <c r="I1" t="s">
        <v>134</v>
      </c>
      <c r="J1" t="s">
        <v>137</v>
      </c>
      <c r="K1" t="s">
        <v>140</v>
      </c>
      <c r="L1" t="s">
        <v>143</v>
      </c>
    </row>
    <row r="2" spans="1:12" x14ac:dyDescent="0.2">
      <c r="A2" t="s">
        <v>195</v>
      </c>
      <c r="B2" t="s">
        <v>115</v>
      </c>
      <c r="C2" t="s">
        <v>118</v>
      </c>
      <c r="D2" t="s">
        <v>121</v>
      </c>
      <c r="E2" t="s">
        <v>124</v>
      </c>
      <c r="F2" t="s">
        <v>127</v>
      </c>
      <c r="G2" t="s">
        <v>130</v>
      </c>
      <c r="H2" t="s">
        <v>133</v>
      </c>
      <c r="I2" t="s">
        <v>136</v>
      </c>
      <c r="J2" t="s">
        <v>139</v>
      </c>
      <c r="K2" t="s">
        <v>142</v>
      </c>
      <c r="L2" t="s">
        <v>145</v>
      </c>
    </row>
    <row r="3" spans="1:12" x14ac:dyDescent="0.2">
      <c r="A3" t="s">
        <v>196</v>
      </c>
      <c r="B3">
        <f>+COUNTA(B4:B261)</f>
        <v>35</v>
      </c>
      <c r="C3">
        <f>+COUNTA(C4:C193)</f>
        <v>37</v>
      </c>
      <c r="D3">
        <f t="shared" ref="D3:L3" si="0">+COUNTA(D4:D261)</f>
        <v>1</v>
      </c>
      <c r="E3">
        <f>+COUNTA(E4:E230)</f>
        <v>2</v>
      </c>
      <c r="F3">
        <f>+COUNTA(F4:F257)</f>
        <v>17</v>
      </c>
      <c r="G3">
        <f t="shared" si="0"/>
        <v>1</v>
      </c>
      <c r="H3">
        <f t="shared" si="0"/>
        <v>1</v>
      </c>
      <c r="I3">
        <f t="shared" si="0"/>
        <v>0</v>
      </c>
      <c r="J3">
        <f t="shared" si="0"/>
        <v>0</v>
      </c>
      <c r="K3">
        <f t="shared" si="0"/>
        <v>0</v>
      </c>
      <c r="L3">
        <f t="shared" si="0"/>
        <v>0</v>
      </c>
    </row>
    <row r="4" spans="1:12" x14ac:dyDescent="0.2">
      <c r="B4">
        <v>2016</v>
      </c>
      <c r="C4" t="s">
        <v>202</v>
      </c>
      <c r="D4" t="s">
        <v>199</v>
      </c>
      <c r="E4" t="s">
        <v>206</v>
      </c>
      <c r="F4" t="s">
        <v>201</v>
      </c>
      <c r="G4">
        <v>1</v>
      </c>
      <c r="H4" t="s">
        <v>197</v>
      </c>
    </row>
    <row r="5" spans="1:12" x14ac:dyDescent="0.2">
      <c r="B5">
        <v>2017</v>
      </c>
      <c r="C5" t="s">
        <v>241</v>
      </c>
      <c r="E5" t="s">
        <v>205</v>
      </c>
      <c r="F5" t="s">
        <v>208</v>
      </c>
    </row>
    <row r="6" spans="1:12" x14ac:dyDescent="0.2">
      <c r="B6" s="74">
        <v>2018</v>
      </c>
      <c r="C6" t="s">
        <v>242</v>
      </c>
      <c r="F6" t="s">
        <v>212</v>
      </c>
    </row>
    <row r="7" spans="1:12" x14ac:dyDescent="0.2">
      <c r="B7" s="74">
        <v>2019</v>
      </c>
      <c r="C7" t="s">
        <v>243</v>
      </c>
      <c r="F7" t="s">
        <v>213</v>
      </c>
    </row>
    <row r="8" spans="1:12" x14ac:dyDescent="0.2">
      <c r="B8" s="74">
        <v>2020</v>
      </c>
      <c r="C8" t="s">
        <v>244</v>
      </c>
      <c r="F8" t="s">
        <v>235</v>
      </c>
    </row>
    <row r="9" spans="1:12" x14ac:dyDescent="0.2">
      <c r="B9" s="74">
        <v>2021</v>
      </c>
      <c r="C9" t="s">
        <v>245</v>
      </c>
      <c r="F9" t="s">
        <v>236</v>
      </c>
    </row>
    <row r="10" spans="1:12" x14ac:dyDescent="0.2">
      <c r="B10" s="74">
        <v>2022</v>
      </c>
      <c r="C10" t="s">
        <v>246</v>
      </c>
      <c r="F10" t="s">
        <v>216</v>
      </c>
    </row>
    <row r="11" spans="1:12" x14ac:dyDescent="0.2">
      <c r="B11" s="74">
        <v>2023</v>
      </c>
      <c r="C11" t="s">
        <v>247</v>
      </c>
      <c r="F11" t="s">
        <v>219</v>
      </c>
    </row>
    <row r="12" spans="1:12" x14ac:dyDescent="0.2">
      <c r="B12" s="74">
        <v>2024</v>
      </c>
      <c r="C12" t="s">
        <v>248</v>
      </c>
      <c r="F12" t="s">
        <v>220</v>
      </c>
    </row>
    <row r="13" spans="1:12" x14ac:dyDescent="0.2">
      <c r="B13" s="74">
        <v>2025</v>
      </c>
      <c r="C13" t="s">
        <v>250</v>
      </c>
      <c r="F13" t="s">
        <v>222</v>
      </c>
    </row>
    <row r="14" spans="1:12" x14ac:dyDescent="0.2">
      <c r="B14" s="74">
        <v>2026</v>
      </c>
      <c r="C14" t="s">
        <v>251</v>
      </c>
      <c r="F14" t="s">
        <v>223</v>
      </c>
    </row>
    <row r="15" spans="1:12" x14ac:dyDescent="0.2">
      <c r="B15" s="74">
        <v>2027</v>
      </c>
      <c r="C15" t="s">
        <v>249</v>
      </c>
      <c r="F15" t="s">
        <v>240</v>
      </c>
    </row>
    <row r="16" spans="1:12" x14ac:dyDescent="0.2">
      <c r="B16" s="74">
        <v>2028</v>
      </c>
      <c r="C16" t="s">
        <v>203</v>
      </c>
      <c r="F16" t="s">
        <v>224</v>
      </c>
    </row>
    <row r="17" spans="2:6" x14ac:dyDescent="0.2">
      <c r="B17" s="74">
        <v>2029</v>
      </c>
      <c r="C17" t="s">
        <v>204</v>
      </c>
      <c r="F17" t="s">
        <v>225</v>
      </c>
    </row>
    <row r="18" spans="2:6" x14ac:dyDescent="0.2">
      <c r="B18" s="74">
        <v>2030</v>
      </c>
      <c r="C18" t="s">
        <v>207</v>
      </c>
      <c r="F18" t="s">
        <v>226</v>
      </c>
    </row>
    <row r="19" spans="2:6" x14ac:dyDescent="0.2">
      <c r="B19" s="74">
        <v>2031</v>
      </c>
      <c r="C19" t="s">
        <v>210</v>
      </c>
      <c r="F19" t="s">
        <v>237</v>
      </c>
    </row>
    <row r="20" spans="2:6" x14ac:dyDescent="0.2">
      <c r="B20" s="74">
        <v>2032</v>
      </c>
      <c r="C20" t="s">
        <v>211</v>
      </c>
      <c r="F20" t="s">
        <v>238</v>
      </c>
    </row>
    <row r="21" spans="2:6" x14ac:dyDescent="0.2">
      <c r="B21" s="74">
        <v>2033</v>
      </c>
      <c r="C21" t="s">
        <v>214</v>
      </c>
    </row>
    <row r="22" spans="2:6" x14ac:dyDescent="0.2">
      <c r="B22" s="74">
        <v>2034</v>
      </c>
      <c r="C22" t="s">
        <v>232</v>
      </c>
    </row>
    <row r="23" spans="2:6" x14ac:dyDescent="0.2">
      <c r="B23" s="74">
        <v>2035</v>
      </c>
      <c r="C23" t="s">
        <v>231</v>
      </c>
    </row>
    <row r="24" spans="2:6" x14ac:dyDescent="0.2">
      <c r="B24" s="74">
        <v>2036</v>
      </c>
      <c r="C24" t="s">
        <v>215</v>
      </c>
    </row>
    <row r="25" spans="2:6" x14ac:dyDescent="0.2">
      <c r="B25" s="74">
        <v>2037</v>
      </c>
      <c r="C25" t="s">
        <v>217</v>
      </c>
    </row>
    <row r="26" spans="2:6" x14ac:dyDescent="0.2">
      <c r="B26" s="74">
        <v>2038</v>
      </c>
      <c r="C26" t="s">
        <v>218</v>
      </c>
    </row>
    <row r="27" spans="2:6" x14ac:dyDescent="0.2">
      <c r="B27" s="74">
        <v>2039</v>
      </c>
      <c r="C27" t="s">
        <v>221</v>
      </c>
    </row>
    <row r="28" spans="2:6" x14ac:dyDescent="0.2">
      <c r="B28" s="74">
        <v>2040</v>
      </c>
      <c r="C28" t="s">
        <v>227</v>
      </c>
    </row>
    <row r="29" spans="2:6" x14ac:dyDescent="0.2">
      <c r="B29" s="74">
        <v>2041</v>
      </c>
      <c r="C29" t="s">
        <v>239</v>
      </c>
    </row>
    <row r="30" spans="2:6" x14ac:dyDescent="0.2">
      <c r="B30" s="74">
        <v>2042</v>
      </c>
      <c r="C30" t="s">
        <v>228</v>
      </c>
    </row>
    <row r="31" spans="2:6" x14ac:dyDescent="0.2">
      <c r="B31" s="74">
        <v>2043</v>
      </c>
      <c r="C31" t="s">
        <v>229</v>
      </c>
    </row>
    <row r="32" spans="2:6" x14ac:dyDescent="0.2">
      <c r="B32" s="74">
        <v>2044</v>
      </c>
      <c r="C32" t="s">
        <v>230</v>
      </c>
    </row>
    <row r="33" spans="2:3" x14ac:dyDescent="0.2">
      <c r="B33" s="74">
        <v>2045</v>
      </c>
      <c r="C33" t="s">
        <v>233</v>
      </c>
    </row>
    <row r="34" spans="2:3" x14ac:dyDescent="0.2">
      <c r="B34" s="74">
        <v>2046</v>
      </c>
      <c r="C34" t="s">
        <v>234</v>
      </c>
    </row>
    <row r="35" spans="2:3" x14ac:dyDescent="0.2">
      <c r="B35" s="74">
        <v>2047</v>
      </c>
      <c r="C35" t="s">
        <v>252</v>
      </c>
    </row>
    <row r="36" spans="2:3" x14ac:dyDescent="0.2">
      <c r="B36" s="74">
        <v>2048</v>
      </c>
      <c r="C36" t="s">
        <v>253</v>
      </c>
    </row>
    <row r="37" spans="2:3" x14ac:dyDescent="0.2">
      <c r="B37" s="74">
        <v>2049</v>
      </c>
      <c r="C37" t="s">
        <v>254</v>
      </c>
    </row>
    <row r="38" spans="2:3" x14ac:dyDescent="0.2">
      <c r="B38" s="74">
        <v>2050</v>
      </c>
      <c r="C38" t="s">
        <v>255</v>
      </c>
    </row>
    <row r="39" spans="2:3" x14ac:dyDescent="0.2">
      <c r="C39" t="s">
        <v>256</v>
      </c>
    </row>
    <row r="40" spans="2:3" x14ac:dyDescent="0.2">
      <c r="C40" t="s">
        <v>257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dimension ref="A1:D109"/>
  <sheetViews>
    <sheetView workbookViewId="0">
      <selection activeCell="A14" sqref="A14"/>
    </sheetView>
  </sheetViews>
  <sheetFormatPr baseColWidth="10" defaultColWidth="11.5" defaultRowHeight="15" x14ac:dyDescent="0.2"/>
  <cols>
    <col min="1" max="1" width="22.5" customWidth="1"/>
    <col min="2" max="2" width="50.5" customWidth="1"/>
    <col min="3" max="3" width="63.1640625" style="1" customWidth="1"/>
    <col min="4" max="4" width="36.5" style="32" customWidth="1"/>
  </cols>
  <sheetData>
    <row r="1" spans="1:4" ht="16" thickBot="1" x14ac:dyDescent="0.25">
      <c r="A1" s="2" t="s">
        <v>169</v>
      </c>
    </row>
    <row r="2" spans="1:4" ht="17" thickBot="1" x14ac:dyDescent="0.25">
      <c r="A2" s="62" t="s">
        <v>0</v>
      </c>
      <c r="B2" s="63" t="s">
        <v>179</v>
      </c>
      <c r="C2" s="63" t="s">
        <v>2</v>
      </c>
      <c r="D2" s="62" t="s">
        <v>172</v>
      </c>
    </row>
    <row r="3" spans="1:4" ht="32" x14ac:dyDescent="0.2">
      <c r="A3" s="39" t="s">
        <v>3</v>
      </c>
      <c r="B3" s="33" t="s">
        <v>4</v>
      </c>
      <c r="C3" s="44" t="s">
        <v>5</v>
      </c>
      <c r="D3" s="45" t="s">
        <v>180</v>
      </c>
    </row>
    <row r="4" spans="1:4" ht="16" x14ac:dyDescent="0.2">
      <c r="A4" s="40" t="s">
        <v>3</v>
      </c>
      <c r="B4" s="36" t="s">
        <v>6</v>
      </c>
      <c r="C4" s="46" t="s">
        <v>7</v>
      </c>
      <c r="D4" s="47" t="s">
        <v>178</v>
      </c>
    </row>
    <row r="5" spans="1:4" ht="32" x14ac:dyDescent="0.2">
      <c r="A5" s="40" t="s">
        <v>3</v>
      </c>
      <c r="B5" s="34" t="s">
        <v>8</v>
      </c>
      <c r="C5" s="46" t="s">
        <v>9</v>
      </c>
      <c r="D5" s="48" t="s">
        <v>181</v>
      </c>
    </row>
    <row r="6" spans="1:4" ht="32" x14ac:dyDescent="0.2">
      <c r="A6" s="40" t="s">
        <v>3</v>
      </c>
      <c r="B6" s="34" t="s">
        <v>10</v>
      </c>
      <c r="C6" s="46" t="s">
        <v>11</v>
      </c>
      <c r="D6" s="47"/>
    </row>
    <row r="7" spans="1:4" ht="32" x14ac:dyDescent="0.2">
      <c r="A7" s="40" t="s">
        <v>3</v>
      </c>
      <c r="B7" s="34" t="s">
        <v>12</v>
      </c>
      <c r="C7" s="46" t="s">
        <v>13</v>
      </c>
      <c r="D7" s="48" t="s">
        <v>182</v>
      </c>
    </row>
    <row r="8" spans="1:4" ht="48" x14ac:dyDescent="0.2">
      <c r="A8" s="40" t="s">
        <v>3</v>
      </c>
      <c r="B8" s="34" t="s">
        <v>14</v>
      </c>
      <c r="C8" s="46" t="s">
        <v>15</v>
      </c>
      <c r="D8" s="48" t="s">
        <v>183</v>
      </c>
    </row>
    <row r="9" spans="1:4" ht="32" x14ac:dyDescent="0.2">
      <c r="A9" s="40" t="s">
        <v>3</v>
      </c>
      <c r="B9" s="34" t="s">
        <v>16</v>
      </c>
      <c r="C9" s="46" t="s">
        <v>17</v>
      </c>
      <c r="D9" s="48" t="s">
        <v>182</v>
      </c>
    </row>
    <row r="10" spans="1:4" ht="48" x14ac:dyDescent="0.2">
      <c r="A10" s="40" t="s">
        <v>3</v>
      </c>
      <c r="B10" s="36" t="s">
        <v>18</v>
      </c>
      <c r="C10" s="46" t="s">
        <v>19</v>
      </c>
      <c r="D10" s="48" t="s">
        <v>184</v>
      </c>
    </row>
    <row r="11" spans="1:4" ht="33" thickBot="1" x14ac:dyDescent="0.25">
      <c r="A11" s="41" t="s">
        <v>3</v>
      </c>
      <c r="B11" s="38" t="s">
        <v>20</v>
      </c>
      <c r="C11" s="49" t="s">
        <v>21</v>
      </c>
      <c r="D11" s="50"/>
    </row>
    <row r="12" spans="1:4" ht="32" x14ac:dyDescent="0.2">
      <c r="A12" s="39" t="s">
        <v>22</v>
      </c>
      <c r="B12" s="98" t="s">
        <v>23</v>
      </c>
      <c r="C12" s="44" t="s">
        <v>24</v>
      </c>
      <c r="D12" s="51" t="s">
        <v>171</v>
      </c>
    </row>
    <row r="13" spans="1:4" ht="48" x14ac:dyDescent="0.2">
      <c r="A13" s="40" t="s">
        <v>22</v>
      </c>
      <c r="B13" s="97" t="s">
        <v>25</v>
      </c>
      <c r="C13" s="46" t="s">
        <v>26</v>
      </c>
      <c r="D13" s="47" t="s">
        <v>171</v>
      </c>
    </row>
    <row r="14" spans="1:4" ht="49" thickBot="1" x14ac:dyDescent="0.25">
      <c r="A14" s="41" t="s">
        <v>22</v>
      </c>
      <c r="B14" s="38" t="s">
        <v>27</v>
      </c>
      <c r="C14" s="49" t="s">
        <v>28</v>
      </c>
      <c r="D14" s="50"/>
    </row>
    <row r="15" spans="1:4" ht="48" x14ac:dyDescent="0.2">
      <c r="A15" s="39" t="s">
        <v>29</v>
      </c>
      <c r="B15" s="33" t="s">
        <v>30</v>
      </c>
      <c r="C15" s="44" t="s">
        <v>31</v>
      </c>
      <c r="D15" s="45" t="s">
        <v>177</v>
      </c>
    </row>
    <row r="16" spans="1:4" ht="48" x14ac:dyDescent="0.2">
      <c r="A16" s="40" t="s">
        <v>29</v>
      </c>
      <c r="B16" s="36" t="s">
        <v>32</v>
      </c>
      <c r="C16" s="46" t="s">
        <v>33</v>
      </c>
      <c r="D16" s="47"/>
    </row>
    <row r="17" spans="1:4" ht="32" x14ac:dyDescent="0.2">
      <c r="A17" s="40" t="s">
        <v>29</v>
      </c>
      <c r="B17" s="36" t="s">
        <v>34</v>
      </c>
      <c r="C17" s="46" t="s">
        <v>35</v>
      </c>
      <c r="D17" s="47"/>
    </row>
    <row r="18" spans="1:4" ht="16" x14ac:dyDescent="0.2">
      <c r="A18" s="40" t="s">
        <v>29</v>
      </c>
      <c r="B18" s="36" t="s">
        <v>36</v>
      </c>
      <c r="C18" s="46" t="s">
        <v>37</v>
      </c>
      <c r="D18" s="47" t="s">
        <v>176</v>
      </c>
    </row>
    <row r="19" spans="1:4" ht="16" x14ac:dyDescent="0.2">
      <c r="A19" s="40" t="s">
        <v>29</v>
      </c>
      <c r="B19" s="36" t="s">
        <v>38</v>
      </c>
      <c r="C19" s="46" t="s">
        <v>39</v>
      </c>
      <c r="D19" s="47" t="s">
        <v>171</v>
      </c>
    </row>
    <row r="20" spans="1:4" ht="16" x14ac:dyDescent="0.2">
      <c r="A20" s="40" t="s">
        <v>29</v>
      </c>
      <c r="B20" s="97" t="s">
        <v>40</v>
      </c>
      <c r="C20" s="46" t="s">
        <v>41</v>
      </c>
      <c r="D20" s="47" t="s">
        <v>171</v>
      </c>
    </row>
    <row r="21" spans="1:4" ht="17" thickBot="1" x14ac:dyDescent="0.25">
      <c r="A21" s="41" t="s">
        <v>29</v>
      </c>
      <c r="B21" s="96" t="s">
        <v>42</v>
      </c>
      <c r="C21" s="49" t="s">
        <v>43</v>
      </c>
      <c r="D21" s="50" t="s">
        <v>171</v>
      </c>
    </row>
    <row r="22" spans="1:4" ht="16" x14ac:dyDescent="0.2">
      <c r="A22" s="39" t="s">
        <v>44</v>
      </c>
      <c r="B22" s="98" t="s">
        <v>45</v>
      </c>
      <c r="C22" s="44" t="s">
        <v>46</v>
      </c>
      <c r="D22" s="51" t="s">
        <v>171</v>
      </c>
    </row>
    <row r="23" spans="1:4" ht="32" x14ac:dyDescent="0.2">
      <c r="A23" s="40" t="s">
        <v>44</v>
      </c>
      <c r="B23" s="97" t="s">
        <v>47</v>
      </c>
      <c r="C23" s="46" t="s">
        <v>48</v>
      </c>
      <c r="D23" s="47" t="s">
        <v>171</v>
      </c>
    </row>
    <row r="24" spans="1:4" ht="17" thickBot="1" x14ac:dyDescent="0.25">
      <c r="A24" s="41" t="s">
        <v>44</v>
      </c>
      <c r="B24" s="96" t="s">
        <v>49</v>
      </c>
      <c r="C24" s="49" t="s">
        <v>50</v>
      </c>
      <c r="D24" s="50" t="s">
        <v>171</v>
      </c>
    </row>
    <row r="25" spans="1:4" ht="32" x14ac:dyDescent="0.2">
      <c r="A25" s="39" t="s">
        <v>51</v>
      </c>
      <c r="B25" s="37" t="s">
        <v>52</v>
      </c>
      <c r="C25" s="44" t="s">
        <v>53</v>
      </c>
      <c r="D25" s="51"/>
    </row>
    <row r="26" spans="1:4" ht="32" x14ac:dyDescent="0.2">
      <c r="A26" s="40" t="s">
        <v>51</v>
      </c>
      <c r="B26" s="34" t="s">
        <v>54</v>
      </c>
      <c r="C26" s="46" t="s">
        <v>55</v>
      </c>
      <c r="D26" s="47"/>
    </row>
    <row r="27" spans="1:4" ht="16" x14ac:dyDescent="0.2">
      <c r="A27" s="40" t="s">
        <v>51</v>
      </c>
      <c r="B27" s="34" t="s">
        <v>56</v>
      </c>
      <c r="C27" s="46" t="s">
        <v>57</v>
      </c>
      <c r="D27" s="47"/>
    </row>
    <row r="28" spans="1:4" ht="16" x14ac:dyDescent="0.2">
      <c r="A28" s="40" t="s">
        <v>51</v>
      </c>
      <c r="B28" s="34" t="s">
        <v>58</v>
      </c>
      <c r="C28" s="46" t="s">
        <v>59</v>
      </c>
      <c r="D28" s="47"/>
    </row>
    <row r="29" spans="1:4" ht="16" x14ac:dyDescent="0.2">
      <c r="A29" s="40" t="s">
        <v>51</v>
      </c>
      <c r="B29" s="34" t="s">
        <v>60</v>
      </c>
      <c r="C29" s="46" t="s">
        <v>61</v>
      </c>
      <c r="D29" s="47"/>
    </row>
    <row r="30" spans="1:4" ht="48" x14ac:dyDescent="0.2">
      <c r="A30" s="40" t="s">
        <v>51</v>
      </c>
      <c r="B30" s="34" t="s">
        <v>62</v>
      </c>
      <c r="C30" s="46" t="s">
        <v>63</v>
      </c>
      <c r="D30" s="47"/>
    </row>
    <row r="31" spans="1:4" ht="16" x14ac:dyDescent="0.2">
      <c r="A31" s="40" t="s">
        <v>51</v>
      </c>
      <c r="B31" s="34" t="s">
        <v>64</v>
      </c>
      <c r="C31" s="46" t="s">
        <v>65</v>
      </c>
      <c r="D31" s="47"/>
    </row>
    <row r="32" spans="1:4" ht="32" x14ac:dyDescent="0.2">
      <c r="A32" s="40" t="s">
        <v>51</v>
      </c>
      <c r="B32" s="34" t="s">
        <v>66</v>
      </c>
      <c r="C32" s="46" t="s">
        <v>67</v>
      </c>
      <c r="D32" s="47"/>
    </row>
    <row r="33" spans="1:4" ht="33" thickBot="1" x14ac:dyDescent="0.25">
      <c r="A33" s="41" t="s">
        <v>51</v>
      </c>
      <c r="B33" s="35" t="s">
        <v>68</v>
      </c>
      <c r="C33" s="49" t="s">
        <v>69</v>
      </c>
      <c r="D33" s="50"/>
    </row>
    <row r="34" spans="1:4" ht="48" x14ac:dyDescent="0.2">
      <c r="A34" s="39" t="s">
        <v>81</v>
      </c>
      <c r="B34" s="33" t="s">
        <v>70</v>
      </c>
      <c r="C34" s="44" t="s">
        <v>71</v>
      </c>
      <c r="D34" s="51"/>
    </row>
    <row r="35" spans="1:4" ht="32" x14ac:dyDescent="0.2">
      <c r="A35" s="40" t="s">
        <v>81</v>
      </c>
      <c r="B35" s="36" t="s">
        <v>72</v>
      </c>
      <c r="C35" s="46" t="s">
        <v>73</v>
      </c>
      <c r="D35" s="47" t="s">
        <v>171</v>
      </c>
    </row>
    <row r="36" spans="1:4" ht="33" thickBot="1" x14ac:dyDescent="0.25">
      <c r="A36" s="41" t="s">
        <v>81</v>
      </c>
      <c r="B36" s="38" t="s">
        <v>74</v>
      </c>
      <c r="C36" s="49" t="s">
        <v>75</v>
      </c>
      <c r="D36" s="52" t="s">
        <v>171</v>
      </c>
    </row>
    <row r="37" spans="1:4" ht="16" x14ac:dyDescent="0.2">
      <c r="A37" s="42" t="s">
        <v>76</v>
      </c>
      <c r="B37" s="33" t="s">
        <v>77</v>
      </c>
      <c r="C37" s="44" t="s">
        <v>78</v>
      </c>
      <c r="D37" s="51" t="s">
        <v>171</v>
      </c>
    </row>
    <row r="38" spans="1:4" ht="17" thickBot="1" x14ac:dyDescent="0.25">
      <c r="A38" s="43" t="s">
        <v>76</v>
      </c>
      <c r="B38" s="38" t="s">
        <v>79</v>
      </c>
      <c r="C38" s="49" t="s">
        <v>80</v>
      </c>
      <c r="D38" s="50" t="s">
        <v>171</v>
      </c>
    </row>
    <row r="39" spans="1:4" ht="16" x14ac:dyDescent="0.2">
      <c r="A39" s="39" t="s">
        <v>82</v>
      </c>
      <c r="B39" s="33" t="s">
        <v>83</v>
      </c>
      <c r="C39" s="44" t="s">
        <v>84</v>
      </c>
      <c r="D39" s="53" t="s">
        <v>171</v>
      </c>
    </row>
    <row r="40" spans="1:4" ht="16" x14ac:dyDescent="0.2">
      <c r="A40" s="40" t="s">
        <v>82</v>
      </c>
      <c r="B40" s="36" t="s">
        <v>85</v>
      </c>
      <c r="C40" s="46" t="s">
        <v>86</v>
      </c>
      <c r="D40" s="47" t="s">
        <v>171</v>
      </c>
    </row>
    <row r="41" spans="1:4" ht="32" x14ac:dyDescent="0.2">
      <c r="A41" s="40" t="s">
        <v>82</v>
      </c>
      <c r="B41" s="36" t="s">
        <v>87</v>
      </c>
      <c r="C41" s="46" t="s">
        <v>88</v>
      </c>
      <c r="D41" s="47" t="s">
        <v>171</v>
      </c>
    </row>
    <row r="42" spans="1:4" ht="33" thickBot="1" x14ac:dyDescent="0.25">
      <c r="A42" s="41" t="s">
        <v>82</v>
      </c>
      <c r="B42" s="38" t="s">
        <v>89</v>
      </c>
      <c r="C42" s="49" t="s">
        <v>90</v>
      </c>
      <c r="D42" s="50" t="s">
        <v>171</v>
      </c>
    </row>
    <row r="43" spans="1:4" ht="32" x14ac:dyDescent="0.2">
      <c r="A43" s="29" t="s">
        <v>97</v>
      </c>
      <c r="B43" s="33" t="s">
        <v>91</v>
      </c>
      <c r="C43" s="44" t="s">
        <v>92</v>
      </c>
      <c r="D43" s="51"/>
    </row>
    <row r="44" spans="1:4" ht="32" x14ac:dyDescent="0.2">
      <c r="A44" s="30" t="s">
        <v>97</v>
      </c>
      <c r="B44" s="36" t="s">
        <v>93</v>
      </c>
      <c r="C44" s="46" t="s">
        <v>94</v>
      </c>
      <c r="D44" s="47"/>
    </row>
    <row r="45" spans="1:4" ht="65" thickBot="1" x14ac:dyDescent="0.25">
      <c r="A45" s="31" t="s">
        <v>97</v>
      </c>
      <c r="B45" s="38" t="s">
        <v>95</v>
      </c>
      <c r="C45" s="49" t="s">
        <v>96</v>
      </c>
      <c r="D45" s="50"/>
    </row>
    <row r="46" spans="1:4" ht="16" x14ac:dyDescent="0.2">
      <c r="A46" s="29" t="s">
        <v>110</v>
      </c>
      <c r="B46" s="33" t="s">
        <v>98</v>
      </c>
      <c r="C46" s="44" t="s">
        <v>99</v>
      </c>
      <c r="D46" s="51" t="s">
        <v>171</v>
      </c>
    </row>
    <row r="47" spans="1:4" ht="16" x14ac:dyDescent="0.2">
      <c r="A47" s="30" t="s">
        <v>110</v>
      </c>
      <c r="B47" s="36" t="s">
        <v>100</v>
      </c>
      <c r="C47" s="46" t="s">
        <v>101</v>
      </c>
      <c r="D47" s="47"/>
    </row>
    <row r="48" spans="1:4" ht="48" x14ac:dyDescent="0.2">
      <c r="A48" s="30" t="s">
        <v>110</v>
      </c>
      <c r="B48" s="34" t="s">
        <v>102</v>
      </c>
      <c r="C48" s="46" t="s">
        <v>103</v>
      </c>
      <c r="D48" s="47"/>
    </row>
    <row r="49" spans="1:4" ht="32" x14ac:dyDescent="0.2">
      <c r="A49" s="30" t="s">
        <v>110</v>
      </c>
      <c r="B49" s="36" t="s">
        <v>104</v>
      </c>
      <c r="C49" s="46" t="s">
        <v>105</v>
      </c>
      <c r="D49" s="47" t="s">
        <v>171</v>
      </c>
    </row>
    <row r="50" spans="1:4" ht="48" x14ac:dyDescent="0.2">
      <c r="A50" s="30" t="s">
        <v>110</v>
      </c>
      <c r="B50" s="34" t="s">
        <v>106</v>
      </c>
      <c r="C50" s="46" t="s">
        <v>107</v>
      </c>
      <c r="D50" s="47"/>
    </row>
    <row r="51" spans="1:4" ht="33" thickBot="1" x14ac:dyDescent="0.25">
      <c r="A51" s="31" t="s">
        <v>110</v>
      </c>
      <c r="B51" s="38" t="s">
        <v>108</v>
      </c>
      <c r="C51" s="49" t="s">
        <v>109</v>
      </c>
      <c r="D51" s="50" t="s">
        <v>171</v>
      </c>
    </row>
    <row r="52" spans="1:4" x14ac:dyDescent="0.2">
      <c r="A52" t="s">
        <v>148</v>
      </c>
      <c r="B52" s="2" t="s">
        <v>147</v>
      </c>
    </row>
    <row r="109" spans="3:3" ht="16" x14ac:dyDescent="0.2">
      <c r="C109" s="1" t="s">
        <v>173</v>
      </c>
    </row>
  </sheetData>
  <hyperlinks>
    <hyperlink ref="B52" r:id="rId1" xr:uid="{00000000-0004-0000-0400-000000000000}"/>
    <hyperlink ref="A1" location="Content!A1" display="Back to table of contents" xr:uid="{00000000-0004-0000-0400-000001000000}"/>
    <hyperlink ref="B3" location="YearSplit!A1" display="YearSplit[l,y]" xr:uid="{00000000-0004-0000-0400-000002000000}"/>
    <hyperlink ref="B12" location="SpecifiedAnnualDemand!A1" display="SpecifiedAnnualDemand[r,f,y]" xr:uid="{00000000-0004-0000-0400-000003000000}"/>
    <hyperlink ref="B13" location="SpecifiedDemandProfile!A1" display="SpecifiedDemandProfile[r,f,l,y]" xr:uid="{00000000-0004-0000-0400-000004000000}"/>
    <hyperlink ref="B18" location="OperationalLife!A1" display="OperationalLife[r,t]" xr:uid="{00000000-0004-0000-0400-000005000000}"/>
    <hyperlink ref="B19" location="ResidualCapacity!A1" display="ResidualCapacity[r,t,y]" xr:uid="{00000000-0004-0000-0400-000006000000}"/>
    <hyperlink ref="B20" location="InputActivityRatio!A1" display="InputActivityRatio[r,t,f,m,y]" xr:uid="{00000000-0004-0000-0400-000007000000}"/>
    <hyperlink ref="B21" location="OutputActivityRatio!A1" display="OutputActivityRatio[r,t,f,m,y]" xr:uid="{00000000-0004-0000-0400-000008000000}"/>
    <hyperlink ref="B22" location="CapitalCost!A1" display="CapitalCost[r,t,y]" xr:uid="{00000000-0004-0000-0400-000009000000}"/>
    <hyperlink ref="B23" location="VariableCost!A1" display="VariableCost[r,t,m,y]" xr:uid="{00000000-0004-0000-0400-00000A000000}"/>
    <hyperlink ref="B24" location="FixedCost!A1" display="FixedCost[r,t,y]" xr:uid="{00000000-0004-0000-0400-00000B000000}"/>
    <hyperlink ref="B35" location="TotalAnnualMaxCapacity!A1" display="TotalAnnualMaxCapacity[r,t,y]" xr:uid="{00000000-0004-0000-0400-00000C000000}"/>
    <hyperlink ref="B36" location="TotalAnnualMinCapacity!A1" display="TotalAnnualMinCapacity[r,t,y]" xr:uid="{00000000-0004-0000-0400-00000D000000}"/>
    <hyperlink ref="B37" location="TotalAnnualMaxCapacityInvestmen!A1" display="TotalAnnualMaxCapacityInvestment[r,t,y]" xr:uid="{00000000-0004-0000-0400-00000E000000}"/>
    <hyperlink ref="B38" location="TotalAnnualMinCapacityInvestmen!A1" display="TotalAnnualMinCapacityInvestment[r,t,y]" xr:uid="{00000000-0004-0000-0400-00000F000000}"/>
    <hyperlink ref="B39" location="TotalTechnologyAnnualActivityUp!A1" display="TotalTechnologyAnnualActivityUpperLimit[r,t,y]" xr:uid="{00000000-0004-0000-0400-000010000000}"/>
    <hyperlink ref="B40" location="TotalTechnologyAnnualActivityLo!A1" display="TotalTechnologyAnnualActivityLowerLimit[r,t,y]" xr:uid="{00000000-0004-0000-0400-000011000000}"/>
    <hyperlink ref="B41" location="TotalTechnologyModelUpper!A1" display="TotalTechnologyModelPeriodActivityUpperLimit[r,t]" xr:uid="{00000000-0004-0000-0400-000012000000}"/>
    <hyperlink ref="B42" location="TotalTechnologyModelLower!A1" display="TotalTechnologyModelPeriodActivityLowerLimit[r,t]" xr:uid="{00000000-0004-0000-0400-000013000000}"/>
    <hyperlink ref="B46" location="EmissionActivityRatio!A1" display="EmissionActivityRatio[r,t,e,m,y]" xr:uid="{00000000-0004-0000-0400-000014000000}"/>
    <hyperlink ref="B49" location="AnnualEmissionLimit!A1" display="AnnualEmissionLimit[r,e,y]" xr:uid="{00000000-0004-0000-0400-000015000000}"/>
    <hyperlink ref="B51" location="ModelPeriodEmissionLimit!A1" display="ModelPeriodEmissionLimit[r,e]" xr:uid="{00000000-0004-0000-0400-000016000000}"/>
    <hyperlink ref="B4" location="DiscountRate!A1" display="DiscountRate[r]" xr:uid="{00000000-0004-0000-0400-000017000000}"/>
    <hyperlink ref="B10" location="TradeRoute!A1" display="TradeRoute[r,rr,f,y]" xr:uid="{00000000-0004-0000-0400-000018000000}"/>
    <hyperlink ref="B11" location="DepreciationMethod!A1" display="DepreciationMethod[r]" xr:uid="{00000000-0004-0000-0400-000019000000}"/>
    <hyperlink ref="B14" location="AccumulatedAnnualDemand!A1" display="AccumulatedAnnualDemand[r,f,y]" xr:uid="{00000000-0004-0000-0400-00001A000000}"/>
    <hyperlink ref="B15" location="CapacityToActivityUnit!A1" display="CapacityToActivityUnit[r,t]" xr:uid="{00000000-0004-0000-0400-00001B000000}"/>
    <hyperlink ref="B16" location="CapacityFactor!A1" display="CapacityFactor[r,t,l,y]" xr:uid="{00000000-0004-0000-0400-00001C000000}"/>
    <hyperlink ref="B17" location="AvailabilityFactor!A1" display="AvailabilityFactor[r,t,y]" xr:uid="{00000000-0004-0000-0400-00001D000000}"/>
    <hyperlink ref="B34" location="CapacityOfOneTechnologyUnit!A1" display="CapacityOfOneTechnologyUnit[r,t,y]" xr:uid="{00000000-0004-0000-0400-00001E000000}"/>
    <hyperlink ref="B43" location="ReserveMarginTagTechnology!A1" display="ReserveMarginTagTechnology[r,t,y]" xr:uid="{00000000-0004-0000-0400-00001F000000}"/>
    <hyperlink ref="B44" location="ReserveMarginTagFuel!A1" display="ReserveMarginTagFuel[r,f,y]" xr:uid="{00000000-0004-0000-0400-000020000000}"/>
    <hyperlink ref="B45" location="ReserveMargin!A1" display="ReserveMargin[r,y]" xr:uid="{00000000-0004-0000-0400-000021000000}"/>
    <hyperlink ref="B47" location="EmissionsPenalty!A1" display="EmissionsPenalty[r,e,y]" xr:uid="{00000000-0004-0000-0400-000022000000}"/>
  </hyperlinks>
  <pageMargins left="0.7" right="0.7" top="0.75" bottom="0.75" header="0.3" footer="0.3"/>
  <pageSetup orientation="portrait" horizontalDpi="4294967293" verticalDpi="4294967293"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2"/>
  <sheetViews>
    <sheetView workbookViewId="0">
      <selection activeCell="C67" sqref="C67"/>
    </sheetView>
  </sheetViews>
  <sheetFormatPr baseColWidth="10" defaultColWidth="9.1640625" defaultRowHeight="15" x14ac:dyDescent="0.2"/>
  <cols>
    <col min="1" max="1" width="16.5" customWidth="1"/>
    <col min="2" max="2" width="15.5" customWidth="1"/>
    <col min="3" max="3" width="13.5" customWidth="1"/>
    <col min="6" max="6" width="10.1640625" customWidth="1"/>
    <col min="8" max="8" width="21.1640625" customWidth="1"/>
    <col min="9" max="9" width="9.5" customWidth="1"/>
    <col min="10" max="10" width="18.5" customWidth="1"/>
    <col min="11" max="11" width="9.1640625" customWidth="1"/>
    <col min="12" max="14" width="8.5" customWidth="1"/>
    <col min="15" max="15" width="6.1640625" customWidth="1"/>
    <col min="16" max="50" width="6.5" customWidth="1"/>
    <col min="51" max="51" width="6.83203125" customWidth="1"/>
  </cols>
  <sheetData>
    <row r="1" spans="1:48" ht="16" thickBot="1" x14ac:dyDescent="0.25">
      <c r="A1" s="68" t="s">
        <v>174</v>
      </c>
      <c r="B1" s="69" t="s">
        <v>175</v>
      </c>
      <c r="C1" s="69"/>
      <c r="D1" s="21"/>
      <c r="E1" s="21"/>
      <c r="F1" s="22"/>
      <c r="G1" s="22"/>
      <c r="H1" s="22"/>
      <c r="I1" s="22"/>
      <c r="J1" s="22"/>
      <c r="K1" s="22"/>
      <c r="L1" s="22"/>
      <c r="M1" s="22"/>
      <c r="N1" s="22"/>
      <c r="O1" s="22"/>
    </row>
    <row r="2" spans="1:48" x14ac:dyDescent="0.2">
      <c r="A2" s="70" t="s">
        <v>111</v>
      </c>
      <c r="B2" s="71" t="s">
        <v>131</v>
      </c>
      <c r="C2" s="71" t="s">
        <v>116</v>
      </c>
      <c r="D2" s="71" t="s">
        <v>134</v>
      </c>
      <c r="E2" s="71" t="s">
        <v>137</v>
      </c>
      <c r="F2" s="71" t="s">
        <v>125</v>
      </c>
      <c r="G2" s="71" t="s">
        <v>143</v>
      </c>
      <c r="H2" s="71" t="s">
        <v>128</v>
      </c>
      <c r="I2" s="71" t="s">
        <v>119</v>
      </c>
      <c r="J2" s="71" t="s">
        <v>140</v>
      </c>
      <c r="K2" s="71" t="s">
        <v>122</v>
      </c>
      <c r="L2" s="71" t="s">
        <v>131</v>
      </c>
      <c r="M2" s="71">
        <v>2016</v>
      </c>
      <c r="N2" s="71">
        <v>2017</v>
      </c>
      <c r="O2" s="71">
        <v>2018</v>
      </c>
      <c r="P2" s="71">
        <v>2019</v>
      </c>
      <c r="Q2" s="71">
        <v>2020</v>
      </c>
      <c r="R2" s="71">
        <v>2021</v>
      </c>
      <c r="S2" s="71">
        <v>2022</v>
      </c>
      <c r="T2" s="71">
        <v>2023</v>
      </c>
      <c r="U2" s="71">
        <v>2024</v>
      </c>
      <c r="V2" s="71">
        <v>2025</v>
      </c>
      <c r="W2" s="71">
        <v>2026</v>
      </c>
      <c r="X2" s="71">
        <v>2027</v>
      </c>
      <c r="Y2" s="71">
        <v>2028</v>
      </c>
      <c r="Z2" s="71">
        <v>2029</v>
      </c>
      <c r="AA2" s="71">
        <v>2030</v>
      </c>
      <c r="AB2" s="71">
        <v>2031</v>
      </c>
      <c r="AC2" s="71">
        <v>2032</v>
      </c>
      <c r="AD2" s="71">
        <v>2033</v>
      </c>
      <c r="AE2" s="71">
        <v>2034</v>
      </c>
      <c r="AF2" s="71">
        <v>2035</v>
      </c>
      <c r="AG2" s="71">
        <v>2036</v>
      </c>
      <c r="AH2" s="71">
        <v>2037</v>
      </c>
      <c r="AI2" s="71">
        <v>2038</v>
      </c>
      <c r="AJ2" s="71">
        <v>2039</v>
      </c>
      <c r="AK2" s="71">
        <v>2040</v>
      </c>
      <c r="AL2" s="71">
        <v>2041</v>
      </c>
      <c r="AM2" s="71">
        <v>2042</v>
      </c>
      <c r="AN2" s="71">
        <v>2043</v>
      </c>
      <c r="AO2" s="71">
        <v>2044</v>
      </c>
      <c r="AP2" s="71">
        <v>2045</v>
      </c>
      <c r="AQ2" s="71">
        <v>2046</v>
      </c>
      <c r="AR2" s="71">
        <v>2047</v>
      </c>
      <c r="AS2" s="71">
        <v>2048</v>
      </c>
      <c r="AT2" s="71">
        <v>2049</v>
      </c>
      <c r="AU2" s="71">
        <v>2050</v>
      </c>
      <c r="AV2" s="72" t="s">
        <v>170</v>
      </c>
    </row>
  </sheetData>
  <hyperlinks>
    <hyperlink ref="A1" location="Content!A1" display="Back to table of contents" xr:uid="{00000000-0004-0000-0600-000000000000}"/>
    <hyperlink ref="B1" location="Parameters!A1" display="Parameters List" xr:uid="{00000000-0004-0000-06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V323"/>
  <sheetViews>
    <sheetView zoomScale="125" zoomScaleNormal="100" workbookViewId="0">
      <selection activeCell="M3" sqref="M3:AU25"/>
    </sheetView>
  </sheetViews>
  <sheetFormatPr baseColWidth="10" defaultColWidth="9.1640625" defaultRowHeight="15" x14ac:dyDescent="0.2"/>
  <cols>
    <col min="1" max="1" width="29.5" customWidth="1"/>
    <col min="2" max="2" width="15.5" customWidth="1"/>
    <col min="3" max="3" width="35" bestFit="1" customWidth="1"/>
    <col min="6" max="6" width="22.5" customWidth="1"/>
    <col min="8" max="8" width="21.1640625" customWidth="1"/>
    <col min="9" max="9" width="9.5" customWidth="1"/>
    <col min="10" max="10" width="18.5" customWidth="1"/>
    <col min="11" max="11" width="9.1640625" customWidth="1"/>
    <col min="12" max="14" width="8.5" customWidth="1"/>
    <col min="15" max="46" width="6.5" customWidth="1"/>
    <col min="47" max="47" width="13.33203125" bestFit="1" customWidth="1"/>
    <col min="48" max="48" width="6.83203125" customWidth="1"/>
  </cols>
  <sheetData>
    <row r="1" spans="1:48" ht="16" thickBot="1" x14ac:dyDescent="0.25">
      <c r="A1" s="68" t="s">
        <v>174</v>
      </c>
      <c r="B1" s="69" t="s">
        <v>175</v>
      </c>
      <c r="C1" s="69"/>
      <c r="D1" s="21"/>
      <c r="E1" s="21"/>
      <c r="F1" s="22"/>
      <c r="G1" s="22"/>
      <c r="H1" s="22"/>
      <c r="I1" s="22"/>
      <c r="J1" s="22"/>
      <c r="K1" s="22"/>
      <c r="L1" s="22"/>
      <c r="M1" s="22"/>
      <c r="N1" s="22"/>
    </row>
    <row r="2" spans="1:48" ht="16" thickBot="1" x14ac:dyDescent="0.25">
      <c r="A2" s="76" t="s">
        <v>111</v>
      </c>
      <c r="B2" s="75" t="s">
        <v>131</v>
      </c>
      <c r="C2" s="75" t="s">
        <v>116</v>
      </c>
      <c r="D2" s="75" t="s">
        <v>134</v>
      </c>
      <c r="E2" s="75" t="s">
        <v>137</v>
      </c>
      <c r="F2" s="75" t="s">
        <v>125</v>
      </c>
      <c r="G2" s="75" t="s">
        <v>143</v>
      </c>
      <c r="H2" s="75" t="s">
        <v>128</v>
      </c>
      <c r="I2" s="75" t="s">
        <v>119</v>
      </c>
      <c r="J2" s="75" t="s">
        <v>140</v>
      </c>
      <c r="K2" s="75" t="s">
        <v>122</v>
      </c>
      <c r="L2" s="75" t="s">
        <v>131</v>
      </c>
      <c r="M2" s="71">
        <v>2016</v>
      </c>
      <c r="N2" s="71">
        <v>2017</v>
      </c>
      <c r="O2" s="75">
        <v>2018</v>
      </c>
      <c r="P2" s="75">
        <v>2019</v>
      </c>
      <c r="Q2" s="75">
        <v>2020</v>
      </c>
      <c r="R2" s="75">
        <v>2021</v>
      </c>
      <c r="S2" s="75">
        <v>2022</v>
      </c>
      <c r="T2" s="75">
        <v>2023</v>
      </c>
      <c r="U2" s="75">
        <v>2024</v>
      </c>
      <c r="V2" s="75">
        <v>2025</v>
      </c>
      <c r="W2" s="75">
        <v>2026</v>
      </c>
      <c r="X2" s="75">
        <v>2027</v>
      </c>
      <c r="Y2" s="75">
        <v>2028</v>
      </c>
      <c r="Z2" s="75">
        <v>2029</v>
      </c>
      <c r="AA2" s="75">
        <v>2030</v>
      </c>
      <c r="AB2" s="75">
        <v>2031</v>
      </c>
      <c r="AC2" s="75">
        <v>2032</v>
      </c>
      <c r="AD2" s="75">
        <v>2033</v>
      </c>
      <c r="AE2" s="75">
        <v>2034</v>
      </c>
      <c r="AF2" s="75">
        <v>2035</v>
      </c>
      <c r="AG2" s="75">
        <v>2036</v>
      </c>
      <c r="AH2" s="75">
        <v>2037</v>
      </c>
      <c r="AI2" s="75">
        <v>2038</v>
      </c>
      <c r="AJ2" s="75">
        <v>2039</v>
      </c>
      <c r="AK2" s="75">
        <v>2040</v>
      </c>
      <c r="AL2" s="75">
        <v>2041</v>
      </c>
      <c r="AM2" s="75">
        <v>2042</v>
      </c>
      <c r="AN2" s="75">
        <v>2043</v>
      </c>
      <c r="AO2" s="75">
        <v>2044</v>
      </c>
      <c r="AP2" s="75">
        <v>2045</v>
      </c>
      <c r="AQ2" s="75">
        <v>2046</v>
      </c>
      <c r="AR2" s="75">
        <v>2047</v>
      </c>
      <c r="AS2" s="75">
        <v>2048</v>
      </c>
      <c r="AT2" s="75">
        <v>2049</v>
      </c>
      <c r="AU2" s="75">
        <v>2050</v>
      </c>
      <c r="AV2" s="77" t="s">
        <v>170</v>
      </c>
    </row>
    <row r="3" spans="1:48" x14ac:dyDescent="0.2">
      <c r="A3" t="s">
        <v>198</v>
      </c>
      <c r="B3" t="s">
        <v>197</v>
      </c>
      <c r="C3" t="s">
        <v>232</v>
      </c>
      <c r="F3" t="s">
        <v>201</v>
      </c>
      <c r="H3">
        <v>1</v>
      </c>
      <c r="M3" s="100">
        <v>0</v>
      </c>
      <c r="N3" s="100">
        <v>0</v>
      </c>
      <c r="O3" s="100">
        <v>0</v>
      </c>
      <c r="P3" s="100">
        <v>0</v>
      </c>
      <c r="Q3" s="100">
        <v>0</v>
      </c>
      <c r="R3" s="100">
        <v>0</v>
      </c>
      <c r="S3" s="100">
        <v>0</v>
      </c>
      <c r="T3" s="100">
        <v>0</v>
      </c>
      <c r="U3" s="100">
        <v>0</v>
      </c>
      <c r="V3" s="100">
        <v>0</v>
      </c>
      <c r="W3" s="100">
        <v>-0.1144</v>
      </c>
      <c r="X3" s="100">
        <v>-0.2288</v>
      </c>
      <c r="Y3" s="100">
        <v>-0.34319999999999995</v>
      </c>
      <c r="Z3" s="100">
        <v>-0.45760000000000001</v>
      </c>
      <c r="AA3" s="100">
        <v>-0.57199999999999995</v>
      </c>
      <c r="AB3" s="100">
        <v>-0.68640000000000001</v>
      </c>
      <c r="AC3" s="100">
        <v>-0.80080000000000007</v>
      </c>
      <c r="AD3" s="100">
        <v>-0.91520000000000001</v>
      </c>
      <c r="AE3" s="100">
        <v>-1.0295999999999998</v>
      </c>
      <c r="AF3" s="100">
        <v>-1.1439999999999999</v>
      </c>
      <c r="AG3" s="100">
        <v>-1.2583999999999997</v>
      </c>
      <c r="AH3" s="100">
        <v>-1.3727999999999998</v>
      </c>
      <c r="AI3" s="100">
        <v>-1.4871999999999996</v>
      </c>
      <c r="AJ3" s="100">
        <v>-1.6015999999999997</v>
      </c>
      <c r="AK3" s="100">
        <v>-1.716</v>
      </c>
      <c r="AL3" s="100">
        <v>-1.8304</v>
      </c>
      <c r="AM3" s="100">
        <v>-1.9448000000000001</v>
      </c>
      <c r="AN3" s="100">
        <v>-2.0592000000000001</v>
      </c>
      <c r="AO3" s="100">
        <v>-2.1736000000000004</v>
      </c>
      <c r="AP3" s="100">
        <v>-2.2880000000000003</v>
      </c>
      <c r="AQ3" s="100">
        <v>-2.4024000000000005</v>
      </c>
      <c r="AR3" s="100">
        <v>-2.5168000000000004</v>
      </c>
      <c r="AS3" s="100">
        <v>-2.6312000000000006</v>
      </c>
      <c r="AT3" s="100">
        <v>-2.7456000000000009</v>
      </c>
      <c r="AU3" s="100">
        <v>-2.86</v>
      </c>
    </row>
    <row r="4" spans="1:48" x14ac:dyDescent="0.2">
      <c r="A4" t="s">
        <v>198</v>
      </c>
      <c r="B4" t="s">
        <v>197</v>
      </c>
      <c r="C4" t="s">
        <v>231</v>
      </c>
      <c r="F4" t="s">
        <v>201</v>
      </c>
      <c r="H4">
        <v>1</v>
      </c>
      <c r="M4" s="100">
        <v>0</v>
      </c>
      <c r="N4" s="100">
        <v>0</v>
      </c>
      <c r="O4" s="100">
        <v>0</v>
      </c>
      <c r="P4" s="100">
        <v>0</v>
      </c>
      <c r="Q4" s="100">
        <v>0</v>
      </c>
      <c r="R4" s="100">
        <v>0</v>
      </c>
      <c r="S4" s="100">
        <v>0</v>
      </c>
      <c r="T4" s="100">
        <v>0</v>
      </c>
      <c r="U4" s="100">
        <v>0</v>
      </c>
      <c r="V4" s="100">
        <v>0</v>
      </c>
      <c r="W4" s="100">
        <v>-1.0400000000000001E-2</v>
      </c>
      <c r="X4" s="100">
        <v>-2.0800000000000003E-2</v>
      </c>
      <c r="Y4" s="100">
        <v>-3.1199999999999999E-2</v>
      </c>
      <c r="Z4" s="100">
        <v>-4.1600000000000005E-2</v>
      </c>
      <c r="AA4" s="100">
        <v>-5.2000000000000005E-2</v>
      </c>
      <c r="AB4" s="100">
        <v>-6.2400000000000004E-2</v>
      </c>
      <c r="AC4" s="100">
        <v>-7.2800000000000004E-2</v>
      </c>
      <c r="AD4" s="100">
        <v>-8.320000000000001E-2</v>
      </c>
      <c r="AE4" s="100">
        <v>-9.3600000000000003E-2</v>
      </c>
      <c r="AF4" s="100">
        <v>-0.104</v>
      </c>
      <c r="AG4" s="100">
        <v>-0.11439999999999999</v>
      </c>
      <c r="AH4" s="100">
        <v>-0.12479999999999998</v>
      </c>
      <c r="AI4" s="100">
        <v>-0.13519999999999999</v>
      </c>
      <c r="AJ4" s="100">
        <v>-0.14559999999999998</v>
      </c>
      <c r="AK4" s="100">
        <v>-0.156</v>
      </c>
      <c r="AL4" s="100">
        <v>-0.16640000000000002</v>
      </c>
      <c r="AM4" s="100">
        <v>-0.17680000000000001</v>
      </c>
      <c r="AN4" s="100">
        <v>-0.18720000000000003</v>
      </c>
      <c r="AO4" s="100">
        <v>-0.19760000000000003</v>
      </c>
      <c r="AP4" s="100">
        <v>-0.20800000000000005</v>
      </c>
      <c r="AQ4" s="100">
        <v>-0.21840000000000007</v>
      </c>
      <c r="AR4" s="100">
        <v>-0.22880000000000006</v>
      </c>
      <c r="AS4" s="100">
        <v>-0.23920000000000008</v>
      </c>
      <c r="AT4" s="100">
        <v>-0.2496000000000001</v>
      </c>
      <c r="AU4" s="100">
        <v>-0.26</v>
      </c>
    </row>
    <row r="5" spans="1:48" x14ac:dyDescent="0.2">
      <c r="A5" t="s">
        <v>198</v>
      </c>
      <c r="B5" t="s">
        <v>197</v>
      </c>
      <c r="C5" t="s">
        <v>215</v>
      </c>
      <c r="F5" t="s">
        <v>201</v>
      </c>
      <c r="H5">
        <v>1</v>
      </c>
      <c r="M5" s="100">
        <v>0</v>
      </c>
      <c r="N5" s="100">
        <v>0</v>
      </c>
      <c r="O5" s="100">
        <v>0</v>
      </c>
      <c r="P5" s="100">
        <v>0</v>
      </c>
      <c r="Q5" s="100">
        <v>0</v>
      </c>
      <c r="R5" s="100">
        <v>0</v>
      </c>
      <c r="S5" s="100">
        <v>0</v>
      </c>
      <c r="T5" s="100">
        <v>0</v>
      </c>
      <c r="U5" s="100">
        <v>0</v>
      </c>
      <c r="V5" s="100">
        <v>0</v>
      </c>
      <c r="W5" s="100">
        <v>-0.24920000000000003</v>
      </c>
      <c r="X5" s="100">
        <v>-0.49840000000000007</v>
      </c>
      <c r="Y5" s="100">
        <v>-0.74760000000000004</v>
      </c>
      <c r="Z5" s="100">
        <v>-0.99680000000000013</v>
      </c>
      <c r="AA5" s="100">
        <v>-1.2460000000000002</v>
      </c>
      <c r="AB5" s="100">
        <v>-1.4952000000000003</v>
      </c>
      <c r="AC5" s="100">
        <v>-1.7444000000000004</v>
      </c>
      <c r="AD5" s="100">
        <v>-1.9936000000000003</v>
      </c>
      <c r="AE5" s="100">
        <v>-2.2427999999999999</v>
      </c>
      <c r="AF5" s="100">
        <v>-2.492</v>
      </c>
      <c r="AG5" s="100">
        <v>-2.7411999999999996</v>
      </c>
      <c r="AH5" s="100">
        <v>-2.9903999999999997</v>
      </c>
      <c r="AI5" s="100">
        <v>-3.2395999999999998</v>
      </c>
      <c r="AJ5" s="100">
        <v>-3.4887999999999999</v>
      </c>
      <c r="AK5" s="100">
        <v>-3.738</v>
      </c>
      <c r="AL5" s="100">
        <v>-3.9872000000000005</v>
      </c>
      <c r="AM5" s="100">
        <v>-4.2364000000000006</v>
      </c>
      <c r="AN5" s="100">
        <v>-4.4856000000000007</v>
      </c>
      <c r="AO5" s="100">
        <v>-4.7348000000000008</v>
      </c>
      <c r="AP5" s="100">
        <v>-4.9840000000000009</v>
      </c>
      <c r="AQ5" s="100">
        <v>-5.2332000000000019</v>
      </c>
      <c r="AR5" s="100">
        <v>-5.4824000000000019</v>
      </c>
      <c r="AS5" s="100">
        <v>-5.731600000000002</v>
      </c>
      <c r="AT5" s="100">
        <v>-5.9808000000000021</v>
      </c>
      <c r="AU5" s="100">
        <v>-6.23</v>
      </c>
    </row>
    <row r="6" spans="1:48" x14ac:dyDescent="0.2">
      <c r="A6" t="s">
        <v>198</v>
      </c>
      <c r="B6" t="s">
        <v>197</v>
      </c>
      <c r="C6" t="s">
        <v>217</v>
      </c>
      <c r="F6" t="s">
        <v>201</v>
      </c>
      <c r="H6">
        <v>1</v>
      </c>
      <c r="M6" s="100">
        <v>0</v>
      </c>
      <c r="N6" s="100">
        <v>0</v>
      </c>
      <c r="O6" s="100">
        <v>0</v>
      </c>
      <c r="P6" s="100">
        <v>0</v>
      </c>
      <c r="Q6" s="100">
        <v>0</v>
      </c>
      <c r="R6" s="100">
        <v>0</v>
      </c>
      <c r="S6" s="100">
        <v>0</v>
      </c>
      <c r="T6" s="100">
        <v>0</v>
      </c>
      <c r="U6" s="100">
        <v>0</v>
      </c>
      <c r="V6" s="100">
        <v>0</v>
      </c>
      <c r="W6" s="100">
        <v>-0.49</v>
      </c>
      <c r="X6" s="100">
        <v>-0.98</v>
      </c>
      <c r="Y6" s="100">
        <v>-1.47</v>
      </c>
      <c r="Z6" s="100">
        <v>-1.96</v>
      </c>
      <c r="AA6" s="100">
        <v>-2.4500000000000002</v>
      </c>
      <c r="AB6" s="100">
        <v>-2.9400000000000004</v>
      </c>
      <c r="AC6" s="100">
        <v>-3.43</v>
      </c>
      <c r="AD6" s="100">
        <v>-3.92</v>
      </c>
      <c r="AE6" s="100">
        <v>-4.41</v>
      </c>
      <c r="AF6" s="100">
        <v>-4.8999999999999995</v>
      </c>
      <c r="AG6" s="100">
        <v>-5.39</v>
      </c>
      <c r="AH6" s="100">
        <v>-5.879999999999999</v>
      </c>
      <c r="AI6" s="100">
        <v>-6.3699999999999992</v>
      </c>
      <c r="AJ6" s="100">
        <v>-6.8599999999999994</v>
      </c>
      <c r="AK6" s="100">
        <v>-7.35</v>
      </c>
      <c r="AL6" s="100">
        <v>-7.84</v>
      </c>
      <c r="AM6" s="100">
        <v>-8.33</v>
      </c>
      <c r="AN6" s="100">
        <v>-8.82</v>
      </c>
      <c r="AO6" s="100">
        <v>-9.3100000000000023</v>
      </c>
      <c r="AP6" s="100">
        <v>-9.8000000000000025</v>
      </c>
      <c r="AQ6" s="100">
        <v>-10.290000000000003</v>
      </c>
      <c r="AR6" s="100">
        <v>-10.780000000000003</v>
      </c>
      <c r="AS6" s="100">
        <v>-11.270000000000003</v>
      </c>
      <c r="AT6" s="100">
        <v>-11.760000000000003</v>
      </c>
      <c r="AU6" s="100">
        <v>-12.25</v>
      </c>
    </row>
    <row r="7" spans="1:48" x14ac:dyDescent="0.2">
      <c r="A7" t="s">
        <v>198</v>
      </c>
      <c r="B7" t="s">
        <v>197</v>
      </c>
      <c r="C7" t="s">
        <v>218</v>
      </c>
      <c r="F7" t="s">
        <v>201</v>
      </c>
      <c r="H7">
        <v>1</v>
      </c>
      <c r="M7" s="100">
        <v>0</v>
      </c>
      <c r="N7" s="100">
        <v>0</v>
      </c>
      <c r="O7" s="100">
        <v>0</v>
      </c>
      <c r="P7" s="100">
        <v>0</v>
      </c>
      <c r="Q7" s="100">
        <v>0</v>
      </c>
      <c r="R7" s="100">
        <v>0</v>
      </c>
      <c r="S7" s="100">
        <v>0</v>
      </c>
      <c r="T7" s="100">
        <v>0</v>
      </c>
      <c r="U7" s="100">
        <v>0</v>
      </c>
      <c r="V7" s="100">
        <v>0</v>
      </c>
      <c r="W7" s="100">
        <v>-2E-3</v>
      </c>
      <c r="X7" s="100">
        <v>-4.0000000000000001E-3</v>
      </c>
      <c r="Y7" s="100">
        <v>-6.0000000000000001E-3</v>
      </c>
      <c r="Z7" s="100">
        <v>-8.0000000000000002E-3</v>
      </c>
      <c r="AA7" s="100">
        <v>-1.0000000000000002E-2</v>
      </c>
      <c r="AB7" s="100">
        <v>-1.2000000000000002E-2</v>
      </c>
      <c r="AC7" s="100">
        <v>-1.4000000000000002E-2</v>
      </c>
      <c r="AD7" s="100">
        <v>-1.6E-2</v>
      </c>
      <c r="AE7" s="100">
        <v>-1.7999999999999999E-2</v>
      </c>
      <c r="AF7" s="100">
        <v>-0.02</v>
      </c>
      <c r="AG7" s="100">
        <v>-2.1999999999999999E-2</v>
      </c>
      <c r="AH7" s="100">
        <v>-2.3999999999999997E-2</v>
      </c>
      <c r="AI7" s="100">
        <v>-2.5999999999999995E-2</v>
      </c>
      <c r="AJ7" s="100">
        <v>-2.7999999999999997E-2</v>
      </c>
      <c r="AK7" s="100">
        <v>-0.03</v>
      </c>
      <c r="AL7" s="100">
        <v>-3.2000000000000001E-2</v>
      </c>
      <c r="AM7" s="100">
        <v>-3.4000000000000002E-2</v>
      </c>
      <c r="AN7" s="100">
        <v>-3.6000000000000004E-2</v>
      </c>
      <c r="AO7" s="100">
        <v>-3.8000000000000006E-2</v>
      </c>
      <c r="AP7" s="100">
        <v>-4.0000000000000008E-2</v>
      </c>
      <c r="AQ7" s="100">
        <v>-4.200000000000001E-2</v>
      </c>
      <c r="AR7" s="100">
        <v>-4.4000000000000011E-2</v>
      </c>
      <c r="AS7" s="100">
        <v>-4.6000000000000013E-2</v>
      </c>
      <c r="AT7" s="100">
        <v>-4.8000000000000015E-2</v>
      </c>
      <c r="AU7" s="100">
        <v>-0.05</v>
      </c>
    </row>
    <row r="8" spans="1:48" x14ac:dyDescent="0.2">
      <c r="A8" t="s">
        <v>198</v>
      </c>
      <c r="B8" t="s">
        <v>197</v>
      </c>
      <c r="C8" t="s">
        <v>221</v>
      </c>
      <c r="F8" t="s">
        <v>201</v>
      </c>
      <c r="H8">
        <v>1</v>
      </c>
      <c r="M8" s="100">
        <v>0</v>
      </c>
      <c r="N8" s="100">
        <v>0</v>
      </c>
      <c r="O8" s="100">
        <v>0</v>
      </c>
      <c r="P8" s="100">
        <v>0</v>
      </c>
      <c r="Q8" s="100">
        <v>0</v>
      </c>
      <c r="R8" s="100">
        <v>0</v>
      </c>
      <c r="S8" s="100">
        <v>0</v>
      </c>
      <c r="T8" s="100">
        <v>0</v>
      </c>
      <c r="U8" s="100">
        <v>0</v>
      </c>
      <c r="V8" s="100">
        <v>0</v>
      </c>
      <c r="W8" s="100">
        <v>-9.8266666666666669E-2</v>
      </c>
      <c r="X8" s="100">
        <v>-0.19653333333333334</v>
      </c>
      <c r="Y8" s="100">
        <v>-0.29479999999999995</v>
      </c>
      <c r="Z8" s="100">
        <v>-0.39306666666666668</v>
      </c>
      <c r="AA8" s="100">
        <v>-0.49133333333333334</v>
      </c>
      <c r="AB8" s="100">
        <v>-0.58960000000000001</v>
      </c>
      <c r="AC8" s="100">
        <v>-0.68786666666666674</v>
      </c>
      <c r="AD8" s="100">
        <v>-0.78613333333333335</v>
      </c>
      <c r="AE8" s="100">
        <v>-0.88439999999999996</v>
      </c>
      <c r="AF8" s="100">
        <v>-0.98266666666666658</v>
      </c>
      <c r="AG8" s="100">
        <v>-1.0809333333333331</v>
      </c>
      <c r="AH8" s="100">
        <v>-1.1791999999999998</v>
      </c>
      <c r="AI8" s="100">
        <v>-1.2774666666666663</v>
      </c>
      <c r="AJ8" s="100">
        <v>-1.375733333333333</v>
      </c>
      <c r="AK8" s="100">
        <v>-1.474</v>
      </c>
      <c r="AL8" s="100">
        <v>-1.5722666666666667</v>
      </c>
      <c r="AM8" s="100">
        <v>-1.6705333333333334</v>
      </c>
      <c r="AN8" s="100">
        <v>-1.7688000000000001</v>
      </c>
      <c r="AO8" s="100">
        <v>-1.8670666666666669</v>
      </c>
      <c r="AP8" s="100">
        <v>-1.9653333333333336</v>
      </c>
      <c r="AQ8" s="100">
        <v>-2.0636000000000005</v>
      </c>
      <c r="AR8" s="100">
        <v>-2.161866666666667</v>
      </c>
      <c r="AS8" s="100">
        <v>-2.260133333333334</v>
      </c>
      <c r="AT8" s="100">
        <v>-2.3584000000000005</v>
      </c>
      <c r="AU8" s="100">
        <v>-2.4566666666666666</v>
      </c>
    </row>
    <row r="9" spans="1:48" x14ac:dyDescent="0.2">
      <c r="A9" t="s">
        <v>198</v>
      </c>
      <c r="B9" t="s">
        <v>197</v>
      </c>
      <c r="C9" t="s">
        <v>227</v>
      </c>
      <c r="F9" t="s">
        <v>201</v>
      </c>
      <c r="H9">
        <v>1</v>
      </c>
      <c r="M9" s="100">
        <v>0</v>
      </c>
      <c r="N9" s="100">
        <v>0</v>
      </c>
      <c r="O9" s="100">
        <v>0</v>
      </c>
      <c r="P9" s="100">
        <v>0</v>
      </c>
      <c r="Q9" s="100">
        <v>0</v>
      </c>
      <c r="R9" s="100">
        <v>0</v>
      </c>
      <c r="S9" s="100">
        <v>0</v>
      </c>
      <c r="T9" s="100">
        <v>0</v>
      </c>
      <c r="U9" s="100">
        <v>0</v>
      </c>
      <c r="V9" s="100">
        <v>0</v>
      </c>
      <c r="W9" s="100">
        <v>-0.39600000000000002</v>
      </c>
      <c r="X9" s="100">
        <v>-0.79200000000000004</v>
      </c>
      <c r="Y9" s="100">
        <v>-1.1879999999999999</v>
      </c>
      <c r="Z9" s="100">
        <v>-1.5840000000000001</v>
      </c>
      <c r="AA9" s="100">
        <v>-1.9800000000000002</v>
      </c>
      <c r="AB9" s="100">
        <v>-2.3760000000000003</v>
      </c>
      <c r="AC9" s="100">
        <v>-2.7720000000000002</v>
      </c>
      <c r="AD9" s="100">
        <v>-3.1680000000000001</v>
      </c>
      <c r="AE9" s="100">
        <v>-3.5640000000000001</v>
      </c>
      <c r="AF9" s="100">
        <v>-3.96</v>
      </c>
      <c r="AG9" s="100">
        <v>-4.3559999999999999</v>
      </c>
      <c r="AH9" s="100">
        <v>-4.7519999999999998</v>
      </c>
      <c r="AI9" s="100">
        <v>-5.1479999999999997</v>
      </c>
      <c r="AJ9" s="100">
        <v>-5.5439999999999996</v>
      </c>
      <c r="AK9" s="100">
        <v>-5.94</v>
      </c>
      <c r="AL9" s="100">
        <v>-6.3360000000000003</v>
      </c>
      <c r="AM9" s="100">
        <v>-6.7320000000000011</v>
      </c>
      <c r="AN9" s="100">
        <v>-7.128000000000001</v>
      </c>
      <c r="AO9" s="100">
        <v>-7.5240000000000018</v>
      </c>
      <c r="AP9" s="100">
        <v>-7.9200000000000017</v>
      </c>
      <c r="AQ9" s="100">
        <v>-8.3160000000000025</v>
      </c>
      <c r="AR9" s="100">
        <v>-8.7120000000000033</v>
      </c>
      <c r="AS9" s="100">
        <v>-9.1080000000000023</v>
      </c>
      <c r="AT9" s="100">
        <v>-9.5040000000000031</v>
      </c>
      <c r="AU9" s="100">
        <v>-9.9</v>
      </c>
    </row>
    <row r="10" spans="1:48" x14ac:dyDescent="0.2">
      <c r="A10" t="s">
        <v>198</v>
      </c>
      <c r="B10" t="s">
        <v>197</v>
      </c>
      <c r="C10" t="s">
        <v>239</v>
      </c>
      <c r="F10" t="s">
        <v>201</v>
      </c>
      <c r="H10">
        <v>1</v>
      </c>
      <c r="M10" s="100">
        <v>0</v>
      </c>
      <c r="N10" s="100">
        <v>0</v>
      </c>
      <c r="O10" s="100">
        <v>0</v>
      </c>
      <c r="P10" s="100">
        <v>0</v>
      </c>
      <c r="Q10" s="100">
        <v>0</v>
      </c>
      <c r="R10" s="100">
        <v>0</v>
      </c>
      <c r="S10" s="100">
        <v>0</v>
      </c>
      <c r="T10" s="100">
        <v>0</v>
      </c>
      <c r="U10" s="100">
        <v>0</v>
      </c>
      <c r="V10" s="100">
        <v>0</v>
      </c>
      <c r="W10" s="100">
        <v>-0.44799999999999995</v>
      </c>
      <c r="X10" s="100">
        <v>-0.89599999999999991</v>
      </c>
      <c r="Y10" s="100">
        <v>-1.3439999999999999</v>
      </c>
      <c r="Z10" s="100">
        <v>-1.7919999999999998</v>
      </c>
      <c r="AA10" s="100">
        <v>-2.2399999999999998</v>
      </c>
      <c r="AB10" s="100">
        <v>-2.6880000000000002</v>
      </c>
      <c r="AC10" s="100">
        <v>-3.1360000000000001</v>
      </c>
      <c r="AD10" s="100">
        <v>-3.5839999999999996</v>
      </c>
      <c r="AE10" s="100">
        <v>-4.032</v>
      </c>
      <c r="AF10" s="100">
        <v>-4.4799999999999995</v>
      </c>
      <c r="AG10" s="100">
        <v>-4.927999999999999</v>
      </c>
      <c r="AH10" s="100">
        <v>-5.3759999999999986</v>
      </c>
      <c r="AI10" s="100">
        <v>-5.823999999999999</v>
      </c>
      <c r="AJ10" s="100">
        <v>-6.2719999999999994</v>
      </c>
      <c r="AK10" s="100">
        <v>-6.72</v>
      </c>
      <c r="AL10" s="100">
        <v>-7.1679999999999993</v>
      </c>
      <c r="AM10" s="100">
        <v>-7.6159999999999997</v>
      </c>
      <c r="AN10" s="100">
        <v>-8.0640000000000001</v>
      </c>
      <c r="AO10" s="100">
        <v>-8.5120000000000005</v>
      </c>
      <c r="AP10" s="100">
        <v>-8.9600000000000009</v>
      </c>
      <c r="AQ10" s="100">
        <v>-9.4080000000000013</v>
      </c>
      <c r="AR10" s="100">
        <v>-9.8560000000000016</v>
      </c>
      <c r="AS10" s="100">
        <v>-10.304000000000002</v>
      </c>
      <c r="AT10" s="100">
        <v>-10.752000000000002</v>
      </c>
      <c r="AU10" s="100">
        <v>-11.2</v>
      </c>
    </row>
    <row r="11" spans="1:48" x14ac:dyDescent="0.2">
      <c r="A11" t="s">
        <v>198</v>
      </c>
      <c r="B11" t="s">
        <v>197</v>
      </c>
      <c r="C11" t="s">
        <v>228</v>
      </c>
      <c r="F11" t="s">
        <v>201</v>
      </c>
      <c r="H11">
        <v>1</v>
      </c>
      <c r="M11" s="100">
        <v>0</v>
      </c>
      <c r="N11" s="100">
        <v>0</v>
      </c>
      <c r="O11" s="100">
        <v>0</v>
      </c>
      <c r="P11" s="100">
        <v>0</v>
      </c>
      <c r="Q11" s="100">
        <v>0</v>
      </c>
      <c r="R11" s="100">
        <v>0</v>
      </c>
      <c r="S11" s="100">
        <v>0</v>
      </c>
      <c r="T11" s="100">
        <v>0</v>
      </c>
      <c r="U11" s="100">
        <v>0</v>
      </c>
      <c r="V11" s="100">
        <v>0</v>
      </c>
      <c r="W11" s="100">
        <v>-0.48399999999999999</v>
      </c>
      <c r="X11" s="100">
        <v>-0.96799999999999997</v>
      </c>
      <c r="Y11" s="100">
        <v>-1.452</v>
      </c>
      <c r="Z11" s="100">
        <v>-1.9359999999999999</v>
      </c>
      <c r="AA11" s="100">
        <v>-2.42</v>
      </c>
      <c r="AB11" s="100">
        <v>-2.9040000000000004</v>
      </c>
      <c r="AC11" s="100">
        <v>-3.3880000000000003</v>
      </c>
      <c r="AD11" s="100">
        <v>-3.8719999999999999</v>
      </c>
      <c r="AE11" s="100">
        <v>-4.3559999999999999</v>
      </c>
      <c r="AF11" s="100">
        <v>-4.84</v>
      </c>
      <c r="AG11" s="100">
        <v>-5.323999999999999</v>
      </c>
      <c r="AH11" s="100">
        <v>-5.8079999999999989</v>
      </c>
      <c r="AI11" s="100">
        <v>-6.2919999999999989</v>
      </c>
      <c r="AJ11" s="100">
        <v>-6.7759999999999989</v>
      </c>
      <c r="AK11" s="100">
        <v>-7.26</v>
      </c>
      <c r="AL11" s="100">
        <v>-7.7439999999999998</v>
      </c>
      <c r="AM11" s="100">
        <v>-8.2279999999999998</v>
      </c>
      <c r="AN11" s="100">
        <v>-8.7120000000000015</v>
      </c>
      <c r="AO11" s="100">
        <v>-9.1960000000000015</v>
      </c>
      <c r="AP11" s="100">
        <v>-9.6800000000000015</v>
      </c>
      <c r="AQ11" s="100">
        <v>-10.164000000000001</v>
      </c>
      <c r="AR11" s="100">
        <v>-10.648000000000003</v>
      </c>
      <c r="AS11" s="100">
        <v>-11.132000000000003</v>
      </c>
      <c r="AT11" s="100">
        <v>-11.616000000000003</v>
      </c>
      <c r="AU11" s="100">
        <v>-12.1</v>
      </c>
    </row>
    <row r="12" spans="1:48" x14ac:dyDescent="0.2">
      <c r="A12" t="s">
        <v>198</v>
      </c>
      <c r="B12" t="s">
        <v>197</v>
      </c>
      <c r="C12" t="s">
        <v>229</v>
      </c>
      <c r="F12" t="s">
        <v>201</v>
      </c>
      <c r="H12">
        <v>1</v>
      </c>
      <c r="M12" s="100">
        <v>0</v>
      </c>
      <c r="N12" s="100">
        <v>0</v>
      </c>
      <c r="O12" s="100">
        <v>0</v>
      </c>
      <c r="P12" s="100">
        <v>0</v>
      </c>
      <c r="Q12" s="100">
        <v>0</v>
      </c>
      <c r="R12" s="100">
        <v>0</v>
      </c>
      <c r="S12" s="100">
        <v>0</v>
      </c>
      <c r="T12" s="100">
        <v>0</v>
      </c>
      <c r="U12" s="100">
        <v>0</v>
      </c>
      <c r="V12" s="100">
        <v>0</v>
      </c>
      <c r="W12" s="100">
        <v>-0.48</v>
      </c>
      <c r="X12" s="100">
        <v>-0.96</v>
      </c>
      <c r="Y12" s="100">
        <v>-1.44</v>
      </c>
      <c r="Z12" s="100">
        <v>-1.92</v>
      </c>
      <c r="AA12" s="100">
        <v>-2.4000000000000004</v>
      </c>
      <c r="AB12" s="100">
        <v>-2.8800000000000003</v>
      </c>
      <c r="AC12" s="100">
        <v>-3.3600000000000003</v>
      </c>
      <c r="AD12" s="100">
        <v>-3.84</v>
      </c>
      <c r="AE12" s="100">
        <v>-4.32</v>
      </c>
      <c r="AF12" s="100">
        <v>-4.8</v>
      </c>
      <c r="AG12" s="100">
        <v>-5.2799999999999994</v>
      </c>
      <c r="AH12" s="100">
        <v>-5.7599999999999989</v>
      </c>
      <c r="AI12" s="100">
        <v>-6.2399999999999984</v>
      </c>
      <c r="AJ12" s="100">
        <v>-6.7199999999999989</v>
      </c>
      <c r="AK12" s="100">
        <v>-7.1999999999999993</v>
      </c>
      <c r="AL12" s="100">
        <v>-7.68</v>
      </c>
      <c r="AM12" s="100">
        <v>-8.16</v>
      </c>
      <c r="AN12" s="100">
        <v>-8.64</v>
      </c>
      <c r="AO12" s="100">
        <v>-9.120000000000001</v>
      </c>
      <c r="AP12" s="100">
        <v>-9.6000000000000014</v>
      </c>
      <c r="AQ12" s="100">
        <v>-10.080000000000002</v>
      </c>
      <c r="AR12" s="100">
        <v>-10.560000000000002</v>
      </c>
      <c r="AS12" s="100">
        <v>-11.040000000000003</v>
      </c>
      <c r="AT12" s="100">
        <v>-11.520000000000003</v>
      </c>
      <c r="AU12" s="100">
        <v>-12</v>
      </c>
    </row>
    <row r="13" spans="1:48" x14ac:dyDescent="0.2">
      <c r="A13" t="s">
        <v>198</v>
      </c>
      <c r="B13" t="s">
        <v>197</v>
      </c>
      <c r="C13" t="s">
        <v>230</v>
      </c>
      <c r="F13" t="s">
        <v>201</v>
      </c>
      <c r="H13">
        <v>1</v>
      </c>
      <c r="M13" s="100">
        <v>0</v>
      </c>
      <c r="N13" s="100">
        <v>0</v>
      </c>
      <c r="O13" s="100">
        <v>0</v>
      </c>
      <c r="P13" s="100">
        <v>0</v>
      </c>
      <c r="Q13" s="100">
        <v>0</v>
      </c>
      <c r="R13" s="100">
        <v>0</v>
      </c>
      <c r="S13" s="100">
        <v>0</v>
      </c>
      <c r="T13" s="100">
        <v>0</v>
      </c>
      <c r="U13" s="100">
        <v>0</v>
      </c>
      <c r="V13" s="100">
        <v>0</v>
      </c>
      <c r="W13" s="100">
        <v>-0.6452</v>
      </c>
      <c r="X13" s="100">
        <v>-1.2904</v>
      </c>
      <c r="Y13" s="100">
        <v>-1.9355999999999998</v>
      </c>
      <c r="Z13" s="100">
        <v>-2.5808</v>
      </c>
      <c r="AA13" s="100">
        <v>-3.226</v>
      </c>
      <c r="AB13" s="100">
        <v>-3.8712</v>
      </c>
      <c r="AC13" s="100">
        <v>-4.5164</v>
      </c>
      <c r="AD13" s="100">
        <v>-5.1616</v>
      </c>
      <c r="AE13" s="100">
        <v>-5.8067999999999991</v>
      </c>
      <c r="AF13" s="100">
        <v>-6.4519999999999991</v>
      </c>
      <c r="AG13" s="100">
        <v>-7.0971999999999991</v>
      </c>
      <c r="AH13" s="100">
        <v>-7.7423999999999982</v>
      </c>
      <c r="AI13" s="100">
        <v>-8.3875999999999973</v>
      </c>
      <c r="AJ13" s="100">
        <v>-9.0327999999999982</v>
      </c>
      <c r="AK13" s="100">
        <v>-9.677999999999999</v>
      </c>
      <c r="AL13" s="100">
        <v>-10.3232</v>
      </c>
      <c r="AM13" s="100">
        <v>-10.968400000000001</v>
      </c>
      <c r="AN13" s="100">
        <v>-11.6136</v>
      </c>
      <c r="AO13" s="100">
        <v>-12.258800000000001</v>
      </c>
      <c r="AP13" s="100">
        <v>-12.904000000000002</v>
      </c>
      <c r="AQ13" s="100">
        <v>-13.549200000000003</v>
      </c>
      <c r="AR13" s="100">
        <v>-14.194400000000003</v>
      </c>
      <c r="AS13" s="100">
        <v>-14.839600000000003</v>
      </c>
      <c r="AT13" s="100">
        <v>-15.484800000000003</v>
      </c>
      <c r="AU13" s="100">
        <v>-16.13</v>
      </c>
    </row>
    <row r="14" spans="1:48" x14ac:dyDescent="0.2">
      <c r="A14" t="s">
        <v>198</v>
      </c>
      <c r="B14" t="s">
        <v>197</v>
      </c>
      <c r="C14" t="s">
        <v>233</v>
      </c>
      <c r="F14" t="s">
        <v>201</v>
      </c>
      <c r="H14">
        <v>1</v>
      </c>
      <c r="M14" s="100">
        <v>0</v>
      </c>
      <c r="N14" s="100">
        <v>0</v>
      </c>
      <c r="O14" s="100">
        <v>0</v>
      </c>
      <c r="P14" s="100">
        <v>0</v>
      </c>
      <c r="Q14" s="100">
        <v>0</v>
      </c>
      <c r="R14" s="100">
        <v>0</v>
      </c>
      <c r="S14" s="100">
        <v>0</v>
      </c>
      <c r="T14" s="100">
        <v>0</v>
      </c>
      <c r="U14" s="100">
        <v>0</v>
      </c>
      <c r="V14" s="100">
        <v>0</v>
      </c>
      <c r="W14" s="100">
        <v>0</v>
      </c>
      <c r="X14" s="100">
        <v>0</v>
      </c>
      <c r="Y14" s="100">
        <v>0</v>
      </c>
      <c r="Z14" s="100">
        <v>0</v>
      </c>
      <c r="AA14" s="100">
        <v>0</v>
      </c>
      <c r="AB14" s="100">
        <v>0</v>
      </c>
      <c r="AC14" s="100">
        <v>0</v>
      </c>
      <c r="AD14" s="100">
        <v>0</v>
      </c>
      <c r="AE14" s="100">
        <v>0</v>
      </c>
      <c r="AF14" s="100">
        <v>0</v>
      </c>
      <c r="AG14" s="100">
        <v>0</v>
      </c>
      <c r="AH14" s="100">
        <v>0</v>
      </c>
      <c r="AI14" s="100">
        <v>0</v>
      </c>
      <c r="AJ14" s="100">
        <v>0</v>
      </c>
      <c r="AK14" s="100">
        <v>0</v>
      </c>
      <c r="AL14" s="100">
        <v>0</v>
      </c>
      <c r="AM14" s="100">
        <v>0</v>
      </c>
      <c r="AN14" s="100">
        <v>0</v>
      </c>
      <c r="AO14" s="100">
        <v>0</v>
      </c>
      <c r="AP14" s="100">
        <v>0</v>
      </c>
      <c r="AQ14" s="100">
        <v>0</v>
      </c>
      <c r="AR14" s="100">
        <v>0</v>
      </c>
      <c r="AS14" s="100">
        <v>0</v>
      </c>
      <c r="AT14" s="100">
        <v>0</v>
      </c>
      <c r="AU14" s="100">
        <v>0</v>
      </c>
    </row>
    <row r="15" spans="1:48" x14ac:dyDescent="0.2">
      <c r="A15" t="s">
        <v>198</v>
      </c>
      <c r="B15" t="s">
        <v>197</v>
      </c>
      <c r="C15" t="s">
        <v>234</v>
      </c>
      <c r="F15" t="s">
        <v>201</v>
      </c>
      <c r="H15">
        <v>1</v>
      </c>
      <c r="M15" s="100">
        <v>0</v>
      </c>
      <c r="N15" s="100">
        <v>0</v>
      </c>
      <c r="O15" s="100">
        <v>0</v>
      </c>
      <c r="P15" s="100">
        <v>0</v>
      </c>
      <c r="Q15" s="100">
        <v>0</v>
      </c>
      <c r="R15" s="100">
        <v>0</v>
      </c>
      <c r="S15" s="100">
        <v>0</v>
      </c>
      <c r="T15" s="100">
        <v>0</v>
      </c>
      <c r="U15" s="100">
        <v>0</v>
      </c>
      <c r="V15" s="100">
        <v>0</v>
      </c>
      <c r="W15" s="100">
        <v>0</v>
      </c>
      <c r="X15" s="100">
        <v>0</v>
      </c>
      <c r="Y15" s="100">
        <v>0</v>
      </c>
      <c r="Z15" s="100">
        <v>0</v>
      </c>
      <c r="AA15" s="100">
        <v>0</v>
      </c>
      <c r="AB15" s="100">
        <v>0</v>
      </c>
      <c r="AC15" s="100">
        <v>0</v>
      </c>
      <c r="AD15" s="100">
        <v>0</v>
      </c>
      <c r="AE15" s="100">
        <v>0</v>
      </c>
      <c r="AF15" s="100">
        <v>0</v>
      </c>
      <c r="AG15" s="100">
        <v>0</v>
      </c>
      <c r="AH15" s="100">
        <v>0</v>
      </c>
      <c r="AI15" s="100">
        <v>0</v>
      </c>
      <c r="AJ15" s="100">
        <v>0</v>
      </c>
      <c r="AK15" s="100">
        <v>0</v>
      </c>
      <c r="AL15" s="100">
        <v>0</v>
      </c>
      <c r="AM15" s="100">
        <v>0</v>
      </c>
      <c r="AN15" s="100">
        <v>0</v>
      </c>
      <c r="AO15" s="100">
        <v>0</v>
      </c>
      <c r="AP15" s="100">
        <v>0</v>
      </c>
      <c r="AQ15" s="100">
        <v>0</v>
      </c>
      <c r="AR15" s="100">
        <v>0</v>
      </c>
      <c r="AS15" s="100">
        <v>0</v>
      </c>
      <c r="AT15" s="100">
        <v>0</v>
      </c>
      <c r="AU15" s="100">
        <v>0</v>
      </c>
    </row>
    <row r="16" spans="1:48" x14ac:dyDescent="0.2">
      <c r="A16" t="s">
        <v>198</v>
      </c>
      <c r="B16" t="s">
        <v>197</v>
      </c>
      <c r="C16" t="s">
        <v>250</v>
      </c>
      <c r="F16" t="s">
        <v>201</v>
      </c>
      <c r="H16">
        <v>1</v>
      </c>
      <c r="M16" s="100">
        <v>376.89666666666699</v>
      </c>
      <c r="N16" s="100">
        <v>376.89666666666665</v>
      </c>
      <c r="O16" s="100">
        <v>376.89666666666665</v>
      </c>
      <c r="P16" s="100">
        <v>376.89666666666665</v>
      </c>
      <c r="Q16" s="100">
        <v>376.89666666666665</v>
      </c>
      <c r="R16" s="100">
        <v>376.89666666666665</v>
      </c>
      <c r="S16" s="100">
        <v>376.89666666666665</v>
      </c>
      <c r="T16" s="100">
        <v>376.89666666666665</v>
      </c>
      <c r="U16" s="100">
        <v>376.89666666666665</v>
      </c>
      <c r="V16" s="100">
        <v>376.89666666666665</v>
      </c>
      <c r="W16" s="100">
        <v>376.89666666666665</v>
      </c>
      <c r="X16" s="100">
        <v>376.89666666666665</v>
      </c>
      <c r="Y16" s="100">
        <v>376.89666666666665</v>
      </c>
      <c r="Z16" s="100">
        <v>376.89666666666665</v>
      </c>
      <c r="AA16" s="100">
        <v>376.89666666666665</v>
      </c>
      <c r="AB16" s="100">
        <v>376.89666666666665</v>
      </c>
      <c r="AC16" s="100">
        <v>376.89666666666665</v>
      </c>
      <c r="AD16" s="100">
        <v>376.89666666666665</v>
      </c>
      <c r="AE16" s="100">
        <v>376.89666666666665</v>
      </c>
      <c r="AF16" s="100">
        <v>376.89666666666665</v>
      </c>
      <c r="AG16" s="100">
        <v>376.89666666666665</v>
      </c>
      <c r="AH16" s="100">
        <v>376.89666666666665</v>
      </c>
      <c r="AI16" s="100">
        <v>376.89666666666665</v>
      </c>
      <c r="AJ16" s="100">
        <v>376.89666666666665</v>
      </c>
      <c r="AK16" s="100">
        <v>376.89666666666665</v>
      </c>
      <c r="AL16" s="100">
        <v>376.89666666666665</v>
      </c>
      <c r="AM16" s="100">
        <v>376.89666666666665</v>
      </c>
      <c r="AN16" s="100">
        <v>376.89666666666665</v>
      </c>
      <c r="AO16" s="100">
        <v>376.89666666666665</v>
      </c>
      <c r="AP16" s="100">
        <v>376.89666666666665</v>
      </c>
      <c r="AQ16" s="100">
        <v>376.89666666666665</v>
      </c>
      <c r="AR16" s="100">
        <v>376.89666666666665</v>
      </c>
      <c r="AS16" s="100">
        <v>376.89666666666665</v>
      </c>
      <c r="AT16" s="100">
        <v>376.89666666666665</v>
      </c>
      <c r="AU16" s="100">
        <v>376.89666666666665</v>
      </c>
    </row>
    <row r="17" spans="1:47" x14ac:dyDescent="0.2">
      <c r="A17" t="s">
        <v>198</v>
      </c>
      <c r="B17" t="s">
        <v>197</v>
      </c>
      <c r="C17" t="s">
        <v>251</v>
      </c>
      <c r="F17" t="s">
        <v>201</v>
      </c>
      <c r="H17">
        <v>1</v>
      </c>
      <c r="M17" s="105">
        <v>-376.89666666666699</v>
      </c>
      <c r="N17" s="105">
        <v>-376.89666666666699</v>
      </c>
      <c r="O17" s="105">
        <v>-376.89666666666699</v>
      </c>
      <c r="P17" s="105">
        <v>-376.89666666666699</v>
      </c>
      <c r="Q17" s="105">
        <v>-376.89666666666699</v>
      </c>
      <c r="R17" s="105">
        <v>-376.89666666666699</v>
      </c>
      <c r="S17" s="105">
        <v>-376.89666666666699</v>
      </c>
      <c r="T17" s="105">
        <v>-376.89666666666699</v>
      </c>
      <c r="U17" s="105">
        <v>-376.89666666666699</v>
      </c>
      <c r="V17" s="105">
        <v>-376.89666666666699</v>
      </c>
      <c r="W17" s="105">
        <v>-376.89666666666699</v>
      </c>
      <c r="X17" s="105">
        <v>-376.89666666666699</v>
      </c>
      <c r="Y17" s="105">
        <v>-376.89666666666699</v>
      </c>
      <c r="Z17" s="105">
        <v>-376.89666666666699</v>
      </c>
      <c r="AA17" s="105">
        <v>-376.89666666666699</v>
      </c>
      <c r="AB17" s="105">
        <v>-376.89666666666699</v>
      </c>
      <c r="AC17" s="105">
        <v>-376.89666666666699</v>
      </c>
      <c r="AD17" s="105">
        <v>-376.89666666666699</v>
      </c>
      <c r="AE17" s="105">
        <v>-376.89666666666699</v>
      </c>
      <c r="AF17" s="105">
        <v>-376.89666666666699</v>
      </c>
      <c r="AG17" s="105">
        <v>-376.89666666666699</v>
      </c>
      <c r="AH17" s="105">
        <v>-376.89666666666699</v>
      </c>
      <c r="AI17" s="105">
        <v>-376.89666666666699</v>
      </c>
      <c r="AJ17" s="105">
        <v>-376.89666666666699</v>
      </c>
      <c r="AK17" s="105">
        <v>-376.89666666666699</v>
      </c>
      <c r="AL17" s="105">
        <v>-376.89666666666699</v>
      </c>
      <c r="AM17" s="105">
        <v>-376.89666666666699</v>
      </c>
      <c r="AN17" s="105">
        <v>-376.89666666666699</v>
      </c>
      <c r="AO17" s="105">
        <v>-376.89666666666699</v>
      </c>
      <c r="AP17" s="105">
        <v>-376.89666666666699</v>
      </c>
      <c r="AQ17" s="105">
        <v>-376.89666666666699</v>
      </c>
      <c r="AR17" s="105">
        <v>-376.89666666666699</v>
      </c>
      <c r="AS17" s="105">
        <v>-376.89666666666699</v>
      </c>
      <c r="AT17" s="105">
        <v>-376.89666666666699</v>
      </c>
      <c r="AU17" s="105">
        <v>-376.89666666666699</v>
      </c>
    </row>
    <row r="18" spans="1:47" x14ac:dyDescent="0.2">
      <c r="A18" t="s">
        <v>198</v>
      </c>
      <c r="B18" t="s">
        <v>197</v>
      </c>
      <c r="C18" t="s">
        <v>249</v>
      </c>
      <c r="F18" t="s">
        <v>201</v>
      </c>
      <c r="H18">
        <v>1</v>
      </c>
      <c r="M18">
        <v>188.44833333333335</v>
      </c>
      <c r="N18">
        <v>188.44833333333335</v>
      </c>
      <c r="O18">
        <v>188.44833333333335</v>
      </c>
      <c r="P18">
        <v>188.44833333333335</v>
      </c>
      <c r="Q18">
        <v>188.44833333333335</v>
      </c>
      <c r="R18">
        <v>188.44833333333335</v>
      </c>
      <c r="S18">
        <v>188.44833333333335</v>
      </c>
      <c r="T18">
        <v>188.44833333333335</v>
      </c>
      <c r="U18">
        <v>188.44833333333335</v>
      </c>
      <c r="V18">
        <v>188.44833333333335</v>
      </c>
      <c r="W18">
        <v>188.44833333333335</v>
      </c>
      <c r="X18">
        <v>188.44833333333335</v>
      </c>
      <c r="Y18">
        <v>188.44833333333335</v>
      </c>
      <c r="Z18">
        <v>188.44833333333335</v>
      </c>
      <c r="AA18">
        <v>188.44833333333335</v>
      </c>
      <c r="AB18">
        <v>188.44833333333335</v>
      </c>
      <c r="AC18">
        <v>188.44833333333335</v>
      </c>
      <c r="AD18">
        <v>188.44833333333335</v>
      </c>
      <c r="AE18">
        <v>188.44833333333335</v>
      </c>
      <c r="AF18">
        <v>188.44833333333335</v>
      </c>
      <c r="AG18">
        <v>188.44833333333335</v>
      </c>
      <c r="AH18">
        <v>188.44833333333335</v>
      </c>
      <c r="AI18">
        <v>188.44833333333335</v>
      </c>
      <c r="AJ18">
        <v>188.44833333333335</v>
      </c>
      <c r="AK18">
        <v>188.44833333333335</v>
      </c>
      <c r="AL18">
        <v>188.44833333333335</v>
      </c>
      <c r="AM18">
        <v>188.44833333333335</v>
      </c>
      <c r="AN18">
        <v>188.44833333333335</v>
      </c>
      <c r="AO18">
        <v>188.44833333333335</v>
      </c>
      <c r="AP18">
        <v>188.44833333333335</v>
      </c>
      <c r="AQ18">
        <v>188.44833333333335</v>
      </c>
      <c r="AR18">
        <v>188.44833333333335</v>
      </c>
      <c r="AS18">
        <v>188.44833333333335</v>
      </c>
      <c r="AT18">
        <v>188.44833333333335</v>
      </c>
      <c r="AU18">
        <v>188.44833333333335</v>
      </c>
    </row>
    <row r="19" spans="1:47" x14ac:dyDescent="0.2">
      <c r="A19" t="s">
        <v>198</v>
      </c>
      <c r="B19" t="s">
        <v>197</v>
      </c>
      <c r="C19" t="s">
        <v>203</v>
      </c>
      <c r="F19" t="s">
        <v>201</v>
      </c>
      <c r="H19">
        <v>1</v>
      </c>
      <c r="M19" s="101">
        <v>1.7250000000000001</v>
      </c>
      <c r="N19" s="101">
        <v>1.7250000000000001</v>
      </c>
      <c r="O19" s="101">
        <v>1.7250000000000001</v>
      </c>
      <c r="P19" s="101">
        <v>1.7250000000000001</v>
      </c>
      <c r="Q19" s="101">
        <v>1.7250000000000001</v>
      </c>
      <c r="R19" s="101">
        <v>1.7250000000000001</v>
      </c>
      <c r="S19" s="101">
        <v>1.7250000000000001</v>
      </c>
      <c r="T19" s="101">
        <v>1.7250000000000001</v>
      </c>
      <c r="U19" s="101">
        <v>1.7250000000000001</v>
      </c>
      <c r="V19" s="101">
        <v>1.7250000000000001</v>
      </c>
      <c r="W19" s="101">
        <v>1.7250000000000001</v>
      </c>
      <c r="X19" s="101">
        <v>1.7250000000000001</v>
      </c>
      <c r="Y19" s="101">
        <v>1.7250000000000001</v>
      </c>
      <c r="Z19" s="101">
        <v>1.7250000000000001</v>
      </c>
      <c r="AA19" s="101">
        <v>1.7250000000000001</v>
      </c>
      <c r="AB19" s="101">
        <v>1.7250000000000001</v>
      </c>
      <c r="AC19" s="101">
        <v>1.7250000000000001</v>
      </c>
      <c r="AD19" s="101">
        <v>1.7250000000000001</v>
      </c>
      <c r="AE19" s="101">
        <v>1.7250000000000001</v>
      </c>
      <c r="AF19" s="101">
        <v>1.7250000000000001</v>
      </c>
      <c r="AG19" s="101">
        <v>1.7250000000000001</v>
      </c>
      <c r="AH19" s="101">
        <v>1.7250000000000001</v>
      </c>
      <c r="AI19" s="101">
        <v>1.7250000000000001</v>
      </c>
      <c r="AJ19" s="101">
        <v>1.7250000000000001</v>
      </c>
      <c r="AK19" s="101">
        <v>1.7250000000000001</v>
      </c>
      <c r="AL19" s="101">
        <v>1.7250000000000001</v>
      </c>
      <c r="AM19" s="101">
        <v>1.7250000000000001</v>
      </c>
      <c r="AN19" s="101">
        <v>1.7250000000000001</v>
      </c>
      <c r="AO19" s="101">
        <v>1.7250000000000001</v>
      </c>
      <c r="AP19" s="101">
        <v>1.7250000000000001</v>
      </c>
      <c r="AQ19" s="101">
        <v>1.7250000000000001</v>
      </c>
      <c r="AR19" s="101">
        <v>1.7250000000000001</v>
      </c>
      <c r="AS19" s="101">
        <v>1.7250000000000001</v>
      </c>
      <c r="AT19" s="101">
        <v>1.7250000000000001</v>
      </c>
      <c r="AU19" s="101">
        <v>1.7250000000000001</v>
      </c>
    </row>
    <row r="20" spans="1:47" x14ac:dyDescent="0.2">
      <c r="A20" t="s">
        <v>198</v>
      </c>
      <c r="B20" t="s">
        <v>197</v>
      </c>
      <c r="C20" t="s">
        <v>252</v>
      </c>
      <c r="F20" t="s">
        <v>201</v>
      </c>
      <c r="H20">
        <v>1</v>
      </c>
      <c r="M20" s="106">
        <v>28.466000000000001</v>
      </c>
      <c r="N20" s="106">
        <v>28.466000000000001</v>
      </c>
      <c r="O20" s="106">
        <v>28.466000000000001</v>
      </c>
      <c r="P20" s="106">
        <v>28.466000000000001</v>
      </c>
      <c r="Q20" s="106">
        <v>28.466000000000001</v>
      </c>
      <c r="R20" s="106">
        <v>28.466000000000001</v>
      </c>
      <c r="S20" s="106">
        <v>28.466000000000001</v>
      </c>
      <c r="T20" s="106">
        <v>28.466000000000001</v>
      </c>
      <c r="U20" s="106">
        <v>28.466000000000001</v>
      </c>
      <c r="V20" s="106">
        <v>28.466000000000001</v>
      </c>
      <c r="W20" s="106">
        <v>28.466000000000001</v>
      </c>
      <c r="X20" s="106">
        <v>28.466000000000001</v>
      </c>
      <c r="Y20" s="106">
        <v>28.466000000000001</v>
      </c>
      <c r="Z20" s="106">
        <v>28.466000000000001</v>
      </c>
      <c r="AA20" s="106">
        <v>28.466000000000001</v>
      </c>
      <c r="AB20" s="106">
        <v>28.466000000000001</v>
      </c>
      <c r="AC20" s="106">
        <v>28.466000000000001</v>
      </c>
      <c r="AD20" s="106">
        <v>28.466000000000001</v>
      </c>
      <c r="AE20" s="106">
        <v>28.466000000000001</v>
      </c>
      <c r="AF20" s="106">
        <v>28.466000000000001</v>
      </c>
      <c r="AG20" s="106">
        <v>28.466000000000001</v>
      </c>
      <c r="AH20" s="106">
        <v>28.466000000000001</v>
      </c>
      <c r="AI20" s="106">
        <v>28.466000000000001</v>
      </c>
      <c r="AJ20" s="106">
        <v>28.466000000000001</v>
      </c>
      <c r="AK20" s="106">
        <v>28.466000000000001</v>
      </c>
      <c r="AL20" s="106">
        <v>28.466000000000001</v>
      </c>
      <c r="AM20" s="106">
        <v>28.466000000000001</v>
      </c>
      <c r="AN20" s="106">
        <v>28.466000000000001</v>
      </c>
      <c r="AO20" s="106">
        <v>28.466000000000001</v>
      </c>
      <c r="AP20" s="106">
        <v>28.466000000000001</v>
      </c>
      <c r="AQ20" s="106">
        <v>28.466000000000001</v>
      </c>
      <c r="AR20" s="106">
        <v>28.466000000000001</v>
      </c>
      <c r="AS20" s="106">
        <v>28.466000000000001</v>
      </c>
      <c r="AT20" s="106">
        <v>28.466000000000001</v>
      </c>
      <c r="AU20" s="106">
        <v>28.466000000000001</v>
      </c>
    </row>
    <row r="21" spans="1:47" x14ac:dyDescent="0.2">
      <c r="A21" t="s">
        <v>198</v>
      </c>
      <c r="B21" t="s">
        <v>197</v>
      </c>
      <c r="C21" t="s">
        <v>253</v>
      </c>
      <c r="F21" t="s">
        <v>201</v>
      </c>
      <c r="H21">
        <v>1</v>
      </c>
      <c r="M21" s="106">
        <v>28</v>
      </c>
      <c r="N21" s="106">
        <v>28</v>
      </c>
      <c r="O21" s="106">
        <v>28</v>
      </c>
      <c r="P21" s="106">
        <v>28</v>
      </c>
      <c r="Q21" s="106">
        <v>28</v>
      </c>
      <c r="R21" s="106">
        <v>28</v>
      </c>
      <c r="S21" s="106">
        <v>28</v>
      </c>
      <c r="T21" s="106">
        <v>28</v>
      </c>
      <c r="U21" s="106">
        <v>28</v>
      </c>
      <c r="V21" s="106">
        <v>28</v>
      </c>
      <c r="W21" s="106">
        <v>28</v>
      </c>
      <c r="X21" s="106">
        <v>28</v>
      </c>
      <c r="Y21" s="106">
        <v>28</v>
      </c>
      <c r="Z21" s="106">
        <v>28</v>
      </c>
      <c r="AA21" s="106">
        <v>28</v>
      </c>
      <c r="AB21" s="106">
        <v>28</v>
      </c>
      <c r="AC21" s="106">
        <v>28</v>
      </c>
      <c r="AD21" s="106">
        <v>28</v>
      </c>
      <c r="AE21" s="106">
        <v>28</v>
      </c>
      <c r="AF21" s="106">
        <v>28</v>
      </c>
      <c r="AG21" s="106">
        <v>28</v>
      </c>
      <c r="AH21" s="106">
        <v>28</v>
      </c>
      <c r="AI21" s="106">
        <v>28</v>
      </c>
      <c r="AJ21" s="106">
        <v>28</v>
      </c>
      <c r="AK21" s="106">
        <v>28</v>
      </c>
      <c r="AL21" s="106">
        <v>28</v>
      </c>
      <c r="AM21" s="106">
        <v>28</v>
      </c>
      <c r="AN21" s="106">
        <v>28</v>
      </c>
      <c r="AO21" s="106">
        <v>28</v>
      </c>
      <c r="AP21" s="106">
        <v>28</v>
      </c>
      <c r="AQ21" s="106">
        <v>28</v>
      </c>
      <c r="AR21" s="106">
        <v>28</v>
      </c>
      <c r="AS21" s="106">
        <v>28</v>
      </c>
      <c r="AT21" s="106">
        <v>28</v>
      </c>
      <c r="AU21" s="106">
        <v>28</v>
      </c>
    </row>
    <row r="22" spans="1:47" x14ac:dyDescent="0.2">
      <c r="A22" t="s">
        <v>198</v>
      </c>
      <c r="B22" t="s">
        <v>197</v>
      </c>
      <c r="C22" t="s">
        <v>254</v>
      </c>
      <c r="F22" t="s">
        <v>201</v>
      </c>
      <c r="H22">
        <v>1</v>
      </c>
      <c r="M22" s="106">
        <v>273</v>
      </c>
      <c r="N22" s="106">
        <v>273</v>
      </c>
      <c r="O22" s="106">
        <v>273</v>
      </c>
      <c r="P22" s="106">
        <v>273</v>
      </c>
      <c r="Q22" s="106">
        <v>273</v>
      </c>
      <c r="R22" s="106">
        <v>273</v>
      </c>
      <c r="S22" s="106">
        <v>273</v>
      </c>
      <c r="T22" s="106">
        <v>273</v>
      </c>
      <c r="U22" s="106">
        <v>273</v>
      </c>
      <c r="V22" s="106">
        <v>273</v>
      </c>
      <c r="W22" s="106">
        <v>273</v>
      </c>
      <c r="X22" s="106">
        <v>273</v>
      </c>
      <c r="Y22" s="106">
        <v>273</v>
      </c>
      <c r="Z22" s="106">
        <v>273</v>
      </c>
      <c r="AA22" s="106">
        <v>273</v>
      </c>
      <c r="AB22" s="106">
        <v>273</v>
      </c>
      <c r="AC22" s="106">
        <v>273</v>
      </c>
      <c r="AD22" s="106">
        <v>273</v>
      </c>
      <c r="AE22" s="106">
        <v>273</v>
      </c>
      <c r="AF22" s="106">
        <v>273</v>
      </c>
      <c r="AG22" s="106">
        <v>273</v>
      </c>
      <c r="AH22" s="106">
        <v>273</v>
      </c>
      <c r="AI22" s="106">
        <v>273</v>
      </c>
      <c r="AJ22" s="106">
        <v>273</v>
      </c>
      <c r="AK22" s="106">
        <v>273</v>
      </c>
      <c r="AL22" s="106">
        <v>273</v>
      </c>
      <c r="AM22" s="106">
        <v>273</v>
      </c>
      <c r="AN22" s="106">
        <v>273</v>
      </c>
      <c r="AO22" s="106">
        <v>273</v>
      </c>
      <c r="AP22" s="106">
        <v>273</v>
      </c>
      <c r="AQ22" s="106">
        <v>273</v>
      </c>
      <c r="AR22" s="106">
        <v>273</v>
      </c>
      <c r="AS22" s="106">
        <v>273</v>
      </c>
      <c r="AT22" s="106">
        <v>273</v>
      </c>
      <c r="AU22" s="106">
        <v>273</v>
      </c>
    </row>
    <row r="23" spans="1:47" x14ac:dyDescent="0.2">
      <c r="A23" t="s">
        <v>198</v>
      </c>
      <c r="B23" t="s">
        <v>197</v>
      </c>
      <c r="C23" t="s">
        <v>255</v>
      </c>
      <c r="F23" t="s">
        <v>201</v>
      </c>
      <c r="H23">
        <v>1</v>
      </c>
      <c r="M23" s="106">
        <v>1</v>
      </c>
      <c r="N23" s="106">
        <v>1</v>
      </c>
      <c r="O23" s="106">
        <v>1</v>
      </c>
      <c r="P23" s="106">
        <v>1</v>
      </c>
      <c r="Q23" s="106">
        <v>1</v>
      </c>
      <c r="R23" s="106">
        <v>1</v>
      </c>
      <c r="S23" s="106">
        <v>1</v>
      </c>
      <c r="T23" s="106">
        <v>1</v>
      </c>
      <c r="U23" s="106">
        <v>1</v>
      </c>
      <c r="V23" s="106">
        <v>1</v>
      </c>
      <c r="W23" s="106">
        <v>1</v>
      </c>
      <c r="X23" s="106">
        <v>1</v>
      </c>
      <c r="Y23" s="106">
        <v>1</v>
      </c>
      <c r="Z23" s="106">
        <v>1</v>
      </c>
      <c r="AA23" s="106">
        <v>1</v>
      </c>
      <c r="AB23" s="106">
        <v>1</v>
      </c>
      <c r="AC23" s="106">
        <v>1</v>
      </c>
      <c r="AD23" s="106">
        <v>1</v>
      </c>
      <c r="AE23" s="106">
        <v>1</v>
      </c>
      <c r="AF23" s="106">
        <v>1</v>
      </c>
      <c r="AG23" s="106">
        <v>1</v>
      </c>
      <c r="AH23" s="106">
        <v>1</v>
      </c>
      <c r="AI23" s="106">
        <v>1</v>
      </c>
      <c r="AJ23" s="106">
        <v>1</v>
      </c>
      <c r="AK23" s="106">
        <v>1</v>
      </c>
      <c r="AL23" s="106">
        <v>1</v>
      </c>
      <c r="AM23" s="106">
        <v>1</v>
      </c>
      <c r="AN23" s="106">
        <v>1</v>
      </c>
      <c r="AO23" s="106">
        <v>1</v>
      </c>
      <c r="AP23" s="106">
        <v>1</v>
      </c>
      <c r="AQ23" s="106">
        <v>1</v>
      </c>
      <c r="AR23" s="106">
        <v>1</v>
      </c>
      <c r="AS23" s="106">
        <v>1</v>
      </c>
      <c r="AT23" s="106">
        <v>1</v>
      </c>
      <c r="AU23" s="106">
        <v>1</v>
      </c>
    </row>
    <row r="24" spans="1:47" x14ac:dyDescent="0.2">
      <c r="A24" t="s">
        <v>198</v>
      </c>
      <c r="B24" t="s">
        <v>197</v>
      </c>
      <c r="C24" t="s">
        <v>256</v>
      </c>
      <c r="F24" t="s">
        <v>201</v>
      </c>
      <c r="H24">
        <v>1</v>
      </c>
      <c r="M24" s="106">
        <v>1</v>
      </c>
      <c r="N24" s="106">
        <v>1</v>
      </c>
      <c r="O24" s="106">
        <v>1</v>
      </c>
      <c r="P24" s="106">
        <v>1</v>
      </c>
      <c r="Q24" s="106">
        <v>1</v>
      </c>
      <c r="R24" s="106">
        <v>1</v>
      </c>
      <c r="S24" s="106">
        <v>1</v>
      </c>
      <c r="T24" s="106">
        <v>1</v>
      </c>
      <c r="U24" s="106">
        <v>1</v>
      </c>
      <c r="V24" s="106">
        <v>1</v>
      </c>
      <c r="W24" s="106">
        <v>1</v>
      </c>
      <c r="X24" s="106">
        <v>1</v>
      </c>
      <c r="Y24" s="106">
        <v>1</v>
      </c>
      <c r="Z24" s="106">
        <v>1</v>
      </c>
      <c r="AA24" s="106">
        <v>1</v>
      </c>
      <c r="AB24" s="106">
        <v>1</v>
      </c>
      <c r="AC24" s="106">
        <v>1</v>
      </c>
      <c r="AD24" s="106">
        <v>1</v>
      </c>
      <c r="AE24" s="106">
        <v>1</v>
      </c>
      <c r="AF24" s="106">
        <v>1</v>
      </c>
      <c r="AG24" s="106">
        <v>1</v>
      </c>
      <c r="AH24" s="106">
        <v>1</v>
      </c>
      <c r="AI24" s="106">
        <v>1</v>
      </c>
      <c r="AJ24" s="106">
        <v>1</v>
      </c>
      <c r="AK24" s="106">
        <v>1</v>
      </c>
      <c r="AL24" s="106">
        <v>1</v>
      </c>
      <c r="AM24" s="106">
        <v>1</v>
      </c>
      <c r="AN24" s="106">
        <v>1</v>
      </c>
      <c r="AO24" s="106">
        <v>1</v>
      </c>
      <c r="AP24" s="106">
        <v>1</v>
      </c>
      <c r="AQ24" s="106">
        <v>1</v>
      </c>
      <c r="AR24" s="106">
        <v>1</v>
      </c>
      <c r="AS24" s="106">
        <v>1</v>
      </c>
      <c r="AT24" s="106">
        <v>1</v>
      </c>
      <c r="AU24" s="106">
        <v>1</v>
      </c>
    </row>
    <row r="25" spans="1:47" x14ac:dyDescent="0.2">
      <c r="A25" t="s">
        <v>198</v>
      </c>
      <c r="B25" t="s">
        <v>197</v>
      </c>
      <c r="C25" t="s">
        <v>257</v>
      </c>
      <c r="F25" t="s">
        <v>201</v>
      </c>
      <c r="H25">
        <v>1</v>
      </c>
      <c r="M25" s="106">
        <v>1</v>
      </c>
      <c r="N25" s="106">
        <v>1</v>
      </c>
      <c r="O25" s="106">
        <v>1</v>
      </c>
      <c r="P25" s="106">
        <v>1</v>
      </c>
      <c r="Q25" s="106">
        <v>1</v>
      </c>
      <c r="R25" s="106">
        <v>1</v>
      </c>
      <c r="S25" s="106">
        <v>1</v>
      </c>
      <c r="T25" s="106">
        <v>1</v>
      </c>
      <c r="U25" s="106">
        <v>1</v>
      </c>
      <c r="V25" s="106">
        <v>1</v>
      </c>
      <c r="W25" s="106">
        <v>1</v>
      </c>
      <c r="X25" s="106">
        <v>1</v>
      </c>
      <c r="Y25" s="106">
        <v>1</v>
      </c>
      <c r="Z25" s="106">
        <v>1</v>
      </c>
      <c r="AA25" s="106">
        <v>1</v>
      </c>
      <c r="AB25" s="106">
        <v>1</v>
      </c>
      <c r="AC25" s="106">
        <v>1</v>
      </c>
      <c r="AD25" s="106">
        <v>1</v>
      </c>
      <c r="AE25" s="106">
        <v>1</v>
      </c>
      <c r="AF25" s="106">
        <v>1</v>
      </c>
      <c r="AG25" s="106">
        <v>1</v>
      </c>
      <c r="AH25" s="106">
        <v>1</v>
      </c>
      <c r="AI25" s="106">
        <v>1</v>
      </c>
      <c r="AJ25" s="106">
        <v>1</v>
      </c>
      <c r="AK25" s="106">
        <v>1</v>
      </c>
      <c r="AL25" s="106">
        <v>1</v>
      </c>
      <c r="AM25" s="106">
        <v>1</v>
      </c>
      <c r="AN25" s="106">
        <v>1</v>
      </c>
      <c r="AO25" s="106">
        <v>1</v>
      </c>
      <c r="AP25" s="106">
        <v>1</v>
      </c>
      <c r="AQ25" s="106">
        <v>1</v>
      </c>
      <c r="AR25" s="106">
        <v>1</v>
      </c>
      <c r="AS25" s="106">
        <v>1</v>
      </c>
      <c r="AT25" s="106">
        <v>1</v>
      </c>
      <c r="AU25" s="106">
        <v>1</v>
      </c>
    </row>
    <row r="26" spans="1:47" x14ac:dyDescent="0.2">
      <c r="A26" t="s">
        <v>198</v>
      </c>
      <c r="B26" t="s">
        <v>197</v>
      </c>
      <c r="C26" t="s">
        <v>214</v>
      </c>
      <c r="F26" t="s">
        <v>213</v>
      </c>
      <c r="H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row>
    <row r="27" spans="1:47" x14ac:dyDescent="0.2">
      <c r="A27" t="s">
        <v>198</v>
      </c>
      <c r="B27" t="s">
        <v>197</v>
      </c>
      <c r="C27" t="s">
        <v>232</v>
      </c>
      <c r="F27" t="s">
        <v>235</v>
      </c>
      <c r="H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row>
    <row r="28" spans="1:47" x14ac:dyDescent="0.2">
      <c r="A28" t="s">
        <v>198</v>
      </c>
      <c r="B28" t="s">
        <v>197</v>
      </c>
      <c r="C28" t="s">
        <v>231</v>
      </c>
      <c r="F28" t="s">
        <v>236</v>
      </c>
      <c r="H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row>
    <row r="29" spans="1:47" x14ac:dyDescent="0.2">
      <c r="A29" t="s">
        <v>198</v>
      </c>
      <c r="B29" t="s">
        <v>197</v>
      </c>
      <c r="C29" t="s">
        <v>215</v>
      </c>
      <c r="F29" t="s">
        <v>216</v>
      </c>
      <c r="H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row>
    <row r="30" spans="1:47" x14ac:dyDescent="0.2">
      <c r="A30" t="s">
        <v>198</v>
      </c>
      <c r="B30" t="s">
        <v>197</v>
      </c>
      <c r="C30" t="s">
        <v>217</v>
      </c>
      <c r="F30" t="s">
        <v>219</v>
      </c>
      <c r="H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row>
    <row r="31" spans="1:47" x14ac:dyDescent="0.2">
      <c r="A31" t="s">
        <v>198</v>
      </c>
      <c r="B31" t="s">
        <v>197</v>
      </c>
      <c r="C31" t="s">
        <v>218</v>
      </c>
      <c r="F31" t="s">
        <v>220</v>
      </c>
      <c r="H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row>
    <row r="32" spans="1:47" x14ac:dyDescent="0.2">
      <c r="A32" t="s">
        <v>198</v>
      </c>
      <c r="B32" t="s">
        <v>197</v>
      </c>
      <c r="C32" t="s">
        <v>221</v>
      </c>
      <c r="F32" t="s">
        <v>222</v>
      </c>
      <c r="H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row>
    <row r="33" spans="1:47" x14ac:dyDescent="0.2">
      <c r="A33" t="s">
        <v>198</v>
      </c>
      <c r="B33" t="s">
        <v>197</v>
      </c>
      <c r="C33" t="s">
        <v>227</v>
      </c>
      <c r="F33" t="s">
        <v>223</v>
      </c>
      <c r="H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row>
    <row r="34" spans="1:47" x14ac:dyDescent="0.2">
      <c r="A34" t="s">
        <v>198</v>
      </c>
      <c r="B34" t="s">
        <v>197</v>
      </c>
      <c r="C34" t="s">
        <v>239</v>
      </c>
      <c r="F34" t="s">
        <v>240</v>
      </c>
      <c r="H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row>
    <row r="35" spans="1:47" x14ac:dyDescent="0.2">
      <c r="A35" t="s">
        <v>198</v>
      </c>
      <c r="B35" t="s">
        <v>197</v>
      </c>
      <c r="C35" t="s">
        <v>228</v>
      </c>
      <c r="F35" t="s">
        <v>224</v>
      </c>
      <c r="H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row>
    <row r="36" spans="1:47" x14ac:dyDescent="0.2">
      <c r="A36" t="s">
        <v>198</v>
      </c>
      <c r="B36" t="s">
        <v>197</v>
      </c>
      <c r="C36" t="s">
        <v>229</v>
      </c>
      <c r="F36" t="s">
        <v>225</v>
      </c>
      <c r="H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row>
    <row r="37" spans="1:47" x14ac:dyDescent="0.2">
      <c r="A37" t="s">
        <v>198</v>
      </c>
      <c r="B37" t="s">
        <v>197</v>
      </c>
      <c r="C37" t="s">
        <v>230</v>
      </c>
      <c r="F37" t="s">
        <v>226</v>
      </c>
      <c r="H37">
        <v>1</v>
      </c>
      <c r="M37">
        <v>1</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row>
    <row r="38" spans="1:47" x14ac:dyDescent="0.2">
      <c r="A38" t="s">
        <v>198</v>
      </c>
      <c r="B38" t="s">
        <v>197</v>
      </c>
      <c r="C38" t="s">
        <v>233</v>
      </c>
      <c r="F38" t="s">
        <v>237</v>
      </c>
      <c r="H38">
        <v>1</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row>
    <row r="39" spans="1:47" x14ac:dyDescent="0.2">
      <c r="A39" t="s">
        <v>198</v>
      </c>
      <c r="B39" t="s">
        <v>197</v>
      </c>
      <c r="C39" t="s">
        <v>234</v>
      </c>
      <c r="F39" t="s">
        <v>238</v>
      </c>
      <c r="H39">
        <v>1</v>
      </c>
      <c r="M39">
        <v>1</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row>
    <row r="245" spans="48:48" x14ac:dyDescent="0.2">
      <c r="AV245" s="67"/>
    </row>
    <row r="246" spans="48:48" x14ac:dyDescent="0.2">
      <c r="AV246" s="67"/>
    </row>
    <row r="247" spans="48:48" x14ac:dyDescent="0.2">
      <c r="AV247" s="67"/>
    </row>
    <row r="248" spans="48:48" x14ac:dyDescent="0.2">
      <c r="AV248" s="67"/>
    </row>
    <row r="249" spans="48:48" x14ac:dyDescent="0.2">
      <c r="AV249" s="67"/>
    </row>
    <row r="250" spans="48:48" x14ac:dyDescent="0.2">
      <c r="AV250" s="67"/>
    </row>
    <row r="251" spans="48:48" x14ac:dyDescent="0.2">
      <c r="AV251" s="67"/>
    </row>
    <row r="252" spans="48:48" x14ac:dyDescent="0.2">
      <c r="AV252" s="67"/>
    </row>
    <row r="253" spans="48:48" x14ac:dyDescent="0.2">
      <c r="AV253" s="67"/>
    </row>
    <row r="254" spans="48:48" x14ac:dyDescent="0.2">
      <c r="AV254" s="67"/>
    </row>
    <row r="255" spans="48:48" x14ac:dyDescent="0.2">
      <c r="AV255" s="67"/>
    </row>
    <row r="256" spans="48:48" x14ac:dyDescent="0.2">
      <c r="AV256" s="67"/>
    </row>
    <row r="257" spans="48:48" x14ac:dyDescent="0.2">
      <c r="AV257" s="67"/>
    </row>
    <row r="258" spans="48:48" x14ac:dyDescent="0.2">
      <c r="AV258" s="67"/>
    </row>
    <row r="259" spans="48:48" x14ac:dyDescent="0.2">
      <c r="AV259" s="67"/>
    </row>
    <row r="260" spans="48:48" x14ac:dyDescent="0.2">
      <c r="AV260" s="67"/>
    </row>
    <row r="261" spans="48:48" x14ac:dyDescent="0.2">
      <c r="AV261" s="67"/>
    </row>
    <row r="262" spans="48:48" x14ac:dyDescent="0.2">
      <c r="AV262" s="67"/>
    </row>
    <row r="263" spans="48:48" x14ac:dyDescent="0.2">
      <c r="AV263" s="67"/>
    </row>
    <row r="264" spans="48:48" x14ac:dyDescent="0.2">
      <c r="AV264" s="67"/>
    </row>
    <row r="265" spans="48:48" x14ac:dyDescent="0.2">
      <c r="AV265" s="67"/>
    </row>
    <row r="266" spans="48:48" x14ac:dyDescent="0.2">
      <c r="AV266" s="67"/>
    </row>
    <row r="267" spans="48:48" x14ac:dyDescent="0.2">
      <c r="AV267" s="67"/>
    </row>
    <row r="268" spans="48:48" ht="16" thickBot="1" x14ac:dyDescent="0.25">
      <c r="AV268" s="67"/>
    </row>
    <row r="269" spans="48:48" x14ac:dyDescent="0.2">
      <c r="AV269" s="65"/>
    </row>
    <row r="270" spans="48:48" x14ac:dyDescent="0.2">
      <c r="AV270" s="67"/>
    </row>
    <row r="271" spans="48:48" x14ac:dyDescent="0.2">
      <c r="AV271" s="67"/>
    </row>
    <row r="272" spans="48:48" x14ac:dyDescent="0.2">
      <c r="AV272" s="67"/>
    </row>
    <row r="273" spans="48:48" x14ac:dyDescent="0.2">
      <c r="AV273" s="67"/>
    </row>
    <row r="274" spans="48:48" x14ac:dyDescent="0.2">
      <c r="AV274" s="67"/>
    </row>
    <row r="275" spans="48:48" x14ac:dyDescent="0.2">
      <c r="AV275" s="67"/>
    </row>
    <row r="276" spans="48:48" x14ac:dyDescent="0.2">
      <c r="AV276" s="67"/>
    </row>
    <row r="277" spans="48:48" x14ac:dyDescent="0.2">
      <c r="AV277" s="67"/>
    </row>
    <row r="278" spans="48:48" x14ac:dyDescent="0.2">
      <c r="AV278" s="67"/>
    </row>
    <row r="279" spans="48:48" x14ac:dyDescent="0.2">
      <c r="AV279" s="67"/>
    </row>
    <row r="280" spans="48:48" x14ac:dyDescent="0.2">
      <c r="AV280" s="67"/>
    </row>
    <row r="281" spans="48:48" x14ac:dyDescent="0.2">
      <c r="AV281" s="67"/>
    </row>
    <row r="282" spans="48:48" x14ac:dyDescent="0.2">
      <c r="AV282" s="67"/>
    </row>
    <row r="283" spans="48:48" x14ac:dyDescent="0.2">
      <c r="AV283" s="67"/>
    </row>
    <row r="284" spans="48:48" x14ac:dyDescent="0.2">
      <c r="AV284" s="67"/>
    </row>
    <row r="285" spans="48:48" x14ac:dyDescent="0.2">
      <c r="AV285" s="67"/>
    </row>
    <row r="286" spans="48:48" x14ac:dyDescent="0.2">
      <c r="AV286" s="67"/>
    </row>
    <row r="287" spans="48:48" x14ac:dyDescent="0.2">
      <c r="AV287" s="67"/>
    </row>
    <row r="288" spans="48:48" x14ac:dyDescent="0.2">
      <c r="AV288" s="67"/>
    </row>
    <row r="289" spans="48:48" x14ac:dyDescent="0.2">
      <c r="AV289" s="67"/>
    </row>
    <row r="290" spans="48:48" x14ac:dyDescent="0.2">
      <c r="AV290" s="67"/>
    </row>
    <row r="291" spans="48:48" x14ac:dyDescent="0.2">
      <c r="AV291" s="67"/>
    </row>
    <row r="292" spans="48:48" x14ac:dyDescent="0.2">
      <c r="AV292" s="67"/>
    </row>
    <row r="293" spans="48:48" x14ac:dyDescent="0.2">
      <c r="AV293" s="67"/>
    </row>
    <row r="294" spans="48:48" x14ac:dyDescent="0.2">
      <c r="AV294" s="67"/>
    </row>
    <row r="295" spans="48:48" x14ac:dyDescent="0.2">
      <c r="AV295" s="67"/>
    </row>
    <row r="296" spans="48:48" x14ac:dyDescent="0.2">
      <c r="AV296" s="67"/>
    </row>
    <row r="297" spans="48:48" x14ac:dyDescent="0.2">
      <c r="AV297" s="67"/>
    </row>
    <row r="298" spans="48:48" x14ac:dyDescent="0.2">
      <c r="AV298" s="67"/>
    </row>
    <row r="299" spans="48:48" x14ac:dyDescent="0.2">
      <c r="AV299" s="67"/>
    </row>
    <row r="300" spans="48:48" x14ac:dyDescent="0.2">
      <c r="AV300" s="67"/>
    </row>
    <row r="301" spans="48:48" x14ac:dyDescent="0.2">
      <c r="AV301" s="67"/>
    </row>
    <row r="302" spans="48:48" x14ac:dyDescent="0.2">
      <c r="AV302" s="67"/>
    </row>
    <row r="303" spans="48:48" x14ac:dyDescent="0.2">
      <c r="AV303" s="67"/>
    </row>
    <row r="304" spans="48:48" x14ac:dyDescent="0.2">
      <c r="AV304" s="67"/>
    </row>
    <row r="305" spans="48:48" x14ac:dyDescent="0.2">
      <c r="AV305" s="67"/>
    </row>
    <row r="306" spans="48:48" x14ac:dyDescent="0.2">
      <c r="AV306" s="67"/>
    </row>
    <row r="307" spans="48:48" x14ac:dyDescent="0.2">
      <c r="AV307" s="67"/>
    </row>
    <row r="308" spans="48:48" x14ac:dyDescent="0.2">
      <c r="AV308" s="67"/>
    </row>
    <row r="309" spans="48:48" x14ac:dyDescent="0.2">
      <c r="AV309" s="67"/>
    </row>
    <row r="310" spans="48:48" x14ac:dyDescent="0.2">
      <c r="AV310" s="67"/>
    </row>
    <row r="311" spans="48:48" ht="16" thickBot="1" x14ac:dyDescent="0.25">
      <c r="AV311" s="95"/>
    </row>
    <row r="312" spans="48:48" x14ac:dyDescent="0.2">
      <c r="AV312" s="65"/>
    </row>
    <row r="313" spans="48:48" x14ac:dyDescent="0.2">
      <c r="AV313" s="67"/>
    </row>
    <row r="314" spans="48:48" x14ac:dyDescent="0.2">
      <c r="AV314" s="67"/>
    </row>
    <row r="315" spans="48:48" x14ac:dyDescent="0.2">
      <c r="AV315" s="67"/>
    </row>
    <row r="316" spans="48:48" x14ac:dyDescent="0.2">
      <c r="AV316" s="67"/>
    </row>
    <row r="317" spans="48:48" x14ac:dyDescent="0.2">
      <c r="AV317" s="67"/>
    </row>
    <row r="318" spans="48:48" x14ac:dyDescent="0.2">
      <c r="AV318" s="67"/>
    </row>
    <row r="319" spans="48:48" x14ac:dyDescent="0.2">
      <c r="AV319" s="67"/>
    </row>
    <row r="320" spans="48:48" x14ac:dyDescent="0.2">
      <c r="AV320" s="67"/>
    </row>
    <row r="321" spans="48:48" x14ac:dyDescent="0.2">
      <c r="AV321" s="67"/>
    </row>
    <row r="322" spans="48:48" x14ac:dyDescent="0.2">
      <c r="AV322" s="67"/>
    </row>
    <row r="323" spans="48:48" ht="16" thickBot="1" x14ac:dyDescent="0.25">
      <c r="AV323" s="95"/>
    </row>
  </sheetData>
  <phoneticPr fontId="11" type="noConversion"/>
  <hyperlinks>
    <hyperlink ref="A1" location="Content!A1" display="Back to table of contents" xr:uid="{00000000-0004-0000-0800-000000000000}"/>
    <hyperlink ref="B1" location="Parameters!A1" display="Parameters List" xr:uid="{00000000-0004-0000-08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V17"/>
  <sheetViews>
    <sheetView topLeftCell="I1" zoomScale="136" zoomScaleNormal="85" workbookViewId="0">
      <selection activeCell="M5" sqref="M5:AU17"/>
    </sheetView>
  </sheetViews>
  <sheetFormatPr baseColWidth="10" defaultColWidth="11.5" defaultRowHeight="15" x14ac:dyDescent="0.2"/>
  <cols>
    <col min="1" max="1" width="15.6640625" bestFit="1" customWidth="1"/>
    <col min="6" max="6" width="21.5" bestFit="1" customWidth="1"/>
  </cols>
  <sheetData>
    <row r="1" spans="1:48" ht="16" thickBot="1" x14ac:dyDescent="0.25">
      <c r="A1" s="68" t="s">
        <v>174</v>
      </c>
      <c r="B1" s="69" t="s">
        <v>175</v>
      </c>
      <c r="C1" s="69"/>
    </row>
    <row r="2" spans="1:48" ht="16" thickBot="1" x14ac:dyDescent="0.25">
      <c r="A2" s="76" t="s">
        <v>111</v>
      </c>
      <c r="B2" s="75" t="s">
        <v>131</v>
      </c>
      <c r="C2" s="75" t="s">
        <v>116</v>
      </c>
      <c r="D2" s="75" t="s">
        <v>134</v>
      </c>
      <c r="E2" s="75" t="s">
        <v>137</v>
      </c>
      <c r="F2" s="75" t="s">
        <v>125</v>
      </c>
      <c r="G2" s="75" t="s">
        <v>143</v>
      </c>
      <c r="H2" s="75" t="s">
        <v>128</v>
      </c>
      <c r="I2" s="75" t="s">
        <v>119</v>
      </c>
      <c r="J2" s="75" t="s">
        <v>140</v>
      </c>
      <c r="K2" s="75" t="s">
        <v>122</v>
      </c>
      <c r="L2" s="75" t="s">
        <v>131</v>
      </c>
      <c r="M2" s="75">
        <v>2016</v>
      </c>
      <c r="N2" s="75">
        <v>2017</v>
      </c>
      <c r="O2" s="75">
        <v>2018</v>
      </c>
      <c r="P2" s="75">
        <v>2019</v>
      </c>
      <c r="Q2" s="75">
        <v>2020</v>
      </c>
      <c r="R2" s="75">
        <v>2021</v>
      </c>
      <c r="S2" s="75">
        <v>2022</v>
      </c>
      <c r="T2" s="75">
        <v>2023</v>
      </c>
      <c r="U2" s="75">
        <v>2024</v>
      </c>
      <c r="V2" s="75">
        <v>2025</v>
      </c>
      <c r="W2" s="75">
        <v>2026</v>
      </c>
      <c r="X2" s="75">
        <v>2027</v>
      </c>
      <c r="Y2" s="75">
        <v>2028</v>
      </c>
      <c r="Z2" s="75">
        <v>2029</v>
      </c>
      <c r="AA2" s="75">
        <v>2030</v>
      </c>
      <c r="AB2" s="75">
        <v>2031</v>
      </c>
      <c r="AC2" s="75">
        <v>2032</v>
      </c>
      <c r="AD2" s="75">
        <v>2033</v>
      </c>
      <c r="AE2" s="75">
        <v>2034</v>
      </c>
      <c r="AF2" s="75">
        <v>2035</v>
      </c>
      <c r="AG2" s="75">
        <v>2036</v>
      </c>
      <c r="AH2" s="75">
        <v>2037</v>
      </c>
      <c r="AI2" s="75">
        <v>2038</v>
      </c>
      <c r="AJ2" s="75">
        <v>2039</v>
      </c>
      <c r="AK2" s="75">
        <v>2040</v>
      </c>
      <c r="AL2" s="75">
        <v>2041</v>
      </c>
      <c r="AM2" s="75">
        <v>2042</v>
      </c>
      <c r="AN2" s="75">
        <v>2043</v>
      </c>
      <c r="AO2" s="75">
        <v>2044</v>
      </c>
      <c r="AP2" s="75">
        <v>2045</v>
      </c>
      <c r="AQ2" s="75">
        <v>2046</v>
      </c>
      <c r="AR2" s="75">
        <v>2047</v>
      </c>
      <c r="AS2" s="75">
        <v>2048</v>
      </c>
      <c r="AT2" s="75">
        <v>2049</v>
      </c>
      <c r="AU2" s="75">
        <v>2050</v>
      </c>
      <c r="AV2" s="77" t="s">
        <v>170</v>
      </c>
    </row>
    <row r="3" spans="1:48" x14ac:dyDescent="0.2">
      <c r="A3" t="s">
        <v>209</v>
      </c>
      <c r="B3" t="s">
        <v>197</v>
      </c>
      <c r="F3" t="s">
        <v>208</v>
      </c>
      <c r="M3">
        <v>-2627.6590800636659</v>
      </c>
      <c r="N3">
        <v>-2728.5849974821463</v>
      </c>
      <c r="O3">
        <v>-2831.0456075122233</v>
      </c>
      <c r="P3">
        <v>-2916.7255413118523</v>
      </c>
      <c r="Q3">
        <v>-3004.227307551208</v>
      </c>
      <c r="R3">
        <v>-3094.3541267777441</v>
      </c>
      <c r="S3">
        <v>-3187.1847505810765</v>
      </c>
      <c r="T3">
        <v>-3282.800293098509</v>
      </c>
      <c r="U3">
        <v>-3381.2843018914641</v>
      </c>
      <c r="V3">
        <v>-3482.722830948208</v>
      </c>
      <c r="W3">
        <v>-3587.2045158766541</v>
      </c>
      <c r="X3">
        <v>-3694.820651352954</v>
      </c>
      <c r="Y3">
        <v>-3805.6652708935426</v>
      </c>
      <c r="Z3">
        <v>-3919.8352290203488</v>
      </c>
      <c r="AA3">
        <v>-4037.4302858909596</v>
      </c>
      <c r="AB3">
        <v>-4158.5531944676886</v>
      </c>
      <c r="AC3">
        <v>-4283.3097903017197</v>
      </c>
      <c r="AD3">
        <v>-4411.8090840107716</v>
      </c>
      <c r="AE3">
        <v>-4544.1633565310949</v>
      </c>
      <c r="AF3">
        <v>-4680.488257227028</v>
      </c>
      <c r="AG3">
        <v>-4820.9029049438386</v>
      </c>
      <c r="AH3">
        <v>-4965.5299920921543</v>
      </c>
      <c r="AI3">
        <v>-5114.4958918549191</v>
      </c>
      <c r="AJ3">
        <v>-5267.9307686105667</v>
      </c>
      <c r="AK3">
        <v>-5425.9686916688843</v>
      </c>
      <c r="AL3">
        <v>-5588.7477524189508</v>
      </c>
      <c r="AM3">
        <v>-5756.4101849915196</v>
      </c>
      <c r="AN3">
        <v>-5929.1024905412651</v>
      </c>
      <c r="AO3">
        <v>-6106.9755652575031</v>
      </c>
      <c r="AP3">
        <v>-6290.1848322152282</v>
      </c>
      <c r="AQ3">
        <v>-6478.8903771816849</v>
      </c>
      <c r="AR3">
        <v>-6673.2570884971356</v>
      </c>
      <c r="AS3">
        <v>-6873.4548011520501</v>
      </c>
      <c r="AT3">
        <v>-7079.658445186612</v>
      </c>
      <c r="AU3">
        <v>-7292.0481985422102</v>
      </c>
    </row>
    <row r="4" spans="1:48" x14ac:dyDescent="0.2">
      <c r="A4" t="s">
        <v>209</v>
      </c>
      <c r="B4" t="s">
        <v>197</v>
      </c>
      <c r="F4" t="s">
        <v>213</v>
      </c>
      <c r="M4">
        <v>2500</v>
      </c>
      <c r="N4">
        <v>2590.4794766977579</v>
      </c>
      <c r="O4">
        <v>2666.5758069588956</v>
      </c>
      <c r="P4">
        <v>2746.5730811676626</v>
      </c>
      <c r="Q4">
        <v>2828.9702736026925</v>
      </c>
      <c r="R4">
        <v>2913.8393818107734</v>
      </c>
      <c r="S4">
        <v>3001.2545632650967</v>
      </c>
      <c r="T4">
        <v>3091.2922001630495</v>
      </c>
      <c r="U4">
        <v>3184.0309661679412</v>
      </c>
      <c r="V4">
        <v>3279.5518951529793</v>
      </c>
      <c r="W4">
        <v>3377.9384520075687</v>
      </c>
      <c r="X4">
        <v>3479.2766055677957</v>
      </c>
      <c r="Y4">
        <v>3583.6549037348295</v>
      </c>
      <c r="Z4">
        <v>3691.1645508468746</v>
      </c>
      <c r="AA4">
        <v>3801.8994873722809</v>
      </c>
      <c r="AB4">
        <v>3915.9564719934492</v>
      </c>
      <c r="AC4">
        <v>4033.4351661532528</v>
      </c>
      <c r="AD4">
        <v>4154.4382211378506</v>
      </c>
      <c r="AE4">
        <v>4279.0713677719859</v>
      </c>
      <c r="AF4">
        <v>4407.4435088051459</v>
      </c>
      <c r="AG4">
        <v>4539.6668140693</v>
      </c>
      <c r="AH4">
        <v>4675.8568184913793</v>
      </c>
      <c r="AI4">
        <v>4816.1325230461207</v>
      </c>
      <c r="AJ4">
        <v>4960.6164987375041</v>
      </c>
      <c r="AK4">
        <v>5109.4349936996296</v>
      </c>
      <c r="AL4">
        <v>5262.7180435106184</v>
      </c>
      <c r="AM4">
        <v>5420.5995848159373</v>
      </c>
      <c r="AN4">
        <v>5583.2175723604159</v>
      </c>
      <c r="AO4">
        <v>5750.7140995312284</v>
      </c>
      <c r="AP4">
        <v>5923.235522517165</v>
      </c>
      <c r="AQ4">
        <v>6100.9325881926798</v>
      </c>
      <c r="AR4">
        <v>6283.9605658384608</v>
      </c>
      <c r="AS4">
        <v>6472.4793828136144</v>
      </c>
      <c r="AT4">
        <v>6666.6537642980229</v>
      </c>
      <c r="AU4">
        <v>6866.653377226964</v>
      </c>
    </row>
    <row r="5" spans="1:48" x14ac:dyDescent="0.2">
      <c r="A5" t="s">
        <v>209</v>
      </c>
      <c r="B5" t="s">
        <v>197</v>
      </c>
      <c r="F5" t="s">
        <v>235</v>
      </c>
      <c r="M5">
        <v>-5.6911780286488822</v>
      </c>
      <c r="N5">
        <v>-5.9757369300813261</v>
      </c>
      <c r="O5">
        <v>-6.2745237765853927</v>
      </c>
      <c r="P5">
        <v>-6.588249965414664</v>
      </c>
      <c r="Q5">
        <v>-6.9176624636853967</v>
      </c>
      <c r="R5">
        <v>-7.2635455868696672</v>
      </c>
      <c r="S5">
        <v>-7.626722866213151</v>
      </c>
      <c r="T5">
        <v>-8.0080590095238087</v>
      </c>
      <c r="U5">
        <v>-8.4084619600000003</v>
      </c>
      <c r="V5" s="78">
        <v>-8.8288850580000009</v>
      </c>
      <c r="W5" s="78">
        <v>-9.2703293109000011</v>
      </c>
      <c r="X5" s="78">
        <v>-9.7338457764450013</v>
      </c>
      <c r="Y5" s="78">
        <v>-10.220538065267252</v>
      </c>
      <c r="Z5" s="78">
        <v>-10.731564968530616</v>
      </c>
      <c r="AA5" s="78">
        <v>-11.268143216957146</v>
      </c>
      <c r="AB5" s="78">
        <v>-11.831550377805005</v>
      </c>
      <c r="AC5" s="78">
        <v>-12.423127896695256</v>
      </c>
      <c r="AD5" s="78">
        <v>-13.044284291530021</v>
      </c>
      <c r="AE5" s="78">
        <v>-13.696498506106522</v>
      </c>
      <c r="AF5" s="78">
        <v>-14.381323431411847</v>
      </c>
      <c r="AG5" s="78">
        <v>-15.100389602982441</v>
      </c>
      <c r="AH5" s="78">
        <v>-15.855409083131564</v>
      </c>
      <c r="AI5" s="78">
        <v>-16.64817953728814</v>
      </c>
      <c r="AJ5" s="78">
        <v>-17.480588514152551</v>
      </c>
      <c r="AK5" s="78">
        <v>-18.354617939860177</v>
      </c>
      <c r="AL5" s="78">
        <v>-19.272348836853187</v>
      </c>
      <c r="AM5" s="78">
        <v>-20.235966278695848</v>
      </c>
      <c r="AN5" s="78">
        <v>-21.247764592630638</v>
      </c>
      <c r="AO5" s="78">
        <v>-22.310152822262172</v>
      </c>
      <c r="AP5" s="78">
        <v>-23.42566046337528</v>
      </c>
      <c r="AQ5" s="78">
        <v>-24.596943486544045</v>
      </c>
      <c r="AR5" s="78">
        <v>-25.82679066087125</v>
      </c>
      <c r="AS5" s="78">
        <v>-27.118130193914812</v>
      </c>
      <c r="AT5" s="78">
        <v>-28.474036703610555</v>
      </c>
      <c r="AU5" s="78">
        <v>-29.897738538791081</v>
      </c>
    </row>
    <row r="6" spans="1:48" x14ac:dyDescent="0.2">
      <c r="A6" t="s">
        <v>209</v>
      </c>
      <c r="B6" t="s">
        <v>197</v>
      </c>
      <c r="F6" t="s">
        <v>236</v>
      </c>
      <c r="M6">
        <v>0</v>
      </c>
      <c r="N6">
        <v>0</v>
      </c>
      <c r="O6">
        <v>0</v>
      </c>
      <c r="P6">
        <v>0</v>
      </c>
      <c r="Q6">
        <v>0</v>
      </c>
      <c r="R6">
        <v>0</v>
      </c>
      <c r="S6">
        <v>0</v>
      </c>
      <c r="T6">
        <v>0</v>
      </c>
      <c r="U6">
        <v>0</v>
      </c>
      <c r="V6" s="78">
        <v>0</v>
      </c>
      <c r="W6" s="78">
        <v>0</v>
      </c>
      <c r="X6" s="78">
        <v>0</v>
      </c>
      <c r="Y6" s="78">
        <v>0</v>
      </c>
      <c r="Z6" s="78">
        <v>0</v>
      </c>
      <c r="AA6" s="78">
        <v>0</v>
      </c>
      <c r="AB6" s="78">
        <v>0</v>
      </c>
      <c r="AC6" s="78">
        <v>0</v>
      </c>
      <c r="AD6" s="78">
        <v>0</v>
      </c>
      <c r="AE6" s="78">
        <v>0</v>
      </c>
      <c r="AF6" s="78">
        <v>0</v>
      </c>
      <c r="AG6" s="78">
        <v>0</v>
      </c>
      <c r="AH6" s="78">
        <v>0</v>
      </c>
      <c r="AI6" s="78">
        <v>0</v>
      </c>
      <c r="AJ6" s="78">
        <v>0</v>
      </c>
      <c r="AK6" s="78">
        <v>0</v>
      </c>
      <c r="AL6" s="78">
        <v>0</v>
      </c>
      <c r="AM6" s="78">
        <v>0</v>
      </c>
      <c r="AN6" s="78">
        <v>0</v>
      </c>
      <c r="AO6" s="78">
        <v>0</v>
      </c>
      <c r="AP6" s="78">
        <v>0</v>
      </c>
      <c r="AQ6" s="78">
        <v>0</v>
      </c>
      <c r="AR6" s="78">
        <v>0</v>
      </c>
      <c r="AS6" s="78">
        <v>0</v>
      </c>
      <c r="AT6" s="78">
        <v>0</v>
      </c>
      <c r="AU6" s="78">
        <v>0</v>
      </c>
    </row>
    <row r="7" spans="1:48" x14ac:dyDescent="0.2">
      <c r="A7" t="s">
        <v>209</v>
      </c>
      <c r="B7" t="s">
        <v>197</v>
      </c>
      <c r="F7" t="s">
        <v>216</v>
      </c>
      <c r="M7">
        <v>194.58960618920551</v>
      </c>
      <c r="N7">
        <v>195.12904003640304</v>
      </c>
      <c r="O7">
        <v>196.00112513306382</v>
      </c>
      <c r="P7">
        <v>196.99647888124633</v>
      </c>
      <c r="Q7">
        <v>197.86214419821835</v>
      </c>
      <c r="R7">
        <v>198.72774856725647</v>
      </c>
      <c r="S7">
        <v>199.59329199479745</v>
      </c>
      <c r="T7">
        <v>200.4983320904166</v>
      </c>
      <c r="U7">
        <v>201.40747601921819</v>
      </c>
      <c r="V7">
        <v>202.32074238971123</v>
      </c>
      <c r="W7">
        <v>203.23814989478362</v>
      </c>
      <c r="X7">
        <v>204.15971731208455</v>
      </c>
      <c r="Y7">
        <v>205.08546350440915</v>
      </c>
      <c r="Z7">
        <v>206.01540742008427</v>
      </c>
      <c r="AA7">
        <v>206.94956809335656</v>
      </c>
      <c r="AB7">
        <v>207.88796464478193</v>
      </c>
      <c r="AC7">
        <v>208.83061628161693</v>
      </c>
      <c r="AD7">
        <v>209.77754229821196</v>
      </c>
      <c r="AE7">
        <v>210.7287620764061</v>
      </c>
      <c r="AF7">
        <v>211.68429508592382</v>
      </c>
      <c r="AG7">
        <v>212.64416088477358</v>
      </c>
      <c r="AH7">
        <v>213.60837911964805</v>
      </c>
      <c r="AI7">
        <v>214.57696952632634</v>
      </c>
      <c r="AJ7">
        <v>215.54995193007784</v>
      </c>
      <c r="AK7">
        <v>216.52734624606816</v>
      </c>
      <c r="AL7">
        <v>217.50917247976648</v>
      </c>
      <c r="AM7">
        <v>218.49545072735535</v>
      </c>
      <c r="AN7">
        <v>219.48620117614195</v>
      </c>
      <c r="AO7">
        <v>220.48144410497102</v>
      </c>
      <c r="AP7">
        <v>221.48119988464032</v>
      </c>
      <c r="AQ7">
        <v>222.48548897831719</v>
      </c>
      <c r="AR7">
        <v>223.4943319419578</v>
      </c>
      <c r="AS7">
        <v>224.50774942472754</v>
      </c>
      <c r="AT7">
        <v>225.52576216942384</v>
      </c>
      <c r="AU7">
        <v>226.54839101290077</v>
      </c>
    </row>
    <row r="8" spans="1:48" x14ac:dyDescent="0.2">
      <c r="A8" t="s">
        <v>209</v>
      </c>
      <c r="B8" t="s">
        <v>197</v>
      </c>
      <c r="F8" t="s">
        <v>219</v>
      </c>
      <c r="M8">
        <v>179.45933652611998</v>
      </c>
      <c r="N8">
        <v>209.36922594713997</v>
      </c>
      <c r="O8">
        <v>239.27911536815998</v>
      </c>
      <c r="P8">
        <v>269.18900478917999</v>
      </c>
      <c r="Q8">
        <v>299.0988942102</v>
      </c>
      <c r="R8">
        <v>306.11784796063074</v>
      </c>
      <c r="S8">
        <v>313.10774290096379</v>
      </c>
      <c r="T8">
        <v>320.05904790110804</v>
      </c>
      <c r="U8">
        <v>326.9620814462391</v>
      </c>
      <c r="V8">
        <v>334.01399961887165</v>
      </c>
      <c r="W8">
        <v>341.21801356265144</v>
      </c>
      <c r="X8">
        <v>348.57740367917074</v>
      </c>
      <c r="Y8">
        <v>356.09552112172304</v>
      </c>
      <c r="Z8">
        <v>363.77578932127642</v>
      </c>
      <c r="AA8">
        <v>371.62170554535771</v>
      </c>
      <c r="AB8">
        <v>379.63684249055996</v>
      </c>
      <c r="AC8">
        <v>387.82484990939633</v>
      </c>
      <c r="AD8">
        <v>396.18945627224224</v>
      </c>
      <c r="AE8">
        <v>404.734470465122</v>
      </c>
      <c r="AF8">
        <v>413.46378352411375</v>
      </c>
      <c r="AG8">
        <v>422.38137040716185</v>
      </c>
      <c r="AH8">
        <v>431.49129180410353</v>
      </c>
      <c r="AI8">
        <v>440.79769598573444</v>
      </c>
      <c r="AJ8">
        <v>450.30482069275473</v>
      </c>
      <c r="AK8">
        <v>460.01699506545611</v>
      </c>
      <c r="AL8">
        <v>469.93864161502785</v>
      </c>
      <c r="AM8">
        <v>480.07427823738078</v>
      </c>
      <c r="AN8">
        <v>490.4285202704047</v>
      </c>
      <c r="AO8">
        <v>501.00608259559675</v>
      </c>
      <c r="AP8">
        <v>511.81178178501864</v>
      </c>
      <c r="AQ8">
        <v>522.85053829455796</v>
      </c>
      <c r="AR8">
        <v>534.12737870449496</v>
      </c>
      <c r="AS8">
        <v>545.64743800839369</v>
      </c>
      <c r="AT8">
        <v>557.41596195135867</v>
      </c>
      <c r="AU8">
        <v>569.43830941872545</v>
      </c>
    </row>
    <row r="9" spans="1:48" x14ac:dyDescent="0.2">
      <c r="A9" t="s">
        <v>209</v>
      </c>
      <c r="B9" t="s">
        <v>197</v>
      </c>
      <c r="F9" t="s">
        <v>220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row>
    <row r="10" spans="1:48" x14ac:dyDescent="0.2">
      <c r="A10" t="s">
        <v>209</v>
      </c>
      <c r="B10" t="s">
        <v>197</v>
      </c>
      <c r="F10" t="s">
        <v>222</v>
      </c>
      <c r="M10">
        <v>32.228155297280054</v>
      </c>
      <c r="N10">
        <v>35.763181332480059</v>
      </c>
      <c r="O10">
        <v>37.896983224320067</v>
      </c>
      <c r="P10">
        <v>41.698734496000071</v>
      </c>
      <c r="Q10">
        <v>45.678302592000065</v>
      </c>
      <c r="R10">
        <v>47.435160384000078</v>
      </c>
      <c r="S10">
        <v>49.192018176000083</v>
      </c>
      <c r="T10">
        <v>50.948875968000074</v>
      </c>
      <c r="U10">
        <v>52.705733760000079</v>
      </c>
      <c r="V10">
        <v>54.286905772800083</v>
      </c>
      <c r="W10">
        <v>55.915512945984091</v>
      </c>
      <c r="X10">
        <v>57.592978334363607</v>
      </c>
      <c r="Y10">
        <v>59.320767684394518</v>
      </c>
      <c r="Z10">
        <v>61.100390714926348</v>
      </c>
      <c r="AA10">
        <v>62.933402436374145</v>
      </c>
      <c r="AB10">
        <v>64.821404509465367</v>
      </c>
      <c r="AC10">
        <v>66.766046644749323</v>
      </c>
      <c r="AD10">
        <v>68.769028044091826</v>
      </c>
      <c r="AE10">
        <v>70.832098885414567</v>
      </c>
      <c r="AF10">
        <v>71.894580368695785</v>
      </c>
      <c r="AG10">
        <v>72.972999074226209</v>
      </c>
      <c r="AH10">
        <v>74.067594060339601</v>
      </c>
      <c r="AI10">
        <v>75.178607971244688</v>
      </c>
      <c r="AJ10">
        <v>76.306287090813356</v>
      </c>
      <c r="AK10">
        <v>77.45088139717555</v>
      </c>
      <c r="AL10">
        <v>78.612644618133174</v>
      </c>
      <c r="AM10">
        <v>79.791834287405166</v>
      </c>
      <c r="AN10">
        <v>80.988711801716235</v>
      </c>
      <c r="AO10">
        <v>82.20354247874198</v>
      </c>
      <c r="AP10">
        <v>83.436595615923096</v>
      </c>
      <c r="AQ10">
        <v>84.688144550161923</v>
      </c>
      <c r="AR10">
        <v>85.958466718414357</v>
      </c>
      <c r="AS10">
        <v>87.247843719190556</v>
      </c>
      <c r="AT10">
        <v>88.556561374978386</v>
      </c>
      <c r="AU10">
        <v>89.884909795603065</v>
      </c>
    </row>
    <row r="11" spans="1:48" x14ac:dyDescent="0.2">
      <c r="A11" t="s">
        <v>209</v>
      </c>
      <c r="B11" t="s">
        <v>197</v>
      </c>
      <c r="F11" t="s">
        <v>223</v>
      </c>
      <c r="M11">
        <v>47.413718902857148</v>
      </c>
      <c r="N11">
        <v>50.080668397142858</v>
      </c>
      <c r="O11">
        <v>52.747617891428568</v>
      </c>
      <c r="P11">
        <v>55.414567385714285</v>
      </c>
      <c r="Q11">
        <v>58.081516879999995</v>
      </c>
      <c r="R11">
        <v>60.876819259467744</v>
      </c>
      <c r="S11">
        <v>63.80665179262968</v>
      </c>
      <c r="T11">
        <v>66.877489042805294</v>
      </c>
      <c r="U11">
        <v>70.096117176096243</v>
      </c>
      <c r="V11">
        <v>73.469648957964409</v>
      </c>
      <c r="W11">
        <v>77.005539471553519</v>
      </c>
      <c r="X11">
        <v>80.711602592490223</v>
      </c>
      <c r="Y11">
        <v>84.596028256571515</v>
      </c>
      <c r="Z11">
        <v>88.66740055849813</v>
      </c>
      <c r="AA11">
        <v>92.934716721649792</v>
      </c>
      <c r="AB11">
        <v>97.40740698082314</v>
      </c>
      <c r="AC11">
        <v>102.09535542187078</v>
      </c>
      <c r="AD11">
        <v>107.00892182429426</v>
      </c>
      <c r="AE11">
        <v>112.15896455506062</v>
      </c>
      <c r="AF11">
        <v>117.55686456423476</v>
      </c>
      <c r="AG11">
        <v>123.2145505354551</v>
      </c>
      <c r="AH11">
        <v>129.14452524683193</v>
      </c>
      <c r="AI11">
        <v>135.35989320052272</v>
      </c>
      <c r="AJ11">
        <v>141.87438958204217</v>
      </c>
      <c r="AK11">
        <v>148.70241061330378</v>
      </c>
      <c r="AL11">
        <v>155.85904536646896</v>
      </c>
      <c r="AM11">
        <v>163.36010910890857</v>
      </c>
      <c r="AN11">
        <v>171.22217825296502</v>
      </c>
      <c r="AO11">
        <v>179.46262698774962</v>
      </c>
      <c r="AP11">
        <v>188.09966567392638</v>
      </c>
      <c r="AQ11">
        <v>197.15238108633099</v>
      </c>
      <c r="AR11">
        <v>206.64077859335478</v>
      </c>
      <c r="AS11">
        <v>216.58582636630601</v>
      </c>
      <c r="AT11">
        <v>227.00950171644476</v>
      </c>
      <c r="AU11">
        <v>237.93483966209118</v>
      </c>
    </row>
    <row r="12" spans="1:48" x14ac:dyDescent="0.2">
      <c r="A12" t="s">
        <v>209</v>
      </c>
      <c r="B12" t="s">
        <v>197</v>
      </c>
      <c r="F12" t="s">
        <v>240</v>
      </c>
      <c r="M12">
        <v>23.293719395744681</v>
      </c>
      <c r="N12">
        <v>23.57168079574468</v>
      </c>
      <c r="O12">
        <v>23.849642195744678</v>
      </c>
      <c r="P12">
        <v>24.127603595744681</v>
      </c>
      <c r="Q12">
        <v>24.40556499574468</v>
      </c>
      <c r="R12">
        <v>24.683526395744678</v>
      </c>
      <c r="S12">
        <v>24.961487795744681</v>
      </c>
      <c r="T12">
        <v>25.23944919574468</v>
      </c>
      <c r="U12">
        <v>25.517410595744678</v>
      </c>
      <c r="V12">
        <v>27.439027622904256</v>
      </c>
      <c r="W12">
        <v>29.523822206743674</v>
      </c>
      <c r="X12">
        <v>31.788111419174463</v>
      </c>
      <c r="Y12">
        <v>34.250134696045663</v>
      </c>
      <c r="Z12">
        <v>36.930309487167108</v>
      </c>
      <c r="AA12">
        <v>39.851523388779214</v>
      </c>
      <c r="AB12">
        <v>43.039468152108157</v>
      </c>
      <c r="AC12">
        <v>46.523021772228745</v>
      </c>
      <c r="AD12">
        <v>50.33468579475479</v>
      </c>
      <c r="AE12">
        <v>54.511086052523154</v>
      </c>
      <c r="AF12">
        <v>59.093546281906299</v>
      </c>
      <c r="AG12">
        <v>64.128745493415749</v>
      </c>
      <c r="AH12">
        <v>69.669471612344395</v>
      </c>
      <c r="AI12">
        <v>75.775485795176891</v>
      </c>
      <c r="AJ12">
        <v>82.514514004202923</v>
      </c>
      <c r="AK12">
        <v>89.963384929786386</v>
      </c>
      <c r="AL12">
        <v>98.209336237290373</v>
      </c>
      <c r="AM12">
        <v>107.35151444159494</v>
      </c>
      <c r="AN12">
        <v>117.50269754313237</v>
      </c>
      <c r="AO12">
        <v>128.79127397221117</v>
      </c>
      <c r="AP12">
        <v>141.36351647160146</v>
      </c>
      <c r="AQ12">
        <v>155.38619540287019</v>
      </c>
      <c r="AR12">
        <v>171.0495827072686</v>
      </c>
      <c r="AS12">
        <v>188.5709055224408</v>
      </c>
      <c r="AT12">
        <v>208.19831740780552</v>
      </c>
      <c r="AU12">
        <v>230.10063719999999</v>
      </c>
    </row>
    <row r="13" spans="1:48" x14ac:dyDescent="0.2">
      <c r="A13" t="s">
        <v>209</v>
      </c>
      <c r="B13" t="s">
        <v>197</v>
      </c>
      <c r="F13" t="s">
        <v>224</v>
      </c>
      <c r="M13">
        <v>71.947774567196291</v>
      </c>
      <c r="N13">
        <v>71.770043575999978</v>
      </c>
      <c r="O13">
        <v>73.841756170008381</v>
      </c>
      <c r="P13">
        <v>75.961000629403429</v>
      </c>
      <c r="Q13">
        <v>78.031263265796156</v>
      </c>
      <c r="R13">
        <v>80.101380143513438</v>
      </c>
      <c r="S13">
        <v>82.171351277948276</v>
      </c>
      <c r="T13">
        <v>84.425990040791177</v>
      </c>
      <c r="U13">
        <v>86.742492164426579</v>
      </c>
      <c r="V13">
        <v>89.122555071728414</v>
      </c>
      <c r="W13">
        <v>91.567922759897911</v>
      </c>
      <c r="X13">
        <v>94.08038707838206</v>
      </c>
      <c r="Y13">
        <v>96.661789041855798</v>
      </c>
      <c r="Z13">
        <v>99.314020179230297</v>
      </c>
      <c r="AA13">
        <v>102.03902391967561</v>
      </c>
      <c r="AB13">
        <v>104.83879701667342</v>
      </c>
      <c r="AC13">
        <v>107.71539101114321</v>
      </c>
      <c r="AD13">
        <v>110.67091373471413</v>
      </c>
      <c r="AE13">
        <v>113.70753085424413</v>
      </c>
      <c r="AF13">
        <v>116.82746745871779</v>
      </c>
      <c r="AG13">
        <v>120.0330096896861</v>
      </c>
      <c r="AH13">
        <v>123.32650641644241</v>
      </c>
      <c r="AI13">
        <v>126.71037095716252</v>
      </c>
      <c r="AJ13">
        <v>130.18708284726981</v>
      </c>
      <c r="AK13">
        <v>133.75918965632101</v>
      </c>
      <c r="AL13">
        <v>137.42930885474448</v>
      </c>
      <c r="AM13">
        <v>141.20012973179837</v>
      </c>
      <c r="AN13">
        <v>145.0744153661542</v>
      </c>
      <c r="AO13">
        <v>149.05500465054976</v>
      </c>
      <c r="AP13">
        <v>153.14481437199521</v>
      </c>
      <c r="AQ13">
        <v>157.34684134905606</v>
      </c>
      <c r="AR13">
        <v>161.66416462777985</v>
      </c>
      <c r="AS13">
        <v>166.09994773787486</v>
      </c>
      <c r="AT13">
        <v>170.65744101079486</v>
      </c>
      <c r="AU13">
        <v>175.33998396142752</v>
      </c>
    </row>
    <row r="14" spans="1:48" x14ac:dyDescent="0.2">
      <c r="A14" t="s">
        <v>209</v>
      </c>
      <c r="B14" t="s">
        <v>197</v>
      </c>
      <c r="F14" t="s">
        <v>225</v>
      </c>
      <c r="M14">
        <v>18.477249716000003</v>
      </c>
      <c r="N14">
        <v>29.835721920479997</v>
      </c>
      <c r="O14">
        <v>40.498696586870402</v>
      </c>
      <c r="P14">
        <v>53.876777723532989</v>
      </c>
      <c r="Q14">
        <v>64.93153183986233</v>
      </c>
      <c r="R14">
        <v>76.749607119465082</v>
      </c>
      <c r="S14">
        <v>85.192564442675788</v>
      </c>
      <c r="T14">
        <v>88.942136637422266</v>
      </c>
      <c r="U14">
        <v>91.747972935873818</v>
      </c>
      <c r="V14">
        <v>96.089499952853188</v>
      </c>
      <c r="W14">
        <v>100.63646864048759</v>
      </c>
      <c r="X14">
        <v>105.39860052760244</v>
      </c>
      <c r="Y14">
        <v>110.38607716713786</v>
      </c>
      <c r="Z14">
        <v>115.60956190455501</v>
      </c>
      <c r="AA14">
        <v>121.0802226763258</v>
      </c>
      <c r="AB14">
        <v>126.80975588725089</v>
      </c>
      <c r="AC14">
        <v>132.81041141765542</v>
      </c>
      <c r="AD14">
        <v>139.09501881392893</v>
      </c>
      <c r="AE14">
        <v>145.67701471840525</v>
      </c>
      <c r="AF14">
        <v>152.57047159722813</v>
      </c>
      <c r="AG14">
        <v>159.79012782762373</v>
      </c>
      <c r="AH14">
        <v>167.3514192089068</v>
      </c>
      <c r="AI14">
        <v>175.27051196459229</v>
      </c>
      <c r="AJ14">
        <v>183.56433730617152</v>
      </c>
      <c r="AK14">
        <v>192.25062763245128</v>
      </c>
      <c r="AL14">
        <v>201.34795444185016</v>
      </c>
      <c r="AM14">
        <v>210.87576803871082</v>
      </c>
      <c r="AN14">
        <v>220.85443911852016</v>
      </c>
      <c r="AO14">
        <v>231.3053023209481</v>
      </c>
      <c r="AP14">
        <v>242.25070184382216</v>
      </c>
      <c r="AQ14">
        <v>253.71403921556185</v>
      </c>
      <c r="AR14">
        <v>265.71982332821148</v>
      </c>
      <c r="AS14">
        <v>278.29372283804292</v>
      </c>
      <c r="AT14">
        <v>291.46262104576249</v>
      </c>
      <c r="AU14">
        <v>305.25467337365671</v>
      </c>
    </row>
    <row r="15" spans="1:48" x14ac:dyDescent="0.2">
      <c r="A15" t="s">
        <v>209</v>
      </c>
      <c r="B15" t="s">
        <v>197</v>
      </c>
      <c r="F15" t="s">
        <v>226</v>
      </c>
      <c r="M15">
        <v>18.491226643617683</v>
      </c>
      <c r="N15">
        <v>28.504383781272402</v>
      </c>
      <c r="O15">
        <v>29.235132048118153</v>
      </c>
      <c r="P15">
        <v>31.775903556394102</v>
      </c>
      <c r="Q15">
        <v>34.749370852119291</v>
      </c>
      <c r="R15">
        <v>36.14879391786976</v>
      </c>
      <c r="S15">
        <v>38.362584705888587</v>
      </c>
      <c r="T15">
        <v>41.394656367989334</v>
      </c>
      <c r="U15">
        <v>44.492737848327081</v>
      </c>
      <c r="V15">
        <v>48.408038640530357</v>
      </c>
      <c r="W15">
        <v>52.498668847314264</v>
      </c>
      <c r="X15">
        <v>56.773296281556185</v>
      </c>
      <c r="Y15">
        <v>61.24104778652746</v>
      </c>
      <c r="Z15">
        <v>65.911534578449562</v>
      </c>
      <c r="AA15">
        <v>70.794879020839559</v>
      </c>
      <c r="AB15">
        <v>75.901742912527723</v>
      </c>
      <c r="AC15">
        <v>81.2433573759415</v>
      </c>
      <c r="AD15">
        <v>86.831554437234658</v>
      </c>
      <c r="AE15">
        <v>92.67880039511202</v>
      </c>
      <c r="AF15">
        <v>98.798231080776873</v>
      </c>
      <c r="AG15">
        <v>105.20368911732579</v>
      </c>
      <c r="AH15">
        <v>111.90976329315517</v>
      </c>
      <c r="AI15">
        <v>118.93183017054226</v>
      </c>
      <c r="AJ15">
        <v>126.28609805754465</v>
      </c>
      <c r="AK15">
        <v>133.9896534787448</v>
      </c>
      <c r="AL15">
        <v>142.06051028817717</v>
      </c>
      <c r="AM15">
        <v>150.51766157603578</v>
      </c>
      <c r="AN15">
        <v>159.38113452949972</v>
      </c>
      <c r="AO15">
        <v>168.67204841725632</v>
      </c>
      <c r="AP15">
        <v>178.41267587708029</v>
      </c>
      <c r="AQ15">
        <v>188.62650769616855</v>
      </c>
      <c r="AR15">
        <v>199.33832128487199</v>
      </c>
      <c r="AS15">
        <v>210.57425305603641</v>
      </c>
      <c r="AT15">
        <v>222.36187493440735</v>
      </c>
      <c r="AU15">
        <v>234.73027523350135</v>
      </c>
    </row>
    <row r="16" spans="1:48" x14ac:dyDescent="0.2">
      <c r="A16" t="s">
        <v>209</v>
      </c>
      <c r="B16" t="s">
        <v>197</v>
      </c>
      <c r="F16" t="s">
        <v>237</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row>
    <row r="17" spans="1:47" x14ac:dyDescent="0.2">
      <c r="A17" t="s">
        <v>209</v>
      </c>
      <c r="B17" t="s">
        <v>197</v>
      </c>
      <c r="F17" t="s">
        <v>238</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row>
  </sheetData>
  <hyperlinks>
    <hyperlink ref="A1" location="Content!A1" display="Back to table of contents" xr:uid="{00000000-0004-0000-0900-000000000000}"/>
    <hyperlink ref="B1" location="Parameters!A1" display="Parameters List" xr:uid="{00000000-0004-0000-09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16"/>
  <sheetViews>
    <sheetView topLeftCell="H1" zoomScale="125" zoomScaleNormal="100" workbookViewId="0">
      <selection activeCell="J9" sqref="J9"/>
    </sheetView>
  </sheetViews>
  <sheetFormatPr baseColWidth="10" defaultColWidth="9.1640625" defaultRowHeight="15" x14ac:dyDescent="0.2"/>
  <cols>
    <col min="1" max="1" width="16.5" customWidth="1"/>
    <col min="2" max="2" width="15.5" customWidth="1"/>
    <col min="3" max="3" width="19.5" bestFit="1" customWidth="1"/>
    <col min="6" max="6" width="10.1640625" customWidth="1"/>
    <col min="8" max="8" width="21.1640625" customWidth="1"/>
    <col min="9" max="9" width="9.5" customWidth="1"/>
    <col min="10" max="10" width="18.5" customWidth="1"/>
    <col min="11" max="11" width="9.1640625" customWidth="1"/>
    <col min="12" max="14" width="8.5" customWidth="1"/>
    <col min="15" max="47" width="6.5" customWidth="1"/>
    <col min="48" max="48" width="6.83203125" customWidth="1"/>
  </cols>
  <sheetData>
    <row r="1" spans="1:48" ht="16" thickBot="1" x14ac:dyDescent="0.25">
      <c r="A1" s="68" t="s">
        <v>174</v>
      </c>
      <c r="B1" s="69" t="s">
        <v>175</v>
      </c>
      <c r="C1" s="69"/>
      <c r="D1" s="21"/>
      <c r="E1" s="21"/>
      <c r="F1" s="22"/>
      <c r="G1" s="22"/>
      <c r="H1" s="22"/>
      <c r="I1" s="22"/>
      <c r="J1" s="22"/>
      <c r="K1" s="22"/>
      <c r="L1" s="22"/>
      <c r="M1" s="22"/>
      <c r="N1" s="22"/>
    </row>
    <row r="2" spans="1:48" x14ac:dyDescent="0.2">
      <c r="A2" s="70" t="s">
        <v>111</v>
      </c>
      <c r="B2" s="71" t="s">
        <v>131</v>
      </c>
      <c r="C2" s="71" t="s">
        <v>116</v>
      </c>
      <c r="D2" s="71" t="s">
        <v>134</v>
      </c>
      <c r="E2" s="71" t="s">
        <v>137</v>
      </c>
      <c r="F2" s="71" t="s">
        <v>125</v>
      </c>
      <c r="G2" s="71" t="s">
        <v>143</v>
      </c>
      <c r="H2" s="71" t="s">
        <v>128</v>
      </c>
      <c r="I2" s="71" t="s">
        <v>119</v>
      </c>
      <c r="J2" s="71" t="s">
        <v>140</v>
      </c>
      <c r="K2" s="71" t="s">
        <v>122</v>
      </c>
      <c r="L2" s="71" t="s">
        <v>131</v>
      </c>
      <c r="M2" s="71">
        <v>2016</v>
      </c>
      <c r="N2" s="71">
        <v>2017</v>
      </c>
      <c r="O2" s="71">
        <v>2018</v>
      </c>
      <c r="P2" s="71">
        <v>2019</v>
      </c>
      <c r="Q2" s="71">
        <v>2020</v>
      </c>
      <c r="R2" s="71">
        <v>2021</v>
      </c>
      <c r="S2" s="71">
        <v>2022</v>
      </c>
      <c r="T2" s="71">
        <v>2023</v>
      </c>
      <c r="U2" s="71">
        <v>2024</v>
      </c>
      <c r="V2" s="71">
        <v>2025</v>
      </c>
      <c r="W2" s="71">
        <v>2026</v>
      </c>
      <c r="X2" s="71">
        <v>2027</v>
      </c>
      <c r="Y2" s="71">
        <v>2028</v>
      </c>
      <c r="Z2" s="71">
        <v>2029</v>
      </c>
      <c r="AA2" s="71">
        <v>2030</v>
      </c>
      <c r="AB2" s="71">
        <v>2031</v>
      </c>
      <c r="AC2" s="71">
        <v>2032</v>
      </c>
      <c r="AD2" s="71">
        <v>2033</v>
      </c>
      <c r="AE2" s="71">
        <v>2034</v>
      </c>
      <c r="AF2" s="71">
        <v>2035</v>
      </c>
      <c r="AG2" s="71">
        <v>2036</v>
      </c>
      <c r="AH2" s="71">
        <v>2037</v>
      </c>
      <c r="AI2" s="71">
        <v>2038</v>
      </c>
      <c r="AJ2" s="71">
        <v>2039</v>
      </c>
      <c r="AK2" s="71">
        <v>2040</v>
      </c>
      <c r="AL2" s="71">
        <v>2041</v>
      </c>
      <c r="AM2" s="71">
        <v>2042</v>
      </c>
      <c r="AN2" s="71">
        <v>2043</v>
      </c>
      <c r="AO2" s="71">
        <v>2044</v>
      </c>
      <c r="AP2" s="71">
        <v>2045</v>
      </c>
      <c r="AQ2" s="71">
        <v>2046</v>
      </c>
      <c r="AR2" s="71">
        <v>2047</v>
      </c>
      <c r="AS2" s="71">
        <v>2048</v>
      </c>
      <c r="AT2" s="71">
        <v>2049</v>
      </c>
      <c r="AU2" s="71">
        <v>2050</v>
      </c>
      <c r="AV2" s="72" t="s">
        <v>170</v>
      </c>
    </row>
    <row r="3" spans="1:48" x14ac:dyDescent="0.2">
      <c r="A3" t="s">
        <v>187</v>
      </c>
      <c r="B3" t="s">
        <v>197</v>
      </c>
      <c r="C3" t="s">
        <v>210</v>
      </c>
      <c r="M3">
        <v>30.25894008696282</v>
      </c>
      <c r="N3">
        <v>31.236584508273676</v>
      </c>
      <c r="O3">
        <v>32.391974921776104</v>
      </c>
      <c r="P3">
        <v>33.564298497827778</v>
      </c>
      <c r="Q3">
        <v>34.550262666410966</v>
      </c>
      <c r="R3">
        <v>35.690421334402522</v>
      </c>
      <c r="S3">
        <v>36.7611339744346</v>
      </c>
      <c r="T3">
        <v>37.863967993667636</v>
      </c>
      <c r="U3">
        <v>38.999887033477663</v>
      </c>
      <c r="V3">
        <v>40.169883644481999</v>
      </c>
      <c r="W3">
        <v>41.374980153816452</v>
      </c>
      <c r="X3">
        <v>42.616229558430952</v>
      </c>
      <c r="Y3">
        <v>43.894716445183874</v>
      </c>
      <c r="Z3">
        <v>45.2115579385394</v>
      </c>
      <c r="AA3">
        <v>46.567904676695584</v>
      </c>
      <c r="AB3">
        <v>47.964941816996451</v>
      </c>
      <c r="AC3">
        <v>49.403890071506346</v>
      </c>
      <c r="AD3">
        <v>50.886006773651538</v>
      </c>
      <c r="AE3">
        <v>52.412586976861085</v>
      </c>
      <c r="AF3">
        <v>53.984964586166917</v>
      </c>
      <c r="AG3">
        <v>55.604513523751926</v>
      </c>
      <c r="AH3">
        <v>57.272648929464495</v>
      </c>
      <c r="AI3">
        <v>58.990828397348423</v>
      </c>
      <c r="AJ3">
        <v>60.760553249268881</v>
      </c>
      <c r="AK3">
        <v>62.583369846746947</v>
      </c>
      <c r="AL3">
        <v>64.460870942149356</v>
      </c>
      <c r="AM3">
        <v>66.394697070413841</v>
      </c>
      <c r="AN3">
        <v>68.386537982526249</v>
      </c>
      <c r="AO3">
        <v>70.43813412200204</v>
      </c>
      <c r="AP3">
        <v>72.55127814566211</v>
      </c>
      <c r="AQ3">
        <v>74.727816490031969</v>
      </c>
      <c r="AR3">
        <v>76.969650984732922</v>
      </c>
      <c r="AS3">
        <v>79.278740514274915</v>
      </c>
      <c r="AT3">
        <v>81.657102729703169</v>
      </c>
      <c r="AU3">
        <v>84.106815811594259</v>
      </c>
    </row>
    <row r="4" spans="1:48" x14ac:dyDescent="0.2">
      <c r="A4" t="s">
        <v>187</v>
      </c>
      <c r="B4" t="s">
        <v>197</v>
      </c>
      <c r="C4" t="s">
        <v>232</v>
      </c>
      <c r="M4" s="100">
        <v>7.0072218309671621</v>
      </c>
      <c r="N4" s="100">
        <v>0.35036109154835798</v>
      </c>
      <c r="O4" s="100">
        <v>0.36787914612577666</v>
      </c>
      <c r="P4" s="100">
        <v>0.38627310343206572</v>
      </c>
      <c r="Q4" s="100">
        <v>0.40558675860366844</v>
      </c>
      <c r="R4" s="100">
        <v>0.42586609653385243</v>
      </c>
      <c r="S4" s="100">
        <v>0.44715940136054494</v>
      </c>
      <c r="T4" s="100">
        <v>0.46951737142857131</v>
      </c>
      <c r="U4" s="100">
        <v>0.49299324000000083</v>
      </c>
      <c r="V4">
        <v>0.77646435299999961</v>
      </c>
      <c r="W4">
        <v>0.83469917947499916</v>
      </c>
      <c r="X4">
        <v>0.89730161793562357</v>
      </c>
      <c r="Y4">
        <v>0.96459923928079694</v>
      </c>
      <c r="Z4">
        <v>1.0369441822268557</v>
      </c>
      <c r="AA4">
        <v>1.1147149958938691</v>
      </c>
      <c r="AB4">
        <v>1.1983186205859111</v>
      </c>
      <c r="AC4">
        <v>1.2881925171298525</v>
      </c>
      <c r="AD4">
        <v>1.3848069559145919</v>
      </c>
      <c r="AE4">
        <v>1.4886674776081867</v>
      </c>
      <c r="AF4">
        <v>1.6003175384288009</v>
      </c>
      <c r="AG4">
        <v>1.72034135381096</v>
      </c>
      <c r="AH4">
        <v>1.8493669553467813</v>
      </c>
      <c r="AI4">
        <v>1.9880694769977894</v>
      </c>
      <c r="AJ4">
        <v>2.1371746877726276</v>
      </c>
      <c r="AK4">
        <v>2.2974627893555715</v>
      </c>
      <c r="AL4">
        <v>2.4697724985572402</v>
      </c>
      <c r="AM4">
        <v>2.6550054359490312</v>
      </c>
      <c r="AN4">
        <v>2.8541308436452124</v>
      </c>
      <c r="AO4">
        <v>3.0681906569186013</v>
      </c>
      <c r="AP4">
        <v>3.2983049561874926</v>
      </c>
      <c r="AQ4">
        <v>3.5456778279015557</v>
      </c>
      <c r="AR4">
        <v>3.8116036649941742</v>
      </c>
      <c r="AS4">
        <v>4.0974739398687401</v>
      </c>
      <c r="AT4">
        <v>4.4047844853588876</v>
      </c>
      <c r="AU4">
        <v>4.7351433217608037</v>
      </c>
    </row>
    <row r="5" spans="1:48" x14ac:dyDescent="0.2">
      <c r="A5" t="s">
        <v>187</v>
      </c>
      <c r="B5" t="s">
        <v>197</v>
      </c>
      <c r="C5" t="s">
        <v>231</v>
      </c>
      <c r="M5" s="100">
        <v>0</v>
      </c>
      <c r="N5" s="100">
        <v>0</v>
      </c>
      <c r="O5" s="100">
        <v>0</v>
      </c>
      <c r="P5" s="100">
        <v>0</v>
      </c>
      <c r="Q5" s="100">
        <v>0</v>
      </c>
      <c r="R5" s="100">
        <v>0</v>
      </c>
      <c r="S5" s="100">
        <v>0</v>
      </c>
      <c r="T5" s="100">
        <v>0</v>
      </c>
      <c r="U5" s="100">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row>
    <row r="6" spans="1:48" x14ac:dyDescent="0.2">
      <c r="A6" t="s">
        <v>187</v>
      </c>
      <c r="B6" t="s">
        <v>197</v>
      </c>
      <c r="C6" t="s">
        <v>215</v>
      </c>
      <c r="M6" s="100">
        <v>653.77983953502871</v>
      </c>
      <c r="N6" s="100">
        <v>1.8123834102302792</v>
      </c>
      <c r="O6" s="100">
        <v>2.9300211132623697</v>
      </c>
      <c r="P6" s="100">
        <v>3.34417765938956</v>
      </c>
      <c r="Q6" s="100">
        <v>2.9084520139822376</v>
      </c>
      <c r="R6" s="100">
        <v>2.9082472418404302</v>
      </c>
      <c r="S6" s="100">
        <v>2.9080424913246992</v>
      </c>
      <c r="T6" s="100">
        <v>3.0407429259676304</v>
      </c>
      <c r="U6" s="100">
        <v>3.0545309357798516</v>
      </c>
      <c r="V6">
        <v>3.0683814662388431</v>
      </c>
      <c r="W6">
        <v>3.0822948008397533</v>
      </c>
      <c r="X6">
        <v>3.0962712243627961</v>
      </c>
      <c r="Y6">
        <v>3.1103110228797828</v>
      </c>
      <c r="Z6">
        <v>3.1244144837597592</v>
      </c>
      <c r="AA6">
        <v>3.1385818956746445</v>
      </c>
      <c r="AB6">
        <v>3.1528135486053177</v>
      </c>
      <c r="AC6">
        <v>3.1671097338476981</v>
      </c>
      <c r="AD6">
        <v>3.1814707440185366</v>
      </c>
      <c r="AE6">
        <v>3.1958968730611974</v>
      </c>
      <c r="AF6">
        <v>3.2103884162523419</v>
      </c>
      <c r="AG6">
        <v>3.2249456702069699</v>
      </c>
      <c r="AH6">
        <v>3.2395689328855433</v>
      </c>
      <c r="AI6">
        <v>3.2542585035994764</v>
      </c>
      <c r="AJ6">
        <v>3.2690146830173692</v>
      </c>
      <c r="AK6">
        <v>3.2838377731709434</v>
      </c>
      <c r="AL6">
        <v>3.2987280774618659</v>
      </c>
      <c r="AM6">
        <v>3.3136859006672408</v>
      </c>
      <c r="AN6">
        <v>3.3287115489464369</v>
      </c>
      <c r="AO6">
        <v>3.3438053298467247</v>
      </c>
      <c r="AP6">
        <v>3.3589675523103995</v>
      </c>
      <c r="AQ6">
        <v>3.3741985266799737</v>
      </c>
      <c r="AR6">
        <v>3.3894985647058973</v>
      </c>
      <c r="AS6">
        <v>3.4048679795515979</v>
      </c>
      <c r="AT6">
        <v>3.4203070858010545</v>
      </c>
      <c r="AU6">
        <v>3.4358161994642806</v>
      </c>
    </row>
    <row r="7" spans="1:48" x14ac:dyDescent="0.2">
      <c r="A7" t="s">
        <v>187</v>
      </c>
      <c r="B7" t="s">
        <v>197</v>
      </c>
      <c r="C7" t="s">
        <v>217</v>
      </c>
      <c r="M7" s="100">
        <v>180.24815221847999</v>
      </c>
      <c r="N7" s="100">
        <v>30.041358703079986</v>
      </c>
      <c r="O7" s="100">
        <v>30.041358703080014</v>
      </c>
      <c r="P7" s="100">
        <v>30.041358703080014</v>
      </c>
      <c r="Q7" s="100">
        <v>30.041358703080014</v>
      </c>
      <c r="R7" s="100">
        <v>7.0498056468517509</v>
      </c>
      <c r="S7" s="100">
        <v>7.0206191084014984</v>
      </c>
      <c r="T7" s="100">
        <v>6.9818595456621386</v>
      </c>
      <c r="U7" s="100">
        <v>6.9333759128824353</v>
      </c>
      <c r="V7">
        <v>7.0829149645714811</v>
      </c>
      <c r="W7">
        <v>7.2356792745273744</v>
      </c>
      <c r="X7">
        <v>7.3917384051203676</v>
      </c>
      <c r="Y7">
        <v>7.5511634190420356</v>
      </c>
      <c r="Z7">
        <v>7.7140269116639075</v>
      </c>
      <c r="AA7">
        <v>7.8804030440946651</v>
      </c>
      <c r="AB7">
        <v>8.0503675769497018</v>
      </c>
      <c r="AC7">
        <v>8.2239979048493499</v>
      </c>
      <c r="AD7">
        <v>8.401373091661176</v>
      </c>
      <c r="AE7">
        <v>8.5825739065021125</v>
      </c>
      <c r="AF7">
        <v>8.7676828605175636</v>
      </c>
      <c r="AG7">
        <v>8.9567842444531802</v>
      </c>
      <c r="AH7">
        <v>9.1499641670375649</v>
      </c>
      <c r="AI7">
        <v>9.3473105941922476</v>
      </c>
      <c r="AJ7">
        <v>9.5489133890877156</v>
      </c>
      <c r="AK7">
        <v>9.7548643530635566</v>
      </c>
      <c r="AL7">
        <v>9.9652572674304611</v>
      </c>
      <c r="AM7">
        <v>10.180187936174455</v>
      </c>
      <c r="AN7">
        <v>10.399754229581863</v>
      </c>
      <c r="AO7">
        <v>10.624056128805426</v>
      </c>
      <c r="AP7">
        <v>10.853195771391542</v>
      </c>
      <c r="AQ7">
        <v>11.087277497788946</v>
      </c>
      <c r="AR7">
        <v>11.32640789886123</v>
      </c>
      <c r="AS7">
        <v>11.570695864423895</v>
      </c>
      <c r="AT7">
        <v>11.820252632827746</v>
      </c>
      <c r="AU7">
        <v>12.075191841612545</v>
      </c>
    </row>
    <row r="8" spans="1:48" x14ac:dyDescent="0.2">
      <c r="A8" t="s">
        <v>187</v>
      </c>
      <c r="B8" t="s">
        <v>197</v>
      </c>
      <c r="C8" t="s">
        <v>218</v>
      </c>
      <c r="M8" s="100">
        <v>0</v>
      </c>
      <c r="N8" s="100">
        <v>0</v>
      </c>
      <c r="O8" s="100">
        <v>0</v>
      </c>
      <c r="P8" s="100">
        <v>0</v>
      </c>
      <c r="Q8" s="100">
        <v>0</v>
      </c>
      <c r="R8" s="100">
        <v>0</v>
      </c>
      <c r="S8" s="100">
        <v>0</v>
      </c>
      <c r="T8" s="100">
        <v>0</v>
      </c>
      <c r="U8" s="100">
        <v>0</v>
      </c>
      <c r="V8" s="100">
        <v>0.11475636015407509</v>
      </c>
      <c r="W8" s="100">
        <v>0.11966790200233518</v>
      </c>
      <c r="X8" s="100">
        <v>0.12487709521670826</v>
      </c>
      <c r="Y8" s="100">
        <v>0.13039510335629545</v>
      </c>
      <c r="Z8" s="100">
        <v>0.13623169684444758</v>
      </c>
      <c r="AA8" s="100">
        <v>0.14239803822447605</v>
      </c>
      <c r="AB8" s="100">
        <v>0.148904530029319</v>
      </c>
      <c r="AC8" s="100">
        <v>0.15576267213317013</v>
      </c>
      <c r="AD8" s="100">
        <v>0.16298446254011739</v>
      </c>
      <c r="AE8" s="100">
        <v>0.17058563822230907</v>
      </c>
      <c r="AF8" s="100">
        <v>0.17857912818747748</v>
      </c>
      <c r="AG8" s="100">
        <v>0.18698230560582074</v>
      </c>
      <c r="AH8" s="100">
        <v>0.1958136071184883</v>
      </c>
      <c r="AI8" s="100">
        <v>0.2050931828060624</v>
      </c>
      <c r="AJ8" s="100">
        <v>0.21484586000693554</v>
      </c>
      <c r="AK8" s="100">
        <v>0.22509729240748741</v>
      </c>
      <c r="AL8" s="100">
        <v>0.23587443649295659</v>
      </c>
      <c r="AM8" s="100">
        <v>0.24720491215299464</v>
      </c>
      <c r="AN8" s="100">
        <v>0.25912111475308369</v>
      </c>
      <c r="AO8" s="100">
        <v>0.27165465234494829</v>
      </c>
      <c r="AP8" s="100">
        <v>0.28484051275049393</v>
      </c>
      <c r="AQ8" s="100">
        <v>0.29871265109279194</v>
      </c>
      <c r="AR8" s="100">
        <v>0.31331167262200788</v>
      </c>
      <c r="AS8" s="100">
        <v>0.32867652039611361</v>
      </c>
      <c r="AT8" s="100">
        <v>0.3448525164192624</v>
      </c>
      <c r="AU8" s="100">
        <v>0.36188504979957359</v>
      </c>
    </row>
    <row r="9" spans="1:48" x14ac:dyDescent="0.2">
      <c r="A9" t="s">
        <v>187</v>
      </c>
      <c r="B9" t="s">
        <v>197</v>
      </c>
      <c r="C9" t="s">
        <v>221</v>
      </c>
      <c r="M9" s="100">
        <v>804.69393936708002</v>
      </c>
      <c r="N9" s="100">
        <v>88.264872742199941</v>
      </c>
      <c r="O9" s="100">
        <v>53.278179726240204</v>
      </c>
      <c r="P9" s="100">
        <v>94.924645207980035</v>
      </c>
      <c r="Q9" s="100">
        <v>99.364493518499756</v>
      </c>
      <c r="R9" s="100">
        <v>43.866389637000033</v>
      </c>
      <c r="S9" s="100">
        <v>43.866389637000033</v>
      </c>
      <c r="T9" s="100">
        <v>43.86638963699987</v>
      </c>
      <c r="U9" s="100">
        <v>43.866389637000033</v>
      </c>
      <c r="V9" s="100">
        <v>39.479750673300011</v>
      </c>
      <c r="W9" s="100">
        <v>40.664143193499036</v>
      </c>
      <c r="X9" s="100">
        <v>41.884067489303945</v>
      </c>
      <c r="Y9" s="100">
        <v>43.140589513983052</v>
      </c>
      <c r="Z9" s="100">
        <v>44.434807199402499</v>
      </c>
      <c r="AA9" s="100">
        <v>45.767851415384818</v>
      </c>
      <c r="AB9" s="100">
        <v>47.140886957846078</v>
      </c>
      <c r="AC9" s="100">
        <v>48.555113566581738</v>
      </c>
      <c r="AD9" s="100">
        <v>50.011766973579213</v>
      </c>
      <c r="AE9" s="100">
        <v>51.512119982786295</v>
      </c>
      <c r="AF9" s="100">
        <v>26.528741791134888</v>
      </c>
      <c r="AG9" s="100">
        <v>26.92667291800187</v>
      </c>
      <c r="AH9" s="100">
        <v>27.330573011771978</v>
      </c>
      <c r="AI9" s="100">
        <v>27.740531606948569</v>
      </c>
      <c r="AJ9" s="100">
        <v>28.156639581052691</v>
      </c>
      <c r="AK9" s="100">
        <v>28.57898917476863</v>
      </c>
      <c r="AL9" s="100">
        <v>29.007674012389828</v>
      </c>
      <c r="AM9" s="100">
        <v>29.442789122575853</v>
      </c>
      <c r="AN9" s="100">
        <v>29.884430959414345</v>
      </c>
      <c r="AO9" s="100">
        <v>30.332697423805662</v>
      </c>
      <c r="AP9" s="100">
        <v>30.787687885162882</v>
      </c>
      <c r="AQ9" s="100">
        <v>31.249503203440106</v>
      </c>
      <c r="AR9" s="100">
        <v>31.718245751491793</v>
      </c>
      <c r="AS9" s="100">
        <v>32.194019437764055</v>
      </c>
      <c r="AT9" s="100">
        <v>32.676929729330652</v>
      </c>
      <c r="AU9" s="100">
        <v>33.167083675270597</v>
      </c>
    </row>
    <row r="10" spans="1:48" x14ac:dyDescent="0.2">
      <c r="A10" t="s">
        <v>187</v>
      </c>
      <c r="B10" t="s">
        <v>197</v>
      </c>
      <c r="C10" t="s">
        <v>227</v>
      </c>
      <c r="M10" s="100">
        <v>50.013152365714291</v>
      </c>
      <c r="N10" s="100">
        <v>2.813163668571427</v>
      </c>
      <c r="O10" s="100">
        <v>2.813163668571427</v>
      </c>
      <c r="P10" s="100">
        <v>2.813163668571427</v>
      </c>
      <c r="Q10" s="100">
        <v>2.813163668571427</v>
      </c>
      <c r="R10" s="100">
        <v>2.9485534365906827</v>
      </c>
      <c r="S10" s="100">
        <v>3.0904591387836668</v>
      </c>
      <c r="T10" s="100">
        <v>3.2391943689970524</v>
      </c>
      <c r="U10" s="100">
        <v>3.3950878134799751</v>
      </c>
      <c r="V10" s="100">
        <v>5.3377259658591658</v>
      </c>
      <c r="W10" s="100">
        <v>5.7230608941154228</v>
      </c>
      <c r="X10" s="100">
        <v>6.1362134750357438</v>
      </c>
      <c r="Y10" s="100">
        <v>6.5791918883697491</v>
      </c>
      <c r="Z10" s="100">
        <v>7.0541492860526844</v>
      </c>
      <c r="AA10" s="100">
        <v>7.5633942578695441</v>
      </c>
      <c r="AB10" s="100">
        <v>8.109402052644139</v>
      </c>
      <c r="AC10" s="100">
        <v>8.6948266094954523</v>
      </c>
      <c r="AD10" s="100">
        <v>9.3225134576401896</v>
      </c>
      <c r="AE10" s="100">
        <v>9.9955135474433288</v>
      </c>
      <c r="AF10" s="100">
        <v>10.717098079943513</v>
      </c>
      <c r="AG10" s="100">
        <v>11.490774406934502</v>
      </c>
      <c r="AH10" s="100">
        <v>12.320303078886875</v>
      </c>
      <c r="AI10" s="100">
        <v>13.209716123573605</v>
      </c>
      <c r="AJ10" s="100">
        <v>14.163336644244783</v>
      </c>
      <c r="AK10" s="100">
        <v>15.185799832611366</v>
      </c>
      <c r="AL10" s="100">
        <v>16.282075498773469</v>
      </c>
      <c r="AM10" s="100">
        <v>17.457492227603822</v>
      </c>
      <c r="AN10" s="100">
        <v>18.717763278999968</v>
      </c>
      <c r="AO10" s="100">
        <v>20.06901435789834</v>
      </c>
      <c r="AP10" s="100">
        <v>21.517813389028397</v>
      </c>
      <c r="AQ10" s="100">
        <v>23.071202441131643</v>
      </c>
      <c r="AR10" s="100">
        <v>24.73673195581668</v>
      </c>
      <c r="AS10" s="100">
        <v>26.522497447424193</v>
      </c>
      <c r="AT10" s="100">
        <v>28.437178852286291</v>
      </c>
      <c r="AU10" s="100">
        <v>30.490082718641357</v>
      </c>
    </row>
    <row r="11" spans="1:48" x14ac:dyDescent="0.2">
      <c r="A11" t="s">
        <v>187</v>
      </c>
      <c r="B11" t="s">
        <v>197</v>
      </c>
      <c r="C11" t="s">
        <v>239</v>
      </c>
      <c r="M11" s="100">
        <v>0.32814365957446812</v>
      </c>
      <c r="N11" s="100">
        <v>0.13650000000000001</v>
      </c>
      <c r="O11" s="100">
        <v>0.13650000000000001</v>
      </c>
      <c r="P11" s="100">
        <v>0.13650000000000001</v>
      </c>
      <c r="Q11" s="100">
        <v>0.13650000000000001</v>
      </c>
      <c r="R11" s="100">
        <v>0.13650000000000001</v>
      </c>
      <c r="S11" s="100">
        <v>0.13650000000000001</v>
      </c>
      <c r="T11" s="100">
        <v>0.13650000000000001</v>
      </c>
      <c r="U11" s="100">
        <v>0.13650000000000001</v>
      </c>
      <c r="V11" s="100">
        <v>0.21145521716595753</v>
      </c>
      <c r="W11" s="100">
        <v>0.24333548091469404</v>
      </c>
      <c r="X11" s="100">
        <v>0.28004883585620671</v>
      </c>
      <c r="Y11" s="100">
        <v>0.32232975738093617</v>
      </c>
      <c r="Z11" s="100">
        <v>0.37102445495270969</v>
      </c>
      <c r="AA11" s="100">
        <v>0.42710787770328024</v>
      </c>
      <c r="AB11" s="100">
        <v>0.49170330873862128</v>
      </c>
      <c r="AC11" s="100">
        <v>0.56610494226265895</v>
      </c>
      <c r="AD11" s="100">
        <v>0.65180389762498092</v>
      </c>
      <c r="AE11" s="100">
        <v>0.75051819353501292</v>
      </c>
      <c r="AF11" s="100">
        <v>0.8642272853468751</v>
      </c>
      <c r="AG11" s="100">
        <v>0.99521186010925577</v>
      </c>
      <c r="AH11" s="100">
        <v>1.1460996898396598</v>
      </c>
      <c r="AI11" s="100">
        <v>1.3199184653500149</v>
      </c>
      <c r="AJ11" s="100">
        <v>1.5201566733723781</v>
      </c>
      <c r="AK11" s="100">
        <v>1.750833741534384</v>
      </c>
      <c r="AL11" s="100">
        <v>2.0165808621689019</v>
      </c>
      <c r="AM11" s="100">
        <v>2.3227341207617456</v>
      </c>
      <c r="AN11" s="100">
        <v>2.6754418023667426</v>
      </c>
      <c r="AO11" s="100">
        <v>3.081788034528381</v>
      </c>
      <c r="AP11" s="100">
        <v>3.549935253886443</v>
      </c>
      <c r="AQ11" s="100">
        <v>4.0892883623053287</v>
      </c>
      <c r="AR11" s="100">
        <v>4.7106838746913624</v>
      </c>
      <c r="AS11" s="100">
        <v>5.426607863411097</v>
      </c>
      <c r="AT11" s="100">
        <v>6.2514470835172</v>
      </c>
      <c r="AU11" s="100">
        <v>7.2083778691858145</v>
      </c>
    </row>
    <row r="12" spans="1:48" x14ac:dyDescent="0.2">
      <c r="A12" t="s">
        <v>187</v>
      </c>
      <c r="B12" t="s">
        <v>197</v>
      </c>
      <c r="C12" t="s">
        <v>228</v>
      </c>
      <c r="M12" s="100">
        <v>80.324234522373686</v>
      </c>
      <c r="N12" s="100">
        <v>-0.19842317437371304</v>
      </c>
      <c r="O12" s="100">
        <v>2.3129100137582044</v>
      </c>
      <c r="P12" s="100">
        <v>2.3659757371328216</v>
      </c>
      <c r="Q12" s="100">
        <v>2.3112912460302404</v>
      </c>
      <c r="R12" s="100">
        <v>2.3111285175219338</v>
      </c>
      <c r="S12" s="100">
        <v>2.3109658061987632</v>
      </c>
      <c r="T12" s="100">
        <v>2.5171332100159147</v>
      </c>
      <c r="U12" s="100">
        <v>2.5861989612574252</v>
      </c>
      <c r="V12" s="100">
        <v>2.657159756422534</v>
      </c>
      <c r="W12" s="100">
        <v>2.7300675922159572</v>
      </c>
      <c r="X12" s="100">
        <v>2.8049758920414205</v>
      </c>
      <c r="Y12" s="100">
        <v>2.8819395451477776</v>
      </c>
      <c r="Z12" s="100">
        <v>2.9610149468492826</v>
      </c>
      <c r="AA12" s="100">
        <v>3.0422600398494226</v>
      </c>
      <c r="AB12" s="100">
        <v>3.125734356698509</v>
      </c>
      <c r="AC12" s="100">
        <v>3.2114990634163472</v>
      </c>
      <c r="AD12" s="100">
        <v>3.299617004311838</v>
      </c>
      <c r="AE12" s="100">
        <v>3.3901527480322118</v>
      </c>
      <c r="AF12" s="100">
        <v>3.4831726348759346</v>
      </c>
      <c r="AG12" s="100">
        <v>3.5787448254037715</v>
      </c>
      <c r="AH12" s="100">
        <v>3.6769393503834786</v>
      </c>
      <c r="AI12" s="100">
        <v>3.7778281621051613</v>
      </c>
      <c r="AJ12" s="100">
        <v>3.881485187104436</v>
      </c>
      <c r="AK12" s="100">
        <v>3.9879863803322841</v>
      </c>
      <c r="AL12" s="100">
        <v>4.0974097808112555</v>
      </c>
      <c r="AM12" s="100">
        <v>4.2098355688188063</v>
      </c>
      <c r="AN12" s="100">
        <v>4.3253461246395251</v>
      </c>
      <c r="AO12" s="100">
        <v>4.4440260889294789</v>
      </c>
      <c r="AP12" s="100">
        <v>4.565962424737001</v>
      </c>
      <c r="AQ12" s="100">
        <v>4.6912444812249632</v>
      </c>
      <c r="AR12" s="100">
        <v>4.8199640591416522</v>
      </c>
      <c r="AS12" s="100">
        <v>4.9522154780880392</v>
      </c>
      <c r="AT12" s="100">
        <v>5.0880956456306228</v>
      </c>
      <c r="AU12" s="100">
        <v>5.2277041283107648</v>
      </c>
    </row>
    <row r="13" spans="1:48" x14ac:dyDescent="0.2">
      <c r="A13" t="s">
        <v>187</v>
      </c>
      <c r="B13" t="s">
        <v>197</v>
      </c>
      <c r="C13" t="s">
        <v>229</v>
      </c>
      <c r="M13" s="100">
        <v>0</v>
      </c>
      <c r="N13" s="100">
        <v>0</v>
      </c>
      <c r="O13" s="100">
        <v>0</v>
      </c>
      <c r="P13" s="100">
        <v>0</v>
      </c>
      <c r="Q13" s="100">
        <v>0</v>
      </c>
      <c r="R13" s="100">
        <v>0</v>
      </c>
      <c r="S13" s="100">
        <v>0</v>
      </c>
      <c r="T13" s="100">
        <v>0</v>
      </c>
      <c r="U13" s="100">
        <v>0</v>
      </c>
      <c r="V13" s="100">
        <v>0</v>
      </c>
      <c r="W13" s="100">
        <v>0</v>
      </c>
      <c r="X13" s="100">
        <v>0</v>
      </c>
      <c r="Y13" s="100">
        <v>0</v>
      </c>
      <c r="Z13" s="100">
        <v>0</v>
      </c>
      <c r="AA13" s="100">
        <v>0</v>
      </c>
      <c r="AB13" s="100">
        <v>0</v>
      </c>
      <c r="AC13" s="100">
        <v>0</v>
      </c>
      <c r="AD13" s="100">
        <v>0</v>
      </c>
      <c r="AE13" s="100">
        <v>0</v>
      </c>
      <c r="AF13" s="100">
        <v>0</v>
      </c>
      <c r="AG13" s="100">
        <v>0</v>
      </c>
      <c r="AH13" s="100">
        <v>0</v>
      </c>
      <c r="AI13" s="100">
        <v>0</v>
      </c>
      <c r="AJ13" s="100">
        <v>0</v>
      </c>
      <c r="AK13" s="100">
        <v>0</v>
      </c>
      <c r="AL13" s="100">
        <v>0</v>
      </c>
      <c r="AM13" s="100">
        <v>0</v>
      </c>
      <c r="AN13" s="100">
        <v>0</v>
      </c>
      <c r="AO13" s="100">
        <v>0</v>
      </c>
      <c r="AP13" s="100">
        <v>0</v>
      </c>
      <c r="AQ13" s="100">
        <v>0</v>
      </c>
      <c r="AR13" s="100">
        <v>0</v>
      </c>
      <c r="AS13" s="100">
        <v>0</v>
      </c>
      <c r="AT13" s="100">
        <v>0</v>
      </c>
      <c r="AU13" s="100">
        <v>0</v>
      </c>
    </row>
    <row r="14" spans="1:48" x14ac:dyDescent="0.2">
      <c r="A14" t="s">
        <v>187</v>
      </c>
      <c r="B14" t="s">
        <v>197</v>
      </c>
      <c r="C14" t="s">
        <v>230</v>
      </c>
      <c r="M14" s="100">
        <v>22.438104800837216</v>
      </c>
      <c r="N14" s="100">
        <v>12.150425365074183</v>
      </c>
      <c r="O14" s="100">
        <v>0.88672355331139774</v>
      </c>
      <c r="P14" s="100">
        <v>3.0830889954698728</v>
      </c>
      <c r="Q14" s="100">
        <v>3.6081419631710627</v>
      </c>
      <c r="R14" s="100">
        <v>1.6981243059316427</v>
      </c>
      <c r="S14" s="100">
        <v>2.6863155520209494</v>
      </c>
      <c r="T14" s="100">
        <v>3.6792551964824618</v>
      </c>
      <c r="U14" s="100">
        <v>3.7593545456512292</v>
      </c>
      <c r="V14" s="100">
        <v>4.7510060416992674</v>
      </c>
      <c r="W14" s="100">
        <v>4.9637588165611497</v>
      </c>
      <c r="X14" s="100">
        <v>5.1870295141917673</v>
      </c>
      <c r="Y14" s="100">
        <v>5.4213751431814705</v>
      </c>
      <c r="Z14" s="100">
        <v>5.6673834639436915</v>
      </c>
      <c r="AA14" s="100">
        <v>5.9256747261140861</v>
      </c>
      <c r="AB14" s="100">
        <v>6.1969035053097041</v>
      </c>
      <c r="AC14" s="100">
        <v>6.4817606449659131</v>
      </c>
      <c r="AD14" s="100">
        <v>6.7809753092991585</v>
      </c>
      <c r="AE14" s="100">
        <v>7.0953171537924344</v>
      </c>
      <c r="AF14" s="100">
        <v>7.4255986199703843</v>
      </c>
      <c r="AG14" s="100">
        <v>7.7726773616209757</v>
      </c>
      <c r="AH14" s="100">
        <v>8.1374588100342855</v>
      </c>
      <c r="AI14" s="100">
        <v>8.5208988862662807</v>
      </c>
      <c r="AJ14" s="100">
        <v>8.92400686889785</v>
      </c>
      <c r="AK14" s="100">
        <v>9.3478484262485431</v>
      </c>
      <c r="AL14" s="100">
        <v>9.793548822522256</v>
      </c>
      <c r="AM14" s="100">
        <v>10.262296307909031</v>
      </c>
      <c r="AN14" s="100">
        <v>10.75534570324753</v>
      </c>
      <c r="AO14" s="100">
        <v>11.27402219046359</v>
      </c>
      <c r="AP14" s="100">
        <v>11.819725320649839</v>
      </c>
      <c r="AQ14" s="100">
        <v>12.393933252336732</v>
      </c>
      <c r="AR14" s="100">
        <v>12.998207233229655</v>
      </c>
      <c r="AS14" s="100">
        <v>13.63419633945491</v>
      </c>
      <c r="AT14" s="100">
        <v>14.303642487169414</v>
      </c>
      <c r="AU14" s="100">
        <v>15.008385732244827</v>
      </c>
    </row>
    <row r="15" spans="1:48" x14ac:dyDescent="0.2">
      <c r="A15" t="s">
        <v>187</v>
      </c>
      <c r="B15" t="s">
        <v>197</v>
      </c>
      <c r="C15" t="s">
        <v>233</v>
      </c>
      <c r="M15" s="100">
        <v>2.7823283999999999</v>
      </c>
      <c r="N15" s="100">
        <v>-0.46001839999999994</v>
      </c>
      <c r="O15" s="100">
        <v>-0.96500179999999991</v>
      </c>
      <c r="P15" s="100">
        <v>3.5491667999999996</v>
      </c>
      <c r="Q15" s="100">
        <v>3.3519556000000001</v>
      </c>
      <c r="R15" s="100">
        <v>-7.1985261999999999</v>
      </c>
      <c r="S15" s="100">
        <v>1.2546822</v>
      </c>
      <c r="T15" s="100">
        <v>1.6720632</v>
      </c>
      <c r="U15" s="100">
        <v>16.5322022</v>
      </c>
      <c r="V15" s="100">
        <v>-15.398669816666667</v>
      </c>
      <c r="W15" s="100">
        <v>-0.15360546550000037</v>
      </c>
      <c r="X15" s="100">
        <v>-0.14899730153499974</v>
      </c>
      <c r="Y15" s="100">
        <v>-0.14452738248895</v>
      </c>
      <c r="Z15" s="100">
        <v>-0.1401915610142819</v>
      </c>
      <c r="AA15" s="100">
        <v>-0.13598581418385339</v>
      </c>
      <c r="AB15" s="100">
        <v>-0.13190623975833737</v>
      </c>
      <c r="AC15" s="100">
        <v>-0.12794905256558717</v>
      </c>
      <c r="AD15" s="100">
        <v>-0.12411058098862006</v>
      </c>
      <c r="AE15" s="100">
        <v>-0.12038726355896086</v>
      </c>
      <c r="AF15" s="100">
        <v>-0.11677564565219252</v>
      </c>
      <c r="AG15" s="100">
        <v>-0.11327237628262676</v>
      </c>
      <c r="AH15" s="100">
        <v>-0.10987420499414755</v>
      </c>
      <c r="AI15" s="100">
        <v>-0.10657797884432342</v>
      </c>
      <c r="AJ15" s="100">
        <v>-0.10338063947899376</v>
      </c>
      <c r="AK15" s="100">
        <v>-0.10027922029462397</v>
      </c>
      <c r="AL15" s="100">
        <v>-9.7270843685785272E-2</v>
      </c>
      <c r="AM15" s="100">
        <v>-9.4352718375211572E-2</v>
      </c>
      <c r="AN15" s="100">
        <v>-9.1522136823955283E-2</v>
      </c>
      <c r="AO15" s="100">
        <v>-8.8776472719236388E-2</v>
      </c>
      <c r="AP15" s="100">
        <v>-8.6113178537659388E-2</v>
      </c>
      <c r="AQ15" s="100">
        <v>-8.3529783181529593E-2</v>
      </c>
      <c r="AR15" s="100">
        <v>-8.1023889686083594E-2</v>
      </c>
      <c r="AS15" s="100">
        <v>-7.8593172995501226E-2</v>
      </c>
      <c r="AT15" s="100">
        <v>-7.6235377805636384E-2</v>
      </c>
      <c r="AU15" s="100">
        <v>-7.3948316471467018E-2</v>
      </c>
    </row>
    <row r="16" spans="1:48" x14ac:dyDescent="0.2">
      <c r="A16" t="s">
        <v>187</v>
      </c>
      <c r="B16" t="s">
        <v>197</v>
      </c>
      <c r="C16" t="s">
        <v>234</v>
      </c>
      <c r="M16" s="100">
        <v>64.755999999999986</v>
      </c>
      <c r="N16" s="100">
        <v>4.8567000000000089</v>
      </c>
      <c r="O16" s="100">
        <v>4.8567</v>
      </c>
      <c r="P16" s="100">
        <v>4.8567000000000089</v>
      </c>
      <c r="Q16" s="100">
        <v>4.8567</v>
      </c>
      <c r="R16" s="100">
        <v>4.8567</v>
      </c>
      <c r="S16" s="100">
        <v>4.8567000000000187</v>
      </c>
      <c r="T16" s="100">
        <v>4.8567</v>
      </c>
      <c r="U16" s="100">
        <v>4.8567</v>
      </c>
      <c r="V16" s="100">
        <v>5.6121866666666591</v>
      </c>
      <c r="W16" s="100">
        <v>6.3676733333333395</v>
      </c>
      <c r="X16" s="100">
        <v>7.1231599999999995</v>
      </c>
      <c r="Y16" s="100">
        <v>7.6217811999999991</v>
      </c>
      <c r="Z16" s="100">
        <v>8.1553058839999952</v>
      </c>
      <c r="AA16" s="100">
        <v>8.7261772958799977</v>
      </c>
      <c r="AB16" s="100">
        <v>9.3370097065916102</v>
      </c>
      <c r="AC16" s="100">
        <v>9.9906003860530017</v>
      </c>
      <c r="AD16" s="100">
        <v>10.689942413076714</v>
      </c>
      <c r="AE16" s="100">
        <v>11.4382383819921</v>
      </c>
      <c r="AF16" s="100">
        <v>12.238915068731577</v>
      </c>
      <c r="AG16" s="100">
        <v>13.095639123542741</v>
      </c>
      <c r="AH16" s="100">
        <v>14.012333862190754</v>
      </c>
      <c r="AI16" s="100">
        <v>14.993197232544095</v>
      </c>
      <c r="AJ16" s="100">
        <v>16.042721038822158</v>
      </c>
      <c r="AK16" s="100">
        <v>17.165711511539747</v>
      </c>
      <c r="AL16" s="100">
        <v>18.3673113173475</v>
      </c>
      <c r="AM16" s="100">
        <v>19.653023109561857</v>
      </c>
      <c r="AN16" s="100">
        <v>21.028734727231225</v>
      </c>
      <c r="AO16" s="100">
        <v>22.500746158137385</v>
      </c>
      <c r="AP16" s="100">
        <v>24.075798389206884</v>
      </c>
      <c r="AQ16" s="100">
        <v>25.761104276451466</v>
      </c>
      <c r="AR16" s="100">
        <v>27.564381575803086</v>
      </c>
      <c r="AS16" s="100">
        <v>29.493888286109307</v>
      </c>
      <c r="AT16" s="100">
        <v>31.558460466136957</v>
      </c>
      <c r="AU16" s="100">
        <v>33.767552698766508</v>
      </c>
    </row>
  </sheetData>
  <phoneticPr fontId="11" type="noConversion"/>
  <hyperlinks>
    <hyperlink ref="A1" location="Content!A1" display="Back to table of contents" xr:uid="{00000000-0004-0000-0700-000000000000}"/>
    <hyperlink ref="B1" location="Parameters!A1" display="Parameters List" xr:uid="{00000000-0004-0000-0700-00000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V16"/>
  <sheetViews>
    <sheetView topLeftCell="H1" zoomScale="125" zoomScaleNormal="100" workbookViewId="0">
      <selection activeCell="M4" sqref="M4:AU16"/>
    </sheetView>
  </sheetViews>
  <sheetFormatPr baseColWidth="10" defaultColWidth="9.1640625" defaultRowHeight="15" x14ac:dyDescent="0.2"/>
  <cols>
    <col min="1" max="1" width="16.5" customWidth="1"/>
    <col min="2" max="2" width="15.5" customWidth="1"/>
    <col min="3" max="3" width="21" bestFit="1" customWidth="1"/>
    <col min="6" max="6" width="10.1640625" customWidth="1"/>
    <col min="8" max="8" width="21.1640625" customWidth="1"/>
    <col min="9" max="9" width="9.5" customWidth="1"/>
    <col min="10" max="10" width="18.5" customWidth="1"/>
    <col min="11" max="11" width="9.1640625" customWidth="1"/>
    <col min="12" max="14" width="8.5" customWidth="1"/>
    <col min="15" max="47" width="6.5" customWidth="1"/>
    <col min="48" max="48" width="6.83203125" customWidth="1"/>
  </cols>
  <sheetData>
    <row r="1" spans="1:48" ht="16" thickBot="1" x14ac:dyDescent="0.25">
      <c r="A1" s="68" t="s">
        <v>174</v>
      </c>
      <c r="B1" s="69" t="s">
        <v>175</v>
      </c>
      <c r="C1" s="69"/>
      <c r="D1" s="21"/>
      <c r="E1" s="21"/>
      <c r="F1" s="22"/>
      <c r="G1" s="22"/>
      <c r="H1" s="22"/>
      <c r="I1" s="22"/>
      <c r="J1" s="22"/>
      <c r="K1" s="22"/>
      <c r="L1" s="22"/>
    </row>
    <row r="2" spans="1:48" ht="16" thickBot="1" x14ac:dyDescent="0.25">
      <c r="A2" s="76" t="s">
        <v>111</v>
      </c>
      <c r="B2" s="75" t="s">
        <v>131</v>
      </c>
      <c r="C2" s="75" t="s">
        <v>116</v>
      </c>
      <c r="D2" s="75" t="s">
        <v>134</v>
      </c>
      <c r="E2" s="75" t="s">
        <v>137</v>
      </c>
      <c r="F2" s="75" t="s">
        <v>125</v>
      </c>
      <c r="G2" s="75" t="s">
        <v>143</v>
      </c>
      <c r="H2" s="75" t="s">
        <v>128</v>
      </c>
      <c r="I2" s="75" t="s">
        <v>119</v>
      </c>
      <c r="J2" s="75" t="s">
        <v>140</v>
      </c>
      <c r="K2" s="75" t="s">
        <v>122</v>
      </c>
      <c r="L2" s="75" t="s">
        <v>131</v>
      </c>
      <c r="M2" s="75">
        <v>2016</v>
      </c>
      <c r="N2" s="75">
        <v>2017</v>
      </c>
      <c r="O2" s="75">
        <v>2018</v>
      </c>
      <c r="P2" s="75">
        <v>2019</v>
      </c>
      <c r="Q2" s="75">
        <v>2020</v>
      </c>
      <c r="R2" s="75">
        <v>2021</v>
      </c>
      <c r="S2" s="75">
        <v>2022</v>
      </c>
      <c r="T2" s="75">
        <v>2023</v>
      </c>
      <c r="U2" s="75">
        <v>2024</v>
      </c>
      <c r="V2" s="75">
        <v>2025</v>
      </c>
      <c r="W2" s="75">
        <v>2026</v>
      </c>
      <c r="X2" s="75">
        <v>2027</v>
      </c>
      <c r="Y2" s="75">
        <v>2028</v>
      </c>
      <c r="Z2" s="75">
        <v>2029</v>
      </c>
      <c r="AA2" s="75">
        <v>2030</v>
      </c>
      <c r="AB2" s="75">
        <v>2031</v>
      </c>
      <c r="AC2" s="75">
        <v>2032</v>
      </c>
      <c r="AD2" s="75">
        <v>2033</v>
      </c>
      <c r="AE2" s="75">
        <v>2034</v>
      </c>
      <c r="AF2" s="75">
        <v>2035</v>
      </c>
      <c r="AG2" s="75">
        <v>2036</v>
      </c>
      <c r="AH2" s="75">
        <v>2037</v>
      </c>
      <c r="AI2" s="75">
        <v>2038</v>
      </c>
      <c r="AJ2" s="75">
        <v>2039</v>
      </c>
      <c r="AK2" s="75">
        <v>2040</v>
      </c>
      <c r="AL2" s="75">
        <v>2041</v>
      </c>
      <c r="AM2" s="75">
        <v>2042</v>
      </c>
      <c r="AN2" s="75">
        <v>2043</v>
      </c>
      <c r="AO2" s="75">
        <v>2044</v>
      </c>
      <c r="AP2" s="75">
        <v>2045</v>
      </c>
      <c r="AQ2" s="75">
        <v>2046</v>
      </c>
      <c r="AR2" s="75">
        <v>2047</v>
      </c>
      <c r="AS2" s="75">
        <v>2048</v>
      </c>
      <c r="AT2" s="75">
        <v>2049</v>
      </c>
      <c r="AU2" s="75">
        <v>2050</v>
      </c>
      <c r="AV2" s="77" t="s">
        <v>170</v>
      </c>
    </row>
    <row r="3" spans="1:48" x14ac:dyDescent="0.2">
      <c r="A3" s="66" t="s">
        <v>192</v>
      </c>
      <c r="B3" t="s">
        <v>197</v>
      </c>
      <c r="C3" t="s">
        <v>207</v>
      </c>
      <c r="H3">
        <v>1</v>
      </c>
      <c r="M3">
        <v>17.738599917977481</v>
      </c>
      <c r="N3">
        <v>18.290274406516673</v>
      </c>
      <c r="O3">
        <v>18.900950414230067</v>
      </c>
      <c r="P3">
        <v>19.585009655257991</v>
      </c>
      <c r="Q3">
        <v>20.160326841246246</v>
      </c>
      <c r="R3">
        <v>20.825617627007372</v>
      </c>
      <c r="S3">
        <v>21.450386155817593</v>
      </c>
      <c r="T3">
        <v>22.093897740492121</v>
      </c>
      <c r="U3">
        <v>22.756714672706885</v>
      </c>
      <c r="V3">
        <v>23.439416112888093</v>
      </c>
      <c r="W3">
        <v>24.142598596274738</v>
      </c>
      <c r="X3">
        <v>24.866876554162982</v>
      </c>
      <c r="Y3">
        <v>25.612882850787873</v>
      </c>
      <c r="Z3">
        <v>26.381269336311512</v>
      </c>
      <c r="AA3">
        <v>27.172707416400858</v>
      </c>
      <c r="AB3">
        <v>27.987888638892883</v>
      </c>
      <c r="AC3">
        <v>28.827525298059669</v>
      </c>
      <c r="AD3">
        <v>29.69235105700146</v>
      </c>
      <c r="AE3">
        <v>30.583121588711503</v>
      </c>
      <c r="AF3">
        <v>31.500615236372848</v>
      </c>
      <c r="AG3">
        <v>32.445633693464032</v>
      </c>
      <c r="AH3">
        <v>33.419002704267953</v>
      </c>
      <c r="AI3">
        <v>34.421572785395995</v>
      </c>
      <c r="AJ3">
        <v>35.454219968957872</v>
      </c>
      <c r="AK3">
        <v>36.517846568026613</v>
      </c>
      <c r="AL3">
        <v>37.613381965067411</v>
      </c>
      <c r="AM3">
        <v>38.741783424019438</v>
      </c>
      <c r="AN3">
        <v>39.904036926740019</v>
      </c>
      <c r="AO3">
        <v>41.101158034542223</v>
      </c>
      <c r="AP3">
        <v>42.334192775578494</v>
      </c>
      <c r="AQ3">
        <v>43.604218558845851</v>
      </c>
      <c r="AR3">
        <v>44.912345115611231</v>
      </c>
      <c r="AS3">
        <v>46.259715469079566</v>
      </c>
      <c r="AT3">
        <v>47.647506933151952</v>
      </c>
      <c r="AU3">
        <v>49.076932141146514</v>
      </c>
    </row>
    <row r="4" spans="1:48" x14ac:dyDescent="0.2">
      <c r="A4" s="66" t="s">
        <v>192</v>
      </c>
      <c r="B4" t="s">
        <v>197</v>
      </c>
      <c r="C4" t="s">
        <v>232</v>
      </c>
      <c r="H4">
        <v>1</v>
      </c>
      <c r="M4">
        <v>-6.7999166284396955</v>
      </c>
      <c r="N4">
        <v>-7.1399124598616801</v>
      </c>
      <c r="O4">
        <v>-7.4969080828547643</v>
      </c>
      <c r="P4">
        <v>-7.8717534869975037</v>
      </c>
      <c r="Q4">
        <v>-8.2653411613473793</v>
      </c>
      <c r="R4">
        <v>-8.67860821941475</v>
      </c>
      <c r="S4">
        <v>-9.1125386303854885</v>
      </c>
      <c r="T4">
        <v>-9.5681655619047614</v>
      </c>
      <c r="U4">
        <v>-10.046573840000002</v>
      </c>
      <c r="V4">
        <v>-10.800066878000001</v>
      </c>
      <c r="W4">
        <v>-11.61007189385</v>
      </c>
      <c r="X4">
        <v>-12.480827285888749</v>
      </c>
      <c r="Y4">
        <v>-13.416889332330406</v>
      </c>
      <c r="Z4">
        <v>-14.423156032255184</v>
      </c>
      <c r="AA4">
        <v>-15.504892734674321</v>
      </c>
      <c r="AB4">
        <v>-16.667759689774897</v>
      </c>
      <c r="AC4">
        <v>-17.917841666508011</v>
      </c>
      <c r="AD4">
        <v>-19.261679791496114</v>
      </c>
      <c r="AE4">
        <v>-20.706305775858322</v>
      </c>
      <c r="AF4">
        <v>-22.259278709047695</v>
      </c>
      <c r="AG4">
        <v>-23.928724612226269</v>
      </c>
      <c r="AH4">
        <v>-25.72337895814324</v>
      </c>
      <c r="AI4">
        <v>-27.652632380003979</v>
      </c>
      <c r="AJ4">
        <v>-29.726579808504276</v>
      </c>
      <c r="AK4">
        <v>-31.956073294142094</v>
      </c>
      <c r="AL4">
        <v>-34.352778791202752</v>
      </c>
      <c r="AM4">
        <v>-36.929237200542957</v>
      </c>
      <c r="AN4">
        <v>-39.698929990583672</v>
      </c>
      <c r="AO4">
        <v>-42.676349739877445</v>
      </c>
      <c r="AP4">
        <v>-45.877075970368253</v>
      </c>
      <c r="AQ4">
        <v>-49.317856668145872</v>
      </c>
      <c r="AR4">
        <v>-53.016695918256808</v>
      </c>
      <c r="AS4">
        <v>-56.992948112126065</v>
      </c>
      <c r="AT4">
        <v>-61.267419220535515</v>
      </c>
      <c r="AU4">
        <v>-65.862475662075681</v>
      </c>
    </row>
    <row r="5" spans="1:48" x14ac:dyDescent="0.2">
      <c r="A5" s="66" t="s">
        <v>192</v>
      </c>
      <c r="B5" t="s">
        <v>197</v>
      </c>
      <c r="C5" t="s">
        <v>231</v>
      </c>
      <c r="H5">
        <v>1</v>
      </c>
      <c r="M5">
        <v>-2.5959525157414327</v>
      </c>
      <c r="N5">
        <v>-2.6065381367639513</v>
      </c>
      <c r="O5">
        <v>-2.5940207978459333</v>
      </c>
      <c r="P5">
        <v>-2.3345808299121291</v>
      </c>
      <c r="Q5">
        <v>-2.2151525403742474</v>
      </c>
      <c r="R5">
        <v>-2.3141930456935267</v>
      </c>
      <c r="S5">
        <v>-2.2041406102240333</v>
      </c>
      <c r="T5">
        <v>-2.1341291467337129</v>
      </c>
      <c r="U5">
        <v>-2.0663415000894325</v>
      </c>
      <c r="V5">
        <v>-1.9678898007144046</v>
      </c>
      <c r="W5">
        <v>-1.8741288734646093</v>
      </c>
      <c r="X5">
        <v>-1.784835224553037</v>
      </c>
      <c r="Y5">
        <v>-1.6997960086470258</v>
      </c>
      <c r="Z5">
        <v>-1.61880852151823</v>
      </c>
      <c r="AA5">
        <v>-1.5416797168654905</v>
      </c>
      <c r="AB5">
        <v>-1.4682257461588817</v>
      </c>
      <c r="AC5">
        <v>-1.398271520408078</v>
      </c>
      <c r="AD5">
        <v>-1.3316502928104514</v>
      </c>
      <c r="AE5">
        <v>-1.268203261284071</v>
      </c>
      <c r="AF5">
        <v>-1.2077791899381847</v>
      </c>
      <c r="AG5">
        <v>-1.1502340485788971</v>
      </c>
      <c r="AH5">
        <v>-1.0954306693907474</v>
      </c>
      <c r="AI5">
        <v>-1.0432384199758389</v>
      </c>
      <c r="AJ5">
        <v>-0.99353289197115291</v>
      </c>
      <c r="AK5">
        <v>-0.94619560450181994</v>
      </c>
      <c r="AL5">
        <v>-0.90111372176348548</v>
      </c>
      <c r="AM5">
        <v>-0.85817978406057849</v>
      </c>
      <c r="AN5">
        <v>-0.81729145165937478</v>
      </c>
      <c r="AO5">
        <v>-0.77835126084528783</v>
      </c>
      <c r="AP5">
        <v>-0.74126639160291075</v>
      </c>
      <c r="AQ5">
        <v>-0.70594844636503828</v>
      </c>
      <c r="AR5">
        <v>-0.67231323930328657</v>
      </c>
      <c r="AS5">
        <v>-0.64028059565804518</v>
      </c>
      <c r="AT5">
        <v>-0.60977416062943957</v>
      </c>
      <c r="AU5">
        <v>-0.58072121737376203</v>
      </c>
    </row>
    <row r="6" spans="1:48" x14ac:dyDescent="0.2">
      <c r="A6" s="66" t="s">
        <v>192</v>
      </c>
      <c r="B6" t="s">
        <v>197</v>
      </c>
      <c r="C6" t="s">
        <v>215</v>
      </c>
      <c r="H6">
        <v>1</v>
      </c>
      <c r="M6">
        <v>97.846171941049363</v>
      </c>
      <c r="N6">
        <v>98.117417348228983</v>
      </c>
      <c r="O6">
        <v>98.555930946083365</v>
      </c>
      <c r="P6">
        <v>99.056428150914229</v>
      </c>
      <c r="Q6">
        <v>99.491713668504971</v>
      </c>
      <c r="R6">
        <v>99.926968539433048</v>
      </c>
      <c r="S6">
        <v>100.36219276693508</v>
      </c>
      <c r="T6">
        <v>100.81727724212226</v>
      </c>
      <c r="U6">
        <v>101.27442526209506</v>
      </c>
      <c r="V6">
        <v>101.73364618383511</v>
      </c>
      <c r="W6">
        <v>102.19494940675257</v>
      </c>
      <c r="X6">
        <v>102.65834437287846</v>
      </c>
      <c r="Y6">
        <v>103.12384056705795</v>
      </c>
      <c r="Z6">
        <v>103.59144751714452</v>
      </c>
      <c r="AA6">
        <v>104.06117479419494</v>
      </c>
      <c r="AB6">
        <v>104.53303201266515</v>
      </c>
      <c r="AC6">
        <v>105.00702883060715</v>
      </c>
      <c r="AD6">
        <v>105.48317494986658</v>
      </c>
      <c r="AE6">
        <v>105.96148011628134</v>
      </c>
      <c r="AF6">
        <v>106.44195411988105</v>
      </c>
      <c r="AG6">
        <v>106.92460679508748</v>
      </c>
      <c r="AH6">
        <v>107.40944802091579</v>
      </c>
      <c r="AI6">
        <v>107.89648772117678</v>
      </c>
      <c r="AJ6">
        <v>108.38573586467997</v>
      </c>
      <c r="AK6">
        <v>108.87720246543768</v>
      </c>
      <c r="AL6">
        <v>109.37089758286996</v>
      </c>
      <c r="AM6">
        <v>109.86683132201051</v>
      </c>
      <c r="AN6">
        <v>110.36501383371356</v>
      </c>
      <c r="AO6">
        <v>110.86545531486151</v>
      </c>
      <c r="AP6">
        <v>111.36816600857379</v>
      </c>
      <c r="AQ6">
        <v>111.87315620441643</v>
      </c>
      <c r="AR6">
        <v>112.3804362386127</v>
      </c>
      <c r="AS6">
        <v>112.89001649425461</v>
      </c>
      <c r="AT6">
        <v>113.40190740151552</v>
      </c>
      <c r="AU6">
        <v>113.91611943786359</v>
      </c>
    </row>
    <row r="7" spans="1:48" x14ac:dyDescent="0.2">
      <c r="A7" s="66" t="s">
        <v>192</v>
      </c>
      <c r="B7" t="s">
        <v>197</v>
      </c>
      <c r="C7" t="s">
        <v>217</v>
      </c>
      <c r="H7">
        <v>1</v>
      </c>
      <c r="M7">
        <v>58.42509243372001</v>
      </c>
      <c r="N7">
        <v>68.162607839339998</v>
      </c>
      <c r="O7">
        <v>77.900123244960014</v>
      </c>
      <c r="P7">
        <v>87.637638650580016</v>
      </c>
      <c r="Q7">
        <v>97.375154056200017</v>
      </c>
      <c r="R7">
        <v>99.66025679643684</v>
      </c>
      <c r="S7">
        <v>101.9358991001267</v>
      </c>
      <c r="T7">
        <v>104.1989779960486</v>
      </c>
      <c r="U7">
        <v>106.44634155346736</v>
      </c>
      <c r="V7">
        <v>108.74217624809255</v>
      </c>
      <c r="W7">
        <v>111.08752750541142</v>
      </c>
      <c r="X7">
        <v>113.48346329864813</v>
      </c>
      <c r="Y7">
        <v>115.93107463507337</v>
      </c>
      <c r="Z7">
        <v>118.43147605280264</v>
      </c>
      <c r="AA7">
        <v>120.98580612830949</v>
      </c>
      <c r="AB7">
        <v>123.59522799488487</v>
      </c>
      <c r="AC7">
        <v>126.26092987227854</v>
      </c>
      <c r="AD7">
        <v>128.98412560776384</v>
      </c>
      <c r="AE7">
        <v>131.76605522887212</v>
      </c>
      <c r="AF7">
        <v>134.60798550804844</v>
      </c>
      <c r="AG7">
        <v>137.51121053948603</v>
      </c>
      <c r="AH7">
        <v>140.47705232840167</v>
      </c>
      <c r="AI7">
        <v>143.50686139302067</v>
      </c>
      <c r="AJ7">
        <v>146.60201737954529</v>
      </c>
      <c r="AK7">
        <v>149.76392969038733</v>
      </c>
      <c r="AL7">
        <v>152.9940381259496</v>
      </c>
      <c r="AM7">
        <v>156.29381354025008</v>
      </c>
      <c r="AN7">
        <v>159.66475851068623</v>
      </c>
      <c r="AO7">
        <v>163.1084080222447</v>
      </c>
      <c r="AP7">
        <v>166.62633016646848</v>
      </c>
      <c r="AQ7">
        <v>170.2201268554989</v>
      </c>
      <c r="AR7">
        <v>173.89143455151833</v>
      </c>
      <c r="AS7">
        <v>177.64192501192545</v>
      </c>
      <c r="AT7">
        <v>181.47330605058266</v>
      </c>
      <c r="AU7">
        <v>185.38732231548167</v>
      </c>
    </row>
    <row r="8" spans="1:48" x14ac:dyDescent="0.2">
      <c r="A8" s="66" t="s">
        <v>192</v>
      </c>
      <c r="B8" t="s">
        <v>197</v>
      </c>
      <c r="C8" t="s">
        <v>218</v>
      </c>
      <c r="H8">
        <v>1</v>
      </c>
      <c r="M8">
        <v>0</v>
      </c>
      <c r="N8">
        <v>0</v>
      </c>
      <c r="O8">
        <v>0</v>
      </c>
      <c r="P8">
        <v>0</v>
      </c>
      <c r="Q8">
        <v>0</v>
      </c>
      <c r="R8">
        <v>0</v>
      </c>
      <c r="S8">
        <v>0</v>
      </c>
      <c r="T8">
        <v>0</v>
      </c>
      <c r="U8">
        <v>0</v>
      </c>
      <c r="V8">
        <v>-4.0802261388115579E-3</v>
      </c>
      <c r="W8">
        <v>-8.3350848766723627E-3</v>
      </c>
      <c r="X8">
        <v>-1.2775159373266433E-2</v>
      </c>
      <c r="Y8">
        <v>-1.7411429714823602E-2</v>
      </c>
      <c r="Z8">
        <v>-2.2255223380403959E-2</v>
      </c>
      <c r="AA8">
        <v>-2.7318264739496442E-2</v>
      </c>
      <c r="AB8">
        <v>-3.2612648029427781E-2</v>
      </c>
      <c r="AC8">
        <v>-3.8150876371940499E-2</v>
      </c>
      <c r="AD8">
        <v>-4.3945879484478E-2</v>
      </c>
      <c r="AE8">
        <v>-5.0011146621271214E-2</v>
      </c>
      <c r="AF8">
        <v>-5.6360626734603743E-2</v>
      </c>
      <c r="AG8">
        <v>-6.3008886489477361E-2</v>
      </c>
      <c r="AH8">
        <v>-6.9971148075912509E-2</v>
      </c>
      <c r="AI8">
        <v>-7.7263350131239167E-2</v>
      </c>
      <c r="AJ8">
        <v>-8.4902314042596877E-2</v>
      </c>
      <c r="AK8">
        <v>-9.2905773328196412E-2</v>
      </c>
      <c r="AL8">
        <v>-0.10129241995905709</v>
      </c>
      <c r="AM8">
        <v>-0.11008192794671914</v>
      </c>
      <c r="AN8">
        <v>-0.11929512313793988</v>
      </c>
      <c r="AO8">
        <v>-0.12895395522131581</v>
      </c>
      <c r="AP8">
        <v>-0.13908161789688894</v>
      </c>
      <c r="AQ8">
        <v>-0.14970251215796598</v>
      </c>
      <c r="AR8">
        <v>-0.16084248274008181</v>
      </c>
      <c r="AS8">
        <v>-0.17252875902083251</v>
      </c>
      <c r="AT8">
        <v>-0.18479018182685072</v>
      </c>
      <c r="AU8">
        <v>-0.19765720581972446</v>
      </c>
    </row>
    <row r="9" spans="1:48" x14ac:dyDescent="0.2">
      <c r="A9" s="66" t="s">
        <v>192</v>
      </c>
      <c r="B9" t="s">
        <v>197</v>
      </c>
      <c r="C9" t="s">
        <v>221</v>
      </c>
      <c r="H9">
        <v>1</v>
      </c>
      <c r="M9">
        <v>-15.416401102399988</v>
      </c>
      <c r="N9">
        <v>-17.107387718399988</v>
      </c>
      <c r="O9">
        <v>-18.128096025599991</v>
      </c>
      <c r="P9">
        <v>-19.946671179999989</v>
      </c>
      <c r="Q9">
        <v>-21.850305359999982</v>
      </c>
      <c r="R9">
        <v>-22.690701719999986</v>
      </c>
      <c r="S9">
        <v>-23.531098079999982</v>
      </c>
      <c r="T9">
        <v>-24.371494439999978</v>
      </c>
      <c r="U9">
        <v>-25.211890799999978</v>
      </c>
      <c r="V9">
        <v>-25.968247523999977</v>
      </c>
      <c r="W9">
        <v>-26.747294949719979</v>
      </c>
      <c r="X9">
        <v>-27.549713798211577</v>
      </c>
      <c r="Y9">
        <v>-28.376205212157924</v>
      </c>
      <c r="Z9">
        <v>-29.22749136852266</v>
      </c>
      <c r="AA9">
        <v>-30.104316109578345</v>
      </c>
      <c r="AB9">
        <v>-31.00744559286569</v>
      </c>
      <c r="AC9">
        <v>-31.937668960651667</v>
      </c>
      <c r="AD9">
        <v>-32.89579902947122</v>
      </c>
      <c r="AE9">
        <v>-33.882673000355354</v>
      </c>
      <c r="AF9">
        <v>-34.390913095360681</v>
      </c>
      <c r="AG9">
        <v>-34.906776791791088</v>
      </c>
      <c r="AH9">
        <v>-35.430378443667955</v>
      </c>
      <c r="AI9">
        <v>-35.961834120322969</v>
      </c>
      <c r="AJ9">
        <v>-36.501261632127814</v>
      </c>
      <c r="AK9">
        <v>-37.048780556609728</v>
      </c>
      <c r="AL9">
        <v>-37.604512264958863</v>
      </c>
      <c r="AM9">
        <v>-38.16857994893325</v>
      </c>
      <c r="AN9">
        <v>-38.741108648167234</v>
      </c>
      <c r="AO9">
        <v>-39.322225277889743</v>
      </c>
      <c r="AP9">
        <v>-39.91205865705809</v>
      </c>
      <c r="AQ9">
        <v>-40.510739536913952</v>
      </c>
      <c r="AR9">
        <v>-41.11840062996766</v>
      </c>
      <c r="AS9">
        <v>-41.735176639417169</v>
      </c>
      <c r="AT9">
        <v>-42.361204289008427</v>
      </c>
      <c r="AU9">
        <v>-42.996622353343547</v>
      </c>
    </row>
    <row r="10" spans="1:48" x14ac:dyDescent="0.2">
      <c r="A10" s="66" t="s">
        <v>192</v>
      </c>
      <c r="B10" t="s">
        <v>197</v>
      </c>
      <c r="C10" t="s">
        <v>227</v>
      </c>
      <c r="H10">
        <v>1</v>
      </c>
      <c r="M10">
        <v>18.348729611428574</v>
      </c>
      <c r="N10">
        <v>19.380817713571428</v>
      </c>
      <c r="O10">
        <v>20.412905815714286</v>
      </c>
      <c r="P10">
        <v>21.444993917857143</v>
      </c>
      <c r="Q10">
        <v>22.477082020000001</v>
      </c>
      <c r="R10">
        <v>23.558841661088728</v>
      </c>
      <c r="S10">
        <v>24.69266339458105</v>
      </c>
      <c r="T10">
        <v>25.881052824644925</v>
      </c>
      <c r="U10">
        <v>27.126636143230261</v>
      </c>
      <c r="V10">
        <v>29.084930828821658</v>
      </c>
      <c r="W10">
        <v>31.184596455334994</v>
      </c>
      <c r="X10">
        <v>33.435838709934821</v>
      </c>
      <c r="Y10">
        <v>35.849600036928443</v>
      </c>
      <c r="Z10">
        <v>38.437612824883885</v>
      </c>
      <c r="AA10">
        <v>41.212456433370711</v>
      </c>
      <c r="AB10">
        <v>44.187618336509146</v>
      </c>
      <c r="AC10">
        <v>47.377559680523596</v>
      </c>
      <c r="AD10">
        <v>50.797785573950961</v>
      </c>
      <c r="AE10">
        <v>54.464920452158303</v>
      </c>
      <c r="AF10">
        <v>58.396788882488458</v>
      </c>
      <c r="AG10">
        <v>62.612502202797039</v>
      </c>
      <c r="AH10">
        <v>67.132551414498394</v>
      </c>
      <c r="AI10">
        <v>71.978906781638599</v>
      </c>
      <c r="AJ10">
        <v>77.175124620109457</v>
      </c>
      <c r="AK10">
        <v>82.746461796065603</v>
      </c>
      <c r="AL10">
        <v>88.719998490078666</v>
      </c>
      <c r="AM10">
        <v>95.124769823739101</v>
      </c>
      <c r="AN10">
        <v>101.99190698849303</v>
      </c>
      <c r="AO10">
        <v>109.35478856268863</v>
      </c>
      <c r="AP10">
        <v>117.24920275232736</v>
      </c>
      <c r="AQ10">
        <v>125.71352134411164</v>
      </c>
      <c r="AR10">
        <v>134.78888621630912</v>
      </c>
      <c r="AS10">
        <v>144.51940931399352</v>
      </c>
      <c r="AT10">
        <v>154.95238706066596</v>
      </c>
      <c r="AU10">
        <v>166.13853024843203</v>
      </c>
    </row>
    <row r="11" spans="1:48" x14ac:dyDescent="0.2">
      <c r="A11" s="66" t="s">
        <v>192</v>
      </c>
      <c r="B11" t="s">
        <v>197</v>
      </c>
      <c r="C11" t="s">
        <v>239</v>
      </c>
      <c r="H11">
        <v>1</v>
      </c>
      <c r="M11">
        <v>9.2947617021276602E-3</v>
      </c>
      <c r="N11">
        <v>1.2695861702127661E-2</v>
      </c>
      <c r="O11">
        <v>1.6096961702127661E-2</v>
      </c>
      <c r="P11">
        <v>1.9498061702127659E-2</v>
      </c>
      <c r="Q11">
        <v>2.2899161702127663E-2</v>
      </c>
      <c r="R11">
        <v>2.630026170212766E-2</v>
      </c>
      <c r="S11">
        <v>2.9701361702127661E-2</v>
      </c>
      <c r="T11">
        <v>3.3102461702127661E-2</v>
      </c>
      <c r="U11">
        <v>3.6503561702127658E-2</v>
      </c>
      <c r="V11">
        <v>4.184599626829788E-2</v>
      </c>
      <c r="W11">
        <v>4.7987632662041202E-2</v>
      </c>
      <c r="X11">
        <v>5.5049214646870834E-2</v>
      </c>
      <c r="Y11">
        <v>6.3169807626593813E-2</v>
      </c>
      <c r="Z11">
        <v>7.2509584055757262E-2</v>
      </c>
      <c r="AA11">
        <v>8.3253032661328025E-2</v>
      </c>
      <c r="AB11">
        <v>9.5612655983236997E-2</v>
      </c>
      <c r="AC11">
        <v>0.10983323056154536</v>
      </c>
      <c r="AD11">
        <v>0.12619671541315144</v>
      </c>
      <c r="AE11">
        <v>0.145027907478773</v>
      </c>
      <c r="AF11">
        <v>0.16670095774367305</v>
      </c>
      <c r="AG11">
        <v>0.19164687904545194</v>
      </c>
      <c r="AH11">
        <v>0.22036219652740821</v>
      </c>
      <c r="AI11">
        <v>0.25341891467769856</v>
      </c>
      <c r="AJ11">
        <v>0.29147600137511115</v>
      </c>
      <c r="AK11">
        <v>0.33529261987440151</v>
      </c>
      <c r="AL11">
        <v>0.38574337482161508</v>
      </c>
      <c r="AM11">
        <v>0.44383587889989295</v>
      </c>
      <c r="AN11">
        <v>0.51073099338383388</v>
      </c>
      <c r="AO11">
        <v>0.58776614966457708</v>
      </c>
      <c r="AP11">
        <v>0.67648222078032139</v>
      </c>
      <c r="AQ11">
        <v>0.77865448339468923</v>
      </c>
      <c r="AR11">
        <v>0.89632829294468208</v>
      </c>
      <c r="AS11">
        <v>1.0318601894861237</v>
      </c>
      <c r="AT11">
        <v>1.1879652610046865</v>
      </c>
      <c r="AU11">
        <v>1.3679298127659574</v>
      </c>
    </row>
    <row r="12" spans="1:48" x14ac:dyDescent="0.2">
      <c r="A12" s="66" t="s">
        <v>192</v>
      </c>
      <c r="B12" t="s">
        <v>197</v>
      </c>
      <c r="C12" t="s">
        <v>228</v>
      </c>
      <c r="H12">
        <v>1</v>
      </c>
      <c r="M12">
        <v>5.1335387228082903</v>
      </c>
      <c r="N12">
        <v>5.1208574559999995</v>
      </c>
      <c r="O12">
        <v>5.2686760214503998</v>
      </c>
      <c r="P12">
        <v>5.4198860284429102</v>
      </c>
      <c r="Q12">
        <v>5.5676011381073431</v>
      </c>
      <c r="R12">
        <v>5.7153058477585841</v>
      </c>
      <c r="S12">
        <v>5.8630001584949385</v>
      </c>
      <c r="T12">
        <v>6.0238706713721459</v>
      </c>
      <c r="U12">
        <v>6.1891551909377025</v>
      </c>
      <c r="V12">
        <v>6.3589748298473445</v>
      </c>
      <c r="W12">
        <v>6.5334540238771464</v>
      </c>
      <c r="X12">
        <v>6.7127206231041523</v>
      </c>
      <c r="Y12">
        <v>6.8969059855888419</v>
      </c>
      <c r="Z12">
        <v>7.0861450736280931</v>
      </c>
      <c r="AA12">
        <v>7.2805765526491495</v>
      </c>
      <c r="AB12">
        <v>7.4803428928170668</v>
      </c>
      <c r="AC12">
        <v>7.6855904734300919</v>
      </c>
      <c r="AD12">
        <v>7.8964696901794689</v>
      </c>
      <c r="AE12">
        <v>8.1131350653522727</v>
      </c>
      <c r="AF12">
        <v>8.3357453610579988</v>
      </c>
      <c r="AG12">
        <v>8.5644636955619244</v>
      </c>
      <c r="AH12">
        <v>8.7994576628104202</v>
      </c>
      <c r="AI12">
        <v>9.0408994552358504</v>
      </c>
      <c r="AJ12">
        <v>9.2889659899310217</v>
      </c>
      <c r="AK12">
        <v>9.5438390382856291</v>
      </c>
      <c r="AL12">
        <v>9.8057053591797185</v>
      </c>
      <c r="AM12">
        <v>10.074756835831728</v>
      </c>
      <c r="AN12">
        <v>10.351190616401414</v>
      </c>
      <c r="AO12">
        <v>10.635209258450661</v>
      </c>
      <c r="AP12">
        <v>10.927020877368063</v>
      </c>
      <c r="AQ12">
        <v>11.226839298866011</v>
      </c>
      <c r="AR12">
        <v>11.534884215662021</v>
      </c>
      <c r="AS12">
        <v>11.851381348459153</v>
      </c>
      <c r="AT12">
        <v>12.176562611343414</v>
      </c>
      <c r="AU12">
        <v>12.510666281719418</v>
      </c>
    </row>
    <row r="13" spans="1:48" x14ac:dyDescent="0.2">
      <c r="A13" s="66" t="s">
        <v>192</v>
      </c>
      <c r="B13" t="s">
        <v>197</v>
      </c>
      <c r="C13" t="s">
        <v>229</v>
      </c>
      <c r="H13">
        <v>1</v>
      </c>
      <c r="M13">
        <v>4.9032767739999992</v>
      </c>
      <c r="N13">
        <v>7.9174554967199979</v>
      </c>
      <c r="O13">
        <v>10.7470712039856</v>
      </c>
      <c r="P13">
        <v>14.297190162505885</v>
      </c>
      <c r="Q13">
        <v>17.230771725455767</v>
      </c>
      <c r="R13">
        <v>20.366914545546649</v>
      </c>
      <c r="S13">
        <v>22.60740797303572</v>
      </c>
      <c r="T13">
        <v>23.602425658975005</v>
      </c>
      <c r="U13">
        <v>24.347005732595502</v>
      </c>
      <c r="V13">
        <v>25.499109477105421</v>
      </c>
      <c r="W13">
        <v>26.705730933267112</v>
      </c>
      <c r="X13">
        <v>27.969449886883645</v>
      </c>
      <c r="Y13">
        <v>29.29296819958607</v>
      </c>
      <c r="Z13">
        <v>30.679115585478819</v>
      </c>
      <c r="AA13">
        <v>32.130855661136771</v>
      </c>
      <c r="AB13">
        <v>33.65129228188902</v>
      </c>
      <c r="AC13">
        <v>35.243676177936557</v>
      </c>
      <c r="AD13">
        <v>36.911411904491828</v>
      </c>
      <c r="AE13">
        <v>38.658065120800067</v>
      </c>
      <c r="AF13">
        <v>40.487370213604756</v>
      </c>
      <c r="AG13">
        <v>42.4032382813567</v>
      </c>
      <c r="AH13">
        <v>44.409765496236908</v>
      </c>
      <c r="AI13">
        <v>46.511241861871603</v>
      </c>
      <c r="AJ13">
        <v>48.712160385463534</v>
      </c>
      <c r="AK13">
        <v>51.017226683949893</v>
      </c>
      <c r="AL13">
        <v>53.431369044724875</v>
      </c>
      <c r="AM13">
        <v>55.959748962437097</v>
      </c>
      <c r="AN13">
        <v>58.607772174389808</v>
      </c>
      <c r="AO13">
        <v>61.381100218137732</v>
      </c>
      <c r="AP13">
        <v>64.285662535991023</v>
      </c>
      <c r="AQ13">
        <v>67.327669152306086</v>
      </c>
      <c r="AR13">
        <v>70.513623950667551</v>
      </c>
      <c r="AS13">
        <v>73.850338579348403</v>
      </c>
      <c r="AT13">
        <v>77.344947014778469</v>
      </c>
      <c r="AU13">
        <v>81.004920814158183</v>
      </c>
    </row>
    <row r="14" spans="1:48" x14ac:dyDescent="0.2">
      <c r="A14" s="66" t="s">
        <v>192</v>
      </c>
      <c r="B14" t="s">
        <v>197</v>
      </c>
      <c r="C14" t="s">
        <v>230</v>
      </c>
      <c r="H14">
        <v>1</v>
      </c>
      <c r="M14">
        <v>14.319570969825421</v>
      </c>
      <c r="N14">
        <v>22.073740935296602</v>
      </c>
      <c r="O14">
        <v>22.639631012242166</v>
      </c>
      <c r="P14">
        <v>24.607199666938495</v>
      </c>
      <c r="Q14">
        <v>26.909847121767452</v>
      </c>
      <c r="R14">
        <v>27.993557699385683</v>
      </c>
      <c r="S14">
        <v>29.707913102212508</v>
      </c>
      <c r="T14">
        <v>32.055943667617647</v>
      </c>
      <c r="U14">
        <v>34.455092111526334</v>
      </c>
      <c r="V14">
        <v>37.487093646238989</v>
      </c>
      <c r="W14">
        <v>40.654869948281757</v>
      </c>
      <c r="X14">
        <v>43.965133355567232</v>
      </c>
      <c r="Y14">
        <v>47.424951678277708</v>
      </c>
      <c r="Z14">
        <v>51.041767824092695</v>
      </c>
      <c r="AA14">
        <v>54.82342053219152</v>
      </c>
      <c r="AB14">
        <v>58.778166279440704</v>
      </c>
      <c r="AC14">
        <v>62.914702425824487</v>
      </c>
      <c r="AD14">
        <v>67.242191670037315</v>
      </c>
      <c r="AE14">
        <v>71.770287890238549</v>
      </c>
      <c r="AF14">
        <v>76.509163449289176</v>
      </c>
      <c r="AG14">
        <v>81.469538048356654</v>
      </c>
      <c r="AH14">
        <v>86.662709217606618</v>
      </c>
      <c r="AI14">
        <v>92.100584537809397</v>
      </c>
      <c r="AJ14">
        <v>97.79571569209584</v>
      </c>
      <c r="AK14">
        <v>103.7613344528141</v>
      </c>
      <c r="AL14">
        <v>110.01139071448755</v>
      </c>
      <c r="AM14">
        <v>116.56059269027106</v>
      </c>
      <c r="AN14">
        <v>123.42444939607063</v>
      </c>
      <c r="AO14">
        <v>130.61931555364853</v>
      </c>
      <c r="AP14">
        <v>138.16243905160871</v>
      </c>
      <c r="AQ14">
        <v>146.07201111116575</v>
      </c>
      <c r="AR14">
        <v>154.36721931207342</v>
      </c>
      <c r="AS14">
        <v>163.06830364304923</v>
      </c>
      <c r="AT14">
        <v>172.19661575051344</v>
      </c>
      <c r="AU14">
        <v>181.77468156948473</v>
      </c>
    </row>
    <row r="15" spans="1:48" x14ac:dyDescent="0.2">
      <c r="A15" s="66" t="s">
        <v>192</v>
      </c>
      <c r="B15" t="s">
        <v>197</v>
      </c>
      <c r="C15" t="s">
        <v>233</v>
      </c>
      <c r="H15">
        <v>1</v>
      </c>
      <c r="M15">
        <v>3.15733788</v>
      </c>
      <c r="N15">
        <v>2.6353170000000001</v>
      </c>
      <c r="O15">
        <v>1.5402497399999999</v>
      </c>
      <c r="P15">
        <v>5.5677824999999999</v>
      </c>
      <c r="Q15">
        <v>9.371523419999999</v>
      </c>
      <c r="R15">
        <v>1.2027610800000001</v>
      </c>
      <c r="S15">
        <v>2.62655262</v>
      </c>
      <c r="T15">
        <v>4.52398086</v>
      </c>
      <c r="U15">
        <v>23.284436400000001</v>
      </c>
      <c r="V15">
        <v>5.8102936949999995</v>
      </c>
      <c r="W15">
        <v>5.6359848841499991</v>
      </c>
      <c r="X15">
        <v>5.4669053376254997</v>
      </c>
      <c r="Y15">
        <v>5.3028981774967354</v>
      </c>
      <c r="Z15">
        <v>5.1438112321718323</v>
      </c>
      <c r="AA15">
        <v>4.9894968952066767</v>
      </c>
      <c r="AB15">
        <v>4.8398119883504762</v>
      </c>
      <c r="AC15">
        <v>4.6946176286999624</v>
      </c>
      <c r="AD15">
        <v>4.5537790998389625</v>
      </c>
      <c r="AE15">
        <v>4.4171657268437947</v>
      </c>
      <c r="AF15">
        <v>4.2846507550384807</v>
      </c>
      <c r="AG15">
        <v>4.1561112323873255</v>
      </c>
      <c r="AH15">
        <v>4.0314278954157059</v>
      </c>
      <c r="AI15">
        <v>3.9104850585532347</v>
      </c>
      <c r="AJ15">
        <v>3.7931705067966375</v>
      </c>
      <c r="AK15">
        <v>3.6793753915927381</v>
      </c>
      <c r="AL15">
        <v>3.5689941298449557</v>
      </c>
      <c r="AM15">
        <v>3.4619243059496068</v>
      </c>
      <c r="AN15">
        <v>3.3580665767711184</v>
      </c>
      <c r="AO15">
        <v>3.2573245794679848</v>
      </c>
      <c r="AP15">
        <v>3.1596048420839455</v>
      </c>
      <c r="AQ15">
        <v>3.0648166968214268</v>
      </c>
      <c r="AR15">
        <v>2.9728721959167843</v>
      </c>
      <c r="AS15">
        <v>2.8836860300392808</v>
      </c>
      <c r="AT15">
        <v>2.797175449138102</v>
      </c>
      <c r="AU15">
        <v>2.7132601856639589</v>
      </c>
    </row>
    <row r="16" spans="1:48" x14ac:dyDescent="0.2">
      <c r="A16" s="66" t="s">
        <v>192</v>
      </c>
      <c r="B16" t="s">
        <v>197</v>
      </c>
      <c r="C16" t="s">
        <v>234</v>
      </c>
      <c r="H16">
        <v>1</v>
      </c>
      <c r="M16">
        <v>-41.9</v>
      </c>
      <c r="N16">
        <v>-45.042500000000004</v>
      </c>
      <c r="O16">
        <v>-48.185000000000009</v>
      </c>
      <c r="P16">
        <v>-51.327500000000015</v>
      </c>
      <c r="Q16">
        <v>-54.470000000000013</v>
      </c>
      <c r="R16">
        <v>-57.612500000000011</v>
      </c>
      <c r="S16">
        <v>-60.755000000000024</v>
      </c>
      <c r="T16">
        <v>-63.897500000000022</v>
      </c>
      <c r="U16">
        <v>-67.04000000000002</v>
      </c>
      <c r="V16">
        <v>-70.671333333333365</v>
      </c>
      <c r="W16">
        <v>-74.791500000000028</v>
      </c>
      <c r="X16">
        <v>-79.400500000000036</v>
      </c>
      <c r="Y16">
        <v>-84.332130000000035</v>
      </c>
      <c r="Z16">
        <v>-89.608974100000026</v>
      </c>
      <c r="AA16">
        <v>-95.255197287000016</v>
      </c>
      <c r="AB16">
        <v>-101.29665609709002</v>
      </c>
      <c r="AC16">
        <v>-107.76101702388632</v>
      </c>
      <c r="AD16">
        <v>-114.67788321555835</v>
      </c>
      <c r="AE16">
        <v>-122.07893004064745</v>
      </c>
      <c r="AF16">
        <v>-129.99805014349278</v>
      </c>
      <c r="AG16">
        <v>-138.47150865353728</v>
      </c>
      <c r="AH16">
        <v>-147.53810925928488</v>
      </c>
      <c r="AI16">
        <v>-157.23937190743484</v>
      </c>
      <c r="AJ16">
        <v>-167.61972294095526</v>
      </c>
      <c r="AK16">
        <v>-178.72669854682212</v>
      </c>
      <c r="AL16">
        <v>-190.61116244509969</v>
      </c>
      <c r="AM16">
        <v>-203.32753881625666</v>
      </c>
      <c r="AN16">
        <v>-216.93406153339467</v>
      </c>
      <c r="AO16">
        <v>-231.49304084073231</v>
      </c>
      <c r="AP16">
        <v>-247.07114869958349</v>
      </c>
      <c r="AQ16">
        <v>-263.73972410855436</v>
      </c>
      <c r="AR16">
        <v>-281.57509979615321</v>
      </c>
      <c r="AS16">
        <v>-300.65895178188396</v>
      </c>
      <c r="AT16">
        <v>-321.07867340661585</v>
      </c>
      <c r="AU16">
        <v>-342.92777554507893</v>
      </c>
    </row>
  </sheetData>
  <hyperlinks>
    <hyperlink ref="A1" location="Content!A1" display="Back to table of contents" xr:uid="{00000000-0004-0000-1400-000000000000}"/>
    <hyperlink ref="B1" location="Parameters!A1" display="Parameters List" xr:uid="{00000000-0004-0000-1400-000001000000}"/>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V16"/>
  <sheetViews>
    <sheetView zoomScale="125" zoomScaleNormal="100" workbookViewId="0">
      <selection activeCell="C3" sqref="C3"/>
    </sheetView>
  </sheetViews>
  <sheetFormatPr baseColWidth="10" defaultColWidth="9.1640625" defaultRowHeight="15" x14ac:dyDescent="0.2"/>
  <cols>
    <col min="1" max="1" width="16.5" customWidth="1"/>
    <col min="2" max="2" width="15.5" customWidth="1"/>
    <col min="3" max="3" width="23" bestFit="1" customWidth="1"/>
    <col min="6" max="6" width="10.1640625" customWidth="1"/>
    <col min="8" max="8" width="21.1640625" customWidth="1"/>
    <col min="9" max="9" width="9.5" customWidth="1"/>
    <col min="10" max="10" width="18.5" customWidth="1"/>
    <col min="11" max="11" width="9.1640625" customWidth="1"/>
    <col min="12" max="14" width="8.5" customWidth="1"/>
    <col min="15" max="47" width="6.5" customWidth="1"/>
    <col min="48" max="48" width="6.83203125" customWidth="1"/>
  </cols>
  <sheetData>
    <row r="1" spans="1:48" ht="16" thickBot="1" x14ac:dyDescent="0.25">
      <c r="A1" s="68" t="s">
        <v>174</v>
      </c>
      <c r="B1" s="69" t="s">
        <v>175</v>
      </c>
      <c r="C1" s="69"/>
      <c r="D1" s="21"/>
      <c r="E1" s="21"/>
      <c r="F1" s="22"/>
      <c r="G1" s="22"/>
      <c r="H1" s="22"/>
      <c r="I1" s="22"/>
      <c r="J1" s="22"/>
      <c r="K1" s="22"/>
      <c r="L1" s="22"/>
    </row>
    <row r="2" spans="1:48" ht="16" thickBot="1" x14ac:dyDescent="0.25">
      <c r="A2" s="76" t="s">
        <v>111</v>
      </c>
      <c r="B2" s="75" t="s">
        <v>131</v>
      </c>
      <c r="C2" s="75" t="s">
        <v>116</v>
      </c>
      <c r="D2" s="75" t="s">
        <v>134</v>
      </c>
      <c r="E2" s="75" t="s">
        <v>137</v>
      </c>
      <c r="F2" s="75" t="s">
        <v>125</v>
      </c>
      <c r="G2" s="75" t="s">
        <v>143</v>
      </c>
      <c r="H2" s="75" t="s">
        <v>128</v>
      </c>
      <c r="I2" s="75" t="s">
        <v>119</v>
      </c>
      <c r="J2" s="75" t="s">
        <v>140</v>
      </c>
      <c r="K2" s="75" t="s">
        <v>122</v>
      </c>
      <c r="L2" s="75" t="s">
        <v>131</v>
      </c>
      <c r="M2" s="75">
        <v>2016</v>
      </c>
      <c r="N2" s="75">
        <v>2017</v>
      </c>
      <c r="O2" s="79">
        <v>2018</v>
      </c>
      <c r="P2" s="79">
        <v>2019</v>
      </c>
      <c r="Q2" s="79">
        <v>2020</v>
      </c>
      <c r="R2" s="79">
        <v>2021</v>
      </c>
      <c r="S2" s="79">
        <v>2022</v>
      </c>
      <c r="T2" s="79">
        <v>2023</v>
      </c>
      <c r="U2" s="79">
        <v>2024</v>
      </c>
      <c r="V2" s="79">
        <v>2025</v>
      </c>
      <c r="W2" s="79">
        <v>2026</v>
      </c>
      <c r="X2" s="79">
        <v>2027</v>
      </c>
      <c r="Y2" s="79">
        <v>2028</v>
      </c>
      <c r="Z2" s="79">
        <v>2029</v>
      </c>
      <c r="AA2" s="79">
        <v>2030</v>
      </c>
      <c r="AB2" s="79">
        <v>2031</v>
      </c>
      <c r="AC2" s="79">
        <v>2032</v>
      </c>
      <c r="AD2" s="79">
        <v>2033</v>
      </c>
      <c r="AE2" s="79">
        <v>2034</v>
      </c>
      <c r="AF2" s="79">
        <v>2035</v>
      </c>
      <c r="AG2" s="79">
        <v>2036</v>
      </c>
      <c r="AH2" s="79">
        <v>2037</v>
      </c>
      <c r="AI2" s="79">
        <v>2038</v>
      </c>
      <c r="AJ2" s="79">
        <v>2039</v>
      </c>
      <c r="AK2" s="79">
        <v>2040</v>
      </c>
      <c r="AL2" s="79">
        <v>2041</v>
      </c>
      <c r="AM2" s="79">
        <v>2042</v>
      </c>
      <c r="AN2" s="79">
        <v>2043</v>
      </c>
      <c r="AO2" s="79">
        <v>2044</v>
      </c>
      <c r="AP2" s="79">
        <v>2045</v>
      </c>
      <c r="AQ2" s="79">
        <v>2046</v>
      </c>
      <c r="AR2" s="79">
        <v>2047</v>
      </c>
      <c r="AS2" s="79">
        <v>2048</v>
      </c>
      <c r="AT2" s="79">
        <v>2049</v>
      </c>
      <c r="AU2" s="79">
        <v>2050</v>
      </c>
      <c r="AV2" s="77" t="s">
        <v>170</v>
      </c>
    </row>
    <row r="3" spans="1:48" x14ac:dyDescent="0.2">
      <c r="A3" t="s">
        <v>188</v>
      </c>
      <c r="B3" t="s">
        <v>197</v>
      </c>
      <c r="C3" t="s">
        <v>211</v>
      </c>
      <c r="M3">
        <v>72.445019404915911</v>
      </c>
      <c r="N3">
        <v>74.78566547081985</v>
      </c>
      <c r="O3">
        <v>77.551865499171157</v>
      </c>
      <c r="P3">
        <v>80.358606382091125</v>
      </c>
      <c r="Q3">
        <v>82.719171329848024</v>
      </c>
      <c r="R3">
        <v>85.448903983733004</v>
      </c>
      <c r="S3">
        <v>88.012371103245002</v>
      </c>
      <c r="T3">
        <v>90.652742236342348</v>
      </c>
      <c r="U3">
        <v>93.372324503432623</v>
      </c>
      <c r="V3">
        <v>96.173494238535611</v>
      </c>
      <c r="W3">
        <v>99.058699065691684</v>
      </c>
      <c r="X3">
        <v>102.03046003766244</v>
      </c>
      <c r="Y3">
        <v>105.09137383879231</v>
      </c>
      <c r="Z3">
        <v>108.24411505395608</v>
      </c>
      <c r="AA3">
        <v>111.49143850557476</v>
      </c>
      <c r="AB3">
        <v>114.83618166074201</v>
      </c>
      <c r="AC3">
        <v>118.28126711056427</v>
      </c>
      <c r="AD3">
        <v>121.8297051238812</v>
      </c>
      <c r="AE3">
        <v>125.48459627759763</v>
      </c>
      <c r="AF3">
        <v>129.24913416592557</v>
      </c>
      <c r="AG3">
        <v>133.12660819090334</v>
      </c>
      <c r="AH3">
        <v>137.12040643663045</v>
      </c>
      <c r="AI3">
        <v>141.23401862972938</v>
      </c>
      <c r="AJ3">
        <v>145.47103918862126</v>
      </c>
      <c r="AK3">
        <v>149.83517036427989</v>
      </c>
      <c r="AL3">
        <v>154.33022547520829</v>
      </c>
      <c r="AM3">
        <v>158.96013223946454</v>
      </c>
      <c r="AN3">
        <v>163.72893620664848</v>
      </c>
      <c r="AO3">
        <v>168.64080429284795</v>
      </c>
      <c r="AP3">
        <v>173.70002842163339</v>
      </c>
      <c r="AQ3">
        <v>178.91102927428238</v>
      </c>
      <c r="AR3">
        <v>184.27836015251086</v>
      </c>
      <c r="AS3">
        <v>189.80671095708618</v>
      </c>
      <c r="AT3">
        <v>195.50091228579876</v>
      </c>
      <c r="AU3">
        <v>201.36593965437274</v>
      </c>
    </row>
    <row r="4" spans="1:48" x14ac:dyDescent="0.2">
      <c r="A4" t="s">
        <v>188</v>
      </c>
      <c r="B4" t="s">
        <v>197</v>
      </c>
      <c r="C4" t="s">
        <v>232</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row>
    <row r="5" spans="1:48" x14ac:dyDescent="0.2">
      <c r="A5" t="s">
        <v>188</v>
      </c>
      <c r="B5" t="s">
        <v>197</v>
      </c>
      <c r="C5" t="s">
        <v>231</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row>
    <row r="6" spans="1:48" x14ac:dyDescent="0.2">
      <c r="A6" t="s">
        <v>188</v>
      </c>
      <c r="B6" t="s">
        <v>197</v>
      </c>
      <c r="C6" t="s">
        <v>215</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row>
    <row r="7" spans="1:48" x14ac:dyDescent="0.2">
      <c r="A7" t="s">
        <v>188</v>
      </c>
      <c r="B7" t="s">
        <v>197</v>
      </c>
      <c r="C7" t="s">
        <v>217</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row>
    <row r="8" spans="1:48" x14ac:dyDescent="0.2">
      <c r="A8" t="s">
        <v>188</v>
      </c>
      <c r="B8" t="s">
        <v>197</v>
      </c>
      <c r="C8" t="s">
        <v>218</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row>
    <row r="9" spans="1:48" x14ac:dyDescent="0.2">
      <c r="A9" t="s">
        <v>188</v>
      </c>
      <c r="B9" t="s">
        <v>197</v>
      </c>
      <c r="C9" t="s">
        <v>221</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row>
    <row r="10" spans="1:48" x14ac:dyDescent="0.2">
      <c r="A10" t="s">
        <v>188</v>
      </c>
      <c r="B10" t="s">
        <v>197</v>
      </c>
      <c r="C10" t="s">
        <v>227</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row>
    <row r="11" spans="1:48" x14ac:dyDescent="0.2">
      <c r="A11" t="s">
        <v>188</v>
      </c>
      <c r="B11" t="s">
        <v>197</v>
      </c>
      <c r="C11" t="s">
        <v>239</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row>
    <row r="12" spans="1:48" x14ac:dyDescent="0.2">
      <c r="A12" t="s">
        <v>188</v>
      </c>
      <c r="B12" t="s">
        <v>197</v>
      </c>
      <c r="C12" t="s">
        <v>228</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row>
    <row r="13" spans="1:48" x14ac:dyDescent="0.2">
      <c r="A13" t="s">
        <v>188</v>
      </c>
      <c r="B13" t="s">
        <v>197</v>
      </c>
      <c r="C13" t="s">
        <v>229</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row>
    <row r="14" spans="1:48" x14ac:dyDescent="0.2">
      <c r="A14" t="s">
        <v>188</v>
      </c>
      <c r="B14" t="s">
        <v>197</v>
      </c>
      <c r="C14" t="s">
        <v>230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row>
    <row r="15" spans="1:48" x14ac:dyDescent="0.2">
      <c r="A15" t="s">
        <v>188</v>
      </c>
      <c r="B15" t="s">
        <v>197</v>
      </c>
      <c r="C15" t="s">
        <v>233</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row>
    <row r="16" spans="1:48" x14ac:dyDescent="0.2">
      <c r="A16" t="s">
        <v>188</v>
      </c>
      <c r="B16" t="s">
        <v>197</v>
      </c>
      <c r="C16" t="s">
        <v>234</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row>
  </sheetData>
  <phoneticPr fontId="11" type="noConversion"/>
  <hyperlinks>
    <hyperlink ref="A1" location="Content!A1" display="Back to table of contents" xr:uid="{00000000-0004-0000-0A00-000000000000}"/>
    <hyperlink ref="B1" location="Parameters!A1" display="Parameters List" xr:uid="{00000000-0004-0000-0A00-00000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V3"/>
  <sheetViews>
    <sheetView zoomScale="137" zoomScaleNormal="85" workbookViewId="0">
      <selection activeCell="C3" sqref="C3"/>
    </sheetView>
  </sheetViews>
  <sheetFormatPr baseColWidth="10" defaultColWidth="9.1640625" defaultRowHeight="15" x14ac:dyDescent="0.2"/>
  <cols>
    <col min="1" max="1" width="16.5" customWidth="1"/>
    <col min="2" max="2" width="15.5" customWidth="1"/>
    <col min="3" max="3" width="32.1640625" bestFit="1" customWidth="1"/>
    <col min="6" max="6" width="10.1640625" customWidth="1"/>
    <col min="8" max="8" width="21.1640625" customWidth="1"/>
    <col min="9" max="9" width="9.5" customWidth="1"/>
    <col min="10" max="10" width="18.5" customWidth="1"/>
    <col min="11" max="11" width="21" bestFit="1" customWidth="1"/>
    <col min="12" max="14" width="8.5" customWidth="1"/>
    <col min="15" max="47" width="6.5" customWidth="1"/>
    <col min="48" max="48" width="6.83203125" customWidth="1"/>
  </cols>
  <sheetData>
    <row r="1" spans="1:48" ht="16" thickBot="1" x14ac:dyDescent="0.25">
      <c r="A1" s="68" t="s">
        <v>174</v>
      </c>
      <c r="B1" s="69" t="s">
        <v>175</v>
      </c>
      <c r="C1" s="69"/>
      <c r="D1" s="21"/>
      <c r="E1" s="21"/>
      <c r="F1" s="22"/>
      <c r="G1" s="22"/>
      <c r="H1" s="22"/>
      <c r="I1" s="22"/>
      <c r="J1" s="22"/>
      <c r="K1" s="22"/>
      <c r="L1" s="22"/>
    </row>
    <row r="2" spans="1:48" ht="16" thickBot="1" x14ac:dyDescent="0.25">
      <c r="A2" s="70" t="s">
        <v>111</v>
      </c>
      <c r="B2" s="70" t="s">
        <v>131</v>
      </c>
      <c r="C2" s="71" t="s">
        <v>116</v>
      </c>
      <c r="D2" s="71" t="s">
        <v>134</v>
      </c>
      <c r="E2" s="71" t="s">
        <v>137</v>
      </c>
      <c r="F2" s="71" t="s">
        <v>125</v>
      </c>
      <c r="G2" s="71" t="s">
        <v>143</v>
      </c>
      <c r="H2" s="71" t="s">
        <v>128</v>
      </c>
      <c r="I2" s="71" t="s">
        <v>119</v>
      </c>
      <c r="J2" s="71" t="s">
        <v>140</v>
      </c>
      <c r="K2" s="71" t="s">
        <v>122</v>
      </c>
      <c r="L2" s="75" t="s">
        <v>131</v>
      </c>
      <c r="M2" s="71">
        <v>2016</v>
      </c>
      <c r="N2" s="71">
        <v>2017</v>
      </c>
      <c r="O2" s="99">
        <v>2018</v>
      </c>
      <c r="P2" s="99">
        <v>2019</v>
      </c>
      <c r="Q2" s="99">
        <v>2020</v>
      </c>
      <c r="R2" s="99">
        <v>2021</v>
      </c>
      <c r="S2" s="99">
        <v>2022</v>
      </c>
      <c r="T2" s="99">
        <v>2023</v>
      </c>
      <c r="U2" s="99">
        <v>2024</v>
      </c>
      <c r="V2" s="99">
        <v>2025</v>
      </c>
      <c r="W2" s="99">
        <v>2026</v>
      </c>
      <c r="X2" s="99">
        <v>2027</v>
      </c>
      <c r="Y2" s="99">
        <v>2028</v>
      </c>
      <c r="Z2" s="99">
        <v>2029</v>
      </c>
      <c r="AA2" s="99">
        <v>2030</v>
      </c>
      <c r="AB2" s="99">
        <v>2031</v>
      </c>
      <c r="AC2" s="99">
        <v>2032</v>
      </c>
      <c r="AD2" s="99">
        <v>2033</v>
      </c>
      <c r="AE2" s="99">
        <v>2034</v>
      </c>
      <c r="AF2" s="99">
        <v>2035</v>
      </c>
      <c r="AG2" s="99">
        <v>2036</v>
      </c>
      <c r="AH2" s="99">
        <v>2037</v>
      </c>
      <c r="AI2" s="99">
        <v>2038</v>
      </c>
      <c r="AJ2" s="99">
        <v>2039</v>
      </c>
      <c r="AK2" s="99">
        <v>2040</v>
      </c>
      <c r="AL2" s="99">
        <v>2041</v>
      </c>
      <c r="AM2" s="99">
        <v>2042</v>
      </c>
      <c r="AN2" s="99">
        <v>2043</v>
      </c>
      <c r="AO2" s="99">
        <v>2044</v>
      </c>
      <c r="AP2" s="99">
        <v>2045</v>
      </c>
      <c r="AQ2" s="99">
        <v>2046</v>
      </c>
      <c r="AR2" s="99">
        <v>2047</v>
      </c>
      <c r="AS2" s="99">
        <v>2048</v>
      </c>
      <c r="AT2" s="99">
        <v>2049</v>
      </c>
      <c r="AU2" s="99">
        <v>2050</v>
      </c>
      <c r="AV2" s="80" t="s">
        <v>170</v>
      </c>
    </row>
    <row r="3" spans="1:48" x14ac:dyDescent="0.2">
      <c r="A3" t="s">
        <v>189</v>
      </c>
      <c r="B3" s="85" t="s">
        <v>197</v>
      </c>
      <c r="C3" t="s">
        <v>204</v>
      </c>
      <c r="H3">
        <v>1</v>
      </c>
      <c r="K3" t="s">
        <v>205</v>
      </c>
      <c r="M3" s="74">
        <v>1</v>
      </c>
      <c r="N3" s="74">
        <v>1</v>
      </c>
      <c r="O3" s="74">
        <v>1</v>
      </c>
      <c r="P3" s="74">
        <v>1</v>
      </c>
      <c r="Q3" s="74">
        <v>1</v>
      </c>
      <c r="R3" s="74">
        <v>1</v>
      </c>
      <c r="S3" s="74">
        <v>1</v>
      </c>
      <c r="T3" s="74">
        <v>1</v>
      </c>
      <c r="U3" s="74">
        <v>1</v>
      </c>
      <c r="V3" s="74">
        <v>1</v>
      </c>
      <c r="W3" s="74">
        <v>1</v>
      </c>
      <c r="X3" s="74">
        <v>1</v>
      </c>
      <c r="Y3" s="74">
        <v>1</v>
      </c>
      <c r="Z3" s="74">
        <v>1</v>
      </c>
      <c r="AA3" s="74">
        <v>1</v>
      </c>
      <c r="AB3" s="74">
        <v>1</v>
      </c>
      <c r="AC3" s="74">
        <v>1</v>
      </c>
      <c r="AD3" s="74">
        <v>1</v>
      </c>
      <c r="AE3" s="74">
        <v>1</v>
      </c>
      <c r="AF3" s="74">
        <v>1</v>
      </c>
      <c r="AG3" s="74">
        <v>1</v>
      </c>
      <c r="AH3" s="74">
        <v>1</v>
      </c>
      <c r="AI3" s="74">
        <v>1</v>
      </c>
      <c r="AJ3" s="74">
        <v>1</v>
      </c>
      <c r="AK3" s="74">
        <v>1</v>
      </c>
      <c r="AL3" s="74">
        <v>1</v>
      </c>
      <c r="AM3" s="74">
        <v>1</v>
      </c>
      <c r="AN3" s="74">
        <v>1</v>
      </c>
      <c r="AO3" s="74">
        <v>1</v>
      </c>
      <c r="AP3" s="74">
        <v>1</v>
      </c>
      <c r="AQ3" s="74">
        <v>1</v>
      </c>
      <c r="AR3" s="74">
        <v>1</v>
      </c>
      <c r="AS3" s="74">
        <v>1</v>
      </c>
      <c r="AT3" s="74">
        <v>1</v>
      </c>
      <c r="AU3" s="74">
        <v>1</v>
      </c>
    </row>
  </sheetData>
  <hyperlinks>
    <hyperlink ref="A1" location="Content!A1" display="Back to table of contents" xr:uid="{00000000-0004-0000-0B00-000000000000}"/>
    <hyperlink ref="B1" location="Parameters!A1" display="Parameters List" xr:uid="{00000000-0004-0000-0B00-00000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V19"/>
  <sheetViews>
    <sheetView zoomScale="131" zoomScaleNormal="113" workbookViewId="0">
      <selection activeCell="C4" sqref="C4"/>
    </sheetView>
  </sheetViews>
  <sheetFormatPr baseColWidth="10" defaultColWidth="9.1640625" defaultRowHeight="15" x14ac:dyDescent="0.2"/>
  <cols>
    <col min="1" max="1" width="16.5" customWidth="1"/>
    <col min="2" max="2" width="15.5" customWidth="1"/>
    <col min="3" max="3" width="27.5" bestFit="1" customWidth="1"/>
    <col min="6" max="6" width="10.1640625" customWidth="1"/>
    <col min="8" max="8" width="21.1640625" customWidth="1"/>
    <col min="9" max="9" width="9.5" customWidth="1"/>
    <col min="10" max="10" width="18.5" customWidth="1"/>
    <col min="11" max="11" width="9.1640625" customWidth="1"/>
    <col min="12" max="14" width="8.5" customWidth="1"/>
    <col min="15" max="47" width="6.5" customWidth="1"/>
    <col min="48" max="48" width="6.83203125" customWidth="1"/>
  </cols>
  <sheetData>
    <row r="1" spans="1:48" ht="16" thickBot="1" x14ac:dyDescent="0.25">
      <c r="A1" s="68" t="s">
        <v>174</v>
      </c>
      <c r="B1" s="69" t="s">
        <v>175</v>
      </c>
      <c r="C1" s="69"/>
      <c r="D1" s="21"/>
      <c r="E1" s="21"/>
      <c r="F1" s="22"/>
      <c r="G1" s="22"/>
      <c r="H1" s="22"/>
      <c r="I1" s="22"/>
      <c r="J1" s="22"/>
      <c r="K1" s="22"/>
      <c r="L1" s="22"/>
    </row>
    <row r="2" spans="1:48" ht="16" thickBot="1" x14ac:dyDescent="0.25">
      <c r="A2" s="70" t="s">
        <v>111</v>
      </c>
      <c r="B2" s="71" t="s">
        <v>131</v>
      </c>
      <c r="C2" s="75" t="s">
        <v>116</v>
      </c>
      <c r="D2" s="71" t="s">
        <v>134</v>
      </c>
      <c r="E2" s="71" t="s">
        <v>137</v>
      </c>
      <c r="F2" s="71" t="s">
        <v>125</v>
      </c>
      <c r="G2" s="71" t="s">
        <v>143</v>
      </c>
      <c r="H2" s="71" t="s">
        <v>128</v>
      </c>
      <c r="I2" s="71" t="s">
        <v>119</v>
      </c>
      <c r="J2" s="71" t="s">
        <v>140</v>
      </c>
      <c r="K2" s="71" t="s">
        <v>122</v>
      </c>
      <c r="L2" s="71" t="s">
        <v>131</v>
      </c>
      <c r="M2" s="71">
        <v>2016</v>
      </c>
      <c r="N2" s="71">
        <v>2017</v>
      </c>
      <c r="O2" s="71">
        <v>2018</v>
      </c>
      <c r="P2" s="71">
        <v>2019</v>
      </c>
      <c r="Q2" s="71">
        <v>2020</v>
      </c>
      <c r="R2" s="71">
        <v>2021</v>
      </c>
      <c r="S2" s="71">
        <v>2022</v>
      </c>
      <c r="T2" s="71">
        <v>2023</v>
      </c>
      <c r="U2" s="71">
        <v>2024</v>
      </c>
      <c r="V2" s="71">
        <v>2025</v>
      </c>
      <c r="W2" s="71">
        <v>2026</v>
      </c>
      <c r="X2" s="71">
        <v>2027</v>
      </c>
      <c r="Y2" s="71">
        <v>2028</v>
      </c>
      <c r="Z2" s="71">
        <v>2029</v>
      </c>
      <c r="AA2" s="71">
        <v>2030</v>
      </c>
      <c r="AB2" s="71">
        <v>2031</v>
      </c>
      <c r="AC2" s="71">
        <v>2032</v>
      </c>
      <c r="AD2" s="71">
        <v>2033</v>
      </c>
      <c r="AE2" s="71">
        <v>2034</v>
      </c>
      <c r="AF2" s="71">
        <v>2035</v>
      </c>
      <c r="AG2" s="71">
        <v>2036</v>
      </c>
      <c r="AH2" s="71">
        <v>2037</v>
      </c>
      <c r="AI2" s="71">
        <v>2038</v>
      </c>
      <c r="AJ2" s="71">
        <v>2039</v>
      </c>
      <c r="AK2" s="71">
        <v>2040</v>
      </c>
      <c r="AL2" s="71">
        <v>2041</v>
      </c>
      <c r="AM2" s="71">
        <v>2042</v>
      </c>
      <c r="AN2" s="71">
        <v>2043</v>
      </c>
      <c r="AO2" s="71">
        <v>2044</v>
      </c>
      <c r="AP2" s="71">
        <v>2045</v>
      </c>
      <c r="AQ2" s="71">
        <v>2046</v>
      </c>
      <c r="AR2" s="71">
        <v>2047</v>
      </c>
      <c r="AS2" s="71">
        <v>2048</v>
      </c>
      <c r="AT2" s="71">
        <v>2049</v>
      </c>
      <c r="AU2" s="71">
        <v>2050</v>
      </c>
      <c r="AV2" s="80" t="s">
        <v>170</v>
      </c>
    </row>
    <row r="3" spans="1:48" x14ac:dyDescent="0.2">
      <c r="A3" t="s">
        <v>193</v>
      </c>
      <c r="B3" t="s">
        <v>197</v>
      </c>
      <c r="C3" t="s">
        <v>249</v>
      </c>
      <c r="AV3">
        <v>100</v>
      </c>
    </row>
    <row r="4" spans="1:48" x14ac:dyDescent="0.2">
      <c r="A4" t="s">
        <v>193</v>
      </c>
      <c r="B4" t="s">
        <v>197</v>
      </c>
      <c r="C4" t="s">
        <v>204</v>
      </c>
      <c r="AV4">
        <v>100</v>
      </c>
    </row>
    <row r="5" spans="1:48" x14ac:dyDescent="0.2">
      <c r="A5" t="s">
        <v>193</v>
      </c>
      <c r="B5" t="s">
        <v>197</v>
      </c>
      <c r="C5" t="s">
        <v>207</v>
      </c>
      <c r="AV5">
        <v>1</v>
      </c>
    </row>
    <row r="6" spans="1:48" x14ac:dyDescent="0.2">
      <c r="A6" t="s">
        <v>193</v>
      </c>
      <c r="B6" t="s">
        <v>197</v>
      </c>
      <c r="C6" t="s">
        <v>210</v>
      </c>
      <c r="AV6">
        <v>1</v>
      </c>
    </row>
    <row r="7" spans="1:48" x14ac:dyDescent="0.2">
      <c r="A7" t="s">
        <v>193</v>
      </c>
      <c r="B7" t="s">
        <v>197</v>
      </c>
      <c r="C7" t="s">
        <v>232</v>
      </c>
      <c r="AV7">
        <v>100</v>
      </c>
    </row>
    <row r="8" spans="1:48" x14ac:dyDescent="0.2">
      <c r="A8" t="s">
        <v>193</v>
      </c>
      <c r="B8" t="s">
        <v>197</v>
      </c>
      <c r="C8" t="s">
        <v>231</v>
      </c>
      <c r="AV8">
        <v>100</v>
      </c>
    </row>
    <row r="9" spans="1:48" x14ac:dyDescent="0.2">
      <c r="A9" t="s">
        <v>193</v>
      </c>
      <c r="B9" t="s">
        <v>197</v>
      </c>
      <c r="C9" t="s">
        <v>215</v>
      </c>
      <c r="AV9">
        <v>100</v>
      </c>
    </row>
    <row r="10" spans="1:48" x14ac:dyDescent="0.2">
      <c r="A10" t="s">
        <v>193</v>
      </c>
      <c r="B10" t="s">
        <v>197</v>
      </c>
      <c r="C10" t="s">
        <v>217</v>
      </c>
      <c r="AV10">
        <v>100</v>
      </c>
    </row>
    <row r="11" spans="1:48" x14ac:dyDescent="0.2">
      <c r="A11" t="s">
        <v>193</v>
      </c>
      <c r="B11" t="s">
        <v>197</v>
      </c>
      <c r="C11" t="s">
        <v>218</v>
      </c>
      <c r="AV11">
        <v>100</v>
      </c>
    </row>
    <row r="12" spans="1:48" x14ac:dyDescent="0.2">
      <c r="A12" t="s">
        <v>193</v>
      </c>
      <c r="B12" t="s">
        <v>197</v>
      </c>
      <c r="C12" t="s">
        <v>221</v>
      </c>
      <c r="AV12">
        <v>100</v>
      </c>
    </row>
    <row r="13" spans="1:48" x14ac:dyDescent="0.2">
      <c r="A13" t="s">
        <v>193</v>
      </c>
      <c r="B13" t="s">
        <v>197</v>
      </c>
      <c r="C13" t="s">
        <v>227</v>
      </c>
      <c r="AV13">
        <v>100</v>
      </c>
    </row>
    <row r="14" spans="1:48" x14ac:dyDescent="0.2">
      <c r="A14" t="s">
        <v>193</v>
      </c>
      <c r="B14" t="s">
        <v>197</v>
      </c>
      <c r="C14" t="s">
        <v>239</v>
      </c>
      <c r="AV14">
        <v>100</v>
      </c>
    </row>
    <row r="15" spans="1:48" x14ac:dyDescent="0.2">
      <c r="A15" t="s">
        <v>193</v>
      </c>
      <c r="B15" t="s">
        <v>197</v>
      </c>
      <c r="C15" t="s">
        <v>228</v>
      </c>
      <c r="AV15">
        <v>100</v>
      </c>
    </row>
    <row r="16" spans="1:48" x14ac:dyDescent="0.2">
      <c r="A16" t="s">
        <v>193</v>
      </c>
      <c r="B16" t="s">
        <v>197</v>
      </c>
      <c r="C16" t="s">
        <v>229</v>
      </c>
      <c r="AV16">
        <v>100</v>
      </c>
    </row>
    <row r="17" spans="1:48" x14ac:dyDescent="0.2">
      <c r="A17" t="s">
        <v>193</v>
      </c>
      <c r="B17" t="s">
        <v>197</v>
      </c>
      <c r="C17" t="s">
        <v>230</v>
      </c>
      <c r="AV17">
        <v>100</v>
      </c>
    </row>
    <row r="18" spans="1:48" x14ac:dyDescent="0.2">
      <c r="A18" t="s">
        <v>193</v>
      </c>
      <c r="B18" t="s">
        <v>197</v>
      </c>
      <c r="C18" t="s">
        <v>233</v>
      </c>
      <c r="AV18">
        <v>100</v>
      </c>
    </row>
    <row r="19" spans="1:48" x14ac:dyDescent="0.2">
      <c r="A19" t="s">
        <v>193</v>
      </c>
      <c r="B19" t="s">
        <v>197</v>
      </c>
      <c r="C19" t="s">
        <v>234</v>
      </c>
      <c r="AV19">
        <v>100</v>
      </c>
    </row>
  </sheetData>
  <phoneticPr fontId="11" type="noConversion"/>
  <hyperlinks>
    <hyperlink ref="A1" location="Content!A1" display="Back to table of contents" xr:uid="{00000000-0004-0000-0C00-000000000000}"/>
    <hyperlink ref="B1" location="Parameters!A1" display="Parameters List" xr:uid="{00000000-0004-0000-0C00-000001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V4"/>
  <sheetViews>
    <sheetView topLeftCell="H1" zoomScale="132" zoomScaleNormal="110" workbookViewId="0">
      <selection activeCell="C4" sqref="C4"/>
    </sheetView>
  </sheetViews>
  <sheetFormatPr baseColWidth="10" defaultColWidth="9.1640625" defaultRowHeight="15" x14ac:dyDescent="0.2"/>
  <cols>
    <col min="1" max="1" width="18" bestFit="1" customWidth="1"/>
    <col min="2" max="2" width="15.5" customWidth="1"/>
    <col min="3" max="3" width="27" bestFit="1" customWidth="1"/>
    <col min="6" max="6" width="10.1640625" customWidth="1"/>
    <col min="8" max="8" width="21.1640625" customWidth="1"/>
    <col min="9" max="9" width="9.5" customWidth="1"/>
    <col min="10" max="10" width="18.5" customWidth="1"/>
    <col min="11" max="11" width="24.1640625" bestFit="1" customWidth="1"/>
    <col min="12" max="14" width="8.5" customWidth="1"/>
    <col min="15" max="47" width="6.5" customWidth="1"/>
    <col min="48" max="48" width="6.83203125" customWidth="1"/>
  </cols>
  <sheetData>
    <row r="1" spans="1:48" ht="16" thickBot="1" x14ac:dyDescent="0.25">
      <c r="A1" s="81" t="s">
        <v>174</v>
      </c>
      <c r="B1" s="82" t="s">
        <v>175</v>
      </c>
      <c r="C1" s="82"/>
      <c r="D1" s="83"/>
      <c r="E1" s="83"/>
      <c r="F1" s="84"/>
      <c r="G1" s="84"/>
      <c r="H1" s="84"/>
      <c r="I1" s="84"/>
      <c r="J1" s="84"/>
      <c r="K1" s="84"/>
      <c r="L1" s="84"/>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row>
    <row r="2" spans="1:48" x14ac:dyDescent="0.2">
      <c r="A2" s="90" t="s">
        <v>111</v>
      </c>
      <c r="B2" s="91" t="s">
        <v>131</v>
      </c>
      <c r="C2" s="91" t="s">
        <v>116</v>
      </c>
      <c r="D2" s="91" t="s">
        <v>134</v>
      </c>
      <c r="E2" s="91" t="s">
        <v>137</v>
      </c>
      <c r="F2" s="91" t="s">
        <v>125</v>
      </c>
      <c r="G2" s="91" t="s">
        <v>143</v>
      </c>
      <c r="H2" s="91" t="s">
        <v>128</v>
      </c>
      <c r="I2" s="91" t="s">
        <v>119</v>
      </c>
      <c r="J2" s="91" t="s">
        <v>140</v>
      </c>
      <c r="K2" s="91" t="s">
        <v>122</v>
      </c>
      <c r="L2" s="91" t="s">
        <v>131</v>
      </c>
      <c r="M2" s="91">
        <v>2016</v>
      </c>
      <c r="N2" s="91">
        <v>2017</v>
      </c>
      <c r="O2" s="94">
        <v>2018</v>
      </c>
      <c r="P2" s="94">
        <v>2019</v>
      </c>
      <c r="Q2" s="94">
        <v>2020</v>
      </c>
      <c r="R2" s="94">
        <v>2021</v>
      </c>
      <c r="S2" s="94">
        <v>2022</v>
      </c>
      <c r="T2" s="94">
        <v>2023</v>
      </c>
      <c r="U2" s="94">
        <v>2024</v>
      </c>
      <c r="V2" s="94">
        <v>2025</v>
      </c>
      <c r="W2" s="94">
        <v>2026</v>
      </c>
      <c r="X2" s="94">
        <v>2027</v>
      </c>
      <c r="Y2" s="94">
        <v>2028</v>
      </c>
      <c r="Z2" s="94">
        <v>2029</v>
      </c>
      <c r="AA2" s="94">
        <v>2030</v>
      </c>
      <c r="AB2" s="94">
        <v>2031</v>
      </c>
      <c r="AC2" s="94">
        <v>2032</v>
      </c>
      <c r="AD2" s="94">
        <v>2033</v>
      </c>
      <c r="AE2" s="94">
        <v>2034</v>
      </c>
      <c r="AF2" s="94">
        <v>2035</v>
      </c>
      <c r="AG2" s="94">
        <v>2036</v>
      </c>
      <c r="AH2" s="94">
        <v>2037</v>
      </c>
      <c r="AI2" s="94">
        <v>2038</v>
      </c>
      <c r="AJ2" s="94">
        <v>2039</v>
      </c>
      <c r="AK2" s="94">
        <v>2040</v>
      </c>
      <c r="AL2" s="94">
        <v>2041</v>
      </c>
      <c r="AM2" s="94">
        <v>2042</v>
      </c>
      <c r="AN2" s="94">
        <v>2043</v>
      </c>
      <c r="AO2" s="94">
        <v>2044</v>
      </c>
      <c r="AP2" s="94">
        <v>2045</v>
      </c>
      <c r="AQ2" s="94">
        <v>2046</v>
      </c>
      <c r="AR2" s="94">
        <v>2047</v>
      </c>
      <c r="AS2" s="94">
        <v>2048</v>
      </c>
      <c r="AT2" s="94">
        <v>2049</v>
      </c>
      <c r="AU2" s="94">
        <v>2050</v>
      </c>
      <c r="AV2" s="92" t="s">
        <v>170</v>
      </c>
    </row>
    <row r="3" spans="1:48" x14ac:dyDescent="0.2">
      <c r="A3" s="85" t="s">
        <v>190</v>
      </c>
      <c r="B3" s="85" t="s">
        <v>197</v>
      </c>
      <c r="C3" s="102" t="s">
        <v>203</v>
      </c>
      <c r="H3">
        <v>1</v>
      </c>
      <c r="K3" t="s">
        <v>205</v>
      </c>
      <c r="M3" s="103">
        <v>1</v>
      </c>
      <c r="N3" s="103">
        <v>1</v>
      </c>
      <c r="O3" s="103">
        <v>1</v>
      </c>
      <c r="P3" s="103">
        <v>1</v>
      </c>
      <c r="Q3" s="103">
        <v>1</v>
      </c>
      <c r="R3" s="103">
        <v>1</v>
      </c>
      <c r="S3" s="103">
        <v>1</v>
      </c>
      <c r="T3" s="103">
        <v>1</v>
      </c>
      <c r="U3" s="103">
        <v>1</v>
      </c>
      <c r="V3" s="103">
        <v>1</v>
      </c>
      <c r="W3" s="103">
        <v>1</v>
      </c>
      <c r="X3" s="103">
        <v>1</v>
      </c>
      <c r="Y3" s="103">
        <v>1</v>
      </c>
      <c r="Z3" s="103">
        <v>1</v>
      </c>
      <c r="AA3" s="103">
        <v>1</v>
      </c>
      <c r="AB3" s="103">
        <v>1</v>
      </c>
      <c r="AC3" s="103">
        <v>1</v>
      </c>
      <c r="AD3" s="103">
        <v>1</v>
      </c>
      <c r="AE3" s="103">
        <v>1</v>
      </c>
      <c r="AF3" s="103">
        <v>1</v>
      </c>
      <c r="AG3" s="103">
        <v>1</v>
      </c>
      <c r="AH3" s="103">
        <v>1</v>
      </c>
      <c r="AI3" s="103">
        <v>1</v>
      </c>
      <c r="AJ3" s="103">
        <v>1</v>
      </c>
      <c r="AK3" s="103">
        <v>1</v>
      </c>
      <c r="AL3" s="103">
        <v>1</v>
      </c>
      <c r="AM3" s="103">
        <v>1</v>
      </c>
      <c r="AN3" s="103">
        <v>1</v>
      </c>
      <c r="AO3" s="103">
        <v>1</v>
      </c>
      <c r="AP3" s="103">
        <v>1</v>
      </c>
      <c r="AQ3" s="103">
        <v>1</v>
      </c>
      <c r="AR3" s="103">
        <v>1</v>
      </c>
      <c r="AS3" s="103">
        <v>1</v>
      </c>
      <c r="AT3" s="103">
        <v>1</v>
      </c>
      <c r="AU3" s="103">
        <v>1</v>
      </c>
    </row>
    <row r="4" spans="1:48" x14ac:dyDescent="0.2">
      <c r="A4" s="85" t="s">
        <v>190</v>
      </c>
      <c r="B4" s="85" t="s">
        <v>197</v>
      </c>
      <c r="C4" s="102" t="s">
        <v>204</v>
      </c>
      <c r="H4">
        <v>1</v>
      </c>
      <c r="K4" t="s">
        <v>206</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row>
  </sheetData>
  <hyperlinks>
    <hyperlink ref="A1" location="Content!A1" display="Back to table of contents" xr:uid="{00000000-0004-0000-0D00-000000000000}"/>
    <hyperlink ref="B1" location="Parameters!A1" display="Parameters List" xr:uid="{00000000-0004-0000-0D00-000001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V5"/>
  <sheetViews>
    <sheetView zoomScale="115" zoomScaleNormal="115" workbookViewId="0">
      <selection activeCell="AA14" sqref="AA14"/>
    </sheetView>
  </sheetViews>
  <sheetFormatPr baseColWidth="10" defaultColWidth="9.1640625" defaultRowHeight="15" x14ac:dyDescent="0.2"/>
  <cols>
    <col min="1" max="1" width="16.5" customWidth="1"/>
    <col min="2" max="2" width="15.5" customWidth="1"/>
    <col min="3" max="3" width="19.5" bestFit="1" customWidth="1"/>
    <col min="6" max="6" width="10.1640625" customWidth="1"/>
    <col min="8" max="8" width="21.1640625" customWidth="1"/>
    <col min="9" max="9" width="9.5" customWidth="1"/>
    <col min="10" max="10" width="18.5" customWidth="1"/>
    <col min="11" max="11" width="9.1640625" customWidth="1"/>
    <col min="12" max="14" width="8.5" customWidth="1"/>
    <col min="15" max="47" width="6.5" customWidth="1"/>
    <col min="48" max="48" width="6.83203125" customWidth="1"/>
  </cols>
  <sheetData>
    <row r="1" spans="1:48" ht="16" thickBot="1" x14ac:dyDescent="0.25">
      <c r="A1" s="81" t="s">
        <v>174</v>
      </c>
      <c r="B1" s="82" t="s">
        <v>175</v>
      </c>
      <c r="C1" s="82"/>
      <c r="D1" s="83"/>
      <c r="E1" s="83"/>
      <c r="F1" s="84"/>
      <c r="G1" s="84"/>
      <c r="H1" s="84"/>
      <c r="I1" s="84"/>
      <c r="J1" s="84"/>
      <c r="K1" s="84"/>
      <c r="L1" s="84"/>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row>
    <row r="2" spans="1:48" ht="16" thickBot="1" x14ac:dyDescent="0.25">
      <c r="A2" s="86" t="s">
        <v>111</v>
      </c>
      <c r="B2" s="87" t="s">
        <v>131</v>
      </c>
      <c r="C2" s="87" t="s">
        <v>116</v>
      </c>
      <c r="D2" s="87" t="s">
        <v>134</v>
      </c>
      <c r="E2" s="87" t="s">
        <v>137</v>
      </c>
      <c r="F2" s="87" t="s">
        <v>125</v>
      </c>
      <c r="G2" s="87" t="s">
        <v>143</v>
      </c>
      <c r="H2" s="87" t="s">
        <v>128</v>
      </c>
      <c r="I2" s="87" t="s">
        <v>119</v>
      </c>
      <c r="J2" s="87" t="s">
        <v>140</v>
      </c>
      <c r="K2" s="87" t="s">
        <v>122</v>
      </c>
      <c r="L2" s="87" t="s">
        <v>131</v>
      </c>
      <c r="M2" s="87">
        <v>2016</v>
      </c>
      <c r="N2" s="87">
        <v>2017</v>
      </c>
      <c r="O2" s="93">
        <v>2018</v>
      </c>
      <c r="P2" s="93">
        <v>2019</v>
      </c>
      <c r="Q2" s="93">
        <v>2020</v>
      </c>
      <c r="R2" s="93">
        <v>2021</v>
      </c>
      <c r="S2" s="93">
        <v>2022</v>
      </c>
      <c r="T2" s="93">
        <v>2023</v>
      </c>
      <c r="U2" s="93">
        <v>2024</v>
      </c>
      <c r="V2" s="93">
        <v>2025</v>
      </c>
      <c r="W2" s="93">
        <v>2026</v>
      </c>
      <c r="X2" s="93">
        <v>2027</v>
      </c>
      <c r="Y2" s="93">
        <v>2028</v>
      </c>
      <c r="Z2" s="93">
        <v>2029</v>
      </c>
      <c r="AA2" s="93">
        <v>2030</v>
      </c>
      <c r="AB2" s="93">
        <v>2031</v>
      </c>
      <c r="AC2" s="93">
        <v>2032</v>
      </c>
      <c r="AD2" s="93">
        <v>2033</v>
      </c>
      <c r="AE2" s="93">
        <v>2034</v>
      </c>
      <c r="AF2" s="93">
        <v>2035</v>
      </c>
      <c r="AG2" s="93">
        <v>2036</v>
      </c>
      <c r="AH2" s="93">
        <v>2037</v>
      </c>
      <c r="AI2" s="93">
        <v>2038</v>
      </c>
      <c r="AJ2" s="93">
        <v>2039</v>
      </c>
      <c r="AK2" s="93">
        <v>2040</v>
      </c>
      <c r="AL2" s="93">
        <v>2041</v>
      </c>
      <c r="AM2" s="93">
        <v>2042</v>
      </c>
      <c r="AN2" s="93">
        <v>2043</v>
      </c>
      <c r="AO2" s="93">
        <v>2044</v>
      </c>
      <c r="AP2" s="93">
        <v>2045</v>
      </c>
      <c r="AQ2" s="93">
        <v>2046</v>
      </c>
      <c r="AR2" s="93">
        <v>2047</v>
      </c>
      <c r="AS2" s="93">
        <v>2048</v>
      </c>
      <c r="AT2" s="93">
        <v>2049</v>
      </c>
      <c r="AU2" s="93">
        <v>2050</v>
      </c>
      <c r="AV2" s="88" t="s">
        <v>170</v>
      </c>
    </row>
    <row r="4" spans="1:48" x14ac:dyDescent="0.2">
      <c r="M4" s="104"/>
    </row>
    <row r="5" spans="1:48" x14ac:dyDescent="0.2">
      <c r="M5" s="104"/>
    </row>
  </sheetData>
  <hyperlinks>
    <hyperlink ref="A1" location="Content!A1" display="Back to table of contents" xr:uid="{00000000-0004-0000-0E00-000000000000}"/>
    <hyperlink ref="B1" location="Parameters!A1" display="Parameters List" xr:uid="{00000000-0004-0000-0E00-000001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V3"/>
  <sheetViews>
    <sheetView topLeftCell="I1" zoomScale="125" zoomScaleNormal="125" workbookViewId="0">
      <selection activeCell="M3" sqref="M3:AU3"/>
    </sheetView>
  </sheetViews>
  <sheetFormatPr baseColWidth="10" defaultColWidth="9.1640625" defaultRowHeight="15" x14ac:dyDescent="0.2"/>
  <cols>
    <col min="1" max="1" width="21.5" customWidth="1"/>
    <col min="2" max="2" width="15.5" customWidth="1"/>
    <col min="3" max="3" width="22.5" bestFit="1" customWidth="1"/>
    <col min="6" max="6" width="10.1640625" customWidth="1"/>
    <col min="8" max="8" width="21.1640625" customWidth="1"/>
    <col min="9" max="9" width="9.5" customWidth="1"/>
    <col min="10" max="10" width="18.5" customWidth="1"/>
    <col min="11" max="11" width="24.1640625" bestFit="1" customWidth="1"/>
    <col min="12" max="14" width="8.5" customWidth="1"/>
    <col min="15" max="47" width="6.5" customWidth="1"/>
    <col min="48" max="48" width="6.83203125" customWidth="1"/>
  </cols>
  <sheetData>
    <row r="1" spans="1:48" ht="16" thickBot="1" x14ac:dyDescent="0.25">
      <c r="A1" s="81" t="s">
        <v>174</v>
      </c>
      <c r="B1" s="82" t="s">
        <v>175</v>
      </c>
      <c r="C1" s="82"/>
      <c r="D1" s="83"/>
      <c r="E1" s="83"/>
      <c r="F1" s="84"/>
      <c r="G1" s="84"/>
      <c r="H1" s="84"/>
      <c r="I1" s="84"/>
      <c r="J1" s="84"/>
      <c r="K1" s="84"/>
      <c r="L1" s="84"/>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row>
    <row r="2" spans="1:48" x14ac:dyDescent="0.2">
      <c r="A2" s="90" t="s">
        <v>111</v>
      </c>
      <c r="B2" s="91" t="s">
        <v>131</v>
      </c>
      <c r="C2" s="91" t="s">
        <v>116</v>
      </c>
      <c r="D2" s="91" t="s">
        <v>134</v>
      </c>
      <c r="E2" s="91" t="s">
        <v>137</v>
      </c>
      <c r="F2" s="91" t="s">
        <v>125</v>
      </c>
      <c r="G2" s="91" t="s">
        <v>143</v>
      </c>
      <c r="H2" s="91" t="s">
        <v>128</v>
      </c>
      <c r="I2" s="91" t="s">
        <v>119</v>
      </c>
      <c r="J2" s="91" t="s">
        <v>140</v>
      </c>
      <c r="K2" s="91" t="s">
        <v>122</v>
      </c>
      <c r="L2" s="91" t="s">
        <v>131</v>
      </c>
      <c r="M2" s="91">
        <v>2016</v>
      </c>
      <c r="N2" s="91">
        <v>2017</v>
      </c>
      <c r="O2" s="91">
        <v>2018</v>
      </c>
      <c r="P2" s="91">
        <v>2019</v>
      </c>
      <c r="Q2" s="91">
        <v>2020</v>
      </c>
      <c r="R2" s="91">
        <v>2021</v>
      </c>
      <c r="S2" s="91">
        <v>2022</v>
      </c>
      <c r="T2" s="91">
        <v>2023</v>
      </c>
      <c r="U2" s="91">
        <v>2024</v>
      </c>
      <c r="V2" s="91">
        <v>2025</v>
      </c>
      <c r="W2" s="91">
        <v>2026</v>
      </c>
      <c r="X2" s="91">
        <v>2027</v>
      </c>
      <c r="Y2" s="91">
        <v>2028</v>
      </c>
      <c r="Z2" s="91">
        <v>2029</v>
      </c>
      <c r="AA2" s="91">
        <v>2030</v>
      </c>
      <c r="AB2" s="91">
        <v>2031</v>
      </c>
      <c r="AC2" s="91">
        <v>2032</v>
      </c>
      <c r="AD2" s="91">
        <v>2033</v>
      </c>
      <c r="AE2" s="91">
        <v>2034</v>
      </c>
      <c r="AF2" s="91">
        <v>2035</v>
      </c>
      <c r="AG2" s="91">
        <v>2036</v>
      </c>
      <c r="AH2" s="91">
        <v>2037</v>
      </c>
      <c r="AI2" s="91">
        <v>2038</v>
      </c>
      <c r="AJ2" s="91">
        <v>2039</v>
      </c>
      <c r="AK2" s="91">
        <v>2040</v>
      </c>
      <c r="AL2" s="91">
        <v>2041</v>
      </c>
      <c r="AM2" s="91">
        <v>2042</v>
      </c>
      <c r="AN2" s="91">
        <v>2043</v>
      </c>
      <c r="AO2" s="91">
        <v>2044</v>
      </c>
      <c r="AP2" s="91">
        <v>2045</v>
      </c>
      <c r="AQ2" s="91">
        <v>2046</v>
      </c>
      <c r="AR2" s="91">
        <v>2047</v>
      </c>
      <c r="AS2" s="91">
        <v>2048</v>
      </c>
      <c r="AT2" s="91">
        <v>2049</v>
      </c>
      <c r="AU2" s="91">
        <v>2050</v>
      </c>
      <c r="AV2" s="92" t="s">
        <v>170</v>
      </c>
    </row>
    <row r="3" spans="1:48" x14ac:dyDescent="0.2">
      <c r="A3" t="s">
        <v>191</v>
      </c>
      <c r="B3" t="s">
        <v>197</v>
      </c>
      <c r="K3" s="102" t="s">
        <v>206</v>
      </c>
      <c r="M3">
        <v>10.66684333049899</v>
      </c>
      <c r="N3">
        <v>10.907888275498989</v>
      </c>
      <c r="O3">
        <v>11.152997786248999</v>
      </c>
      <c r="P3">
        <v>11.27263805739922</v>
      </c>
      <c r="Q3">
        <v>11.43522156215959</v>
      </c>
      <c r="R3">
        <v>11.517316336664125</v>
      </c>
      <c r="S3">
        <v>11.626969871940226</v>
      </c>
      <c r="T3">
        <v>11.73816662422635</v>
      </c>
      <c r="U3">
        <v>11.84494403679818</v>
      </c>
      <c r="V3">
        <v>11.941851180577274</v>
      </c>
      <c r="W3">
        <v>12.028721667477535</v>
      </c>
      <c r="X3">
        <v>12.105424420924368</v>
      </c>
      <c r="Y3">
        <v>12.173356508689283</v>
      </c>
      <c r="Z3">
        <v>12.232126689131421</v>
      </c>
      <c r="AA3">
        <v>12.281303175347265</v>
      </c>
      <c r="AB3">
        <v>12.320436322831597</v>
      </c>
      <c r="AC3">
        <v>12.349035770858848</v>
      </c>
      <c r="AD3">
        <v>12.366567499156403</v>
      </c>
      <c r="AE3">
        <v>12.372417183717621</v>
      </c>
      <c r="AF3">
        <v>12.36593314666119</v>
      </c>
      <c r="AG3">
        <v>12.345812353527084</v>
      </c>
      <c r="AH3">
        <v>12.311594228204548</v>
      </c>
      <c r="AI3">
        <v>12.262321232575699</v>
      </c>
      <c r="AJ3">
        <v>12.19689058704698</v>
      </c>
      <c r="AK3">
        <v>12.114265993713962</v>
      </c>
      <c r="AL3">
        <v>12.013209295838418</v>
      </c>
      <c r="AM3">
        <v>11.892392832015531</v>
      </c>
      <c r="AN3">
        <v>11.750394293953081</v>
      </c>
      <c r="AO3">
        <v>11.585655387944195</v>
      </c>
      <c r="AP3">
        <v>11.396522137571058</v>
      </c>
      <c r="AQ3">
        <v>11.181205238147752</v>
      </c>
      <c r="AR3">
        <v>10.937762737408011</v>
      </c>
      <c r="AS3">
        <v>10.664112513275022</v>
      </c>
      <c r="AT3">
        <v>10.357998305585552</v>
      </c>
      <c r="AU3">
        <v>10.016989680843057</v>
      </c>
    </row>
  </sheetData>
  <hyperlinks>
    <hyperlink ref="A1" location="Content!A1" display="Back to table of contents" xr:uid="{00000000-0004-0000-0F00-000000000000}"/>
    <hyperlink ref="B1" location="Parameters!A1" display="Parameters List" xr:uid="{00000000-0004-0000-0F00-000001000000}"/>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V283"/>
  <sheetViews>
    <sheetView topLeftCell="J1" zoomScale="125" zoomScaleNormal="85" workbookViewId="0">
      <selection activeCell="K3" sqref="K3"/>
    </sheetView>
  </sheetViews>
  <sheetFormatPr baseColWidth="10" defaultColWidth="9.1640625" defaultRowHeight="15" x14ac:dyDescent="0.2"/>
  <cols>
    <col min="1" max="1" width="16.5" customWidth="1"/>
    <col min="2" max="2" width="15.5" customWidth="1"/>
    <col min="3" max="3" width="13.5" customWidth="1"/>
    <col min="6" max="6" width="10.1640625" customWidth="1"/>
    <col min="8" max="8" width="21.1640625" customWidth="1"/>
    <col min="9" max="9" width="9.5" customWidth="1"/>
    <col min="10" max="10" width="18.5" customWidth="1"/>
    <col min="11" max="11" width="25.5" bestFit="1" customWidth="1"/>
    <col min="12" max="14" width="8.5" customWidth="1"/>
    <col min="15" max="47" width="6.5" customWidth="1"/>
    <col min="48" max="48" width="6.83203125" customWidth="1"/>
  </cols>
  <sheetData>
    <row r="1" spans="1:48" ht="16" thickBot="1" x14ac:dyDescent="0.25">
      <c r="A1" s="68" t="s">
        <v>174</v>
      </c>
      <c r="B1" s="69" t="s">
        <v>175</v>
      </c>
      <c r="C1" s="69"/>
      <c r="D1" s="21"/>
      <c r="E1" s="21"/>
      <c r="F1" s="22"/>
      <c r="G1" s="22"/>
      <c r="H1" s="22"/>
      <c r="I1" s="22"/>
      <c r="J1" s="22"/>
      <c r="K1" s="22"/>
      <c r="L1" s="22"/>
    </row>
    <row r="2" spans="1:48" ht="16" thickBot="1" x14ac:dyDescent="0.25">
      <c r="A2" s="76" t="s">
        <v>111</v>
      </c>
      <c r="B2" s="75" t="s">
        <v>131</v>
      </c>
      <c r="C2" s="75" t="s">
        <v>116</v>
      </c>
      <c r="D2" s="75" t="s">
        <v>134</v>
      </c>
      <c r="E2" s="75" t="s">
        <v>137</v>
      </c>
      <c r="F2" s="75" t="s">
        <v>125</v>
      </c>
      <c r="G2" s="75" t="s">
        <v>143</v>
      </c>
      <c r="H2" s="75" t="s">
        <v>128</v>
      </c>
      <c r="I2" s="75" t="s">
        <v>119</v>
      </c>
      <c r="J2" s="75" t="s">
        <v>140</v>
      </c>
      <c r="K2" s="75" t="s">
        <v>122</v>
      </c>
      <c r="L2" s="75" t="s">
        <v>131</v>
      </c>
      <c r="M2" s="75">
        <v>2016</v>
      </c>
      <c r="N2" s="75">
        <v>2017</v>
      </c>
      <c r="O2" s="79">
        <v>2018</v>
      </c>
      <c r="P2" s="79">
        <v>2019</v>
      </c>
      <c r="Q2" s="79">
        <v>2020</v>
      </c>
      <c r="R2" s="79">
        <v>2021</v>
      </c>
      <c r="S2" s="79">
        <v>2022</v>
      </c>
      <c r="T2" s="79">
        <v>2023</v>
      </c>
      <c r="U2" s="79">
        <v>2024</v>
      </c>
      <c r="V2" s="79">
        <v>2025</v>
      </c>
      <c r="W2" s="79">
        <v>2026</v>
      </c>
      <c r="X2" s="79">
        <v>2027</v>
      </c>
      <c r="Y2" s="79">
        <v>2028</v>
      </c>
      <c r="Z2" s="79">
        <v>2029</v>
      </c>
      <c r="AA2" s="79">
        <v>2030</v>
      </c>
      <c r="AB2" s="79">
        <v>2031</v>
      </c>
      <c r="AC2" s="79">
        <v>2032</v>
      </c>
      <c r="AD2" s="79">
        <v>2033</v>
      </c>
      <c r="AE2" s="79">
        <v>2034</v>
      </c>
      <c r="AF2" s="79">
        <v>2035</v>
      </c>
      <c r="AG2" s="79">
        <v>2036</v>
      </c>
      <c r="AH2" s="79">
        <v>2037</v>
      </c>
      <c r="AI2" s="79">
        <v>2038</v>
      </c>
      <c r="AJ2" s="79">
        <v>2039</v>
      </c>
      <c r="AK2" s="79">
        <v>2040</v>
      </c>
      <c r="AL2" s="79">
        <v>2041</v>
      </c>
      <c r="AM2" s="79">
        <v>2042</v>
      </c>
      <c r="AN2" s="79">
        <v>2043</v>
      </c>
      <c r="AO2" s="79">
        <v>2044</v>
      </c>
      <c r="AP2" s="79">
        <v>2045</v>
      </c>
      <c r="AQ2" s="79">
        <v>2046</v>
      </c>
      <c r="AR2" s="79">
        <v>2047</v>
      </c>
      <c r="AS2" s="79">
        <v>2048</v>
      </c>
      <c r="AT2" s="79">
        <v>2049</v>
      </c>
      <c r="AU2" s="79">
        <v>2050</v>
      </c>
      <c r="AV2" s="80" t="s">
        <v>170</v>
      </c>
    </row>
    <row r="3" spans="1:48" x14ac:dyDescent="0.2">
      <c r="A3" s="66" t="s">
        <v>191</v>
      </c>
      <c r="B3" t="s">
        <v>197</v>
      </c>
      <c r="I3" t="s">
        <v>199</v>
      </c>
      <c r="K3" t="s">
        <v>206</v>
      </c>
      <c r="M3" s="78">
        <v>1</v>
      </c>
      <c r="N3" s="78">
        <v>1</v>
      </c>
      <c r="O3" s="78">
        <v>1</v>
      </c>
      <c r="P3" s="78">
        <v>1</v>
      </c>
      <c r="Q3" s="78">
        <v>1</v>
      </c>
      <c r="R3" s="78">
        <v>1</v>
      </c>
      <c r="S3" s="78">
        <v>1</v>
      </c>
      <c r="T3" s="78">
        <v>1</v>
      </c>
      <c r="U3" s="78">
        <v>1</v>
      </c>
      <c r="V3" s="78">
        <v>1</v>
      </c>
      <c r="W3" s="78">
        <v>1</v>
      </c>
      <c r="X3" s="78">
        <v>1</v>
      </c>
      <c r="Y3" s="78">
        <v>1</v>
      </c>
      <c r="Z3" s="78">
        <v>1</v>
      </c>
      <c r="AA3" s="78">
        <v>1</v>
      </c>
      <c r="AB3" s="78">
        <v>1</v>
      </c>
      <c r="AC3" s="78">
        <v>1</v>
      </c>
      <c r="AD3" s="78">
        <v>1</v>
      </c>
      <c r="AE3" s="78">
        <v>1</v>
      </c>
      <c r="AF3" s="78">
        <v>1</v>
      </c>
      <c r="AG3" s="78">
        <v>1</v>
      </c>
      <c r="AH3" s="78">
        <v>1</v>
      </c>
      <c r="AI3" s="78">
        <v>1</v>
      </c>
      <c r="AJ3" s="78">
        <v>1</v>
      </c>
      <c r="AK3" s="78">
        <v>1</v>
      </c>
      <c r="AL3" s="78">
        <v>1</v>
      </c>
      <c r="AM3" s="78">
        <v>1</v>
      </c>
      <c r="AN3" s="78">
        <v>1</v>
      </c>
      <c r="AO3" s="78">
        <v>1</v>
      </c>
      <c r="AP3" s="78">
        <v>1</v>
      </c>
      <c r="AQ3" s="78">
        <v>1</v>
      </c>
      <c r="AR3" s="78">
        <v>1</v>
      </c>
      <c r="AS3" s="78">
        <v>1</v>
      </c>
      <c r="AT3" s="78">
        <v>1</v>
      </c>
      <c r="AU3" s="78">
        <v>1</v>
      </c>
    </row>
    <row r="273" ht="17" customHeight="1" x14ac:dyDescent="0.2"/>
    <row r="275" ht="17" customHeight="1" x14ac:dyDescent="0.2"/>
    <row r="277" ht="17" customHeight="1" x14ac:dyDescent="0.2"/>
    <row r="279" ht="17" customHeight="1" x14ac:dyDescent="0.2"/>
    <row r="281" ht="17" customHeight="1" x14ac:dyDescent="0.2"/>
    <row r="283" ht="17" customHeight="1" x14ac:dyDescent="0.2"/>
  </sheetData>
  <phoneticPr fontId="11" type="noConversion"/>
  <hyperlinks>
    <hyperlink ref="A1" location="Content!A1" display="Back to table of contents" xr:uid="{00000000-0004-0000-1000-000000000000}"/>
    <hyperlink ref="B1" location="Parameters!A1" display="Parameters List" xr:uid="{00000000-0004-0000-1000-000001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V51"/>
  <sheetViews>
    <sheetView topLeftCell="D1" zoomScale="109" workbookViewId="0">
      <selection activeCell="A3" sqref="A3"/>
    </sheetView>
  </sheetViews>
  <sheetFormatPr baseColWidth="10" defaultColWidth="9.1640625" defaultRowHeight="15" x14ac:dyDescent="0.2"/>
  <cols>
    <col min="1" max="1" width="16.5" style="85" customWidth="1"/>
    <col min="2" max="2" width="15.5" style="85" customWidth="1"/>
    <col min="3" max="3" width="20.5" style="85" bestFit="1" customWidth="1"/>
    <col min="4" max="5" width="9.1640625" style="85"/>
    <col min="6" max="6" width="10.1640625" style="85" customWidth="1"/>
    <col min="7" max="7" width="9.1640625" style="85"/>
    <col min="8" max="8" width="21.1640625" style="85" customWidth="1"/>
    <col min="9" max="9" width="9.5" style="85" customWidth="1"/>
    <col min="10" max="10" width="18.5" style="85" customWidth="1"/>
    <col min="11" max="11" width="9.1640625" style="85" customWidth="1"/>
    <col min="12" max="14" width="8.5" style="85" customWidth="1"/>
    <col min="15" max="47" width="6.5" style="85" customWidth="1"/>
    <col min="48" max="48" width="6.83203125" style="85" customWidth="1"/>
    <col min="49" max="16384" width="9.1640625" style="85"/>
  </cols>
  <sheetData>
    <row r="1" spans="1:48" ht="16" thickBot="1" x14ac:dyDescent="0.25">
      <c r="A1" s="81" t="s">
        <v>174</v>
      </c>
      <c r="B1" s="82" t="s">
        <v>175</v>
      </c>
      <c r="C1" s="82"/>
      <c r="D1" s="83"/>
      <c r="E1" s="83"/>
      <c r="F1" s="84"/>
      <c r="G1" s="84"/>
      <c r="H1" s="84"/>
      <c r="I1" s="84"/>
      <c r="J1" s="84"/>
      <c r="K1" s="84"/>
      <c r="L1" s="84"/>
    </row>
    <row r="2" spans="1:48" ht="16" thickBot="1" x14ac:dyDescent="0.25">
      <c r="A2" s="86" t="s">
        <v>111</v>
      </c>
      <c r="B2" s="87" t="s">
        <v>131</v>
      </c>
      <c r="C2" s="87" t="s">
        <v>116</v>
      </c>
      <c r="D2" s="87" t="s">
        <v>134</v>
      </c>
      <c r="E2" s="87" t="s">
        <v>137</v>
      </c>
      <c r="F2" s="87" t="s">
        <v>125</v>
      </c>
      <c r="G2" s="87" t="s">
        <v>143</v>
      </c>
      <c r="H2" s="87" t="s">
        <v>128</v>
      </c>
      <c r="I2" s="87" t="s">
        <v>119</v>
      </c>
      <c r="J2" s="87" t="s">
        <v>140</v>
      </c>
      <c r="K2" s="87" t="s">
        <v>122</v>
      </c>
      <c r="L2" s="87" t="s">
        <v>131</v>
      </c>
      <c r="M2" s="87">
        <v>2016</v>
      </c>
      <c r="N2" s="87">
        <v>2017</v>
      </c>
      <c r="O2" s="87">
        <v>2018</v>
      </c>
      <c r="P2" s="87">
        <v>2019</v>
      </c>
      <c r="Q2" s="87">
        <v>2020</v>
      </c>
      <c r="R2" s="87">
        <v>2021</v>
      </c>
      <c r="S2" s="87">
        <v>2022</v>
      </c>
      <c r="T2" s="87">
        <v>2023</v>
      </c>
      <c r="U2" s="87">
        <v>2024</v>
      </c>
      <c r="V2" s="87">
        <v>2025</v>
      </c>
      <c r="W2" s="87">
        <v>2026</v>
      </c>
      <c r="X2" s="87">
        <v>2027</v>
      </c>
      <c r="Y2" s="87">
        <v>2028</v>
      </c>
      <c r="Z2" s="87">
        <v>2029</v>
      </c>
      <c r="AA2" s="87">
        <v>2030</v>
      </c>
      <c r="AB2" s="87">
        <v>2031</v>
      </c>
      <c r="AC2" s="87">
        <v>2032</v>
      </c>
      <c r="AD2" s="87">
        <v>2033</v>
      </c>
      <c r="AE2" s="87">
        <v>2034</v>
      </c>
      <c r="AF2" s="87">
        <v>2035</v>
      </c>
      <c r="AG2" s="87">
        <v>2036</v>
      </c>
      <c r="AH2" s="87">
        <v>2037</v>
      </c>
      <c r="AI2" s="87">
        <v>2038</v>
      </c>
      <c r="AJ2" s="87">
        <v>2039</v>
      </c>
      <c r="AK2" s="87">
        <v>2040</v>
      </c>
      <c r="AL2" s="87">
        <v>2041</v>
      </c>
      <c r="AM2" s="87">
        <v>2042</v>
      </c>
      <c r="AN2" s="87">
        <v>2043</v>
      </c>
      <c r="AO2" s="87">
        <v>2044</v>
      </c>
      <c r="AP2" s="87">
        <v>2045</v>
      </c>
      <c r="AQ2" s="87">
        <v>2046</v>
      </c>
      <c r="AR2" s="87">
        <v>2047</v>
      </c>
      <c r="AS2" s="87">
        <v>2048</v>
      </c>
      <c r="AT2" s="87">
        <v>2049</v>
      </c>
      <c r="AU2" s="87">
        <v>2050</v>
      </c>
      <c r="AV2" s="88" t="s">
        <v>170</v>
      </c>
    </row>
    <row r="3" spans="1:48" customFormat="1" x14ac:dyDescent="0.2"/>
    <row r="4" spans="1:48" customFormat="1" x14ac:dyDescent="0.2"/>
    <row r="5" spans="1:48" customFormat="1" x14ac:dyDescent="0.2"/>
    <row r="6" spans="1:48" customFormat="1" x14ac:dyDescent="0.2"/>
    <row r="7" spans="1:48" customFormat="1" x14ac:dyDescent="0.2"/>
    <row r="8" spans="1:48" customFormat="1" x14ac:dyDescent="0.2"/>
    <row r="9" spans="1:48" customFormat="1" x14ac:dyDescent="0.2"/>
    <row r="10" spans="1:48" customFormat="1" x14ac:dyDescent="0.2"/>
    <row r="11" spans="1:48" customFormat="1" x14ac:dyDescent="0.2"/>
    <row r="12" spans="1:48" customFormat="1" x14ac:dyDescent="0.2"/>
    <row r="13" spans="1:48" customFormat="1" x14ac:dyDescent="0.2"/>
    <row r="14" spans="1:48" customFormat="1" x14ac:dyDescent="0.2"/>
    <row r="15" spans="1:48" customFormat="1" x14ac:dyDescent="0.2"/>
    <row r="16" spans="1:48" customFormat="1" x14ac:dyDescent="0.2"/>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x14ac:dyDescent="0.2"/>
    <row r="49" customFormat="1" x14ac:dyDescent="0.2"/>
    <row r="50" customFormat="1" x14ac:dyDescent="0.2"/>
    <row r="51" customFormat="1" x14ac:dyDescent="0.2"/>
  </sheetData>
  <hyperlinks>
    <hyperlink ref="A1" location="Content!A1" display="Back to table of contents" xr:uid="{00000000-0004-0000-1100-000000000000}"/>
    <hyperlink ref="B1" location="Parameters!A1" display="Parameters List" xr:uid="{00000000-0004-0000-1100-000001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N63"/>
  <sheetViews>
    <sheetView topLeftCell="M2" zoomScale="131" zoomScaleNormal="110" workbookViewId="0">
      <pane ySplit="1" topLeftCell="A4" activePane="bottomLeft" state="frozen"/>
      <selection activeCell="I2" sqref="I2"/>
      <selection pane="bottomLeft" activeCell="M14" sqref="A1:AV38"/>
    </sheetView>
  </sheetViews>
  <sheetFormatPr baseColWidth="10" defaultColWidth="9.1640625" defaultRowHeight="15" x14ac:dyDescent="0.2"/>
  <cols>
    <col min="1" max="1" width="41.5" style="85" bestFit="1" customWidth="1"/>
    <col min="2" max="2" width="15.5" style="85" customWidth="1"/>
    <col min="3" max="3" width="36.83203125" style="85" bestFit="1" customWidth="1"/>
    <col min="4" max="5" width="9.1640625" style="85"/>
    <col min="6" max="6" width="10.1640625" style="85" customWidth="1"/>
    <col min="7" max="7" width="9.1640625" style="85"/>
    <col min="8" max="8" width="21.1640625" style="85" customWidth="1"/>
    <col min="9" max="9" width="9.5" style="85" customWidth="1"/>
    <col min="10" max="10" width="18.5" style="85" customWidth="1"/>
    <col min="11" max="11" width="9.1640625" style="85" customWidth="1"/>
    <col min="12" max="12" width="7.1640625" style="85" bestFit="1" customWidth="1"/>
    <col min="13" max="14" width="7.1640625" style="85" customWidth="1"/>
    <col min="15" max="17" width="13.5" style="85" bestFit="1" customWidth="1"/>
    <col min="18" max="47" width="7.1640625" style="85" bestFit="1" customWidth="1"/>
    <col min="48" max="48" width="6.83203125" style="85" customWidth="1"/>
    <col min="49" max="16384" width="9.1640625" style="85"/>
  </cols>
  <sheetData>
    <row r="1" spans="1:48" ht="16" thickBot="1" x14ac:dyDescent="0.25">
      <c r="A1" s="81" t="s">
        <v>174</v>
      </c>
      <c r="B1" s="82" t="s">
        <v>175</v>
      </c>
      <c r="C1" s="82"/>
      <c r="D1" s="83"/>
      <c r="E1" s="83"/>
      <c r="F1" s="84"/>
      <c r="G1" s="84"/>
      <c r="H1" s="84"/>
      <c r="I1" s="84"/>
      <c r="J1" s="84"/>
      <c r="K1" s="84"/>
      <c r="L1" s="84"/>
    </row>
    <row r="2" spans="1:48" ht="16" thickBot="1" x14ac:dyDescent="0.25">
      <c r="A2" s="86" t="s">
        <v>111</v>
      </c>
      <c r="B2" s="87" t="s">
        <v>131</v>
      </c>
      <c r="C2" s="87" t="s">
        <v>116</v>
      </c>
      <c r="D2" s="87" t="s">
        <v>134</v>
      </c>
      <c r="E2" s="87" t="s">
        <v>137</v>
      </c>
      <c r="F2" s="87" t="s">
        <v>125</v>
      </c>
      <c r="G2" s="87" t="s">
        <v>143</v>
      </c>
      <c r="H2" s="87" t="s">
        <v>128</v>
      </c>
      <c r="I2" s="87" t="s">
        <v>119</v>
      </c>
      <c r="J2" s="87" t="s">
        <v>140</v>
      </c>
      <c r="K2" s="87" t="s">
        <v>122</v>
      </c>
      <c r="L2" s="87" t="s">
        <v>131</v>
      </c>
      <c r="M2" s="87">
        <v>2016</v>
      </c>
      <c r="N2" s="87">
        <v>2017</v>
      </c>
      <c r="O2" s="87">
        <v>2018</v>
      </c>
      <c r="P2" s="87">
        <v>2019</v>
      </c>
      <c r="Q2" s="87">
        <v>2020</v>
      </c>
      <c r="R2" s="87">
        <v>2021</v>
      </c>
      <c r="S2" s="87">
        <v>2022</v>
      </c>
      <c r="T2" s="87">
        <v>2023</v>
      </c>
      <c r="U2" s="87">
        <v>2024</v>
      </c>
      <c r="V2" s="87">
        <v>2025</v>
      </c>
      <c r="W2" s="87">
        <v>2026</v>
      </c>
      <c r="X2" s="87">
        <v>2027</v>
      </c>
      <c r="Y2" s="87">
        <v>2028</v>
      </c>
      <c r="Z2" s="87">
        <v>2029</v>
      </c>
      <c r="AA2" s="87">
        <v>2030</v>
      </c>
      <c r="AB2" s="87">
        <v>2031</v>
      </c>
      <c r="AC2" s="87">
        <v>2032</v>
      </c>
      <c r="AD2" s="87">
        <v>2033</v>
      </c>
      <c r="AE2" s="87">
        <v>2034</v>
      </c>
      <c r="AF2" s="87">
        <v>2035</v>
      </c>
      <c r="AG2" s="87">
        <v>2036</v>
      </c>
      <c r="AH2" s="87">
        <v>2037</v>
      </c>
      <c r="AI2" s="87">
        <v>2038</v>
      </c>
      <c r="AJ2" s="87">
        <v>2039</v>
      </c>
      <c r="AK2" s="87">
        <v>2040</v>
      </c>
      <c r="AL2" s="87">
        <v>2041</v>
      </c>
      <c r="AM2" s="87">
        <v>2042</v>
      </c>
      <c r="AN2" s="87">
        <v>2043</v>
      </c>
      <c r="AO2" s="87">
        <v>2044</v>
      </c>
      <c r="AP2" s="87">
        <v>2045</v>
      </c>
      <c r="AQ2" s="87">
        <v>2046</v>
      </c>
      <c r="AR2" s="87">
        <v>2047</v>
      </c>
      <c r="AS2" s="87">
        <v>2048</v>
      </c>
      <c r="AT2" s="87">
        <v>2049</v>
      </c>
      <c r="AU2" s="87">
        <v>2050</v>
      </c>
      <c r="AV2" s="88" t="s">
        <v>170</v>
      </c>
    </row>
    <row r="3" spans="1:48" customFormat="1" x14ac:dyDescent="0.2">
      <c r="A3" t="s">
        <v>200</v>
      </c>
      <c r="B3" t="s">
        <v>197</v>
      </c>
      <c r="C3" t="s">
        <v>202</v>
      </c>
      <c r="M3">
        <v>3.5342760000000002</v>
      </c>
      <c r="N3">
        <v>3.5226820000000001</v>
      </c>
      <c r="O3">
        <v>3.4993129999999999</v>
      </c>
      <c r="P3">
        <v>3.478119</v>
      </c>
      <c r="Q3">
        <v>3.4546139999999999</v>
      </c>
      <c r="R3">
        <v>3.4311090000000002</v>
      </c>
      <c r="S3">
        <v>3.4076070000000001</v>
      </c>
      <c r="T3">
        <v>3.371220859045541</v>
      </c>
      <c r="U3">
        <v>3.3327788311026807</v>
      </c>
      <c r="V3">
        <v>3.3237130428763964</v>
      </c>
      <c r="W3">
        <v>3.3204501777469346</v>
      </c>
      <c r="X3">
        <v>3.3229777264872555</v>
      </c>
      <c r="Y3">
        <v>3.3312320620666265</v>
      </c>
      <c r="Z3">
        <v>3.3451000565624449</v>
      </c>
      <c r="AA3">
        <v>3.3644213297078944</v>
      </c>
      <c r="AB3">
        <v>3.3830230419482823</v>
      </c>
      <c r="AC3">
        <v>3.4008991927787768</v>
      </c>
      <c r="AD3">
        <v>3.4180432555467184</v>
      </c>
      <c r="AE3">
        <v>3.4344481623984309</v>
      </c>
      <c r="AF3">
        <v>3.4501062885055438</v>
      </c>
      <c r="AG3">
        <v>3.4650094355437577</v>
      </c>
      <c r="AH3">
        <v>3.4791488143957516</v>
      </c>
      <c r="AI3">
        <v>3.4925150270487957</v>
      </c>
      <c r="AJ3">
        <v>3.50509804765636</v>
      </c>
      <c r="AK3">
        <v>3.5168872027316844</v>
      </c>
      <c r="AL3">
        <v>3.5278711504399638</v>
      </c>
      <c r="AM3">
        <v>3.5380378589543895</v>
      </c>
      <c r="AN3">
        <v>3.5473745838397974</v>
      </c>
      <c r="AO3">
        <v>3.5558678444261704</v>
      </c>
      <c r="AP3">
        <v>3.5635033991326655</v>
      </c>
      <c r="AQ3">
        <v>3.5702662197011845</v>
      </c>
      <c r="AR3">
        <v>3.5761404642967589</v>
      </c>
      <c r="AS3">
        <v>3.5811094494302993</v>
      </c>
      <c r="AT3">
        <v>3.5851556206573183</v>
      </c>
      <c r="AU3">
        <v>3.5882605220044121</v>
      </c>
    </row>
    <row r="4" spans="1:48" customFormat="1" x14ac:dyDescent="0.2">
      <c r="A4" t="s">
        <v>200</v>
      </c>
      <c r="B4" t="s">
        <v>197</v>
      </c>
      <c r="C4" t="s">
        <v>241</v>
      </c>
      <c r="M4">
        <v>9.3133999999999995E-2</v>
      </c>
      <c r="N4">
        <v>9.2904E-2</v>
      </c>
      <c r="O4">
        <v>9.5586000000000004E-2</v>
      </c>
      <c r="P4">
        <v>9.8329E-2</v>
      </c>
      <c r="Q4">
        <v>0.101009</v>
      </c>
      <c r="R4">
        <v>0.103688</v>
      </c>
      <c r="S4">
        <v>0.106368</v>
      </c>
      <c r="T4">
        <v>0.10928655266094953</v>
      </c>
      <c r="U4">
        <v>0.11228518532372983</v>
      </c>
      <c r="V4">
        <v>0.11690655020431115</v>
      </c>
      <c r="W4">
        <v>0.12171811838996691</v>
      </c>
      <c r="X4">
        <v>0.12672771815182396</v>
      </c>
      <c r="Y4">
        <v>0.13194349995219723</v>
      </c>
      <c r="Z4">
        <v>0.13737394970513719</v>
      </c>
      <c r="AA4">
        <v>0.14302790258274714</v>
      </c>
      <c r="AB4">
        <v>0.14891455738973192</v>
      </c>
      <c r="AC4">
        <v>0.15504349152956612</v>
      </c>
      <c r="AD4">
        <v>0.16142467658663009</v>
      </c>
      <c r="AE4">
        <v>0.16806849454966633</v>
      </c>
      <c r="AF4">
        <v>0.17498575470295083</v>
      </c>
      <c r="AG4">
        <v>0.18218771121266086</v>
      </c>
      <c r="AH4">
        <v>0.18968608143705187</v>
      </c>
      <c r="AI4">
        <v>0.19749306499023322</v>
      </c>
      <c r="AJ4">
        <v>0.2056213635905593</v>
      </c>
      <c r="AK4">
        <v>0.21408420172592846</v>
      </c>
      <c r="AL4">
        <v>0.22289534816961168</v>
      </c>
      <c r="AM4">
        <v>0.23206913838161658</v>
      </c>
      <c r="AN4">
        <v>0.24162049783203302</v>
      </c>
      <c r="AO4">
        <v>0.25156496628430669</v>
      </c>
      <c r="AP4">
        <v>0.26191872307794872</v>
      </c>
      <c r="AQ4">
        <v>0.27269861345181562</v>
      </c>
      <c r="AR4">
        <v>0.28392217595078678</v>
      </c>
      <c r="AS4">
        <v>0.295607670960429</v>
      </c>
      <c r="AT4">
        <v>0.30777411041607333</v>
      </c>
      <c r="AU4">
        <v>0.32044128873464012</v>
      </c>
    </row>
    <row r="5" spans="1:48" customFormat="1" x14ac:dyDescent="0.2">
      <c r="A5" t="s">
        <v>200</v>
      </c>
      <c r="B5" t="s">
        <v>197</v>
      </c>
      <c r="C5" t="s">
        <v>242</v>
      </c>
      <c r="M5">
        <v>1.565284979700029</v>
      </c>
      <c r="N5">
        <v>1.5659558005000007</v>
      </c>
      <c r="O5">
        <v>1.5883676450000008</v>
      </c>
      <c r="P5">
        <v>1.6117880503668542</v>
      </c>
      <c r="Q5">
        <v>1.6341563964787331</v>
      </c>
      <c r="R5">
        <v>1.6565231677273813</v>
      </c>
      <c r="S5">
        <v>1.6788883642791166</v>
      </c>
      <c r="T5">
        <v>1.7024341629946782</v>
      </c>
      <c r="U5">
        <v>1.7262123644079856</v>
      </c>
      <c r="V5">
        <v>1.7355581851056712</v>
      </c>
      <c r="W5">
        <v>1.7401045664894974</v>
      </c>
      <c r="X5">
        <v>1.739864645843735</v>
      </c>
      <c r="Y5">
        <v>1.7348909580452332</v>
      </c>
      <c r="Z5">
        <v>1.7252740268149731</v>
      </c>
      <c r="AA5">
        <v>1.711140471250457</v>
      </c>
      <c r="AB5">
        <v>1.6972685201732081</v>
      </c>
      <c r="AC5">
        <v>1.6836538293928176</v>
      </c>
      <c r="AD5">
        <v>1.6702921400691539</v>
      </c>
      <c r="AE5">
        <v>1.6571792770403304</v>
      </c>
      <c r="AF5">
        <v>1.6443111471842289</v>
      </c>
      <c r="AG5">
        <v>1.6316837378129079</v>
      </c>
      <c r="AH5">
        <v>1.6192931150992329</v>
      </c>
      <c r="AI5">
        <v>1.6071354225350836</v>
      </c>
      <c r="AJ5">
        <v>1.5952068794205005</v>
      </c>
      <c r="AK5">
        <v>1.5835037793831515</v>
      </c>
      <c r="AL5">
        <v>1.5720224889275098</v>
      </c>
      <c r="AM5">
        <v>1.5607594460131455</v>
      </c>
      <c r="AN5">
        <v>1.5497111586615435</v>
      </c>
      <c r="AO5">
        <v>1.5388742035908825</v>
      </c>
      <c r="AP5">
        <v>1.5282452248782046</v>
      </c>
      <c r="AQ5">
        <v>1.5178209326484331</v>
      </c>
      <c r="AR5">
        <v>1.507598101789696</v>
      </c>
      <c r="AS5">
        <v>1.4975735706944258</v>
      </c>
      <c r="AT5">
        <v>1.4877442400257244</v>
      </c>
      <c r="AU5">
        <v>1.478107071508479</v>
      </c>
    </row>
    <row r="6" spans="1:48" customFormat="1" x14ac:dyDescent="0.2">
      <c r="A6" t="s">
        <v>200</v>
      </c>
      <c r="B6" t="s">
        <v>197</v>
      </c>
      <c r="C6" t="s">
        <v>243</v>
      </c>
      <c r="M6">
        <v>0.35484931637401834</v>
      </c>
      <c r="N6">
        <v>0.3553330898</v>
      </c>
      <c r="O6">
        <v>0.37410540396999997</v>
      </c>
      <c r="P6">
        <v>0.39312371152056985</v>
      </c>
      <c r="Q6">
        <v>0.41189327876390947</v>
      </c>
      <c r="R6">
        <v>0.43066152451923545</v>
      </c>
      <c r="S6">
        <v>0.44942844892610406</v>
      </c>
      <c r="T6">
        <v>0.47105084732389757</v>
      </c>
      <c r="U6">
        <v>0.49326891152549712</v>
      </c>
      <c r="V6">
        <v>0.4975676543941665</v>
      </c>
      <c r="W6">
        <v>0.5005088363602469</v>
      </c>
      <c r="X6">
        <v>0.50208275649043832</v>
      </c>
      <c r="Y6">
        <v>0.50229108131572697</v>
      </c>
      <c r="Z6">
        <v>0.50114662278520572</v>
      </c>
      <c r="AA6">
        <v>0.49867296874344519</v>
      </c>
      <c r="AB6">
        <v>0.49625416050147192</v>
      </c>
      <c r="AC6">
        <v>0.49388956160353414</v>
      </c>
      <c r="AD6">
        <v>0.49157854840014503</v>
      </c>
      <c r="AE6">
        <v>0.48932050985421977</v>
      </c>
      <c r="AF6">
        <v>0.48711484735071242</v>
      </c>
      <c r="AG6">
        <v>0.48496097450969594</v>
      </c>
      <c r="AH6">
        <v>0.4828583170028285</v>
      </c>
      <c r="AI6">
        <v>0.48080631237315113</v>
      </c>
      <c r="AJ6">
        <v>0.47880440985816247</v>
      </c>
      <c r="AK6">
        <v>0.47685207021611736</v>
      </c>
      <c r="AL6">
        <v>0.47494876555549681</v>
      </c>
      <c r="AM6">
        <v>0.4730939791675976</v>
      </c>
      <c r="AN6">
        <v>0.47128720536219082</v>
      </c>
      <c r="AO6">
        <v>0.46952794930620129</v>
      </c>
      <c r="AP6">
        <v>0.46781572686535622</v>
      </c>
      <c r="AQ6">
        <v>0.46615006444875751</v>
      </c>
      <c r="AR6">
        <v>0.46453049885633024</v>
      </c>
      <c r="AS6">
        <v>0.46295657712909966</v>
      </c>
      <c r="AT6">
        <v>0.46142785640225298</v>
      </c>
      <c r="AU6">
        <v>0.45994390376094035</v>
      </c>
    </row>
    <row r="7" spans="1:48" customFormat="1" x14ac:dyDescent="0.2">
      <c r="A7" t="s">
        <v>200</v>
      </c>
      <c r="B7" t="s">
        <v>197</v>
      </c>
      <c r="C7" t="s">
        <v>244</v>
      </c>
      <c r="M7">
        <v>0.51290125250851482</v>
      </c>
      <c r="N7">
        <v>0.51432309769999995</v>
      </c>
      <c r="O7">
        <v>0.51662174841999986</v>
      </c>
      <c r="P7">
        <v>0.51924531189869605</v>
      </c>
      <c r="Q7">
        <v>0.52152704129844829</v>
      </c>
      <c r="R7">
        <v>0.52380861005101986</v>
      </c>
      <c r="S7">
        <v>0.52609001817337675</v>
      </c>
      <c r="T7">
        <v>0.52847553201301189</v>
      </c>
      <c r="U7">
        <v>0.53087186277766452</v>
      </c>
      <c r="V7">
        <v>0.53448265788491445</v>
      </c>
      <c r="W7">
        <v>0.53811801229210221</v>
      </c>
      <c r="X7">
        <v>0.54177809304255098</v>
      </c>
      <c r="Y7">
        <v>0.54546306831575075</v>
      </c>
      <c r="Z7">
        <v>0.54917310743508707</v>
      </c>
      <c r="AA7">
        <v>0.55290838087562044</v>
      </c>
      <c r="AB7">
        <v>0.55666906027192009</v>
      </c>
      <c r="AC7">
        <v>0.56045531842595053</v>
      </c>
      <c r="AD7">
        <v>0.56426732931501167</v>
      </c>
      <c r="AE7">
        <v>0.56810526809973294</v>
      </c>
      <c r="AF7">
        <v>0.5719693111321219</v>
      </c>
      <c r="AG7">
        <v>0.57585963596366785</v>
      </c>
      <c r="AH7">
        <v>0.5797764213534996</v>
      </c>
      <c r="AI7">
        <v>0.58371984727660009</v>
      </c>
      <c r="AJ7">
        <v>0.58769009493207569</v>
      </c>
      <c r="AK7">
        <v>0.59168734675148271</v>
      </c>
      <c r="AL7">
        <v>0.59571178640720934</v>
      </c>
      <c r="AM7">
        <v>0.59976359882091623</v>
      </c>
      <c r="AN7">
        <v>0.60384297017203292</v>
      </c>
      <c r="AO7">
        <v>0.607950087906313</v>
      </c>
      <c r="AP7">
        <v>0.61208514074444698</v>
      </c>
      <c r="AQ7">
        <v>0.61624831869073438</v>
      </c>
      <c r="AR7">
        <v>0.6204398130418135</v>
      </c>
      <c r="AS7">
        <v>0.62465981639545276</v>
      </c>
      <c r="AT7">
        <v>0.62890852265939912</v>
      </c>
      <c r="AU7">
        <v>0.63318612706028887</v>
      </c>
    </row>
    <row r="8" spans="1:48" customFormat="1" x14ac:dyDescent="0.2">
      <c r="A8" t="s">
        <v>200</v>
      </c>
      <c r="B8" t="s">
        <v>197</v>
      </c>
      <c r="C8" t="s">
        <v>245</v>
      </c>
      <c r="M8">
        <v>4.3621747356073435</v>
      </c>
      <c r="N8">
        <v>4.3712674466999992</v>
      </c>
      <c r="O8">
        <v>4.3446414092600003</v>
      </c>
      <c r="P8">
        <v>4.3139011310303053</v>
      </c>
      <c r="Q8">
        <v>4.2874908275653763</v>
      </c>
      <c r="R8">
        <v>4.2610823835412655</v>
      </c>
      <c r="S8">
        <v>4.2346757987616082</v>
      </c>
      <c r="T8">
        <v>4.2175133602801269</v>
      </c>
      <c r="U8">
        <v>4.2004204783145704</v>
      </c>
      <c r="V8">
        <v>4.183396870963918</v>
      </c>
      <c r="W8">
        <v>4.1664422574696491</v>
      </c>
      <c r="X8">
        <v>4.1495563582111092</v>
      </c>
      <c r="Y8">
        <v>4.1327388947008998</v>
      </c>
      <c r="Z8">
        <v>4.1159895895802885</v>
      </c>
      <c r="AA8">
        <v>4.0993081666146285</v>
      </c>
      <c r="AB8">
        <v>4.0826943506888069</v>
      </c>
      <c r="AC8">
        <v>4.0661478678027079</v>
      </c>
      <c r="AD8">
        <v>4.0496684450666915</v>
      </c>
      <c r="AE8">
        <v>4.0332558106970948</v>
      </c>
      <c r="AF8">
        <v>4.0169096940117495</v>
      </c>
      <c r="AG8">
        <v>4.0006298254255164</v>
      </c>
      <c r="AH8">
        <v>3.9844159364458398</v>
      </c>
      <c r="AI8">
        <v>3.9682677596683202</v>
      </c>
      <c r="AJ8">
        <v>3.9521850287723046</v>
      </c>
      <c r="AK8">
        <v>3.9361674785164924</v>
      </c>
      <c r="AL8">
        <v>3.9202148447345624</v>
      </c>
      <c r="AM8">
        <v>3.9043268643308155</v>
      </c>
      <c r="AN8">
        <v>3.8885032752758359</v>
      </c>
      <c r="AO8">
        <v>3.8727438166021693</v>
      </c>
      <c r="AP8">
        <v>3.8570482284000196</v>
      </c>
      <c r="AQ8">
        <v>3.8414162518129618</v>
      </c>
      <c r="AR8">
        <v>3.8258476290336736</v>
      </c>
      <c r="AS8">
        <v>3.8103421032996816</v>
      </c>
      <c r="AT8">
        <v>3.7948994188891296</v>
      </c>
      <c r="AU8">
        <v>3.7795193211165587</v>
      </c>
    </row>
    <row r="9" spans="1:48" customFormat="1" x14ac:dyDescent="0.2">
      <c r="A9" t="s">
        <v>200</v>
      </c>
      <c r="B9" t="s">
        <v>197</v>
      </c>
      <c r="C9" t="s">
        <v>246</v>
      </c>
      <c r="M9">
        <v>0.23937179976906325</v>
      </c>
      <c r="N9">
        <v>0.23944278289999998</v>
      </c>
      <c r="O9">
        <v>0.23963433710999998</v>
      </c>
      <c r="P9">
        <v>0.23997605402719879</v>
      </c>
      <c r="Q9">
        <v>0.24015927326695888</v>
      </c>
      <c r="R9">
        <v>0.2403424796070058</v>
      </c>
      <c r="S9">
        <v>0.24052567304870234</v>
      </c>
      <c r="T9">
        <v>0.24074284630287579</v>
      </c>
      <c r="U9">
        <v>0.24096021564514963</v>
      </c>
      <c r="V9">
        <v>0.241177781252574</v>
      </c>
      <c r="W9">
        <v>0.24139554330235879</v>
      </c>
      <c r="X9">
        <v>0.24161350197187398</v>
      </c>
      <c r="Y9">
        <v>0.24183165743864965</v>
      </c>
      <c r="Z9">
        <v>0.24205000988037623</v>
      </c>
      <c r="AA9">
        <v>0.2422685594749045</v>
      </c>
      <c r="AB9">
        <v>0.24248730640024591</v>
      </c>
      <c r="AC9">
        <v>0.24270625083457259</v>
      </c>
      <c r="AD9">
        <v>0.24292539295621757</v>
      </c>
      <c r="AE9">
        <v>0.24314473294367489</v>
      </c>
      <c r="AF9">
        <v>0.24336427097559973</v>
      </c>
      <c r="AG9">
        <v>0.24358400723080861</v>
      </c>
      <c r="AH9">
        <v>0.24380394188827947</v>
      </c>
      <c r="AI9">
        <v>0.24402407512715193</v>
      </c>
      <c r="AJ9">
        <v>0.24424440712672729</v>
      </c>
      <c r="AK9">
        <v>0.24446493806646871</v>
      </c>
      <c r="AL9">
        <v>0.24468566812600151</v>
      </c>
      <c r="AM9">
        <v>0.24490659748511306</v>
      </c>
      <c r="AN9">
        <v>0.24512772632375315</v>
      </c>
      <c r="AO9">
        <v>0.24534905482203404</v>
      </c>
      <c r="AP9">
        <v>0.24557058316023053</v>
      </c>
      <c r="AQ9">
        <v>0.24579231151878037</v>
      </c>
      <c r="AR9">
        <v>0.24601424007828401</v>
      </c>
      <c r="AS9">
        <v>0.24623636901950516</v>
      </c>
      <c r="AT9">
        <v>0.2464586985233706</v>
      </c>
      <c r="AU9">
        <v>0.24668122877097054</v>
      </c>
    </row>
    <row r="10" spans="1:48" customFormat="1" x14ac:dyDescent="0.2">
      <c r="A10" t="s">
        <v>200</v>
      </c>
      <c r="B10" t="s">
        <v>197</v>
      </c>
      <c r="C10" t="s">
        <v>247</v>
      </c>
      <c r="M10">
        <v>0.15605818032674948</v>
      </c>
      <c r="N10">
        <v>0.15611669420000016</v>
      </c>
      <c r="O10">
        <v>0.15803223645000014</v>
      </c>
      <c r="P10">
        <v>0.1600479271507276</v>
      </c>
      <c r="Q10">
        <v>0.1619589669496328</v>
      </c>
      <c r="R10">
        <v>0.16386987220008745</v>
      </c>
      <c r="S10">
        <v>0.16578064291630082</v>
      </c>
      <c r="T10">
        <v>0.16778407835318293</v>
      </c>
      <c r="U10">
        <v>0.1698117250217212</v>
      </c>
      <c r="V10">
        <v>0.1718638755111988</v>
      </c>
      <c r="W10">
        <v>0.17394082594679861</v>
      </c>
      <c r="X10">
        <v>0.17604287603233421</v>
      </c>
      <c r="Y10">
        <v>0.17817032909349698</v>
      </c>
      <c r="Z10">
        <v>0.18032349212162613</v>
      </c>
      <c r="AA10">
        <v>0.18250267581800733</v>
      </c>
      <c r="AB10">
        <v>0.18470819463870702</v>
      </c>
      <c r="AC10">
        <v>0.1869403668399485</v>
      </c>
      <c r="AD10">
        <v>0.18919951452403594</v>
      </c>
      <c r="AE10">
        <v>0.19148596368583415</v>
      </c>
      <c r="AF10">
        <v>0.19380004425980929</v>
      </c>
      <c r="AG10">
        <v>0.19614209016763851</v>
      </c>
      <c r="AH10">
        <v>0.1985124393663949</v>
      </c>
      <c r="AI10">
        <v>0.2009114338973145</v>
      </c>
      <c r="AJ10">
        <v>0.20333941993515303</v>
      </c>
      <c r="AK10">
        <v>0.20579674783813875</v>
      </c>
      <c r="AL10">
        <v>0.20828377219852909</v>
      </c>
      <c r="AM10">
        <v>0.21080085189377848</v>
      </c>
      <c r="AN10">
        <v>0.21334835013832418</v>
      </c>
      <c r="AO10">
        <v>0.21592663453599809</v>
      </c>
      <c r="AP10">
        <v>0.21853607713307208</v>
      </c>
      <c r="AQ10">
        <v>0.22117705447194416</v>
      </c>
      <c r="AR10">
        <v>0.22384994764547356</v>
      </c>
      <c r="AS10">
        <v>0.22655514235197236</v>
      </c>
      <c r="AT10">
        <v>0.22929302895086173</v>
      </c>
      <c r="AU10">
        <v>0.23206400251900094</v>
      </c>
    </row>
    <row r="11" spans="1:48" customFormat="1" x14ac:dyDescent="0.2">
      <c r="A11" t="s">
        <v>200</v>
      </c>
      <c r="B11" t="s">
        <v>197</v>
      </c>
      <c r="C11" t="s">
        <v>248</v>
      </c>
      <c r="M11">
        <v>7.0849370211899368E-2</v>
      </c>
      <c r="N11">
        <v>7.0875063499999988E-2</v>
      </c>
      <c r="O11">
        <v>7.2599051509999984E-2</v>
      </c>
      <c r="P11">
        <v>7.4369575566463286E-2</v>
      </c>
      <c r="Q11">
        <v>7.6091964171139614E-2</v>
      </c>
      <c r="R11">
        <v>7.7814231509519979E-2</v>
      </c>
      <c r="S11">
        <v>7.9536377594410818E-2</v>
      </c>
      <c r="T11">
        <v>8.1391761025736239E-2</v>
      </c>
      <c r="U11">
        <v>8.3290425881000663E-2</v>
      </c>
      <c r="V11">
        <v>8.5233381806849945E-2</v>
      </c>
      <c r="W11">
        <v>8.722166200244405E-2</v>
      </c>
      <c r="X11">
        <v>8.9256323768877974E-2</v>
      </c>
      <c r="Y11">
        <v>9.1338449071419164E-2</v>
      </c>
      <c r="Z11">
        <v>9.3469145114860555E-2</v>
      </c>
      <c r="AA11">
        <v>9.5649544932295161E-2</v>
      </c>
      <c r="AB11">
        <v>9.7880807987625287E-2</v>
      </c>
      <c r="AC11">
        <v>0.10016412079212678</v>
      </c>
      <c r="AD11">
        <v>0.10250069753539612</v>
      </c>
      <c r="AE11">
        <v>0.10489178073101597</v>
      </c>
      <c r="AF11">
        <v>0.10733864187728247</v>
      </c>
      <c r="AG11">
        <v>0.10984258213334558</v>
      </c>
      <c r="AH11">
        <v>0.1124049330111222</v>
      </c>
      <c r="AI11">
        <v>0.11502705708334968</v>
      </c>
      <c r="AJ11">
        <v>0.11771034870815666</v>
      </c>
      <c r="AK11">
        <v>0.12045623477053623</v>
      </c>
      <c r="AL11">
        <v>0.12326617544111566</v>
      </c>
      <c r="AM11">
        <v>0.12614166495262655</v>
      </c>
      <c r="AN11">
        <v>0.12908423239448791</v>
      </c>
      <c r="AO11">
        <v>0.13209544252592495</v>
      </c>
      <c r="AP11">
        <v>0.13517689660805579</v>
      </c>
      <c r="AQ11">
        <v>0.13833023325538885</v>
      </c>
      <c r="AR11">
        <v>0.1415571293071832</v>
      </c>
      <c r="AS11">
        <v>0.14485930071913589</v>
      </c>
      <c r="AT11">
        <v>0.14823850347586989</v>
      </c>
      <c r="AU11">
        <v>0.15169653452470824</v>
      </c>
    </row>
    <row r="12" spans="1:48" customFormat="1" x14ac:dyDescent="0.2">
      <c r="A12" t="s">
        <v>200</v>
      </c>
      <c r="B12" t="s">
        <v>197</v>
      </c>
      <c r="C12" t="s">
        <v>250</v>
      </c>
      <c r="M12">
        <v>3.8309999999999997E-2</v>
      </c>
      <c r="N12">
        <v>3.6305999999999998E-2</v>
      </c>
      <c r="O12">
        <v>3.8309999999999997E-2</v>
      </c>
      <c r="P12">
        <v>3.2046999999999999E-2</v>
      </c>
      <c r="Q12">
        <v>3.8585000000000001E-2</v>
      </c>
      <c r="R12">
        <v>3.8677000000000003E-2</v>
      </c>
      <c r="S12">
        <v>3.8674E-2</v>
      </c>
      <c r="T12">
        <v>3.8674E-2</v>
      </c>
      <c r="U12">
        <v>3.8674E-2</v>
      </c>
      <c r="V12">
        <v>3.8674E-2</v>
      </c>
      <c r="W12">
        <v>3.8674E-2</v>
      </c>
      <c r="X12">
        <v>3.8674E-2</v>
      </c>
      <c r="Y12">
        <v>3.8674E-2</v>
      </c>
      <c r="Z12">
        <v>3.8674E-2</v>
      </c>
      <c r="AA12">
        <v>3.8674E-2</v>
      </c>
      <c r="AB12">
        <v>3.8674E-2</v>
      </c>
      <c r="AC12">
        <v>3.8674E-2</v>
      </c>
      <c r="AD12">
        <v>3.8674E-2</v>
      </c>
      <c r="AE12">
        <v>3.8674E-2</v>
      </c>
      <c r="AF12">
        <v>3.8674E-2</v>
      </c>
      <c r="AG12">
        <v>3.8674E-2</v>
      </c>
      <c r="AH12">
        <v>3.8674E-2</v>
      </c>
      <c r="AI12">
        <v>3.8674E-2</v>
      </c>
      <c r="AJ12">
        <v>3.8674E-2</v>
      </c>
      <c r="AK12">
        <v>3.8674E-2</v>
      </c>
      <c r="AL12">
        <v>3.8674E-2</v>
      </c>
      <c r="AM12">
        <v>3.8674E-2</v>
      </c>
      <c r="AN12">
        <v>3.8674E-2</v>
      </c>
      <c r="AO12">
        <v>3.8674E-2</v>
      </c>
      <c r="AP12">
        <v>3.8674E-2</v>
      </c>
      <c r="AQ12">
        <v>3.8674E-2</v>
      </c>
      <c r="AR12">
        <v>3.8674E-2</v>
      </c>
      <c r="AS12">
        <v>3.8674E-2</v>
      </c>
      <c r="AT12">
        <v>3.8674E-2</v>
      </c>
      <c r="AU12">
        <v>3.8674E-2</v>
      </c>
    </row>
    <row r="13" spans="1:48" customFormat="1" x14ac:dyDescent="0.2">
      <c r="A13" t="s">
        <v>200</v>
      </c>
      <c r="B13" t="s">
        <v>197</v>
      </c>
      <c r="C13" t="s">
        <v>251</v>
      </c>
      <c r="M13">
        <v>1.7623E-2</v>
      </c>
      <c r="N13">
        <v>2.4483000000000001E-2</v>
      </c>
      <c r="O13">
        <v>1.7623E-2</v>
      </c>
      <c r="P13">
        <v>1.7999999999999999E-2</v>
      </c>
      <c r="Q13">
        <v>1.7613E-2</v>
      </c>
      <c r="R13">
        <v>1.7611000000000002E-2</v>
      </c>
      <c r="S13">
        <v>1.7609E-2</v>
      </c>
      <c r="T13">
        <v>2.287859045540977E-3</v>
      </c>
      <c r="U13">
        <v>2.3197205713966496E-4</v>
      </c>
      <c r="V13">
        <v>2.9608211773715656E-2</v>
      </c>
      <c r="W13">
        <v>3.5411134870538277E-2</v>
      </c>
      <c r="X13">
        <v>4.1201548740320906E-2</v>
      </c>
      <c r="Y13">
        <v>4.6928335579370942E-2</v>
      </c>
      <c r="Z13">
        <v>5.2541994495818437E-2</v>
      </c>
      <c r="AA13">
        <v>5.7995273145449514E-2</v>
      </c>
      <c r="AB13">
        <v>5.7275712240387869E-2</v>
      </c>
      <c r="AC13">
        <v>5.6550150830494542E-2</v>
      </c>
      <c r="AD13">
        <v>5.5818062767941559E-2</v>
      </c>
      <c r="AE13">
        <v>5.5078906851712475E-2</v>
      </c>
      <c r="AF13">
        <v>5.4332126107112924E-2</v>
      </c>
      <c r="AG13">
        <v>5.3577147038213938E-2</v>
      </c>
      <c r="AH13">
        <v>5.28133788519939E-2</v>
      </c>
      <c r="AI13">
        <v>5.2040212653044052E-2</v>
      </c>
      <c r="AJ13">
        <v>5.1257020607564333E-2</v>
      </c>
      <c r="AK13">
        <v>5.0463155075324409E-2</v>
      </c>
      <c r="AL13">
        <v>4.9657947708279374E-2</v>
      </c>
      <c r="AM13">
        <v>4.8840708514425693E-2</v>
      </c>
      <c r="AN13">
        <v>4.8010724885407932E-2</v>
      </c>
      <c r="AO13">
        <v>4.7167260586373008E-2</v>
      </c>
      <c r="AP13">
        <v>4.6309554706495018E-2</v>
      </c>
      <c r="AQ13">
        <v>4.5436820568519068E-2</v>
      </c>
      <c r="AR13">
        <v>4.4548244595574396E-2</v>
      </c>
      <c r="AS13">
        <v>4.3642985133540382E-2</v>
      </c>
      <c r="AT13">
        <v>4.2720171227019002E-2</v>
      </c>
      <c r="AU13">
        <v>4.1778901347093847E-2</v>
      </c>
    </row>
    <row r="14" spans="1:48" customFormat="1" x14ac:dyDescent="0.2">
      <c r="A14" t="s">
        <v>200</v>
      </c>
      <c r="B14" t="s">
        <v>197</v>
      </c>
      <c r="C14" t="s">
        <v>249</v>
      </c>
      <c r="M14">
        <v>1.3122886374892079E-2</v>
      </c>
      <c r="N14">
        <v>1.3122886374892079E-2</v>
      </c>
      <c r="O14">
        <v>2.0088888070402044E-2</v>
      </c>
      <c r="P14">
        <v>5.5145693562798921E-2</v>
      </c>
      <c r="Q14">
        <v>7.5714387955679599E-2</v>
      </c>
      <c r="R14">
        <v>3.5560184307475519E-2</v>
      </c>
      <c r="S14">
        <v>1.8935507387443016E-2</v>
      </c>
      <c r="T14">
        <v>2.0088888070402044E-2</v>
      </c>
      <c r="U14">
        <v>1.9887999189698025E-2</v>
      </c>
      <c r="V14">
        <v>1.9689119197801044E-2</v>
      </c>
      <c r="W14">
        <v>1.9492228005823033E-2</v>
      </c>
      <c r="X14">
        <v>1.9297305725764803E-2</v>
      </c>
      <c r="Y14">
        <v>1.9104332668507154E-2</v>
      </c>
      <c r="Z14">
        <v>1.8913289341822081E-2</v>
      </c>
      <c r="AA14">
        <v>1.8724156448403861E-2</v>
      </c>
      <c r="AB14">
        <v>1.8536914883919824E-2</v>
      </c>
      <c r="AC14">
        <v>1.8351545735080625E-2</v>
      </c>
      <c r="AD14">
        <v>1.816803027772982E-2</v>
      </c>
      <c r="AE14">
        <v>1.798634997495252E-2</v>
      </c>
      <c r="AF14">
        <v>1.7806486475202995E-2</v>
      </c>
      <c r="AG14">
        <v>1.7628421610450966E-2</v>
      </c>
      <c r="AH14">
        <v>1.7452137394346454E-2</v>
      </c>
      <c r="AI14">
        <v>1.7277616020402991E-2</v>
      </c>
      <c r="AJ14">
        <v>1.7104839860198961E-2</v>
      </c>
      <c r="AK14">
        <v>1.6933791461596973E-2</v>
      </c>
      <c r="AL14">
        <v>1.6764453546981004E-2</v>
      </c>
      <c r="AM14">
        <v>1.6596809011511195E-2</v>
      </c>
      <c r="AN14">
        <v>1.6430840921396083E-2</v>
      </c>
      <c r="AO14">
        <v>1.6266532512182123E-2</v>
      </c>
      <c r="AP14">
        <v>1.6103867187060302E-2</v>
      </c>
      <c r="AQ14">
        <v>1.5942828515189699E-2</v>
      </c>
      <c r="AR14">
        <v>1.5783400230037801E-2</v>
      </c>
      <c r="AS14">
        <v>1.5625566227737423E-2</v>
      </c>
      <c r="AT14">
        <v>1.5469310565460049E-2</v>
      </c>
      <c r="AU14">
        <v>1.5314617459805448E-2</v>
      </c>
    </row>
    <row r="15" spans="1:48" customFormat="1" x14ac:dyDescent="0.2">
      <c r="A15" t="s">
        <v>200</v>
      </c>
      <c r="B15" t="s">
        <v>197</v>
      </c>
      <c r="C15" t="s">
        <v>203</v>
      </c>
      <c r="M15">
        <v>10.66684333049899</v>
      </c>
      <c r="N15">
        <v>10.907888275498989</v>
      </c>
      <c r="O15">
        <v>11.152997786248999</v>
      </c>
      <c r="P15">
        <v>11.27263805739922</v>
      </c>
      <c r="Q15">
        <v>11.43522156215959</v>
      </c>
      <c r="R15">
        <v>11.517316336664125</v>
      </c>
      <c r="S15">
        <v>11.626969871940226</v>
      </c>
      <c r="T15">
        <v>11.73816662422635</v>
      </c>
      <c r="U15">
        <v>11.84494403679818</v>
      </c>
      <c r="V15">
        <v>11.941851180577274</v>
      </c>
      <c r="W15">
        <v>12.028721667477535</v>
      </c>
      <c r="X15">
        <v>12.105424420924368</v>
      </c>
      <c r="Y15">
        <v>12.173356508689283</v>
      </c>
      <c r="Z15">
        <v>12.232126689131421</v>
      </c>
      <c r="AA15">
        <v>12.281303175347265</v>
      </c>
      <c r="AB15">
        <v>12.320436322831597</v>
      </c>
      <c r="AC15">
        <v>12.349035770858848</v>
      </c>
      <c r="AD15">
        <v>12.366567499156403</v>
      </c>
      <c r="AE15">
        <v>12.372417183717621</v>
      </c>
      <c r="AF15">
        <v>12.36593314666119</v>
      </c>
      <c r="AG15">
        <v>12.345812353527084</v>
      </c>
      <c r="AH15">
        <v>12.311594228204548</v>
      </c>
      <c r="AI15">
        <v>12.262321232575699</v>
      </c>
      <c r="AJ15">
        <v>12.19689058704698</v>
      </c>
      <c r="AK15">
        <v>12.114265993713962</v>
      </c>
      <c r="AL15">
        <v>12.013209295838418</v>
      </c>
      <c r="AM15">
        <v>11.892392832015531</v>
      </c>
      <c r="AN15">
        <v>11.750394293953081</v>
      </c>
      <c r="AO15">
        <v>11.585655387944195</v>
      </c>
      <c r="AP15">
        <v>11.396522137571058</v>
      </c>
      <c r="AQ15">
        <v>11.181205238147752</v>
      </c>
      <c r="AR15">
        <v>10.937762737408011</v>
      </c>
      <c r="AS15">
        <v>10.664112513275022</v>
      </c>
      <c r="AT15">
        <v>10.357998305585552</v>
      </c>
      <c r="AU15">
        <v>10.016989680843057</v>
      </c>
    </row>
    <row r="16" spans="1:48" customFormat="1" x14ac:dyDescent="0.2">
      <c r="A16" t="s">
        <v>200</v>
      </c>
      <c r="B16" t="s">
        <v>197</v>
      </c>
      <c r="C16" t="s">
        <v>207</v>
      </c>
      <c r="M16">
        <v>15.34008280688429</v>
      </c>
      <c r="N16">
        <v>15.564092790230941</v>
      </c>
      <c r="O16">
        <v>15.792769952258075</v>
      </c>
      <c r="P16">
        <v>15.962993088271396</v>
      </c>
      <c r="Q16">
        <v>16.10454503732149</v>
      </c>
      <c r="R16">
        <v>16.164481800805138</v>
      </c>
      <c r="S16">
        <v>16.252761624094106</v>
      </c>
      <c r="T16">
        <v>16.34278807798443</v>
      </c>
      <c r="U16">
        <v>16.428683804315817</v>
      </c>
      <c r="V16">
        <v>16.440101730246052</v>
      </c>
      <c r="W16">
        <v>16.438065274993924</v>
      </c>
      <c r="X16">
        <v>16.422603512079899</v>
      </c>
      <c r="Y16">
        <v>16.40225227930565</v>
      </c>
      <c r="Z16">
        <v>16.376953062749294</v>
      </c>
      <c r="AA16">
        <v>16.346643500739063</v>
      </c>
      <c r="AB16">
        <v>16.311283884398627</v>
      </c>
      <c r="AC16">
        <v>16.270836976561696</v>
      </c>
      <c r="AD16">
        <v>16.225268611058198</v>
      </c>
      <c r="AE16">
        <v>16.174513620819617</v>
      </c>
      <c r="AF16">
        <v>16.118524531344651</v>
      </c>
      <c r="AG16">
        <v>16.015716913502079</v>
      </c>
      <c r="AH16">
        <v>15.937704734540086</v>
      </c>
      <c r="AI16">
        <v>15.852492387029921</v>
      </c>
      <c r="AJ16">
        <v>15.758517252695759</v>
      </c>
      <c r="AK16">
        <v>15.664958469143665</v>
      </c>
      <c r="AL16">
        <v>15.565733846833325</v>
      </c>
      <c r="AM16">
        <v>15.461196529734639</v>
      </c>
      <c r="AN16">
        <v>15.352106046812079</v>
      </c>
      <c r="AO16">
        <v>15.237190700824716</v>
      </c>
      <c r="AP16">
        <v>15.117206979733162</v>
      </c>
      <c r="AQ16">
        <v>14.991346442358086</v>
      </c>
      <c r="AR16">
        <v>14.859222446134208</v>
      </c>
      <c r="AS16">
        <v>14.720670070980649</v>
      </c>
      <c r="AT16">
        <v>14.575293207357095</v>
      </c>
      <c r="AU16">
        <v>14.422800445248008</v>
      </c>
    </row>
    <row r="17" spans="1:47" customFormat="1" x14ac:dyDescent="0.2">
      <c r="A17" t="s">
        <v>200</v>
      </c>
      <c r="B17" t="s">
        <v>197</v>
      </c>
      <c r="C17" t="s">
        <v>210</v>
      </c>
      <c r="M17">
        <v>1.4999999999999999E-2</v>
      </c>
      <c r="N17">
        <v>1.4999999999999999E-2</v>
      </c>
      <c r="O17">
        <v>1.4999999999999999E-2</v>
      </c>
      <c r="P17">
        <v>1.4999999999999999E-2</v>
      </c>
      <c r="Q17">
        <v>1.4999999999999999E-2</v>
      </c>
      <c r="R17">
        <v>1.4999999999999999E-2</v>
      </c>
      <c r="S17">
        <v>1.4999999999999999E-2</v>
      </c>
      <c r="T17">
        <v>1.4999999999999999E-2</v>
      </c>
      <c r="U17">
        <v>1.4999999999999999E-2</v>
      </c>
      <c r="V17">
        <v>1.7333333333333333E-2</v>
      </c>
      <c r="W17">
        <v>1.9666666666666666E-2</v>
      </c>
      <c r="X17">
        <v>2.1999999999999999E-2</v>
      </c>
      <c r="Y17">
        <v>2.376E-2</v>
      </c>
      <c r="Z17">
        <v>2.5660800000000001E-2</v>
      </c>
      <c r="AA17">
        <v>2.7713664000000002E-2</v>
      </c>
      <c r="AB17">
        <v>2.9930757120000005E-2</v>
      </c>
      <c r="AC17">
        <v>3.2325217689600005E-2</v>
      </c>
      <c r="AD17">
        <v>3.4911235104768006E-2</v>
      </c>
      <c r="AE17">
        <v>3.7704133913149446E-2</v>
      </c>
      <c r="AF17">
        <v>4.0720464626201401E-2</v>
      </c>
      <c r="AG17">
        <v>4.3978101796297513E-2</v>
      </c>
      <c r="AH17">
        <v>4.749634994000132E-2</v>
      </c>
      <c r="AI17">
        <v>5.1296057935201429E-2</v>
      </c>
      <c r="AJ17">
        <v>5.5399742570017549E-2</v>
      </c>
      <c r="AK17">
        <v>5.9831721975618958E-2</v>
      </c>
      <c r="AL17">
        <v>6.4618259733668484E-2</v>
      </c>
      <c r="AM17">
        <v>6.978772051236197E-2</v>
      </c>
      <c r="AN17">
        <v>7.5370738153350936E-2</v>
      </c>
      <c r="AO17">
        <v>8.1400397205619021E-2</v>
      </c>
      <c r="AP17">
        <v>8.7912428982068552E-2</v>
      </c>
      <c r="AQ17">
        <v>9.4945423300634046E-2</v>
      </c>
      <c r="AR17">
        <v>0.10254105716468477</v>
      </c>
      <c r="AS17">
        <v>0.11074434173785956</v>
      </c>
      <c r="AT17">
        <v>0.11960388907688833</v>
      </c>
      <c r="AU17">
        <v>0.12917220020303941</v>
      </c>
    </row>
    <row r="18" spans="1:47" customFormat="1" x14ac:dyDescent="0.2">
      <c r="A18" t="s">
        <v>200</v>
      </c>
      <c r="B18" t="s">
        <v>197</v>
      </c>
      <c r="C18" t="s">
        <v>211</v>
      </c>
      <c r="M18">
        <v>0.2</v>
      </c>
      <c r="N18">
        <v>0.21500000000000002</v>
      </c>
      <c r="O18">
        <v>0.23000000000000004</v>
      </c>
      <c r="P18">
        <v>0.24500000000000005</v>
      </c>
      <c r="Q18">
        <v>0.26000000000000006</v>
      </c>
      <c r="R18">
        <v>0.27500000000000008</v>
      </c>
      <c r="S18">
        <v>0.29000000000000009</v>
      </c>
      <c r="T18">
        <v>0.3050000000000001</v>
      </c>
      <c r="U18">
        <v>0.32000000000000012</v>
      </c>
      <c r="V18">
        <v>0.33733333333333343</v>
      </c>
      <c r="W18">
        <v>0.3570000000000001</v>
      </c>
      <c r="X18">
        <v>0.37900000000000011</v>
      </c>
      <c r="Y18">
        <v>0.40276000000000012</v>
      </c>
      <c r="Z18">
        <v>0.4284208000000001</v>
      </c>
      <c r="AA18">
        <v>0.45613446400000013</v>
      </c>
      <c r="AB18">
        <v>0.48606522112000011</v>
      </c>
      <c r="AC18">
        <v>0.51839043880960012</v>
      </c>
      <c r="AD18">
        <v>0.55330167391436813</v>
      </c>
      <c r="AE18">
        <v>0.59100580782751755</v>
      </c>
      <c r="AF18">
        <v>0.63172627245371893</v>
      </c>
      <c r="AG18">
        <v>0.67570437425001639</v>
      </c>
      <c r="AH18">
        <v>0.72320072419001769</v>
      </c>
      <c r="AI18">
        <v>0.77449678212521911</v>
      </c>
      <c r="AJ18">
        <v>0.82989652469523667</v>
      </c>
      <c r="AK18">
        <v>0.88972824667085559</v>
      </c>
      <c r="AL18">
        <v>0.95434650640452412</v>
      </c>
      <c r="AM18">
        <v>1.024134226916886</v>
      </c>
      <c r="AN18">
        <v>1.0995049650702371</v>
      </c>
      <c r="AO18">
        <v>1.1809053622758561</v>
      </c>
      <c r="AP18">
        <v>1.2688177912579246</v>
      </c>
      <c r="AQ18">
        <v>1.3637632145585585</v>
      </c>
      <c r="AR18">
        <v>1.4663042717232433</v>
      </c>
      <c r="AS18">
        <v>1.5770486134611028</v>
      </c>
      <c r="AT18">
        <v>1.696652502537991</v>
      </c>
      <c r="AU18">
        <v>1.8258247027410304</v>
      </c>
    </row>
    <row r="19" spans="1:47" customFormat="1" x14ac:dyDescent="0.2">
      <c r="A19" t="s">
        <v>200</v>
      </c>
      <c r="B19" t="s">
        <v>197</v>
      </c>
      <c r="C19" t="s">
        <v>214</v>
      </c>
      <c r="M19">
        <v>1.7460339012267838</v>
      </c>
      <c r="N19">
        <v>1.757518320613392</v>
      </c>
      <c r="O19">
        <v>1.7690027400000001</v>
      </c>
      <c r="P19">
        <v>1.7990203319564833</v>
      </c>
      <c r="Q19">
        <v>1.8186665554897876</v>
      </c>
      <c r="R19">
        <v>1.8376198868487714</v>
      </c>
      <c r="S19">
        <v>1.8576081226416918</v>
      </c>
      <c r="T19">
        <v>1.8778788429692785</v>
      </c>
      <c r="U19">
        <v>1.8977923523691385</v>
      </c>
      <c r="V19">
        <v>1.9102187923465586</v>
      </c>
      <c r="W19">
        <v>1.9224584235570099</v>
      </c>
      <c r="X19">
        <v>1.9345100670303144</v>
      </c>
      <c r="Y19">
        <v>1.9463682129025981</v>
      </c>
      <c r="Z19">
        <v>1.9580325257254672</v>
      </c>
      <c r="AA19">
        <v>1.9695024381947985</v>
      </c>
      <c r="AB19">
        <v>1.9807798088649144</v>
      </c>
      <c r="AC19">
        <v>1.9918669166430356</v>
      </c>
      <c r="AD19">
        <v>2.0027665273805169</v>
      </c>
      <c r="AE19">
        <v>2.0134784767854015</v>
      </c>
      <c r="AF19">
        <v>2.0240045539075422</v>
      </c>
      <c r="AG19">
        <v>2.0289531072174758</v>
      </c>
      <c r="AH19">
        <v>2.0376116136422215</v>
      </c>
      <c r="AI19">
        <v>2.0458375607185317</v>
      </c>
      <c r="AJ19">
        <v>2.0534290365866137</v>
      </c>
      <c r="AK19">
        <v>2.0616246140451153</v>
      </c>
      <c r="AL19">
        <v>2.069627963887362</v>
      </c>
      <c r="AM19">
        <v>2.0775016248001528</v>
      </c>
      <c r="AN19">
        <v>2.085367638183198</v>
      </c>
      <c r="AO19">
        <v>2.093068343915037</v>
      </c>
      <c r="AP19">
        <v>2.100728684693173</v>
      </c>
      <c r="AQ19">
        <v>2.1082544776534831</v>
      </c>
      <c r="AR19">
        <v>2.1156103963042847</v>
      </c>
      <c r="AS19">
        <v>2.1227927693822859</v>
      </c>
      <c r="AT19">
        <v>2.1297646745019838</v>
      </c>
      <c r="AU19">
        <v>2.1365041603714583</v>
      </c>
    </row>
    <row r="20" spans="1:47" customFormat="1" x14ac:dyDescent="0.2">
      <c r="A20" t="s">
        <v>200</v>
      </c>
      <c r="B20" t="s">
        <v>197</v>
      </c>
      <c r="C20" t="s">
        <v>232</v>
      </c>
      <c r="M20">
        <v>1.5299276939296438E-2</v>
      </c>
      <c r="N20">
        <v>1.6064240786261261E-2</v>
      </c>
      <c r="O20">
        <v>1.6867452825574326E-2</v>
      </c>
      <c r="P20">
        <v>1.7710825466853042E-2</v>
      </c>
      <c r="Q20">
        <v>1.8596366740195696E-2</v>
      </c>
      <c r="R20">
        <v>1.9526185077205483E-2</v>
      </c>
      <c r="S20">
        <v>2.0502494331065758E-2</v>
      </c>
      <c r="T20">
        <v>2.1527619047619045E-2</v>
      </c>
      <c r="U20">
        <v>2.2603999999999999E-2</v>
      </c>
      <c r="V20">
        <v>2.4299299999999999E-2</v>
      </c>
      <c r="W20">
        <v>2.6121747499999997E-2</v>
      </c>
      <c r="X20">
        <v>2.8080878562499995E-2</v>
      </c>
      <c r="Y20">
        <v>3.0186944454687496E-2</v>
      </c>
      <c r="Z20">
        <v>3.2450965288789053E-2</v>
      </c>
      <c r="AA20">
        <v>3.4884787685448233E-2</v>
      </c>
      <c r="AB20">
        <v>3.7501146761856848E-2</v>
      </c>
      <c r="AC20">
        <v>4.0313732768996108E-2</v>
      </c>
      <c r="AD20">
        <v>4.3337262726670815E-2</v>
      </c>
      <c r="AE20">
        <v>4.6587557431171121E-2</v>
      </c>
      <c r="AF20">
        <v>5.0081624238508954E-2</v>
      </c>
      <c r="AG20">
        <v>5.3837746056397122E-2</v>
      </c>
      <c r="AH20">
        <v>5.7875577010626907E-2</v>
      </c>
      <c r="AI20">
        <v>6.2216245286423916E-2</v>
      </c>
      <c r="AJ20">
        <v>6.6882463682905707E-2</v>
      </c>
      <c r="AK20">
        <v>7.1898648459123637E-2</v>
      </c>
      <c r="AL20">
        <v>7.7291047093557913E-2</v>
      </c>
      <c r="AM20">
        <v>8.3087875625574736E-2</v>
      </c>
      <c r="AN20">
        <v>8.931946629749285E-2</v>
      </c>
      <c r="AO20">
        <v>9.6018426269804807E-2</v>
      </c>
      <c r="AP20">
        <v>0.10321980824004016</v>
      </c>
      <c r="AQ20">
        <v>0.11096129385804317</v>
      </c>
      <c r="AR20">
        <v>0.1192833908973964</v>
      </c>
      <c r="AS20">
        <v>0.12822964521470112</v>
      </c>
      <c r="AT20">
        <v>0.1378468686058037</v>
      </c>
      <c r="AU20">
        <v>0.14818538375123896</v>
      </c>
    </row>
    <row r="21" spans="1:47" customFormat="1" x14ac:dyDescent="0.2">
      <c r="A21" t="s">
        <v>200</v>
      </c>
      <c r="B21" t="s">
        <v>197</v>
      </c>
      <c r="C21" t="s">
        <v>231</v>
      </c>
      <c r="M21">
        <v>0.18247222515920009</v>
      </c>
      <c r="N21">
        <v>0.18321629956385821</v>
      </c>
      <c r="O21">
        <v>0.18233644268219629</v>
      </c>
      <c r="P21">
        <v>0.16410013521622874</v>
      </c>
      <c r="Q21">
        <v>0.15570539547935403</v>
      </c>
      <c r="R21">
        <v>0.16266705647928137</v>
      </c>
      <c r="S21">
        <v>0.15493135535896554</v>
      </c>
      <c r="T21">
        <v>0.15001017615701001</v>
      </c>
      <c r="U21">
        <v>0.14524531137366686</v>
      </c>
      <c r="V21">
        <v>0.1383250381611443</v>
      </c>
      <c r="W21">
        <v>0.13173448424133444</v>
      </c>
      <c r="X21">
        <v>0.12545794000153143</v>
      </c>
      <c r="Y21">
        <v>0.11948044432005453</v>
      </c>
      <c r="Z21">
        <v>0.11378774890408207</v>
      </c>
      <c r="AA21">
        <v>0.10836628432662426</v>
      </c>
      <c r="AB21">
        <v>0.10320312768167866</v>
      </c>
      <c r="AC21">
        <v>9.8285971780468967E-2</v>
      </c>
      <c r="AD21">
        <v>9.3603095815342E-2</v>
      </c>
      <c r="AE21">
        <v>8.9143337421395435E-2</v>
      </c>
      <c r="AF21">
        <v>8.4896066069240869E-2</v>
      </c>
      <c r="AG21">
        <v>8.085115772547985E-2</v>
      </c>
      <c r="AH21">
        <v>7.6998970720491861E-2</v>
      </c>
      <c r="AI21">
        <v>7.3330322766011743E-2</v>
      </c>
      <c r="AJ21">
        <v>6.9836469067714207E-2</v>
      </c>
      <c r="AK21">
        <v>6.6509081480633142E-2</v>
      </c>
      <c r="AL21">
        <v>6.3340228657729897E-2</v>
      </c>
      <c r="AM21">
        <v>6.0322357144291065E-2</v>
      </c>
      <c r="AN21">
        <v>5.7448273373091691E-2</v>
      </c>
      <c r="AO21">
        <v>5.4711126517406283E-2</v>
      </c>
      <c r="AP21">
        <v>5.2104392160995369E-2</v>
      </c>
      <c r="AQ21">
        <v>4.9621856746142182E-2</v>
      </c>
      <c r="AR21">
        <v>4.7257602762669236E-2</v>
      </c>
      <c r="AS21">
        <v>4.5005994642630297E-2</v>
      </c>
      <c r="AT21">
        <v>4.2861665327055605E-2</v>
      </c>
      <c r="AU21">
        <v>4.0819503472730119E-2</v>
      </c>
    </row>
    <row r="22" spans="1:47" customFormat="1" x14ac:dyDescent="0.2">
      <c r="A22" t="s">
        <v>200</v>
      </c>
      <c r="B22" t="s">
        <v>197</v>
      </c>
      <c r="C22" t="s">
        <v>215</v>
      </c>
      <c r="M22">
        <v>0.51290125250851482</v>
      </c>
      <c r="N22">
        <v>0.51432309769999995</v>
      </c>
      <c r="O22">
        <v>0.51662174841999986</v>
      </c>
      <c r="P22">
        <v>0.51924531189869605</v>
      </c>
      <c r="Q22">
        <v>0.52152704129844829</v>
      </c>
      <c r="R22">
        <v>0.52380861005101986</v>
      </c>
      <c r="S22">
        <v>0.52609001817337675</v>
      </c>
      <c r="T22">
        <v>0.52847553201301189</v>
      </c>
      <c r="U22">
        <v>0.53087186277766452</v>
      </c>
      <c r="V22">
        <v>0.53448265788491445</v>
      </c>
      <c r="W22">
        <v>0.53811801229210221</v>
      </c>
      <c r="X22">
        <v>0.54177809304255098</v>
      </c>
      <c r="Y22">
        <v>0.54546306831575075</v>
      </c>
      <c r="Z22">
        <v>0.54917310743508707</v>
      </c>
      <c r="AA22">
        <v>0.55290838087562044</v>
      </c>
      <c r="AB22">
        <v>0.55666906027192009</v>
      </c>
      <c r="AC22">
        <v>0.56045531842595053</v>
      </c>
      <c r="AD22">
        <v>0.56426732931501167</v>
      </c>
      <c r="AE22">
        <v>0.56810526809973294</v>
      </c>
      <c r="AF22">
        <v>0.5719693111321219</v>
      </c>
      <c r="AG22">
        <v>0.57585963596366785</v>
      </c>
      <c r="AH22">
        <v>0.5797764213534996</v>
      </c>
      <c r="AI22">
        <v>0.58371984727660009</v>
      </c>
      <c r="AJ22">
        <v>0.58769009493207569</v>
      </c>
      <c r="AK22">
        <v>0.59168734675148271</v>
      </c>
      <c r="AL22">
        <v>0.59571178640720934</v>
      </c>
      <c r="AM22">
        <v>0.59976359882091623</v>
      </c>
      <c r="AN22">
        <v>0.60384297017203292</v>
      </c>
      <c r="AO22">
        <v>0.607950087906313</v>
      </c>
      <c r="AP22">
        <v>0.61208514074444698</v>
      </c>
      <c r="AQ22">
        <v>0.61624831869073438</v>
      </c>
      <c r="AR22">
        <v>0.6204398130418135</v>
      </c>
      <c r="AS22">
        <v>0.62465981639545276</v>
      </c>
      <c r="AT22">
        <v>0.62890852265939912</v>
      </c>
      <c r="AU22">
        <v>0.63318612706028887</v>
      </c>
    </row>
    <row r="23" spans="1:47" customFormat="1" x14ac:dyDescent="0.2">
      <c r="A23" t="s">
        <v>200</v>
      </c>
      <c r="B23" t="s">
        <v>197</v>
      </c>
      <c r="C23" t="s">
        <v>217</v>
      </c>
      <c r="M23">
        <v>0.107614692</v>
      </c>
      <c r="N23">
        <v>0.125550474</v>
      </c>
      <c r="O23">
        <v>0.14348625600000001</v>
      </c>
      <c r="P23">
        <v>0.16142203799999999</v>
      </c>
      <c r="Q23">
        <v>0.17935782</v>
      </c>
      <c r="R23">
        <v>0.18356680996194</v>
      </c>
      <c r="S23">
        <v>0.18775837450061092</v>
      </c>
      <c r="T23">
        <v>0.19192679817289898</v>
      </c>
      <c r="U23">
        <v>0.19606627535589205</v>
      </c>
      <c r="V23">
        <v>0.20240941149620587</v>
      </c>
      <c r="W23">
        <v>0.2089577607769311</v>
      </c>
      <c r="X23">
        <v>0.21571796225358636</v>
      </c>
      <c r="Y23">
        <v>0.22269686976841438</v>
      </c>
      <c r="Z23">
        <v>0.22990155889916211</v>
      </c>
      <c r="AA23">
        <v>0.23733933413266778</v>
      </c>
      <c r="AB23">
        <v>0.24501773627052781</v>
      </c>
      <c r="AC23">
        <v>0.2529445500743519</v>
      </c>
      <c r="AD23">
        <v>0.26112781215835734</v>
      </c>
      <c r="AE23">
        <v>0.2695758191373045</v>
      </c>
      <c r="AF23">
        <v>0.27829713603803458</v>
      </c>
      <c r="AG23">
        <v>0.28730060498313703</v>
      </c>
      <c r="AH23">
        <v>0.29659535415555149</v>
      </c>
      <c r="AI23">
        <v>0.3061908070531919</v>
      </c>
      <c r="AJ23">
        <v>0.31609669204297675</v>
      </c>
      <c r="AK23">
        <v>0.32632305222395108</v>
      </c>
      <c r="AL23">
        <v>0.33688025560950036</v>
      </c>
      <c r="AM23">
        <v>0.34777900563897884</v>
      </c>
      <c r="AN23">
        <v>0.35903035202941108</v>
      </c>
      <c r="AO23">
        <v>0.37064570197826652</v>
      </c>
      <c r="AP23">
        <v>0.38263683172866736</v>
      </c>
      <c r="AQ23">
        <v>0.39501589850875324</v>
      </c>
      <c r="AR23">
        <v>0.40779545285730839</v>
      </c>
      <c r="AS23">
        <v>0.420988451348148</v>
      </c>
      <c r="AT23">
        <v>0.43460826972616323</v>
      </c>
      <c r="AU23">
        <v>0.44866871646834405</v>
      </c>
    </row>
    <row r="24" spans="1:47" customFormat="1" x14ac:dyDescent="0.2">
      <c r="A24" t="s">
        <v>200</v>
      </c>
      <c r="B24" t="s">
        <v>197</v>
      </c>
      <c r="C24" t="s">
        <v>218</v>
      </c>
      <c r="M24">
        <v>0</v>
      </c>
      <c r="N24">
        <v>0</v>
      </c>
      <c r="O24">
        <v>0</v>
      </c>
      <c r="P24">
        <v>0</v>
      </c>
      <c r="Q24">
        <v>0</v>
      </c>
      <c r="R24">
        <v>0</v>
      </c>
      <c r="S24">
        <v>0</v>
      </c>
      <c r="T24">
        <v>0</v>
      </c>
      <c r="U24">
        <v>0</v>
      </c>
      <c r="V24">
        <v>1.9126060025680053E-3</v>
      </c>
      <c r="W24">
        <v>3.900534194621985E-3</v>
      </c>
      <c r="X24">
        <v>5.9683627372300544E-3</v>
      </c>
      <c r="Y24">
        <v>8.1208254598315981E-3</v>
      </c>
      <c r="Z24">
        <v>1.0362787605848746E-2</v>
      </c>
      <c r="AA24">
        <v>1.2699267861239554E-2</v>
      </c>
      <c r="AB24">
        <v>1.513542465774159E-2</v>
      </c>
      <c r="AC24">
        <v>1.767657321566489E-2</v>
      </c>
      <c r="AD24">
        <v>2.0328192569574924E-2</v>
      </c>
      <c r="AE24">
        <v>2.3095985746539024E-2</v>
      </c>
      <c r="AF24">
        <v>2.5985832035943693E-2</v>
      </c>
      <c r="AG24">
        <v>2.9003858427162167E-2</v>
      </c>
      <c r="AH24">
        <v>3.2156455118394107E-2</v>
      </c>
      <c r="AI24">
        <v>3.5450301488061491E-2</v>
      </c>
      <c r="AJ24">
        <v>3.8892440098212563E-2</v>
      </c>
      <c r="AK24">
        <v>4.2490287374601178E-2</v>
      </c>
      <c r="AL24">
        <v>4.6251651932929176E-2</v>
      </c>
      <c r="AM24">
        <v>5.0184742379364676E-2</v>
      </c>
      <c r="AN24">
        <v>5.4298241598774506E-2</v>
      </c>
      <c r="AO24">
        <v>5.8601290468118093E-2</v>
      </c>
      <c r="AP24">
        <v>6.3103538966452641E-2</v>
      </c>
      <c r="AQ24">
        <v>6.7815125748133753E-2</v>
      </c>
      <c r="AR24">
        <v>7.2746781478159356E-2</v>
      </c>
      <c r="AS24">
        <v>7.7909797750258469E-2</v>
      </c>
      <c r="AT24">
        <v>8.3316125226238977E-2</v>
      </c>
      <c r="AU24">
        <v>8.8978369851701725E-2</v>
      </c>
    </row>
    <row r="25" spans="1:47" customFormat="1" x14ac:dyDescent="0.2">
      <c r="A25" t="s">
        <v>200</v>
      </c>
      <c r="B25" t="s">
        <v>197</v>
      </c>
      <c r="C25" t="s">
        <v>221</v>
      </c>
      <c r="M25">
        <v>0.281321188</v>
      </c>
      <c r="N25">
        <v>0.31217860800000002</v>
      </c>
      <c r="O25">
        <v>0.33080467200000008</v>
      </c>
      <c r="P25">
        <v>0.36399035000000007</v>
      </c>
      <c r="Q25">
        <v>0.39872820000000003</v>
      </c>
      <c r="R25">
        <v>0.41406390000000004</v>
      </c>
      <c r="S25">
        <v>0.42939960000000005</v>
      </c>
      <c r="T25">
        <v>0.4447353</v>
      </c>
      <c r="U25">
        <v>0.46007100000000001</v>
      </c>
      <c r="V25">
        <v>0.47387313000000003</v>
      </c>
      <c r="W25">
        <v>0.48808932390000004</v>
      </c>
      <c r="X25">
        <v>0.50273200361699999</v>
      </c>
      <c r="Y25">
        <v>0.51781396372551003</v>
      </c>
      <c r="Z25">
        <v>0.53334838263727524</v>
      </c>
      <c r="AA25">
        <v>0.54934883411639357</v>
      </c>
      <c r="AB25">
        <v>0.56582929913988533</v>
      </c>
      <c r="AC25">
        <v>0.58280417811408192</v>
      </c>
      <c r="AD25">
        <v>0.6002883034575045</v>
      </c>
      <c r="AE25">
        <v>0.61829695256122963</v>
      </c>
      <c r="AF25">
        <v>0.62757140684964796</v>
      </c>
      <c r="AG25">
        <v>0.63698497795239262</v>
      </c>
      <c r="AH25">
        <v>0.64653975262167851</v>
      </c>
      <c r="AI25">
        <v>0.65623784891100367</v>
      </c>
      <c r="AJ25">
        <v>0.66608141664466869</v>
      </c>
      <c r="AK25">
        <v>0.67607263789433869</v>
      </c>
      <c r="AL25">
        <v>0.68621372746275366</v>
      </c>
      <c r="AM25">
        <v>0.69650693337469494</v>
      </c>
      <c r="AN25">
        <v>0.70695453737531522</v>
      </c>
      <c r="AO25">
        <v>0.71755885543594489</v>
      </c>
      <c r="AP25">
        <v>0.72832223826748399</v>
      </c>
      <c r="AQ25">
        <v>0.73924707184149618</v>
      </c>
      <c r="AR25">
        <v>0.75033577791911854</v>
      </c>
      <c r="AS25">
        <v>0.76159081458790523</v>
      </c>
      <c r="AT25">
        <v>0.77301467680672364</v>
      </c>
      <c r="AU25">
        <v>0.78460989695882444</v>
      </c>
    </row>
    <row r="26" spans="1:47" customFormat="1" x14ac:dyDescent="0.2">
      <c r="A26" t="s">
        <v>200</v>
      </c>
      <c r="B26" t="s">
        <v>197</v>
      </c>
      <c r="C26" t="s">
        <v>227</v>
      </c>
      <c r="M26">
        <v>3.283771428571429E-2</v>
      </c>
      <c r="N26">
        <v>3.4684785714285717E-2</v>
      </c>
      <c r="O26">
        <v>3.6531857142857144E-2</v>
      </c>
      <c r="P26">
        <v>3.8378928571428571E-2</v>
      </c>
      <c r="Q26">
        <v>4.0225999999999998E-2</v>
      </c>
      <c r="R26">
        <v>4.2161965855519672E-2</v>
      </c>
      <c r="S26">
        <v>4.4191104380301466E-2</v>
      </c>
      <c r="T26">
        <v>4.6317899716600615E-2</v>
      </c>
      <c r="U26">
        <v>4.8547051816007047E-2</v>
      </c>
      <c r="V26">
        <v>5.2051704330622006E-2</v>
      </c>
      <c r="W26">
        <v>5.5809360658830999E-2</v>
      </c>
      <c r="X26">
        <v>5.9838285358796692E-2</v>
      </c>
      <c r="Y26">
        <v>6.4158061522502002E-2</v>
      </c>
      <c r="Z26">
        <v>6.8789685961815936E-2</v>
      </c>
      <c r="AA26">
        <v>7.3755671266121495E-2</v>
      </c>
      <c r="AB26">
        <v>7.908015522756974E-2</v>
      </c>
      <c r="AC26">
        <v>8.4789018165834965E-2</v>
      </c>
      <c r="AD26">
        <v>9.091000872264253E-2</v>
      </c>
      <c r="AE26">
        <v>9.7472878737509719E-2</v>
      </c>
      <c r="AF26">
        <v>0.10450952786027964</v>
      </c>
      <c r="AG26">
        <v>0.11205415860335567</v>
      </c>
      <c r="AH26">
        <v>0.12014344258728707</v>
      </c>
      <c r="AI26">
        <v>0.12881669878776347</v>
      </c>
      <c r="AJ26">
        <v>0.13811608465040975</v>
      </c>
      <c r="AK26">
        <v>0.14808680100231869</v>
      </c>
      <c r="AL26">
        <v>0.15877731175631954</v>
      </c>
      <c r="AM26">
        <v>0.17023957947588292</v>
      </c>
      <c r="AN26">
        <v>0.18252931794565389</v>
      </c>
      <c r="AO26">
        <v>0.19570626297526464</v>
      </c>
      <c r="AP26">
        <v>0.20983446275270212</v>
      </c>
      <c r="AQ26">
        <v>0.2249825891585297</v>
      </c>
      <c r="AR26">
        <v>0.24122427155414419</v>
      </c>
      <c r="AS26">
        <v>0.25863845466648805</v>
      </c>
      <c r="AT26">
        <v>0.2773097823087603</v>
      </c>
      <c r="AU26">
        <v>0.29732900880224788</v>
      </c>
    </row>
    <row r="27" spans="1:47" customFormat="1" x14ac:dyDescent="0.2">
      <c r="A27" t="s">
        <v>200</v>
      </c>
      <c r="B27" t="s">
        <v>197</v>
      </c>
      <c r="C27" t="s">
        <v>239</v>
      </c>
      <c r="M27">
        <v>2.7281694739324392E-2</v>
      </c>
      <c r="N27">
        <v>2.7556333548122557E-2</v>
      </c>
      <c r="O27">
        <v>2.7830972356920711E-2</v>
      </c>
      <c r="P27">
        <v>2.8105611165718841E-2</v>
      </c>
      <c r="Q27">
        <v>2.8380521894129655E-2</v>
      </c>
      <c r="R27">
        <v>2.8655160702927784E-2</v>
      </c>
      <c r="S27">
        <v>2.8929799511725942E-2</v>
      </c>
      <c r="T27">
        <v>2.9212595991944763E-2</v>
      </c>
      <c r="U27">
        <v>2.9498156882929599E-2</v>
      </c>
      <c r="V27">
        <v>2.9252407710599036E-2</v>
      </c>
      <c r="W27">
        <v>2.950936471398621E-2</v>
      </c>
      <c r="X27">
        <v>2.9766746816552687E-2</v>
      </c>
      <c r="Y27">
        <v>3.0024384326428542E-2</v>
      </c>
      <c r="Z27">
        <v>3.0282088731408186E-2</v>
      </c>
      <c r="AA27">
        <v>3.0539650531524257E-2</v>
      </c>
      <c r="AB27">
        <v>3.0796836791903683E-2</v>
      </c>
      <c r="AC27">
        <v>3.1053388376644352E-2</v>
      </c>
      <c r="AD27">
        <v>3.1309016818635113E-2</v>
      </c>
      <c r="AE27">
        <v>3.1563400773535026E-2</v>
      </c>
      <c r="AF27">
        <v>3.1816181998390682E-2</v>
      </c>
      <c r="AG27">
        <v>3.2066960786440252E-2</v>
      </c>
      <c r="AH27">
        <v>3.2315290779343898E-2</v>
      </c>
      <c r="AI27">
        <v>3.2560673066173405E-2</v>
      </c>
      <c r="AJ27">
        <v>3.280254946473888E-2</v>
      </c>
      <c r="AK27">
        <v>3.3040294864933845E-2</v>
      </c>
      <c r="AL27">
        <v>3.3273208495404695E-2</v>
      </c>
      <c r="AM27">
        <v>3.3500503953601886E-2</v>
      </c>
      <c r="AN27">
        <v>3.3721297814693726E-2</v>
      </c>
      <c r="AO27">
        <v>3.3934596606390421E-2</v>
      </c>
      <c r="AP27">
        <v>3.4139281903821289E-2</v>
      </c>
      <c r="AQ27">
        <v>3.4334093260521885E-2</v>
      </c>
      <c r="AR27">
        <v>3.4517608647491003E-2</v>
      </c>
      <c r="AS27">
        <v>3.4688222021213702E-2</v>
      </c>
      <c r="AT27">
        <v>3.4844117582399414E-2</v>
      </c>
      <c r="AU27">
        <v>3.4983807383671531E-2</v>
      </c>
    </row>
    <row r="28" spans="1:47" customFormat="1" x14ac:dyDescent="0.2">
      <c r="A28" t="s">
        <v>200</v>
      </c>
      <c r="B28" t="s">
        <v>197</v>
      </c>
      <c r="C28" t="s">
        <v>228</v>
      </c>
      <c r="M28">
        <v>9.3133999999999995E-2</v>
      </c>
      <c r="N28">
        <v>9.2904E-2</v>
      </c>
      <c r="O28">
        <v>9.5586000000000004E-2</v>
      </c>
      <c r="P28">
        <v>9.8329E-2</v>
      </c>
      <c r="Q28">
        <v>0.101009</v>
      </c>
      <c r="R28">
        <v>0.103688</v>
      </c>
      <c r="S28">
        <v>0.106368</v>
      </c>
      <c r="T28">
        <v>0.10928655266094953</v>
      </c>
      <c r="U28">
        <v>0.11228518532372983</v>
      </c>
      <c r="V28">
        <v>0.11690655020431115</v>
      </c>
      <c r="W28">
        <v>0.12171811838996691</v>
      </c>
      <c r="X28">
        <v>0.12672771815182396</v>
      </c>
      <c r="Y28">
        <v>0.13194349995219723</v>
      </c>
      <c r="Z28">
        <v>0.13737394970513719</v>
      </c>
      <c r="AA28">
        <v>0.14302790258274714</v>
      </c>
      <c r="AB28">
        <v>0.14891455738973192</v>
      </c>
      <c r="AC28">
        <v>0.15504349152956612</v>
      </c>
      <c r="AD28">
        <v>0.16142467658663009</v>
      </c>
      <c r="AE28">
        <v>0.16806849454966633</v>
      </c>
      <c r="AF28">
        <v>0.17498575470295083</v>
      </c>
      <c r="AG28">
        <v>0.18218771121266086</v>
      </c>
      <c r="AH28">
        <v>0.18968608143705187</v>
      </c>
      <c r="AI28">
        <v>0.19749306499023322</v>
      </c>
      <c r="AJ28">
        <v>0.2056213635905593</v>
      </c>
      <c r="AK28">
        <v>0.21408420172592846</v>
      </c>
      <c r="AL28">
        <v>0.22289534816961168</v>
      </c>
      <c r="AM28">
        <v>0.23206913838161658</v>
      </c>
      <c r="AN28">
        <v>0.24162049783203302</v>
      </c>
      <c r="AO28">
        <v>0.25156496628430669</v>
      </c>
      <c r="AP28">
        <v>0.26191872307794872</v>
      </c>
      <c r="AQ28">
        <v>0.27269861345181562</v>
      </c>
      <c r="AR28">
        <v>0.28392217595078678</v>
      </c>
      <c r="AS28">
        <v>0.295607670960429</v>
      </c>
      <c r="AT28">
        <v>0.30777411041607333</v>
      </c>
      <c r="AU28">
        <v>0.32044128873464012</v>
      </c>
    </row>
    <row r="29" spans="1:47" customFormat="1" x14ac:dyDescent="0.2">
      <c r="A29" t="s">
        <v>200</v>
      </c>
      <c r="B29" t="s">
        <v>197</v>
      </c>
      <c r="C29" t="s">
        <v>229</v>
      </c>
      <c r="M29">
        <v>4.7725099999999999E-2</v>
      </c>
      <c r="N29">
        <v>7.7063027999999992E-2</v>
      </c>
      <c r="O29">
        <v>0.10460454744</v>
      </c>
      <c r="P29">
        <v>0.13915894649119998</v>
      </c>
      <c r="Q29">
        <v>0.16771239756137599</v>
      </c>
      <c r="R29">
        <v>0.19823743961014845</v>
      </c>
      <c r="S29">
        <v>0.2200448508179455</v>
      </c>
      <c r="T29">
        <v>0.22972966380158658</v>
      </c>
      <c r="U29">
        <v>0.23697689052555487</v>
      </c>
      <c r="V29">
        <v>0.24819067040203838</v>
      </c>
      <c r="W29">
        <v>0.25993508792356546</v>
      </c>
      <c r="X29">
        <v>0.27223525293832634</v>
      </c>
      <c r="Y29">
        <v>0.28511746349606842</v>
      </c>
      <c r="Z29">
        <v>0.29860926207396166</v>
      </c>
      <c r="AA29">
        <v>0.3127394944630793</v>
      </c>
      <c r="AB29">
        <v>0.32753837144139603</v>
      </c>
      <c r="AC29">
        <v>0.34303753336516019</v>
      </c>
      <c r="AD29">
        <v>0.35927011781673968</v>
      </c>
      <c r="AE29">
        <v>0.37627083045357279</v>
      </c>
      <c r="AF29">
        <v>0.39407601920970176</v>
      </c>
      <c r="AG29">
        <v>0.41272375200853323</v>
      </c>
      <c r="AH29">
        <v>0.43225389815297754</v>
      </c>
      <c r="AI29">
        <v>0.45270821356698071</v>
      </c>
      <c r="AJ29">
        <v>0.47413043007069827</v>
      </c>
      <c r="AK29">
        <v>0.49656634888018203</v>
      </c>
      <c r="AL29">
        <v>0.52006393853148603</v>
      </c>
      <c r="AM29">
        <v>0.54467343743855456</v>
      </c>
      <c r="AN29">
        <v>0.57044746130416402</v>
      </c>
      <c r="AO29">
        <v>0.59744111561356561</v>
      </c>
      <c r="AP29">
        <v>0.62571211345134348</v>
      </c>
      <c r="AQ29">
        <v>0.65532089889338219</v>
      </c>
      <c r="AR29">
        <v>0.68633077623776084</v>
      </c>
      <c r="AS29">
        <v>0.71880804535087028</v>
      </c>
      <c r="AT29">
        <v>0.75282214341812803</v>
      </c>
      <c r="AU29">
        <v>0.78844579340235743</v>
      </c>
    </row>
    <row r="30" spans="1:47" customFormat="1" x14ac:dyDescent="0.2">
      <c r="A30" t="s">
        <v>200</v>
      </c>
      <c r="B30" t="s">
        <v>197</v>
      </c>
      <c r="C30" t="s">
        <v>230</v>
      </c>
      <c r="M30">
        <v>3.3599030877837159E-2</v>
      </c>
      <c r="N30">
        <v>5.1793193024933959E-2</v>
      </c>
      <c r="O30">
        <v>5.3120981281217686E-2</v>
      </c>
      <c r="P30">
        <v>5.7737627975641137E-2</v>
      </c>
      <c r="Q30">
        <v>6.3140493962240918E-2</v>
      </c>
      <c r="R30">
        <v>6.5683281398873E-2</v>
      </c>
      <c r="S30">
        <v>6.9705795777030219E-2</v>
      </c>
      <c r="T30">
        <v>7.5215147393457485E-2</v>
      </c>
      <c r="U30">
        <v>8.0844440534799805E-2</v>
      </c>
      <c r="V30">
        <v>8.7958642028764147E-2</v>
      </c>
      <c r="W30">
        <v>9.5391421545042709E-2</v>
      </c>
      <c r="X30">
        <v>0.1031585287209161</v>
      </c>
      <c r="Y30">
        <v>0.11127654726360944</v>
      </c>
      <c r="Z30">
        <v>0.11976294099836386</v>
      </c>
      <c r="AA30">
        <v>0.12863610251810584</v>
      </c>
      <c r="AB30">
        <v>0.13791540458349727</v>
      </c>
      <c r="AC30">
        <v>0.14762125443071045</v>
      </c>
      <c r="AD30">
        <v>0.15777515115332907</v>
      </c>
      <c r="AE30">
        <v>0.16839974633435453</v>
      </c>
      <c r="AF30">
        <v>0.17951890811443058</v>
      </c>
      <c r="AG30">
        <v>0.19115778889311491</v>
      </c>
      <c r="AH30">
        <v>0.20334289687136398</v>
      </c>
      <c r="AI30">
        <v>0.21610217165538703</v>
      </c>
      <c r="AJ30">
        <v>0.22946506415470999</v>
      </c>
      <c r="AK30">
        <v>0.24346262102070462</v>
      </c>
      <c r="AL30">
        <v>0.25812757388603097</v>
      </c>
      <c r="AM30">
        <v>0.27349443368045018</v>
      </c>
      <c r="AN30">
        <v>0.28959959031434485</v>
      </c>
      <c r="AO30">
        <v>0.30648141803807816</v>
      </c>
      <c r="AP30">
        <v>0.32418038680308947</v>
      </c>
      <c r="AQ30">
        <v>0.34273917996941683</v>
      </c>
      <c r="AR30">
        <v>0.3622028187242155</v>
      </c>
      <c r="AS30">
        <v>0.38261879359686818</v>
      </c>
      <c r="AT30">
        <v>0.40403720347852701</v>
      </c>
      <c r="AU30">
        <v>0.42651090257745311</v>
      </c>
    </row>
    <row r="31" spans="1:47" customFormat="1" x14ac:dyDescent="0.2">
      <c r="A31" t="s">
        <v>200</v>
      </c>
      <c r="B31" t="s">
        <v>197</v>
      </c>
      <c r="C31" t="s">
        <v>233</v>
      </c>
      <c r="M31">
        <v>2.6297999999999998E-2</v>
      </c>
      <c r="N31">
        <v>2.1950000000000001E-2</v>
      </c>
      <c r="O31">
        <v>1.2829E-2</v>
      </c>
      <c r="P31">
        <v>4.6375E-2</v>
      </c>
      <c r="Q31">
        <v>7.8057000000000001E-2</v>
      </c>
      <c r="R31">
        <v>1.0018000000000001E-2</v>
      </c>
      <c r="S31">
        <v>2.1877000000000001E-2</v>
      </c>
      <c r="T31">
        <v>3.7680999999999999E-2</v>
      </c>
      <c r="U31">
        <v>0.19394</v>
      </c>
      <c r="V31">
        <v>4.8394916666666662E-2</v>
      </c>
      <c r="W31">
        <v>4.6943069166666664E-2</v>
      </c>
      <c r="X31">
        <v>4.5534777091666666E-2</v>
      </c>
      <c r="Y31">
        <v>4.4168733778916662E-2</v>
      </c>
      <c r="Z31">
        <v>4.2843671765549159E-2</v>
      </c>
      <c r="AA31">
        <v>4.1558361612582681E-2</v>
      </c>
      <c r="AB31">
        <v>4.0311610764205204E-2</v>
      </c>
      <c r="AC31">
        <v>3.9102262441279047E-2</v>
      </c>
      <c r="AD31">
        <v>3.7929194568040669E-2</v>
      </c>
      <c r="AE31">
        <v>3.6791318730999452E-2</v>
      </c>
      <c r="AF31">
        <v>3.5687579169069471E-2</v>
      </c>
      <c r="AG31">
        <v>3.4616951793997382E-2</v>
      </c>
      <c r="AH31">
        <v>3.3578443240177461E-2</v>
      </c>
      <c r="AI31">
        <v>3.2571089942972135E-2</v>
      </c>
      <c r="AJ31">
        <v>3.1593957244682967E-2</v>
      </c>
      <c r="AK31">
        <v>3.0646138527342479E-2</v>
      </c>
      <c r="AL31">
        <v>2.9726754371522203E-2</v>
      </c>
      <c r="AM31">
        <v>2.8834951740376535E-2</v>
      </c>
      <c r="AN31">
        <v>2.7969903188165238E-2</v>
      </c>
      <c r="AO31">
        <v>2.713080609252028E-2</v>
      </c>
      <c r="AP31">
        <v>2.6316881909744672E-2</v>
      </c>
      <c r="AQ31">
        <v>2.5527375452452331E-2</v>
      </c>
      <c r="AR31">
        <v>2.4761554188878761E-2</v>
      </c>
      <c r="AS31">
        <v>2.4018707563212401E-2</v>
      </c>
      <c r="AT31">
        <v>2.3298146336316026E-2</v>
      </c>
      <c r="AU31">
        <v>2.2599201946226544E-2</v>
      </c>
    </row>
    <row r="32" spans="1:47" customFormat="1" x14ac:dyDescent="0.2">
      <c r="A32" t="s">
        <v>200</v>
      </c>
      <c r="B32" t="s">
        <v>197</v>
      </c>
      <c r="C32" t="s">
        <v>234</v>
      </c>
      <c r="M32">
        <v>0.2</v>
      </c>
      <c r="N32">
        <v>0.21500000000000002</v>
      </c>
      <c r="O32">
        <v>0.23000000000000004</v>
      </c>
      <c r="P32">
        <v>0.24500000000000005</v>
      </c>
      <c r="Q32">
        <v>0.26000000000000006</v>
      </c>
      <c r="R32">
        <v>0.27500000000000008</v>
      </c>
      <c r="S32">
        <v>0.29000000000000009</v>
      </c>
      <c r="T32">
        <v>0.3050000000000001</v>
      </c>
      <c r="U32">
        <v>0.32000000000000012</v>
      </c>
      <c r="V32">
        <v>0.33733333333333343</v>
      </c>
      <c r="W32">
        <v>0.3570000000000001</v>
      </c>
      <c r="X32">
        <v>0.37900000000000011</v>
      </c>
      <c r="Y32">
        <v>0.40276000000000012</v>
      </c>
      <c r="Z32">
        <v>0.4284208000000001</v>
      </c>
      <c r="AA32">
        <v>0.45613446400000013</v>
      </c>
      <c r="AB32">
        <v>0.48606522112000011</v>
      </c>
      <c r="AC32">
        <v>0.51839043880960012</v>
      </c>
      <c r="AD32">
        <v>0.55330167391436813</v>
      </c>
      <c r="AE32">
        <v>0.59100580782751755</v>
      </c>
      <c r="AF32">
        <v>0.63172627245371893</v>
      </c>
      <c r="AG32">
        <v>0.67570437425001639</v>
      </c>
      <c r="AH32">
        <v>0.72320072419001769</v>
      </c>
      <c r="AI32">
        <v>0.77449678212521911</v>
      </c>
      <c r="AJ32">
        <v>0.82989652469523667</v>
      </c>
      <c r="AK32">
        <v>0.88972824667085559</v>
      </c>
      <c r="AL32">
        <v>0.95434650640452412</v>
      </c>
      <c r="AM32">
        <v>1.024134226916886</v>
      </c>
      <c r="AN32">
        <v>1.0995049650702371</v>
      </c>
      <c r="AO32">
        <v>1.1809053622758561</v>
      </c>
      <c r="AP32">
        <v>1.2688177912579246</v>
      </c>
      <c r="AQ32">
        <v>1.3637632145585585</v>
      </c>
      <c r="AR32">
        <v>1.4663042717232433</v>
      </c>
      <c r="AS32">
        <v>1.5770486134611028</v>
      </c>
      <c r="AT32">
        <v>1.696652502537991</v>
      </c>
      <c r="AU32">
        <v>1.8258247027410304</v>
      </c>
    </row>
    <row r="33" spans="1:66" customFormat="1" x14ac:dyDescent="0.2">
      <c r="A33" t="s">
        <v>200</v>
      </c>
      <c r="B33" t="s">
        <v>197</v>
      </c>
      <c r="C33" t="s">
        <v>252</v>
      </c>
      <c r="M33">
        <v>0.16449805299999898</v>
      </c>
      <c r="N33">
        <v>0.16607177199999998</v>
      </c>
      <c r="O33">
        <v>0.16764548599999898</v>
      </c>
      <c r="P33">
        <v>0.16921920400000001</v>
      </c>
      <c r="Q33">
        <v>0.17079298799999887</v>
      </c>
      <c r="R33">
        <v>0.17236669699999999</v>
      </c>
      <c r="S33">
        <v>0.17394042099999896</v>
      </c>
      <c r="T33">
        <v>0.17556150565772374</v>
      </c>
      <c r="U33">
        <v>0.17719873686815388</v>
      </c>
      <c r="V33">
        <v>0.17714177928123714</v>
      </c>
      <c r="W33">
        <v>0.17708511250535791</v>
      </c>
      <c r="X33">
        <v>0.17702873838575192</v>
      </c>
      <c r="Y33">
        <v>0.17697265879394447</v>
      </c>
      <c r="Z33">
        <v>0.17691687562802316</v>
      </c>
      <c r="AA33">
        <v>0.1768613908129133</v>
      </c>
      <c r="AB33">
        <v>0.1768062063006566</v>
      </c>
      <c r="AC33">
        <v>0.17675132407069388</v>
      </c>
      <c r="AD33">
        <v>0.1766967461301496</v>
      </c>
      <c r="AE33">
        <v>0.17664247451412146</v>
      </c>
      <c r="AF33">
        <v>0.17658851128597197</v>
      </c>
      <c r="AG33">
        <v>0.17653485853762441</v>
      </c>
      <c r="AH33">
        <v>0.17648151838986129</v>
      </c>
      <c r="AI33">
        <v>0.17642849299262744</v>
      </c>
      <c r="AJ33">
        <v>0.17637578452533575</v>
      </c>
      <c r="AK33">
        <v>0.17632339519717655</v>
      </c>
      <c r="AL33">
        <v>0.17627132724743119</v>
      </c>
      <c r="AM33">
        <v>0.17621958294578863</v>
      </c>
      <c r="AN33">
        <v>0.17616816459266627</v>
      </c>
      <c r="AO33">
        <v>0.17611707451953376</v>
      </c>
      <c r="AP33">
        <v>0.17606631508924142</v>
      </c>
      <c r="AQ33">
        <v>0.17601588869635204</v>
      </c>
      <c r="AR33">
        <v>0.17596579776747634</v>
      </c>
      <c r="AS33">
        <v>0.17591604476161307</v>
      </c>
      <c r="AT33">
        <v>0.17586663217049214</v>
      </c>
      <c r="AU33">
        <v>0.17581756251892208</v>
      </c>
    </row>
    <row r="34" spans="1:66" customFormat="1" x14ac:dyDescent="0.2">
      <c r="A34" t="s">
        <v>200</v>
      </c>
      <c r="B34" t="s">
        <v>197</v>
      </c>
      <c r="C34" t="s">
        <v>253</v>
      </c>
      <c r="M34">
        <v>5.736248779999998E-3</v>
      </c>
      <c r="N34">
        <v>5.8276596899999988E-3</v>
      </c>
      <c r="O34">
        <v>5.9190698299999879E-3</v>
      </c>
      <c r="P34">
        <v>6.0104797399999884E-3</v>
      </c>
      <c r="Q34">
        <v>6.1018922699999983E-3</v>
      </c>
      <c r="R34">
        <v>6.0776549599999875E-3</v>
      </c>
      <c r="S34">
        <v>6.169066019999999E-3</v>
      </c>
      <c r="T34">
        <v>6.2410355927507927E-3</v>
      </c>
      <c r="U34">
        <v>6.3140359191809145E-3</v>
      </c>
      <c r="V34">
        <v>6.384247503591828E-3</v>
      </c>
      <c r="W34">
        <v>6.4590359089995546E-3</v>
      </c>
      <c r="X34">
        <v>6.534874626807634E-3</v>
      </c>
      <c r="Y34">
        <v>6.6117774915476239E-3</v>
      </c>
      <c r="Z34">
        <v>6.6897582699196982E-3</v>
      </c>
      <c r="AA34">
        <v>6.76883061809673E-3</v>
      </c>
      <c r="AB34">
        <v>6.849008032077197E-3</v>
      </c>
      <c r="AC34">
        <v>6.930303789996272E-3</v>
      </c>
      <c r="AD34">
        <v>7.0127308851304655E-3</v>
      </c>
      <c r="AE34">
        <v>7.0963019481290919E-3</v>
      </c>
      <c r="AF34">
        <v>7.1810291567710226E-3</v>
      </c>
      <c r="AG34">
        <v>7.2669241312724132E-3</v>
      </c>
      <c r="AH34">
        <v>7.3539978128541912E-3</v>
      </c>
      <c r="AI34">
        <v>7.4422603229097233E-3</v>
      </c>
      <c r="AJ34">
        <v>7.5317207996851085E-3</v>
      </c>
      <c r="AK34">
        <v>7.6223872088870713E-3</v>
      </c>
      <c r="AL34">
        <v>7.7142661240551438E-3</v>
      </c>
      <c r="AM34">
        <v>7.8073624718627476E-3</v>
      </c>
      <c r="AN34">
        <v>7.9016792367303627E-3</v>
      </c>
      <c r="AO34">
        <v>7.9972171182255292E-3</v>
      </c>
      <c r="AP34">
        <v>8.0939741336682868E-3</v>
      </c>
      <c r="AQ34">
        <v>8.1919451571325873E-3</v>
      </c>
      <c r="AR34">
        <v>8.291121384606321E-3</v>
      </c>
      <c r="AS34">
        <v>8.3914897134120883E-3</v>
      </c>
      <c r="AT34">
        <v>8.4930320220600406E-3</v>
      </c>
      <c r="AU34">
        <v>8.5957462292290572E-3</v>
      </c>
    </row>
    <row r="35" spans="1:66" customFormat="1" x14ac:dyDescent="0.2">
      <c r="A35" t="s">
        <v>200</v>
      </c>
      <c r="B35" t="s">
        <v>197</v>
      </c>
      <c r="C35" t="s">
        <v>254</v>
      </c>
      <c r="M35">
        <v>5.8287042471584364E-4</v>
      </c>
      <c r="N35">
        <v>5.9087619360240456E-4</v>
      </c>
      <c r="O35">
        <v>5.9888189544564775E-4</v>
      </c>
      <c r="P35">
        <v>6.0688752289494465E-4</v>
      </c>
      <c r="Q35">
        <v>6.1489428894403759E-4</v>
      </c>
      <c r="R35">
        <v>6.157245813312093E-4</v>
      </c>
      <c r="S35">
        <v>6.2373036330437689E-4</v>
      </c>
      <c r="T35">
        <v>6.3060611884576561E-4</v>
      </c>
      <c r="U35">
        <v>6.3757181839150319E-4</v>
      </c>
      <c r="V35">
        <v>6.4301851449426574E-4</v>
      </c>
      <c r="W35">
        <v>6.500728134791996E-4</v>
      </c>
      <c r="X35">
        <v>6.5721488241511313E-4</v>
      </c>
      <c r="Y35">
        <v>6.6444562390184344E-4</v>
      </c>
      <c r="Z35">
        <v>6.7176592715454157E-4</v>
      </c>
      <c r="AA35">
        <v>6.7917666524121864E-4</v>
      </c>
      <c r="AB35">
        <v>6.8667869201620164E-4</v>
      </c>
      <c r="AC35">
        <v>6.942728387168925E-4</v>
      </c>
      <c r="AD35">
        <v>7.0195991018769512E-4</v>
      </c>
      <c r="AE35">
        <v>7.0974068069100675E-4</v>
      </c>
      <c r="AF35">
        <v>7.1761588926079847E-4</v>
      </c>
      <c r="AG35">
        <v>7.2558623454943821E-4</v>
      </c>
      <c r="AH35">
        <v>7.336523691129995E-4</v>
      </c>
      <c r="AI35">
        <v>7.4181489307429045E-4</v>
      </c>
      <c r="AJ35">
        <v>7.5007434709616885E-4</v>
      </c>
      <c r="AK35">
        <v>7.5843120459028856E-4</v>
      </c>
      <c r="AL35">
        <v>7.6688586307818089E-4</v>
      </c>
      <c r="AM35">
        <v>7.7543863461243068E-4</v>
      </c>
      <c r="AN35">
        <v>7.8408973515552117E-4</v>
      </c>
      <c r="AO35">
        <v>7.928392728026296E-4</v>
      </c>
      <c r="AP35">
        <v>8.0168723472208198E-4</v>
      </c>
      <c r="AQ35">
        <v>8.106334726732282E-4</v>
      </c>
      <c r="AR35">
        <v>8.1967768694596679E-4</v>
      </c>
      <c r="AS35">
        <v>8.2881940854891893E-4</v>
      </c>
      <c r="AT35">
        <v>8.3805797945407504E-4</v>
      </c>
      <c r="AU35">
        <v>8.4739235752003342E-4</v>
      </c>
    </row>
    <row r="36" spans="1:66" customFormat="1" x14ac:dyDescent="0.2">
      <c r="A36" t="s">
        <v>200</v>
      </c>
      <c r="B36" t="s">
        <v>197</v>
      </c>
      <c r="C36" t="s">
        <v>255</v>
      </c>
      <c r="M36">
        <v>2.4318044889599995E-2</v>
      </c>
      <c r="N36">
        <v>2.1588905082359996E-2</v>
      </c>
      <c r="O36">
        <v>2.0536795494599996E-2</v>
      </c>
      <c r="P36">
        <v>2.1539472163439995E-2</v>
      </c>
      <c r="Q36">
        <v>2.217029523324E-2</v>
      </c>
      <c r="R36">
        <v>2.2801118303039998E-2</v>
      </c>
      <c r="S36">
        <v>2.343194137284E-2</v>
      </c>
      <c r="T36">
        <v>2.343194137284E-2</v>
      </c>
      <c r="U36">
        <v>2.343194137284E-2</v>
      </c>
      <c r="V36">
        <v>2.343194137284E-2</v>
      </c>
      <c r="W36">
        <v>2.343194137284E-2</v>
      </c>
      <c r="X36">
        <v>2.343194137284E-2</v>
      </c>
      <c r="Y36">
        <v>2.343194137284E-2</v>
      </c>
      <c r="Z36">
        <v>2.343194137284E-2</v>
      </c>
      <c r="AA36">
        <v>2.343194137284E-2</v>
      </c>
      <c r="AB36">
        <v>2.343194137284E-2</v>
      </c>
      <c r="AC36">
        <v>2.343194137284E-2</v>
      </c>
      <c r="AD36">
        <v>2.343194137284E-2</v>
      </c>
      <c r="AE36">
        <v>2.343194137284E-2</v>
      </c>
      <c r="AF36">
        <v>2.343194137284E-2</v>
      </c>
      <c r="AG36">
        <v>2.343194137284E-2</v>
      </c>
      <c r="AH36">
        <v>2.343194137284E-2</v>
      </c>
      <c r="AI36">
        <v>2.343194137284E-2</v>
      </c>
      <c r="AJ36">
        <v>2.343194137284E-2</v>
      </c>
      <c r="AK36">
        <v>2.343194137284E-2</v>
      </c>
      <c r="AL36">
        <v>2.343194137284E-2</v>
      </c>
      <c r="AM36">
        <v>2.343194137284E-2</v>
      </c>
      <c r="AN36">
        <v>2.343194137284E-2</v>
      </c>
      <c r="AO36">
        <v>2.343194137284E-2</v>
      </c>
      <c r="AP36">
        <v>2.343194137284E-2</v>
      </c>
      <c r="AQ36">
        <v>2.343194137284E-2</v>
      </c>
      <c r="AR36">
        <v>2.343194137284E-2</v>
      </c>
      <c r="AS36">
        <v>2.343194137284E-2</v>
      </c>
      <c r="AT36">
        <v>2.343194137284E-2</v>
      </c>
      <c r="AU36">
        <v>2.343194137284E-2</v>
      </c>
    </row>
    <row r="37" spans="1:66" customFormat="1" x14ac:dyDescent="0.2">
      <c r="A37" t="s">
        <v>200</v>
      </c>
      <c r="B37" t="s">
        <v>197</v>
      </c>
      <c r="C37" t="s">
        <v>256</v>
      </c>
      <c r="M37">
        <v>1.2999609535184147</v>
      </c>
      <c r="N37">
        <v>1.3479312594206967</v>
      </c>
      <c r="O37">
        <v>1.4618460805703406</v>
      </c>
      <c r="P37">
        <v>1.2765589335144492</v>
      </c>
      <c r="Q37">
        <v>0.96133845439089527</v>
      </c>
      <c r="R37">
        <v>0.92920382177658423</v>
      </c>
      <c r="S37">
        <v>0.85540137999395005</v>
      </c>
      <c r="T37">
        <v>0.85540137999395005</v>
      </c>
      <c r="U37">
        <v>0.85540137999395005</v>
      </c>
      <c r="V37">
        <v>0.85540137999395005</v>
      </c>
      <c r="W37">
        <v>0.85540137999395005</v>
      </c>
      <c r="X37">
        <v>0.85540137999395005</v>
      </c>
      <c r="Y37">
        <v>0.85540137999395005</v>
      </c>
      <c r="Z37">
        <v>0.85540137999395005</v>
      </c>
      <c r="AA37">
        <v>0.85540137999395005</v>
      </c>
      <c r="AB37">
        <v>0.85540137999395005</v>
      </c>
      <c r="AC37">
        <v>0.85540137999395005</v>
      </c>
      <c r="AD37">
        <v>0.85540137999395005</v>
      </c>
      <c r="AE37">
        <v>0.85540137999395005</v>
      </c>
      <c r="AF37">
        <v>0.85540137999395005</v>
      </c>
      <c r="AG37">
        <v>0.85540137999395005</v>
      </c>
      <c r="AH37">
        <v>0.85540137999395005</v>
      </c>
      <c r="AI37">
        <v>0.85540137999395005</v>
      </c>
      <c r="AJ37">
        <v>0.85540137999395005</v>
      </c>
      <c r="AK37">
        <v>0.85540137999395005</v>
      </c>
      <c r="AL37">
        <v>0.85540137999395005</v>
      </c>
      <c r="AM37">
        <v>0.85540137999395005</v>
      </c>
      <c r="AN37">
        <v>0.85540137999395005</v>
      </c>
      <c r="AO37">
        <v>0.85540137999395005</v>
      </c>
      <c r="AP37">
        <v>0.85540137999395005</v>
      </c>
      <c r="AQ37">
        <v>0.85540137999395005</v>
      </c>
      <c r="AR37">
        <v>0.85540137999395005</v>
      </c>
      <c r="AS37">
        <v>0.85540137999395005</v>
      </c>
      <c r="AT37">
        <v>0.85540137999395005</v>
      </c>
      <c r="AU37">
        <v>0.85540137999395005</v>
      </c>
    </row>
    <row r="38" spans="1:66" customFormat="1" x14ac:dyDescent="0.2">
      <c r="A38" t="s">
        <v>200</v>
      </c>
      <c r="B38" t="s">
        <v>197</v>
      </c>
      <c r="C38" t="s">
        <v>257</v>
      </c>
      <c r="M38">
        <v>0.83922000000000008</v>
      </c>
      <c r="N38">
        <v>0.61200999999999994</v>
      </c>
      <c r="O38">
        <v>0.39856999999999998</v>
      </c>
      <c r="P38">
        <v>0.53533000000000008</v>
      </c>
      <c r="Q38">
        <v>0.58240999999999998</v>
      </c>
      <c r="R38">
        <v>0.40493000000000001</v>
      </c>
      <c r="S38">
        <v>0.41620999999999997</v>
      </c>
      <c r="T38">
        <v>0.41620999999999997</v>
      </c>
      <c r="U38">
        <v>0.41620999999999997</v>
      </c>
      <c r="V38">
        <v>0.41620999999999997</v>
      </c>
      <c r="W38">
        <v>0.41620999999999997</v>
      </c>
      <c r="X38">
        <v>0.41620999999999997</v>
      </c>
      <c r="Y38">
        <v>0.41620999999999997</v>
      </c>
      <c r="Z38">
        <v>0.41620999999999997</v>
      </c>
      <c r="AA38">
        <v>0.41620999999999997</v>
      </c>
      <c r="AB38">
        <v>0.41620999999999997</v>
      </c>
      <c r="AC38">
        <v>0.41620999999999997</v>
      </c>
      <c r="AD38">
        <v>0.41620999999999997</v>
      </c>
      <c r="AE38">
        <v>0.41620999999999997</v>
      </c>
      <c r="AF38">
        <v>0.41620999999999997</v>
      </c>
      <c r="AG38">
        <v>0.41620999999999997</v>
      </c>
      <c r="AH38">
        <v>0.41620999999999997</v>
      </c>
      <c r="AI38">
        <v>0.41620999999999997</v>
      </c>
      <c r="AJ38">
        <v>0.41620999999999997</v>
      </c>
      <c r="AK38">
        <v>0.41620999999999997</v>
      </c>
      <c r="AL38">
        <v>0.41620999999999997</v>
      </c>
      <c r="AM38">
        <v>0.41620999999999997</v>
      </c>
      <c r="AN38">
        <v>0.41620999999999997</v>
      </c>
      <c r="AO38">
        <v>0.41620999999999997</v>
      </c>
      <c r="AP38">
        <v>0.41620999999999997</v>
      </c>
      <c r="AQ38">
        <v>0.41620999999999997</v>
      </c>
      <c r="AR38">
        <v>0.41620999999999997</v>
      </c>
      <c r="AS38">
        <v>0.41620999999999997</v>
      </c>
      <c r="AT38">
        <v>0.41620999999999997</v>
      </c>
      <c r="AU38">
        <v>0.41620999999999997</v>
      </c>
    </row>
    <row r="39" spans="1:66" customFormat="1" x14ac:dyDescent="0.2">
      <c r="C39" s="85"/>
      <c r="M39" s="85"/>
      <c r="N39" s="85"/>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row>
    <row r="40" spans="1:66" customFormat="1" x14ac:dyDescent="0.2">
      <c r="C40" s="85"/>
      <c r="M40" s="85"/>
      <c r="N40" s="85"/>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row>
    <row r="41" spans="1:66" customFormat="1" x14ac:dyDescent="0.2">
      <c r="C41" s="85"/>
      <c r="M41" s="85"/>
      <c r="N41" s="85"/>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row>
    <row r="42" spans="1:66" x14ac:dyDescent="0.2">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row>
    <row r="43" spans="1:66" x14ac:dyDescent="0.2">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89"/>
      <c r="BK43" s="89"/>
      <c r="BL43" s="89"/>
      <c r="BM43" s="89"/>
      <c r="BN43" s="89"/>
    </row>
    <row r="44" spans="1:66" x14ac:dyDescent="0.2">
      <c r="O44" s="89"/>
      <c r="AV44" s="89"/>
      <c r="AW44" s="89"/>
      <c r="AX44" s="89"/>
      <c r="AY44" s="89"/>
      <c r="AZ44" s="89"/>
      <c r="BA44" s="89"/>
      <c r="BB44" s="89"/>
      <c r="BC44" s="89"/>
      <c r="BD44" s="89"/>
      <c r="BE44" s="89"/>
      <c r="BF44" s="89"/>
      <c r="BG44" s="89"/>
      <c r="BH44" s="89"/>
      <c r="BI44" s="89"/>
      <c r="BJ44" s="89"/>
      <c r="BK44" s="89"/>
      <c r="BL44" s="89"/>
      <c r="BM44" s="89"/>
      <c r="BN44" s="89"/>
    </row>
    <row r="45" spans="1:66" x14ac:dyDescent="0.2">
      <c r="O45" s="89"/>
      <c r="AV45" s="89"/>
      <c r="AW45" s="89"/>
      <c r="AX45" s="89"/>
      <c r="AY45" s="89"/>
      <c r="AZ45" s="89"/>
      <c r="BA45" s="89"/>
      <c r="BB45" s="89"/>
      <c r="BC45" s="89"/>
      <c r="BD45" s="89"/>
      <c r="BE45" s="89"/>
      <c r="BF45" s="89"/>
      <c r="BG45" s="89"/>
      <c r="BH45" s="89"/>
      <c r="BI45" s="89"/>
      <c r="BJ45" s="89"/>
      <c r="BK45" s="89"/>
      <c r="BL45" s="89"/>
      <c r="BM45" s="89"/>
      <c r="BN45" s="89"/>
    </row>
    <row r="46" spans="1:66" x14ac:dyDescent="0.2">
      <c r="O46" s="89"/>
      <c r="AV46" s="89"/>
      <c r="AW46" s="89"/>
      <c r="AX46" s="89"/>
      <c r="AY46" s="89"/>
      <c r="AZ46" s="89"/>
      <c r="BA46" s="89"/>
      <c r="BB46" s="89"/>
      <c r="BC46" s="89"/>
      <c r="BD46" s="89"/>
      <c r="BE46" s="89"/>
      <c r="BF46" s="89"/>
      <c r="BG46" s="89"/>
      <c r="BH46" s="89"/>
      <c r="BI46" s="89"/>
      <c r="BJ46" s="89"/>
      <c r="BK46" s="89"/>
      <c r="BL46" s="89"/>
      <c r="BM46" s="89"/>
      <c r="BN46" s="89"/>
    </row>
    <row r="47" spans="1:66" x14ac:dyDescent="0.2">
      <c r="O47" s="89"/>
      <c r="AV47" s="89"/>
      <c r="AW47" s="89"/>
      <c r="AX47" s="89"/>
      <c r="AY47" s="89"/>
      <c r="AZ47" s="89"/>
      <c r="BA47" s="89"/>
      <c r="BB47" s="89"/>
      <c r="BC47" s="89"/>
      <c r="BD47" s="89"/>
      <c r="BE47" s="89"/>
      <c r="BF47" s="89"/>
      <c r="BG47" s="89"/>
      <c r="BH47" s="89"/>
      <c r="BI47" s="89"/>
      <c r="BJ47" s="89"/>
      <c r="BK47" s="89"/>
      <c r="BL47" s="89"/>
      <c r="BM47" s="89"/>
      <c r="BN47" s="89"/>
    </row>
    <row r="48" spans="1:66" x14ac:dyDescent="0.2">
      <c r="O48" s="89"/>
      <c r="AV48" s="89"/>
      <c r="AW48" s="89"/>
      <c r="AX48" s="89"/>
      <c r="AY48" s="89"/>
      <c r="AZ48" s="89"/>
      <c r="BA48" s="89"/>
      <c r="BB48" s="89"/>
      <c r="BC48" s="89"/>
      <c r="BD48" s="89"/>
      <c r="BE48" s="89"/>
      <c r="BF48" s="89"/>
      <c r="BG48" s="89"/>
      <c r="BH48" s="89"/>
      <c r="BI48" s="89"/>
      <c r="BJ48" s="89"/>
      <c r="BK48" s="89"/>
      <c r="BL48" s="89"/>
      <c r="BM48" s="89"/>
      <c r="BN48" s="89"/>
    </row>
    <row r="49" spans="15:66" x14ac:dyDescent="0.2">
      <c r="O49" s="89"/>
      <c r="AV49" s="89"/>
      <c r="AW49" s="89"/>
      <c r="AX49" s="89"/>
      <c r="AY49" s="89"/>
      <c r="AZ49" s="89"/>
      <c r="BA49" s="89"/>
      <c r="BB49" s="89"/>
      <c r="BC49" s="89"/>
      <c r="BD49" s="89"/>
      <c r="BE49" s="89"/>
      <c r="BF49" s="89"/>
      <c r="BG49" s="89"/>
      <c r="BH49" s="89"/>
      <c r="BI49" s="89"/>
      <c r="BJ49" s="89"/>
      <c r="BK49" s="89"/>
      <c r="BL49" s="89"/>
      <c r="BM49" s="89"/>
      <c r="BN49" s="89"/>
    </row>
    <row r="50" spans="15:66" x14ac:dyDescent="0.2">
      <c r="O50" s="89"/>
    </row>
    <row r="51" spans="15:66" x14ac:dyDescent="0.2">
      <c r="O51" s="89"/>
    </row>
    <row r="52" spans="15:66" x14ac:dyDescent="0.2">
      <c r="O52" s="89"/>
    </row>
    <row r="53" spans="15:66" x14ac:dyDescent="0.2">
      <c r="O53" s="89"/>
    </row>
    <row r="54" spans="15:66" x14ac:dyDescent="0.2">
      <c r="O54" s="89"/>
    </row>
    <row r="55" spans="15:66" x14ac:dyDescent="0.2">
      <c r="O55" s="89"/>
    </row>
    <row r="56" spans="15:66" x14ac:dyDescent="0.2">
      <c r="O56" s="89"/>
    </row>
    <row r="57" spans="15:66" x14ac:dyDescent="0.2">
      <c r="O57" s="89"/>
    </row>
    <row r="58" spans="15:66" x14ac:dyDescent="0.2">
      <c r="O58" s="89"/>
    </row>
    <row r="59" spans="15:66" x14ac:dyDescent="0.2">
      <c r="O59" s="89"/>
    </row>
    <row r="60" spans="15:66" x14ac:dyDescent="0.2">
      <c r="O60" s="89"/>
    </row>
    <row r="61" spans="15:66" x14ac:dyDescent="0.2">
      <c r="O61" s="89"/>
    </row>
    <row r="62" spans="15:66" x14ac:dyDescent="0.2">
      <c r="O62" s="89"/>
    </row>
    <row r="63" spans="15:66" x14ac:dyDescent="0.2">
      <c r="O63" s="89"/>
    </row>
  </sheetData>
  <phoneticPr fontId="11" type="noConversion"/>
  <hyperlinks>
    <hyperlink ref="A1" location="Content!A1" display="Back to table of contents" xr:uid="{103F9C9B-7200-F943-984C-9233A1AF06AF}"/>
    <hyperlink ref="B1" location="Parameters!A1" display="Parameters List" xr:uid="{786BA3A7-6DC3-CB49-9E0D-44A92EE27C4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N50"/>
  <sheetViews>
    <sheetView tabSelected="1" topLeftCell="A11" zoomScale="114" zoomScaleNormal="115" workbookViewId="0">
      <selection activeCell="C31" sqref="A1:AV38"/>
    </sheetView>
  </sheetViews>
  <sheetFormatPr baseColWidth="10" defaultColWidth="9.1640625" defaultRowHeight="15" x14ac:dyDescent="0.2"/>
  <cols>
    <col min="1" max="1" width="41.5" style="85" bestFit="1" customWidth="1"/>
    <col min="2" max="2" width="15.5" style="85" customWidth="1"/>
    <col min="3" max="3" width="36.83203125" style="85" bestFit="1" customWidth="1"/>
    <col min="4" max="5" width="9.1640625" style="85"/>
    <col min="6" max="6" width="10.1640625" style="85" customWidth="1"/>
    <col min="7" max="7" width="9.1640625" style="85"/>
    <col min="8" max="8" width="21.1640625" style="85" customWidth="1"/>
    <col min="9" max="9" width="9.5" style="85" customWidth="1"/>
    <col min="10" max="10" width="18.5" style="85" customWidth="1"/>
    <col min="11" max="11" width="9.1640625" style="85" customWidth="1"/>
    <col min="12" max="12" width="7.1640625" style="85" bestFit="1" customWidth="1"/>
    <col min="13" max="14" width="7.1640625" style="85" customWidth="1"/>
    <col min="15" max="17" width="13.5" style="85" bestFit="1" customWidth="1"/>
    <col min="18" max="47" width="7.1640625" style="85" bestFit="1" customWidth="1"/>
    <col min="48" max="48" width="6.83203125" style="85" customWidth="1"/>
    <col min="49" max="16384" width="9.1640625" style="85"/>
  </cols>
  <sheetData>
    <row r="1" spans="1:48" ht="16" thickBot="1" x14ac:dyDescent="0.25">
      <c r="A1" s="81" t="s">
        <v>174</v>
      </c>
      <c r="B1" s="82" t="s">
        <v>175</v>
      </c>
      <c r="C1" s="82"/>
      <c r="D1" s="83"/>
      <c r="E1" s="83"/>
      <c r="F1" s="84"/>
      <c r="G1" s="84"/>
      <c r="H1" s="84"/>
      <c r="I1" s="84"/>
      <c r="J1" s="84"/>
      <c r="K1" s="84"/>
      <c r="L1" s="84"/>
    </row>
    <row r="2" spans="1:48" ht="16" thickBot="1" x14ac:dyDescent="0.25">
      <c r="A2" s="86" t="s">
        <v>111</v>
      </c>
      <c r="B2" s="87" t="s">
        <v>131</v>
      </c>
      <c r="C2" s="87" t="s">
        <v>116</v>
      </c>
      <c r="D2" s="87" t="s">
        <v>134</v>
      </c>
      <c r="E2" s="87" t="s">
        <v>137</v>
      </c>
      <c r="F2" s="87" t="s">
        <v>125</v>
      </c>
      <c r="G2" s="87" t="s">
        <v>143</v>
      </c>
      <c r="H2" s="87" t="s">
        <v>128</v>
      </c>
      <c r="I2" s="87" t="s">
        <v>119</v>
      </c>
      <c r="J2" s="87" t="s">
        <v>140</v>
      </c>
      <c r="K2" s="87" t="s">
        <v>122</v>
      </c>
      <c r="L2" s="87" t="s">
        <v>131</v>
      </c>
      <c r="M2" s="87">
        <v>2016</v>
      </c>
      <c r="N2" s="87">
        <v>2017</v>
      </c>
      <c r="O2" s="87">
        <v>2018</v>
      </c>
      <c r="P2" s="87">
        <v>2019</v>
      </c>
      <c r="Q2" s="87">
        <v>2020</v>
      </c>
      <c r="R2" s="87">
        <v>2021</v>
      </c>
      <c r="S2" s="87">
        <v>2022</v>
      </c>
      <c r="T2" s="87">
        <v>2023</v>
      </c>
      <c r="U2" s="87">
        <v>2024</v>
      </c>
      <c r="V2" s="87">
        <v>2025</v>
      </c>
      <c r="W2" s="87">
        <v>2026</v>
      </c>
      <c r="X2" s="87">
        <v>2027</v>
      </c>
      <c r="Y2" s="87">
        <v>2028</v>
      </c>
      <c r="Z2" s="87">
        <v>2029</v>
      </c>
      <c r="AA2" s="87">
        <v>2030</v>
      </c>
      <c r="AB2" s="87">
        <v>2031</v>
      </c>
      <c r="AC2" s="87">
        <v>2032</v>
      </c>
      <c r="AD2" s="87">
        <v>2033</v>
      </c>
      <c r="AE2" s="87">
        <v>2034</v>
      </c>
      <c r="AF2" s="87">
        <v>2035</v>
      </c>
      <c r="AG2" s="87">
        <v>2036</v>
      </c>
      <c r="AH2" s="87">
        <v>2037</v>
      </c>
      <c r="AI2" s="87">
        <v>2038</v>
      </c>
      <c r="AJ2" s="87">
        <v>2039</v>
      </c>
      <c r="AK2" s="87">
        <v>2040</v>
      </c>
      <c r="AL2" s="87">
        <v>2041</v>
      </c>
      <c r="AM2" s="87">
        <v>2042</v>
      </c>
      <c r="AN2" s="87">
        <v>2043</v>
      </c>
      <c r="AO2" s="87">
        <v>2044</v>
      </c>
      <c r="AP2" s="87">
        <v>2045</v>
      </c>
      <c r="AQ2" s="87">
        <v>2046</v>
      </c>
      <c r="AR2" s="87">
        <v>2047</v>
      </c>
      <c r="AS2" s="87">
        <v>2048</v>
      </c>
      <c r="AT2" s="87">
        <v>2049</v>
      </c>
      <c r="AU2" s="87">
        <v>2050</v>
      </c>
      <c r="AV2" s="88" t="s">
        <v>170</v>
      </c>
    </row>
    <row r="3" spans="1:48" customFormat="1" x14ac:dyDescent="0.2">
      <c r="A3" t="s">
        <v>200</v>
      </c>
      <c r="B3" t="s">
        <v>197</v>
      </c>
      <c r="C3" t="s">
        <v>202</v>
      </c>
      <c r="M3">
        <v>3.5342760000000002</v>
      </c>
      <c r="N3">
        <v>3.5226820000000001</v>
      </c>
      <c r="O3">
        <v>3.4993129999999999</v>
      </c>
      <c r="P3">
        <v>3.478119</v>
      </c>
      <c r="Q3">
        <v>3.4546139999999999</v>
      </c>
      <c r="R3">
        <v>3.4311090000000002</v>
      </c>
      <c r="S3">
        <v>3.4076070000000001</v>
      </c>
      <c r="T3">
        <v>3.371220859045541</v>
      </c>
      <c r="U3">
        <v>3.3327788311026807</v>
      </c>
      <c r="V3">
        <v>3.3237130428763964</v>
      </c>
      <c r="W3">
        <v>3.3204501777469346</v>
      </c>
      <c r="X3">
        <v>3.3229777264872555</v>
      </c>
      <c r="Y3">
        <v>3.3312320620666265</v>
      </c>
      <c r="Z3">
        <v>3.3451000565624449</v>
      </c>
      <c r="AA3">
        <v>3.3644213297078944</v>
      </c>
      <c r="AB3">
        <v>3.3830230419482823</v>
      </c>
      <c r="AC3">
        <v>3.4008991927787768</v>
      </c>
      <c r="AD3">
        <v>3.4180432555467184</v>
      </c>
      <c r="AE3">
        <v>3.4344481623984309</v>
      </c>
      <c r="AF3">
        <v>3.4501062885055438</v>
      </c>
      <c r="AG3">
        <v>3.4650094355437577</v>
      </c>
      <c r="AH3">
        <v>3.4791488143957516</v>
      </c>
      <c r="AI3">
        <v>3.4925150270487957</v>
      </c>
      <c r="AJ3">
        <v>3.50509804765636</v>
      </c>
      <c r="AK3">
        <v>3.5168872027316844</v>
      </c>
      <c r="AL3">
        <v>3.5278711504399638</v>
      </c>
      <c r="AM3">
        <v>3.5380378589543895</v>
      </c>
      <c r="AN3">
        <v>3.5473745838397974</v>
      </c>
      <c r="AO3">
        <v>3.5558678444261704</v>
      </c>
      <c r="AP3">
        <v>3.5635033991326655</v>
      </c>
      <c r="AQ3">
        <v>3.5702662197011845</v>
      </c>
      <c r="AR3">
        <v>3.5761404642967589</v>
      </c>
      <c r="AS3">
        <v>3.5811094494302993</v>
      </c>
      <c r="AT3">
        <v>3.5851556206573183</v>
      </c>
      <c r="AU3">
        <v>3.5882605220044121</v>
      </c>
    </row>
    <row r="4" spans="1:48" customFormat="1" x14ac:dyDescent="0.2">
      <c r="A4" t="s">
        <v>200</v>
      </c>
      <c r="B4" t="s">
        <v>197</v>
      </c>
      <c r="C4" t="s">
        <v>241</v>
      </c>
      <c r="M4">
        <v>9.3133999999999995E-2</v>
      </c>
      <c r="N4">
        <v>9.2904E-2</v>
      </c>
      <c r="O4">
        <v>9.5586000000000004E-2</v>
      </c>
      <c r="P4">
        <v>9.8329E-2</v>
      </c>
      <c r="Q4">
        <v>0.101009</v>
      </c>
      <c r="R4">
        <v>0.103688</v>
      </c>
      <c r="S4">
        <v>0.106368</v>
      </c>
      <c r="T4">
        <v>0.10928655266094953</v>
      </c>
      <c r="U4">
        <v>0.11228518532372983</v>
      </c>
      <c r="V4">
        <v>0.11690655020431115</v>
      </c>
      <c r="W4">
        <v>0.12171811838996691</v>
      </c>
      <c r="X4">
        <v>0.12672771815182396</v>
      </c>
      <c r="Y4">
        <v>0.13194349995219723</v>
      </c>
      <c r="Z4">
        <v>0.13737394970513719</v>
      </c>
      <c r="AA4">
        <v>0.14302790258274714</v>
      </c>
      <c r="AB4">
        <v>0.14891455738973192</v>
      </c>
      <c r="AC4">
        <v>0.15504349152956612</v>
      </c>
      <c r="AD4">
        <v>0.16142467658663009</v>
      </c>
      <c r="AE4">
        <v>0.16806849454966633</v>
      </c>
      <c r="AF4">
        <v>0.17498575470295083</v>
      </c>
      <c r="AG4">
        <v>0.18218771121266086</v>
      </c>
      <c r="AH4">
        <v>0.18968608143705187</v>
      </c>
      <c r="AI4">
        <v>0.19749306499023322</v>
      </c>
      <c r="AJ4">
        <v>0.2056213635905593</v>
      </c>
      <c r="AK4">
        <v>0.21408420172592846</v>
      </c>
      <c r="AL4">
        <v>0.22289534816961168</v>
      </c>
      <c r="AM4">
        <v>0.23206913838161658</v>
      </c>
      <c r="AN4">
        <v>0.24162049783203302</v>
      </c>
      <c r="AO4">
        <v>0.25156496628430669</v>
      </c>
      <c r="AP4">
        <v>0.26191872307794872</v>
      </c>
      <c r="AQ4">
        <v>0.27269861345181562</v>
      </c>
      <c r="AR4">
        <v>0.28392217595078678</v>
      </c>
      <c r="AS4">
        <v>0.295607670960429</v>
      </c>
      <c r="AT4">
        <v>0.30777411041607333</v>
      </c>
      <c r="AU4">
        <v>0.32044128873464012</v>
      </c>
    </row>
    <row r="5" spans="1:48" customFormat="1" x14ac:dyDescent="0.2">
      <c r="A5" t="s">
        <v>200</v>
      </c>
      <c r="B5" t="s">
        <v>197</v>
      </c>
      <c r="C5" t="s">
        <v>242</v>
      </c>
      <c r="M5">
        <v>1.565284979700029</v>
      </c>
      <c r="N5">
        <v>1.5659558005000007</v>
      </c>
      <c r="O5">
        <v>1.5883676450000008</v>
      </c>
      <c r="P5">
        <v>1.6117880503668542</v>
      </c>
      <c r="Q5">
        <v>1.6341563964787331</v>
      </c>
      <c r="R5">
        <v>1.6565231677273813</v>
      </c>
      <c r="S5">
        <v>1.6788883642791166</v>
      </c>
      <c r="T5">
        <v>1.7024341629946782</v>
      </c>
      <c r="U5">
        <v>1.7262123644079856</v>
      </c>
      <c r="V5">
        <v>1.7355581851056712</v>
      </c>
      <c r="W5">
        <v>1.7401045664894974</v>
      </c>
      <c r="X5">
        <v>1.739864645843735</v>
      </c>
      <c r="Y5">
        <v>1.7348909580452332</v>
      </c>
      <c r="Z5">
        <v>1.7252740268149731</v>
      </c>
      <c r="AA5">
        <v>1.711140471250457</v>
      </c>
      <c r="AB5">
        <v>1.6972685201732081</v>
      </c>
      <c r="AC5">
        <v>1.6836538293928176</v>
      </c>
      <c r="AD5">
        <v>1.6702921400691539</v>
      </c>
      <c r="AE5">
        <v>1.6571792770403304</v>
      </c>
      <c r="AF5">
        <v>1.6443111471842289</v>
      </c>
      <c r="AG5">
        <v>1.6316837378129079</v>
      </c>
      <c r="AH5">
        <v>1.6192931150992329</v>
      </c>
      <c r="AI5">
        <v>1.6071354225350836</v>
      </c>
      <c r="AJ5">
        <v>1.5952068794205005</v>
      </c>
      <c r="AK5">
        <v>1.5835037793831515</v>
      </c>
      <c r="AL5">
        <v>1.5720224889275098</v>
      </c>
      <c r="AM5">
        <v>1.5607594460131455</v>
      </c>
      <c r="AN5">
        <v>1.5497111586615435</v>
      </c>
      <c r="AO5">
        <v>1.5388742035908825</v>
      </c>
      <c r="AP5">
        <v>1.5282452248782046</v>
      </c>
      <c r="AQ5">
        <v>1.5178209326484331</v>
      </c>
      <c r="AR5">
        <v>1.507598101789696</v>
      </c>
      <c r="AS5">
        <v>1.4975735706944258</v>
      </c>
      <c r="AT5">
        <v>1.4877442400257244</v>
      </c>
      <c r="AU5">
        <v>1.478107071508479</v>
      </c>
    </row>
    <row r="6" spans="1:48" customFormat="1" x14ac:dyDescent="0.2">
      <c r="A6" t="s">
        <v>200</v>
      </c>
      <c r="B6" t="s">
        <v>197</v>
      </c>
      <c r="C6" t="s">
        <v>243</v>
      </c>
      <c r="M6">
        <v>0.35484931637401834</v>
      </c>
      <c r="N6">
        <v>0.3553330898</v>
      </c>
      <c r="O6">
        <v>0.37410540396999997</v>
      </c>
      <c r="P6">
        <v>0.39312371152056985</v>
      </c>
      <c r="Q6">
        <v>0.41189327876390947</v>
      </c>
      <c r="R6">
        <v>0.43066152451923545</v>
      </c>
      <c r="S6">
        <v>0.44942844892610406</v>
      </c>
      <c r="T6">
        <v>0.47105084732389757</v>
      </c>
      <c r="U6">
        <v>0.49326891152549712</v>
      </c>
      <c r="V6">
        <v>0.4975676543941665</v>
      </c>
      <c r="W6">
        <v>0.5005088363602469</v>
      </c>
      <c r="X6">
        <v>0.50208275649043832</v>
      </c>
      <c r="Y6">
        <v>0.50229108131572697</v>
      </c>
      <c r="Z6">
        <v>0.50114662278520572</v>
      </c>
      <c r="AA6">
        <v>0.49867296874344519</v>
      </c>
      <c r="AB6">
        <v>0.49625416050147192</v>
      </c>
      <c r="AC6">
        <v>0.49388956160353414</v>
      </c>
      <c r="AD6">
        <v>0.49157854840014503</v>
      </c>
      <c r="AE6">
        <v>0.48932050985421977</v>
      </c>
      <c r="AF6">
        <v>0.48711484735071242</v>
      </c>
      <c r="AG6">
        <v>0.48496097450969594</v>
      </c>
      <c r="AH6">
        <v>0.4828583170028285</v>
      </c>
      <c r="AI6">
        <v>0.48080631237315113</v>
      </c>
      <c r="AJ6">
        <v>0.47880440985816247</v>
      </c>
      <c r="AK6">
        <v>0.47685207021611736</v>
      </c>
      <c r="AL6">
        <v>0.47494876555549681</v>
      </c>
      <c r="AM6">
        <v>0.4730939791675976</v>
      </c>
      <c r="AN6">
        <v>0.47128720536219082</v>
      </c>
      <c r="AO6">
        <v>0.46952794930620129</v>
      </c>
      <c r="AP6">
        <v>0.46781572686535622</v>
      </c>
      <c r="AQ6">
        <v>0.46615006444875751</v>
      </c>
      <c r="AR6">
        <v>0.46453049885633024</v>
      </c>
      <c r="AS6">
        <v>0.46295657712909966</v>
      </c>
      <c r="AT6">
        <v>0.46142785640225298</v>
      </c>
      <c r="AU6">
        <v>0.45994390376094035</v>
      </c>
    </row>
    <row r="7" spans="1:48" customFormat="1" x14ac:dyDescent="0.2">
      <c r="A7" t="s">
        <v>200</v>
      </c>
      <c r="B7" t="s">
        <v>197</v>
      </c>
      <c r="C7" t="s">
        <v>244</v>
      </c>
      <c r="M7">
        <v>0.51290125250851482</v>
      </c>
      <c r="N7">
        <v>0.51432309769999995</v>
      </c>
      <c r="O7">
        <v>0.51662174841999986</v>
      </c>
      <c r="P7">
        <v>0.51924531189869605</v>
      </c>
      <c r="Q7">
        <v>0.52152704129844829</v>
      </c>
      <c r="R7">
        <v>0.52380861005101986</v>
      </c>
      <c r="S7">
        <v>0.52609001817337675</v>
      </c>
      <c r="T7">
        <v>0.52847553201301189</v>
      </c>
      <c r="U7">
        <v>0.53087186277766452</v>
      </c>
      <c r="V7">
        <v>0.53448265788491445</v>
      </c>
      <c r="W7">
        <v>0.53811801229210221</v>
      </c>
      <c r="X7">
        <v>0.54177809304255098</v>
      </c>
      <c r="Y7">
        <v>0.54546306831575075</v>
      </c>
      <c r="Z7">
        <v>0.54917310743508707</v>
      </c>
      <c r="AA7">
        <v>0.55290838087562044</v>
      </c>
      <c r="AB7">
        <v>0.55666906027192009</v>
      </c>
      <c r="AC7">
        <v>0.56045531842595053</v>
      </c>
      <c r="AD7">
        <v>0.56426732931501167</v>
      </c>
      <c r="AE7">
        <v>0.56810526809973294</v>
      </c>
      <c r="AF7">
        <v>0.5719693111321219</v>
      </c>
      <c r="AG7">
        <v>0.57585963596366785</v>
      </c>
      <c r="AH7">
        <v>0.5797764213534996</v>
      </c>
      <c r="AI7">
        <v>0.58371984727660009</v>
      </c>
      <c r="AJ7">
        <v>0.58769009493207569</v>
      </c>
      <c r="AK7">
        <v>0.59168734675148271</v>
      </c>
      <c r="AL7">
        <v>0.59571178640720934</v>
      </c>
      <c r="AM7">
        <v>0.59976359882091623</v>
      </c>
      <c r="AN7">
        <v>0.60384297017203292</v>
      </c>
      <c r="AO7">
        <v>0.607950087906313</v>
      </c>
      <c r="AP7">
        <v>0.61208514074444698</v>
      </c>
      <c r="AQ7">
        <v>0.61624831869073438</v>
      </c>
      <c r="AR7">
        <v>0.6204398130418135</v>
      </c>
      <c r="AS7">
        <v>0.62465981639545276</v>
      </c>
      <c r="AT7">
        <v>0.62890852265939912</v>
      </c>
      <c r="AU7">
        <v>0.63318612706028887</v>
      </c>
    </row>
    <row r="8" spans="1:48" customFormat="1" x14ac:dyDescent="0.2">
      <c r="A8" t="s">
        <v>200</v>
      </c>
      <c r="B8" t="s">
        <v>197</v>
      </c>
      <c r="C8" t="s">
        <v>245</v>
      </c>
      <c r="M8">
        <v>4.3621747356073435</v>
      </c>
      <c r="N8">
        <v>4.3712674466999992</v>
      </c>
      <c r="O8">
        <v>4.3446414092600003</v>
      </c>
      <c r="P8">
        <v>4.3139011310303053</v>
      </c>
      <c r="Q8">
        <v>4.2874908275653763</v>
      </c>
      <c r="R8">
        <v>4.2610823835412655</v>
      </c>
      <c r="S8">
        <v>4.2346757987616082</v>
      </c>
      <c r="T8">
        <v>4.2175133602801269</v>
      </c>
      <c r="U8">
        <v>4.2004204783145704</v>
      </c>
      <c r="V8">
        <v>4.183396870963918</v>
      </c>
      <c r="W8">
        <v>4.1664422574696491</v>
      </c>
      <c r="X8">
        <v>4.1495563582111092</v>
      </c>
      <c r="Y8">
        <v>4.1327388947008998</v>
      </c>
      <c r="Z8">
        <v>4.1159895895802885</v>
      </c>
      <c r="AA8">
        <v>4.0993081666146285</v>
      </c>
      <c r="AB8">
        <v>4.0826943506888069</v>
      </c>
      <c r="AC8">
        <v>4.0661478678027079</v>
      </c>
      <c r="AD8">
        <v>4.0496684450666915</v>
      </c>
      <c r="AE8">
        <v>4.0332558106970948</v>
      </c>
      <c r="AF8">
        <v>4.0169096940117495</v>
      </c>
      <c r="AG8">
        <v>4.0006298254255164</v>
      </c>
      <c r="AH8">
        <v>3.9844159364458398</v>
      </c>
      <c r="AI8">
        <v>3.9682677596683202</v>
      </c>
      <c r="AJ8">
        <v>3.9521850287723046</v>
      </c>
      <c r="AK8">
        <v>3.9361674785164924</v>
      </c>
      <c r="AL8">
        <v>3.9202148447345624</v>
      </c>
      <c r="AM8">
        <v>3.9043268643308155</v>
      </c>
      <c r="AN8">
        <v>3.8885032752758359</v>
      </c>
      <c r="AO8">
        <v>3.8727438166021693</v>
      </c>
      <c r="AP8">
        <v>3.8570482284000196</v>
      </c>
      <c r="AQ8">
        <v>3.8414162518129618</v>
      </c>
      <c r="AR8">
        <v>3.8258476290336736</v>
      </c>
      <c r="AS8">
        <v>3.8103421032996816</v>
      </c>
      <c r="AT8">
        <v>3.7948994188891296</v>
      </c>
      <c r="AU8">
        <v>3.7795193211165587</v>
      </c>
    </row>
    <row r="9" spans="1:48" customFormat="1" x14ac:dyDescent="0.2">
      <c r="A9" t="s">
        <v>200</v>
      </c>
      <c r="B9" t="s">
        <v>197</v>
      </c>
      <c r="C9" t="s">
        <v>246</v>
      </c>
      <c r="M9">
        <v>0.23937179976906325</v>
      </c>
      <c r="N9">
        <v>0.23944278289999998</v>
      </c>
      <c r="O9">
        <v>0.23963433710999998</v>
      </c>
      <c r="P9">
        <v>0.23997605402719879</v>
      </c>
      <c r="Q9">
        <v>0.24015927326695888</v>
      </c>
      <c r="R9">
        <v>0.2403424796070058</v>
      </c>
      <c r="S9">
        <v>0.24052567304870234</v>
      </c>
      <c r="T9">
        <v>0.24074284630287579</v>
      </c>
      <c r="U9">
        <v>0.24096021564514963</v>
      </c>
      <c r="V9">
        <v>0.241177781252574</v>
      </c>
      <c r="W9">
        <v>0.24139554330235879</v>
      </c>
      <c r="X9">
        <v>0.24161350197187398</v>
      </c>
      <c r="Y9">
        <v>0.24183165743864965</v>
      </c>
      <c r="Z9">
        <v>0.24205000988037623</v>
      </c>
      <c r="AA9">
        <v>0.2422685594749045</v>
      </c>
      <c r="AB9">
        <v>0.24248730640024591</v>
      </c>
      <c r="AC9">
        <v>0.24270625083457259</v>
      </c>
      <c r="AD9">
        <v>0.24292539295621757</v>
      </c>
      <c r="AE9">
        <v>0.24314473294367489</v>
      </c>
      <c r="AF9">
        <v>0.24336427097559973</v>
      </c>
      <c r="AG9">
        <v>0.24358400723080861</v>
      </c>
      <c r="AH9">
        <v>0.24380394188827947</v>
      </c>
      <c r="AI9">
        <v>0.24402407512715193</v>
      </c>
      <c r="AJ9">
        <v>0.24424440712672729</v>
      </c>
      <c r="AK9">
        <v>0.24446493806646871</v>
      </c>
      <c r="AL9">
        <v>0.24468566812600151</v>
      </c>
      <c r="AM9">
        <v>0.24490659748511306</v>
      </c>
      <c r="AN9">
        <v>0.24512772632375315</v>
      </c>
      <c r="AO9">
        <v>0.24534905482203404</v>
      </c>
      <c r="AP9">
        <v>0.24557058316023053</v>
      </c>
      <c r="AQ9">
        <v>0.24579231151878037</v>
      </c>
      <c r="AR9">
        <v>0.24601424007828401</v>
      </c>
      <c r="AS9">
        <v>0.24623636901950516</v>
      </c>
      <c r="AT9">
        <v>0.2464586985233706</v>
      </c>
      <c r="AU9">
        <v>0.24668122877097054</v>
      </c>
    </row>
    <row r="10" spans="1:48" customFormat="1" x14ac:dyDescent="0.2">
      <c r="A10" t="s">
        <v>200</v>
      </c>
      <c r="B10" t="s">
        <v>197</v>
      </c>
      <c r="C10" t="s">
        <v>247</v>
      </c>
      <c r="M10">
        <v>0.15605818032674948</v>
      </c>
      <c r="N10">
        <v>0.15611669420000016</v>
      </c>
      <c r="O10">
        <v>0.15803223645000014</v>
      </c>
      <c r="P10">
        <v>0.1600479271507276</v>
      </c>
      <c r="Q10">
        <v>0.1619589669496328</v>
      </c>
      <c r="R10">
        <v>0.16386987220008745</v>
      </c>
      <c r="S10">
        <v>0.16578064291630082</v>
      </c>
      <c r="T10">
        <v>0.16778407835318293</v>
      </c>
      <c r="U10">
        <v>0.1698117250217212</v>
      </c>
      <c r="V10">
        <v>0.1718638755111988</v>
      </c>
      <c r="W10">
        <v>0.17394082594679861</v>
      </c>
      <c r="X10">
        <v>0.17604287603233421</v>
      </c>
      <c r="Y10">
        <v>0.17817032909349698</v>
      </c>
      <c r="Z10">
        <v>0.18032349212162613</v>
      </c>
      <c r="AA10">
        <v>0.18250267581800733</v>
      </c>
      <c r="AB10">
        <v>0.18470819463870702</v>
      </c>
      <c r="AC10">
        <v>0.1869403668399485</v>
      </c>
      <c r="AD10">
        <v>0.18919951452403594</v>
      </c>
      <c r="AE10">
        <v>0.19148596368583415</v>
      </c>
      <c r="AF10">
        <v>0.19380004425980929</v>
      </c>
      <c r="AG10">
        <v>0.19614209016763851</v>
      </c>
      <c r="AH10">
        <v>0.1985124393663949</v>
      </c>
      <c r="AI10">
        <v>0.2009114338973145</v>
      </c>
      <c r="AJ10">
        <v>0.20333941993515303</v>
      </c>
      <c r="AK10">
        <v>0.20579674783813875</v>
      </c>
      <c r="AL10">
        <v>0.20828377219852909</v>
      </c>
      <c r="AM10">
        <v>0.21080085189377848</v>
      </c>
      <c r="AN10">
        <v>0.21334835013832418</v>
      </c>
      <c r="AO10">
        <v>0.21592663453599809</v>
      </c>
      <c r="AP10">
        <v>0.21853607713307208</v>
      </c>
      <c r="AQ10">
        <v>0.22117705447194416</v>
      </c>
      <c r="AR10">
        <v>0.22384994764547356</v>
      </c>
      <c r="AS10">
        <v>0.22655514235197236</v>
      </c>
      <c r="AT10">
        <v>0.22929302895086173</v>
      </c>
      <c r="AU10">
        <v>0.23206400251900094</v>
      </c>
    </row>
    <row r="11" spans="1:48" customFormat="1" x14ac:dyDescent="0.2">
      <c r="A11" t="s">
        <v>200</v>
      </c>
      <c r="B11" t="s">
        <v>197</v>
      </c>
      <c r="C11" t="s">
        <v>248</v>
      </c>
      <c r="M11">
        <v>7.0849370211899368E-2</v>
      </c>
      <c r="N11">
        <v>7.0875063499999988E-2</v>
      </c>
      <c r="O11">
        <v>7.2599051509999984E-2</v>
      </c>
      <c r="P11">
        <v>7.4369575566463286E-2</v>
      </c>
      <c r="Q11">
        <v>7.6091964171139614E-2</v>
      </c>
      <c r="R11">
        <v>7.7814231509519979E-2</v>
      </c>
      <c r="S11">
        <v>7.9536377594410818E-2</v>
      </c>
      <c r="T11">
        <v>8.1391761025736239E-2</v>
      </c>
      <c r="U11">
        <v>8.3290425881000663E-2</v>
      </c>
      <c r="V11">
        <v>8.5233381806849945E-2</v>
      </c>
      <c r="W11">
        <v>8.722166200244405E-2</v>
      </c>
      <c r="X11">
        <v>8.9256323768877974E-2</v>
      </c>
      <c r="Y11">
        <v>9.1338449071419164E-2</v>
      </c>
      <c r="Z11">
        <v>9.3469145114860555E-2</v>
      </c>
      <c r="AA11">
        <v>9.5649544932295161E-2</v>
      </c>
      <c r="AB11">
        <v>9.7880807987625287E-2</v>
      </c>
      <c r="AC11">
        <v>0.10016412079212678</v>
      </c>
      <c r="AD11">
        <v>0.10250069753539612</v>
      </c>
      <c r="AE11">
        <v>0.10489178073101597</v>
      </c>
      <c r="AF11">
        <v>0.10733864187728247</v>
      </c>
      <c r="AG11">
        <v>0.10984258213334558</v>
      </c>
      <c r="AH11">
        <v>0.1124049330111222</v>
      </c>
      <c r="AI11">
        <v>0.11502705708334968</v>
      </c>
      <c r="AJ11">
        <v>0.11771034870815666</v>
      </c>
      <c r="AK11">
        <v>0.12045623477053623</v>
      </c>
      <c r="AL11">
        <v>0.12326617544111566</v>
      </c>
      <c r="AM11">
        <v>0.12614166495262655</v>
      </c>
      <c r="AN11">
        <v>0.12908423239448791</v>
      </c>
      <c r="AO11">
        <v>0.13209544252592495</v>
      </c>
      <c r="AP11">
        <v>0.13517689660805579</v>
      </c>
      <c r="AQ11">
        <v>0.13833023325538885</v>
      </c>
      <c r="AR11">
        <v>0.1415571293071832</v>
      </c>
      <c r="AS11">
        <v>0.14485930071913589</v>
      </c>
      <c r="AT11">
        <v>0.14823850347586989</v>
      </c>
      <c r="AU11">
        <v>0.15169653452470824</v>
      </c>
    </row>
    <row r="12" spans="1:48" customFormat="1" x14ac:dyDescent="0.2">
      <c r="A12" t="s">
        <v>200</v>
      </c>
      <c r="B12" t="s">
        <v>197</v>
      </c>
      <c r="C12" t="s">
        <v>250</v>
      </c>
      <c r="M12">
        <v>3.8309999999999997E-2</v>
      </c>
      <c r="N12">
        <v>3.6305999999999998E-2</v>
      </c>
      <c r="O12">
        <v>3.8309999999999997E-2</v>
      </c>
      <c r="P12">
        <v>3.2046999999999999E-2</v>
      </c>
      <c r="Q12">
        <v>3.8585000000000001E-2</v>
      </c>
      <c r="R12">
        <v>3.8677000000000003E-2</v>
      </c>
      <c r="S12">
        <v>3.8674E-2</v>
      </c>
      <c r="T12">
        <v>3.8674E-2</v>
      </c>
      <c r="U12">
        <v>3.8674E-2</v>
      </c>
      <c r="V12">
        <v>3.8674E-2</v>
      </c>
      <c r="W12">
        <v>3.8674E-2</v>
      </c>
      <c r="X12">
        <v>3.8674E-2</v>
      </c>
      <c r="Y12">
        <v>3.8674E-2</v>
      </c>
      <c r="Z12">
        <v>3.8674E-2</v>
      </c>
      <c r="AA12">
        <v>3.8674E-2</v>
      </c>
      <c r="AB12">
        <v>3.8674E-2</v>
      </c>
      <c r="AC12">
        <v>3.8674E-2</v>
      </c>
      <c r="AD12">
        <v>3.8674E-2</v>
      </c>
      <c r="AE12">
        <v>3.8674E-2</v>
      </c>
      <c r="AF12">
        <v>3.8674E-2</v>
      </c>
      <c r="AG12">
        <v>3.8674E-2</v>
      </c>
      <c r="AH12">
        <v>3.8674E-2</v>
      </c>
      <c r="AI12">
        <v>3.8674E-2</v>
      </c>
      <c r="AJ12">
        <v>3.8674E-2</v>
      </c>
      <c r="AK12">
        <v>3.8674E-2</v>
      </c>
      <c r="AL12">
        <v>3.8674E-2</v>
      </c>
      <c r="AM12">
        <v>3.8674E-2</v>
      </c>
      <c r="AN12">
        <v>3.8674E-2</v>
      </c>
      <c r="AO12">
        <v>3.8674E-2</v>
      </c>
      <c r="AP12">
        <v>3.8674E-2</v>
      </c>
      <c r="AQ12">
        <v>3.8674E-2</v>
      </c>
      <c r="AR12">
        <v>3.8674E-2</v>
      </c>
      <c r="AS12">
        <v>3.8674E-2</v>
      </c>
      <c r="AT12">
        <v>3.8674E-2</v>
      </c>
      <c r="AU12">
        <v>3.8674E-2</v>
      </c>
    </row>
    <row r="13" spans="1:48" customFormat="1" x14ac:dyDescent="0.2">
      <c r="A13" t="s">
        <v>200</v>
      </c>
      <c r="B13" t="s">
        <v>197</v>
      </c>
      <c r="C13" t="s">
        <v>251</v>
      </c>
      <c r="M13">
        <v>1.7623E-2</v>
      </c>
      <c r="N13">
        <v>2.4483000000000001E-2</v>
      </c>
      <c r="O13">
        <v>1.7623E-2</v>
      </c>
      <c r="P13">
        <v>1.7999999999999999E-2</v>
      </c>
      <c r="Q13">
        <v>1.7613E-2</v>
      </c>
      <c r="R13">
        <v>1.7611000000000002E-2</v>
      </c>
      <c r="S13">
        <v>1.7609E-2</v>
      </c>
      <c r="T13">
        <v>2.287859045540977E-3</v>
      </c>
      <c r="U13">
        <v>2.3197205713966496E-4</v>
      </c>
      <c r="V13">
        <v>2.9608211773715656E-2</v>
      </c>
      <c r="W13">
        <v>3.5411134870538277E-2</v>
      </c>
      <c r="X13">
        <v>4.1201548740320906E-2</v>
      </c>
      <c r="Y13">
        <v>4.6928335579370942E-2</v>
      </c>
      <c r="Z13">
        <v>5.2541994495818437E-2</v>
      </c>
      <c r="AA13">
        <v>5.7995273145449514E-2</v>
      </c>
      <c r="AB13">
        <v>5.7275712240387869E-2</v>
      </c>
      <c r="AC13">
        <v>5.6550150830494542E-2</v>
      </c>
      <c r="AD13">
        <v>5.5818062767941559E-2</v>
      </c>
      <c r="AE13">
        <v>5.5078906851712475E-2</v>
      </c>
      <c r="AF13">
        <v>5.4332126107112924E-2</v>
      </c>
      <c r="AG13">
        <v>5.3577147038213938E-2</v>
      </c>
      <c r="AH13">
        <v>5.28133788519939E-2</v>
      </c>
      <c r="AI13">
        <v>5.2040212653044052E-2</v>
      </c>
      <c r="AJ13">
        <v>5.1257020607564333E-2</v>
      </c>
      <c r="AK13">
        <v>5.0463155075324409E-2</v>
      </c>
      <c r="AL13">
        <v>4.9657947708279374E-2</v>
      </c>
      <c r="AM13">
        <v>4.8840708514425693E-2</v>
      </c>
      <c r="AN13">
        <v>4.8010724885407932E-2</v>
      </c>
      <c r="AO13">
        <v>4.7167260586373008E-2</v>
      </c>
      <c r="AP13">
        <v>4.6309554706495018E-2</v>
      </c>
      <c r="AQ13">
        <v>4.5436820568519068E-2</v>
      </c>
      <c r="AR13">
        <v>4.4548244595574396E-2</v>
      </c>
      <c r="AS13">
        <v>4.3642985133540382E-2</v>
      </c>
      <c r="AT13">
        <v>4.2720171227019002E-2</v>
      </c>
      <c r="AU13">
        <v>4.1778901347093847E-2</v>
      </c>
    </row>
    <row r="14" spans="1:48" customFormat="1" x14ac:dyDescent="0.2">
      <c r="A14" t="s">
        <v>200</v>
      </c>
      <c r="B14" t="s">
        <v>197</v>
      </c>
      <c r="C14" t="s">
        <v>249</v>
      </c>
      <c r="M14">
        <v>1.3122886374892079E-2</v>
      </c>
      <c r="N14">
        <v>1.3122886374892079E-2</v>
      </c>
      <c r="O14">
        <v>2.0088888070402044E-2</v>
      </c>
      <c r="P14">
        <v>5.5145693562798921E-2</v>
      </c>
      <c r="Q14">
        <v>7.5714387955679599E-2</v>
      </c>
      <c r="R14">
        <v>3.5560184307475519E-2</v>
      </c>
      <c r="S14">
        <v>1.8935507387443016E-2</v>
      </c>
      <c r="T14">
        <v>2.0088888070402044E-2</v>
      </c>
      <c r="U14">
        <v>1.9887999189698025E-2</v>
      </c>
      <c r="V14">
        <v>1.9689119197801044E-2</v>
      </c>
      <c r="W14">
        <v>1.9492228005823033E-2</v>
      </c>
      <c r="X14">
        <v>1.9297305725764803E-2</v>
      </c>
      <c r="Y14">
        <v>1.9104332668507154E-2</v>
      </c>
      <c r="Z14">
        <v>1.8913289341822081E-2</v>
      </c>
      <c r="AA14">
        <v>1.8724156448403861E-2</v>
      </c>
      <c r="AB14">
        <v>1.8536914883919824E-2</v>
      </c>
      <c r="AC14">
        <v>1.8351545735080625E-2</v>
      </c>
      <c r="AD14">
        <v>1.816803027772982E-2</v>
      </c>
      <c r="AE14">
        <v>1.798634997495252E-2</v>
      </c>
      <c r="AF14">
        <v>1.7806486475202995E-2</v>
      </c>
      <c r="AG14">
        <v>1.7628421610450966E-2</v>
      </c>
      <c r="AH14">
        <v>1.7452137394346454E-2</v>
      </c>
      <c r="AI14">
        <v>1.7277616020402991E-2</v>
      </c>
      <c r="AJ14">
        <v>1.7104839860198961E-2</v>
      </c>
      <c r="AK14">
        <v>1.6933791461596973E-2</v>
      </c>
      <c r="AL14">
        <v>1.6764453546981004E-2</v>
      </c>
      <c r="AM14">
        <v>1.6596809011511195E-2</v>
      </c>
      <c r="AN14">
        <v>1.6430840921396083E-2</v>
      </c>
      <c r="AO14">
        <v>1.6266532512182123E-2</v>
      </c>
      <c r="AP14">
        <v>1.6103867187060302E-2</v>
      </c>
      <c r="AQ14">
        <v>1.5942828515189699E-2</v>
      </c>
      <c r="AR14">
        <v>1.5783400230037801E-2</v>
      </c>
      <c r="AS14">
        <v>1.5625566227737423E-2</v>
      </c>
      <c r="AT14">
        <v>1.5469310565460049E-2</v>
      </c>
      <c r="AU14">
        <v>1.5314617459805448E-2</v>
      </c>
    </row>
    <row r="15" spans="1:48" customFormat="1" x14ac:dyDescent="0.2">
      <c r="A15" t="s">
        <v>200</v>
      </c>
      <c r="B15" t="s">
        <v>197</v>
      </c>
      <c r="C15" t="s">
        <v>203</v>
      </c>
      <c r="M15">
        <v>10.66684333049899</v>
      </c>
      <c r="N15">
        <v>10.907888275498989</v>
      </c>
      <c r="O15">
        <v>11.152997786248999</v>
      </c>
      <c r="P15">
        <v>11.27263805739922</v>
      </c>
      <c r="Q15">
        <v>11.43522156215959</v>
      </c>
      <c r="R15">
        <v>11.517316336664125</v>
      </c>
      <c r="S15">
        <v>11.626969871940226</v>
      </c>
      <c r="T15">
        <v>11.73816662422635</v>
      </c>
      <c r="U15">
        <v>11.84494403679818</v>
      </c>
      <c r="V15">
        <v>11.941851180577274</v>
      </c>
      <c r="W15">
        <v>12.028721667477535</v>
      </c>
      <c r="X15">
        <v>12.105424420924368</v>
      </c>
      <c r="Y15">
        <v>12.173356508689283</v>
      </c>
      <c r="Z15">
        <v>12.232126689131421</v>
      </c>
      <c r="AA15">
        <v>12.281303175347265</v>
      </c>
      <c r="AB15">
        <v>12.320436322831597</v>
      </c>
      <c r="AC15">
        <v>12.349035770858848</v>
      </c>
      <c r="AD15">
        <v>12.366567499156403</v>
      </c>
      <c r="AE15">
        <v>12.372417183717621</v>
      </c>
      <c r="AF15">
        <v>12.36593314666119</v>
      </c>
      <c r="AG15">
        <v>12.345812353527084</v>
      </c>
      <c r="AH15">
        <v>12.311594228204548</v>
      </c>
      <c r="AI15">
        <v>12.262321232575699</v>
      </c>
      <c r="AJ15">
        <v>12.19689058704698</v>
      </c>
      <c r="AK15">
        <v>12.114265993713962</v>
      </c>
      <c r="AL15">
        <v>12.013209295838418</v>
      </c>
      <c r="AM15">
        <v>11.892392832015531</v>
      </c>
      <c r="AN15">
        <v>11.750394293953081</v>
      </c>
      <c r="AO15">
        <v>11.585655387944195</v>
      </c>
      <c r="AP15">
        <v>11.396522137571058</v>
      </c>
      <c r="AQ15">
        <v>11.181205238147752</v>
      </c>
      <c r="AR15">
        <v>10.937762737408011</v>
      </c>
      <c r="AS15">
        <v>10.664112513275022</v>
      </c>
      <c r="AT15">
        <v>10.357998305585552</v>
      </c>
      <c r="AU15">
        <v>10.016989680843057</v>
      </c>
    </row>
    <row r="16" spans="1:48" customFormat="1" x14ac:dyDescent="0.2">
      <c r="A16" t="s">
        <v>200</v>
      </c>
      <c r="B16" t="s">
        <v>197</v>
      </c>
      <c r="C16" t="s">
        <v>207</v>
      </c>
      <c r="M16">
        <v>15.34008280688429</v>
      </c>
      <c r="N16">
        <v>15.564092790230941</v>
      </c>
      <c r="O16">
        <v>15.792769952258075</v>
      </c>
      <c r="P16">
        <v>15.962993088271396</v>
      </c>
      <c r="Q16">
        <v>16.10454503732149</v>
      </c>
      <c r="R16">
        <v>16.164481800805138</v>
      </c>
      <c r="S16">
        <v>16.252761624094106</v>
      </c>
      <c r="T16">
        <v>16.34278807798443</v>
      </c>
      <c r="U16">
        <v>16.428683804315817</v>
      </c>
      <c r="V16">
        <v>16.440101730246052</v>
      </c>
      <c r="W16">
        <v>16.438065274993924</v>
      </c>
      <c r="X16">
        <v>16.422603512079899</v>
      </c>
      <c r="Y16">
        <v>16.40225227930565</v>
      </c>
      <c r="Z16">
        <v>16.376953062749294</v>
      </c>
      <c r="AA16">
        <v>16.346643500739063</v>
      </c>
      <c r="AB16">
        <v>16.311283884398627</v>
      </c>
      <c r="AC16">
        <v>16.270836976561696</v>
      </c>
      <c r="AD16">
        <v>16.225268611058198</v>
      </c>
      <c r="AE16">
        <v>16.174513620819617</v>
      </c>
      <c r="AF16">
        <v>16.118524531344651</v>
      </c>
      <c r="AG16">
        <v>16.015716913502079</v>
      </c>
      <c r="AH16">
        <v>15.937704734540086</v>
      </c>
      <c r="AI16">
        <v>15.852492387029921</v>
      </c>
      <c r="AJ16">
        <v>15.758517252695759</v>
      </c>
      <c r="AK16">
        <v>15.664958469143665</v>
      </c>
      <c r="AL16">
        <v>15.565733846833325</v>
      </c>
      <c r="AM16">
        <v>15.461196529734639</v>
      </c>
      <c r="AN16">
        <v>15.352106046812079</v>
      </c>
      <c r="AO16">
        <v>15.237190700824716</v>
      </c>
      <c r="AP16">
        <v>15.117206979733162</v>
      </c>
      <c r="AQ16">
        <v>14.991346442358086</v>
      </c>
      <c r="AR16">
        <v>14.859222446134208</v>
      </c>
      <c r="AS16">
        <v>14.720670070980649</v>
      </c>
      <c r="AT16">
        <v>14.575293207357095</v>
      </c>
      <c r="AU16">
        <v>14.422800445248008</v>
      </c>
    </row>
    <row r="17" spans="1:47" customFormat="1" x14ac:dyDescent="0.2">
      <c r="A17" t="s">
        <v>200</v>
      </c>
      <c r="B17" t="s">
        <v>197</v>
      </c>
      <c r="C17" t="s">
        <v>210</v>
      </c>
      <c r="M17">
        <v>1.4999999999999999E-2</v>
      </c>
      <c r="N17">
        <v>1.4999999999999999E-2</v>
      </c>
      <c r="O17">
        <v>1.4999999999999999E-2</v>
      </c>
      <c r="P17">
        <v>1.4999999999999999E-2</v>
      </c>
      <c r="Q17">
        <v>1.4999999999999999E-2</v>
      </c>
      <c r="R17">
        <v>1.4999999999999999E-2</v>
      </c>
      <c r="S17">
        <v>1.4999999999999999E-2</v>
      </c>
      <c r="T17">
        <v>1.4999999999999999E-2</v>
      </c>
      <c r="U17">
        <v>1.4999999999999999E-2</v>
      </c>
      <c r="V17">
        <v>1.7333333333333333E-2</v>
      </c>
      <c r="W17">
        <v>1.9666666666666666E-2</v>
      </c>
      <c r="X17">
        <v>2.1999999999999999E-2</v>
      </c>
      <c r="Y17">
        <v>2.376E-2</v>
      </c>
      <c r="Z17">
        <v>2.5660800000000001E-2</v>
      </c>
      <c r="AA17">
        <v>2.7713664000000002E-2</v>
      </c>
      <c r="AB17">
        <v>2.9930757120000005E-2</v>
      </c>
      <c r="AC17">
        <v>3.2325217689600005E-2</v>
      </c>
      <c r="AD17">
        <v>3.4911235104768006E-2</v>
      </c>
      <c r="AE17">
        <v>3.7704133913149446E-2</v>
      </c>
      <c r="AF17">
        <v>4.0720464626201401E-2</v>
      </c>
      <c r="AG17">
        <v>4.3978101796297513E-2</v>
      </c>
      <c r="AH17">
        <v>4.749634994000132E-2</v>
      </c>
      <c r="AI17">
        <v>5.1296057935201429E-2</v>
      </c>
      <c r="AJ17">
        <v>5.5399742570017549E-2</v>
      </c>
      <c r="AK17">
        <v>5.9831721975618958E-2</v>
      </c>
      <c r="AL17">
        <v>6.4618259733668484E-2</v>
      </c>
      <c r="AM17">
        <v>6.978772051236197E-2</v>
      </c>
      <c r="AN17">
        <v>7.5370738153350936E-2</v>
      </c>
      <c r="AO17">
        <v>8.1400397205619021E-2</v>
      </c>
      <c r="AP17">
        <v>8.7912428982068552E-2</v>
      </c>
      <c r="AQ17">
        <v>9.4945423300634046E-2</v>
      </c>
      <c r="AR17">
        <v>0.10254105716468477</v>
      </c>
      <c r="AS17">
        <v>0.11074434173785956</v>
      </c>
      <c r="AT17">
        <v>0.11960388907688833</v>
      </c>
      <c r="AU17">
        <v>0.12917220020303941</v>
      </c>
    </row>
    <row r="18" spans="1:47" customFormat="1" x14ac:dyDescent="0.2">
      <c r="A18" t="s">
        <v>200</v>
      </c>
      <c r="B18" t="s">
        <v>197</v>
      </c>
      <c r="C18" t="s">
        <v>211</v>
      </c>
      <c r="M18">
        <v>0.2</v>
      </c>
      <c r="N18">
        <v>0.21500000000000002</v>
      </c>
      <c r="O18">
        <v>0.23000000000000004</v>
      </c>
      <c r="P18">
        <v>0.24500000000000005</v>
      </c>
      <c r="Q18">
        <v>0.26000000000000006</v>
      </c>
      <c r="R18">
        <v>0.27500000000000008</v>
      </c>
      <c r="S18">
        <v>0.29000000000000009</v>
      </c>
      <c r="T18">
        <v>0.3050000000000001</v>
      </c>
      <c r="U18">
        <v>0.32000000000000012</v>
      </c>
      <c r="V18">
        <v>0.33733333333333343</v>
      </c>
      <c r="W18">
        <v>0.3570000000000001</v>
      </c>
      <c r="X18">
        <v>0.37900000000000011</v>
      </c>
      <c r="Y18">
        <v>0.40276000000000012</v>
      </c>
      <c r="Z18">
        <v>0.4284208000000001</v>
      </c>
      <c r="AA18">
        <v>0.45613446400000013</v>
      </c>
      <c r="AB18">
        <v>0.48606522112000011</v>
      </c>
      <c r="AC18">
        <v>0.51839043880960012</v>
      </c>
      <c r="AD18">
        <v>0.55330167391436813</v>
      </c>
      <c r="AE18">
        <v>0.59100580782751755</v>
      </c>
      <c r="AF18">
        <v>0.63172627245371893</v>
      </c>
      <c r="AG18">
        <v>0.67570437425001639</v>
      </c>
      <c r="AH18">
        <v>0.72320072419001769</v>
      </c>
      <c r="AI18">
        <v>0.77449678212521911</v>
      </c>
      <c r="AJ18">
        <v>0.82989652469523667</v>
      </c>
      <c r="AK18">
        <v>0.88972824667085559</v>
      </c>
      <c r="AL18">
        <v>0.95434650640452412</v>
      </c>
      <c r="AM18">
        <v>1.024134226916886</v>
      </c>
      <c r="AN18">
        <v>1.0995049650702371</v>
      </c>
      <c r="AO18">
        <v>1.1809053622758561</v>
      </c>
      <c r="AP18">
        <v>1.2688177912579246</v>
      </c>
      <c r="AQ18">
        <v>1.3637632145585585</v>
      </c>
      <c r="AR18">
        <v>1.4663042717232433</v>
      </c>
      <c r="AS18">
        <v>1.5770486134611028</v>
      </c>
      <c r="AT18">
        <v>1.696652502537991</v>
      </c>
      <c r="AU18">
        <v>1.8258247027410304</v>
      </c>
    </row>
    <row r="19" spans="1:47" customFormat="1" x14ac:dyDescent="0.2">
      <c r="A19" t="s">
        <v>200</v>
      </c>
      <c r="B19" t="s">
        <v>197</v>
      </c>
      <c r="C19" t="s">
        <v>214</v>
      </c>
      <c r="M19">
        <v>1.7460339012267838</v>
      </c>
      <c r="N19">
        <v>1.757518320613392</v>
      </c>
      <c r="O19">
        <v>1.7690027400000001</v>
      </c>
      <c r="P19">
        <v>1.7990203319564833</v>
      </c>
      <c r="Q19">
        <v>1.8186665554897876</v>
      </c>
      <c r="R19">
        <v>1.8376198868487714</v>
      </c>
      <c r="S19">
        <v>1.8576081226416918</v>
      </c>
      <c r="T19">
        <v>1.8778788429692785</v>
      </c>
      <c r="U19">
        <v>1.8977923523691385</v>
      </c>
      <c r="V19">
        <v>1.9102187923465586</v>
      </c>
      <c r="W19">
        <v>1.9224584235570099</v>
      </c>
      <c r="X19">
        <v>1.9345100670303144</v>
      </c>
      <c r="Y19">
        <v>1.9463682129025981</v>
      </c>
      <c r="Z19">
        <v>1.9580325257254672</v>
      </c>
      <c r="AA19">
        <v>1.9695024381947985</v>
      </c>
      <c r="AB19">
        <v>1.9807798088649144</v>
      </c>
      <c r="AC19">
        <v>1.9918669166430356</v>
      </c>
      <c r="AD19">
        <v>2.0027665273805169</v>
      </c>
      <c r="AE19">
        <v>2.0134784767854015</v>
      </c>
      <c r="AF19">
        <v>2.0240045539075422</v>
      </c>
      <c r="AG19">
        <v>2.0289531072174758</v>
      </c>
      <c r="AH19">
        <v>2.0376116136422215</v>
      </c>
      <c r="AI19">
        <v>2.0458375607185317</v>
      </c>
      <c r="AJ19">
        <v>2.0534290365866137</v>
      </c>
      <c r="AK19">
        <v>2.0616246140451153</v>
      </c>
      <c r="AL19">
        <v>2.069627963887362</v>
      </c>
      <c r="AM19">
        <v>2.0775016248001528</v>
      </c>
      <c r="AN19">
        <v>2.085367638183198</v>
      </c>
      <c r="AO19">
        <v>2.093068343915037</v>
      </c>
      <c r="AP19">
        <v>2.100728684693173</v>
      </c>
      <c r="AQ19">
        <v>2.1082544776534831</v>
      </c>
      <c r="AR19">
        <v>2.1156103963042847</v>
      </c>
      <c r="AS19">
        <v>2.1227927693822859</v>
      </c>
      <c r="AT19">
        <v>2.1297646745019838</v>
      </c>
      <c r="AU19">
        <v>2.1365041603714583</v>
      </c>
    </row>
    <row r="20" spans="1:47" customFormat="1" x14ac:dyDescent="0.2">
      <c r="A20" t="s">
        <v>200</v>
      </c>
      <c r="B20" t="s">
        <v>197</v>
      </c>
      <c r="C20" t="s">
        <v>232</v>
      </c>
      <c r="M20">
        <v>1.5299276939296438E-2</v>
      </c>
      <c r="N20">
        <v>1.6064240786261261E-2</v>
      </c>
      <c r="O20">
        <v>1.6867452825574326E-2</v>
      </c>
      <c r="P20">
        <v>1.7710825466853042E-2</v>
      </c>
      <c r="Q20">
        <v>1.8596366740195696E-2</v>
      </c>
      <c r="R20">
        <v>1.9526185077205483E-2</v>
      </c>
      <c r="S20">
        <v>2.0502494331065758E-2</v>
      </c>
      <c r="T20">
        <v>2.1527619047619045E-2</v>
      </c>
      <c r="U20">
        <v>2.2603999999999999E-2</v>
      </c>
      <c r="V20">
        <v>2.4299299999999999E-2</v>
      </c>
      <c r="W20">
        <v>2.6121747499999997E-2</v>
      </c>
      <c r="X20">
        <v>2.8080878562499995E-2</v>
      </c>
      <c r="Y20">
        <v>3.0186944454687496E-2</v>
      </c>
      <c r="Z20">
        <v>3.2450965288789053E-2</v>
      </c>
      <c r="AA20">
        <v>3.4884787685448233E-2</v>
      </c>
      <c r="AB20">
        <v>3.7501146761856848E-2</v>
      </c>
      <c r="AC20">
        <v>4.0313732768996108E-2</v>
      </c>
      <c r="AD20">
        <v>4.3337262726670815E-2</v>
      </c>
      <c r="AE20">
        <v>4.6587557431171121E-2</v>
      </c>
      <c r="AF20">
        <v>5.0081624238508954E-2</v>
      </c>
      <c r="AG20">
        <v>5.3837746056397122E-2</v>
      </c>
      <c r="AH20">
        <v>5.7875577010626907E-2</v>
      </c>
      <c r="AI20">
        <v>6.2216245286423916E-2</v>
      </c>
      <c r="AJ20">
        <v>6.6882463682905707E-2</v>
      </c>
      <c r="AK20">
        <v>7.1898648459123637E-2</v>
      </c>
      <c r="AL20">
        <v>7.7291047093557913E-2</v>
      </c>
      <c r="AM20">
        <v>8.3087875625574736E-2</v>
      </c>
      <c r="AN20">
        <v>8.931946629749285E-2</v>
      </c>
      <c r="AO20">
        <v>9.6018426269804807E-2</v>
      </c>
      <c r="AP20">
        <v>0.10321980824004016</v>
      </c>
      <c r="AQ20">
        <v>0.11096129385804317</v>
      </c>
      <c r="AR20">
        <v>0.1192833908973964</v>
      </c>
      <c r="AS20">
        <v>0.12822964521470112</v>
      </c>
      <c r="AT20">
        <v>0.1378468686058037</v>
      </c>
      <c r="AU20">
        <v>0.14818538375123896</v>
      </c>
    </row>
    <row r="21" spans="1:47" customFormat="1" x14ac:dyDescent="0.2">
      <c r="A21" t="s">
        <v>200</v>
      </c>
      <c r="B21" t="s">
        <v>197</v>
      </c>
      <c r="C21" t="s">
        <v>231</v>
      </c>
      <c r="M21">
        <v>0.18247222515920009</v>
      </c>
      <c r="N21">
        <v>0.18321629956385821</v>
      </c>
      <c r="O21">
        <v>0.18233644268219629</v>
      </c>
      <c r="P21">
        <v>0.16410013521622874</v>
      </c>
      <c r="Q21">
        <v>0.15570539547935403</v>
      </c>
      <c r="R21">
        <v>0.16266705647928137</v>
      </c>
      <c r="S21">
        <v>0.15493135535896554</v>
      </c>
      <c r="T21">
        <v>0.15001017615701001</v>
      </c>
      <c r="U21">
        <v>0.14524531137366686</v>
      </c>
      <c r="V21">
        <v>0.1383250381611443</v>
      </c>
      <c r="W21">
        <v>0.13173448424133444</v>
      </c>
      <c r="X21">
        <v>0.12545794000153143</v>
      </c>
      <c r="Y21">
        <v>0.11948044432005453</v>
      </c>
      <c r="Z21">
        <v>0.11378774890408207</v>
      </c>
      <c r="AA21">
        <v>0.10836628432662426</v>
      </c>
      <c r="AB21">
        <v>0.10320312768167866</v>
      </c>
      <c r="AC21">
        <v>9.8285971780468967E-2</v>
      </c>
      <c r="AD21">
        <v>9.3603095815342E-2</v>
      </c>
      <c r="AE21">
        <v>8.9143337421395435E-2</v>
      </c>
      <c r="AF21">
        <v>8.4896066069240869E-2</v>
      </c>
      <c r="AG21">
        <v>8.085115772547985E-2</v>
      </c>
      <c r="AH21">
        <v>7.6998970720491861E-2</v>
      </c>
      <c r="AI21">
        <v>7.3330322766011743E-2</v>
      </c>
      <c r="AJ21">
        <v>6.9836469067714207E-2</v>
      </c>
      <c r="AK21">
        <v>6.6509081480633142E-2</v>
      </c>
      <c r="AL21">
        <v>6.3340228657729897E-2</v>
      </c>
      <c r="AM21">
        <v>6.0322357144291065E-2</v>
      </c>
      <c r="AN21">
        <v>5.7448273373091691E-2</v>
      </c>
      <c r="AO21">
        <v>5.4711126517406283E-2</v>
      </c>
      <c r="AP21">
        <v>5.2104392160995369E-2</v>
      </c>
      <c r="AQ21">
        <v>4.9621856746142182E-2</v>
      </c>
      <c r="AR21">
        <v>4.7257602762669236E-2</v>
      </c>
      <c r="AS21">
        <v>4.5005994642630297E-2</v>
      </c>
      <c r="AT21">
        <v>4.2861665327055605E-2</v>
      </c>
      <c r="AU21">
        <v>4.0819503472730119E-2</v>
      </c>
    </row>
    <row r="22" spans="1:47" customFormat="1" x14ac:dyDescent="0.2">
      <c r="A22" t="s">
        <v>200</v>
      </c>
      <c r="B22" t="s">
        <v>197</v>
      </c>
      <c r="C22" t="s">
        <v>215</v>
      </c>
      <c r="M22">
        <v>0.51290125250851482</v>
      </c>
      <c r="N22">
        <v>0.51432309769999995</v>
      </c>
      <c r="O22">
        <v>0.51662174841999986</v>
      </c>
      <c r="P22">
        <v>0.51924531189869605</v>
      </c>
      <c r="Q22">
        <v>0.52152704129844829</v>
      </c>
      <c r="R22">
        <v>0.52380861005101986</v>
      </c>
      <c r="S22">
        <v>0.52609001817337675</v>
      </c>
      <c r="T22">
        <v>0.52847553201301189</v>
      </c>
      <c r="U22">
        <v>0.53087186277766452</v>
      </c>
      <c r="V22">
        <v>0.53448265788491445</v>
      </c>
      <c r="W22">
        <v>0.53811801229210221</v>
      </c>
      <c r="X22">
        <v>0.54177809304255098</v>
      </c>
      <c r="Y22">
        <v>0.54546306831575075</v>
      </c>
      <c r="Z22">
        <v>0.54917310743508707</v>
      </c>
      <c r="AA22">
        <v>0.55290838087562044</v>
      </c>
      <c r="AB22">
        <v>0.55666906027192009</v>
      </c>
      <c r="AC22">
        <v>0.56045531842595053</v>
      </c>
      <c r="AD22">
        <v>0.56426732931501167</v>
      </c>
      <c r="AE22">
        <v>0.56810526809973294</v>
      </c>
      <c r="AF22">
        <v>0.5719693111321219</v>
      </c>
      <c r="AG22">
        <v>0.57585963596366785</v>
      </c>
      <c r="AH22">
        <v>0.5797764213534996</v>
      </c>
      <c r="AI22">
        <v>0.58371984727660009</v>
      </c>
      <c r="AJ22">
        <v>0.58769009493207569</v>
      </c>
      <c r="AK22">
        <v>0.59168734675148271</v>
      </c>
      <c r="AL22">
        <v>0.59571178640720934</v>
      </c>
      <c r="AM22">
        <v>0.59976359882091623</v>
      </c>
      <c r="AN22">
        <v>0.60384297017203292</v>
      </c>
      <c r="AO22">
        <v>0.607950087906313</v>
      </c>
      <c r="AP22">
        <v>0.61208514074444698</v>
      </c>
      <c r="AQ22">
        <v>0.61624831869073438</v>
      </c>
      <c r="AR22">
        <v>0.6204398130418135</v>
      </c>
      <c r="AS22">
        <v>0.62465981639545276</v>
      </c>
      <c r="AT22">
        <v>0.62890852265939912</v>
      </c>
      <c r="AU22">
        <v>0.63318612706028887</v>
      </c>
    </row>
    <row r="23" spans="1:47" customFormat="1" x14ac:dyDescent="0.2">
      <c r="A23" t="s">
        <v>200</v>
      </c>
      <c r="B23" t="s">
        <v>197</v>
      </c>
      <c r="C23" t="s">
        <v>217</v>
      </c>
      <c r="M23">
        <v>0.107614692</v>
      </c>
      <c r="N23">
        <v>0.125550474</v>
      </c>
      <c r="O23">
        <v>0.14348625600000001</v>
      </c>
      <c r="P23">
        <v>0.16142203799999999</v>
      </c>
      <c r="Q23">
        <v>0.17935782</v>
      </c>
      <c r="R23">
        <v>0.18356680996194</v>
      </c>
      <c r="S23">
        <v>0.18775837450061092</v>
      </c>
      <c r="T23">
        <v>0.19192679817289898</v>
      </c>
      <c r="U23">
        <v>0.19606627535589205</v>
      </c>
      <c r="V23">
        <v>0.20240941149620587</v>
      </c>
      <c r="W23">
        <v>0.2089577607769311</v>
      </c>
      <c r="X23">
        <v>0.21571796225358636</v>
      </c>
      <c r="Y23">
        <v>0.22269686976841438</v>
      </c>
      <c r="Z23">
        <v>0.22990155889916211</v>
      </c>
      <c r="AA23">
        <v>0.23733933413266778</v>
      </c>
      <c r="AB23">
        <v>0.24501773627052781</v>
      </c>
      <c r="AC23">
        <v>0.2529445500743519</v>
      </c>
      <c r="AD23">
        <v>0.26112781215835734</v>
      </c>
      <c r="AE23">
        <v>0.2695758191373045</v>
      </c>
      <c r="AF23">
        <v>0.27829713603803458</v>
      </c>
      <c r="AG23">
        <v>0.28730060498313703</v>
      </c>
      <c r="AH23">
        <v>0.29659535415555149</v>
      </c>
      <c r="AI23">
        <v>0.3061908070531919</v>
      </c>
      <c r="AJ23">
        <v>0.31609669204297675</v>
      </c>
      <c r="AK23">
        <v>0.32632305222395108</v>
      </c>
      <c r="AL23">
        <v>0.33688025560950036</v>
      </c>
      <c r="AM23">
        <v>0.34777900563897884</v>
      </c>
      <c r="AN23">
        <v>0.35903035202941108</v>
      </c>
      <c r="AO23">
        <v>0.37064570197826652</v>
      </c>
      <c r="AP23">
        <v>0.38263683172866736</v>
      </c>
      <c r="AQ23">
        <v>0.39501589850875324</v>
      </c>
      <c r="AR23">
        <v>0.40779545285730839</v>
      </c>
      <c r="AS23">
        <v>0.420988451348148</v>
      </c>
      <c r="AT23">
        <v>0.43460826972616323</v>
      </c>
      <c r="AU23">
        <v>0.44866871646834405</v>
      </c>
    </row>
    <row r="24" spans="1:47" customFormat="1" x14ac:dyDescent="0.2">
      <c r="A24" t="s">
        <v>200</v>
      </c>
      <c r="B24" t="s">
        <v>197</v>
      </c>
      <c r="C24" t="s">
        <v>218</v>
      </c>
      <c r="M24">
        <v>0</v>
      </c>
      <c r="N24">
        <v>0</v>
      </c>
      <c r="O24">
        <v>0</v>
      </c>
      <c r="P24">
        <v>0</v>
      </c>
      <c r="Q24">
        <v>0</v>
      </c>
      <c r="R24">
        <v>0</v>
      </c>
      <c r="S24">
        <v>0</v>
      </c>
      <c r="T24">
        <v>0</v>
      </c>
      <c r="U24">
        <v>0</v>
      </c>
      <c r="V24">
        <v>1.9126060025680053E-3</v>
      </c>
      <c r="W24">
        <v>3.900534194621985E-3</v>
      </c>
      <c r="X24">
        <v>5.9683627372300544E-3</v>
      </c>
      <c r="Y24">
        <v>8.1208254598315981E-3</v>
      </c>
      <c r="Z24">
        <v>1.0362787605848746E-2</v>
      </c>
      <c r="AA24">
        <v>1.2699267861239554E-2</v>
      </c>
      <c r="AB24">
        <v>1.513542465774159E-2</v>
      </c>
      <c r="AC24">
        <v>1.767657321566489E-2</v>
      </c>
      <c r="AD24">
        <v>2.0328192569574924E-2</v>
      </c>
      <c r="AE24">
        <v>2.3095985746539024E-2</v>
      </c>
      <c r="AF24">
        <v>2.5985832035943693E-2</v>
      </c>
      <c r="AG24">
        <v>2.9003858427162167E-2</v>
      </c>
      <c r="AH24">
        <v>3.2156455118394107E-2</v>
      </c>
      <c r="AI24">
        <v>3.5450301488061491E-2</v>
      </c>
      <c r="AJ24">
        <v>3.8892440098212563E-2</v>
      </c>
      <c r="AK24">
        <v>4.2490287374601178E-2</v>
      </c>
      <c r="AL24">
        <v>4.6251651932929176E-2</v>
      </c>
      <c r="AM24">
        <v>5.0184742379364676E-2</v>
      </c>
      <c r="AN24">
        <v>5.4298241598774506E-2</v>
      </c>
      <c r="AO24">
        <v>5.8601290468118093E-2</v>
      </c>
      <c r="AP24">
        <v>6.3103538966452641E-2</v>
      </c>
      <c r="AQ24">
        <v>6.7815125748133753E-2</v>
      </c>
      <c r="AR24">
        <v>7.2746781478159356E-2</v>
      </c>
      <c r="AS24">
        <v>7.7909797750258469E-2</v>
      </c>
      <c r="AT24">
        <v>8.3316125226238977E-2</v>
      </c>
      <c r="AU24">
        <v>8.8978369851701725E-2</v>
      </c>
    </row>
    <row r="25" spans="1:47" customFormat="1" x14ac:dyDescent="0.2">
      <c r="A25" t="s">
        <v>200</v>
      </c>
      <c r="B25" t="s">
        <v>197</v>
      </c>
      <c r="C25" t="s">
        <v>221</v>
      </c>
      <c r="M25">
        <v>0.281321188</v>
      </c>
      <c r="N25">
        <v>0.31217860800000002</v>
      </c>
      <c r="O25">
        <v>0.33080467200000008</v>
      </c>
      <c r="P25">
        <v>0.36399035000000007</v>
      </c>
      <c r="Q25">
        <v>0.39872820000000003</v>
      </c>
      <c r="R25">
        <v>0.41406390000000004</v>
      </c>
      <c r="S25">
        <v>0.42939960000000005</v>
      </c>
      <c r="T25">
        <v>0.4447353</v>
      </c>
      <c r="U25">
        <v>0.46007100000000001</v>
      </c>
      <c r="V25">
        <v>0.47387313000000003</v>
      </c>
      <c r="W25">
        <v>0.48808932390000004</v>
      </c>
      <c r="X25">
        <v>0.50273200361699999</v>
      </c>
      <c r="Y25">
        <v>0.51781396372551003</v>
      </c>
      <c r="Z25">
        <v>0.53334838263727524</v>
      </c>
      <c r="AA25">
        <v>0.54934883411639357</v>
      </c>
      <c r="AB25">
        <v>0.56582929913988533</v>
      </c>
      <c r="AC25">
        <v>0.58280417811408192</v>
      </c>
      <c r="AD25">
        <v>0.6002883034575045</v>
      </c>
      <c r="AE25">
        <v>0.61829695256122963</v>
      </c>
      <c r="AF25">
        <v>0.62757140684964796</v>
      </c>
      <c r="AG25">
        <v>0.63698497795239262</v>
      </c>
      <c r="AH25">
        <v>0.64653975262167851</v>
      </c>
      <c r="AI25">
        <v>0.65623784891100367</v>
      </c>
      <c r="AJ25">
        <v>0.66608141664466869</v>
      </c>
      <c r="AK25">
        <v>0.67607263789433869</v>
      </c>
      <c r="AL25">
        <v>0.68621372746275366</v>
      </c>
      <c r="AM25">
        <v>0.69650693337469494</v>
      </c>
      <c r="AN25">
        <v>0.70695453737531522</v>
      </c>
      <c r="AO25">
        <v>0.71755885543594489</v>
      </c>
      <c r="AP25">
        <v>0.72832223826748399</v>
      </c>
      <c r="AQ25">
        <v>0.73924707184149618</v>
      </c>
      <c r="AR25">
        <v>0.75033577791911854</v>
      </c>
      <c r="AS25">
        <v>0.76159081458790523</v>
      </c>
      <c r="AT25">
        <v>0.77301467680672364</v>
      </c>
      <c r="AU25">
        <v>0.78460989695882444</v>
      </c>
    </row>
    <row r="26" spans="1:47" customFormat="1" x14ac:dyDescent="0.2">
      <c r="A26" t="s">
        <v>200</v>
      </c>
      <c r="B26" t="s">
        <v>197</v>
      </c>
      <c r="C26" t="s">
        <v>227</v>
      </c>
      <c r="M26">
        <v>3.283771428571429E-2</v>
      </c>
      <c r="N26">
        <v>3.4684785714285717E-2</v>
      </c>
      <c r="O26">
        <v>3.6531857142857144E-2</v>
      </c>
      <c r="P26">
        <v>3.8378928571428571E-2</v>
      </c>
      <c r="Q26">
        <v>4.0225999999999998E-2</v>
      </c>
      <c r="R26">
        <v>4.2161965855519672E-2</v>
      </c>
      <c r="S26">
        <v>4.4191104380301466E-2</v>
      </c>
      <c r="T26">
        <v>4.6317899716600615E-2</v>
      </c>
      <c r="U26">
        <v>4.8547051816007047E-2</v>
      </c>
      <c r="V26">
        <v>5.2051704330622006E-2</v>
      </c>
      <c r="W26">
        <v>5.5809360658830999E-2</v>
      </c>
      <c r="X26">
        <v>5.9838285358796692E-2</v>
      </c>
      <c r="Y26">
        <v>6.4158061522502002E-2</v>
      </c>
      <c r="Z26">
        <v>6.8789685961815936E-2</v>
      </c>
      <c r="AA26">
        <v>7.3755671266121495E-2</v>
      </c>
      <c r="AB26">
        <v>7.908015522756974E-2</v>
      </c>
      <c r="AC26">
        <v>8.4789018165834965E-2</v>
      </c>
      <c r="AD26">
        <v>9.091000872264253E-2</v>
      </c>
      <c r="AE26">
        <v>9.7472878737509719E-2</v>
      </c>
      <c r="AF26">
        <v>0.10450952786027964</v>
      </c>
      <c r="AG26">
        <v>0.11205415860335567</v>
      </c>
      <c r="AH26">
        <v>0.12014344258728707</v>
      </c>
      <c r="AI26">
        <v>0.12881669878776347</v>
      </c>
      <c r="AJ26">
        <v>0.13811608465040975</v>
      </c>
      <c r="AK26">
        <v>0.14808680100231869</v>
      </c>
      <c r="AL26">
        <v>0.15877731175631954</v>
      </c>
      <c r="AM26">
        <v>0.17023957947588292</v>
      </c>
      <c r="AN26">
        <v>0.18252931794565389</v>
      </c>
      <c r="AO26">
        <v>0.19570626297526464</v>
      </c>
      <c r="AP26">
        <v>0.20983446275270212</v>
      </c>
      <c r="AQ26">
        <v>0.2249825891585297</v>
      </c>
      <c r="AR26">
        <v>0.24122427155414419</v>
      </c>
      <c r="AS26">
        <v>0.25863845466648805</v>
      </c>
      <c r="AT26">
        <v>0.2773097823087603</v>
      </c>
      <c r="AU26">
        <v>0.29732900880224788</v>
      </c>
    </row>
    <row r="27" spans="1:47" customFormat="1" x14ac:dyDescent="0.2">
      <c r="A27" t="s">
        <v>200</v>
      </c>
      <c r="B27" t="s">
        <v>197</v>
      </c>
      <c r="C27" t="s">
        <v>239</v>
      </c>
      <c r="M27">
        <v>2.7281694739324392E-2</v>
      </c>
      <c r="N27">
        <v>2.7556333548122557E-2</v>
      </c>
      <c r="O27">
        <v>2.7830972356920711E-2</v>
      </c>
      <c r="P27">
        <v>2.8105611165718841E-2</v>
      </c>
      <c r="Q27">
        <v>2.8380521894129655E-2</v>
      </c>
      <c r="R27">
        <v>2.8655160702927784E-2</v>
      </c>
      <c r="S27">
        <v>2.8929799511725942E-2</v>
      </c>
      <c r="T27">
        <v>2.9212595991944763E-2</v>
      </c>
      <c r="U27">
        <v>2.9498156882929599E-2</v>
      </c>
      <c r="V27">
        <v>2.9252407710599036E-2</v>
      </c>
      <c r="W27">
        <v>2.950936471398621E-2</v>
      </c>
      <c r="X27">
        <v>2.9766746816552687E-2</v>
      </c>
      <c r="Y27">
        <v>3.0024384326428542E-2</v>
      </c>
      <c r="Z27">
        <v>3.0282088731408186E-2</v>
      </c>
      <c r="AA27">
        <v>3.0539650531524257E-2</v>
      </c>
      <c r="AB27">
        <v>3.0796836791903683E-2</v>
      </c>
      <c r="AC27">
        <v>3.1053388376644352E-2</v>
      </c>
      <c r="AD27">
        <v>3.1309016818635113E-2</v>
      </c>
      <c r="AE27">
        <v>3.1563400773535026E-2</v>
      </c>
      <c r="AF27">
        <v>3.1816181998390682E-2</v>
      </c>
      <c r="AG27">
        <v>3.2066960786440252E-2</v>
      </c>
      <c r="AH27">
        <v>3.2315290779343898E-2</v>
      </c>
      <c r="AI27">
        <v>3.2560673066173405E-2</v>
      </c>
      <c r="AJ27">
        <v>3.280254946473888E-2</v>
      </c>
      <c r="AK27">
        <v>3.3040294864933845E-2</v>
      </c>
      <c r="AL27">
        <v>3.3273208495404695E-2</v>
      </c>
      <c r="AM27">
        <v>3.3500503953601886E-2</v>
      </c>
      <c r="AN27">
        <v>3.3721297814693726E-2</v>
      </c>
      <c r="AO27">
        <v>3.3934596606390421E-2</v>
      </c>
      <c r="AP27">
        <v>3.4139281903821289E-2</v>
      </c>
      <c r="AQ27">
        <v>3.4334093260521885E-2</v>
      </c>
      <c r="AR27">
        <v>3.4517608647491003E-2</v>
      </c>
      <c r="AS27">
        <v>3.4688222021213702E-2</v>
      </c>
      <c r="AT27">
        <v>3.4844117582399414E-2</v>
      </c>
      <c r="AU27">
        <v>3.4983807383671531E-2</v>
      </c>
    </row>
    <row r="28" spans="1:47" customFormat="1" x14ac:dyDescent="0.2">
      <c r="A28" t="s">
        <v>200</v>
      </c>
      <c r="B28" t="s">
        <v>197</v>
      </c>
      <c r="C28" t="s">
        <v>228</v>
      </c>
      <c r="M28">
        <v>9.3133999999999995E-2</v>
      </c>
      <c r="N28">
        <v>9.2904E-2</v>
      </c>
      <c r="O28">
        <v>9.5586000000000004E-2</v>
      </c>
      <c r="P28">
        <v>9.8329E-2</v>
      </c>
      <c r="Q28">
        <v>0.101009</v>
      </c>
      <c r="R28">
        <v>0.103688</v>
      </c>
      <c r="S28">
        <v>0.106368</v>
      </c>
      <c r="T28">
        <v>0.10928655266094953</v>
      </c>
      <c r="U28">
        <v>0.11228518532372983</v>
      </c>
      <c r="V28">
        <v>0.11690655020431115</v>
      </c>
      <c r="W28">
        <v>0.12171811838996691</v>
      </c>
      <c r="X28">
        <v>0.12672771815182396</v>
      </c>
      <c r="Y28">
        <v>0.13194349995219723</v>
      </c>
      <c r="Z28">
        <v>0.13737394970513719</v>
      </c>
      <c r="AA28">
        <v>0.14302790258274714</v>
      </c>
      <c r="AB28">
        <v>0.14891455738973192</v>
      </c>
      <c r="AC28">
        <v>0.15504349152956612</v>
      </c>
      <c r="AD28">
        <v>0.16142467658663009</v>
      </c>
      <c r="AE28">
        <v>0.16806849454966633</v>
      </c>
      <c r="AF28">
        <v>0.17498575470295083</v>
      </c>
      <c r="AG28">
        <v>0.18218771121266086</v>
      </c>
      <c r="AH28">
        <v>0.18968608143705187</v>
      </c>
      <c r="AI28">
        <v>0.19749306499023322</v>
      </c>
      <c r="AJ28">
        <v>0.2056213635905593</v>
      </c>
      <c r="AK28">
        <v>0.21408420172592846</v>
      </c>
      <c r="AL28">
        <v>0.22289534816961168</v>
      </c>
      <c r="AM28">
        <v>0.23206913838161658</v>
      </c>
      <c r="AN28">
        <v>0.24162049783203302</v>
      </c>
      <c r="AO28">
        <v>0.25156496628430669</v>
      </c>
      <c r="AP28">
        <v>0.26191872307794872</v>
      </c>
      <c r="AQ28">
        <v>0.27269861345181562</v>
      </c>
      <c r="AR28">
        <v>0.28392217595078678</v>
      </c>
      <c r="AS28">
        <v>0.295607670960429</v>
      </c>
      <c r="AT28">
        <v>0.30777411041607333</v>
      </c>
      <c r="AU28">
        <v>0.32044128873464012</v>
      </c>
    </row>
    <row r="29" spans="1:47" customFormat="1" x14ac:dyDescent="0.2">
      <c r="A29" t="s">
        <v>200</v>
      </c>
      <c r="B29" t="s">
        <v>197</v>
      </c>
      <c r="C29" t="s">
        <v>229</v>
      </c>
      <c r="M29">
        <v>4.7725099999999999E-2</v>
      </c>
      <c r="N29">
        <v>7.7063027999999992E-2</v>
      </c>
      <c r="O29">
        <v>0.10460454744</v>
      </c>
      <c r="P29">
        <v>0.13915894649119998</v>
      </c>
      <c r="Q29">
        <v>0.16771239756137599</v>
      </c>
      <c r="R29">
        <v>0.19823743961014845</v>
      </c>
      <c r="S29">
        <v>0.2200448508179455</v>
      </c>
      <c r="T29">
        <v>0.22972966380158658</v>
      </c>
      <c r="U29">
        <v>0.23697689052555487</v>
      </c>
      <c r="V29">
        <v>0.24819067040203838</v>
      </c>
      <c r="W29">
        <v>0.25993508792356546</v>
      </c>
      <c r="X29">
        <v>0.27223525293832634</v>
      </c>
      <c r="Y29">
        <v>0.28511746349606842</v>
      </c>
      <c r="Z29">
        <v>0.29860926207396166</v>
      </c>
      <c r="AA29">
        <v>0.3127394944630793</v>
      </c>
      <c r="AB29">
        <v>0.32753837144139603</v>
      </c>
      <c r="AC29">
        <v>0.34303753336516019</v>
      </c>
      <c r="AD29">
        <v>0.35927011781673968</v>
      </c>
      <c r="AE29">
        <v>0.37627083045357279</v>
      </c>
      <c r="AF29">
        <v>0.39407601920970176</v>
      </c>
      <c r="AG29">
        <v>0.41272375200853323</v>
      </c>
      <c r="AH29">
        <v>0.43225389815297754</v>
      </c>
      <c r="AI29">
        <v>0.45270821356698071</v>
      </c>
      <c r="AJ29">
        <v>0.47413043007069827</v>
      </c>
      <c r="AK29">
        <v>0.49656634888018203</v>
      </c>
      <c r="AL29">
        <v>0.52006393853148603</v>
      </c>
      <c r="AM29">
        <v>0.54467343743855456</v>
      </c>
      <c r="AN29">
        <v>0.57044746130416402</v>
      </c>
      <c r="AO29">
        <v>0.59744111561356561</v>
      </c>
      <c r="AP29">
        <v>0.62571211345134348</v>
      </c>
      <c r="AQ29">
        <v>0.65532089889338219</v>
      </c>
      <c r="AR29">
        <v>0.68633077623776084</v>
      </c>
      <c r="AS29">
        <v>0.71880804535087028</v>
      </c>
      <c r="AT29">
        <v>0.75282214341812803</v>
      </c>
      <c r="AU29">
        <v>0.78844579340235743</v>
      </c>
    </row>
    <row r="30" spans="1:47" customFormat="1" x14ac:dyDescent="0.2">
      <c r="A30" t="s">
        <v>200</v>
      </c>
      <c r="B30" t="s">
        <v>197</v>
      </c>
      <c r="C30" t="s">
        <v>230</v>
      </c>
      <c r="M30">
        <v>3.3599030877837159E-2</v>
      </c>
      <c r="N30">
        <v>5.1793193024933959E-2</v>
      </c>
      <c r="O30">
        <v>5.3120981281217686E-2</v>
      </c>
      <c r="P30">
        <v>5.7737627975641137E-2</v>
      </c>
      <c r="Q30">
        <v>6.3140493962240918E-2</v>
      </c>
      <c r="R30">
        <v>6.5683281398873E-2</v>
      </c>
      <c r="S30">
        <v>6.9705795777030219E-2</v>
      </c>
      <c r="T30">
        <v>7.5215147393457485E-2</v>
      </c>
      <c r="U30">
        <v>8.0844440534799805E-2</v>
      </c>
      <c r="V30">
        <v>8.7958642028764147E-2</v>
      </c>
      <c r="W30">
        <v>9.5391421545042709E-2</v>
      </c>
      <c r="X30">
        <v>0.1031585287209161</v>
      </c>
      <c r="Y30">
        <v>0.11127654726360944</v>
      </c>
      <c r="Z30">
        <v>0.11976294099836386</v>
      </c>
      <c r="AA30">
        <v>0.12863610251810584</v>
      </c>
      <c r="AB30">
        <v>0.13791540458349727</v>
      </c>
      <c r="AC30">
        <v>0.14762125443071045</v>
      </c>
      <c r="AD30">
        <v>0.15777515115332907</v>
      </c>
      <c r="AE30">
        <v>0.16839974633435453</v>
      </c>
      <c r="AF30">
        <v>0.17951890811443058</v>
      </c>
      <c r="AG30">
        <v>0.19115778889311491</v>
      </c>
      <c r="AH30">
        <v>0.20334289687136398</v>
      </c>
      <c r="AI30">
        <v>0.21610217165538703</v>
      </c>
      <c r="AJ30">
        <v>0.22946506415470999</v>
      </c>
      <c r="AK30">
        <v>0.24346262102070462</v>
      </c>
      <c r="AL30">
        <v>0.25812757388603097</v>
      </c>
      <c r="AM30">
        <v>0.27349443368045018</v>
      </c>
      <c r="AN30">
        <v>0.28959959031434485</v>
      </c>
      <c r="AO30">
        <v>0.30648141803807816</v>
      </c>
      <c r="AP30">
        <v>0.32418038680308947</v>
      </c>
      <c r="AQ30">
        <v>0.34273917996941683</v>
      </c>
      <c r="AR30">
        <v>0.3622028187242155</v>
      </c>
      <c r="AS30">
        <v>0.38261879359686818</v>
      </c>
      <c r="AT30">
        <v>0.40403720347852701</v>
      </c>
      <c r="AU30">
        <v>0.42651090257745311</v>
      </c>
    </row>
    <row r="31" spans="1:47" customFormat="1" x14ac:dyDescent="0.2">
      <c r="A31" t="s">
        <v>200</v>
      </c>
      <c r="B31" t="s">
        <v>197</v>
      </c>
      <c r="C31" t="s">
        <v>233</v>
      </c>
      <c r="M31">
        <v>2.6297999999999998E-2</v>
      </c>
      <c r="N31">
        <v>2.1950000000000001E-2</v>
      </c>
      <c r="O31">
        <v>1.2829E-2</v>
      </c>
      <c r="P31">
        <v>4.6375E-2</v>
      </c>
      <c r="Q31">
        <v>7.8057000000000001E-2</v>
      </c>
      <c r="R31">
        <v>1.0018000000000001E-2</v>
      </c>
      <c r="S31">
        <v>2.1877000000000001E-2</v>
      </c>
      <c r="T31">
        <v>3.7680999999999999E-2</v>
      </c>
      <c r="U31">
        <v>0.19394</v>
      </c>
      <c r="V31">
        <v>4.8394916666666662E-2</v>
      </c>
      <c r="W31">
        <v>4.6943069166666664E-2</v>
      </c>
      <c r="X31">
        <v>4.5534777091666666E-2</v>
      </c>
      <c r="Y31">
        <v>4.4168733778916662E-2</v>
      </c>
      <c r="Z31">
        <v>4.2843671765549159E-2</v>
      </c>
      <c r="AA31">
        <v>4.1558361612582681E-2</v>
      </c>
      <c r="AB31">
        <v>4.0311610764205204E-2</v>
      </c>
      <c r="AC31">
        <v>3.9102262441279047E-2</v>
      </c>
      <c r="AD31">
        <v>3.7929194568040669E-2</v>
      </c>
      <c r="AE31">
        <v>3.6791318730999452E-2</v>
      </c>
      <c r="AF31">
        <v>3.5687579169069471E-2</v>
      </c>
      <c r="AG31">
        <v>3.4616951793997382E-2</v>
      </c>
      <c r="AH31">
        <v>3.3578443240177461E-2</v>
      </c>
      <c r="AI31">
        <v>3.2571089942972135E-2</v>
      </c>
      <c r="AJ31">
        <v>3.1593957244682967E-2</v>
      </c>
      <c r="AK31">
        <v>3.0646138527342479E-2</v>
      </c>
      <c r="AL31">
        <v>2.9726754371522203E-2</v>
      </c>
      <c r="AM31">
        <v>2.8834951740376535E-2</v>
      </c>
      <c r="AN31">
        <v>2.7969903188165238E-2</v>
      </c>
      <c r="AO31">
        <v>2.713080609252028E-2</v>
      </c>
      <c r="AP31">
        <v>2.6316881909744672E-2</v>
      </c>
      <c r="AQ31">
        <v>2.5527375452452331E-2</v>
      </c>
      <c r="AR31">
        <v>2.4761554188878761E-2</v>
      </c>
      <c r="AS31">
        <v>2.4018707563212401E-2</v>
      </c>
      <c r="AT31">
        <v>2.3298146336316026E-2</v>
      </c>
      <c r="AU31">
        <v>2.2599201946226544E-2</v>
      </c>
    </row>
    <row r="32" spans="1:47" customFormat="1" x14ac:dyDescent="0.2">
      <c r="A32" t="s">
        <v>200</v>
      </c>
      <c r="B32" t="s">
        <v>197</v>
      </c>
      <c r="C32" t="s">
        <v>234</v>
      </c>
      <c r="M32">
        <v>0.2</v>
      </c>
      <c r="N32">
        <v>0.21500000000000002</v>
      </c>
      <c r="O32">
        <v>0.23000000000000004</v>
      </c>
      <c r="P32">
        <v>0.24500000000000005</v>
      </c>
      <c r="Q32">
        <v>0.26000000000000006</v>
      </c>
      <c r="R32">
        <v>0.27500000000000008</v>
      </c>
      <c r="S32">
        <v>0.29000000000000009</v>
      </c>
      <c r="T32">
        <v>0.3050000000000001</v>
      </c>
      <c r="U32">
        <v>0.32000000000000012</v>
      </c>
      <c r="V32">
        <v>0.33733333333333343</v>
      </c>
      <c r="W32">
        <v>0.3570000000000001</v>
      </c>
      <c r="X32">
        <v>0.37900000000000011</v>
      </c>
      <c r="Y32">
        <v>0.40276000000000012</v>
      </c>
      <c r="Z32">
        <v>0.4284208000000001</v>
      </c>
      <c r="AA32">
        <v>0.45613446400000013</v>
      </c>
      <c r="AB32">
        <v>0.48606522112000011</v>
      </c>
      <c r="AC32">
        <v>0.51839043880960012</v>
      </c>
      <c r="AD32">
        <v>0.55330167391436813</v>
      </c>
      <c r="AE32">
        <v>0.59100580782751755</v>
      </c>
      <c r="AF32">
        <v>0.63172627245371893</v>
      </c>
      <c r="AG32">
        <v>0.67570437425001639</v>
      </c>
      <c r="AH32">
        <v>0.72320072419001769</v>
      </c>
      <c r="AI32">
        <v>0.77449678212521911</v>
      </c>
      <c r="AJ32">
        <v>0.82989652469523667</v>
      </c>
      <c r="AK32">
        <v>0.88972824667085559</v>
      </c>
      <c r="AL32">
        <v>0.95434650640452412</v>
      </c>
      <c r="AM32">
        <v>1.024134226916886</v>
      </c>
      <c r="AN32">
        <v>1.0995049650702371</v>
      </c>
      <c r="AO32">
        <v>1.1809053622758561</v>
      </c>
      <c r="AP32">
        <v>1.2688177912579246</v>
      </c>
      <c r="AQ32">
        <v>1.3637632145585585</v>
      </c>
      <c r="AR32">
        <v>1.4663042717232433</v>
      </c>
      <c r="AS32">
        <v>1.5770486134611028</v>
      </c>
      <c r="AT32">
        <v>1.696652502537991</v>
      </c>
      <c r="AU32">
        <v>1.8258247027410304</v>
      </c>
    </row>
    <row r="33" spans="1:66" x14ac:dyDescent="0.2">
      <c r="A33" t="s">
        <v>200</v>
      </c>
      <c r="B33" t="s">
        <v>197</v>
      </c>
      <c r="C33" t="s">
        <v>252</v>
      </c>
      <c r="D33"/>
      <c r="E33"/>
      <c r="F33"/>
      <c r="G33"/>
      <c r="H33"/>
      <c r="I33"/>
      <c r="J33"/>
      <c r="K33"/>
      <c r="L33"/>
      <c r="M33">
        <v>0.16449805299999898</v>
      </c>
      <c r="N33">
        <v>0.16607177199999998</v>
      </c>
      <c r="O33">
        <v>0.16764548599999898</v>
      </c>
      <c r="P33">
        <v>0.16921920400000001</v>
      </c>
      <c r="Q33">
        <v>0.17079298799999887</v>
      </c>
      <c r="R33">
        <v>0.17236669699999999</v>
      </c>
      <c r="S33">
        <v>0.17394042099999896</v>
      </c>
      <c r="T33">
        <v>0.17556150565772374</v>
      </c>
      <c r="U33">
        <v>0.17719873686815388</v>
      </c>
      <c r="V33">
        <v>0.17714177928123714</v>
      </c>
      <c r="W33">
        <v>0.17708511250535791</v>
      </c>
      <c r="X33">
        <v>0.17702873838575192</v>
      </c>
      <c r="Y33">
        <v>0.17697265879394447</v>
      </c>
      <c r="Z33">
        <v>0.17691687562802316</v>
      </c>
      <c r="AA33">
        <v>0.1768613908129133</v>
      </c>
      <c r="AB33">
        <v>0.1768062063006566</v>
      </c>
      <c r="AC33">
        <v>0.17675132407069388</v>
      </c>
      <c r="AD33">
        <v>0.1766967461301496</v>
      </c>
      <c r="AE33">
        <v>0.17664247451412146</v>
      </c>
      <c r="AF33">
        <v>0.17658851128597197</v>
      </c>
      <c r="AG33">
        <v>0.17653485853762441</v>
      </c>
      <c r="AH33">
        <v>0.17648151838986129</v>
      </c>
      <c r="AI33">
        <v>0.17642849299262744</v>
      </c>
      <c r="AJ33">
        <v>0.17637578452533575</v>
      </c>
      <c r="AK33">
        <v>0.17632339519717655</v>
      </c>
      <c r="AL33">
        <v>0.17627132724743119</v>
      </c>
      <c r="AM33">
        <v>0.17621958294578863</v>
      </c>
      <c r="AN33">
        <v>0.17616816459266627</v>
      </c>
      <c r="AO33">
        <v>0.17611707451953376</v>
      </c>
      <c r="AP33">
        <v>0.17606631508924142</v>
      </c>
      <c r="AQ33">
        <v>0.17601588869635204</v>
      </c>
      <c r="AR33">
        <v>0.17596579776747634</v>
      </c>
      <c r="AS33">
        <v>0.17591604476161307</v>
      </c>
      <c r="AT33">
        <v>0.17586663217049214</v>
      </c>
      <c r="AU33">
        <v>0.17581756251892208</v>
      </c>
      <c r="AV33"/>
      <c r="AW33" s="89"/>
      <c r="AX33" s="89"/>
      <c r="AY33" s="89"/>
      <c r="AZ33" s="89"/>
      <c r="BA33" s="89"/>
      <c r="BB33" s="89"/>
      <c r="BC33" s="89"/>
      <c r="BD33" s="89"/>
      <c r="BE33" s="89"/>
      <c r="BF33" s="89"/>
      <c r="BG33" s="89"/>
      <c r="BH33" s="89"/>
      <c r="BI33" s="89"/>
      <c r="BJ33" s="89"/>
      <c r="BK33" s="89"/>
      <c r="BL33" s="89"/>
      <c r="BM33" s="89"/>
      <c r="BN33" s="89"/>
    </row>
    <row r="34" spans="1:66" x14ac:dyDescent="0.2">
      <c r="A34" t="s">
        <v>200</v>
      </c>
      <c r="B34" t="s">
        <v>197</v>
      </c>
      <c r="C34" t="s">
        <v>253</v>
      </c>
      <c r="D34"/>
      <c r="E34"/>
      <c r="F34"/>
      <c r="G34"/>
      <c r="H34"/>
      <c r="I34"/>
      <c r="J34"/>
      <c r="K34"/>
      <c r="L34"/>
      <c r="M34">
        <v>5.736248779999998E-3</v>
      </c>
      <c r="N34">
        <v>5.8276596899999988E-3</v>
      </c>
      <c r="O34">
        <v>5.9190698299999879E-3</v>
      </c>
      <c r="P34">
        <v>6.0104797399999884E-3</v>
      </c>
      <c r="Q34">
        <v>6.1018922699999983E-3</v>
      </c>
      <c r="R34">
        <v>6.0776549599999875E-3</v>
      </c>
      <c r="S34">
        <v>6.169066019999999E-3</v>
      </c>
      <c r="T34">
        <v>6.2410355927507927E-3</v>
      </c>
      <c r="U34">
        <v>6.3140359191809145E-3</v>
      </c>
      <c r="V34">
        <v>6.384247503591828E-3</v>
      </c>
      <c r="W34">
        <v>6.4590359089995546E-3</v>
      </c>
      <c r="X34">
        <v>6.534874626807634E-3</v>
      </c>
      <c r="Y34">
        <v>6.6117774915476239E-3</v>
      </c>
      <c r="Z34">
        <v>6.6897582699196982E-3</v>
      </c>
      <c r="AA34">
        <v>6.76883061809673E-3</v>
      </c>
      <c r="AB34">
        <v>6.849008032077197E-3</v>
      </c>
      <c r="AC34">
        <v>6.930303789996272E-3</v>
      </c>
      <c r="AD34">
        <v>7.0127308851304655E-3</v>
      </c>
      <c r="AE34">
        <v>7.0963019481290919E-3</v>
      </c>
      <c r="AF34">
        <v>7.1810291567710226E-3</v>
      </c>
      <c r="AG34">
        <v>7.2669241312724132E-3</v>
      </c>
      <c r="AH34">
        <v>7.3539978128541912E-3</v>
      </c>
      <c r="AI34">
        <v>7.4422603229097233E-3</v>
      </c>
      <c r="AJ34">
        <v>7.5317207996851085E-3</v>
      </c>
      <c r="AK34">
        <v>7.6223872088870713E-3</v>
      </c>
      <c r="AL34">
        <v>7.7142661240551438E-3</v>
      </c>
      <c r="AM34">
        <v>7.8073624718627476E-3</v>
      </c>
      <c r="AN34">
        <v>7.9016792367303627E-3</v>
      </c>
      <c r="AO34">
        <v>7.9972171182255292E-3</v>
      </c>
      <c r="AP34">
        <v>8.0939741336682868E-3</v>
      </c>
      <c r="AQ34">
        <v>8.1919451571325873E-3</v>
      </c>
      <c r="AR34">
        <v>8.291121384606321E-3</v>
      </c>
      <c r="AS34">
        <v>8.3914897134120883E-3</v>
      </c>
      <c r="AT34">
        <v>8.4930320220600406E-3</v>
      </c>
      <c r="AU34">
        <v>8.5957462292290572E-3</v>
      </c>
      <c r="AV34"/>
      <c r="AW34" s="89"/>
      <c r="AX34" s="89"/>
      <c r="AY34" s="89"/>
      <c r="AZ34" s="89"/>
      <c r="BA34" s="89"/>
      <c r="BB34" s="89"/>
      <c r="BC34" s="89"/>
      <c r="BD34" s="89"/>
      <c r="BE34" s="89"/>
      <c r="BF34" s="89"/>
      <c r="BG34" s="89"/>
      <c r="BH34" s="89"/>
      <c r="BI34" s="89"/>
      <c r="BJ34" s="89"/>
      <c r="BK34" s="89"/>
      <c r="BL34" s="89"/>
      <c r="BM34" s="89"/>
      <c r="BN34" s="89"/>
    </row>
    <row r="35" spans="1:66" x14ac:dyDescent="0.2">
      <c r="A35" t="s">
        <v>200</v>
      </c>
      <c r="B35" t="s">
        <v>197</v>
      </c>
      <c r="C35" t="s">
        <v>254</v>
      </c>
      <c r="D35"/>
      <c r="E35"/>
      <c r="F35"/>
      <c r="G35"/>
      <c r="H35"/>
      <c r="I35"/>
      <c r="J35"/>
      <c r="K35"/>
      <c r="L35"/>
      <c r="M35">
        <v>5.8287042471584364E-4</v>
      </c>
      <c r="N35">
        <v>5.9087619360240456E-4</v>
      </c>
      <c r="O35">
        <v>5.9888189544564775E-4</v>
      </c>
      <c r="P35">
        <v>6.0688752289494465E-4</v>
      </c>
      <c r="Q35">
        <v>6.1489428894403759E-4</v>
      </c>
      <c r="R35">
        <v>6.157245813312093E-4</v>
      </c>
      <c r="S35">
        <v>6.2373036330437689E-4</v>
      </c>
      <c r="T35">
        <v>6.3060611884576561E-4</v>
      </c>
      <c r="U35">
        <v>6.3757181839150319E-4</v>
      </c>
      <c r="V35">
        <v>6.4301851449426574E-4</v>
      </c>
      <c r="W35">
        <v>6.500728134791996E-4</v>
      </c>
      <c r="X35">
        <v>6.5721488241511313E-4</v>
      </c>
      <c r="Y35">
        <v>6.6444562390184344E-4</v>
      </c>
      <c r="Z35">
        <v>6.7176592715454157E-4</v>
      </c>
      <c r="AA35">
        <v>6.7917666524121864E-4</v>
      </c>
      <c r="AB35">
        <v>6.8667869201620164E-4</v>
      </c>
      <c r="AC35">
        <v>6.942728387168925E-4</v>
      </c>
      <c r="AD35">
        <v>7.0195991018769512E-4</v>
      </c>
      <c r="AE35">
        <v>7.0974068069100675E-4</v>
      </c>
      <c r="AF35">
        <v>7.1761588926079847E-4</v>
      </c>
      <c r="AG35">
        <v>7.2558623454943821E-4</v>
      </c>
      <c r="AH35">
        <v>7.336523691129995E-4</v>
      </c>
      <c r="AI35">
        <v>7.4181489307429045E-4</v>
      </c>
      <c r="AJ35">
        <v>7.5007434709616885E-4</v>
      </c>
      <c r="AK35">
        <v>7.5843120459028856E-4</v>
      </c>
      <c r="AL35">
        <v>7.6688586307818089E-4</v>
      </c>
      <c r="AM35">
        <v>7.7543863461243068E-4</v>
      </c>
      <c r="AN35">
        <v>7.8408973515552117E-4</v>
      </c>
      <c r="AO35">
        <v>7.928392728026296E-4</v>
      </c>
      <c r="AP35">
        <v>8.0168723472208198E-4</v>
      </c>
      <c r="AQ35">
        <v>8.106334726732282E-4</v>
      </c>
      <c r="AR35">
        <v>8.1967768694596679E-4</v>
      </c>
      <c r="AS35">
        <v>8.2881940854891893E-4</v>
      </c>
      <c r="AT35">
        <v>8.3805797945407504E-4</v>
      </c>
      <c r="AU35">
        <v>8.4739235752003342E-4</v>
      </c>
      <c r="AV35"/>
      <c r="AW35" s="89"/>
      <c r="AX35" s="89"/>
      <c r="AY35" s="89"/>
      <c r="AZ35" s="89"/>
      <c r="BA35" s="89"/>
      <c r="BB35" s="89"/>
      <c r="BC35" s="89"/>
      <c r="BD35" s="89"/>
      <c r="BE35" s="89"/>
      <c r="BF35" s="89"/>
      <c r="BG35" s="89"/>
      <c r="BH35" s="89"/>
      <c r="BI35" s="89"/>
      <c r="BJ35" s="89"/>
      <c r="BK35" s="89"/>
      <c r="BL35" s="89"/>
      <c r="BM35" s="89"/>
      <c r="BN35" s="89"/>
    </row>
    <row r="36" spans="1:66" x14ac:dyDescent="0.2">
      <c r="A36" t="s">
        <v>200</v>
      </c>
      <c r="B36" t="s">
        <v>197</v>
      </c>
      <c r="C36" t="s">
        <v>255</v>
      </c>
      <c r="D36"/>
      <c r="E36"/>
      <c r="F36"/>
      <c r="G36"/>
      <c r="H36"/>
      <c r="I36"/>
      <c r="J36"/>
      <c r="K36"/>
      <c r="L36"/>
      <c r="M36">
        <v>2.4318044889599995E-2</v>
      </c>
      <c r="N36">
        <v>2.1588905082359996E-2</v>
      </c>
      <c r="O36">
        <v>2.0536795494599996E-2</v>
      </c>
      <c r="P36">
        <v>2.1539472163439995E-2</v>
      </c>
      <c r="Q36">
        <v>2.217029523324E-2</v>
      </c>
      <c r="R36">
        <v>2.2801118303039998E-2</v>
      </c>
      <c r="S36">
        <v>2.343194137284E-2</v>
      </c>
      <c r="T36">
        <v>2.343194137284E-2</v>
      </c>
      <c r="U36">
        <v>2.343194137284E-2</v>
      </c>
      <c r="V36">
        <v>2.343194137284E-2</v>
      </c>
      <c r="W36">
        <v>2.343194137284E-2</v>
      </c>
      <c r="X36">
        <v>2.343194137284E-2</v>
      </c>
      <c r="Y36">
        <v>2.343194137284E-2</v>
      </c>
      <c r="Z36">
        <v>2.343194137284E-2</v>
      </c>
      <c r="AA36">
        <v>2.343194137284E-2</v>
      </c>
      <c r="AB36">
        <v>2.343194137284E-2</v>
      </c>
      <c r="AC36">
        <v>2.343194137284E-2</v>
      </c>
      <c r="AD36">
        <v>2.343194137284E-2</v>
      </c>
      <c r="AE36">
        <v>2.343194137284E-2</v>
      </c>
      <c r="AF36">
        <v>2.343194137284E-2</v>
      </c>
      <c r="AG36">
        <v>2.343194137284E-2</v>
      </c>
      <c r="AH36">
        <v>2.343194137284E-2</v>
      </c>
      <c r="AI36">
        <v>2.343194137284E-2</v>
      </c>
      <c r="AJ36">
        <v>2.343194137284E-2</v>
      </c>
      <c r="AK36">
        <v>2.343194137284E-2</v>
      </c>
      <c r="AL36">
        <v>2.343194137284E-2</v>
      </c>
      <c r="AM36">
        <v>2.343194137284E-2</v>
      </c>
      <c r="AN36">
        <v>2.343194137284E-2</v>
      </c>
      <c r="AO36">
        <v>2.343194137284E-2</v>
      </c>
      <c r="AP36">
        <v>2.343194137284E-2</v>
      </c>
      <c r="AQ36">
        <v>2.343194137284E-2</v>
      </c>
      <c r="AR36">
        <v>2.343194137284E-2</v>
      </c>
      <c r="AS36">
        <v>2.343194137284E-2</v>
      </c>
      <c r="AT36">
        <v>2.343194137284E-2</v>
      </c>
      <c r="AU36">
        <v>2.343194137284E-2</v>
      </c>
      <c r="AV36"/>
      <c r="AW36" s="89"/>
      <c r="AX36" s="89"/>
      <c r="AY36" s="89"/>
      <c r="AZ36" s="89"/>
      <c r="BA36" s="89"/>
      <c r="BB36" s="89"/>
      <c r="BC36" s="89"/>
      <c r="BD36" s="89"/>
      <c r="BE36" s="89"/>
      <c r="BF36" s="89"/>
      <c r="BG36" s="89"/>
      <c r="BH36" s="89"/>
      <c r="BI36" s="89"/>
      <c r="BJ36" s="89"/>
      <c r="BK36" s="89"/>
      <c r="BL36" s="89"/>
      <c r="BM36" s="89"/>
      <c r="BN36" s="89"/>
    </row>
    <row r="37" spans="1:66" x14ac:dyDescent="0.2">
      <c r="A37" t="s">
        <v>200</v>
      </c>
      <c r="B37" t="s">
        <v>197</v>
      </c>
      <c r="C37" t="s">
        <v>256</v>
      </c>
      <c r="D37"/>
      <c r="E37"/>
      <c r="F37"/>
      <c r="G37"/>
      <c r="H37"/>
      <c r="I37"/>
      <c r="J37"/>
      <c r="K37"/>
      <c r="L37"/>
      <c r="M37">
        <v>1.2999609535184147</v>
      </c>
      <c r="N37">
        <v>1.3479312594206967</v>
      </c>
      <c r="O37">
        <v>1.4618460805703406</v>
      </c>
      <c r="P37">
        <v>1.2765589335144492</v>
      </c>
      <c r="Q37">
        <v>0.96133845439089527</v>
      </c>
      <c r="R37">
        <v>0.92920382177658423</v>
      </c>
      <c r="S37">
        <v>0.85540137999395005</v>
      </c>
      <c r="T37">
        <v>0.85540137999395005</v>
      </c>
      <c r="U37">
        <v>0.85540137999395005</v>
      </c>
      <c r="V37">
        <v>0.85540137999395005</v>
      </c>
      <c r="W37">
        <v>0.85540137999395005</v>
      </c>
      <c r="X37">
        <v>0.85540137999395005</v>
      </c>
      <c r="Y37">
        <v>0.85540137999395005</v>
      </c>
      <c r="Z37">
        <v>0.85540137999395005</v>
      </c>
      <c r="AA37">
        <v>0.85540137999395005</v>
      </c>
      <c r="AB37">
        <v>0.85540137999395005</v>
      </c>
      <c r="AC37">
        <v>0.85540137999395005</v>
      </c>
      <c r="AD37">
        <v>0.85540137999395005</v>
      </c>
      <c r="AE37">
        <v>0.85540137999395005</v>
      </c>
      <c r="AF37">
        <v>0.85540137999395005</v>
      </c>
      <c r="AG37">
        <v>0.85540137999395005</v>
      </c>
      <c r="AH37">
        <v>0.85540137999395005</v>
      </c>
      <c r="AI37">
        <v>0.85540137999395005</v>
      </c>
      <c r="AJ37">
        <v>0.85540137999395005</v>
      </c>
      <c r="AK37">
        <v>0.85540137999395005</v>
      </c>
      <c r="AL37">
        <v>0.85540137999395005</v>
      </c>
      <c r="AM37">
        <v>0.85540137999395005</v>
      </c>
      <c r="AN37">
        <v>0.85540137999395005</v>
      </c>
      <c r="AO37">
        <v>0.85540137999395005</v>
      </c>
      <c r="AP37">
        <v>0.85540137999395005</v>
      </c>
      <c r="AQ37">
        <v>0.85540137999395005</v>
      </c>
      <c r="AR37">
        <v>0.85540137999395005</v>
      </c>
      <c r="AS37">
        <v>0.85540137999395005</v>
      </c>
      <c r="AT37">
        <v>0.85540137999395005</v>
      </c>
      <c r="AU37">
        <v>0.85540137999395005</v>
      </c>
      <c r="AV37"/>
    </row>
    <row r="38" spans="1:66" x14ac:dyDescent="0.2">
      <c r="A38" t="s">
        <v>200</v>
      </c>
      <c r="B38" t="s">
        <v>197</v>
      </c>
      <c r="C38" t="s">
        <v>257</v>
      </c>
      <c r="D38"/>
      <c r="E38"/>
      <c r="F38"/>
      <c r="G38"/>
      <c r="H38"/>
      <c r="I38"/>
      <c r="J38"/>
      <c r="K38"/>
      <c r="L38"/>
      <c r="M38">
        <v>0.83922000000000008</v>
      </c>
      <c r="N38">
        <v>0.61200999999999994</v>
      </c>
      <c r="O38">
        <v>0.39856999999999998</v>
      </c>
      <c r="P38">
        <v>0.53533000000000008</v>
      </c>
      <c r="Q38">
        <v>0.58240999999999998</v>
      </c>
      <c r="R38">
        <v>0.40493000000000001</v>
      </c>
      <c r="S38">
        <v>0.41620999999999997</v>
      </c>
      <c r="T38">
        <v>0.41620999999999997</v>
      </c>
      <c r="U38">
        <v>0.41620999999999997</v>
      </c>
      <c r="V38">
        <v>0.41620999999999997</v>
      </c>
      <c r="W38">
        <v>0.41620999999999997</v>
      </c>
      <c r="X38">
        <v>0.41620999999999997</v>
      </c>
      <c r="Y38">
        <v>0.41620999999999997</v>
      </c>
      <c r="Z38">
        <v>0.41620999999999997</v>
      </c>
      <c r="AA38">
        <v>0.41620999999999997</v>
      </c>
      <c r="AB38">
        <v>0.41620999999999997</v>
      </c>
      <c r="AC38">
        <v>0.41620999999999997</v>
      </c>
      <c r="AD38">
        <v>0.41620999999999997</v>
      </c>
      <c r="AE38">
        <v>0.41620999999999997</v>
      </c>
      <c r="AF38">
        <v>0.41620999999999997</v>
      </c>
      <c r="AG38">
        <v>0.41620999999999997</v>
      </c>
      <c r="AH38">
        <v>0.41620999999999997</v>
      </c>
      <c r="AI38">
        <v>0.41620999999999997</v>
      </c>
      <c r="AJ38">
        <v>0.41620999999999997</v>
      </c>
      <c r="AK38">
        <v>0.41620999999999997</v>
      </c>
      <c r="AL38">
        <v>0.41620999999999997</v>
      </c>
      <c r="AM38">
        <v>0.41620999999999997</v>
      </c>
      <c r="AN38">
        <v>0.41620999999999997</v>
      </c>
      <c r="AO38">
        <v>0.41620999999999997</v>
      </c>
      <c r="AP38">
        <v>0.41620999999999997</v>
      </c>
      <c r="AQ38">
        <v>0.41620999999999997</v>
      </c>
      <c r="AR38">
        <v>0.41620999999999997</v>
      </c>
      <c r="AS38">
        <v>0.41620999999999997</v>
      </c>
      <c r="AT38">
        <v>0.41620999999999997</v>
      </c>
      <c r="AU38">
        <v>0.41620999999999997</v>
      </c>
      <c r="AV38"/>
    </row>
    <row r="39" spans="1:66" x14ac:dyDescent="0.2">
      <c r="O39" s="89"/>
    </row>
    <row r="40" spans="1:66" x14ac:dyDescent="0.2">
      <c r="O40" s="89"/>
    </row>
    <row r="41" spans="1:66" x14ac:dyDescent="0.2">
      <c r="O41" s="89"/>
    </row>
    <row r="42" spans="1:66" x14ac:dyDescent="0.2">
      <c r="O42" s="89"/>
    </row>
    <row r="43" spans="1:66" x14ac:dyDescent="0.2">
      <c r="O43" s="89"/>
    </row>
    <row r="44" spans="1:66" x14ac:dyDescent="0.2">
      <c r="O44" s="89"/>
    </row>
    <row r="45" spans="1:66" x14ac:dyDescent="0.2">
      <c r="O45" s="89"/>
    </row>
    <row r="46" spans="1:66" x14ac:dyDescent="0.2">
      <c r="O46" s="89"/>
    </row>
    <row r="47" spans="1:66" x14ac:dyDescent="0.2">
      <c r="O47" s="89"/>
    </row>
    <row r="48" spans="1:66" x14ac:dyDescent="0.2">
      <c r="O48" s="89"/>
    </row>
    <row r="49" spans="15:15" x14ac:dyDescent="0.2">
      <c r="O49" s="89"/>
    </row>
    <row r="50" spans="15:15" x14ac:dyDescent="0.2">
      <c r="O50" s="89"/>
    </row>
  </sheetData>
  <phoneticPr fontId="11" type="noConversion"/>
  <hyperlinks>
    <hyperlink ref="A1" location="Content!A1" display="Back to table of contents" xr:uid="{29DAD720-472E-B345-82E2-79558F867327}"/>
    <hyperlink ref="B1" location="Parameters!A1" display="Parameters List" xr:uid="{1D79DE08-9102-7640-8272-8289CF769B3F}"/>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V39"/>
  <sheetViews>
    <sheetView zoomScale="85" zoomScaleNormal="85" workbookViewId="0">
      <selection activeCell="D32" sqref="D32"/>
    </sheetView>
  </sheetViews>
  <sheetFormatPr baseColWidth="10" defaultColWidth="9.1640625" defaultRowHeight="15" x14ac:dyDescent="0.2"/>
  <cols>
    <col min="1" max="1" width="16.5" customWidth="1"/>
    <col min="2" max="2" width="15.5" customWidth="1"/>
    <col min="3" max="3" width="13.5" customWidth="1"/>
    <col min="6" max="6" width="10.1640625" customWidth="1"/>
    <col min="8" max="8" width="21.1640625" customWidth="1"/>
    <col min="9" max="9" width="9.5" customWidth="1"/>
    <col min="10" max="10" width="18.5" customWidth="1"/>
    <col min="11" max="11" width="9.1640625" customWidth="1"/>
    <col min="12" max="14" width="8.5" customWidth="1"/>
    <col min="15" max="47" width="6.5" customWidth="1"/>
    <col min="48" max="48" width="6.83203125" customWidth="1"/>
  </cols>
  <sheetData>
    <row r="1" spans="1:48" ht="16" thickBot="1" x14ac:dyDescent="0.25">
      <c r="A1" s="68" t="s">
        <v>174</v>
      </c>
      <c r="B1" s="69" t="s">
        <v>175</v>
      </c>
      <c r="C1" s="69"/>
      <c r="D1" s="21"/>
      <c r="E1" s="21"/>
      <c r="F1" s="22"/>
      <c r="G1" s="22"/>
      <c r="H1" s="22"/>
      <c r="I1" s="22"/>
      <c r="J1" s="22"/>
      <c r="K1" s="22"/>
      <c r="L1" s="22"/>
    </row>
    <row r="2" spans="1:48" ht="16" thickBot="1" x14ac:dyDescent="0.25">
      <c r="A2" s="70" t="s">
        <v>111</v>
      </c>
      <c r="B2" s="71" t="s">
        <v>131</v>
      </c>
      <c r="C2" s="71" t="s">
        <v>116</v>
      </c>
      <c r="D2" s="71" t="s">
        <v>134</v>
      </c>
      <c r="E2" s="71" t="s">
        <v>137</v>
      </c>
      <c r="F2" s="71" t="s">
        <v>125</v>
      </c>
      <c r="G2" s="71" t="s">
        <v>143</v>
      </c>
      <c r="H2" s="71" t="s">
        <v>128</v>
      </c>
      <c r="I2" s="71" t="s">
        <v>119</v>
      </c>
      <c r="J2" s="71" t="s">
        <v>140</v>
      </c>
      <c r="K2" s="71" t="s">
        <v>122</v>
      </c>
      <c r="L2" s="71" t="s">
        <v>131</v>
      </c>
      <c r="M2" s="71">
        <v>2016</v>
      </c>
      <c r="N2" s="71">
        <v>2017</v>
      </c>
      <c r="O2" s="71">
        <v>2018</v>
      </c>
      <c r="P2" s="71">
        <v>2019</v>
      </c>
      <c r="Q2" s="71">
        <v>2020</v>
      </c>
      <c r="R2" s="71">
        <v>2021</v>
      </c>
      <c r="S2" s="71">
        <v>2022</v>
      </c>
      <c r="T2" s="71">
        <v>2023</v>
      </c>
      <c r="U2" s="71">
        <v>2024</v>
      </c>
      <c r="V2" s="71">
        <v>2025</v>
      </c>
      <c r="W2" s="71">
        <v>2026</v>
      </c>
      <c r="X2" s="71">
        <v>2027</v>
      </c>
      <c r="Y2" s="71">
        <v>2028</v>
      </c>
      <c r="Z2" s="71">
        <v>2029</v>
      </c>
      <c r="AA2" s="71">
        <v>2030</v>
      </c>
      <c r="AB2" s="71">
        <v>2031</v>
      </c>
      <c r="AC2" s="71">
        <v>2032</v>
      </c>
      <c r="AD2" s="71">
        <v>2033</v>
      </c>
      <c r="AE2" s="71">
        <v>2034</v>
      </c>
      <c r="AF2" s="71">
        <v>2035</v>
      </c>
      <c r="AG2" s="71">
        <v>2036</v>
      </c>
      <c r="AH2" s="71">
        <v>2037</v>
      </c>
      <c r="AI2" s="71">
        <v>2038</v>
      </c>
      <c r="AJ2" s="71">
        <v>2039</v>
      </c>
      <c r="AK2" s="71">
        <v>2040</v>
      </c>
      <c r="AL2" s="71">
        <v>2041</v>
      </c>
      <c r="AM2" s="71">
        <v>2042</v>
      </c>
      <c r="AN2" s="71">
        <v>2043</v>
      </c>
      <c r="AO2" s="71">
        <v>2044</v>
      </c>
      <c r="AP2" s="71">
        <v>2045</v>
      </c>
      <c r="AQ2" s="71">
        <v>2046</v>
      </c>
      <c r="AR2" s="71">
        <v>2047</v>
      </c>
      <c r="AS2" s="71">
        <v>2048</v>
      </c>
      <c r="AT2" s="71">
        <v>2049</v>
      </c>
      <c r="AU2" s="71">
        <v>2050</v>
      </c>
      <c r="AV2" s="72" t="s">
        <v>170</v>
      </c>
    </row>
    <row r="3" spans="1:48" x14ac:dyDescent="0.2">
      <c r="A3" s="64" t="s">
        <v>186</v>
      </c>
      <c r="B3" s="22"/>
      <c r="C3" s="22"/>
      <c r="D3" s="22"/>
      <c r="E3" s="22"/>
      <c r="F3" s="22"/>
      <c r="G3" s="22"/>
      <c r="H3" s="22"/>
      <c r="I3" s="22" t="s">
        <v>199</v>
      </c>
      <c r="J3" s="22"/>
      <c r="K3" s="22"/>
      <c r="L3" s="22"/>
      <c r="M3" s="22">
        <v>1</v>
      </c>
      <c r="N3" s="22">
        <v>1</v>
      </c>
      <c r="O3" s="22">
        <v>1</v>
      </c>
      <c r="P3" s="22">
        <v>1</v>
      </c>
      <c r="Q3" s="22">
        <v>1</v>
      </c>
      <c r="R3" s="22">
        <v>1</v>
      </c>
      <c r="S3" s="22">
        <v>1</v>
      </c>
      <c r="T3" s="22">
        <v>1</v>
      </c>
      <c r="U3" s="22">
        <v>1</v>
      </c>
      <c r="V3" s="22">
        <v>1</v>
      </c>
      <c r="W3" s="22">
        <v>1</v>
      </c>
      <c r="X3" s="22">
        <v>1</v>
      </c>
      <c r="Y3" s="22">
        <v>1</v>
      </c>
      <c r="Z3" s="22">
        <v>1</v>
      </c>
      <c r="AA3" s="22">
        <v>1</v>
      </c>
      <c r="AB3" s="22">
        <v>1</v>
      </c>
      <c r="AC3" s="22">
        <v>1</v>
      </c>
      <c r="AD3" s="22">
        <v>1</v>
      </c>
      <c r="AE3" s="22">
        <v>1</v>
      </c>
      <c r="AF3" s="22">
        <v>1</v>
      </c>
      <c r="AG3" s="22">
        <v>1</v>
      </c>
      <c r="AH3" s="22">
        <v>1</v>
      </c>
      <c r="AI3" s="22">
        <v>1</v>
      </c>
      <c r="AJ3" s="22">
        <v>1</v>
      </c>
      <c r="AK3" s="22">
        <v>1</v>
      </c>
      <c r="AL3" s="22">
        <v>1</v>
      </c>
      <c r="AM3" s="22">
        <v>1</v>
      </c>
      <c r="AN3" s="22">
        <v>1</v>
      </c>
      <c r="AO3" s="22">
        <v>1</v>
      </c>
      <c r="AP3" s="22">
        <v>1</v>
      </c>
      <c r="AQ3" s="22">
        <v>1</v>
      </c>
      <c r="AR3" s="22">
        <v>1</v>
      </c>
      <c r="AS3" s="22">
        <v>1</v>
      </c>
      <c r="AT3" s="22">
        <v>1</v>
      </c>
      <c r="AU3" s="22">
        <v>1</v>
      </c>
      <c r="AV3" s="65"/>
    </row>
    <row r="27" spans="15:47" x14ac:dyDescent="0.2">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row>
    <row r="39" spans="15:47" x14ac:dyDescent="0.2">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row>
  </sheetData>
  <phoneticPr fontId="11" type="noConversion"/>
  <hyperlinks>
    <hyperlink ref="A1" location="Content!A1" display="Back to table of contents" xr:uid="{00000000-0004-0000-1500-000000000000}"/>
    <hyperlink ref="B1" location="Parameters!A1" display="Parameters List" xr:uid="{00000000-0004-0000-1500-00000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b4b13fe-0218-45f0-9474-10fbfc8ffc07">
      <Terms xmlns="http://schemas.microsoft.com/office/infopath/2007/PartnerControls"/>
    </lcf76f155ced4ddcb4097134ff3c332f>
    <TaxCatchAll xmlns="91aae848-11ce-4a29-86ed-f19c4bd1a77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DA328C4E73E6444AD0EEE0F2F633553" ma:contentTypeVersion="13" ma:contentTypeDescription="Crear nuevo documento." ma:contentTypeScope="" ma:versionID="6dc683e511bb8f911fda97571a1377d4">
  <xsd:schema xmlns:xsd="http://www.w3.org/2001/XMLSchema" xmlns:xs="http://www.w3.org/2001/XMLSchema" xmlns:p="http://schemas.microsoft.com/office/2006/metadata/properties" xmlns:ns2="0b4b13fe-0218-45f0-9474-10fbfc8ffc07" xmlns:ns3="91aae848-11ce-4a29-86ed-f19c4bd1a778" targetNamespace="http://schemas.microsoft.com/office/2006/metadata/properties" ma:root="true" ma:fieldsID="63bdca6f3a3c91153dc5303d9b4b3ee9" ns2:_="" ns3:_="">
    <xsd:import namespace="0b4b13fe-0218-45f0-9474-10fbfc8ffc07"/>
    <xsd:import namespace="91aae848-11ce-4a29-86ed-f19c4bd1a7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b13fe-0218-45f0-9474-10fbfc8ffc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71f7bd95-1200-4052-9a4e-dfdf006e181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aae848-11ce-4a29-86ed-f19c4bd1a77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65747d2-66b6-4563-8f7b-1a6180f74c1f}" ma:internalName="TaxCatchAll" ma:showField="CatchAllData" ma:web="91aae848-11ce-4a29-86ed-f19c4bd1a7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A58988-7DF5-4A5B-87DB-B7D45DC4C404}">
  <ds:schemaRefs>
    <ds:schemaRef ds:uri="http://schemas.microsoft.com/sharepoint/v3/contenttype/forms"/>
  </ds:schemaRefs>
</ds:datastoreItem>
</file>

<file path=customXml/itemProps2.xml><?xml version="1.0" encoding="utf-8"?>
<ds:datastoreItem xmlns:ds="http://schemas.openxmlformats.org/officeDocument/2006/customXml" ds:itemID="{169CF74B-7070-48EF-8619-EF5FAFE47949}">
  <ds:schemaRefs>
    <ds:schemaRef ds:uri="http://purl.org/dc/dcmitype/"/>
    <ds:schemaRef ds:uri="http://purl.org/dc/terms/"/>
    <ds:schemaRef ds:uri="http://schemas.microsoft.com/office/infopath/2007/PartnerControls"/>
    <ds:schemaRef ds:uri="http://www.w3.org/XML/1998/namespace"/>
    <ds:schemaRef ds:uri="http://purl.org/dc/elements/1.1/"/>
    <ds:schemaRef ds:uri="http://schemas.microsoft.com/office/2006/documentManagement/types"/>
    <ds:schemaRef ds:uri="http://schemas.openxmlformats.org/package/2006/metadata/core-properties"/>
    <ds:schemaRef ds:uri="6fc9572b-1b61-40fb-9916-eca0b7947562"/>
    <ds:schemaRef ds:uri="af41f1fb-15aa-4771-aa5c-e7828d4fd535"/>
    <ds:schemaRef ds:uri="http://schemas.microsoft.com/office/2006/metadata/properties"/>
  </ds:schemaRefs>
</ds:datastoreItem>
</file>

<file path=customXml/itemProps3.xml><?xml version="1.0" encoding="utf-8"?>
<ds:datastoreItem xmlns:ds="http://schemas.openxmlformats.org/officeDocument/2006/customXml" ds:itemID="{96B9DB06-CD45-49A1-81E8-2D586120768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Content</vt:lpstr>
      <vt:lpstr>Structure</vt:lpstr>
      <vt:lpstr>Sets</vt:lpstr>
      <vt:lpstr>Sets_Land</vt:lpstr>
      <vt:lpstr>Parameters</vt:lpstr>
      <vt:lpstr>AccumulatedAnnualDemand</vt:lpstr>
      <vt:lpstr>EmissionActivityRatio</vt:lpstr>
      <vt:lpstr>EmissionsPenalty</vt:lpstr>
      <vt:lpstr>CapitalCost</vt:lpstr>
      <vt:lpstr>VariableCost</vt:lpstr>
      <vt:lpstr>FixedCost</vt:lpstr>
      <vt:lpstr>InputActivityRatio</vt:lpstr>
      <vt:lpstr>OperationalLife</vt:lpstr>
      <vt:lpstr>OutputActivityRatio</vt:lpstr>
      <vt:lpstr>ResidualCapacity</vt:lpstr>
      <vt:lpstr>SpecifiedAnnualDemand</vt:lpstr>
      <vt:lpstr>SpecifiedDemandProfile</vt:lpstr>
      <vt:lpstr>TotalAnnualMaxCapacity</vt:lpstr>
      <vt:lpstr>TotalTechnologyAnnualActivityLo</vt:lpstr>
      <vt:lpstr>TotalTechnologyAnnualActivityUp</vt:lpstr>
      <vt:lpstr>YearSplit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EPERLAB1707</dc:creator>
  <cp:lastModifiedBy>LEONARDO  CASTELLANOS, LUIS RODRIGO</cp:lastModifiedBy>
  <dcterms:created xsi:type="dcterms:W3CDTF">2019-06-24T16:06:44Z</dcterms:created>
  <dcterms:modified xsi:type="dcterms:W3CDTF">2025-11-25T20:50:13Z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0x0101004DA328C4E73E6444AD0EEE0F2F633553</vt:lpwstr>
  </property>
  <property fmtid="{D5CDD505-2E9C-101B-9397-08002B2CF9AE}" pid="3" name="MediaServiceImageTags">
    <vt:lpwstr/>
  </property>
</Properties>
</file>