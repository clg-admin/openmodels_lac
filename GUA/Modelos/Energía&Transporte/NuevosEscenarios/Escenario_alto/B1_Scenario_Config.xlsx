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ClimateLeadGroup\Desktop\CLG_repositories\openmodels_lac\GUA\Modelos\Energía&amp;Transporte\NuevosEscenarios\Escenario_alto\"/>
    </mc:Choice>
  </mc:AlternateContent>
  <xr:revisionPtr revIDLastSave="0" documentId="13_ncr:1_{AF10E2E3-78B4-4392-8E5B-8405E0A39336}" xr6:coauthVersionLast="47" xr6:coauthVersionMax="47" xr10:uidLastSave="{00000000-0000-0000-0000-000000000000}"/>
  <bookViews>
    <workbookView xWindow="28680" yWindow="-120" windowWidth="29040" windowHeight="15720" tabRatio="705" activeTab="9" xr2:uid="{00000000-000D-0000-FFFF-FFFF00000000}"/>
  </bookViews>
  <sheets>
    <sheet name="Scenarios" sheetId="7" r:id="rId1"/>
    <sheet name="Overall_Parameters" sheetId="4" r:id="rId2"/>
    <sheet name="Distance_Levers" sheetId="3" r:id="rId3"/>
    <sheet name="Mode_Shift" sheetId="5" r:id="rId4"/>
    <sheet name="Occupancy_Rate" sheetId="6" r:id="rId5"/>
    <sheet name="Tech_Adoption" sheetId="2" r:id="rId6"/>
    <sheet name="Electrical" sheetId="13" r:id="rId7"/>
    <sheet name="SmartGrid" sheetId="14" r:id="rId8"/>
    <sheet name="Efficiency" sheetId="9" r:id="rId9"/>
    <sheet name="Others" sheetId="17" r:id="rId10"/>
  </sheets>
  <definedNames>
    <definedName name="_xlnm._FilterDatabase" localSheetId="8" hidden="1">Efficiency!$A$1:$AS$14</definedName>
    <definedName name="_xlnm._FilterDatabase" localSheetId="6" hidden="1">Electrical!$A$1:$N$34</definedName>
    <definedName name="_xlnm._FilterDatabase" localSheetId="7" hidden="1">SmartGrid!$A$1:$AQ$15</definedName>
    <definedName name="_xlnm._FilterDatabase" localSheetId="5" hidden="1">Tech_Adoption!$A$1:$Q$23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D7" i="14" l="1"/>
  <c r="AC7" i="14"/>
  <c r="AB7" i="14"/>
  <c r="AA7" i="14"/>
  <c r="Z7" i="14"/>
  <c r="Y7" i="14"/>
  <c r="X7" i="14"/>
  <c r="W7" i="14"/>
  <c r="V7" i="14"/>
  <c r="U7" i="14"/>
  <c r="T7" i="14"/>
  <c r="AN7" i="14" l="1"/>
  <c r="AO7" i="14" s="1"/>
  <c r="AP7" i="14" s="1"/>
  <c r="AQ7" i="14" s="1"/>
  <c r="AE7" i="14" l="1"/>
  <c r="AF7" i="14"/>
  <c r="AG7" i="14"/>
  <c r="AH7" i="14"/>
  <c r="AI7" i="14"/>
  <c r="AJ7" i="14"/>
  <c r="AK7" i="14"/>
  <c r="AL7" i="14"/>
  <c r="AM7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E1" authorId="0" shapeId="0" xr:uid="{2B935A5E-54DA-464D-9AEB-FCA0B03E5823}">
      <text>
        <r>
          <rPr>
            <b/>
            <sz val="9"/>
            <color rgb="FF000000"/>
            <rFont val="Tahoma"/>
            <family val="2"/>
          </rPr>
          <t xml:space="preserve">YES: the indices can be called from the stable_scenario dictionary.
</t>
        </r>
        <r>
          <rPr>
            <b/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 xml:space="preserve">NO: the system must generate the fields.
</t>
        </r>
      </text>
    </comment>
    <comment ref="G1" authorId="0" shapeId="0" xr:uid="{0FFAF4F0-35B4-42BC-ADE3-8ED567459C60}">
      <text>
        <r>
          <rPr>
            <b/>
            <sz val="9"/>
            <color rgb="FF000000"/>
            <rFont val="Tahoma"/>
            <family val="2"/>
          </rPr>
          <t xml:space="preserve">Used for exact values before y_ini
</t>
        </r>
      </text>
    </comment>
    <comment ref="I1" authorId="0" shapeId="0" xr:uid="{2D864057-BEBD-4074-AF76-906429067305}">
      <text>
        <r>
          <rPr>
            <b/>
            <sz val="9"/>
            <color rgb="FF000000"/>
            <rFont val="Tahoma"/>
            <family val="2"/>
          </rPr>
          <t>Preceding year of initial year of separation between values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H1" authorId="0" shapeId="0" xr:uid="{262E4C9E-7D42-4756-ACA1-6FF5F58F1949}">
      <text>
        <r>
          <rPr>
            <b/>
            <sz val="9"/>
            <color indexed="81"/>
            <rFont val="Tahoma"/>
            <family val="2"/>
          </rPr>
          <t>Preceding year of initial year of separation between values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<sst xmlns="http://schemas.openxmlformats.org/spreadsheetml/2006/main" count="566" uniqueCount="177">
  <si>
    <t>Scenario</t>
  </si>
  <si>
    <t>Tech_Set</t>
  </si>
  <si>
    <t>Logistic</t>
  </si>
  <si>
    <t>Linear</t>
  </si>
  <si>
    <t>C</t>
  </si>
  <si>
    <t>M</t>
  </si>
  <si>
    <t>L</t>
  </si>
  <si>
    <t>y_ini</t>
  </si>
  <si>
    <t>v_2050</t>
  </si>
  <si>
    <t>NDP</t>
  </si>
  <si>
    <t>Transport_Category</t>
  </si>
  <si>
    <t>Public</t>
  </si>
  <si>
    <t>Private</t>
  </si>
  <si>
    <t>YES</t>
  </si>
  <si>
    <t>NO</t>
  </si>
  <si>
    <t>R2021</t>
  </si>
  <si>
    <t>R2050</t>
  </si>
  <si>
    <t>n.a.</t>
  </si>
  <si>
    <t>Description_Set</t>
  </si>
  <si>
    <t>Parameter</t>
  </si>
  <si>
    <t>Value</t>
  </si>
  <si>
    <t>Initial_Year_of_Uncertainty</t>
  </si>
  <si>
    <t>Group_Set</t>
  </si>
  <si>
    <t>Group_Description</t>
  </si>
  <si>
    <t>Relative reduction to BAU - distance</t>
  </si>
  <si>
    <t>Relative increase to BAU - occupancy rate</t>
  </si>
  <si>
    <t>Restriction_Type</t>
  </si>
  <si>
    <t>v_2030</t>
  </si>
  <si>
    <t>Name</t>
  </si>
  <si>
    <t>Description</t>
  </si>
  <si>
    <t>BAU</t>
  </si>
  <si>
    <t>Represents a system based on fossil fuels and private transport for the next 30 years.</t>
  </si>
  <si>
    <t>Activated</t>
  </si>
  <si>
    <t>Based_On</t>
  </si>
  <si>
    <t>Reference</t>
  </si>
  <si>
    <t>Light Freight</t>
  </si>
  <si>
    <t>Built-in</t>
  </si>
  <si>
    <t>v_2040</t>
  </si>
  <si>
    <t>Context</t>
  </si>
  <si>
    <t>Base</t>
  </si>
  <si>
    <t>ref</t>
  </si>
  <si>
    <t>Milestone_Years</t>
  </si>
  <si>
    <t>Method</t>
  </si>
  <si>
    <t>Built-in Parameter-Set</t>
  </si>
  <si>
    <t>Exact_Years</t>
  </si>
  <si>
    <t>Exact_Values</t>
  </si>
  <si>
    <t>PPHDAM</t>
  </si>
  <si>
    <t>PPHROR</t>
  </si>
  <si>
    <t>PPGEO</t>
  </si>
  <si>
    <t>PPWNDON</t>
  </si>
  <si>
    <t>PPPVT</t>
  </si>
  <si>
    <t>Milestone_Value</t>
  </si>
  <si>
    <t>Unit</t>
  </si>
  <si>
    <t>PJ</t>
  </si>
  <si>
    <t>Description Parameter-Set</t>
  </si>
  <si>
    <t>Write ; Interpolate ; Fix_Last</t>
  </si>
  <si>
    <t>TRYLFPHD</t>
  </si>
  <si>
    <t>Max</t>
  </si>
  <si>
    <t>TotalTechnologyAnnualActivityLowerLimit</t>
  </si>
  <si>
    <t>Exact</t>
  </si>
  <si>
    <t>None</t>
  </si>
  <si>
    <t>Set</t>
  </si>
  <si>
    <t>Set_Index</t>
  </si>
  <si>
    <t>CapacityFactor</t>
  </si>
  <si>
    <t>Security_Multiplier</t>
  </si>
  <si>
    <t>PPPVTS</t>
  </si>
  <si>
    <t>PPBIM</t>
  </si>
  <si>
    <t>PPBGS</t>
  </si>
  <si>
    <t>PPCOA</t>
  </si>
  <si>
    <t>The minimum production with biomass</t>
  </si>
  <si>
    <t>The minimum production with biogas</t>
  </si>
  <si>
    <t>The minimum production with coal</t>
  </si>
  <si>
    <t>TRYLFHD</t>
  </si>
  <si>
    <t>Light Truck Hybrid Diesel</t>
  </si>
  <si>
    <t>Light Truck Plug-in Hybrid Diesel</t>
  </si>
  <si>
    <t>Sector</t>
  </si>
  <si>
    <t>Transport</t>
  </si>
  <si>
    <t>All</t>
  </si>
  <si>
    <t>TotalAnnualMaxCapacityInvestment</t>
  </si>
  <si>
    <t>GW</t>
  </si>
  <si>
    <t>Write ; Interpolate_Escalate ; Fix_Last</t>
  </si>
  <si>
    <t>TotalTechnologyAnnualActivityUpperLimit</t>
  </si>
  <si>
    <t>Bus Private Electric</t>
  </si>
  <si>
    <t>Bus Private Hydrogen</t>
  </si>
  <si>
    <t>TRBPUHYD</t>
  </si>
  <si>
    <t>Bus Public Hydrogen</t>
  </si>
  <si>
    <t>TRBPRELE</t>
  </si>
  <si>
    <t>TRBPRHYD</t>
  </si>
  <si>
    <t>TRBPUPHD</t>
  </si>
  <si>
    <t>Bus Private Plug-in Hybrid Diesel</t>
  </si>
  <si>
    <t>Minibus Plug-in Hybrid Diesel</t>
  </si>
  <si>
    <t>Bus Public Plug-in Hybrid Diesel</t>
  </si>
  <si>
    <t>TRBPRPHD</t>
  </si>
  <si>
    <t>TRMBSPHD</t>
  </si>
  <si>
    <t>PPNGS</t>
  </si>
  <si>
    <t>The minimum production with natural gas</t>
  </si>
  <si>
    <t>2018 ; 2019 ; 2020 ; 2021</t>
  </si>
  <si>
    <t>2018 ; 2019 ; 2020 ; 2021 ; 2022 ; 2023 ; 2024 ; 2025 ; 2026 ; 2027 ; 2028</t>
  </si>
  <si>
    <t>PPDSL</t>
  </si>
  <si>
    <t>The minimum production with diesel</t>
  </si>
  <si>
    <t>PPFOI</t>
  </si>
  <si>
    <t>The minimum production with fuel oil</t>
  </si>
  <si>
    <t>IMP_ELE</t>
  </si>
  <si>
    <t>The minimum production of solar (transmission)</t>
  </si>
  <si>
    <t>The minimum production of dam hydropower</t>
  </si>
  <si>
    <t>The minimum production of run-of-river</t>
  </si>
  <si>
    <t>The minimum production of wind</t>
  </si>
  <si>
    <t>The minimum production of geothermal</t>
  </si>
  <si>
    <t>PJ/GW</t>
  </si>
  <si>
    <t>Overwrite ; Interpolate ; Fix_Last</t>
  </si>
  <si>
    <t>The capacity factor of coal</t>
  </si>
  <si>
    <t>2018 ; 2019 ; 2020 ; 2021 ; 2022 ; 2023</t>
  </si>
  <si>
    <t>TotalAnnualMaxCapacity</t>
  </si>
  <si>
    <t>The max capacity of Geothermal</t>
  </si>
  <si>
    <t>0.5; 0.5; 0.5; 0.4</t>
  </si>
  <si>
    <t>The max capacity investment of Geothermal</t>
  </si>
  <si>
    <t>0.9 ; 0.99 ; 0.7 ; 0.8 ; 0.8 ; 0.8</t>
  </si>
  <si>
    <t>2018 ; 2019 ; 2020 ; 2021 ; 2022 ; 2023 ; 2024 ; 2025</t>
  </si>
  <si>
    <t>CapitalCost</t>
  </si>
  <si>
    <t>FixedCost</t>
  </si>
  <si>
    <t>T5ELEBRT</t>
  </si>
  <si>
    <t>Capital cost of Train</t>
  </si>
  <si>
    <t>Fixed Cost of Train</t>
  </si>
  <si>
    <t>T5ELEAERO</t>
  </si>
  <si>
    <t>Capital cost of Aero</t>
  </si>
  <si>
    <t>Fixed Cost of Aero</t>
  </si>
  <si>
    <t>2018 ; 2019 ; 2020 ; 2021 ; 2022 ; 2023 ; 2024 ; 2025 ; 2026 ; 2027</t>
  </si>
  <si>
    <t>The minimum production of solar (transmission w. s.)</t>
  </si>
  <si>
    <t>PPPVDS</t>
  </si>
  <si>
    <t>The minimum production of solar (distribution w. s.)</t>
  </si>
  <si>
    <t>PPPVD</t>
  </si>
  <si>
    <t>The minimum production of solar (distribution)</t>
  </si>
  <si>
    <t>Primary - Import - Electricity</t>
  </si>
  <si>
    <t>2018 ; 2019 ; 2020 ; 2021 ; 2022 ; 2023 ; 2024 ; 2025 ; 2026 ; 2027 ; 2028 ; 2029 ; 2030 ; 2031</t>
  </si>
  <si>
    <t>0 ; 3.517 ; 3.54 ; 4.226 ; 0 ; 6.741 ; 6.5 ; 6 ; 5 ; 4 ; 5 ; 4 ; 4 ; 4</t>
  </si>
  <si>
    <t>2.41 ; 3.517 ; 3.54 ; 4.226 ; 4.886 ; 6.741 ; 6.5 ; 6 ; 5 ; 4 ; 5 ; 4 ; 4 ; 4</t>
  </si>
  <si>
    <t>2018 ; 2019 ; 2020 ; 2021 ; 2022 ; 2023 ; 2024 ; 2025 ; 2026 ; 2027 ; 2028 ; 2030</t>
  </si>
  <si>
    <t>0.09 ; 0.096 ; 0.125 ; 0.118 ; 0 ; 0.1 ; 0.1 ; 0.1 ; 0.1 ; 0.1 ; 0.1 ; 0.13</t>
  </si>
  <si>
    <t>The minimum production of biogas</t>
  </si>
  <si>
    <t>0 ; 7.241 ; 7.1815 ; 7.558 ; 0 ; 6.89 ; 8 ; 10 ; 11 ; 11.5  ; 12</t>
  </si>
  <si>
    <t>16.55 ; 18.227 ; 10.48 ; 13.97 ; 9.948 ; 15.091</t>
  </si>
  <si>
    <t>0.007 ; 0.0065 ; 0.02 ; 0.012 ; 0.025 ; 0.031 ; 0.031 ; 0.031</t>
  </si>
  <si>
    <t>2018 ; 2019 ; 2020 ; 2021 ; 2022 ; 2023 ; 2024</t>
  </si>
  <si>
    <t>1.42 ; 1.928 ; 0.96 ; 0.996 ; 0.696 ; 2.379 ; 2.38</t>
  </si>
  <si>
    <t>2018 ; 2019 ; 2020 ; 2021 ; 2022 ; 2023 ; 2024 ; 2025 ; 2026 ; 2027 ; 2028 ; 2029 ; 2030 2031 ; 2032 ; 2033</t>
  </si>
  <si>
    <t>0 ; 1.026 ; 1.14 ; 1.16 ; 0 ; 1.21 ; 1.212 ; 1.212 ; 1.212 ; 1.28 ; 1.28 ; 1.28 ; 1.28 ; 1.28 ; 1.28 ; 1.28</t>
  </si>
  <si>
    <t>TotalAnnualMinCapacityInvestment</t>
  </si>
  <si>
    <t>The min capacity investment of wind</t>
  </si>
  <si>
    <t>2030 ; 2031 ; 2033 ; 2034 ; 2035 ; 2039 ; 2040 ; 2041</t>
  </si>
  <si>
    <t>0.1 ; 0 ; 0 ; 0.115 ; 0 ; 0 ; 0.235 ; 0</t>
  </si>
  <si>
    <t>0.94 ; 1.027 ; 1.145 ; 1.17 ; 1.158 ; 1.21</t>
  </si>
  <si>
    <t>18.4632 ; 16.09 ; 22.99 ; 24.698 ; 26.89 ; 22.105; 22.63</t>
  </si>
  <si>
    <t>2018 ; 2019 ; 2020 ; 2021 ; 2022 ; 2023 ; 2024 ; 2025 ; 2026 ; 2027 ; 2028 ; 2029</t>
  </si>
  <si>
    <t>18.46 ; 16.09 ; 22.99 ; 24.697 ; 26.89 ; 22.105; 22.63 ; 22.63 ; 22.63 ; 22.63  ; 22.63 ; 22.63</t>
  </si>
  <si>
    <t>1.0194 ; 1.071 ; 1.322 ; 1.52 ; 1.6088 ; 1.523 ; 1.55</t>
  </si>
  <si>
    <t>2018 ; 2019 ; 2020 ; 2021 ; 2022 ; 2023 ; 2024 ; 2025 ; 2026 ; 2027 ; 2028 ; 2029 ; 2030</t>
  </si>
  <si>
    <t>1.01 ; 1.07 ; 1.32 ; 1.52 ; 1.608 ; 1.523 ; 1.55 ; 1.7 ; 1.7 ; 1.77 ; 1.77 ; 1.77 ; 1.77</t>
  </si>
  <si>
    <t>0 ; 0 ; 0.02 ; 0.06 ; 0.037 ; 0 ; 0.037 ; 0.037 ; 0.6 ; 0.6 ; 0.6 ; 0.6 ; 5</t>
  </si>
  <si>
    <t>2026 ; 2027 ; 2029 ; 2030 ; 2031 ; 2039 ; 2040 ; 2041</t>
  </si>
  <si>
    <t>0.04375 ; 0 ; 0 ; 0.6 ; 0 ; 0 ; 0.25 ; 0</t>
  </si>
  <si>
    <t>The max capacity of of solar (distribution)</t>
  </si>
  <si>
    <t>0.2 ; 0.2 ; 0.2 ; 0.2</t>
  </si>
  <si>
    <t>The max capacity ofof solar (distribution  w. s.)</t>
  </si>
  <si>
    <t>0 ; 0 ; 0 ; 0</t>
  </si>
  <si>
    <t>0 ; 0 ; 0.11 ; 0 ; 0.109 ; 0.185 ; 0.185 ; 0.185 ; 0.24 ; 0.24</t>
  </si>
  <si>
    <t>0 ; 0 ; 0 ; 0 ; 0 ; 0 ; 0 ; 0 ; 0 ; 0 ; 0 ; 0</t>
  </si>
  <si>
    <t>0.68 ; 0.808 ; 0.81 ; 0.89 ; 0.79 ; 0.858 ; 0.859 ; 0.9  ; 1.5 ; 1.5 ; 4</t>
  </si>
  <si>
    <t>The max capacity of solar (transmission)</t>
  </si>
  <si>
    <t>2018 ; 2019 ; 2020 ; 2021 ; 2022</t>
  </si>
  <si>
    <t>0.1 ; 0.1 ; 0.1 ; 0.1 ; 0.5</t>
  </si>
  <si>
    <t>The max capacity of solar (transmission  w. s.)</t>
  </si>
  <si>
    <t>0.69 ; 0.81 ; 0.811 ; 0.892 ; 0.793 ; 0.858</t>
  </si>
  <si>
    <t>0.15 ; 0.15 ; 0.15 ; 0.15 ; 0.15</t>
  </si>
  <si>
    <t xml:space="preserve">0 ; 1.29 ; 1.307 ; 1.424 ; 0 ; 1.459 ; 1.46 ; 1.46 ; 1.5 ; 1.5 ; 1.5 ; 2 </t>
  </si>
  <si>
    <t>1.2 ; 1.3 ; 1.31 ; 1.424 ; 1.288 ; 1.46</t>
  </si>
  <si>
    <t>The max capacity of wind</t>
  </si>
  <si>
    <t>The min capacity investment of geothermal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</si>
</sst>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00"/>
  </numFmts>
  <fonts count="2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b/>
      <sz val="11"/>
      <color theme="7"/>
      <name val="Calibri"/>
      <family val="2"/>
      <scheme val="minor"/>
    </font>
    <font>
      <b/>
      <sz val="9"/>
      <color rgb="FF000000"/>
      <name val="Tahoma"/>
      <family val="2"/>
    </font>
    <font>
      <b/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000000"/>
      <name val="Tahoma"/>
      <family val="2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4B084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7CFB7"/>
        <bgColor rgb="FF000000"/>
      </patternFill>
    </fill>
    <fill>
      <patternFill patternType="solid">
        <fgColor rgb="FFD3BDFF"/>
        <bgColor rgb="FF000000"/>
      </patternFill>
    </fill>
    <fill>
      <patternFill patternType="solid">
        <fgColor rgb="FFDDBA97"/>
        <bgColor rgb="FF000000"/>
      </patternFill>
    </fill>
    <fill>
      <patternFill patternType="solid">
        <fgColor rgb="FFFF6D6D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164" fontId="20" fillId="0" borderId="0" applyFont="0" applyFill="0" applyBorder="0" applyAlignment="0" applyProtection="0"/>
  </cellStyleXfs>
  <cellXfs count="126">
    <xf numFmtId="0" fontId="0" fillId="0" borderId="0" xfId="0"/>
    <xf numFmtId="0" fontId="0" fillId="0" borderId="0" xfId="0" applyAlignment="1">
      <alignment horizontal="center" vertical="center"/>
    </xf>
    <xf numFmtId="0" fontId="9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0" xfId="0" applyBorder="1"/>
    <xf numFmtId="0" fontId="0" fillId="0" borderId="9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5" xfId="0" applyBorder="1"/>
    <xf numFmtId="0" fontId="9" fillId="0" borderId="16" xfId="0" applyFont="1" applyBorder="1"/>
    <xf numFmtId="0" fontId="9" fillId="0" borderId="7" xfId="0" applyFont="1" applyBorder="1"/>
    <xf numFmtId="0" fontId="9" fillId="0" borderId="17" xfId="0" applyFont="1" applyBorder="1"/>
    <xf numFmtId="0" fontId="0" fillId="0" borderId="2" xfId="0" applyBorder="1"/>
    <xf numFmtId="0" fontId="9" fillId="0" borderId="2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/>
    </xf>
    <xf numFmtId="0" fontId="0" fillId="5" borderId="9" xfId="0" applyFill="1" applyBorder="1" applyAlignment="1">
      <alignment horizontal="center" vertical="center"/>
    </xf>
    <xf numFmtId="0" fontId="0" fillId="5" borderId="4" xfId="0" applyFill="1" applyBorder="1" applyAlignment="1">
      <alignment horizontal="center"/>
    </xf>
    <xf numFmtId="0" fontId="0" fillId="5" borderId="11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9" fillId="0" borderId="7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0" fillId="0" borderId="8" xfId="0" applyBorder="1"/>
    <xf numFmtId="0" fontId="9" fillId="0" borderId="21" xfId="0" applyFont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65" fontId="0" fillId="0" borderId="9" xfId="0" applyNumberFormat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indent="1"/>
    </xf>
    <xf numFmtId="0" fontId="0" fillId="0" borderId="14" xfId="0" applyBorder="1" applyAlignment="1">
      <alignment horizontal="center"/>
    </xf>
    <xf numFmtId="0" fontId="13" fillId="4" borderId="9" xfId="0" applyFont="1" applyFill="1" applyBorder="1" applyAlignment="1">
      <alignment horizontal="center" vertical="center"/>
    </xf>
    <xf numFmtId="0" fontId="13" fillId="6" borderId="14" xfId="0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/>
    </xf>
    <xf numFmtId="0" fontId="13" fillId="6" borderId="22" xfId="0" applyFont="1" applyFill="1" applyBorder="1" applyAlignment="1">
      <alignment horizontal="center" vertical="center"/>
    </xf>
    <xf numFmtId="0" fontId="13" fillId="6" borderId="23" xfId="0" applyFont="1" applyFill="1" applyBorder="1" applyAlignment="1">
      <alignment horizontal="center" vertical="center"/>
    </xf>
    <xf numFmtId="0" fontId="13" fillId="4" borderId="23" xfId="0" applyFont="1" applyFill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 wrapText="1"/>
    </xf>
    <xf numFmtId="0" fontId="15" fillId="8" borderId="7" xfId="0" applyFont="1" applyFill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5" fontId="0" fillId="7" borderId="9" xfId="0" applyNumberFormat="1" applyFill="1" applyBorder="1" applyAlignment="1">
      <alignment horizontal="center" vertical="center"/>
    </xf>
    <xf numFmtId="0" fontId="9" fillId="0" borderId="4" xfId="0" applyFont="1" applyBorder="1"/>
    <xf numFmtId="0" fontId="9" fillId="0" borderId="6" xfId="0" applyFont="1" applyBorder="1"/>
    <xf numFmtId="165" fontId="0" fillId="11" borderId="10" xfId="0" applyNumberFormat="1" applyFill="1" applyBorder="1" applyAlignment="1">
      <alignment horizontal="center" vertical="center"/>
    </xf>
    <xf numFmtId="0" fontId="9" fillId="2" borderId="15" xfId="0" applyFont="1" applyFill="1" applyBorder="1"/>
    <xf numFmtId="164" fontId="0" fillId="0" borderId="0" xfId="1" applyFont="1"/>
    <xf numFmtId="0" fontId="0" fillId="12" borderId="0" xfId="0" applyFill="1"/>
    <xf numFmtId="164" fontId="0" fillId="12" borderId="0" xfId="1" applyFont="1" applyFill="1"/>
    <xf numFmtId="0" fontId="16" fillId="0" borderId="0" xfId="0" applyFont="1"/>
    <xf numFmtId="0" fontId="18" fillId="15" borderId="0" xfId="0" applyFont="1" applyFill="1" applyAlignment="1">
      <alignment horizontal="left" vertical="center"/>
    </xf>
    <xf numFmtId="0" fontId="18" fillId="13" borderId="0" xfId="0" applyFont="1" applyFill="1" applyAlignment="1">
      <alignment horizontal="left" vertical="center"/>
    </xf>
    <xf numFmtId="0" fontId="18" fillId="14" borderId="0" xfId="0" applyFont="1" applyFill="1" applyAlignment="1">
      <alignment horizontal="left" vertical="center"/>
    </xf>
    <xf numFmtId="0" fontId="18" fillId="9" borderId="0" xfId="0" applyFont="1" applyFill="1" applyAlignment="1">
      <alignment horizontal="left" vertical="center"/>
    </xf>
    <xf numFmtId="0" fontId="18" fillId="16" borderId="0" xfId="0" applyFont="1" applyFill="1" applyAlignment="1">
      <alignment horizontal="left" vertical="center"/>
    </xf>
    <xf numFmtId="0" fontId="0" fillId="7" borderId="0" xfId="0" applyFill="1"/>
    <xf numFmtId="165" fontId="19" fillId="17" borderId="26" xfId="0" applyNumberFormat="1" applyFont="1" applyFill="1" applyBorder="1"/>
    <xf numFmtId="165" fontId="19" fillId="18" borderId="26" xfId="0" applyNumberFormat="1" applyFont="1" applyFill="1" applyBorder="1"/>
    <xf numFmtId="165" fontId="19" fillId="18" borderId="26" xfId="0" applyNumberFormat="1" applyFont="1" applyFill="1" applyBorder="1" applyAlignment="1">
      <alignment horizontal="center"/>
    </xf>
    <xf numFmtId="165" fontId="19" fillId="19" borderId="26" xfId="0" applyNumberFormat="1" applyFont="1" applyFill="1" applyBorder="1" applyAlignment="1">
      <alignment horizontal="center"/>
    </xf>
    <xf numFmtId="0" fontId="18" fillId="20" borderId="0" xfId="0" applyFont="1" applyFill="1" applyAlignment="1">
      <alignment horizontal="left" vertical="center"/>
    </xf>
    <xf numFmtId="0" fontId="18" fillId="10" borderId="0" xfId="0" applyFont="1" applyFill="1" applyAlignment="1">
      <alignment horizontal="left" vertical="center"/>
    </xf>
    <xf numFmtId="0" fontId="18" fillId="21" borderId="0" xfId="0" applyFont="1" applyFill="1" applyAlignment="1">
      <alignment horizontal="left" vertical="center"/>
    </xf>
    <xf numFmtId="0" fontId="18" fillId="8" borderId="0" xfId="0" applyFont="1" applyFill="1" applyAlignment="1">
      <alignment horizontal="left" vertical="center"/>
    </xf>
    <xf numFmtId="0" fontId="18" fillId="22" borderId="0" xfId="0" applyFont="1" applyFill="1" applyAlignment="1">
      <alignment horizontal="left" vertical="center"/>
    </xf>
    <xf numFmtId="0" fontId="18" fillId="23" borderId="0" xfId="0" applyFont="1" applyFill="1" applyAlignment="1">
      <alignment horizontal="left" vertical="center"/>
    </xf>
    <xf numFmtId="0" fontId="8" fillId="7" borderId="9" xfId="0" applyFont="1" applyFill="1" applyBorder="1" applyAlignment="1">
      <alignment horizontal="center" vertical="center"/>
    </xf>
    <xf numFmtId="0" fontId="8" fillId="7" borderId="9" xfId="0" applyFont="1" applyFill="1" applyBorder="1" applyAlignment="1">
      <alignment horizontal="center"/>
    </xf>
    <xf numFmtId="0" fontId="8" fillId="24" borderId="9" xfId="0" applyFont="1" applyFill="1" applyBorder="1" applyAlignment="1">
      <alignment horizontal="center" vertical="center"/>
    </xf>
    <xf numFmtId="0" fontId="20" fillId="24" borderId="9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5" fillId="25" borderId="9" xfId="0" applyFont="1" applyFill="1" applyBorder="1" applyAlignment="1">
      <alignment horizontal="center" vertical="center"/>
    </xf>
    <xf numFmtId="0" fontId="5" fillId="25" borderId="9" xfId="0" applyFont="1" applyFill="1" applyBorder="1" applyAlignment="1">
      <alignment horizontal="center"/>
    </xf>
    <xf numFmtId="0" fontId="20" fillId="5" borderId="9" xfId="0" applyFont="1" applyFill="1" applyBorder="1" applyAlignment="1">
      <alignment horizontal="center" vertical="center"/>
    </xf>
    <xf numFmtId="0" fontId="4" fillId="25" borderId="9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0" fontId="20" fillId="7" borderId="23" xfId="0" applyFont="1" applyFill="1" applyBorder="1" applyAlignment="1">
      <alignment horizontal="center" vertical="center"/>
    </xf>
    <xf numFmtId="0" fontId="20" fillId="7" borderId="9" xfId="0" applyFont="1" applyFill="1" applyBorder="1" applyAlignment="1">
      <alignment horizontal="center" vertical="center"/>
    </xf>
    <xf numFmtId="0" fontId="20" fillId="26" borderId="9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0" fontId="3" fillId="24" borderId="9" xfId="0" applyFont="1" applyFill="1" applyBorder="1" applyAlignment="1">
      <alignment horizontal="center" vertical="center"/>
    </xf>
    <xf numFmtId="0" fontId="3" fillId="25" borderId="9" xfId="0" applyFont="1" applyFill="1" applyBorder="1" applyAlignment="1">
      <alignment horizontal="center" vertical="center"/>
    </xf>
    <xf numFmtId="0" fontId="3" fillId="25" borderId="9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/>
    </xf>
    <xf numFmtId="0" fontId="3" fillId="26" borderId="9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/>
    </xf>
    <xf numFmtId="0" fontId="1" fillId="7" borderId="9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6D6D"/>
      <color rgb="FFDDBA97"/>
      <color rgb="FFD3BDFF"/>
      <color rgb="FFE7CF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CE2FD-6781-40FC-9DD3-A79D8FD71BA2}">
  <dimension ref="A1:F3"/>
  <sheetViews>
    <sheetView zoomScale="85" zoomScaleNormal="85" workbookViewId="0">
      <selection activeCell="A3" sqref="A3:F3"/>
    </sheetView>
  </sheetViews>
  <sheetFormatPr defaultColWidth="8.85546875" defaultRowHeight="15" x14ac:dyDescent="0.25"/>
  <cols>
    <col min="1" max="1" width="18.140625" bestFit="1" customWidth="1"/>
    <col min="2" max="2" width="9" bestFit="1" customWidth="1"/>
    <col min="3" max="3" width="9" customWidth="1"/>
    <col min="4" max="4" width="9.85546875" bestFit="1" customWidth="1"/>
    <col min="5" max="5" width="9" customWidth="1"/>
    <col min="6" max="6" width="93" bestFit="1" customWidth="1"/>
  </cols>
  <sheetData>
    <row r="1" spans="1:6" ht="15.75" thickBot="1" x14ac:dyDescent="0.3">
      <c r="A1" s="20" t="s">
        <v>28</v>
      </c>
      <c r="B1" s="21" t="s">
        <v>32</v>
      </c>
      <c r="C1" s="21" t="s">
        <v>39</v>
      </c>
      <c r="D1" s="21" t="s">
        <v>34</v>
      </c>
      <c r="E1" s="21" t="s">
        <v>33</v>
      </c>
      <c r="F1" s="22" t="s">
        <v>29</v>
      </c>
    </row>
    <row r="2" spans="1:6" x14ac:dyDescent="0.25">
      <c r="A2" s="48" t="s">
        <v>30</v>
      </c>
      <c r="B2" s="39" t="s">
        <v>13</v>
      </c>
      <c r="C2" s="39" t="s">
        <v>13</v>
      </c>
      <c r="D2" s="39" t="s">
        <v>30</v>
      </c>
      <c r="E2" s="39" t="s">
        <v>40</v>
      </c>
      <c r="F2" s="23" t="s">
        <v>31</v>
      </c>
    </row>
    <row r="3" spans="1:6" ht="15.75" thickBot="1" x14ac:dyDescent="0.3">
      <c r="A3" s="4"/>
      <c r="B3" s="6"/>
      <c r="C3" s="6"/>
      <c r="D3" s="6"/>
      <c r="E3" s="6"/>
      <c r="F3" s="5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F0214-6FED-4AAE-89F9-1D5B4098AAFA}">
  <dimension ref="A1:B2"/>
  <sheetViews>
    <sheetView workbookViewId="0">
      <selection activeCell="B3" sqref="B3"/>
    </sheetView>
  </sheetViews>
  <sheetFormatPr defaultColWidth="8.85546875" defaultRowHeight="15" x14ac:dyDescent="0.25"/>
  <cols>
    <col min="1" max="1" width="2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2024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E09ED-F67D-48C5-A45C-B5C1D3FFCA1B}">
  <dimension ref="A1:D18"/>
  <sheetViews>
    <sheetView workbookViewId="0">
      <selection activeCell="A2" sqref="A2:D8"/>
    </sheetView>
  </sheetViews>
  <sheetFormatPr defaultColWidth="8.85546875" defaultRowHeight="15" x14ac:dyDescent="0.25"/>
  <cols>
    <col min="2" max="2" width="41.42578125" bestFit="1" customWidth="1"/>
    <col min="3" max="3" width="16.85546875" customWidth="1"/>
    <col min="4" max="4" width="32.7109375" bestFit="1" customWidth="1"/>
    <col min="6" max="6" width="19.28515625" bestFit="1" customWidth="1"/>
  </cols>
  <sheetData>
    <row r="1" spans="1:4" ht="15.75" thickBot="1" x14ac:dyDescent="0.3">
      <c r="A1" s="14" t="s">
        <v>0</v>
      </c>
      <c r="B1" s="15" t="s">
        <v>23</v>
      </c>
      <c r="C1" s="15" t="s">
        <v>22</v>
      </c>
      <c r="D1" s="16" t="s">
        <v>24</v>
      </c>
    </row>
    <row r="2" spans="1:4" x14ac:dyDescent="0.25">
      <c r="A2" s="44"/>
      <c r="B2" s="45"/>
      <c r="C2" s="61"/>
      <c r="D2" s="80"/>
    </row>
    <row r="3" spans="1:4" x14ac:dyDescent="0.25">
      <c r="A3" s="11"/>
      <c r="B3" s="7"/>
      <c r="C3" s="49"/>
      <c r="D3" s="77"/>
    </row>
    <row r="4" spans="1:4" x14ac:dyDescent="0.25">
      <c r="A4" s="11"/>
      <c r="B4" s="7"/>
      <c r="C4" s="49"/>
      <c r="D4" s="3"/>
    </row>
    <row r="5" spans="1:4" x14ac:dyDescent="0.25">
      <c r="A5" s="11"/>
      <c r="B5" s="7"/>
      <c r="C5" s="49"/>
      <c r="D5" s="3"/>
    </row>
    <row r="6" spans="1:4" x14ac:dyDescent="0.25">
      <c r="A6" s="11"/>
      <c r="B6" s="7"/>
      <c r="C6" s="49"/>
      <c r="D6" s="3"/>
    </row>
    <row r="7" spans="1:4" x14ac:dyDescent="0.25">
      <c r="A7" s="11"/>
      <c r="B7" s="7"/>
      <c r="C7" s="49"/>
      <c r="D7" s="77"/>
    </row>
    <row r="8" spans="1:4" ht="15.75" thickBot="1" x14ac:dyDescent="0.3">
      <c r="A8" s="11"/>
      <c r="B8" s="13"/>
      <c r="C8" s="50"/>
      <c r="D8" s="78"/>
    </row>
    <row r="9" spans="1:4" x14ac:dyDescent="0.25">
      <c r="A9" s="1"/>
      <c r="B9" s="1"/>
      <c r="C9" s="1"/>
    </row>
    <row r="10" spans="1:4" x14ac:dyDescent="0.25">
      <c r="A10" s="1"/>
      <c r="B10" s="1"/>
      <c r="C10" s="1"/>
    </row>
    <row r="11" spans="1:4" x14ac:dyDescent="0.25">
      <c r="A11" s="1"/>
      <c r="B11" s="1"/>
      <c r="C11" s="1"/>
    </row>
    <row r="12" spans="1:4" x14ac:dyDescent="0.25">
      <c r="A12" s="1"/>
      <c r="B12" s="1"/>
      <c r="C12" s="1"/>
    </row>
    <row r="13" spans="1:4" x14ac:dyDescent="0.25">
      <c r="A13" s="1"/>
      <c r="B13" s="1"/>
      <c r="C13" s="1"/>
    </row>
    <row r="14" spans="1:4" x14ac:dyDescent="0.25">
      <c r="A14" s="1"/>
      <c r="B14" s="1"/>
      <c r="C14" s="1"/>
    </row>
    <row r="15" spans="1:4" x14ac:dyDescent="0.25">
      <c r="A15" s="1"/>
      <c r="B15" s="1"/>
      <c r="C15" s="1"/>
      <c r="D15" s="60"/>
    </row>
    <row r="16" spans="1:4" x14ac:dyDescent="0.25">
      <c r="A16" s="1"/>
      <c r="B16" s="1"/>
      <c r="C16" s="1"/>
    </row>
    <row r="17" spans="2:2" x14ac:dyDescent="0.25">
      <c r="B17" s="59"/>
    </row>
    <row r="18" spans="2:2" x14ac:dyDescent="0.25">
      <c r="B18" s="5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78169-816E-4A96-B7EF-FCE84B2F63AE}">
  <dimension ref="A1:R6"/>
  <sheetViews>
    <sheetView workbookViewId="0">
      <selection activeCell="A2" sqref="A2:Q3"/>
    </sheetView>
  </sheetViews>
  <sheetFormatPr defaultColWidth="8.85546875" defaultRowHeight="15" x14ac:dyDescent="0.25"/>
  <cols>
    <col min="1" max="1" width="14" bestFit="1" customWidth="1"/>
    <col min="2" max="2" width="18" bestFit="1" customWidth="1"/>
    <col min="3" max="3" width="33.42578125" bestFit="1" customWidth="1"/>
    <col min="4" max="4" width="14" bestFit="1" customWidth="1"/>
    <col min="5" max="5" width="14" customWidth="1"/>
    <col min="6" max="7" width="7.28515625" bestFit="1" customWidth="1"/>
    <col min="8" max="8" width="6.140625" bestFit="1" customWidth="1"/>
    <col min="9" max="10" width="6" bestFit="1" customWidth="1"/>
    <col min="11" max="12" width="6.42578125" bestFit="1" customWidth="1"/>
    <col min="13" max="14" width="5" bestFit="1" customWidth="1"/>
    <col min="15" max="15" width="7" bestFit="1" customWidth="1"/>
    <col min="16" max="16" width="7" customWidth="1"/>
    <col min="17" max="17" width="7" bestFit="1" customWidth="1"/>
  </cols>
  <sheetData>
    <row r="1" spans="1:18" x14ac:dyDescent="0.25">
      <c r="A1" s="8" t="s">
        <v>0</v>
      </c>
      <c r="B1" s="9" t="s">
        <v>10</v>
      </c>
      <c r="C1" s="9" t="s">
        <v>18</v>
      </c>
      <c r="D1" s="9" t="s">
        <v>1</v>
      </c>
      <c r="E1" s="9" t="s">
        <v>38</v>
      </c>
      <c r="F1" s="9" t="s">
        <v>36</v>
      </c>
      <c r="G1" s="9" t="s">
        <v>2</v>
      </c>
      <c r="H1" s="9" t="s">
        <v>3</v>
      </c>
      <c r="I1" s="9" t="s">
        <v>15</v>
      </c>
      <c r="J1" s="9" t="s">
        <v>16</v>
      </c>
      <c r="K1" s="9" t="s">
        <v>6</v>
      </c>
      <c r="L1" s="9" t="s">
        <v>4</v>
      </c>
      <c r="M1" s="9" t="s">
        <v>5</v>
      </c>
      <c r="N1" s="9" t="s">
        <v>7</v>
      </c>
      <c r="O1" s="9" t="s">
        <v>27</v>
      </c>
      <c r="P1" s="9" t="s">
        <v>37</v>
      </c>
      <c r="Q1" s="10" t="s">
        <v>8</v>
      </c>
    </row>
    <row r="2" spans="1:18" x14ac:dyDescent="0.25">
      <c r="A2" s="11"/>
      <c r="B2" s="7"/>
      <c r="C2" s="7"/>
      <c r="D2" s="49"/>
      <c r="E2" s="49"/>
      <c r="F2" s="49"/>
      <c r="G2" s="7"/>
      <c r="H2" s="7"/>
      <c r="I2" s="7"/>
      <c r="J2" s="7"/>
      <c r="K2" s="76"/>
      <c r="L2" s="51"/>
      <c r="M2" s="7"/>
      <c r="N2" s="7"/>
      <c r="O2" s="18"/>
      <c r="P2" s="18"/>
      <c r="Q2" s="17"/>
    </row>
    <row r="3" spans="1:18" ht="15.75" thickBot="1" x14ac:dyDescent="0.3">
      <c r="A3" s="12"/>
      <c r="B3" s="13"/>
      <c r="C3" s="13"/>
      <c r="D3" s="50"/>
      <c r="E3" s="50"/>
      <c r="F3" s="50"/>
      <c r="G3" s="13"/>
      <c r="H3" s="13"/>
      <c r="I3" s="13"/>
      <c r="J3" s="13"/>
      <c r="K3" s="79"/>
      <c r="L3" s="52"/>
      <c r="M3" s="13"/>
      <c r="N3" s="13"/>
      <c r="O3" s="46"/>
      <c r="P3" s="46"/>
      <c r="Q3" s="47"/>
    </row>
    <row r="4" spans="1:18" x14ac:dyDescent="0.25">
      <c r="A4" s="1"/>
      <c r="B4" s="1"/>
      <c r="C4" s="1"/>
      <c r="D4" s="1"/>
      <c r="E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8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DEA80-95B5-46B7-8877-6E7973A698EF}">
  <dimension ref="A1:D8"/>
  <sheetViews>
    <sheetView workbookViewId="0">
      <selection activeCell="A2" sqref="A2:D8"/>
    </sheetView>
  </sheetViews>
  <sheetFormatPr defaultColWidth="8.85546875" defaultRowHeight="15" x14ac:dyDescent="0.25"/>
  <cols>
    <col min="1" max="1" width="8.28515625" bestFit="1" customWidth="1"/>
    <col min="2" max="2" width="34.28515625" bestFit="1" customWidth="1"/>
    <col min="3" max="3" width="18.7109375" bestFit="1" customWidth="1"/>
    <col min="4" max="4" width="37.28515625" bestFit="1" customWidth="1"/>
  </cols>
  <sheetData>
    <row r="1" spans="1:4" ht="15.75" thickBot="1" x14ac:dyDescent="0.3">
      <c r="A1" s="14" t="s">
        <v>0</v>
      </c>
      <c r="B1" s="15" t="s">
        <v>23</v>
      </c>
      <c r="C1" s="15" t="s">
        <v>22</v>
      </c>
      <c r="D1" s="16" t="s">
        <v>25</v>
      </c>
    </row>
    <row r="2" spans="1:4" x14ac:dyDescent="0.25">
      <c r="A2" s="44"/>
      <c r="B2" s="45"/>
      <c r="C2" s="61"/>
      <c r="D2" s="19"/>
    </row>
    <row r="3" spans="1:4" x14ac:dyDescent="0.25">
      <c r="A3" s="11"/>
      <c r="B3" s="7"/>
      <c r="C3" s="49"/>
      <c r="D3" s="3"/>
    </row>
    <row r="4" spans="1:4" x14ac:dyDescent="0.25">
      <c r="A4" s="11"/>
      <c r="B4" s="7"/>
      <c r="C4" s="49"/>
      <c r="D4" s="3"/>
    </row>
    <row r="5" spans="1:4" x14ac:dyDescent="0.25">
      <c r="A5" s="11"/>
      <c r="B5" s="7"/>
      <c r="C5" s="49"/>
      <c r="D5" s="3"/>
    </row>
    <row r="6" spans="1:4" x14ac:dyDescent="0.25">
      <c r="A6" s="11"/>
      <c r="B6" s="7"/>
      <c r="C6" s="49"/>
      <c r="D6" s="3"/>
    </row>
    <row r="7" spans="1:4" x14ac:dyDescent="0.25">
      <c r="A7" s="11"/>
      <c r="B7" s="7"/>
      <c r="C7" s="49"/>
      <c r="D7" s="3"/>
    </row>
    <row r="8" spans="1:4" ht="15.75" thickBot="1" x14ac:dyDescent="0.3">
      <c r="A8" s="11"/>
      <c r="B8" s="13"/>
      <c r="C8" s="50"/>
      <c r="D8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EFB00-1289-4B8E-87A3-B856D2DE3F10}">
  <dimension ref="A1:Q23"/>
  <sheetViews>
    <sheetView zoomScaleNormal="100" workbookViewId="0">
      <pane ySplit="1" topLeftCell="A2" activePane="bottomLeft" state="frozen"/>
      <selection pane="bottomLeft" activeCell="A2" sqref="A2:Q23"/>
    </sheetView>
  </sheetViews>
  <sheetFormatPr defaultColWidth="8.85546875" defaultRowHeight="15" x14ac:dyDescent="0.25"/>
  <cols>
    <col min="1" max="1" width="11.7109375" bestFit="1" customWidth="1"/>
    <col min="2" max="2" width="11.7109375" customWidth="1"/>
    <col min="3" max="3" width="23.85546875" bestFit="1" customWidth="1"/>
    <col min="4" max="4" width="36" customWidth="1"/>
    <col min="5" max="5" width="17.28515625" bestFit="1" customWidth="1"/>
    <col min="6" max="6" width="10.42578125" bestFit="1" customWidth="1"/>
    <col min="7" max="8" width="8.42578125" bestFit="1" customWidth="1"/>
    <col min="10" max="12" width="6" bestFit="1" customWidth="1"/>
    <col min="13" max="13" width="6.85546875" bestFit="1" customWidth="1"/>
    <col min="14" max="14" width="9.85546875" bestFit="1" customWidth="1"/>
    <col min="15" max="15" width="9.85546875" customWidth="1"/>
    <col min="16" max="16" width="9.85546875" bestFit="1" customWidth="1"/>
    <col min="17" max="17" width="20.42578125" bestFit="1" customWidth="1"/>
    <col min="20" max="20" width="16.7109375" bestFit="1" customWidth="1"/>
  </cols>
  <sheetData>
    <row r="1" spans="1:17" ht="15.75" thickBot="1" x14ac:dyDescent="0.3">
      <c r="A1" s="14" t="s">
        <v>0</v>
      </c>
      <c r="B1" s="40" t="s">
        <v>75</v>
      </c>
      <c r="C1" s="15" t="s">
        <v>10</v>
      </c>
      <c r="D1" s="15" t="s">
        <v>18</v>
      </c>
      <c r="E1" s="15" t="s">
        <v>1</v>
      </c>
      <c r="F1" s="15" t="s">
        <v>2</v>
      </c>
      <c r="G1" s="15" t="s">
        <v>3</v>
      </c>
      <c r="H1" s="15" t="s">
        <v>15</v>
      </c>
      <c r="I1" s="15" t="s">
        <v>16</v>
      </c>
      <c r="J1" s="15" t="s">
        <v>6</v>
      </c>
      <c r="K1" s="15" t="s">
        <v>4</v>
      </c>
      <c r="L1" s="15" t="s">
        <v>5</v>
      </c>
      <c r="M1" s="15" t="s">
        <v>7</v>
      </c>
      <c r="N1" s="15" t="s">
        <v>27</v>
      </c>
      <c r="O1" s="15" t="s">
        <v>37</v>
      </c>
      <c r="P1" s="15" t="s">
        <v>8</v>
      </c>
      <c r="Q1" s="16" t="s">
        <v>26</v>
      </c>
    </row>
    <row r="2" spans="1:17" ht="15.75" x14ac:dyDescent="0.25">
      <c r="A2" s="115"/>
      <c r="B2" s="115"/>
      <c r="C2" s="115"/>
      <c r="D2" s="115"/>
      <c r="E2" s="115"/>
      <c r="F2" s="115"/>
      <c r="G2" s="115"/>
      <c r="H2" s="123"/>
      <c r="I2" s="123"/>
      <c r="J2" s="124"/>
      <c r="K2" s="124"/>
      <c r="L2" s="124"/>
      <c r="M2" s="115"/>
      <c r="N2" s="115"/>
      <c r="O2" s="115"/>
      <c r="P2" s="115"/>
      <c r="Q2" s="115"/>
    </row>
    <row r="3" spans="1:17" ht="15.75" x14ac:dyDescent="0.25">
      <c r="A3" s="116"/>
      <c r="B3" s="116"/>
      <c r="C3" s="116"/>
      <c r="D3" s="104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</row>
    <row r="4" spans="1:17" ht="15.75" x14ac:dyDescent="0.25">
      <c r="A4" s="116"/>
      <c r="B4" s="116"/>
      <c r="C4" s="116"/>
      <c r="D4" s="104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</row>
    <row r="5" spans="1:17" ht="15.75" x14ac:dyDescent="0.25">
      <c r="A5" s="115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</row>
    <row r="6" spans="1:17" ht="15.75" x14ac:dyDescent="0.25">
      <c r="A6" s="116"/>
      <c r="B6" s="116"/>
      <c r="C6" s="116"/>
      <c r="D6" s="104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</row>
    <row r="7" spans="1:17" ht="15.75" x14ac:dyDescent="0.25">
      <c r="A7" s="116"/>
      <c r="B7" s="116"/>
      <c r="C7" s="116"/>
      <c r="D7" s="104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</row>
    <row r="8" spans="1:17" ht="15.75" x14ac:dyDescent="0.25">
      <c r="A8" s="115"/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</row>
    <row r="9" spans="1:17" ht="15.75" x14ac:dyDescent="0.25">
      <c r="A9" s="115"/>
      <c r="B9" s="115"/>
      <c r="C9" s="115"/>
      <c r="D9" s="115"/>
      <c r="E9" s="115"/>
      <c r="F9" s="115"/>
      <c r="G9" s="115"/>
      <c r="H9" s="125"/>
      <c r="I9" s="125"/>
      <c r="J9" s="125"/>
      <c r="K9" s="125"/>
      <c r="L9" s="125"/>
      <c r="M9" s="115"/>
      <c r="N9" s="115"/>
      <c r="O9" s="115"/>
      <c r="P9" s="115"/>
      <c r="Q9" s="115"/>
    </row>
    <row r="10" spans="1:17" ht="15.75" x14ac:dyDescent="0.25">
      <c r="A10" s="116"/>
      <c r="B10" s="116"/>
      <c r="C10" s="116"/>
      <c r="D10" s="104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</row>
    <row r="11" spans="1:17" ht="15.75" x14ac:dyDescent="0.25">
      <c r="A11" s="116"/>
      <c r="B11" s="116"/>
      <c r="C11" s="116"/>
      <c r="D11" s="104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6"/>
    </row>
    <row r="12" spans="1:17" ht="15.75" x14ac:dyDescent="0.25">
      <c r="A12" s="115"/>
      <c r="B12" s="115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</row>
    <row r="13" spans="1:17" ht="15.75" x14ac:dyDescent="0.25">
      <c r="A13" s="117"/>
      <c r="B13" s="117"/>
      <c r="C13" s="117"/>
      <c r="D13" s="117"/>
      <c r="E13" s="117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8"/>
    </row>
    <row r="14" spans="1:17" ht="15.75" x14ac:dyDescent="0.25">
      <c r="A14" s="119"/>
      <c r="B14" s="119"/>
      <c r="C14" s="119"/>
      <c r="D14" s="109"/>
      <c r="E14" s="119"/>
      <c r="F14" s="120"/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</row>
    <row r="15" spans="1:17" ht="15.75" x14ac:dyDescent="0.25">
      <c r="A15" s="115"/>
      <c r="B15" s="115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5"/>
    </row>
    <row r="16" spans="1:17" ht="15.75" x14ac:dyDescent="0.25">
      <c r="A16" s="117"/>
      <c r="B16" s="117"/>
      <c r="C16" s="117"/>
      <c r="D16" s="117"/>
      <c r="E16" s="117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8"/>
    </row>
    <row r="17" spans="1:17" ht="15.75" x14ac:dyDescent="0.25">
      <c r="A17" s="119"/>
      <c r="B17" s="119"/>
      <c r="C17" s="119"/>
      <c r="D17" s="109"/>
      <c r="E17" s="119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</row>
    <row r="18" spans="1:17" ht="15.75" x14ac:dyDescent="0.25">
      <c r="A18" s="115"/>
      <c r="B18" s="115"/>
      <c r="C18" s="115"/>
      <c r="D18" s="115"/>
      <c r="E18" s="115"/>
      <c r="F18" s="115"/>
      <c r="G18" s="115"/>
      <c r="H18" s="115"/>
      <c r="I18" s="115"/>
      <c r="J18" s="121"/>
      <c r="K18" s="115"/>
      <c r="L18" s="115"/>
      <c r="M18" s="115"/>
      <c r="N18" s="115"/>
      <c r="O18" s="115"/>
      <c r="P18" s="115"/>
      <c r="Q18" s="115"/>
    </row>
    <row r="19" spans="1:17" ht="15.75" x14ac:dyDescent="0.25">
      <c r="A19" s="117"/>
      <c r="B19" s="117"/>
      <c r="C19" s="117"/>
      <c r="D19" s="117"/>
      <c r="E19" s="117"/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</row>
    <row r="20" spans="1:17" ht="15.75" x14ac:dyDescent="0.25">
      <c r="A20" s="119"/>
      <c r="B20" s="119"/>
      <c r="C20" s="119"/>
      <c r="D20" s="109"/>
      <c r="E20" s="119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P20" s="120"/>
      <c r="Q20" s="120"/>
    </row>
    <row r="21" spans="1:17" ht="15.75" x14ac:dyDescent="0.25">
      <c r="A21" s="111"/>
      <c r="B21" s="112"/>
      <c r="C21" s="113"/>
      <c r="D21" s="113"/>
      <c r="E21" s="113"/>
      <c r="F21" s="115"/>
      <c r="G21" s="115"/>
      <c r="H21" s="125"/>
      <c r="I21" s="125"/>
      <c r="J21" s="114"/>
      <c r="K21" s="125"/>
      <c r="L21" s="125"/>
      <c r="M21" s="115"/>
      <c r="N21" s="115"/>
      <c r="O21" s="115"/>
      <c r="P21" s="115"/>
      <c r="Q21" s="122"/>
    </row>
    <row r="22" spans="1:17" ht="15.75" x14ac:dyDescent="0.25">
      <c r="A22" s="119"/>
      <c r="B22" s="119"/>
      <c r="C22" s="119"/>
      <c r="D22" s="109"/>
      <c r="E22" s="119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</row>
    <row r="23" spans="1:17" ht="15.75" x14ac:dyDescent="0.25">
      <c r="A23" s="119"/>
      <c r="B23" s="119"/>
      <c r="C23" s="119"/>
      <c r="D23" s="109"/>
      <c r="E23" s="119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  <c r="Q23" s="120"/>
    </row>
  </sheetData>
  <autoFilter ref="A1:Q23" xr:uid="{06AEFB00-1289-4B8E-87A3-B856D2DE3F10}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1D96C-4A4A-43AA-A25B-C3E8B3533E2E}">
  <dimension ref="A1:N34"/>
  <sheetViews>
    <sheetView zoomScale="70" zoomScaleNormal="70" workbookViewId="0">
      <selection activeCell="B39" sqref="B39"/>
    </sheetView>
  </sheetViews>
  <sheetFormatPr defaultColWidth="8.85546875" defaultRowHeight="15" x14ac:dyDescent="0.25"/>
  <cols>
    <col min="1" max="1" width="12" bestFit="1" customWidth="1"/>
    <col min="2" max="2" width="35" bestFit="1" customWidth="1"/>
    <col min="3" max="3" width="10.42578125" customWidth="1"/>
    <col min="4" max="4" width="45.140625" customWidth="1"/>
    <col min="5" max="5" width="17.42578125" customWidth="1"/>
    <col min="6" max="6" width="15" customWidth="1"/>
    <col min="7" max="7" width="59" customWidth="1"/>
    <col min="8" max="8" width="64.28515625" bestFit="1" customWidth="1"/>
    <col min="9" max="9" width="13.140625" bestFit="1" customWidth="1"/>
    <col min="10" max="10" width="14" customWidth="1"/>
    <col min="11" max="11" width="13.140625" customWidth="1"/>
    <col min="12" max="12" width="8.85546875" customWidth="1"/>
    <col min="13" max="13" width="12.42578125" customWidth="1"/>
    <col min="14" max="14" width="44" customWidth="1"/>
  </cols>
  <sheetData>
    <row r="1" spans="1:14" ht="30.75" thickBot="1" x14ac:dyDescent="0.3">
      <c r="A1" s="68" t="s">
        <v>0</v>
      </c>
      <c r="B1" s="69" t="s">
        <v>19</v>
      </c>
      <c r="C1" s="69" t="s">
        <v>1</v>
      </c>
      <c r="D1" s="69" t="s">
        <v>54</v>
      </c>
      <c r="E1" s="70" t="s">
        <v>43</v>
      </c>
      <c r="F1" s="69" t="s">
        <v>3</v>
      </c>
      <c r="G1" s="71" t="s">
        <v>44</v>
      </c>
      <c r="H1" s="71" t="s">
        <v>45</v>
      </c>
      <c r="I1" s="69" t="s">
        <v>7</v>
      </c>
      <c r="J1" s="70" t="s">
        <v>41</v>
      </c>
      <c r="K1" s="70" t="s">
        <v>51</v>
      </c>
      <c r="L1" s="72" t="s">
        <v>52</v>
      </c>
      <c r="M1" s="73" t="s">
        <v>64</v>
      </c>
      <c r="N1" s="74" t="s">
        <v>42</v>
      </c>
    </row>
    <row r="2" spans="1:14" x14ac:dyDescent="0.25">
      <c r="A2" s="89" t="s">
        <v>30</v>
      </c>
      <c r="B2" s="89" t="s">
        <v>58</v>
      </c>
      <c r="C2" s="89" t="s">
        <v>102</v>
      </c>
      <c r="D2" s="89" t="s">
        <v>132</v>
      </c>
      <c r="E2" s="89" t="s">
        <v>14</v>
      </c>
      <c r="F2" s="89" t="s">
        <v>13</v>
      </c>
      <c r="G2" s="89" t="s">
        <v>133</v>
      </c>
      <c r="H2" s="89" t="s">
        <v>134</v>
      </c>
      <c r="I2" s="89">
        <v>2032</v>
      </c>
      <c r="J2" s="89">
        <v>2032</v>
      </c>
      <c r="K2" s="89">
        <v>0</v>
      </c>
      <c r="L2" s="89" t="s">
        <v>53</v>
      </c>
      <c r="M2" s="89">
        <v>0.95</v>
      </c>
      <c r="N2" s="89" t="s">
        <v>55</v>
      </c>
    </row>
    <row r="3" spans="1:14" x14ac:dyDescent="0.25">
      <c r="A3" s="89" t="s">
        <v>30</v>
      </c>
      <c r="B3" s="89" t="s">
        <v>81</v>
      </c>
      <c r="C3" s="89" t="s">
        <v>102</v>
      </c>
      <c r="D3" s="89" t="s">
        <v>132</v>
      </c>
      <c r="E3" s="89" t="s">
        <v>14</v>
      </c>
      <c r="F3" s="89" t="s">
        <v>13</v>
      </c>
      <c r="G3" s="89" t="s">
        <v>133</v>
      </c>
      <c r="H3" s="89" t="s">
        <v>135</v>
      </c>
      <c r="I3" s="89"/>
      <c r="J3" s="89">
        <v>2032</v>
      </c>
      <c r="K3" s="89">
        <v>0</v>
      </c>
      <c r="L3" s="89" t="s">
        <v>53</v>
      </c>
      <c r="M3" s="89">
        <v>0.95</v>
      </c>
      <c r="N3" s="89" t="s">
        <v>80</v>
      </c>
    </row>
    <row r="4" spans="1:14" x14ac:dyDescent="0.25">
      <c r="A4" s="100" t="s">
        <v>30</v>
      </c>
      <c r="B4" s="100" t="s">
        <v>58</v>
      </c>
      <c r="C4" s="100" t="s">
        <v>67</v>
      </c>
      <c r="D4" s="100" t="s">
        <v>70</v>
      </c>
      <c r="E4" s="100" t="s">
        <v>14</v>
      </c>
      <c r="F4" s="100" t="s">
        <v>13</v>
      </c>
      <c r="G4" s="100" t="s">
        <v>136</v>
      </c>
      <c r="H4" s="100" t="s">
        <v>137</v>
      </c>
      <c r="I4" s="100">
        <v>2031</v>
      </c>
      <c r="J4" s="100">
        <v>2050</v>
      </c>
      <c r="K4" s="100">
        <v>4.2050000000000001</v>
      </c>
      <c r="L4" s="100" t="s">
        <v>53</v>
      </c>
      <c r="M4" s="100">
        <v>0.8</v>
      </c>
      <c r="N4" s="100" t="s">
        <v>55</v>
      </c>
    </row>
    <row r="5" spans="1:14" x14ac:dyDescent="0.25">
      <c r="A5" s="100" t="s">
        <v>77</v>
      </c>
      <c r="B5" s="100" t="s">
        <v>81</v>
      </c>
      <c r="C5" s="100" t="s">
        <v>67</v>
      </c>
      <c r="D5" s="100" t="s">
        <v>138</v>
      </c>
      <c r="E5" s="100" t="s">
        <v>14</v>
      </c>
      <c r="F5" s="100" t="s">
        <v>13</v>
      </c>
      <c r="G5" s="100">
        <v>2018</v>
      </c>
      <c r="H5" s="100">
        <v>9.4E-2</v>
      </c>
      <c r="I5" s="100"/>
      <c r="J5" s="100">
        <v>2019</v>
      </c>
      <c r="K5" s="100">
        <v>14</v>
      </c>
      <c r="L5" s="100" t="s">
        <v>53</v>
      </c>
      <c r="M5" s="100">
        <v>0.8</v>
      </c>
      <c r="N5" s="100" t="s">
        <v>80</v>
      </c>
    </row>
    <row r="6" spans="1:14" x14ac:dyDescent="0.25">
      <c r="A6" s="88" t="s">
        <v>30</v>
      </c>
      <c r="B6" s="88" t="s">
        <v>58</v>
      </c>
      <c r="C6" s="88" t="s">
        <v>66</v>
      </c>
      <c r="D6" s="88" t="s">
        <v>69</v>
      </c>
      <c r="E6" s="88" t="s">
        <v>14</v>
      </c>
      <c r="F6" s="88" t="s">
        <v>13</v>
      </c>
      <c r="G6" s="88" t="s">
        <v>97</v>
      </c>
      <c r="H6" s="88" t="s">
        <v>139</v>
      </c>
      <c r="I6" s="88">
        <v>2029</v>
      </c>
      <c r="J6" s="88">
        <v>2050</v>
      </c>
      <c r="K6" s="88">
        <v>22</v>
      </c>
      <c r="L6" s="88" t="s">
        <v>53</v>
      </c>
      <c r="M6" s="88">
        <v>0.8</v>
      </c>
      <c r="N6" s="88" t="s">
        <v>55</v>
      </c>
    </row>
    <row r="7" spans="1:14" x14ac:dyDescent="0.25">
      <c r="A7" s="85" t="s">
        <v>77</v>
      </c>
      <c r="B7" s="85" t="s">
        <v>63</v>
      </c>
      <c r="C7" s="85" t="s">
        <v>68</v>
      </c>
      <c r="D7" s="85" t="s">
        <v>110</v>
      </c>
      <c r="E7" s="85" t="s">
        <v>13</v>
      </c>
      <c r="F7" s="85" t="s">
        <v>13</v>
      </c>
      <c r="G7" s="85" t="s">
        <v>111</v>
      </c>
      <c r="H7" s="85" t="s">
        <v>116</v>
      </c>
      <c r="I7" s="85"/>
      <c r="J7" s="85">
        <v>2050</v>
      </c>
      <c r="K7" s="85">
        <v>0.73404870899999997</v>
      </c>
      <c r="L7" s="85" t="s">
        <v>108</v>
      </c>
      <c r="M7" s="85">
        <v>1</v>
      </c>
      <c r="N7" s="85" t="s">
        <v>109</v>
      </c>
    </row>
    <row r="8" spans="1:14" x14ac:dyDescent="0.25">
      <c r="A8" s="85" t="s">
        <v>30</v>
      </c>
      <c r="B8" s="85" t="s">
        <v>58</v>
      </c>
      <c r="C8" s="85" t="s">
        <v>68</v>
      </c>
      <c r="D8" s="85" t="s">
        <v>71</v>
      </c>
      <c r="E8" s="85" t="s">
        <v>14</v>
      </c>
      <c r="F8" s="85" t="s">
        <v>13</v>
      </c>
      <c r="G8" s="85" t="s">
        <v>111</v>
      </c>
      <c r="H8" s="85" t="s">
        <v>140</v>
      </c>
      <c r="I8" s="85">
        <v>2024</v>
      </c>
      <c r="J8" s="85">
        <v>2050</v>
      </c>
      <c r="K8" s="85">
        <v>15.92</v>
      </c>
      <c r="L8" s="85" t="s">
        <v>53</v>
      </c>
      <c r="M8" s="85">
        <v>0.8</v>
      </c>
      <c r="N8" s="85" t="s">
        <v>55</v>
      </c>
    </row>
    <row r="9" spans="1:14" x14ac:dyDescent="0.25">
      <c r="A9" s="99" t="s">
        <v>30</v>
      </c>
      <c r="B9" s="99" t="s">
        <v>58</v>
      </c>
      <c r="C9" s="99" t="s">
        <v>98</v>
      </c>
      <c r="D9" s="99" t="s">
        <v>99</v>
      </c>
      <c r="E9" s="99" t="s">
        <v>14</v>
      </c>
      <c r="F9" s="99" t="s">
        <v>13</v>
      </c>
      <c r="G9" s="99" t="s">
        <v>117</v>
      </c>
      <c r="H9" s="99" t="s">
        <v>141</v>
      </c>
      <c r="I9" s="99">
        <v>2026</v>
      </c>
      <c r="J9" s="99">
        <v>2050</v>
      </c>
      <c r="K9" s="99">
        <v>1.7000000000000001E-2</v>
      </c>
      <c r="L9" s="99" t="s">
        <v>53</v>
      </c>
      <c r="M9" s="99">
        <v>0.8</v>
      </c>
      <c r="N9" s="99" t="s">
        <v>55</v>
      </c>
    </row>
    <row r="10" spans="1:14" x14ac:dyDescent="0.25">
      <c r="A10" s="87" t="s">
        <v>30</v>
      </c>
      <c r="B10" s="87" t="s">
        <v>58</v>
      </c>
      <c r="C10" s="87" t="s">
        <v>100</v>
      </c>
      <c r="D10" s="87" t="s">
        <v>101</v>
      </c>
      <c r="E10" s="87" t="s">
        <v>14</v>
      </c>
      <c r="F10" s="87" t="s">
        <v>13</v>
      </c>
      <c r="G10" s="87" t="s">
        <v>142</v>
      </c>
      <c r="H10" s="87" t="s">
        <v>143</v>
      </c>
      <c r="I10" s="87">
        <v>2025</v>
      </c>
      <c r="J10" s="87">
        <v>2050</v>
      </c>
      <c r="K10" s="87">
        <v>2.5099999999999998</v>
      </c>
      <c r="L10" s="87" t="s">
        <v>53</v>
      </c>
      <c r="M10" s="87">
        <v>0.8</v>
      </c>
      <c r="N10" s="87" t="s">
        <v>55</v>
      </c>
    </row>
    <row r="11" spans="1:14" x14ac:dyDescent="0.25">
      <c r="A11" s="98" t="s">
        <v>77</v>
      </c>
      <c r="B11" s="98" t="s">
        <v>112</v>
      </c>
      <c r="C11" s="98" t="s">
        <v>48</v>
      </c>
      <c r="D11" s="98" t="s">
        <v>113</v>
      </c>
      <c r="E11" s="98" t="s">
        <v>13</v>
      </c>
      <c r="F11" s="98" t="s">
        <v>13</v>
      </c>
      <c r="G11" s="98" t="s">
        <v>96</v>
      </c>
      <c r="H11" s="98" t="s">
        <v>114</v>
      </c>
      <c r="I11" s="98"/>
      <c r="J11" s="98">
        <v>2022</v>
      </c>
      <c r="K11" s="98">
        <v>1</v>
      </c>
      <c r="L11" s="98" t="s">
        <v>79</v>
      </c>
      <c r="M11" s="98">
        <v>1</v>
      </c>
      <c r="N11" s="98" t="s">
        <v>109</v>
      </c>
    </row>
    <row r="12" spans="1:14" x14ac:dyDescent="0.25">
      <c r="A12" s="98" t="s">
        <v>77</v>
      </c>
      <c r="B12" s="98" t="s">
        <v>78</v>
      </c>
      <c r="C12" s="98" t="s">
        <v>48</v>
      </c>
      <c r="D12" s="98" t="s">
        <v>115</v>
      </c>
      <c r="E12" s="98" t="s">
        <v>14</v>
      </c>
      <c r="F12" s="98" t="s">
        <v>13</v>
      </c>
      <c r="G12" s="98">
        <v>2018</v>
      </c>
      <c r="H12" s="98">
        <v>0</v>
      </c>
      <c r="I12" s="98"/>
      <c r="J12" s="98">
        <v>2024</v>
      </c>
      <c r="K12" s="98">
        <v>1</v>
      </c>
      <c r="L12" s="98" t="s">
        <v>79</v>
      </c>
      <c r="M12" s="98">
        <v>1</v>
      </c>
      <c r="N12" s="98" t="s">
        <v>80</v>
      </c>
    </row>
    <row r="13" spans="1:14" x14ac:dyDescent="0.25">
      <c r="A13" s="98" t="s">
        <v>30</v>
      </c>
      <c r="B13" s="98" t="s">
        <v>58</v>
      </c>
      <c r="C13" s="98" t="s">
        <v>48</v>
      </c>
      <c r="D13" s="98" t="s">
        <v>107</v>
      </c>
      <c r="E13" s="98" t="s">
        <v>14</v>
      </c>
      <c r="F13" s="98" t="s">
        <v>13</v>
      </c>
      <c r="G13" s="98" t="s">
        <v>144</v>
      </c>
      <c r="H13" s="98" t="s">
        <v>145</v>
      </c>
      <c r="I13" s="98">
        <v>2034</v>
      </c>
      <c r="J13" s="98">
        <v>2050</v>
      </c>
      <c r="K13" s="98">
        <v>12.9</v>
      </c>
      <c r="L13" s="98" t="s">
        <v>53</v>
      </c>
      <c r="M13" s="98">
        <v>0.8</v>
      </c>
      <c r="N13" s="98" t="s">
        <v>55</v>
      </c>
    </row>
    <row r="14" spans="1:14" x14ac:dyDescent="0.25">
      <c r="A14" s="98" t="s">
        <v>30</v>
      </c>
      <c r="B14" s="98" t="s">
        <v>146</v>
      </c>
      <c r="C14" s="98" t="s">
        <v>48</v>
      </c>
      <c r="D14" s="98" t="s">
        <v>176</v>
      </c>
      <c r="E14" s="98" t="s">
        <v>13</v>
      </c>
      <c r="F14" s="98" t="s">
        <v>13</v>
      </c>
      <c r="G14" s="98" t="s">
        <v>148</v>
      </c>
      <c r="H14" s="98" t="s">
        <v>149</v>
      </c>
      <c r="I14" s="98"/>
      <c r="J14" s="98">
        <v>2042</v>
      </c>
      <c r="K14" s="98">
        <v>0</v>
      </c>
      <c r="L14" s="98" t="s">
        <v>79</v>
      </c>
      <c r="M14" s="98">
        <v>1</v>
      </c>
      <c r="N14" s="98" t="s">
        <v>109</v>
      </c>
    </row>
    <row r="15" spans="1:14" x14ac:dyDescent="0.25">
      <c r="A15" s="98" t="s">
        <v>77</v>
      </c>
      <c r="B15" s="98" t="s">
        <v>81</v>
      </c>
      <c r="C15" s="98" t="s">
        <v>48</v>
      </c>
      <c r="D15" s="98" t="s">
        <v>107</v>
      </c>
      <c r="E15" s="98" t="s">
        <v>14</v>
      </c>
      <c r="F15" s="98" t="s">
        <v>13</v>
      </c>
      <c r="G15" s="98" t="s">
        <v>111</v>
      </c>
      <c r="H15" s="98" t="s">
        <v>150</v>
      </c>
      <c r="I15" s="98"/>
      <c r="J15" s="98">
        <v>2024</v>
      </c>
      <c r="K15" s="98">
        <v>50</v>
      </c>
      <c r="L15" s="98" t="s">
        <v>53</v>
      </c>
      <c r="M15" s="98">
        <v>0.8</v>
      </c>
      <c r="N15" s="98" t="s">
        <v>80</v>
      </c>
    </row>
    <row r="16" spans="1:14" x14ac:dyDescent="0.25">
      <c r="A16" s="97" t="s">
        <v>30</v>
      </c>
      <c r="B16" s="97" t="s">
        <v>81</v>
      </c>
      <c r="C16" s="97" t="s">
        <v>46</v>
      </c>
      <c r="D16" s="97" t="s">
        <v>104</v>
      </c>
      <c r="E16" s="97" t="s">
        <v>14</v>
      </c>
      <c r="F16" s="97" t="s">
        <v>13</v>
      </c>
      <c r="G16" s="97" t="s">
        <v>142</v>
      </c>
      <c r="H16" s="97" t="s">
        <v>151</v>
      </c>
      <c r="I16" s="97"/>
      <c r="J16" s="97">
        <v>2025</v>
      </c>
      <c r="K16" s="97">
        <v>100</v>
      </c>
      <c r="L16" s="97" t="s">
        <v>53</v>
      </c>
      <c r="M16" s="97">
        <v>0.8</v>
      </c>
      <c r="N16" s="89" t="s">
        <v>80</v>
      </c>
    </row>
    <row r="17" spans="1:14" x14ac:dyDescent="0.25">
      <c r="A17" s="97" t="s">
        <v>30</v>
      </c>
      <c r="B17" s="97" t="s">
        <v>58</v>
      </c>
      <c r="C17" s="97" t="s">
        <v>46</v>
      </c>
      <c r="D17" s="97" t="s">
        <v>104</v>
      </c>
      <c r="E17" s="97" t="s">
        <v>14</v>
      </c>
      <c r="F17" s="97" t="s">
        <v>13</v>
      </c>
      <c r="G17" s="97" t="s">
        <v>152</v>
      </c>
      <c r="H17" s="97" t="s">
        <v>153</v>
      </c>
      <c r="I17" s="97">
        <v>2030</v>
      </c>
      <c r="J17" s="97">
        <v>2050</v>
      </c>
      <c r="K17" s="97">
        <v>54.14</v>
      </c>
      <c r="L17" s="97" t="s">
        <v>53</v>
      </c>
      <c r="M17" s="97">
        <v>0.8</v>
      </c>
      <c r="N17" s="97" t="s">
        <v>55</v>
      </c>
    </row>
    <row r="18" spans="1:14" x14ac:dyDescent="0.25">
      <c r="A18" s="97" t="s">
        <v>30</v>
      </c>
      <c r="B18" s="97" t="s">
        <v>81</v>
      </c>
      <c r="C18" s="97" t="s">
        <v>47</v>
      </c>
      <c r="D18" s="97" t="s">
        <v>105</v>
      </c>
      <c r="E18" s="97" t="s">
        <v>14</v>
      </c>
      <c r="F18" s="97" t="s">
        <v>13</v>
      </c>
      <c r="G18" s="97" t="s">
        <v>142</v>
      </c>
      <c r="H18" s="97" t="s">
        <v>154</v>
      </c>
      <c r="I18" s="97"/>
      <c r="J18" s="97">
        <v>2025</v>
      </c>
      <c r="K18" s="97">
        <v>100</v>
      </c>
      <c r="L18" s="97" t="s">
        <v>53</v>
      </c>
      <c r="M18" s="97">
        <v>0.8</v>
      </c>
      <c r="N18" s="89" t="s">
        <v>80</v>
      </c>
    </row>
    <row r="19" spans="1:14" x14ac:dyDescent="0.25">
      <c r="A19" s="97" t="s">
        <v>30</v>
      </c>
      <c r="B19" s="97" t="s">
        <v>58</v>
      </c>
      <c r="C19" s="97" t="s">
        <v>47</v>
      </c>
      <c r="D19" s="97" t="s">
        <v>105</v>
      </c>
      <c r="E19" s="97" t="s">
        <v>14</v>
      </c>
      <c r="F19" s="97" t="s">
        <v>13</v>
      </c>
      <c r="G19" s="97" t="s">
        <v>155</v>
      </c>
      <c r="H19" s="97" t="s">
        <v>156</v>
      </c>
      <c r="I19" s="97">
        <v>2031</v>
      </c>
      <c r="J19" s="97">
        <v>2050</v>
      </c>
      <c r="K19" s="97">
        <v>8.1199999999999992</v>
      </c>
      <c r="L19" s="97" t="s">
        <v>53</v>
      </c>
      <c r="M19" s="97">
        <v>0.8</v>
      </c>
      <c r="N19" s="97" t="s">
        <v>55</v>
      </c>
    </row>
    <row r="20" spans="1:14" x14ac:dyDescent="0.25">
      <c r="A20" s="86" t="s">
        <v>30</v>
      </c>
      <c r="B20" s="86" t="s">
        <v>58</v>
      </c>
      <c r="C20" s="86" t="s">
        <v>94</v>
      </c>
      <c r="D20" s="86" t="s">
        <v>95</v>
      </c>
      <c r="E20" s="86" t="s">
        <v>14</v>
      </c>
      <c r="F20" s="86" t="s">
        <v>13</v>
      </c>
      <c r="G20" s="86" t="s">
        <v>155</v>
      </c>
      <c r="H20" s="86" t="s">
        <v>157</v>
      </c>
      <c r="I20" s="86">
        <v>2031</v>
      </c>
      <c r="J20" s="86">
        <v>2050</v>
      </c>
      <c r="K20" s="86">
        <v>13.9</v>
      </c>
      <c r="L20" s="86" t="s">
        <v>53</v>
      </c>
      <c r="M20" s="86">
        <v>0.8</v>
      </c>
      <c r="N20" s="86" t="s">
        <v>55</v>
      </c>
    </row>
    <row r="21" spans="1:14" x14ac:dyDescent="0.25">
      <c r="A21" s="86" t="s">
        <v>30</v>
      </c>
      <c r="B21" s="86" t="s">
        <v>146</v>
      </c>
      <c r="C21" s="86" t="s">
        <v>94</v>
      </c>
      <c r="D21" s="86" t="s">
        <v>147</v>
      </c>
      <c r="E21" s="86" t="s">
        <v>13</v>
      </c>
      <c r="F21" s="86" t="s">
        <v>13</v>
      </c>
      <c r="G21" s="86" t="s">
        <v>158</v>
      </c>
      <c r="H21" s="86" t="s">
        <v>159</v>
      </c>
      <c r="I21" s="86"/>
      <c r="J21" s="86">
        <v>2042</v>
      </c>
      <c r="K21" s="86">
        <v>0</v>
      </c>
      <c r="L21" s="86" t="s">
        <v>79</v>
      </c>
      <c r="M21" s="86">
        <v>1</v>
      </c>
      <c r="N21" s="86" t="s">
        <v>109</v>
      </c>
    </row>
    <row r="22" spans="1:14" x14ac:dyDescent="0.25">
      <c r="A22" s="96" t="s">
        <v>30</v>
      </c>
      <c r="B22" s="96" t="s">
        <v>112</v>
      </c>
      <c r="C22" s="96" t="s">
        <v>130</v>
      </c>
      <c r="D22" s="96" t="s">
        <v>160</v>
      </c>
      <c r="E22" s="96" t="s">
        <v>13</v>
      </c>
      <c r="F22" s="96" t="s">
        <v>13</v>
      </c>
      <c r="G22" s="96" t="s">
        <v>96</v>
      </c>
      <c r="H22" s="96" t="s">
        <v>161</v>
      </c>
      <c r="I22" s="96"/>
      <c r="J22" s="96">
        <v>2030</v>
      </c>
      <c r="K22" s="96">
        <v>0.4</v>
      </c>
      <c r="L22" s="96" t="s">
        <v>79</v>
      </c>
      <c r="M22" s="96">
        <v>1</v>
      </c>
      <c r="N22" s="96" t="s">
        <v>109</v>
      </c>
    </row>
    <row r="23" spans="1:14" x14ac:dyDescent="0.25">
      <c r="A23" s="96" t="s">
        <v>30</v>
      </c>
      <c r="B23" s="96" t="s">
        <v>112</v>
      </c>
      <c r="C23" s="96" t="s">
        <v>128</v>
      </c>
      <c r="D23" s="96" t="s">
        <v>162</v>
      </c>
      <c r="E23" s="96" t="s">
        <v>13</v>
      </c>
      <c r="F23" s="96" t="s">
        <v>13</v>
      </c>
      <c r="G23" s="96" t="s">
        <v>96</v>
      </c>
      <c r="H23" s="96" t="s">
        <v>163</v>
      </c>
      <c r="I23" s="96"/>
      <c r="J23" s="96">
        <v>2030</v>
      </c>
      <c r="K23" s="96">
        <v>0.4</v>
      </c>
      <c r="L23" s="96" t="s">
        <v>79</v>
      </c>
      <c r="M23" s="96">
        <v>1</v>
      </c>
      <c r="N23" s="96" t="s">
        <v>109</v>
      </c>
    </row>
    <row r="24" spans="1:14" x14ac:dyDescent="0.25">
      <c r="A24" s="96" t="s">
        <v>30</v>
      </c>
      <c r="B24" s="96" t="s">
        <v>58</v>
      </c>
      <c r="C24" s="96" t="s">
        <v>130</v>
      </c>
      <c r="D24" s="96" t="s">
        <v>131</v>
      </c>
      <c r="E24" s="96" t="s">
        <v>14</v>
      </c>
      <c r="F24" s="96" t="s">
        <v>13</v>
      </c>
      <c r="G24" s="96" t="s">
        <v>126</v>
      </c>
      <c r="H24" s="96" t="s">
        <v>164</v>
      </c>
      <c r="I24" s="96">
        <v>2028</v>
      </c>
      <c r="J24" s="96">
        <v>2050</v>
      </c>
      <c r="K24" s="96">
        <v>0</v>
      </c>
      <c r="L24" s="96" t="s">
        <v>53</v>
      </c>
      <c r="M24" s="96">
        <v>0.8</v>
      </c>
      <c r="N24" s="96" t="s">
        <v>55</v>
      </c>
    </row>
    <row r="25" spans="1:14" x14ac:dyDescent="0.25">
      <c r="A25" s="96" t="s">
        <v>77</v>
      </c>
      <c r="B25" s="96" t="s">
        <v>81</v>
      </c>
      <c r="C25" s="96" t="s">
        <v>130</v>
      </c>
      <c r="D25" s="96" t="s">
        <v>103</v>
      </c>
      <c r="E25" s="96" t="s">
        <v>14</v>
      </c>
      <c r="F25" s="96" t="s">
        <v>13</v>
      </c>
      <c r="G25" s="96">
        <v>2018</v>
      </c>
      <c r="H25" s="96">
        <v>9.6000000000000002E-2</v>
      </c>
      <c r="I25" s="96"/>
      <c r="J25" s="96">
        <v>2019</v>
      </c>
      <c r="K25" s="96">
        <v>50</v>
      </c>
      <c r="L25" s="96" t="s">
        <v>53</v>
      </c>
      <c r="M25" s="96">
        <v>0.8</v>
      </c>
      <c r="N25" s="96" t="s">
        <v>80</v>
      </c>
    </row>
    <row r="26" spans="1:14" x14ac:dyDescent="0.25">
      <c r="A26" s="96" t="s">
        <v>30</v>
      </c>
      <c r="B26" s="96" t="s">
        <v>58</v>
      </c>
      <c r="C26" s="96" t="s">
        <v>128</v>
      </c>
      <c r="D26" s="96" t="s">
        <v>129</v>
      </c>
      <c r="E26" s="96" t="s">
        <v>14</v>
      </c>
      <c r="F26" s="96" t="s">
        <v>13</v>
      </c>
      <c r="G26" s="96" t="s">
        <v>152</v>
      </c>
      <c r="H26" s="96" t="s">
        <v>165</v>
      </c>
      <c r="I26" s="96">
        <v>2030</v>
      </c>
      <c r="J26" s="96">
        <v>2050</v>
      </c>
      <c r="K26" s="96">
        <v>0</v>
      </c>
      <c r="L26" s="96" t="s">
        <v>53</v>
      </c>
      <c r="M26" s="96">
        <v>0.8</v>
      </c>
      <c r="N26" s="96" t="s">
        <v>55</v>
      </c>
    </row>
    <row r="27" spans="1:14" x14ac:dyDescent="0.25">
      <c r="A27" s="96" t="s">
        <v>30</v>
      </c>
      <c r="B27" s="96" t="s">
        <v>58</v>
      </c>
      <c r="C27" s="96" t="s">
        <v>50</v>
      </c>
      <c r="D27" s="96" t="s">
        <v>103</v>
      </c>
      <c r="E27" s="96" t="s">
        <v>14</v>
      </c>
      <c r="F27" s="96" t="s">
        <v>13</v>
      </c>
      <c r="G27" s="96" t="s">
        <v>97</v>
      </c>
      <c r="H27" s="96" t="s">
        <v>166</v>
      </c>
      <c r="I27" s="96">
        <v>2029</v>
      </c>
      <c r="J27" s="96">
        <v>2050</v>
      </c>
      <c r="K27" s="96">
        <v>10</v>
      </c>
      <c r="L27" s="96" t="s">
        <v>53</v>
      </c>
      <c r="M27" s="96">
        <v>0.8</v>
      </c>
      <c r="N27" s="96" t="s">
        <v>55</v>
      </c>
    </row>
    <row r="28" spans="1:14" x14ac:dyDescent="0.25">
      <c r="A28" s="96" t="s">
        <v>30</v>
      </c>
      <c r="B28" s="96" t="s">
        <v>112</v>
      </c>
      <c r="C28" s="96" t="s">
        <v>50</v>
      </c>
      <c r="D28" s="96" t="s">
        <v>167</v>
      </c>
      <c r="E28" s="96" t="s">
        <v>13</v>
      </c>
      <c r="F28" s="96" t="s">
        <v>13</v>
      </c>
      <c r="G28" s="96" t="s">
        <v>168</v>
      </c>
      <c r="H28" s="96" t="s">
        <v>169</v>
      </c>
      <c r="I28" s="96"/>
      <c r="J28" s="96">
        <v>2026</v>
      </c>
      <c r="K28" s="96">
        <v>0.875</v>
      </c>
      <c r="L28" s="96" t="s">
        <v>79</v>
      </c>
      <c r="M28" s="96">
        <v>1</v>
      </c>
      <c r="N28" s="96" t="s">
        <v>109</v>
      </c>
    </row>
    <row r="29" spans="1:14" x14ac:dyDescent="0.25">
      <c r="A29" s="96" t="s">
        <v>30</v>
      </c>
      <c r="B29" s="96" t="s">
        <v>112</v>
      </c>
      <c r="C29" s="96" t="s">
        <v>65</v>
      </c>
      <c r="D29" s="96" t="s">
        <v>170</v>
      </c>
      <c r="E29" s="96" t="s">
        <v>13</v>
      </c>
      <c r="F29" s="96" t="s">
        <v>13</v>
      </c>
      <c r="G29" s="96" t="s">
        <v>96</v>
      </c>
      <c r="H29" s="96" t="s">
        <v>163</v>
      </c>
      <c r="I29" s="96"/>
      <c r="J29" s="96">
        <v>2030</v>
      </c>
      <c r="K29" s="96">
        <v>0.5</v>
      </c>
      <c r="L29" s="96" t="s">
        <v>79</v>
      </c>
      <c r="M29" s="96">
        <v>1</v>
      </c>
      <c r="N29" s="96" t="s">
        <v>109</v>
      </c>
    </row>
    <row r="30" spans="1:14" x14ac:dyDescent="0.25">
      <c r="A30" s="96" t="s">
        <v>77</v>
      </c>
      <c r="B30" s="96" t="s">
        <v>81</v>
      </c>
      <c r="C30" s="96" t="s">
        <v>50</v>
      </c>
      <c r="D30" s="96" t="s">
        <v>103</v>
      </c>
      <c r="E30" s="96" t="s">
        <v>14</v>
      </c>
      <c r="F30" s="96" t="s">
        <v>13</v>
      </c>
      <c r="G30" s="96" t="s">
        <v>111</v>
      </c>
      <c r="H30" s="96" t="s">
        <v>171</v>
      </c>
      <c r="I30" s="96"/>
      <c r="J30" s="96">
        <v>2024</v>
      </c>
      <c r="K30" s="96">
        <v>50</v>
      </c>
      <c r="L30" s="96" t="s">
        <v>53</v>
      </c>
      <c r="M30" s="96">
        <v>0.8</v>
      </c>
      <c r="N30" s="96" t="s">
        <v>80</v>
      </c>
    </row>
    <row r="31" spans="1:14" x14ac:dyDescent="0.25">
      <c r="A31" s="96" t="s">
        <v>30</v>
      </c>
      <c r="B31" s="96" t="s">
        <v>58</v>
      </c>
      <c r="C31" s="96" t="s">
        <v>65</v>
      </c>
      <c r="D31" s="96" t="s">
        <v>127</v>
      </c>
      <c r="E31" s="96" t="s">
        <v>14</v>
      </c>
      <c r="F31" s="96" t="s">
        <v>13</v>
      </c>
      <c r="G31" s="96" t="s">
        <v>152</v>
      </c>
      <c r="H31" s="96" t="s">
        <v>165</v>
      </c>
      <c r="I31" s="96">
        <v>2030</v>
      </c>
      <c r="J31" s="96">
        <v>2050</v>
      </c>
      <c r="K31" s="96">
        <v>6.07</v>
      </c>
      <c r="L31" s="96" t="s">
        <v>53</v>
      </c>
      <c r="M31" s="96">
        <v>0.8</v>
      </c>
      <c r="N31" s="96" t="s">
        <v>55</v>
      </c>
    </row>
    <row r="32" spans="1:14" x14ac:dyDescent="0.25">
      <c r="A32" s="95" t="s">
        <v>30</v>
      </c>
      <c r="B32" s="95" t="s">
        <v>112</v>
      </c>
      <c r="C32" s="95" t="s">
        <v>49</v>
      </c>
      <c r="D32" s="95" t="s">
        <v>175</v>
      </c>
      <c r="E32" s="95" t="s">
        <v>13</v>
      </c>
      <c r="F32" s="95" t="s">
        <v>13</v>
      </c>
      <c r="G32" s="95" t="s">
        <v>168</v>
      </c>
      <c r="H32" s="95" t="s">
        <v>172</v>
      </c>
      <c r="I32" s="95"/>
      <c r="J32" s="95">
        <v>2030</v>
      </c>
      <c r="K32" s="95">
        <v>0.50900000000000001</v>
      </c>
      <c r="L32" s="95" t="s">
        <v>79</v>
      </c>
      <c r="M32" s="95">
        <v>1</v>
      </c>
      <c r="N32" s="95" t="s">
        <v>109</v>
      </c>
    </row>
    <row r="33" spans="1:14" x14ac:dyDescent="0.25">
      <c r="A33" s="95" t="s">
        <v>30</v>
      </c>
      <c r="B33" s="95" t="s">
        <v>58</v>
      </c>
      <c r="C33" s="95" t="s">
        <v>49</v>
      </c>
      <c r="D33" s="95" t="s">
        <v>106</v>
      </c>
      <c r="E33" s="95" t="s">
        <v>14</v>
      </c>
      <c r="F33" s="95" t="s">
        <v>13</v>
      </c>
      <c r="G33" s="95" t="s">
        <v>152</v>
      </c>
      <c r="H33" s="95" t="s">
        <v>173</v>
      </c>
      <c r="I33" s="95">
        <v>2030</v>
      </c>
      <c r="J33" s="95">
        <v>2050</v>
      </c>
      <c r="K33" s="95">
        <v>9.5679999999999996</v>
      </c>
      <c r="L33" s="95" t="s">
        <v>53</v>
      </c>
      <c r="M33" s="95">
        <v>0.8</v>
      </c>
      <c r="N33" s="95" t="s">
        <v>55</v>
      </c>
    </row>
    <row r="34" spans="1:14" x14ac:dyDescent="0.25">
      <c r="A34" s="95" t="s">
        <v>77</v>
      </c>
      <c r="B34" s="95" t="s">
        <v>81</v>
      </c>
      <c r="C34" s="95" t="s">
        <v>49</v>
      </c>
      <c r="D34" s="95" t="s">
        <v>106</v>
      </c>
      <c r="E34" s="95" t="s">
        <v>14</v>
      </c>
      <c r="F34" s="95" t="s">
        <v>13</v>
      </c>
      <c r="G34" s="95" t="s">
        <v>111</v>
      </c>
      <c r="H34" s="95" t="s">
        <v>174</v>
      </c>
      <c r="I34" s="95"/>
      <c r="J34" s="95">
        <v>2024</v>
      </c>
      <c r="K34" s="95">
        <v>50</v>
      </c>
      <c r="L34" s="95" t="s">
        <v>53</v>
      </c>
      <c r="M34" s="95">
        <v>0.8</v>
      </c>
      <c r="N34" s="95" t="s">
        <v>80</v>
      </c>
    </row>
  </sheetData>
  <autoFilter ref="A1:N34" xr:uid="{BF11D96C-4A4A-43AA-A25B-C3E8B3533E2E}"/>
  <phoneticPr fontId="12" type="noConversion"/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60582-8E84-4795-90E6-91E6C5CD9C07}">
  <sheetPr filterMode="1"/>
  <dimension ref="A1:AQ13"/>
  <sheetViews>
    <sheetView zoomScaleNormal="100" workbookViewId="0">
      <selection activeCell="A2" sqref="A2:AQ15"/>
    </sheetView>
  </sheetViews>
  <sheetFormatPr defaultColWidth="8.85546875" defaultRowHeight="15" x14ac:dyDescent="0.25"/>
  <cols>
    <col min="1" max="1" width="11.85546875" customWidth="1"/>
    <col min="2" max="2" width="18.28515625" bestFit="1" customWidth="1"/>
    <col min="3" max="3" width="18.28515625" customWidth="1"/>
    <col min="4" max="4" width="26.42578125" customWidth="1"/>
    <col min="5" max="5" width="13.85546875" customWidth="1"/>
    <col min="6" max="6" width="9.85546875" bestFit="1" customWidth="1"/>
    <col min="7" max="7" width="11.85546875" customWidth="1"/>
    <col min="8" max="8" width="5" bestFit="1" customWidth="1"/>
    <col min="9" max="10" width="5.7109375" customWidth="1"/>
    <col min="11" max="16" width="9" customWidth="1"/>
    <col min="17" max="24" width="12" bestFit="1" customWidth="1"/>
    <col min="25" max="25" width="13.7109375" bestFit="1" customWidth="1"/>
    <col min="26" max="26" width="12.140625" bestFit="1" customWidth="1"/>
    <col min="27" max="27" width="14.85546875" bestFit="1" customWidth="1"/>
    <col min="28" max="39" width="12.140625" bestFit="1" customWidth="1"/>
    <col min="40" max="40" width="13.85546875" bestFit="1" customWidth="1"/>
    <col min="41" max="43" width="12.140625" bestFit="1" customWidth="1"/>
  </cols>
  <sheetData>
    <row r="1" spans="1:43" ht="45.75" thickBot="1" x14ac:dyDescent="0.3">
      <c r="A1" s="14" t="s">
        <v>0</v>
      </c>
      <c r="B1" s="15" t="s">
        <v>19</v>
      </c>
      <c r="C1" s="15" t="s">
        <v>1</v>
      </c>
      <c r="D1" s="25" t="s">
        <v>54</v>
      </c>
      <c r="E1" s="25" t="s">
        <v>43</v>
      </c>
      <c r="F1" s="15" t="s">
        <v>34</v>
      </c>
      <c r="G1" s="24" t="s">
        <v>42</v>
      </c>
      <c r="H1" s="41" t="s">
        <v>7</v>
      </c>
      <c r="I1" s="42" t="s">
        <v>41</v>
      </c>
      <c r="J1" s="43" t="s">
        <v>51</v>
      </c>
      <c r="K1" s="40">
        <v>2018</v>
      </c>
      <c r="L1" s="15">
        <v>2019</v>
      </c>
      <c r="M1" s="40">
        <v>2020</v>
      </c>
      <c r="N1" s="40">
        <v>2021</v>
      </c>
      <c r="O1" s="40">
        <v>2022</v>
      </c>
      <c r="P1" s="40">
        <v>2023</v>
      </c>
      <c r="Q1" s="40">
        <v>2024</v>
      </c>
      <c r="R1" s="40">
        <v>2025</v>
      </c>
      <c r="S1" s="40">
        <v>2026</v>
      </c>
      <c r="T1" s="40">
        <v>2027</v>
      </c>
      <c r="U1" s="40">
        <v>2028</v>
      </c>
      <c r="V1" s="40">
        <v>2029</v>
      </c>
      <c r="W1" s="40">
        <v>2030</v>
      </c>
      <c r="X1" s="40">
        <v>2031</v>
      </c>
      <c r="Y1" s="40">
        <v>2032</v>
      </c>
      <c r="Z1" s="40">
        <v>2033</v>
      </c>
      <c r="AA1" s="40">
        <v>2034</v>
      </c>
      <c r="AB1" s="40">
        <v>2035</v>
      </c>
      <c r="AC1" s="40">
        <v>2036</v>
      </c>
      <c r="AD1" s="40">
        <v>2037</v>
      </c>
      <c r="AE1" s="40">
        <v>2038</v>
      </c>
      <c r="AF1" s="40">
        <v>2039</v>
      </c>
      <c r="AG1" s="40">
        <v>2040</v>
      </c>
      <c r="AH1" s="40">
        <v>2041</v>
      </c>
      <c r="AI1" s="40">
        <v>2042</v>
      </c>
      <c r="AJ1" s="40">
        <v>2043</v>
      </c>
      <c r="AK1" s="40">
        <v>2044</v>
      </c>
      <c r="AL1" s="40">
        <v>2045</v>
      </c>
      <c r="AM1" s="40">
        <v>2046</v>
      </c>
      <c r="AN1" s="40">
        <v>2047</v>
      </c>
      <c r="AO1" s="40">
        <v>2048</v>
      </c>
      <c r="AP1" s="40">
        <v>2049</v>
      </c>
      <c r="AQ1" s="40">
        <v>2050</v>
      </c>
    </row>
    <row r="3" spans="1:43" s="82" customFormat="1" x14ac:dyDescent="0.2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</row>
    <row r="4" spans="1:43" s="82" customFormat="1" hidden="1" x14ac:dyDescent="0.25">
      <c r="A4" t="s">
        <v>9</v>
      </c>
      <c r="B4" t="s">
        <v>118</v>
      </c>
      <c r="C4" t="s">
        <v>123</v>
      </c>
      <c r="D4" t="s">
        <v>124</v>
      </c>
      <c r="E4" t="s">
        <v>13</v>
      </c>
      <c r="F4" t="s">
        <v>60</v>
      </c>
      <c r="G4" t="s">
        <v>59</v>
      </c>
      <c r="H4"/>
      <c r="I4"/>
      <c r="J4"/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 s="81">
        <v>2076.6799999999998</v>
      </c>
      <c r="Z4" s="81">
        <v>0</v>
      </c>
      <c r="AA4" s="81">
        <v>0</v>
      </c>
      <c r="AB4" s="81">
        <v>0</v>
      </c>
      <c r="AC4" s="81">
        <v>0</v>
      </c>
      <c r="AD4" s="81">
        <v>0</v>
      </c>
      <c r="AE4" s="81">
        <v>0</v>
      </c>
      <c r="AF4" s="81">
        <v>0</v>
      </c>
      <c r="AG4" s="81">
        <v>0</v>
      </c>
      <c r="AH4" s="81">
        <v>0</v>
      </c>
      <c r="AI4" s="81">
        <v>0</v>
      </c>
      <c r="AJ4" s="81">
        <v>0</v>
      </c>
      <c r="AK4" s="81">
        <v>0</v>
      </c>
      <c r="AL4" s="81">
        <v>0</v>
      </c>
      <c r="AM4" s="81">
        <v>0</v>
      </c>
      <c r="AN4" s="81">
        <v>0</v>
      </c>
      <c r="AO4" s="81">
        <v>0</v>
      </c>
      <c r="AP4" s="81">
        <v>0</v>
      </c>
      <c r="AQ4" s="81">
        <v>0</v>
      </c>
    </row>
    <row r="5" spans="1:43" hidden="1" x14ac:dyDescent="0.25">
      <c r="A5" t="s">
        <v>9</v>
      </c>
      <c r="B5" t="s">
        <v>119</v>
      </c>
      <c r="C5" t="s">
        <v>123</v>
      </c>
      <c r="D5" t="s">
        <v>125</v>
      </c>
      <c r="E5" t="s">
        <v>13</v>
      </c>
      <c r="F5" t="s">
        <v>60</v>
      </c>
      <c r="G5" t="s">
        <v>59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2.4304895494757939</v>
      </c>
      <c r="Z5">
        <v>4.8609790989515878</v>
      </c>
      <c r="AA5">
        <v>7.2914686484273803</v>
      </c>
      <c r="AB5">
        <v>9.7219581979031755</v>
      </c>
      <c r="AC5">
        <v>12.152447747378968</v>
      </c>
      <c r="AD5">
        <v>12.152447747378968</v>
      </c>
      <c r="AE5">
        <v>12.152447747378968</v>
      </c>
      <c r="AF5">
        <v>12.152447747378968</v>
      </c>
      <c r="AG5">
        <v>12.152447747378968</v>
      </c>
      <c r="AH5">
        <v>12.152447747378968</v>
      </c>
      <c r="AI5">
        <v>12.152447747378968</v>
      </c>
      <c r="AJ5">
        <v>12.152447747378968</v>
      </c>
      <c r="AK5">
        <v>12.152447747378968</v>
      </c>
      <c r="AL5">
        <v>12.152447747378968</v>
      </c>
      <c r="AM5">
        <v>12.152447747378968</v>
      </c>
      <c r="AN5">
        <v>12.152447747378968</v>
      </c>
      <c r="AO5">
        <v>12.152447747378968</v>
      </c>
      <c r="AP5">
        <v>12.152447747378968</v>
      </c>
      <c r="AQ5">
        <v>12.152447747378968</v>
      </c>
    </row>
    <row r="6" spans="1:43" hidden="1" x14ac:dyDescent="0.25">
      <c r="A6" s="82" t="s">
        <v>9</v>
      </c>
      <c r="B6" s="82" t="s">
        <v>118</v>
      </c>
      <c r="C6" s="82" t="s">
        <v>120</v>
      </c>
      <c r="D6" s="82" t="s">
        <v>121</v>
      </c>
      <c r="E6" s="82" t="s">
        <v>13</v>
      </c>
      <c r="F6" s="82" t="s">
        <v>60</v>
      </c>
      <c r="G6" s="82" t="s">
        <v>59</v>
      </c>
      <c r="H6" s="82"/>
      <c r="I6" s="82"/>
      <c r="J6" s="82"/>
      <c r="K6" s="82">
        <v>0</v>
      </c>
      <c r="L6" s="82">
        <v>0</v>
      </c>
      <c r="M6" s="82">
        <v>0</v>
      </c>
      <c r="N6" s="82">
        <v>0</v>
      </c>
      <c r="O6" s="82">
        <v>0</v>
      </c>
      <c r="P6" s="82">
        <v>0</v>
      </c>
      <c r="Q6" s="82">
        <v>0</v>
      </c>
      <c r="R6" s="82">
        <v>0</v>
      </c>
      <c r="S6" s="82">
        <v>0</v>
      </c>
      <c r="T6" s="82">
        <v>1259.8021194452699</v>
      </c>
      <c r="U6" s="82">
        <v>0</v>
      </c>
      <c r="V6" s="82">
        <v>0</v>
      </c>
      <c r="W6" s="82">
        <v>0</v>
      </c>
      <c r="X6" s="82">
        <v>0</v>
      </c>
      <c r="Y6" s="83">
        <v>0</v>
      </c>
      <c r="Z6" s="83">
        <v>0</v>
      </c>
      <c r="AA6" s="82">
        <v>0</v>
      </c>
      <c r="AB6" s="82">
        <v>0</v>
      </c>
      <c r="AC6" s="82">
        <v>0</v>
      </c>
      <c r="AD6" s="82">
        <v>0</v>
      </c>
      <c r="AE6" s="82">
        <v>0</v>
      </c>
      <c r="AF6" s="82">
        <v>0</v>
      </c>
      <c r="AG6" s="82">
        <v>0</v>
      </c>
      <c r="AH6" s="82">
        <v>0</v>
      </c>
      <c r="AI6" s="82">
        <v>0</v>
      </c>
      <c r="AJ6" s="82">
        <v>0</v>
      </c>
      <c r="AK6" s="82">
        <v>0</v>
      </c>
      <c r="AL6" s="82">
        <v>0</v>
      </c>
      <c r="AM6" s="82">
        <v>0</v>
      </c>
      <c r="AN6" s="82">
        <v>37.794063583358238</v>
      </c>
      <c r="AO6" s="82">
        <v>0</v>
      </c>
      <c r="AP6" s="82">
        <v>0</v>
      </c>
      <c r="AQ6" s="82">
        <v>0</v>
      </c>
    </row>
    <row r="7" spans="1:43" hidden="1" x14ac:dyDescent="0.25">
      <c r="A7" s="82" t="s">
        <v>9</v>
      </c>
      <c r="B7" s="82" t="s">
        <v>119</v>
      </c>
      <c r="C7" s="82" t="s">
        <v>120</v>
      </c>
      <c r="D7" s="82" t="s">
        <v>122</v>
      </c>
      <c r="E7" s="82" t="s">
        <v>13</v>
      </c>
      <c r="F7" s="82" t="s">
        <v>60</v>
      </c>
      <c r="G7" s="82" t="s">
        <v>59</v>
      </c>
      <c r="H7" s="82"/>
      <c r="I7" s="82"/>
      <c r="J7" s="82"/>
      <c r="K7" s="82">
        <v>0</v>
      </c>
      <c r="L7" s="82">
        <v>0</v>
      </c>
      <c r="M7" s="82">
        <v>0</v>
      </c>
      <c r="N7" s="82">
        <v>0</v>
      </c>
      <c r="O7" s="82">
        <v>0</v>
      </c>
      <c r="P7" s="82">
        <v>0</v>
      </c>
      <c r="Q7" s="82">
        <v>0</v>
      </c>
      <c r="R7" s="82">
        <v>0</v>
      </c>
      <c r="S7" s="82">
        <v>0</v>
      </c>
      <c r="T7" s="83">
        <f>(50.48568781/3.0560355)*0.2</f>
        <v>3.3039987794644405</v>
      </c>
      <c r="U7" s="83">
        <f>(50.48568781/3.0560355)*0.4</f>
        <v>6.6079975589288811</v>
      </c>
      <c r="V7" s="83">
        <f>(50.48568781/3.0560355)*0.6</f>
        <v>9.9119963383933207</v>
      </c>
      <c r="W7" s="83">
        <f>(50.48568781/3.0560355)*0.8</f>
        <v>13.215995117857762</v>
      </c>
      <c r="X7" s="83">
        <f t="shared" ref="X7:AM7" si="0">50.48568781/3.0560355</f>
        <v>16.519993897322202</v>
      </c>
      <c r="Y7" s="83">
        <f t="shared" si="0"/>
        <v>16.519993897322202</v>
      </c>
      <c r="Z7" s="83">
        <f t="shared" si="0"/>
        <v>16.519993897322202</v>
      </c>
      <c r="AA7" s="83">
        <f t="shared" si="0"/>
        <v>16.519993897322202</v>
      </c>
      <c r="AB7" s="83">
        <f t="shared" si="0"/>
        <v>16.519993897322202</v>
      </c>
      <c r="AC7" s="83">
        <f t="shared" si="0"/>
        <v>16.519993897322202</v>
      </c>
      <c r="AD7" s="83">
        <f t="shared" si="0"/>
        <v>16.519993897322202</v>
      </c>
      <c r="AE7" s="83">
        <f t="shared" si="0"/>
        <v>16.519993897322202</v>
      </c>
      <c r="AF7" s="83">
        <f t="shared" si="0"/>
        <v>16.519993897322202</v>
      </c>
      <c r="AG7" s="83">
        <f t="shared" si="0"/>
        <v>16.519993897322202</v>
      </c>
      <c r="AH7" s="83">
        <f t="shared" si="0"/>
        <v>16.519993897322202</v>
      </c>
      <c r="AI7" s="83">
        <f t="shared" si="0"/>
        <v>16.519993897322202</v>
      </c>
      <c r="AJ7" s="83">
        <f t="shared" si="0"/>
        <v>16.519993897322202</v>
      </c>
      <c r="AK7" s="83">
        <f t="shared" si="0"/>
        <v>16.519993897322202</v>
      </c>
      <c r="AL7" s="83">
        <f t="shared" si="0"/>
        <v>16.519993897322202</v>
      </c>
      <c r="AM7" s="83">
        <f t="shared" si="0"/>
        <v>16.519993897322202</v>
      </c>
      <c r="AN7" s="83">
        <f>(50.48568781/3.0560355)+(50.48568781/3.0560355*0.26)</f>
        <v>20.815192310625974</v>
      </c>
      <c r="AO7" s="83">
        <f>AN7</f>
        <v>20.815192310625974</v>
      </c>
      <c r="AP7" s="83">
        <f>AO7</f>
        <v>20.815192310625974</v>
      </c>
      <c r="AQ7" s="83">
        <f>AP7</f>
        <v>20.815192310625974</v>
      </c>
    </row>
    <row r="8" spans="1:43" x14ac:dyDescent="0.25">
      <c r="C8" s="90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1"/>
      <c r="AQ8" s="81"/>
    </row>
    <row r="9" spans="1:43" x14ac:dyDescent="0.25">
      <c r="C9" s="90"/>
    </row>
    <row r="10" spans="1:43" x14ac:dyDescent="0.25">
      <c r="C10" s="90"/>
    </row>
    <row r="11" spans="1:43" x14ac:dyDescent="0.25">
      <c r="C11" s="84"/>
    </row>
    <row r="12" spans="1:43" x14ac:dyDescent="0.25">
      <c r="C12" s="84"/>
    </row>
    <row r="13" spans="1:43" x14ac:dyDescent="0.25">
      <c r="C13" s="84"/>
    </row>
  </sheetData>
  <autoFilter ref="A1:AQ15" xr:uid="{7FE60582-8E84-4795-90E6-91E6C5CD9C07}">
    <filterColumn colId="2">
      <filters>
        <filter val="T5COKIND"/>
        <filter val="T5DSLIND"/>
        <filter val="T5ELECOM"/>
        <filter val="T5ELEIND"/>
        <filter val="T5ELERES"/>
        <filter val="T5FIRCOM"/>
        <filter val="T5FOIIND"/>
        <filter val="T5LPGCOM"/>
        <filter val="T5LPGIND"/>
        <filter val="T5LPGRES"/>
      </filters>
    </filterColumn>
    <sortState xmlns:xlrd2="http://schemas.microsoft.com/office/spreadsheetml/2017/richdata2" ref="A2:AQ15">
      <sortCondition ref="C1:C15"/>
    </sortState>
  </autoFilter>
  <pageMargins left="0.7" right="0.7" top="0.75" bottom="0.75" header="0.3" footer="0.3"/>
  <pageSetup orientation="portrait" horizontalDpi="0" verticalDpi="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814E7-7771-4AA2-98CF-22F8526ED390}">
  <dimension ref="A1:AS12"/>
  <sheetViews>
    <sheetView zoomScale="130" zoomScaleNormal="130" workbookViewId="0">
      <selection activeCell="A2" sqref="A2:AS14"/>
    </sheetView>
  </sheetViews>
  <sheetFormatPr defaultColWidth="8.85546875" defaultRowHeight="15" x14ac:dyDescent="0.25"/>
  <cols>
    <col min="1" max="1" width="11" bestFit="1" customWidth="1"/>
    <col min="2" max="2" width="23.85546875" bestFit="1" customWidth="1"/>
    <col min="3" max="3" width="10" bestFit="1" customWidth="1"/>
    <col min="4" max="4" width="10" customWidth="1"/>
    <col min="5" max="5" width="28" customWidth="1"/>
    <col min="6" max="6" width="12.42578125" customWidth="1"/>
    <col min="9" max="11" width="8.85546875" hidden="1" customWidth="1"/>
    <col min="12" max="12" width="9.85546875" hidden="1" customWidth="1"/>
    <col min="19" max="19" width="13.42578125" bestFit="1" customWidth="1"/>
  </cols>
  <sheetData>
    <row r="1" spans="1:45" ht="45.75" thickBot="1" x14ac:dyDescent="0.3">
      <c r="A1" s="14" t="s">
        <v>0</v>
      </c>
      <c r="B1" s="40" t="s">
        <v>19</v>
      </c>
      <c r="C1" s="15" t="s">
        <v>61</v>
      </c>
      <c r="D1" s="15" t="s">
        <v>62</v>
      </c>
      <c r="E1" s="15" t="s">
        <v>18</v>
      </c>
      <c r="F1" s="25" t="s">
        <v>43</v>
      </c>
      <c r="G1" s="24" t="s">
        <v>34</v>
      </c>
      <c r="H1" s="24" t="s">
        <v>42</v>
      </c>
      <c r="I1" s="14" t="s">
        <v>7</v>
      </c>
      <c r="J1" s="15" t="s">
        <v>27</v>
      </c>
      <c r="K1" s="15" t="s">
        <v>37</v>
      </c>
      <c r="L1" s="16" t="s">
        <v>8</v>
      </c>
      <c r="M1" s="14">
        <v>2018</v>
      </c>
      <c r="N1" s="15">
        <v>2019</v>
      </c>
      <c r="O1" s="37">
        <v>2020</v>
      </c>
      <c r="P1" s="37">
        <v>2021</v>
      </c>
      <c r="Q1" s="37">
        <v>2022</v>
      </c>
      <c r="R1" s="37">
        <v>2023</v>
      </c>
      <c r="S1" s="37">
        <v>2024</v>
      </c>
      <c r="T1" s="37">
        <v>2025</v>
      </c>
      <c r="U1" s="37">
        <v>2026</v>
      </c>
      <c r="V1" s="37">
        <v>2027</v>
      </c>
      <c r="W1" s="37">
        <v>2028</v>
      </c>
      <c r="X1" s="37">
        <v>2029</v>
      </c>
      <c r="Y1" s="37">
        <v>2030</v>
      </c>
      <c r="Z1" s="37">
        <v>2031</v>
      </c>
      <c r="AA1" s="37">
        <v>2032</v>
      </c>
      <c r="AB1" s="37">
        <v>2033</v>
      </c>
      <c r="AC1" s="37">
        <v>2034</v>
      </c>
      <c r="AD1" s="37">
        <v>2035</v>
      </c>
      <c r="AE1" s="37">
        <v>2036</v>
      </c>
      <c r="AF1" s="37">
        <v>2037</v>
      </c>
      <c r="AG1" s="37">
        <v>2038</v>
      </c>
      <c r="AH1" s="37">
        <v>2039</v>
      </c>
      <c r="AI1" s="37">
        <v>2040</v>
      </c>
      <c r="AJ1" s="37">
        <v>2041</v>
      </c>
      <c r="AK1" s="37">
        <v>2042</v>
      </c>
      <c r="AL1" s="37">
        <v>2043</v>
      </c>
      <c r="AM1" s="37">
        <v>2044</v>
      </c>
      <c r="AN1" s="37">
        <v>2045</v>
      </c>
      <c r="AO1" s="37">
        <v>2046</v>
      </c>
      <c r="AP1" s="37">
        <v>2047</v>
      </c>
      <c r="AQ1" s="37">
        <v>2048</v>
      </c>
      <c r="AR1" s="37">
        <v>2049</v>
      </c>
      <c r="AS1" s="38">
        <v>2050</v>
      </c>
    </row>
    <row r="2" spans="1:45" x14ac:dyDescent="0.25">
      <c r="E2" s="90"/>
      <c r="R2" s="91"/>
    </row>
    <row r="3" spans="1:45" x14ac:dyDescent="0.25">
      <c r="E3" s="84"/>
      <c r="R3" s="91"/>
    </row>
    <row r="4" spans="1:45" x14ac:dyDescent="0.25">
      <c r="E4" s="84"/>
      <c r="R4" s="91"/>
    </row>
    <row r="5" spans="1:45" x14ac:dyDescent="0.25">
      <c r="R5" s="92"/>
    </row>
    <row r="6" spans="1:45" x14ac:dyDescent="0.25">
      <c r="R6" s="92"/>
    </row>
    <row r="7" spans="1:45" x14ac:dyDescent="0.25">
      <c r="E7" s="90"/>
      <c r="R7" s="92"/>
    </row>
    <row r="8" spans="1:45" x14ac:dyDescent="0.25">
      <c r="R8" s="93"/>
    </row>
    <row r="9" spans="1:45" x14ac:dyDescent="0.25">
      <c r="E9" s="84"/>
      <c r="R9" s="92"/>
    </row>
    <row r="10" spans="1:45" x14ac:dyDescent="0.25">
      <c r="E10" s="90"/>
      <c r="R10" s="94"/>
    </row>
    <row r="11" spans="1:45" x14ac:dyDescent="0.25">
      <c r="R11" s="94"/>
    </row>
    <row r="12" spans="1:45" x14ac:dyDescent="0.25">
      <c r="R12" s="94"/>
    </row>
  </sheetData>
  <autoFilter ref="A1:AS14" xr:uid="{943814E7-7771-4AA2-98CF-22F8526ED390}">
    <sortState xmlns:xlrd2="http://schemas.microsoft.com/office/spreadsheetml/2017/richdata2" ref="A2:AS14">
      <sortCondition ref="C1:C14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17383-2877-C54B-8A0D-EDAF5DF83FC0}">
  <dimension ref="A1:Q31"/>
  <sheetViews>
    <sheetView tabSelected="1" workbookViewId="0">
      <selection activeCell="A11" sqref="A11:Q22"/>
    </sheetView>
  </sheetViews>
  <sheetFormatPr defaultColWidth="10.7109375" defaultRowHeight="15" x14ac:dyDescent="0.25"/>
  <sheetData>
    <row r="1" spans="1:17" ht="15.75" thickBot="1" x14ac:dyDescent="0.3"/>
    <row r="2" spans="1:17" ht="15.75" thickBot="1" x14ac:dyDescent="0.3">
      <c r="A2" s="14" t="s">
        <v>0</v>
      </c>
      <c r="B2" s="40" t="s">
        <v>75</v>
      </c>
      <c r="C2" s="15" t="s">
        <v>10</v>
      </c>
      <c r="D2" s="15" t="s">
        <v>18</v>
      </c>
      <c r="E2" s="15" t="s">
        <v>1</v>
      </c>
      <c r="F2" s="15" t="s">
        <v>2</v>
      </c>
      <c r="G2" s="15" t="s">
        <v>3</v>
      </c>
      <c r="H2" s="15" t="s">
        <v>15</v>
      </c>
      <c r="I2" s="15" t="s">
        <v>16</v>
      </c>
      <c r="J2" s="15" t="s">
        <v>6</v>
      </c>
      <c r="K2" s="15" t="s">
        <v>4</v>
      </c>
      <c r="L2" s="15" t="s">
        <v>5</v>
      </c>
      <c r="M2" s="15" t="s">
        <v>7</v>
      </c>
      <c r="N2" s="15" t="s">
        <v>27</v>
      </c>
      <c r="O2" s="15" t="s">
        <v>37</v>
      </c>
      <c r="P2" s="15" t="s">
        <v>8</v>
      </c>
      <c r="Q2" s="16" t="s">
        <v>26</v>
      </c>
    </row>
    <row r="3" spans="1:17" ht="15.75" thickBot="1" x14ac:dyDescent="0.3">
      <c r="A3" s="75" t="s">
        <v>30</v>
      </c>
      <c r="B3" s="54" t="s">
        <v>76</v>
      </c>
      <c r="C3" s="26" t="s">
        <v>12</v>
      </c>
      <c r="D3" s="26" t="s">
        <v>89</v>
      </c>
      <c r="E3" s="26" t="s">
        <v>92</v>
      </c>
      <c r="F3" s="26" t="s">
        <v>14</v>
      </c>
      <c r="G3" s="26" t="s">
        <v>13</v>
      </c>
      <c r="H3" s="26" t="s">
        <v>17</v>
      </c>
      <c r="I3" s="26" t="s">
        <v>17</v>
      </c>
      <c r="J3" s="26" t="s">
        <v>17</v>
      </c>
      <c r="K3" s="26" t="s">
        <v>17</v>
      </c>
      <c r="L3" s="26" t="s">
        <v>17</v>
      </c>
      <c r="M3" s="26">
        <v>2023</v>
      </c>
      <c r="N3" s="26">
        <v>0</v>
      </c>
      <c r="O3" s="26">
        <v>0</v>
      </c>
      <c r="P3" s="26">
        <v>0</v>
      </c>
      <c r="Q3" s="27" t="s">
        <v>57</v>
      </c>
    </row>
    <row r="4" spans="1:17" ht="15.75" thickBot="1" x14ac:dyDescent="0.3">
      <c r="A4" s="75" t="s">
        <v>30</v>
      </c>
      <c r="B4" s="67" t="s">
        <v>76</v>
      </c>
      <c r="C4" s="62" t="s">
        <v>12</v>
      </c>
      <c r="D4" s="62" t="s">
        <v>90</v>
      </c>
      <c r="E4" s="62" t="s">
        <v>93</v>
      </c>
      <c r="F4" s="26" t="s">
        <v>14</v>
      </c>
      <c r="G4" s="26" t="s">
        <v>13</v>
      </c>
      <c r="H4" s="26" t="s">
        <v>17</v>
      </c>
      <c r="I4" s="26" t="s">
        <v>17</v>
      </c>
      <c r="J4" s="26" t="s">
        <v>17</v>
      </c>
      <c r="K4" s="26" t="s">
        <v>17</v>
      </c>
      <c r="L4" s="26" t="s">
        <v>17</v>
      </c>
      <c r="M4" s="26">
        <v>2023</v>
      </c>
      <c r="N4" s="26">
        <v>0</v>
      </c>
      <c r="O4" s="26">
        <v>0</v>
      </c>
      <c r="P4" s="26">
        <v>0</v>
      </c>
      <c r="Q4" s="27" t="s">
        <v>57</v>
      </c>
    </row>
    <row r="5" spans="1:17" ht="15.75" thickBot="1" x14ac:dyDescent="0.3">
      <c r="A5" s="75" t="s">
        <v>30</v>
      </c>
      <c r="B5" s="67" t="s">
        <v>76</v>
      </c>
      <c r="C5" s="62" t="s">
        <v>11</v>
      </c>
      <c r="D5" s="62" t="s">
        <v>91</v>
      </c>
      <c r="E5" s="62" t="s">
        <v>88</v>
      </c>
      <c r="F5" s="26" t="s">
        <v>14</v>
      </c>
      <c r="G5" s="26" t="s">
        <v>13</v>
      </c>
      <c r="H5" s="26" t="s">
        <v>17</v>
      </c>
      <c r="I5" s="26" t="s">
        <v>17</v>
      </c>
      <c r="J5" s="26" t="s">
        <v>17</v>
      </c>
      <c r="K5" s="26" t="s">
        <v>17</v>
      </c>
      <c r="L5" s="26" t="s">
        <v>17</v>
      </c>
      <c r="M5" s="26">
        <v>2023</v>
      </c>
      <c r="N5" s="26">
        <v>0</v>
      </c>
      <c r="O5" s="26">
        <v>0</v>
      </c>
      <c r="P5" s="26">
        <v>0</v>
      </c>
      <c r="Q5" s="27" t="s">
        <v>57</v>
      </c>
    </row>
    <row r="6" spans="1:17" ht="15.75" thickBot="1" x14ac:dyDescent="0.3">
      <c r="A6" s="75" t="s">
        <v>30</v>
      </c>
      <c r="B6" s="54" t="s">
        <v>76</v>
      </c>
      <c r="C6" s="26" t="s">
        <v>35</v>
      </c>
      <c r="D6" s="26" t="s">
        <v>73</v>
      </c>
      <c r="E6" s="26" t="s">
        <v>72</v>
      </c>
      <c r="F6" s="26" t="s">
        <v>14</v>
      </c>
      <c r="G6" s="26" t="s">
        <v>13</v>
      </c>
      <c r="H6" s="26" t="s">
        <v>17</v>
      </c>
      <c r="I6" s="26" t="s">
        <v>17</v>
      </c>
      <c r="J6" s="26" t="s">
        <v>17</v>
      </c>
      <c r="K6" s="26" t="s">
        <v>17</v>
      </c>
      <c r="L6" s="26" t="s">
        <v>17</v>
      </c>
      <c r="M6" s="26">
        <v>2023</v>
      </c>
      <c r="N6" s="26">
        <v>0</v>
      </c>
      <c r="O6" s="26">
        <v>0</v>
      </c>
      <c r="P6" s="26">
        <v>0</v>
      </c>
      <c r="Q6" s="27" t="s">
        <v>57</v>
      </c>
    </row>
    <row r="7" spans="1:17" ht="15.75" thickBot="1" x14ac:dyDescent="0.3">
      <c r="A7" s="75" t="s">
        <v>30</v>
      </c>
      <c r="B7" s="55" t="s">
        <v>76</v>
      </c>
      <c r="C7" s="53" t="s">
        <v>35</v>
      </c>
      <c r="D7" s="53" t="s">
        <v>74</v>
      </c>
      <c r="E7" s="53" t="s">
        <v>56</v>
      </c>
      <c r="F7" s="26" t="s">
        <v>14</v>
      </c>
      <c r="G7" s="26" t="s">
        <v>13</v>
      </c>
      <c r="H7" s="26" t="s">
        <v>17</v>
      </c>
      <c r="I7" s="26" t="s">
        <v>17</v>
      </c>
      <c r="J7" s="26" t="s">
        <v>17</v>
      </c>
      <c r="K7" s="26" t="s">
        <v>17</v>
      </c>
      <c r="L7" s="26" t="s">
        <v>17</v>
      </c>
      <c r="M7" s="26">
        <v>2023</v>
      </c>
      <c r="N7" s="26">
        <v>0</v>
      </c>
      <c r="O7" s="26">
        <v>0</v>
      </c>
      <c r="P7" s="26">
        <v>0</v>
      </c>
      <c r="Q7" s="27" t="s">
        <v>57</v>
      </c>
    </row>
    <row r="8" spans="1:17" ht="15.75" thickBot="1" x14ac:dyDescent="0.3">
      <c r="A8" s="75" t="s">
        <v>30</v>
      </c>
      <c r="B8" s="56" t="s">
        <v>76</v>
      </c>
      <c r="C8" s="28" t="s">
        <v>12</v>
      </c>
      <c r="D8" s="28" t="s">
        <v>82</v>
      </c>
      <c r="E8" s="28" t="s">
        <v>86</v>
      </c>
      <c r="F8" s="28" t="s">
        <v>14</v>
      </c>
      <c r="G8" s="28" t="s">
        <v>13</v>
      </c>
      <c r="H8" s="28" t="s">
        <v>17</v>
      </c>
      <c r="I8" s="28" t="s">
        <v>17</v>
      </c>
      <c r="J8" s="28" t="s">
        <v>17</v>
      </c>
      <c r="K8" s="28" t="s">
        <v>17</v>
      </c>
      <c r="L8" s="28" t="s">
        <v>17</v>
      </c>
      <c r="M8" s="28">
        <v>2023</v>
      </c>
      <c r="N8" s="28">
        <v>0</v>
      </c>
      <c r="O8" s="28">
        <v>0</v>
      </c>
      <c r="P8" s="28">
        <v>0</v>
      </c>
      <c r="Q8" s="29" t="s">
        <v>57</v>
      </c>
    </row>
    <row r="9" spans="1:17" ht="15.75" thickBot="1" x14ac:dyDescent="0.3">
      <c r="A9" s="75" t="s">
        <v>30</v>
      </c>
      <c r="B9" s="65" t="s">
        <v>76</v>
      </c>
      <c r="C9" s="63" t="s">
        <v>12</v>
      </c>
      <c r="D9" s="63" t="s">
        <v>83</v>
      </c>
      <c r="E9" s="63" t="s">
        <v>87</v>
      </c>
      <c r="F9" s="30" t="s">
        <v>14</v>
      </c>
      <c r="G9" s="30" t="s">
        <v>13</v>
      </c>
      <c r="H9" s="30" t="s">
        <v>17</v>
      </c>
      <c r="I9" s="30" t="s">
        <v>17</v>
      </c>
      <c r="J9" s="30" t="s">
        <v>17</v>
      </c>
      <c r="K9" s="30" t="s">
        <v>17</v>
      </c>
      <c r="L9" s="30" t="s">
        <v>17</v>
      </c>
      <c r="M9" s="30">
        <v>2023</v>
      </c>
      <c r="N9" s="30">
        <v>0</v>
      </c>
      <c r="O9" s="30">
        <v>0</v>
      </c>
      <c r="P9" s="30">
        <v>0</v>
      </c>
      <c r="Q9" s="31" t="s">
        <v>57</v>
      </c>
    </row>
    <row r="10" spans="1:17" ht="15.75" thickBot="1" x14ac:dyDescent="0.3">
      <c r="A10" s="75" t="s">
        <v>30</v>
      </c>
      <c r="B10" s="57" t="s">
        <v>76</v>
      </c>
      <c r="C10" s="30" t="s">
        <v>11</v>
      </c>
      <c r="D10" s="30" t="s">
        <v>85</v>
      </c>
      <c r="E10" s="30" t="s">
        <v>84</v>
      </c>
      <c r="F10" s="30" t="s">
        <v>14</v>
      </c>
      <c r="G10" s="30" t="s">
        <v>13</v>
      </c>
      <c r="H10" s="30" t="s">
        <v>17</v>
      </c>
      <c r="I10" s="30" t="s">
        <v>17</v>
      </c>
      <c r="J10" s="30" t="s">
        <v>17</v>
      </c>
      <c r="K10" s="30" t="s">
        <v>17</v>
      </c>
      <c r="L10" s="30" t="s">
        <v>17</v>
      </c>
      <c r="M10" s="30">
        <v>2023</v>
      </c>
      <c r="N10" s="30">
        <v>0</v>
      </c>
      <c r="O10" s="30">
        <v>0</v>
      </c>
      <c r="P10" s="30">
        <v>0</v>
      </c>
      <c r="Q10" s="31" t="s">
        <v>57</v>
      </c>
    </row>
    <row r="11" spans="1:17" ht="15.75" thickBot="1" x14ac:dyDescent="0.3">
      <c r="A11" s="75"/>
      <c r="B11" s="54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7"/>
    </row>
    <row r="12" spans="1:17" ht="15.75" thickBot="1" x14ac:dyDescent="0.3">
      <c r="A12" s="75"/>
      <c r="B12" s="54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7"/>
    </row>
    <row r="13" spans="1:17" ht="15.75" thickBot="1" x14ac:dyDescent="0.3">
      <c r="A13" s="75"/>
      <c r="B13" s="67"/>
      <c r="C13" s="62"/>
      <c r="D13" s="62"/>
      <c r="E13" s="62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7"/>
    </row>
    <row r="14" spans="1:17" ht="15.75" thickBot="1" x14ac:dyDescent="0.3">
      <c r="A14" s="75"/>
      <c r="B14" s="67"/>
      <c r="C14" s="62"/>
      <c r="D14" s="62"/>
      <c r="E14" s="62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7"/>
    </row>
    <row r="15" spans="1:17" ht="15.75" thickBot="1" x14ac:dyDescent="0.3">
      <c r="A15" s="75"/>
      <c r="B15" s="54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7"/>
    </row>
    <row r="16" spans="1:17" ht="15.75" thickBot="1" x14ac:dyDescent="0.3">
      <c r="A16" s="75"/>
      <c r="B16" s="55"/>
      <c r="C16" s="53"/>
      <c r="D16" s="53"/>
      <c r="E16" s="53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7"/>
    </row>
    <row r="17" spans="1:17" ht="15.75" thickBot="1" x14ac:dyDescent="0.3">
      <c r="A17" s="75"/>
      <c r="B17" s="56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9"/>
    </row>
    <row r="18" spans="1:17" ht="15.75" thickBot="1" x14ac:dyDescent="0.3">
      <c r="A18" s="75"/>
      <c r="B18" s="65"/>
      <c r="C18" s="63"/>
      <c r="D18" s="63"/>
      <c r="E18" s="63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1"/>
    </row>
    <row r="19" spans="1:17" ht="15.75" thickBot="1" x14ac:dyDescent="0.3">
      <c r="A19" s="75"/>
      <c r="B19" s="66"/>
      <c r="C19" s="64"/>
      <c r="D19" s="64"/>
      <c r="E19" s="64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3"/>
    </row>
    <row r="20" spans="1:17" ht="15.75" thickBot="1" x14ac:dyDescent="0.3">
      <c r="A20" s="75"/>
      <c r="B20" s="65"/>
      <c r="C20" s="63"/>
      <c r="D20" s="63"/>
      <c r="E20" s="63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1"/>
    </row>
    <row r="21" spans="1:17" ht="15.75" thickBot="1" x14ac:dyDescent="0.3">
      <c r="A21" s="75"/>
      <c r="B21" s="57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1"/>
    </row>
    <row r="22" spans="1:17" x14ac:dyDescent="0.25">
      <c r="A22" s="75"/>
      <c r="B22" s="58"/>
      <c r="C22" s="34"/>
      <c r="D22" s="34"/>
      <c r="E22" s="34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6"/>
    </row>
    <row r="27" spans="1:17" ht="15.75" x14ac:dyDescent="0.25">
      <c r="A27" s="101"/>
      <c r="B27" s="101"/>
      <c r="C27" s="101"/>
      <c r="D27" s="101"/>
      <c r="E27" s="101"/>
      <c r="F27" s="101"/>
      <c r="G27" s="101"/>
      <c r="H27" s="101"/>
      <c r="I27" s="101"/>
      <c r="J27" s="102"/>
      <c r="K27" s="102"/>
      <c r="L27" s="102"/>
      <c r="M27" s="101"/>
      <c r="N27" s="101"/>
      <c r="O27" s="101"/>
      <c r="P27" s="101"/>
      <c r="Q27" s="101"/>
    </row>
    <row r="28" spans="1:17" ht="15.75" x14ac:dyDescent="0.25">
      <c r="A28" s="103"/>
      <c r="B28" s="103"/>
      <c r="C28" s="103"/>
      <c r="D28" s="104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</row>
    <row r="29" spans="1:17" ht="15.75" x14ac:dyDescent="0.25">
      <c r="A29" s="103"/>
      <c r="B29" s="103"/>
      <c r="C29" s="103"/>
      <c r="D29" s="104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</row>
    <row r="30" spans="1:17" ht="15.75" x14ac:dyDescent="0.25">
      <c r="A30" s="105"/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6"/>
    </row>
    <row r="31" spans="1:17" ht="15.75" x14ac:dyDescent="0.25">
      <c r="A31" s="107"/>
      <c r="B31" s="107"/>
      <c r="C31" s="107"/>
      <c r="D31" s="110"/>
      <c r="E31" s="110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0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360DE9767CDF0449BF75EAB371D3CB7" ma:contentTypeVersion="14" ma:contentTypeDescription="Crear nuevo documento." ma:contentTypeScope="" ma:versionID="a085176836abd262a7ea2e14f8197063">
  <xsd:schema xmlns:xsd="http://www.w3.org/2001/XMLSchema" xmlns:xs="http://www.w3.org/2001/XMLSchema" xmlns:p="http://schemas.microsoft.com/office/2006/metadata/properties" xmlns:ns2="a1fcbaaf-06d9-47c4-b3a2-beefbc45d784" xmlns:ns3="081a93ea-d517-42a5-a2b7-457060aa7471" targetNamespace="http://schemas.microsoft.com/office/2006/metadata/properties" ma:root="true" ma:fieldsID="18610519e5d66159880ace7e9acb3815" ns2:_="" ns3:_="">
    <xsd:import namespace="a1fcbaaf-06d9-47c4-b3a2-beefbc45d784"/>
    <xsd:import namespace="081a93ea-d517-42a5-a2b7-457060aa74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cbaaf-06d9-47c4-b3a2-beefbc45d7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1a93ea-d517-42a5-a2b7-457060aa747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fcbaaf-06d9-47c4-b3a2-beefbc45d78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FA405F-7986-4134-A686-722FBFDA01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fcbaaf-06d9-47c4-b3a2-beefbc45d784"/>
    <ds:schemaRef ds:uri="081a93ea-d517-42a5-a2b7-457060aa74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011FB73-B788-4D3D-9D0B-EAF1A113674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488BCF7-8960-47C8-86EA-6FB3970D4B97}">
  <ds:schemaRefs>
    <ds:schemaRef ds:uri="http://schemas.microsoft.com/office/2006/metadata/properties"/>
    <ds:schemaRef ds:uri="http://schemas.microsoft.com/office/infopath/2007/PartnerControls"/>
    <ds:schemaRef ds:uri="a1fcbaaf-06d9-47c4-b3a2-beefbc45d78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Scenarios</vt:lpstr>
      <vt:lpstr>Overall_Parameters</vt:lpstr>
      <vt:lpstr>Distance_Levers</vt:lpstr>
      <vt:lpstr>Mode_Shift</vt:lpstr>
      <vt:lpstr>Occupancy_Rate</vt:lpstr>
      <vt:lpstr>Tech_Adoption</vt:lpstr>
      <vt:lpstr>Electrical</vt:lpstr>
      <vt:lpstr>SmartGrid</vt:lpstr>
      <vt:lpstr>Efficiency</vt:lpstr>
      <vt:lpstr>Others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Victor</dc:creator>
  <cp:lastModifiedBy>Andrey Salazar-Vargas</cp:lastModifiedBy>
  <dcterms:created xsi:type="dcterms:W3CDTF">2015-06-05T18:17:20Z</dcterms:created>
  <dcterms:modified xsi:type="dcterms:W3CDTF">2025-08-05T20:18:27Z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0x0101000360DE9767CDF0449BF75EAB371D3CB7</vt:lpwstr>
  </property>
</Properties>
</file>