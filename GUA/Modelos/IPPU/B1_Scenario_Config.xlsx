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GUA\Modelos\PIUP\"/>
    </mc:Choice>
  </mc:AlternateContent>
  <xr:revisionPtr revIDLastSave="0" documentId="13_ncr:1_{047675AF-F435-4FA4-B212-D0192806C840}" xr6:coauthVersionLast="47" xr6:coauthVersionMax="47" xr10:uidLastSave="{00000000-0000-0000-0000-000000000000}"/>
  <bookViews>
    <workbookView xWindow="28680" yWindow="-120" windowWidth="29040" windowHeight="15720" tabRatio="705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Occupancy_Rate" sheetId="6" r:id="rId5"/>
    <sheet name="TElasticity" sheetId="15" r:id="rId6"/>
    <sheet name="Tech_Adoption" sheetId="2" r:id="rId7"/>
    <sheet name="Electrical" sheetId="13" r:id="rId8"/>
    <sheet name="SmartGrid" sheetId="14" r:id="rId9"/>
    <sheet name="Efficiency" sheetId="9" r:id="rId10"/>
    <sheet name="Biofuels" sheetId="11" r:id="rId11"/>
  </sheets>
  <definedNames>
    <definedName name="_xlnm._FilterDatabase" localSheetId="7" hidden="1">Electrical!$A$1:$N$15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4" l="1"/>
  <c r="K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D4" authorId="0" shapeId="0" xr:uid="{7389C63D-E255-4B45-9D4E-278F8267BFAF}">
      <text>
        <r>
          <rPr>
            <b/>
            <sz val="9"/>
            <color indexed="81"/>
            <rFont val="Tahoma"/>
            <family val="2"/>
          </rPr>
          <t>It is built in the parameters of NDP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P21" authorId="0" shapeId="0" xr:uid="{05C4221D-60B9-478A-8300-AB47CC07E62A}">
      <text>
        <r>
          <rPr>
            <b/>
            <sz val="9"/>
            <color indexed="81"/>
            <rFont val="Tahoma"/>
            <family val="2"/>
          </rPr>
          <t>This means the system will become free after 2030</t>
        </r>
      </text>
    </comment>
    <comment ref="P26" authorId="0" shapeId="0" xr:uid="{FFE766EC-9466-4CC8-A98C-111322E8D91F}">
      <text>
        <r>
          <rPr>
            <b/>
            <sz val="9"/>
            <color indexed="81"/>
            <rFont val="Tahoma"/>
            <family val="2"/>
          </rPr>
          <t>This means the system will become free after 2030</t>
        </r>
      </text>
    </comment>
    <comment ref="P38" authorId="0" shapeId="0" xr:uid="{96F45186-2BC3-4F77-86E7-A58B49918137}">
      <text>
        <r>
          <rPr>
            <b/>
            <sz val="9"/>
            <color indexed="81"/>
            <rFont val="Tahoma"/>
            <family val="2"/>
          </rPr>
          <t>This means the system will become free after 2030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29600AAB-DD88-4876-908B-5CE3C9872AE2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A61F6813-28BE-44B1-87BC-58EE7B9DCC81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94807E55-90E2-46F1-A45E-F03852B86DB2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<sst xmlns="http://schemas.openxmlformats.org/spreadsheetml/2006/main" count="488" uniqueCount="153">
  <si>
    <t>Scenario</t>
  </si>
  <si>
    <t>Tech_Set</t>
  </si>
  <si>
    <t>Logistic</t>
  </si>
  <si>
    <t>Linear</t>
  </si>
  <si>
    <t>C</t>
  </si>
  <si>
    <t>M</t>
  </si>
  <si>
    <t>L</t>
  </si>
  <si>
    <t>y_ini</t>
  </si>
  <si>
    <t>v_2050</t>
  </si>
  <si>
    <t>Transport_Category</t>
  </si>
  <si>
    <t>Public</t>
  </si>
  <si>
    <t>Private</t>
  </si>
  <si>
    <t>YES</t>
  </si>
  <si>
    <t>NO</t>
  </si>
  <si>
    <t>R2021</t>
  </si>
  <si>
    <t>R2050</t>
  </si>
  <si>
    <t>n.a.</t>
  </si>
  <si>
    <t>Description_Set</t>
  </si>
  <si>
    <t>Electric Bus</t>
  </si>
  <si>
    <t>Electric Minibus</t>
  </si>
  <si>
    <t>Electric Taxi</t>
  </si>
  <si>
    <t>Electric Motorcycle</t>
  </si>
  <si>
    <t>Parameter</t>
  </si>
  <si>
    <t>Value</t>
  </si>
  <si>
    <t>Initial_Year_of_Uncertainty</t>
  </si>
  <si>
    <t>Group_Set</t>
  </si>
  <si>
    <t>Group_Description</t>
  </si>
  <si>
    <t>Relative reduction to BAU - distance</t>
  </si>
  <si>
    <t>Relative increase to BAU - occupancy rate</t>
  </si>
  <si>
    <t>Restriction_Type</t>
  </si>
  <si>
    <t>Electric Light Freight</t>
  </si>
  <si>
    <t>Hydrogen Bus</t>
  </si>
  <si>
    <t>Hydrogen Minibus</t>
  </si>
  <si>
    <t>v_2030</t>
  </si>
  <si>
    <t>Name</t>
  </si>
  <si>
    <t>Description</t>
  </si>
  <si>
    <t>BAU</t>
  </si>
  <si>
    <t>Represents a system based on fossil fuels and private transport for the next 30 years.</t>
  </si>
  <si>
    <t>Activated</t>
  </si>
  <si>
    <t>Based_On</t>
  </si>
  <si>
    <t>Reference</t>
  </si>
  <si>
    <t>Light Freight</t>
  </si>
  <si>
    <t>TRYLFELE</t>
  </si>
  <si>
    <t>TRTAXELE</t>
  </si>
  <si>
    <t>TRBUSELE</t>
  </si>
  <si>
    <t>TRMBUSELE</t>
  </si>
  <si>
    <t>TRBUSHYD</t>
  </si>
  <si>
    <t>TRMBUSHYD</t>
  </si>
  <si>
    <t>TRMOTELE</t>
  </si>
  <si>
    <t>Built-in</t>
  </si>
  <si>
    <t>v_2040</t>
  </si>
  <si>
    <t>Context</t>
  </si>
  <si>
    <t>Base</t>
  </si>
  <si>
    <t>DIST_DSL</t>
  </si>
  <si>
    <t>CO2e_sources</t>
  </si>
  <si>
    <t>DIST_GSL</t>
  </si>
  <si>
    <t>T4DSL_HEA</t>
  </si>
  <si>
    <t>CO2e_Freight</t>
  </si>
  <si>
    <t>CO2e_HeavyCargo</t>
  </si>
  <si>
    <t>CO2e</t>
  </si>
  <si>
    <t>T4DSL_LIG</t>
  </si>
  <si>
    <t>CO2e_LightCargo</t>
  </si>
  <si>
    <t>T4DSL_PRI</t>
  </si>
  <si>
    <t>T4DSL_PUB</t>
  </si>
  <si>
    <t>T4GSL_LIG</t>
  </si>
  <si>
    <t>T4GSL_PRI</t>
  </si>
  <si>
    <t>T4GSL_PUB</t>
  </si>
  <si>
    <t>T5DSLAGR</t>
  </si>
  <si>
    <t>T5DSLIND</t>
  </si>
  <si>
    <t>Tech</t>
  </si>
  <si>
    <t>Emission</t>
  </si>
  <si>
    <t>ref</t>
  </si>
  <si>
    <t>Milestone_Years</t>
  </si>
  <si>
    <t>Method</t>
  </si>
  <si>
    <t>Built-in Parameter-Set</t>
  </si>
  <si>
    <t>PPFOI</t>
  </si>
  <si>
    <t>TotalTechnologyAnnualActivityUpperLimit</t>
  </si>
  <si>
    <t>Exact_Years</t>
  </si>
  <si>
    <t>Exact_Values</t>
  </si>
  <si>
    <t>PPHDAM</t>
  </si>
  <si>
    <t>PPHROR</t>
  </si>
  <si>
    <t>PPGEO</t>
  </si>
  <si>
    <t>PPWNDON</t>
  </si>
  <si>
    <t>PPPVT</t>
  </si>
  <si>
    <t>PPBIO</t>
  </si>
  <si>
    <t>PPDSL</t>
  </si>
  <si>
    <t>Milestone_Value</t>
  </si>
  <si>
    <t>Unit</t>
  </si>
  <si>
    <t>PJ</t>
  </si>
  <si>
    <t>2018 ; 2019 ; 2020 ; 2021</t>
  </si>
  <si>
    <t>GW</t>
  </si>
  <si>
    <t>Description Parameter-Set</t>
  </si>
  <si>
    <t>The maximum production of Diesel</t>
  </si>
  <si>
    <t>Write ; Interpolate ; Fix_Last</t>
  </si>
  <si>
    <t>Overwrite ; Interpolate ; Fix_Last</t>
  </si>
  <si>
    <t>TRSUVPHG</t>
  </si>
  <si>
    <t>TRSUVPHD</t>
  </si>
  <si>
    <t>TRSEDPHG</t>
  </si>
  <si>
    <t>TRBUSPHD</t>
  </si>
  <si>
    <t>TRMBUSPHD</t>
  </si>
  <si>
    <t>TRTAXPHG</t>
  </si>
  <si>
    <t>TRTAXPHD</t>
  </si>
  <si>
    <t>TRYLFPHG</t>
  </si>
  <si>
    <t>TRYLFPHD</t>
  </si>
  <si>
    <t>Max</t>
  </si>
  <si>
    <t>Hybrid Gasoline SUV</t>
  </si>
  <si>
    <t>Hybrid Gasoline Sedan</t>
  </si>
  <si>
    <t>Hybrid Diesel Bus</t>
  </si>
  <si>
    <t>Hybrid Diesel Minibus</t>
  </si>
  <si>
    <t>Hybrid Gasoline Taxi</t>
  </si>
  <si>
    <t>Hybrid Diesel Taxi</t>
  </si>
  <si>
    <t>Hybrid Gasoline Light Freight</t>
  </si>
  <si>
    <t>Hybrid Diesel Light Freight</t>
  </si>
  <si>
    <t>Hybrid Diesel SUV</t>
  </si>
  <si>
    <t>1 ; 1 ; 1 ; 1</t>
  </si>
  <si>
    <t>TotalTechnologyAnnualActivityLowerLimit</t>
  </si>
  <si>
    <t>0.03 ; 0.03 ; 0.03 ; 0.03</t>
  </si>
  <si>
    <t>The minimum production of Fuel Oil</t>
  </si>
  <si>
    <t>The minimum production of Diesel</t>
  </si>
  <si>
    <t>None</t>
  </si>
  <si>
    <t>Set</t>
  </si>
  <si>
    <t>Contains: PP</t>
  </si>
  <si>
    <t>Relationship of yearly output and capacity for power plants (electrical load factor)</t>
  </si>
  <si>
    <t>Set_Index</t>
  </si>
  <si>
    <t>CapacityFactor</t>
  </si>
  <si>
    <t>Exact_Multiplier</t>
  </si>
  <si>
    <t>Security_Multiplier</t>
  </si>
  <si>
    <t>2018 ; 2019 ; 2020 ; 2021 ; 2022 ; 2023 ; 2024 ; 2025 ; 2026 ; 2027 ; 2028 ; 2029 ; 2030 ; 2031 ; 2032 ; 2033 ; 2034</t>
  </si>
  <si>
    <t>All</t>
  </si>
  <si>
    <t>0.0912 ; 0.0557 ; 0.029 ; 0.0445 ; 0.067 ; 0.1091 ; 0.1517 ; 0.1867 ; 0.1701 ; 0.2063 ; 0.2709 ; 0.2074 ; 0.2181 ; 0.2276 ; 0.2649 ; 0.2946 ; 0.259</t>
  </si>
  <si>
    <t>PJ/GW</t>
  </si>
  <si>
    <t>The capacity factor of Fuel Oil Companies</t>
  </si>
  <si>
    <t>13.8175 ; 13.8574 ; 14.3277 ; 14.707 ; 15.0796 ; 15.232 ; 15.651 ; 15.9657 ; 15.8299 ; 16.1711 ; 16.4841 ; 16.0783 ; 16.2572 ; 16.3466 ; 16.6149 ; 16.6497 ; 16.5321</t>
  </si>
  <si>
    <t>16.217 ; 16.2638 ; 16.8159 ; 17.261 ; 17.6984 ; 17.8772 ; 18.369 ; 18.7383 ; 18.5789 ; 18.9793 ; 19.3467 ; 18.8705 ; 19.0804 ; 19.1854 ; 19.5003 ; 19.5411 ; 19.4031</t>
  </si>
  <si>
    <t>3.4869 ; 4.7304 ; 4.9932 ; 5.0616 ; 5.1732 ; 5.5656 ; 5.454 ; 5.6124 ; 6.9804 ; 7.0596 ; 6.0516 ; 6.9156 ; 7.3368 ; 8.2872 ; 8.3844 ; 8.4348 ; 8.3664</t>
  </si>
  <si>
    <t>The minimum activity of Hydro-Dam</t>
  </si>
  <si>
    <t>The minimum activity of Run-of-River</t>
  </si>
  <si>
    <t>The minimum activity of Geothermal</t>
  </si>
  <si>
    <t>The minimum activity of Wind (on-shore)</t>
  </si>
  <si>
    <t>The minimum activity of Solar (large)</t>
  </si>
  <si>
    <t xml:space="preserve">The minimum activity Bioenergy </t>
  </si>
  <si>
    <t>TotalAnnualMaxCapacityInvestment</t>
  </si>
  <si>
    <t>Write ; Interpolate_Escalate ; Fix_Last</t>
  </si>
  <si>
    <t>The max capacity investment of Hydro-Dam</t>
  </si>
  <si>
    <t>The max capacity investment of Run-of-River</t>
  </si>
  <si>
    <t>The max capacity investment of Solar (large)</t>
  </si>
  <si>
    <t>The max capacity investment of Geothermal</t>
  </si>
  <si>
    <t>0.1764 ; 0.1764 ; 0.1764 ; 0.27 ; 0.4068 ; 0.6624 ; 0.9216 ; 1.134 ; 1.0332 ; 1.2528 ; 1.6452 ; 1.26 ; 1.3248 ; 1.3824 ; 1.6092 ; 1.7892 ; 1.5732</t>
  </si>
  <si>
    <t>5.3964 ; 5.3964 ; 5.3964 ; 5.4144 ; 5.4072 ; 5.4432 ; 5.3856 ; 5.3388 ; 5.364 ; 5.328 ; 5.9832 ; 6.8436 ; 6.9876 ; 6.8508 ; 6.9696 ; 7.686 ; 9.2016</t>
  </si>
  <si>
    <t>0.288 ; 0.288 ; 0.288 ; 0.2952 ; 0.2916 ; 0.2916 ; 0.2952 ; 0.2952 ; 0.2916 ; 0.288 ; 0.2916 ; 0.2916 ; 0.3024 ; 0.288 ; 0.288 ; 0.288 ; 0.288</t>
  </si>
  <si>
    <t>0 ; 0 ; 0 ; 0 ; 0 ; 0 ; 0 ; 0 ; 0 ; 0 ; 0.3780 ; 0.9396 ; 0.9504 ; 0.9468 ; 0.9540 ; 0.9540 ; 0.9468</t>
  </si>
  <si>
    <t>Sector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</si>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</sst>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9" xfId="0" applyFont="1" applyBorder="1"/>
    <xf numFmtId="0" fontId="0" fillId="4" borderId="9" xfId="0" applyFill="1" applyBorder="1"/>
    <xf numFmtId="0" fontId="0" fillId="5" borderId="9" xfId="0" applyFill="1" applyBorder="1"/>
    <xf numFmtId="0" fontId="0" fillId="6" borderId="9" xfId="0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7" xfId="0" applyFont="1" applyBorder="1"/>
    <xf numFmtId="0" fontId="1" fillId="0" borderId="18" xfId="0" applyFont="1" applyBorder="1"/>
    <xf numFmtId="0" fontId="0" fillId="0" borderId="2" xfId="0" applyBorder="1"/>
    <xf numFmtId="0" fontId="1" fillId="0" borderId="2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/>
    <xf numFmtId="0" fontId="0" fillId="0" borderId="18" xfId="0" applyBorder="1"/>
    <xf numFmtId="0" fontId="1" fillId="0" borderId="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0" fillId="0" borderId="8" xfId="0" applyBorder="1"/>
    <xf numFmtId="0" fontId="1" fillId="0" borderId="24" xfId="0" applyFont="1" applyBorder="1" applyAlignment="1">
      <alignment horizontal="center" vertical="center"/>
    </xf>
    <xf numFmtId="0" fontId="0" fillId="0" borderId="25" xfId="0" applyBorder="1"/>
    <xf numFmtId="0" fontId="0" fillId="0" borderId="27" xfId="0" applyBorder="1"/>
    <xf numFmtId="0" fontId="1" fillId="9" borderId="17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0" fillId="9" borderId="17" xfId="0" applyFill="1" applyBorder="1"/>
    <xf numFmtId="0" fontId="0" fillId="9" borderId="7" xfId="0" applyFill="1" applyBorder="1"/>
    <xf numFmtId="0" fontId="0" fillId="9" borderId="18" xfId="0" applyFill="1" applyBorder="1"/>
    <xf numFmtId="0" fontId="0" fillId="9" borderId="14" xfId="0" applyFill="1" applyBorder="1"/>
    <xf numFmtId="0" fontId="0" fillId="9" borderId="15" xfId="0" applyFill="1" applyBorder="1"/>
    <xf numFmtId="0" fontId="0" fillId="9" borderId="16" xfId="0" applyFill="1" applyBorder="1"/>
    <xf numFmtId="0" fontId="0" fillId="9" borderId="1" xfId="0" applyFill="1" applyBorder="1"/>
    <xf numFmtId="0" fontId="0" fillId="9" borderId="8" xfId="0" applyFill="1" applyBorder="1"/>
    <xf numFmtId="0" fontId="0" fillId="9" borderId="2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15" borderId="11" xfId="0" applyFill="1" applyBorder="1" applyAlignment="1">
      <alignment horizontal="center" vertical="center"/>
    </xf>
    <xf numFmtId="0" fontId="0" fillId="15" borderId="1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0" borderId="1" xfId="0" applyBorder="1"/>
    <xf numFmtId="0" fontId="0" fillId="10" borderId="14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8" borderId="33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 vertic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11" borderId="33" xfId="0" applyFill="1" applyBorder="1" applyAlignment="1">
      <alignment horizontal="center" vertical="center"/>
    </xf>
    <xf numFmtId="0" fontId="0" fillId="11" borderId="34" xfId="0" applyFill="1" applyBorder="1" applyAlignment="1">
      <alignment horizontal="center" vertical="center"/>
    </xf>
    <xf numFmtId="0" fontId="0" fillId="11" borderId="35" xfId="0" applyFill="1" applyBorder="1" applyAlignment="1">
      <alignment horizontal="center" vertical="center"/>
    </xf>
    <xf numFmtId="0" fontId="0" fillId="8" borderId="35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34" xfId="0" applyFill="1" applyBorder="1" applyAlignment="1">
      <alignment horizontal="center" vertical="center"/>
    </xf>
    <xf numFmtId="0" fontId="0" fillId="14" borderId="35" xfId="0" applyFill="1" applyBorder="1" applyAlignment="1">
      <alignment horizontal="center"/>
    </xf>
    <xf numFmtId="0" fontId="0" fillId="14" borderId="35" xfId="0" applyFill="1" applyBorder="1" applyAlignment="1">
      <alignment horizontal="center" vertical="center"/>
    </xf>
    <xf numFmtId="0" fontId="0" fillId="11" borderId="36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12" borderId="33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3" borderId="33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 vertical="center"/>
    </xf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0" fontId="0" fillId="13" borderId="35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12" borderId="36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6" borderId="3" xfId="0" applyFill="1" applyBorder="1"/>
    <xf numFmtId="0" fontId="5" fillId="0" borderId="39" xfId="0" applyFont="1" applyBorder="1"/>
    <xf numFmtId="0" fontId="5" fillId="0" borderId="4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A3" sqref="A3:F5"/>
    </sheetView>
  </sheetViews>
  <sheetFormatPr defaultColWidth="9.140625" defaultRowHeight="15" x14ac:dyDescent="0.25"/>
  <cols>
    <col min="1" max="1" width="18.28515625" bestFit="1" customWidth="1"/>
    <col min="2" max="2" width="9.140625" bestFit="1" customWidth="1"/>
    <col min="3" max="3" width="9.140625" customWidth="1"/>
    <col min="4" max="4" width="9.85546875" bestFit="1" customWidth="1"/>
    <col min="5" max="5" width="9.140625" customWidth="1"/>
    <col min="6" max="6" width="104.5703125" bestFit="1" customWidth="1"/>
  </cols>
  <sheetData>
    <row r="1" spans="1:6" ht="15.75" thickBot="1" x14ac:dyDescent="0.3">
      <c r="A1" s="27" t="s">
        <v>34</v>
      </c>
      <c r="B1" s="28" t="s">
        <v>38</v>
      </c>
      <c r="C1" s="28" t="s">
        <v>52</v>
      </c>
      <c r="D1" s="28" t="s">
        <v>40</v>
      </c>
      <c r="E1" s="28" t="s">
        <v>39</v>
      </c>
      <c r="F1" s="29" t="s">
        <v>35</v>
      </c>
    </row>
    <row r="2" spans="1:6" ht="15.75" thickBot="1" x14ac:dyDescent="0.3">
      <c r="A2" s="159" t="s">
        <v>36</v>
      </c>
      <c r="B2" s="160" t="s">
        <v>12</v>
      </c>
      <c r="C2" s="160" t="s">
        <v>12</v>
      </c>
      <c r="D2" s="160" t="s">
        <v>36</v>
      </c>
      <c r="E2" s="160" t="s">
        <v>71</v>
      </c>
      <c r="F2" s="160" t="s">
        <v>37</v>
      </c>
    </row>
    <row r="3" spans="1:6" ht="15.75" thickBot="1" x14ac:dyDescent="0.3">
      <c r="A3" s="159"/>
      <c r="B3" s="160"/>
      <c r="C3" s="160"/>
      <c r="D3" s="160"/>
      <c r="E3" s="160"/>
      <c r="F3" s="160"/>
    </row>
    <row r="4" spans="1:6" ht="15.75" thickBot="1" x14ac:dyDescent="0.3">
      <c r="A4" s="159"/>
      <c r="B4" s="160"/>
      <c r="C4" s="160"/>
      <c r="D4" s="160"/>
      <c r="E4" s="160"/>
      <c r="F4" s="160"/>
    </row>
    <row r="5" spans="1:6" ht="15.75" thickBot="1" x14ac:dyDescent="0.3">
      <c r="A5" s="159"/>
      <c r="B5" s="160"/>
      <c r="C5" s="160"/>
      <c r="D5" s="160"/>
      <c r="E5" s="160"/>
      <c r="F5" s="160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B3" sqref="B3"/>
    </sheetView>
  </sheetViews>
  <sheetFormatPr defaultColWidth="9.140625" defaultRowHeight="15" x14ac:dyDescent="0.25"/>
  <cols>
    <col min="1" max="1" width="25" bestFit="1" customWidth="1"/>
  </cols>
  <sheetData>
    <row r="1" spans="1:2" x14ac:dyDescent="0.25">
      <c r="A1" s="2" t="s">
        <v>22</v>
      </c>
      <c r="B1" s="2" t="s">
        <v>23</v>
      </c>
    </row>
    <row r="2" spans="1:2" x14ac:dyDescent="0.25">
      <c r="A2" t="s">
        <v>24</v>
      </c>
      <c r="B2">
        <v>2026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dimension ref="A1:D18"/>
  <sheetViews>
    <sheetView workbookViewId="0">
      <selection activeCell="A2" sqref="A2:D9"/>
    </sheetView>
  </sheetViews>
  <sheetFormatPr defaultColWidth="9.140625" defaultRowHeight="15" x14ac:dyDescent="0.25"/>
  <cols>
    <col min="2" max="2" width="41.5703125" bestFit="1" customWidth="1"/>
    <col min="3" max="3" width="16.85546875" customWidth="1"/>
    <col min="4" max="4" width="32.7109375" bestFit="1" customWidth="1"/>
    <col min="6" max="6" width="19.28515625" bestFit="1" customWidth="1"/>
  </cols>
  <sheetData>
    <row r="1" spans="1:4" x14ac:dyDescent="0.25">
      <c r="A1" s="10" t="s">
        <v>0</v>
      </c>
      <c r="B1" s="11" t="s">
        <v>26</v>
      </c>
      <c r="C1" s="11" t="s">
        <v>25</v>
      </c>
      <c r="D1" s="12" t="s">
        <v>27</v>
      </c>
    </row>
    <row r="2" spans="1:4" x14ac:dyDescent="0.25">
      <c r="A2" s="158"/>
      <c r="B2" s="9"/>
      <c r="C2" s="7"/>
      <c r="D2" s="4"/>
    </row>
    <row r="3" spans="1:4" x14ac:dyDescent="0.25">
      <c r="A3" s="158"/>
      <c r="B3" s="9"/>
      <c r="C3" s="7"/>
      <c r="D3" s="4"/>
    </row>
    <row r="4" spans="1:4" x14ac:dyDescent="0.25">
      <c r="A4" s="158"/>
      <c r="B4" s="9"/>
      <c r="C4" s="7"/>
      <c r="D4" s="4"/>
    </row>
    <row r="5" spans="1:4" x14ac:dyDescent="0.25">
      <c r="A5" s="158"/>
      <c r="B5" s="9"/>
      <c r="C5" s="7"/>
      <c r="D5" s="4"/>
    </row>
    <row r="6" spans="1:4" x14ac:dyDescent="0.25">
      <c r="A6" s="158"/>
      <c r="B6" s="9"/>
      <c r="C6" s="7"/>
      <c r="D6" s="4"/>
    </row>
    <row r="7" spans="1:4" x14ac:dyDescent="0.25">
      <c r="A7" s="158"/>
      <c r="B7" s="9"/>
      <c r="C7" s="7"/>
      <c r="D7" s="4"/>
    </row>
    <row r="8" spans="1:4" x14ac:dyDescent="0.25">
      <c r="A8" s="158"/>
      <c r="B8" s="9"/>
      <c r="C8" s="7"/>
      <c r="D8" s="4"/>
    </row>
    <row r="9" spans="1:4" ht="15.75" thickBot="1" x14ac:dyDescent="0.3">
      <c r="A9" s="158"/>
      <c r="B9" s="14"/>
      <c r="C9" s="8"/>
      <c r="D9" s="6"/>
    </row>
    <row r="10" spans="1:4" x14ac:dyDescent="0.25">
      <c r="A10" s="1"/>
      <c r="B10" s="1"/>
      <c r="C10" s="1"/>
    </row>
    <row r="11" spans="1:4" x14ac:dyDescent="0.25">
      <c r="A11" s="1"/>
      <c r="B11" s="1"/>
      <c r="C11" s="1"/>
    </row>
    <row r="12" spans="1:4" x14ac:dyDescent="0.25">
      <c r="A12" s="1"/>
      <c r="B12" s="1"/>
      <c r="C12" s="1"/>
    </row>
    <row r="13" spans="1:4" x14ac:dyDescent="0.25">
      <c r="A13" s="1"/>
      <c r="B13" s="1"/>
      <c r="C13" s="1"/>
    </row>
    <row r="14" spans="1:4" x14ac:dyDescent="0.25">
      <c r="A14" s="1"/>
      <c r="B14" s="1"/>
      <c r="C14" s="1"/>
    </row>
    <row r="15" spans="1:4" x14ac:dyDescent="0.25">
      <c r="A15" s="1"/>
      <c r="B15" s="1"/>
      <c r="C15" s="1"/>
    </row>
    <row r="16" spans="1:4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dimension ref="A1:Q10"/>
  <sheetViews>
    <sheetView workbookViewId="0">
      <selection activeCell="A2" sqref="A2:Q5"/>
    </sheetView>
  </sheetViews>
  <sheetFormatPr defaultColWidth="9.140625" defaultRowHeight="15" x14ac:dyDescent="0.25"/>
  <cols>
    <col min="1" max="1" width="14" bestFit="1" customWidth="1"/>
    <col min="2" max="2" width="18" bestFit="1" customWidth="1"/>
    <col min="3" max="3" width="33.5703125" bestFit="1" customWidth="1"/>
    <col min="4" max="4" width="14" bestFit="1" customWidth="1"/>
    <col min="5" max="5" width="14" customWidth="1"/>
    <col min="6" max="7" width="7.28515625" bestFit="1" customWidth="1"/>
    <col min="8" max="8" width="6.28515625" bestFit="1" customWidth="1"/>
    <col min="9" max="10" width="6.140625" bestFit="1" customWidth="1"/>
    <col min="11" max="12" width="6.5703125" bestFit="1" customWidth="1"/>
    <col min="13" max="13" width="5" bestFit="1" customWidth="1"/>
    <col min="14" max="14" width="5.140625" bestFit="1" customWidth="1"/>
    <col min="15" max="15" width="7" bestFit="1" customWidth="1"/>
    <col min="16" max="16" width="7" customWidth="1"/>
    <col min="17" max="17" width="7" bestFit="1" customWidth="1"/>
  </cols>
  <sheetData>
    <row r="1" spans="1:17" x14ac:dyDescent="0.25">
      <c r="A1" s="10" t="s">
        <v>0</v>
      </c>
      <c r="B1" s="11" t="s">
        <v>9</v>
      </c>
      <c r="C1" s="11" t="s">
        <v>17</v>
      </c>
      <c r="D1" s="11" t="s">
        <v>1</v>
      </c>
      <c r="E1" s="11" t="s">
        <v>51</v>
      </c>
      <c r="F1" s="11" t="s">
        <v>49</v>
      </c>
      <c r="G1" s="11" t="s">
        <v>2</v>
      </c>
      <c r="H1" s="11" t="s">
        <v>3</v>
      </c>
      <c r="I1" s="11" t="s">
        <v>14</v>
      </c>
      <c r="J1" s="11" t="s">
        <v>15</v>
      </c>
      <c r="K1" s="11" t="s">
        <v>6</v>
      </c>
      <c r="L1" s="11" t="s">
        <v>4</v>
      </c>
      <c r="M1" s="11" t="s">
        <v>5</v>
      </c>
      <c r="N1" s="11" t="s">
        <v>7</v>
      </c>
      <c r="O1" s="11" t="s">
        <v>33</v>
      </c>
      <c r="P1" s="11" t="s">
        <v>50</v>
      </c>
      <c r="Q1" s="12" t="s">
        <v>8</v>
      </c>
    </row>
    <row r="2" spans="1:17" x14ac:dyDescent="0.25">
      <c r="A2" s="13"/>
      <c r="B2" s="9"/>
      <c r="C2" s="9"/>
      <c r="D2" s="118"/>
      <c r="E2" s="118"/>
      <c r="F2" s="118"/>
      <c r="G2" s="9"/>
      <c r="H2" s="9"/>
      <c r="I2" s="9"/>
      <c r="J2" s="9"/>
      <c r="K2" s="120"/>
      <c r="L2" s="120"/>
      <c r="M2" s="9"/>
      <c r="N2" s="9"/>
      <c r="O2" s="19"/>
      <c r="P2" s="19"/>
      <c r="Q2" s="18"/>
    </row>
    <row r="3" spans="1:17" x14ac:dyDescent="0.25">
      <c r="A3" s="13"/>
      <c r="B3" s="9"/>
      <c r="C3" s="9"/>
      <c r="D3" s="118"/>
      <c r="E3" s="118"/>
      <c r="F3" s="118"/>
      <c r="G3" s="9"/>
      <c r="H3" s="9"/>
      <c r="I3" s="9"/>
      <c r="J3" s="9"/>
      <c r="K3" s="120"/>
      <c r="L3" s="120"/>
      <c r="M3" s="9"/>
      <c r="N3" s="9"/>
      <c r="O3" s="19"/>
      <c r="P3" s="19"/>
      <c r="Q3" s="18"/>
    </row>
    <row r="4" spans="1:17" x14ac:dyDescent="0.25">
      <c r="A4" s="13"/>
      <c r="B4" s="118"/>
      <c r="C4" s="118"/>
      <c r="D4" s="9"/>
      <c r="E4" s="9"/>
      <c r="F4" s="9"/>
      <c r="G4" s="118"/>
      <c r="H4" s="118"/>
      <c r="I4" s="9"/>
      <c r="J4" s="9"/>
      <c r="K4" s="9"/>
      <c r="L4" s="9"/>
      <c r="M4" s="9"/>
      <c r="N4" s="9"/>
      <c r="O4" s="19"/>
      <c r="P4" s="19"/>
      <c r="Q4" s="18"/>
    </row>
    <row r="5" spans="1:17" ht="15.75" thickBot="1" x14ac:dyDescent="0.3">
      <c r="A5" s="13"/>
      <c r="B5" s="119"/>
      <c r="C5" s="119"/>
      <c r="D5" s="14"/>
      <c r="E5" s="14"/>
      <c r="F5" s="14"/>
      <c r="G5" s="119"/>
      <c r="H5" s="119"/>
      <c r="I5" s="14"/>
      <c r="J5" s="14"/>
      <c r="K5" s="14"/>
      <c r="L5" s="14"/>
      <c r="M5" s="14"/>
      <c r="N5" s="119"/>
      <c r="O5" s="54"/>
      <c r="P5" s="54"/>
      <c r="Q5" s="71"/>
    </row>
    <row r="7" spans="1:1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dimension ref="A1:D9"/>
  <sheetViews>
    <sheetView workbookViewId="0">
      <selection activeCell="A2" sqref="A2:D9"/>
    </sheetView>
  </sheetViews>
  <sheetFormatPr defaultColWidth="9.140625" defaultRowHeight="15" x14ac:dyDescent="0.25"/>
  <cols>
    <col min="1" max="1" width="8.28515625" bestFit="1" customWidth="1"/>
    <col min="2" max="2" width="34.28515625" bestFit="1" customWidth="1"/>
    <col min="3" max="3" width="16.85546875" bestFit="1" customWidth="1"/>
    <col min="4" max="4" width="37.28515625" bestFit="1" customWidth="1"/>
  </cols>
  <sheetData>
    <row r="1" spans="1:4" x14ac:dyDescent="0.25">
      <c r="A1" s="10" t="s">
        <v>0</v>
      </c>
      <c r="B1" s="11" t="s">
        <v>26</v>
      </c>
      <c r="C1" s="11" t="s">
        <v>25</v>
      </c>
      <c r="D1" s="12" t="s">
        <v>28</v>
      </c>
    </row>
    <row r="2" spans="1:4" x14ac:dyDescent="0.25">
      <c r="A2" s="13"/>
      <c r="B2" s="9"/>
      <c r="C2" s="7"/>
      <c r="D2" s="4"/>
    </row>
    <row r="3" spans="1:4" x14ac:dyDescent="0.25">
      <c r="A3" s="13"/>
      <c r="B3" s="9"/>
      <c r="C3" s="7"/>
      <c r="D3" s="4"/>
    </row>
    <row r="4" spans="1:4" x14ac:dyDescent="0.25">
      <c r="A4" s="13"/>
      <c r="B4" s="9"/>
      <c r="C4" s="7"/>
      <c r="D4" s="4"/>
    </row>
    <row r="5" spans="1:4" x14ac:dyDescent="0.25">
      <c r="A5" s="13"/>
      <c r="B5" s="9"/>
      <c r="C5" s="7"/>
      <c r="D5" s="4"/>
    </row>
    <row r="6" spans="1:4" x14ac:dyDescent="0.25">
      <c r="A6" s="13"/>
      <c r="B6" s="9"/>
      <c r="C6" s="7"/>
      <c r="D6" s="4"/>
    </row>
    <row r="7" spans="1:4" x14ac:dyDescent="0.25">
      <c r="A7" s="13"/>
      <c r="B7" s="9"/>
      <c r="C7" s="7"/>
      <c r="D7" s="4"/>
    </row>
    <row r="8" spans="1:4" x14ac:dyDescent="0.25">
      <c r="A8" s="13"/>
      <c r="B8" s="9"/>
      <c r="C8" s="7"/>
      <c r="D8" s="4"/>
    </row>
    <row r="9" spans="1:4" ht="15.75" thickBot="1" x14ac:dyDescent="0.3">
      <c r="A9" s="13"/>
      <c r="B9" s="14"/>
      <c r="C9" s="8"/>
      <c r="D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CC1A-F8CC-4D27-B6CC-82B1C0AF2710}">
  <dimension ref="A1:AS3"/>
  <sheetViews>
    <sheetView workbookViewId="0">
      <selection activeCell="A2" sqref="A2:AS3"/>
    </sheetView>
  </sheetViews>
  <sheetFormatPr defaultColWidth="9.140625" defaultRowHeight="15" x14ac:dyDescent="0.25"/>
  <cols>
    <col min="1" max="1" width="8" bestFit="1" customWidth="1"/>
    <col min="2" max="2" width="22" bestFit="1" customWidth="1"/>
    <col min="3" max="3" width="9.42578125" bestFit="1" customWidth="1"/>
    <col min="5" max="5" width="17.7109375" bestFit="1" customWidth="1"/>
    <col min="6" max="6" width="10.42578125" customWidth="1"/>
    <col min="7" max="8" width="9.5703125" bestFit="1" customWidth="1"/>
    <col min="9" max="9" width="4.85546875" bestFit="1" customWidth="1"/>
    <col min="10" max="12" width="6.7109375" bestFit="1" customWidth="1"/>
    <col min="13" max="45" width="7.85546875" bestFit="1" customWidth="1"/>
  </cols>
  <sheetData>
    <row r="1" spans="1:45" ht="45.75" thickBot="1" x14ac:dyDescent="0.3">
      <c r="A1" s="15" t="s">
        <v>0</v>
      </c>
      <c r="B1" s="38" t="s">
        <v>22</v>
      </c>
      <c r="C1" s="16" t="s">
        <v>120</v>
      </c>
      <c r="D1" s="16" t="s">
        <v>123</v>
      </c>
      <c r="E1" s="16" t="s">
        <v>17</v>
      </c>
      <c r="F1" s="32" t="s">
        <v>74</v>
      </c>
      <c r="G1" s="31" t="s">
        <v>40</v>
      </c>
      <c r="H1" s="31" t="s">
        <v>73</v>
      </c>
      <c r="I1" s="15" t="s">
        <v>7</v>
      </c>
      <c r="J1" s="16" t="s">
        <v>33</v>
      </c>
      <c r="K1" s="16" t="s">
        <v>50</v>
      </c>
      <c r="L1" s="17" t="s">
        <v>8</v>
      </c>
      <c r="M1" s="15">
        <v>2018</v>
      </c>
      <c r="N1" s="16">
        <v>2019</v>
      </c>
      <c r="O1" s="35">
        <v>2020</v>
      </c>
      <c r="P1" s="35">
        <v>2021</v>
      </c>
      <c r="Q1" s="35">
        <v>2022</v>
      </c>
      <c r="R1" s="35">
        <v>2023</v>
      </c>
      <c r="S1" s="35">
        <v>2024</v>
      </c>
      <c r="T1" s="35">
        <v>2025</v>
      </c>
      <c r="U1" s="35">
        <v>2026</v>
      </c>
      <c r="V1" s="35">
        <v>2027</v>
      </c>
      <c r="W1" s="35">
        <v>2028</v>
      </c>
      <c r="X1" s="35">
        <v>2029</v>
      </c>
      <c r="Y1" s="35">
        <v>2030</v>
      </c>
      <c r="Z1" s="35">
        <v>2031</v>
      </c>
      <c r="AA1" s="35">
        <v>2032</v>
      </c>
      <c r="AB1" s="35">
        <v>2033</v>
      </c>
      <c r="AC1" s="35">
        <v>2034</v>
      </c>
      <c r="AD1" s="35">
        <v>2035</v>
      </c>
      <c r="AE1" s="35">
        <v>2036</v>
      </c>
      <c r="AF1" s="35">
        <v>2037</v>
      </c>
      <c r="AG1" s="35">
        <v>2038</v>
      </c>
      <c r="AH1" s="35">
        <v>2039</v>
      </c>
      <c r="AI1" s="35">
        <v>2040</v>
      </c>
      <c r="AJ1" s="35">
        <v>2041</v>
      </c>
      <c r="AK1" s="35">
        <v>2042</v>
      </c>
      <c r="AL1" s="35">
        <v>2043</v>
      </c>
      <c r="AM1" s="35">
        <v>2044</v>
      </c>
      <c r="AN1" s="35">
        <v>2045</v>
      </c>
      <c r="AO1" s="35">
        <v>2046</v>
      </c>
      <c r="AP1" s="35">
        <v>2047</v>
      </c>
      <c r="AQ1" s="35">
        <v>2048</v>
      </c>
      <c r="AR1" s="35">
        <v>2049</v>
      </c>
      <c r="AS1" s="36">
        <v>2050</v>
      </c>
    </row>
    <row r="2" spans="1:45" ht="15.75" thickBot="1" x14ac:dyDescent="0.3">
      <c r="A2" s="65"/>
      <c r="B2" s="121"/>
      <c r="C2" s="37"/>
      <c r="D2" s="37"/>
      <c r="E2" s="66"/>
      <c r="F2" s="66"/>
      <c r="G2" s="68"/>
      <c r="H2" s="68"/>
      <c r="I2" s="65"/>
      <c r="J2" s="66"/>
      <c r="K2" s="66"/>
      <c r="L2" s="78"/>
      <c r="M2" s="112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0"/>
    </row>
    <row r="3" spans="1:45" x14ac:dyDescent="0.25">
      <c r="A3" s="65"/>
      <c r="B3" s="73"/>
      <c r="C3" s="7"/>
      <c r="D3" s="7"/>
      <c r="E3" s="9"/>
      <c r="F3" s="9"/>
      <c r="G3" s="19"/>
      <c r="H3" s="19"/>
      <c r="I3" s="13"/>
      <c r="J3" s="9"/>
      <c r="K3" s="9"/>
      <c r="L3" s="18"/>
      <c r="M3" s="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51"/>
  <sheetViews>
    <sheetView zoomScale="70" zoomScaleNormal="70" workbookViewId="0">
      <selection activeCell="A18" sqref="A18:Q51"/>
    </sheetView>
  </sheetViews>
  <sheetFormatPr defaultColWidth="9.140625" defaultRowHeight="15" x14ac:dyDescent="0.25"/>
  <cols>
    <col min="1" max="1" width="11.7109375" bestFit="1" customWidth="1"/>
    <col min="2" max="2" width="11.7109375" customWidth="1"/>
    <col min="3" max="3" width="23.85546875" bestFit="1" customWidth="1"/>
    <col min="4" max="4" width="27.85546875" bestFit="1" customWidth="1"/>
    <col min="5" max="5" width="13.85546875" bestFit="1" customWidth="1"/>
    <col min="6" max="6" width="10.42578125" bestFit="1" customWidth="1"/>
    <col min="7" max="7" width="8.5703125" bestFit="1" customWidth="1"/>
    <col min="8" max="8" width="8.42578125" bestFit="1" customWidth="1"/>
    <col min="10" max="12" width="6.140625" bestFit="1" customWidth="1"/>
    <col min="13" max="13" width="6.85546875" bestFit="1" customWidth="1"/>
    <col min="14" max="14" width="9.85546875" bestFit="1" customWidth="1"/>
    <col min="15" max="15" width="9.85546875" customWidth="1"/>
    <col min="16" max="16" width="9.85546875" bestFit="1" customWidth="1"/>
    <col min="17" max="17" width="20.5703125" bestFit="1" customWidth="1"/>
  </cols>
  <sheetData>
    <row r="1" spans="1:17" ht="15.75" thickBot="1" x14ac:dyDescent="0.3">
      <c r="A1" s="15" t="s">
        <v>0</v>
      </c>
      <c r="B1" s="15" t="s">
        <v>151</v>
      </c>
      <c r="C1" s="16" t="s">
        <v>9</v>
      </c>
      <c r="D1" s="16" t="s">
        <v>17</v>
      </c>
      <c r="E1" s="16" t="s">
        <v>1</v>
      </c>
      <c r="F1" s="16" t="s">
        <v>2</v>
      </c>
      <c r="G1" s="16" t="s">
        <v>3</v>
      </c>
      <c r="H1" s="16" t="s">
        <v>14</v>
      </c>
      <c r="I1" s="16" t="s">
        <v>15</v>
      </c>
      <c r="J1" s="16" t="s">
        <v>6</v>
      </c>
      <c r="K1" s="16" t="s">
        <v>4</v>
      </c>
      <c r="L1" s="16" t="s">
        <v>5</v>
      </c>
      <c r="M1" s="16" t="s">
        <v>7</v>
      </c>
      <c r="N1" s="16" t="s">
        <v>33</v>
      </c>
      <c r="O1" s="16" t="s">
        <v>50</v>
      </c>
      <c r="P1" s="16" t="s">
        <v>8</v>
      </c>
      <c r="Q1" s="17" t="s">
        <v>29</v>
      </c>
    </row>
    <row r="2" spans="1:17" x14ac:dyDescent="0.25">
      <c r="A2" s="122" t="s">
        <v>36</v>
      </c>
      <c r="B2" s="123" t="s">
        <v>152</v>
      </c>
      <c r="C2" s="123" t="s">
        <v>41</v>
      </c>
      <c r="D2" s="123" t="s">
        <v>30</v>
      </c>
      <c r="E2" s="123" t="s">
        <v>42</v>
      </c>
      <c r="F2" s="124" t="s">
        <v>13</v>
      </c>
      <c r="G2" s="124" t="s">
        <v>12</v>
      </c>
      <c r="H2" s="124" t="s">
        <v>16</v>
      </c>
      <c r="I2" s="124" t="s">
        <v>16</v>
      </c>
      <c r="J2" s="124" t="s">
        <v>16</v>
      </c>
      <c r="K2" s="124" t="s">
        <v>16</v>
      </c>
      <c r="L2" s="124" t="s">
        <v>16</v>
      </c>
      <c r="M2" s="124">
        <v>2022</v>
      </c>
      <c r="N2" s="124">
        <v>0</v>
      </c>
      <c r="O2" s="124">
        <v>0</v>
      </c>
      <c r="P2" s="124">
        <v>0</v>
      </c>
      <c r="Q2" s="125" t="s">
        <v>104</v>
      </c>
    </row>
    <row r="3" spans="1:17" x14ac:dyDescent="0.25">
      <c r="A3" s="126" t="s">
        <v>36</v>
      </c>
      <c r="B3" s="127" t="s">
        <v>152</v>
      </c>
      <c r="C3" s="127" t="s">
        <v>41</v>
      </c>
      <c r="D3" s="127" t="s">
        <v>112</v>
      </c>
      <c r="E3" s="127" t="s">
        <v>103</v>
      </c>
      <c r="F3" s="127" t="s">
        <v>13</v>
      </c>
      <c r="G3" s="127" t="s">
        <v>12</v>
      </c>
      <c r="H3" s="127" t="s">
        <v>16</v>
      </c>
      <c r="I3" s="127" t="s">
        <v>16</v>
      </c>
      <c r="J3" s="127" t="s">
        <v>16</v>
      </c>
      <c r="K3" s="127" t="s">
        <v>16</v>
      </c>
      <c r="L3" s="127" t="s">
        <v>16</v>
      </c>
      <c r="M3" s="127">
        <v>2022</v>
      </c>
      <c r="N3" s="127">
        <v>0</v>
      </c>
      <c r="O3" s="127">
        <v>0</v>
      </c>
      <c r="P3" s="127">
        <v>0</v>
      </c>
      <c r="Q3" s="128" t="s">
        <v>104</v>
      </c>
    </row>
    <row r="4" spans="1:17" x14ac:dyDescent="0.25">
      <c r="A4" s="126" t="s">
        <v>36</v>
      </c>
      <c r="B4" s="127" t="s">
        <v>152</v>
      </c>
      <c r="C4" s="127" t="s">
        <v>41</v>
      </c>
      <c r="D4" s="127" t="s">
        <v>111</v>
      </c>
      <c r="E4" s="127" t="s">
        <v>102</v>
      </c>
      <c r="F4" s="127" t="s">
        <v>13</v>
      </c>
      <c r="G4" s="127" t="s">
        <v>12</v>
      </c>
      <c r="H4" s="127" t="s">
        <v>16</v>
      </c>
      <c r="I4" s="127" t="s">
        <v>16</v>
      </c>
      <c r="J4" s="127" t="s">
        <v>16</v>
      </c>
      <c r="K4" s="127" t="s">
        <v>16</v>
      </c>
      <c r="L4" s="127" t="s">
        <v>16</v>
      </c>
      <c r="M4" s="127">
        <v>2022</v>
      </c>
      <c r="N4" s="127">
        <v>0</v>
      </c>
      <c r="O4" s="127">
        <v>0</v>
      </c>
      <c r="P4" s="127">
        <v>0</v>
      </c>
      <c r="Q4" s="128" t="s">
        <v>104</v>
      </c>
    </row>
    <row r="5" spans="1:17" x14ac:dyDescent="0.25">
      <c r="A5" s="122" t="s">
        <v>36</v>
      </c>
      <c r="B5" s="123" t="s">
        <v>152</v>
      </c>
      <c r="C5" s="123" t="s">
        <v>11</v>
      </c>
      <c r="D5" s="123" t="s">
        <v>21</v>
      </c>
      <c r="E5" s="123" t="s">
        <v>48</v>
      </c>
      <c r="F5" s="123" t="s">
        <v>13</v>
      </c>
      <c r="G5" s="123" t="s">
        <v>12</v>
      </c>
      <c r="H5" s="123" t="s">
        <v>16</v>
      </c>
      <c r="I5" s="123" t="s">
        <v>16</v>
      </c>
      <c r="J5" s="123" t="s">
        <v>16</v>
      </c>
      <c r="K5" s="123" t="s">
        <v>16</v>
      </c>
      <c r="L5" s="123" t="s">
        <v>16</v>
      </c>
      <c r="M5" s="123">
        <v>2022</v>
      </c>
      <c r="N5" s="123">
        <v>0</v>
      </c>
      <c r="O5" s="123">
        <v>0</v>
      </c>
      <c r="P5" s="123">
        <v>0</v>
      </c>
      <c r="Q5" s="129" t="s">
        <v>104</v>
      </c>
    </row>
    <row r="6" spans="1:17" x14ac:dyDescent="0.25">
      <c r="A6" s="126" t="s">
        <v>36</v>
      </c>
      <c r="B6" s="127" t="s">
        <v>152</v>
      </c>
      <c r="C6" s="127" t="s">
        <v>11</v>
      </c>
      <c r="D6" s="127" t="s">
        <v>106</v>
      </c>
      <c r="E6" s="127" t="s">
        <v>97</v>
      </c>
      <c r="F6" s="127" t="s">
        <v>13</v>
      </c>
      <c r="G6" s="127" t="s">
        <v>12</v>
      </c>
      <c r="H6" s="127" t="s">
        <v>16</v>
      </c>
      <c r="I6" s="127" t="s">
        <v>16</v>
      </c>
      <c r="J6" s="127" t="s">
        <v>16</v>
      </c>
      <c r="K6" s="127" t="s">
        <v>16</v>
      </c>
      <c r="L6" s="127" t="s">
        <v>16</v>
      </c>
      <c r="M6" s="127">
        <v>2022</v>
      </c>
      <c r="N6" s="127">
        <v>2.5000000000000001E-2</v>
      </c>
      <c r="O6" s="127">
        <v>3.5000000000000003E-2</v>
      </c>
      <c r="P6" s="127">
        <v>0.05</v>
      </c>
      <c r="Q6" s="128" t="s">
        <v>104</v>
      </c>
    </row>
    <row r="7" spans="1:17" x14ac:dyDescent="0.25">
      <c r="A7" s="126" t="s">
        <v>36</v>
      </c>
      <c r="B7" s="127" t="s">
        <v>152</v>
      </c>
      <c r="C7" s="127" t="s">
        <v>11</v>
      </c>
      <c r="D7" s="127" t="s">
        <v>113</v>
      </c>
      <c r="E7" s="127" t="s">
        <v>96</v>
      </c>
      <c r="F7" s="127" t="s">
        <v>13</v>
      </c>
      <c r="G7" s="127" t="s">
        <v>12</v>
      </c>
      <c r="H7" s="127" t="s">
        <v>16</v>
      </c>
      <c r="I7" s="127" t="s">
        <v>16</v>
      </c>
      <c r="J7" s="127" t="s">
        <v>16</v>
      </c>
      <c r="K7" s="127" t="s">
        <v>16</v>
      </c>
      <c r="L7" s="127" t="s">
        <v>16</v>
      </c>
      <c r="M7" s="127">
        <v>2022</v>
      </c>
      <c r="N7" s="127">
        <v>0.01</v>
      </c>
      <c r="O7" s="127">
        <v>1.4999999999999999E-2</v>
      </c>
      <c r="P7" s="127">
        <v>2.5000000000000001E-2</v>
      </c>
      <c r="Q7" s="128" t="s">
        <v>104</v>
      </c>
    </row>
    <row r="8" spans="1:17" x14ac:dyDescent="0.25">
      <c r="A8" s="126" t="s">
        <v>36</v>
      </c>
      <c r="B8" s="127" t="s">
        <v>152</v>
      </c>
      <c r="C8" s="127" t="s">
        <v>11</v>
      </c>
      <c r="D8" s="127" t="s">
        <v>105</v>
      </c>
      <c r="E8" s="127" t="s">
        <v>95</v>
      </c>
      <c r="F8" s="127" t="s">
        <v>13</v>
      </c>
      <c r="G8" s="127" t="s">
        <v>12</v>
      </c>
      <c r="H8" s="127" t="s">
        <v>16</v>
      </c>
      <c r="I8" s="127" t="s">
        <v>16</v>
      </c>
      <c r="J8" s="127" t="s">
        <v>16</v>
      </c>
      <c r="K8" s="127" t="s">
        <v>16</v>
      </c>
      <c r="L8" s="127" t="s">
        <v>16</v>
      </c>
      <c r="M8" s="127">
        <v>2022</v>
      </c>
      <c r="N8" s="127">
        <v>0.01</v>
      </c>
      <c r="O8" s="127">
        <v>1.4999999999999999E-2</v>
      </c>
      <c r="P8" s="127">
        <v>2.5000000000000001E-2</v>
      </c>
      <c r="Q8" s="128" t="s">
        <v>104</v>
      </c>
    </row>
    <row r="9" spans="1:17" x14ac:dyDescent="0.25">
      <c r="A9" s="130" t="s">
        <v>36</v>
      </c>
      <c r="B9" s="131" t="s">
        <v>152</v>
      </c>
      <c r="C9" s="131" t="s">
        <v>10</v>
      </c>
      <c r="D9" s="131" t="s">
        <v>18</v>
      </c>
      <c r="E9" s="131" t="s">
        <v>44</v>
      </c>
      <c r="F9" s="131" t="s">
        <v>13</v>
      </c>
      <c r="G9" s="131" t="s">
        <v>12</v>
      </c>
      <c r="H9" s="131" t="s">
        <v>16</v>
      </c>
      <c r="I9" s="131" t="s">
        <v>16</v>
      </c>
      <c r="J9" s="131" t="s">
        <v>16</v>
      </c>
      <c r="K9" s="131" t="s">
        <v>16</v>
      </c>
      <c r="L9" s="131" t="s">
        <v>16</v>
      </c>
      <c r="M9" s="131">
        <v>2022</v>
      </c>
      <c r="N9" s="131">
        <v>0</v>
      </c>
      <c r="O9" s="131">
        <v>0</v>
      </c>
      <c r="P9" s="131">
        <v>0</v>
      </c>
      <c r="Q9" s="132" t="s">
        <v>104</v>
      </c>
    </row>
    <row r="10" spans="1:17" x14ac:dyDescent="0.25">
      <c r="A10" s="130" t="s">
        <v>36</v>
      </c>
      <c r="B10" s="131" t="s">
        <v>152</v>
      </c>
      <c r="C10" s="131" t="s">
        <v>10</v>
      </c>
      <c r="D10" s="131" t="s">
        <v>31</v>
      </c>
      <c r="E10" s="131" t="s">
        <v>46</v>
      </c>
      <c r="F10" s="131" t="s">
        <v>13</v>
      </c>
      <c r="G10" s="131" t="s">
        <v>12</v>
      </c>
      <c r="H10" s="131" t="s">
        <v>16</v>
      </c>
      <c r="I10" s="131" t="s">
        <v>16</v>
      </c>
      <c r="J10" s="131" t="s">
        <v>16</v>
      </c>
      <c r="K10" s="131" t="s">
        <v>16</v>
      </c>
      <c r="L10" s="131" t="s">
        <v>16</v>
      </c>
      <c r="M10" s="131">
        <v>2022</v>
      </c>
      <c r="N10" s="131">
        <v>0</v>
      </c>
      <c r="O10" s="131">
        <v>0</v>
      </c>
      <c r="P10" s="131">
        <v>0</v>
      </c>
      <c r="Q10" s="132" t="s">
        <v>104</v>
      </c>
    </row>
    <row r="11" spans="1:17" x14ac:dyDescent="0.25">
      <c r="A11" s="126" t="s">
        <v>36</v>
      </c>
      <c r="B11" s="127" t="s">
        <v>152</v>
      </c>
      <c r="C11" s="127" t="s">
        <v>10</v>
      </c>
      <c r="D11" s="127" t="s">
        <v>107</v>
      </c>
      <c r="E11" s="127" t="s">
        <v>98</v>
      </c>
      <c r="F11" s="127" t="s">
        <v>13</v>
      </c>
      <c r="G11" s="127" t="s">
        <v>12</v>
      </c>
      <c r="H11" s="127" t="s">
        <v>16</v>
      </c>
      <c r="I11" s="127" t="s">
        <v>16</v>
      </c>
      <c r="J11" s="127" t="s">
        <v>16</v>
      </c>
      <c r="K11" s="127" t="s">
        <v>16</v>
      </c>
      <c r="L11" s="127" t="s">
        <v>16</v>
      </c>
      <c r="M11" s="127">
        <v>2022</v>
      </c>
      <c r="N11" s="127">
        <v>0</v>
      </c>
      <c r="O11" s="127">
        <v>0</v>
      </c>
      <c r="P11" s="127">
        <v>0</v>
      </c>
      <c r="Q11" s="128" t="s">
        <v>104</v>
      </c>
    </row>
    <row r="12" spans="1:17" x14ac:dyDescent="0.25">
      <c r="A12" s="130" t="s">
        <v>36</v>
      </c>
      <c r="B12" s="131" t="s">
        <v>152</v>
      </c>
      <c r="C12" s="131" t="s">
        <v>10</v>
      </c>
      <c r="D12" s="131" t="s">
        <v>19</v>
      </c>
      <c r="E12" s="131" t="s">
        <v>45</v>
      </c>
      <c r="F12" s="131" t="s">
        <v>13</v>
      </c>
      <c r="G12" s="131" t="s">
        <v>12</v>
      </c>
      <c r="H12" s="131" t="s">
        <v>16</v>
      </c>
      <c r="I12" s="131" t="s">
        <v>16</v>
      </c>
      <c r="J12" s="131" t="s">
        <v>16</v>
      </c>
      <c r="K12" s="131" t="s">
        <v>16</v>
      </c>
      <c r="L12" s="131" t="s">
        <v>16</v>
      </c>
      <c r="M12" s="131">
        <v>2022</v>
      </c>
      <c r="N12" s="131">
        <v>0</v>
      </c>
      <c r="O12" s="131">
        <v>0</v>
      </c>
      <c r="P12" s="131">
        <v>0</v>
      </c>
      <c r="Q12" s="132" t="s">
        <v>104</v>
      </c>
    </row>
    <row r="13" spans="1:17" x14ac:dyDescent="0.25">
      <c r="A13" s="130" t="s">
        <v>36</v>
      </c>
      <c r="B13" s="131" t="s">
        <v>152</v>
      </c>
      <c r="C13" s="131" t="s">
        <v>10</v>
      </c>
      <c r="D13" s="131" t="s">
        <v>32</v>
      </c>
      <c r="E13" s="131" t="s">
        <v>47</v>
      </c>
      <c r="F13" s="131" t="s">
        <v>13</v>
      </c>
      <c r="G13" s="131" t="s">
        <v>12</v>
      </c>
      <c r="H13" s="131" t="s">
        <v>16</v>
      </c>
      <c r="I13" s="131" t="s">
        <v>16</v>
      </c>
      <c r="J13" s="131" t="s">
        <v>16</v>
      </c>
      <c r="K13" s="131" t="s">
        <v>16</v>
      </c>
      <c r="L13" s="131" t="s">
        <v>16</v>
      </c>
      <c r="M13" s="131">
        <v>2022</v>
      </c>
      <c r="N13" s="131">
        <v>0</v>
      </c>
      <c r="O13" s="131">
        <v>0</v>
      </c>
      <c r="P13" s="131">
        <v>0</v>
      </c>
      <c r="Q13" s="132" t="s">
        <v>104</v>
      </c>
    </row>
    <row r="14" spans="1:17" x14ac:dyDescent="0.25">
      <c r="A14" s="126" t="s">
        <v>36</v>
      </c>
      <c r="B14" s="127" t="s">
        <v>152</v>
      </c>
      <c r="C14" s="127" t="s">
        <v>10</v>
      </c>
      <c r="D14" s="127" t="s">
        <v>108</v>
      </c>
      <c r="E14" s="127" t="s">
        <v>99</v>
      </c>
      <c r="F14" s="127" t="s">
        <v>13</v>
      </c>
      <c r="G14" s="127" t="s">
        <v>12</v>
      </c>
      <c r="H14" s="127" t="s">
        <v>16</v>
      </c>
      <c r="I14" s="127" t="s">
        <v>16</v>
      </c>
      <c r="J14" s="127" t="s">
        <v>16</v>
      </c>
      <c r="K14" s="127" t="s">
        <v>16</v>
      </c>
      <c r="L14" s="127" t="s">
        <v>16</v>
      </c>
      <c r="M14" s="127">
        <v>2022</v>
      </c>
      <c r="N14" s="127">
        <v>0</v>
      </c>
      <c r="O14" s="127">
        <v>0</v>
      </c>
      <c r="P14" s="127">
        <v>0</v>
      </c>
      <c r="Q14" s="128" t="s">
        <v>104</v>
      </c>
    </row>
    <row r="15" spans="1:17" x14ac:dyDescent="0.25">
      <c r="A15" s="130" t="s">
        <v>36</v>
      </c>
      <c r="B15" s="131" t="s">
        <v>152</v>
      </c>
      <c r="C15" s="131" t="s">
        <v>10</v>
      </c>
      <c r="D15" s="131" t="s">
        <v>20</v>
      </c>
      <c r="E15" s="131" t="s">
        <v>43</v>
      </c>
      <c r="F15" s="131" t="s">
        <v>13</v>
      </c>
      <c r="G15" s="131" t="s">
        <v>12</v>
      </c>
      <c r="H15" s="131" t="s">
        <v>16</v>
      </c>
      <c r="I15" s="131" t="s">
        <v>16</v>
      </c>
      <c r="J15" s="131" t="s">
        <v>16</v>
      </c>
      <c r="K15" s="131" t="s">
        <v>16</v>
      </c>
      <c r="L15" s="131" t="s">
        <v>16</v>
      </c>
      <c r="M15" s="131">
        <v>2022</v>
      </c>
      <c r="N15" s="131">
        <v>0</v>
      </c>
      <c r="O15" s="131">
        <v>0</v>
      </c>
      <c r="P15" s="131">
        <v>0</v>
      </c>
      <c r="Q15" s="133" t="s">
        <v>104</v>
      </c>
    </row>
    <row r="16" spans="1:17" x14ac:dyDescent="0.25">
      <c r="A16" s="126" t="s">
        <v>36</v>
      </c>
      <c r="B16" s="127" t="s">
        <v>152</v>
      </c>
      <c r="C16" s="127" t="s">
        <v>10</v>
      </c>
      <c r="D16" s="127" t="s">
        <v>110</v>
      </c>
      <c r="E16" s="127" t="s">
        <v>101</v>
      </c>
      <c r="F16" s="127" t="s">
        <v>13</v>
      </c>
      <c r="G16" s="127" t="s">
        <v>12</v>
      </c>
      <c r="H16" s="127" t="s">
        <v>16</v>
      </c>
      <c r="I16" s="127" t="s">
        <v>16</v>
      </c>
      <c r="J16" s="127" t="s">
        <v>16</v>
      </c>
      <c r="K16" s="127" t="s">
        <v>16</v>
      </c>
      <c r="L16" s="127" t="s">
        <v>16</v>
      </c>
      <c r="M16" s="127">
        <v>2022</v>
      </c>
      <c r="N16" s="127">
        <v>0.01</v>
      </c>
      <c r="O16" s="127">
        <v>1.4999999999999999E-2</v>
      </c>
      <c r="P16" s="127">
        <v>2.5000000000000001E-2</v>
      </c>
      <c r="Q16" s="128" t="s">
        <v>104</v>
      </c>
    </row>
    <row r="17" spans="1:17" ht="15.75" thickBot="1" x14ac:dyDescent="0.3">
      <c r="A17" s="134" t="s">
        <v>36</v>
      </c>
      <c r="B17" s="135" t="s">
        <v>152</v>
      </c>
      <c r="C17" s="135" t="s">
        <v>10</v>
      </c>
      <c r="D17" s="135" t="s">
        <v>109</v>
      </c>
      <c r="E17" s="135" t="s">
        <v>100</v>
      </c>
      <c r="F17" s="135" t="s">
        <v>13</v>
      </c>
      <c r="G17" s="135" t="s">
        <v>12</v>
      </c>
      <c r="H17" s="135" t="s">
        <v>16</v>
      </c>
      <c r="I17" s="135" t="s">
        <v>16</v>
      </c>
      <c r="J17" s="135" t="s">
        <v>16</v>
      </c>
      <c r="K17" s="135" t="s">
        <v>16</v>
      </c>
      <c r="L17" s="135" t="s">
        <v>16</v>
      </c>
      <c r="M17" s="135">
        <v>2022</v>
      </c>
      <c r="N17" s="135">
        <v>0.01</v>
      </c>
      <c r="O17" s="135">
        <v>1.4999999999999999E-2</v>
      </c>
      <c r="P17" s="135">
        <v>2.5000000000000001E-2</v>
      </c>
      <c r="Q17" s="136" t="s">
        <v>104</v>
      </c>
    </row>
    <row r="18" spans="1:17" x14ac:dyDescent="0.25">
      <c r="A18" s="137"/>
      <c r="B18" s="138"/>
      <c r="C18" s="138"/>
      <c r="D18" s="138"/>
      <c r="E18" s="138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40"/>
    </row>
    <row r="19" spans="1:17" x14ac:dyDescent="0.25">
      <c r="A19" s="141"/>
      <c r="B19" s="142"/>
      <c r="C19" s="142"/>
      <c r="D19" s="142"/>
      <c r="E19" s="142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4"/>
    </row>
    <row r="20" spans="1:17" x14ac:dyDescent="0.25">
      <c r="A20" s="141"/>
      <c r="B20" s="142"/>
      <c r="C20" s="142"/>
      <c r="D20" s="142"/>
      <c r="E20" s="142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4"/>
    </row>
    <row r="21" spans="1:17" x14ac:dyDescent="0.25">
      <c r="A21" s="141"/>
      <c r="B21" s="142"/>
      <c r="C21" s="142"/>
      <c r="D21" s="142"/>
      <c r="E21" s="142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4"/>
    </row>
    <row r="22" spans="1:17" x14ac:dyDescent="0.25">
      <c r="A22" s="145"/>
      <c r="B22" s="146"/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7"/>
    </row>
    <row r="23" spans="1:17" x14ac:dyDescent="0.25">
      <c r="A23" s="137"/>
      <c r="B23" s="138"/>
      <c r="C23" s="138"/>
      <c r="D23" s="138"/>
      <c r="E23" s="138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</row>
    <row r="24" spans="1:17" x14ac:dyDescent="0.25">
      <c r="A24" s="148"/>
      <c r="B24" s="149"/>
      <c r="C24" s="149"/>
      <c r="D24" s="149"/>
      <c r="E24" s="149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1"/>
    </row>
    <row r="25" spans="1:17" x14ac:dyDescent="0.25">
      <c r="A25" s="137"/>
      <c r="B25" s="138"/>
      <c r="C25" s="138"/>
      <c r="D25" s="138"/>
      <c r="E25" s="138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40"/>
    </row>
    <row r="26" spans="1:17" x14ac:dyDescent="0.25">
      <c r="A26" s="148"/>
      <c r="B26" s="149"/>
      <c r="C26" s="149"/>
      <c r="D26" s="149"/>
      <c r="E26" s="149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2"/>
    </row>
    <row r="27" spans="1:17" x14ac:dyDescent="0.25">
      <c r="A27" s="145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7"/>
    </row>
    <row r="28" spans="1:17" x14ac:dyDescent="0.25">
      <c r="A28" s="145"/>
      <c r="B28" s="146"/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7"/>
    </row>
    <row r="29" spans="1:17" x14ac:dyDescent="0.25">
      <c r="A29" s="148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52"/>
    </row>
    <row r="30" spans="1:17" x14ac:dyDescent="0.25">
      <c r="A30" s="137"/>
      <c r="B30" s="138"/>
      <c r="C30" s="138"/>
      <c r="D30" s="138"/>
      <c r="E30" s="138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40"/>
    </row>
    <row r="31" spans="1:17" x14ac:dyDescent="0.25">
      <c r="A31" s="148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52"/>
    </row>
    <row r="32" spans="1:17" x14ac:dyDescent="0.25">
      <c r="A32" s="137"/>
      <c r="B32" s="138"/>
      <c r="C32" s="138"/>
      <c r="D32" s="138"/>
      <c r="E32" s="138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40"/>
    </row>
    <row r="33" spans="1:17" x14ac:dyDescent="0.25">
      <c r="A33" s="145"/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7"/>
    </row>
    <row r="34" spans="1:17" x14ac:dyDescent="0.25">
      <c r="A34" s="137"/>
      <c r="B34" s="138"/>
      <c r="C34" s="138"/>
      <c r="D34" s="138"/>
      <c r="E34" s="138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40"/>
    </row>
    <row r="35" spans="1:17" x14ac:dyDescent="0.25">
      <c r="A35" s="148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52"/>
    </row>
    <row r="36" spans="1:17" x14ac:dyDescent="0.25">
      <c r="A36" s="137"/>
      <c r="B36" s="138"/>
      <c r="C36" s="138"/>
      <c r="D36" s="138"/>
      <c r="E36" s="138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40"/>
    </row>
    <row r="37" spans="1:17" x14ac:dyDescent="0.25">
      <c r="A37" s="145"/>
      <c r="B37" s="146"/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7"/>
    </row>
    <row r="38" spans="1:17" x14ac:dyDescent="0.25">
      <c r="A38" s="145"/>
      <c r="B38" s="146"/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7"/>
    </row>
    <row r="39" spans="1:17" x14ac:dyDescent="0.25">
      <c r="A39" s="137"/>
      <c r="B39" s="138"/>
      <c r="C39" s="138"/>
      <c r="D39" s="138"/>
      <c r="E39" s="138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40"/>
    </row>
    <row r="40" spans="1:17" x14ac:dyDescent="0.25">
      <c r="A40" s="141"/>
      <c r="B40" s="142"/>
      <c r="C40" s="142"/>
      <c r="D40" s="142"/>
      <c r="E40" s="142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44"/>
    </row>
    <row r="41" spans="1:17" x14ac:dyDescent="0.25">
      <c r="A41" s="141"/>
      <c r="B41" s="142"/>
      <c r="C41" s="142"/>
      <c r="D41" s="142"/>
      <c r="E41" s="142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44"/>
    </row>
    <row r="42" spans="1:17" x14ac:dyDescent="0.25">
      <c r="A42" s="145"/>
      <c r="B42" s="146"/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7"/>
    </row>
    <row r="43" spans="1:17" x14ac:dyDescent="0.25">
      <c r="A43" s="137"/>
      <c r="B43" s="138"/>
      <c r="C43" s="138"/>
      <c r="D43" s="138"/>
      <c r="E43" s="138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40"/>
    </row>
    <row r="44" spans="1:17" x14ac:dyDescent="0.25">
      <c r="A44" s="141"/>
      <c r="B44" s="142"/>
      <c r="C44" s="142"/>
      <c r="D44" s="142"/>
      <c r="E44" s="142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44"/>
    </row>
    <row r="45" spans="1:17" x14ac:dyDescent="0.25">
      <c r="A45" s="141"/>
      <c r="B45" s="142"/>
      <c r="C45" s="142"/>
      <c r="D45" s="142"/>
      <c r="E45" s="142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44"/>
    </row>
    <row r="46" spans="1:17" x14ac:dyDescent="0.25">
      <c r="A46" s="145"/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7"/>
    </row>
    <row r="47" spans="1:17" x14ac:dyDescent="0.25">
      <c r="A47" s="137"/>
      <c r="B47" s="138"/>
      <c r="C47" s="138"/>
      <c r="D47" s="138"/>
      <c r="E47" s="138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40"/>
    </row>
    <row r="48" spans="1:17" x14ac:dyDescent="0.25">
      <c r="A48" s="141"/>
      <c r="B48" s="142"/>
      <c r="C48" s="142"/>
      <c r="D48" s="142"/>
      <c r="E48" s="142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4"/>
    </row>
    <row r="49" spans="1:17" x14ac:dyDescent="0.25">
      <c r="A49" s="137"/>
      <c r="B49" s="138"/>
      <c r="C49" s="138"/>
      <c r="D49" s="138"/>
      <c r="E49" s="138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40"/>
    </row>
    <row r="50" spans="1:17" x14ac:dyDescent="0.25">
      <c r="A50" s="145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7"/>
    </row>
    <row r="51" spans="1:17" ht="15.75" thickBot="1" x14ac:dyDescent="0.3">
      <c r="A51" s="155"/>
      <c r="B51" s="156"/>
      <c r="C51" s="156"/>
      <c r="D51" s="156"/>
      <c r="E51" s="156"/>
      <c r="F51" s="156"/>
      <c r="G51" s="156"/>
      <c r="H51" s="156"/>
      <c r="I51" s="156"/>
      <c r="J51" s="156"/>
      <c r="K51" s="156"/>
      <c r="L51" s="156"/>
      <c r="M51" s="156"/>
      <c r="N51" s="156"/>
      <c r="O51" s="156"/>
      <c r="P51" s="156"/>
      <c r="Q51" s="157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dimension ref="A1:N15"/>
  <sheetViews>
    <sheetView zoomScale="70" zoomScaleNormal="70" workbookViewId="0">
      <selection activeCell="A6" sqref="A6"/>
    </sheetView>
  </sheetViews>
  <sheetFormatPr defaultColWidth="9.140625" defaultRowHeight="15" x14ac:dyDescent="0.25"/>
  <cols>
    <col min="1" max="1" width="14.140625" customWidth="1"/>
    <col min="2" max="2" width="39.7109375" customWidth="1"/>
    <col min="3" max="3" width="18.7109375" bestFit="1" customWidth="1"/>
    <col min="4" max="4" width="41.85546875" bestFit="1" customWidth="1"/>
    <col min="5" max="5" width="13.85546875" customWidth="1"/>
    <col min="6" max="6" width="15" bestFit="1" customWidth="1"/>
    <col min="7" max="7" width="29.28515625" customWidth="1"/>
    <col min="8" max="8" width="37.42578125" customWidth="1"/>
    <col min="9" max="9" width="13.28515625" bestFit="1" customWidth="1"/>
    <col min="10" max="10" width="14.140625" customWidth="1"/>
    <col min="11" max="11" width="13.28515625" customWidth="1"/>
    <col min="12" max="12" width="6.5703125" customWidth="1"/>
    <col min="13" max="13" width="12.42578125" customWidth="1"/>
    <col min="14" max="14" width="35.28515625" customWidth="1"/>
  </cols>
  <sheetData>
    <row r="1" spans="1:14" ht="45.75" thickBot="1" x14ac:dyDescent="0.3">
      <c r="A1" s="15" t="s">
        <v>0</v>
      </c>
      <c r="B1" s="16" t="s">
        <v>22</v>
      </c>
      <c r="C1" s="16" t="s">
        <v>1</v>
      </c>
      <c r="D1" s="16" t="s">
        <v>91</v>
      </c>
      <c r="E1" s="32" t="s">
        <v>74</v>
      </c>
      <c r="F1" s="16" t="s">
        <v>3</v>
      </c>
      <c r="G1" s="93" t="s">
        <v>77</v>
      </c>
      <c r="H1" s="93" t="s">
        <v>78</v>
      </c>
      <c r="I1" s="16" t="s">
        <v>7</v>
      </c>
      <c r="J1" s="32" t="s">
        <v>72</v>
      </c>
      <c r="K1" s="32" t="s">
        <v>86</v>
      </c>
      <c r="L1" s="31" t="s">
        <v>87</v>
      </c>
      <c r="M1" s="76" t="s">
        <v>126</v>
      </c>
      <c r="N1" s="17" t="s">
        <v>73</v>
      </c>
    </row>
    <row r="2" spans="1:14" x14ac:dyDescent="0.25">
      <c r="A2" s="113" t="s">
        <v>36</v>
      </c>
      <c r="B2" s="114" t="s">
        <v>76</v>
      </c>
      <c r="C2" s="114" t="s">
        <v>85</v>
      </c>
      <c r="D2" s="114" t="s">
        <v>92</v>
      </c>
      <c r="E2" s="114" t="s">
        <v>13</v>
      </c>
      <c r="F2" s="114" t="s">
        <v>12</v>
      </c>
      <c r="G2" s="79" t="s">
        <v>89</v>
      </c>
      <c r="H2" s="79" t="s">
        <v>114</v>
      </c>
      <c r="I2" s="115"/>
      <c r="J2" s="115">
        <v>2030</v>
      </c>
      <c r="K2" s="115">
        <v>1</v>
      </c>
      <c r="L2" s="115" t="s">
        <v>88</v>
      </c>
      <c r="M2" s="116">
        <v>1</v>
      </c>
      <c r="N2" s="117" t="s">
        <v>93</v>
      </c>
    </row>
    <row r="3" spans="1:14" ht="60" x14ac:dyDescent="0.25">
      <c r="A3" s="86" t="s">
        <v>36</v>
      </c>
      <c r="B3" s="87" t="s">
        <v>115</v>
      </c>
      <c r="C3" s="87" t="s">
        <v>75</v>
      </c>
      <c r="D3" s="87" t="s">
        <v>117</v>
      </c>
      <c r="E3" s="87" t="s">
        <v>13</v>
      </c>
      <c r="F3" s="87" t="s">
        <v>12</v>
      </c>
      <c r="G3" s="82" t="s">
        <v>127</v>
      </c>
      <c r="H3" s="82" t="s">
        <v>147</v>
      </c>
      <c r="I3" s="63"/>
      <c r="J3" s="63">
        <v>2050</v>
      </c>
      <c r="K3" s="63">
        <v>3.5042</v>
      </c>
      <c r="L3" s="63" t="s">
        <v>88</v>
      </c>
      <c r="M3" s="83">
        <v>0.9</v>
      </c>
      <c r="N3" s="84" t="s">
        <v>93</v>
      </c>
    </row>
    <row r="4" spans="1:14" x14ac:dyDescent="0.25">
      <c r="A4" s="86" t="s">
        <v>36</v>
      </c>
      <c r="B4" s="87" t="s">
        <v>115</v>
      </c>
      <c r="C4" s="87" t="s">
        <v>85</v>
      </c>
      <c r="D4" s="87" t="s">
        <v>118</v>
      </c>
      <c r="E4" s="87" t="s">
        <v>13</v>
      </c>
      <c r="F4" s="87" t="s">
        <v>12</v>
      </c>
      <c r="G4" s="82" t="s">
        <v>89</v>
      </c>
      <c r="H4" s="82" t="s">
        <v>116</v>
      </c>
      <c r="I4" s="63"/>
      <c r="J4" s="63">
        <v>2030</v>
      </c>
      <c r="K4" s="63">
        <v>0.03</v>
      </c>
      <c r="L4" s="63" t="s">
        <v>88</v>
      </c>
      <c r="M4" s="83">
        <v>1</v>
      </c>
      <c r="N4" s="84" t="s">
        <v>93</v>
      </c>
    </row>
    <row r="5" spans="1:14" ht="15.75" thickBot="1" x14ac:dyDescent="0.3">
      <c r="A5" s="110" t="s">
        <v>36</v>
      </c>
      <c r="B5" s="111" t="s">
        <v>141</v>
      </c>
      <c r="C5" s="111" t="s">
        <v>83</v>
      </c>
      <c r="D5" s="111" t="s">
        <v>145</v>
      </c>
      <c r="E5" s="111" t="s">
        <v>13</v>
      </c>
      <c r="F5" s="111" t="s">
        <v>12</v>
      </c>
      <c r="G5" s="81">
        <v>2018</v>
      </c>
      <c r="H5" s="81">
        <v>0.1</v>
      </c>
      <c r="I5" s="109"/>
      <c r="J5" s="109">
        <v>2030</v>
      </c>
      <c r="K5" s="109">
        <v>0.5</v>
      </c>
      <c r="L5" s="109" t="s">
        <v>90</v>
      </c>
      <c r="M5" s="109">
        <v>1</v>
      </c>
      <c r="N5" s="102" t="s">
        <v>142</v>
      </c>
    </row>
    <row r="6" spans="1:14" ht="60" x14ac:dyDescent="0.25">
      <c r="A6" s="88" t="s">
        <v>128</v>
      </c>
      <c r="B6" s="89" t="s">
        <v>124</v>
      </c>
      <c r="C6" s="89" t="s">
        <v>75</v>
      </c>
      <c r="D6" s="89" t="s">
        <v>131</v>
      </c>
      <c r="E6" s="89" t="s">
        <v>12</v>
      </c>
      <c r="F6" s="89" t="s">
        <v>12</v>
      </c>
      <c r="G6" s="90" t="s">
        <v>127</v>
      </c>
      <c r="H6" s="90" t="s">
        <v>129</v>
      </c>
      <c r="I6" s="61"/>
      <c r="J6" s="61">
        <v>2050</v>
      </c>
      <c r="K6" s="61">
        <v>0.57689999999999997</v>
      </c>
      <c r="L6" s="61" t="s">
        <v>130</v>
      </c>
      <c r="M6" s="91">
        <v>1</v>
      </c>
      <c r="N6" s="92" t="s">
        <v>94</v>
      </c>
    </row>
    <row r="7" spans="1:14" ht="75" x14ac:dyDescent="0.25">
      <c r="A7" s="95" t="s">
        <v>128</v>
      </c>
      <c r="B7" s="96" t="s">
        <v>115</v>
      </c>
      <c r="C7" s="96" t="s">
        <v>79</v>
      </c>
      <c r="D7" s="96" t="s">
        <v>135</v>
      </c>
      <c r="E7" s="96" t="s">
        <v>13</v>
      </c>
      <c r="F7" s="96" t="s">
        <v>12</v>
      </c>
      <c r="G7" s="77" t="s">
        <v>127</v>
      </c>
      <c r="H7" s="77" t="s">
        <v>132</v>
      </c>
      <c r="I7" s="66"/>
      <c r="J7" s="66">
        <v>2050</v>
      </c>
      <c r="K7" s="66">
        <v>16.5321</v>
      </c>
      <c r="L7" s="66" t="s">
        <v>88</v>
      </c>
      <c r="M7" s="66">
        <v>0.9</v>
      </c>
      <c r="N7" s="78" t="s">
        <v>93</v>
      </c>
    </row>
    <row r="8" spans="1:14" ht="75" x14ac:dyDescent="0.25">
      <c r="A8" s="97" t="s">
        <v>128</v>
      </c>
      <c r="B8" s="98" t="s">
        <v>115</v>
      </c>
      <c r="C8" s="98" t="s">
        <v>80</v>
      </c>
      <c r="D8" s="98" t="s">
        <v>136</v>
      </c>
      <c r="E8" s="98" t="s">
        <v>13</v>
      </c>
      <c r="F8" s="98" t="s">
        <v>12</v>
      </c>
      <c r="G8" s="82" t="s">
        <v>127</v>
      </c>
      <c r="H8" s="82" t="s">
        <v>133</v>
      </c>
      <c r="I8" s="9"/>
      <c r="J8" s="9">
        <v>2050</v>
      </c>
      <c r="K8" s="9">
        <v>19.403099999999998</v>
      </c>
      <c r="L8" s="9" t="s">
        <v>88</v>
      </c>
      <c r="M8" s="9">
        <v>0.9</v>
      </c>
      <c r="N8" s="18" t="s">
        <v>93</v>
      </c>
    </row>
    <row r="9" spans="1:14" ht="89.45" customHeight="1" x14ac:dyDescent="0.25">
      <c r="A9" s="97" t="s">
        <v>128</v>
      </c>
      <c r="B9" s="98" t="s">
        <v>115</v>
      </c>
      <c r="C9" s="98" t="s">
        <v>81</v>
      </c>
      <c r="D9" s="98" t="s">
        <v>137</v>
      </c>
      <c r="E9" s="98" t="s">
        <v>13</v>
      </c>
      <c r="F9" s="98" t="s">
        <v>12</v>
      </c>
      <c r="G9" s="82" t="s">
        <v>127</v>
      </c>
      <c r="H9" s="82" t="s">
        <v>134</v>
      </c>
      <c r="I9" s="9"/>
      <c r="J9" s="9">
        <v>2050</v>
      </c>
      <c r="K9" s="9">
        <v>8.3664000000000005</v>
      </c>
      <c r="L9" s="9" t="s">
        <v>88</v>
      </c>
      <c r="M9" s="9">
        <v>0.9</v>
      </c>
      <c r="N9" s="18" t="s">
        <v>93</v>
      </c>
    </row>
    <row r="10" spans="1:14" ht="60" x14ac:dyDescent="0.25">
      <c r="A10" s="97" t="s">
        <v>128</v>
      </c>
      <c r="B10" s="98" t="s">
        <v>115</v>
      </c>
      <c r="C10" s="98" t="s">
        <v>82</v>
      </c>
      <c r="D10" s="98" t="s">
        <v>138</v>
      </c>
      <c r="E10" s="98" t="s">
        <v>13</v>
      </c>
      <c r="F10" s="98" t="s">
        <v>12</v>
      </c>
      <c r="G10" s="82" t="s">
        <v>127</v>
      </c>
      <c r="H10" s="82" t="s">
        <v>148</v>
      </c>
      <c r="I10" s="9"/>
      <c r="J10" s="9">
        <v>2050</v>
      </c>
      <c r="K10" s="9">
        <v>9.2015999999999991</v>
      </c>
      <c r="L10" s="9" t="s">
        <v>88</v>
      </c>
      <c r="M10" s="9">
        <v>0.9</v>
      </c>
      <c r="N10" s="18" t="s">
        <v>93</v>
      </c>
    </row>
    <row r="11" spans="1:14" ht="60" x14ac:dyDescent="0.25">
      <c r="A11" s="97" t="s">
        <v>128</v>
      </c>
      <c r="B11" s="98" t="s">
        <v>115</v>
      </c>
      <c r="C11" s="98" t="s">
        <v>83</v>
      </c>
      <c r="D11" s="98" t="s">
        <v>139</v>
      </c>
      <c r="E11" s="98" t="s">
        <v>13</v>
      </c>
      <c r="F11" s="98" t="s">
        <v>12</v>
      </c>
      <c r="G11" s="82" t="s">
        <v>127</v>
      </c>
      <c r="H11" s="82" t="s">
        <v>150</v>
      </c>
      <c r="I11" s="9"/>
      <c r="J11" s="9">
        <v>2050</v>
      </c>
      <c r="K11" s="9">
        <v>1.47</v>
      </c>
      <c r="L11" s="9" t="s">
        <v>88</v>
      </c>
      <c r="M11" s="9">
        <v>0.9</v>
      </c>
      <c r="N11" s="18" t="s">
        <v>93</v>
      </c>
    </row>
    <row r="12" spans="1:14" ht="60" x14ac:dyDescent="0.25">
      <c r="A12" s="99" t="s">
        <v>128</v>
      </c>
      <c r="B12" s="100" t="s">
        <v>115</v>
      </c>
      <c r="C12" s="100" t="s">
        <v>84</v>
      </c>
      <c r="D12" s="100" t="s">
        <v>140</v>
      </c>
      <c r="E12" s="100" t="s">
        <v>13</v>
      </c>
      <c r="F12" s="100" t="s">
        <v>12</v>
      </c>
      <c r="G12" s="85" t="s">
        <v>127</v>
      </c>
      <c r="H12" s="85" t="s">
        <v>149</v>
      </c>
      <c r="I12" s="64"/>
      <c r="J12" s="64">
        <v>2050</v>
      </c>
      <c r="K12" s="64">
        <v>0.28799999999999998</v>
      </c>
      <c r="L12" s="64" t="s">
        <v>88</v>
      </c>
      <c r="M12" s="64">
        <v>0.9</v>
      </c>
      <c r="N12" s="94" t="s">
        <v>93</v>
      </c>
    </row>
    <row r="13" spans="1:14" x14ac:dyDescent="0.25">
      <c r="A13" s="103" t="s">
        <v>128</v>
      </c>
      <c r="B13" s="104" t="s">
        <v>141</v>
      </c>
      <c r="C13" s="104" t="s">
        <v>79</v>
      </c>
      <c r="D13" s="104" t="s">
        <v>143</v>
      </c>
      <c r="E13" s="104" t="s">
        <v>13</v>
      </c>
      <c r="F13" s="104" t="s">
        <v>12</v>
      </c>
      <c r="G13" s="77">
        <v>2018</v>
      </c>
      <c r="H13" s="77">
        <v>0</v>
      </c>
      <c r="I13" s="104"/>
      <c r="J13" s="104">
        <v>2030</v>
      </c>
      <c r="K13" s="104">
        <v>0.65</v>
      </c>
      <c r="L13" s="104" t="s">
        <v>90</v>
      </c>
      <c r="M13" s="104">
        <v>1</v>
      </c>
      <c r="N13" s="105" t="s">
        <v>142</v>
      </c>
    </row>
    <row r="14" spans="1:14" x14ac:dyDescent="0.25">
      <c r="A14" s="106" t="s">
        <v>128</v>
      </c>
      <c r="B14" s="107" t="s">
        <v>141</v>
      </c>
      <c r="C14" s="107" t="s">
        <v>80</v>
      </c>
      <c r="D14" s="107" t="s">
        <v>144</v>
      </c>
      <c r="E14" s="107" t="s">
        <v>13</v>
      </c>
      <c r="F14" s="107" t="s">
        <v>12</v>
      </c>
      <c r="G14" s="80">
        <v>2018</v>
      </c>
      <c r="H14" s="80">
        <v>2.5000000000000001E-2</v>
      </c>
      <c r="I14" s="107"/>
      <c r="J14" s="107">
        <v>2030</v>
      </c>
      <c r="K14" s="107">
        <v>0.05</v>
      </c>
      <c r="L14" s="107" t="s">
        <v>90</v>
      </c>
      <c r="M14" s="107">
        <v>1</v>
      </c>
      <c r="N14" s="101" t="s">
        <v>142</v>
      </c>
    </row>
    <row r="15" spans="1:14" ht="15.75" thickBot="1" x14ac:dyDescent="0.3">
      <c r="A15" s="108" t="s">
        <v>128</v>
      </c>
      <c r="B15" s="109" t="s">
        <v>141</v>
      </c>
      <c r="C15" s="109" t="s">
        <v>81</v>
      </c>
      <c r="D15" s="109" t="s">
        <v>146</v>
      </c>
      <c r="E15" s="109" t="s">
        <v>13</v>
      </c>
      <c r="F15" s="109" t="s">
        <v>12</v>
      </c>
      <c r="G15" s="81">
        <v>2018</v>
      </c>
      <c r="H15" s="81">
        <v>5.5E-2</v>
      </c>
      <c r="I15" s="109"/>
      <c r="J15" s="109">
        <v>2030</v>
      </c>
      <c r="K15" s="109">
        <v>5.5E-2</v>
      </c>
      <c r="L15" s="109" t="s">
        <v>90</v>
      </c>
      <c r="M15" s="109">
        <v>1</v>
      </c>
      <c r="N15" s="102" t="s">
        <v>142</v>
      </c>
    </row>
  </sheetData>
  <autoFilter ref="A1:N15" xr:uid="{0CAF3857-1EA2-4481-B053-8693269BB351}"/>
  <phoneticPr fontId="4" type="noConversion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dimension ref="A1:AQ5"/>
  <sheetViews>
    <sheetView zoomScale="85" zoomScaleNormal="85" workbookViewId="0">
      <selection activeCell="A3" sqref="A3:AQ4"/>
    </sheetView>
  </sheetViews>
  <sheetFormatPr defaultColWidth="8.85546875" defaultRowHeight="15" x14ac:dyDescent="0.25"/>
  <cols>
    <col min="1" max="1" width="11.85546875" customWidth="1"/>
    <col min="2" max="2" width="18.28515625" bestFit="1" customWidth="1"/>
    <col min="3" max="3" width="18.28515625" customWidth="1"/>
    <col min="4" max="4" width="26.5703125" customWidth="1"/>
    <col min="5" max="5" width="13.85546875" customWidth="1"/>
    <col min="6" max="6" width="9.85546875" bestFit="1" customWidth="1"/>
    <col min="7" max="7" width="15.140625" bestFit="1" customWidth="1"/>
    <col min="8" max="8" width="5.140625" bestFit="1" customWidth="1"/>
    <col min="9" max="10" width="15.7109375" customWidth="1"/>
    <col min="11" max="43" width="12" bestFit="1" customWidth="1"/>
  </cols>
  <sheetData>
    <row r="1" spans="1:43" ht="45.75" thickBot="1" x14ac:dyDescent="0.3">
      <c r="A1" s="15" t="s">
        <v>0</v>
      </c>
      <c r="B1" s="16" t="s">
        <v>22</v>
      </c>
      <c r="C1" s="16" t="s">
        <v>1</v>
      </c>
      <c r="D1" s="32" t="s">
        <v>91</v>
      </c>
      <c r="E1" s="32" t="s">
        <v>74</v>
      </c>
      <c r="F1" s="16" t="s">
        <v>40</v>
      </c>
      <c r="G1" s="31" t="s">
        <v>73</v>
      </c>
      <c r="H1" s="41" t="s">
        <v>7</v>
      </c>
      <c r="I1" s="42" t="s">
        <v>72</v>
      </c>
      <c r="J1" s="43" t="s">
        <v>86</v>
      </c>
      <c r="K1" s="38">
        <v>2018</v>
      </c>
      <c r="L1" s="16">
        <v>2019</v>
      </c>
      <c r="M1" s="35">
        <v>2020</v>
      </c>
      <c r="N1" s="35">
        <v>2021</v>
      </c>
      <c r="O1" s="35">
        <v>2022</v>
      </c>
      <c r="P1" s="35">
        <v>2023</v>
      </c>
      <c r="Q1" s="35">
        <v>2024</v>
      </c>
      <c r="R1" s="35">
        <v>2025</v>
      </c>
      <c r="S1" s="35">
        <v>2026</v>
      </c>
      <c r="T1" s="35">
        <v>2027</v>
      </c>
      <c r="U1" s="35">
        <v>2028</v>
      </c>
      <c r="V1" s="35">
        <v>2029</v>
      </c>
      <c r="W1" s="35">
        <v>2030</v>
      </c>
      <c r="X1" s="35">
        <v>2031</v>
      </c>
      <c r="Y1" s="35">
        <v>2032</v>
      </c>
      <c r="Z1" s="35">
        <v>2033</v>
      </c>
      <c r="AA1" s="35">
        <v>2034</v>
      </c>
      <c r="AB1" s="35">
        <v>2035</v>
      </c>
      <c r="AC1" s="35">
        <v>2036</v>
      </c>
      <c r="AD1" s="35">
        <v>2037</v>
      </c>
      <c r="AE1" s="35">
        <v>2038</v>
      </c>
      <c r="AF1" s="35">
        <v>2039</v>
      </c>
      <c r="AG1" s="35">
        <v>2040</v>
      </c>
      <c r="AH1" s="35">
        <v>2041</v>
      </c>
      <c r="AI1" s="35">
        <v>2042</v>
      </c>
      <c r="AJ1" s="35">
        <v>2043</v>
      </c>
      <c r="AK1" s="35">
        <v>2044</v>
      </c>
      <c r="AL1" s="35">
        <v>2045</v>
      </c>
      <c r="AM1" s="35">
        <v>2046</v>
      </c>
      <c r="AN1" s="35">
        <v>2047</v>
      </c>
      <c r="AO1" s="35">
        <v>2048</v>
      </c>
      <c r="AP1" s="35">
        <v>2049</v>
      </c>
      <c r="AQ1" s="36">
        <v>2050</v>
      </c>
    </row>
    <row r="2" spans="1:43" ht="61.9" customHeight="1" thickBot="1" x14ac:dyDescent="0.3">
      <c r="A2" s="55" t="s">
        <v>36</v>
      </c>
      <c r="B2" s="56" t="s">
        <v>124</v>
      </c>
      <c r="C2" s="56" t="s">
        <v>121</v>
      </c>
      <c r="D2" s="57" t="s">
        <v>122</v>
      </c>
      <c r="E2" s="56" t="s">
        <v>12</v>
      </c>
      <c r="F2" s="56" t="s">
        <v>119</v>
      </c>
      <c r="G2" s="58" t="s">
        <v>125</v>
      </c>
      <c r="H2" s="44"/>
      <c r="I2" s="45"/>
      <c r="J2" s="46"/>
      <c r="K2" s="33">
        <f t="shared" ref="K2:L3" si="0">+L2</f>
        <v>1</v>
      </c>
      <c r="L2" s="33">
        <f t="shared" si="0"/>
        <v>1</v>
      </c>
      <c r="M2" s="33">
        <v>1</v>
      </c>
      <c r="N2" s="33">
        <v>1</v>
      </c>
      <c r="O2" s="33">
        <v>1</v>
      </c>
      <c r="P2" s="33">
        <v>1</v>
      </c>
      <c r="Q2" s="33">
        <v>1</v>
      </c>
      <c r="R2" s="33">
        <v>1</v>
      </c>
      <c r="S2" s="33">
        <v>1</v>
      </c>
      <c r="T2" s="33">
        <v>1</v>
      </c>
      <c r="U2" s="33">
        <v>1</v>
      </c>
      <c r="V2" s="33">
        <v>1</v>
      </c>
      <c r="W2" s="33">
        <v>1</v>
      </c>
      <c r="X2" s="33">
        <v>1</v>
      </c>
      <c r="Y2" s="33">
        <v>1</v>
      </c>
      <c r="Z2" s="33">
        <v>1</v>
      </c>
      <c r="AA2" s="33">
        <v>1</v>
      </c>
      <c r="AB2" s="33">
        <v>1</v>
      </c>
      <c r="AC2" s="33">
        <v>1</v>
      </c>
      <c r="AD2" s="33">
        <v>1</v>
      </c>
      <c r="AE2" s="33">
        <v>1</v>
      </c>
      <c r="AF2" s="33">
        <v>1</v>
      </c>
      <c r="AG2" s="33">
        <v>1</v>
      </c>
      <c r="AH2" s="33">
        <v>1</v>
      </c>
      <c r="AI2" s="33">
        <v>1</v>
      </c>
      <c r="AJ2" s="33">
        <v>1</v>
      </c>
      <c r="AK2" s="33">
        <v>1</v>
      </c>
      <c r="AL2" s="33">
        <v>1</v>
      </c>
      <c r="AM2" s="33">
        <v>1</v>
      </c>
      <c r="AN2" s="33">
        <v>1</v>
      </c>
      <c r="AO2" s="33">
        <v>1</v>
      </c>
      <c r="AP2" s="33">
        <v>1</v>
      </c>
      <c r="AQ2" s="34">
        <v>1</v>
      </c>
    </row>
    <row r="3" spans="1:43" ht="62.45" customHeight="1" thickBot="1" x14ac:dyDescent="0.3">
      <c r="A3" s="59"/>
      <c r="B3" s="60"/>
      <c r="C3" s="60"/>
      <c r="D3" s="61"/>
      <c r="E3" s="60"/>
      <c r="F3" s="60"/>
      <c r="G3" s="62"/>
      <c r="H3" s="47"/>
      <c r="I3" s="48"/>
      <c r="J3" s="49"/>
      <c r="K3" s="39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6"/>
    </row>
    <row r="4" spans="1:43" x14ac:dyDescent="0.25">
      <c r="A4" s="65"/>
      <c r="B4" s="66"/>
      <c r="C4" s="66"/>
      <c r="D4" s="67"/>
      <c r="E4" s="66"/>
      <c r="F4" s="66"/>
      <c r="G4" s="68"/>
      <c r="H4" s="50"/>
      <c r="I4" s="51"/>
      <c r="J4" s="52"/>
      <c r="K4" s="40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0"/>
    </row>
    <row r="5" spans="1:43" x14ac:dyDescent="0.25">
      <c r="A5" s="1"/>
      <c r="B5" s="1"/>
      <c r="C5" s="1"/>
      <c r="D5" s="1"/>
      <c r="E5" s="1"/>
      <c r="F5" s="1"/>
      <c r="G5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dimension ref="A1:AS5"/>
  <sheetViews>
    <sheetView zoomScale="85" zoomScaleNormal="85" workbookViewId="0">
      <selection activeCell="A2" sqref="A2:AS5"/>
    </sheetView>
  </sheetViews>
  <sheetFormatPr defaultColWidth="9.140625" defaultRowHeight="15" x14ac:dyDescent="0.25"/>
  <cols>
    <col min="1" max="1" width="11" bestFit="1" customWidth="1"/>
    <col min="2" max="2" width="23.85546875" bestFit="1" customWidth="1"/>
    <col min="3" max="3" width="10" bestFit="1" customWidth="1"/>
    <col min="4" max="4" width="10" customWidth="1"/>
    <col min="5" max="5" width="24.140625" bestFit="1" customWidth="1"/>
    <col min="6" max="6" width="12.42578125" customWidth="1"/>
    <col min="12" max="12" width="9.7109375" customWidth="1"/>
  </cols>
  <sheetData>
    <row r="1" spans="1:45" ht="45.75" thickBot="1" x14ac:dyDescent="0.3">
      <c r="A1" s="15" t="s">
        <v>0</v>
      </c>
      <c r="B1" s="38" t="s">
        <v>22</v>
      </c>
      <c r="C1" s="16" t="s">
        <v>120</v>
      </c>
      <c r="D1" s="16" t="s">
        <v>123</v>
      </c>
      <c r="E1" s="16" t="s">
        <v>17</v>
      </c>
      <c r="F1" s="32" t="s">
        <v>74</v>
      </c>
      <c r="G1" s="31" t="s">
        <v>40</v>
      </c>
      <c r="H1" s="31" t="s">
        <v>73</v>
      </c>
      <c r="I1" s="15" t="s">
        <v>7</v>
      </c>
      <c r="J1" s="16" t="s">
        <v>33</v>
      </c>
      <c r="K1" s="16" t="s">
        <v>50</v>
      </c>
      <c r="L1" s="17" t="s">
        <v>8</v>
      </c>
      <c r="M1" s="15">
        <v>2018</v>
      </c>
      <c r="N1" s="16">
        <v>2019</v>
      </c>
      <c r="O1" s="35">
        <v>2020</v>
      </c>
      <c r="P1" s="35">
        <v>2021</v>
      </c>
      <c r="Q1" s="35">
        <v>2022</v>
      </c>
      <c r="R1" s="35">
        <v>2023</v>
      </c>
      <c r="S1" s="35">
        <v>2024</v>
      </c>
      <c r="T1" s="35">
        <v>2025</v>
      </c>
      <c r="U1" s="35">
        <v>2026</v>
      </c>
      <c r="V1" s="35">
        <v>2027</v>
      </c>
      <c r="W1" s="35">
        <v>2028</v>
      </c>
      <c r="X1" s="35">
        <v>2029</v>
      </c>
      <c r="Y1" s="35">
        <v>2030</v>
      </c>
      <c r="Z1" s="35">
        <v>2031</v>
      </c>
      <c r="AA1" s="35">
        <v>2032</v>
      </c>
      <c r="AB1" s="35">
        <v>2033</v>
      </c>
      <c r="AC1" s="35">
        <v>2034</v>
      </c>
      <c r="AD1" s="35">
        <v>2035</v>
      </c>
      <c r="AE1" s="35">
        <v>2036</v>
      </c>
      <c r="AF1" s="35">
        <v>2037</v>
      </c>
      <c r="AG1" s="35">
        <v>2038</v>
      </c>
      <c r="AH1" s="35">
        <v>2039</v>
      </c>
      <c r="AI1" s="35">
        <v>2040</v>
      </c>
      <c r="AJ1" s="35">
        <v>2041</v>
      </c>
      <c r="AK1" s="35">
        <v>2042</v>
      </c>
      <c r="AL1" s="35">
        <v>2043</v>
      </c>
      <c r="AM1" s="35">
        <v>2044</v>
      </c>
      <c r="AN1" s="35">
        <v>2045</v>
      </c>
      <c r="AO1" s="35">
        <v>2046</v>
      </c>
      <c r="AP1" s="35">
        <v>2047</v>
      </c>
      <c r="AQ1" s="35">
        <v>2048</v>
      </c>
      <c r="AR1" s="35">
        <v>2049</v>
      </c>
      <c r="AS1" s="36">
        <v>2050</v>
      </c>
    </row>
    <row r="2" spans="1:45" x14ac:dyDescent="0.25">
      <c r="A2" s="59"/>
      <c r="B2" s="72"/>
      <c r="C2" s="25"/>
      <c r="D2" s="25"/>
      <c r="E2" s="60"/>
      <c r="F2" s="60"/>
      <c r="G2" s="62"/>
      <c r="H2" s="62"/>
      <c r="I2" s="59"/>
      <c r="J2" s="60"/>
      <c r="K2" s="60"/>
      <c r="L2" s="70"/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6"/>
    </row>
    <row r="3" spans="1:45" x14ac:dyDescent="0.25">
      <c r="A3" s="59"/>
      <c r="B3" s="73"/>
      <c r="C3" s="7"/>
      <c r="D3" s="7"/>
      <c r="E3" s="9"/>
      <c r="F3" s="9"/>
      <c r="G3" s="19"/>
      <c r="H3" s="19"/>
      <c r="I3" s="13"/>
      <c r="J3" s="9"/>
      <c r="K3" s="9"/>
      <c r="L3" s="18"/>
      <c r="M3" s="3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4"/>
    </row>
    <row r="4" spans="1:45" x14ac:dyDescent="0.25">
      <c r="A4" s="59"/>
      <c r="B4" s="74"/>
      <c r="C4" s="7"/>
      <c r="D4" s="7"/>
      <c r="E4" s="7"/>
      <c r="F4" s="9"/>
      <c r="G4" s="19"/>
      <c r="H4" s="53"/>
      <c r="I4" s="3"/>
      <c r="J4" s="7"/>
      <c r="K4" s="7"/>
      <c r="L4" s="4"/>
      <c r="M4" s="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4"/>
    </row>
    <row r="5" spans="1:45" ht="15.75" thickBot="1" x14ac:dyDescent="0.3">
      <c r="A5" s="59"/>
      <c r="B5" s="75"/>
      <c r="C5" s="8"/>
      <c r="D5" s="8"/>
      <c r="E5" s="8"/>
      <c r="F5" s="14"/>
      <c r="G5" s="69"/>
      <c r="H5" s="54"/>
      <c r="I5" s="5"/>
      <c r="J5" s="8"/>
      <c r="K5" s="8"/>
      <c r="L5" s="6"/>
      <c r="M5" s="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7845A-214D-400F-A8A1-23CE7C33AECF}">
  <dimension ref="A1:B18"/>
  <sheetViews>
    <sheetView tabSelected="1" workbookViewId="0">
      <selection activeCell="G7" sqref="G7"/>
    </sheetView>
  </sheetViews>
  <sheetFormatPr defaultColWidth="9.140625" defaultRowHeight="15" x14ac:dyDescent="0.25"/>
  <cols>
    <col min="1" max="1" width="10.42578125" bestFit="1" customWidth="1"/>
    <col min="2" max="2" width="16.85546875" bestFit="1" customWidth="1"/>
  </cols>
  <sheetData>
    <row r="1" spans="1:2" x14ac:dyDescent="0.25">
      <c r="A1" s="20" t="s">
        <v>69</v>
      </c>
      <c r="B1" s="20" t="s">
        <v>70</v>
      </c>
    </row>
    <row r="2" spans="1:2" x14ac:dyDescent="0.25">
      <c r="A2" s="21" t="s">
        <v>53</v>
      </c>
      <c r="B2" s="7" t="s">
        <v>54</v>
      </c>
    </row>
    <row r="3" spans="1:2" x14ac:dyDescent="0.25">
      <c r="A3" s="21" t="s">
        <v>55</v>
      </c>
      <c r="B3" s="7" t="s">
        <v>54</v>
      </c>
    </row>
    <row r="4" spans="1:2" x14ac:dyDescent="0.25">
      <c r="A4" s="22" t="s">
        <v>56</v>
      </c>
      <c r="B4" s="7" t="s">
        <v>57</v>
      </c>
    </row>
    <row r="5" spans="1:2" x14ac:dyDescent="0.25">
      <c r="A5" s="22" t="s">
        <v>56</v>
      </c>
      <c r="B5" s="7" t="s">
        <v>58</v>
      </c>
    </row>
    <row r="6" spans="1:2" x14ac:dyDescent="0.25">
      <c r="A6" s="22" t="s">
        <v>56</v>
      </c>
      <c r="B6" s="7" t="s">
        <v>59</v>
      </c>
    </row>
    <row r="7" spans="1:2" x14ac:dyDescent="0.25">
      <c r="A7" s="22" t="s">
        <v>60</v>
      </c>
      <c r="B7" s="7" t="s">
        <v>57</v>
      </c>
    </row>
    <row r="8" spans="1:2" x14ac:dyDescent="0.25">
      <c r="A8" s="22" t="s">
        <v>60</v>
      </c>
      <c r="B8" s="7" t="s">
        <v>61</v>
      </c>
    </row>
    <row r="9" spans="1:2" x14ac:dyDescent="0.25">
      <c r="A9" s="22" t="s">
        <v>60</v>
      </c>
      <c r="B9" s="7" t="s">
        <v>59</v>
      </c>
    </row>
    <row r="10" spans="1:2" x14ac:dyDescent="0.25">
      <c r="A10" s="22" t="s">
        <v>62</v>
      </c>
      <c r="B10" s="7" t="s">
        <v>59</v>
      </c>
    </row>
    <row r="11" spans="1:2" x14ac:dyDescent="0.25">
      <c r="A11" s="22" t="s">
        <v>63</v>
      </c>
      <c r="B11" s="7" t="s">
        <v>59</v>
      </c>
    </row>
    <row r="12" spans="1:2" x14ac:dyDescent="0.25">
      <c r="A12" s="22" t="s">
        <v>64</v>
      </c>
      <c r="B12" s="7" t="s">
        <v>57</v>
      </c>
    </row>
    <row r="13" spans="1:2" x14ac:dyDescent="0.25">
      <c r="A13" s="22" t="s">
        <v>64</v>
      </c>
      <c r="B13" s="7" t="s">
        <v>61</v>
      </c>
    </row>
    <row r="14" spans="1:2" x14ac:dyDescent="0.25">
      <c r="A14" s="22" t="s">
        <v>64</v>
      </c>
      <c r="B14" s="7" t="s">
        <v>59</v>
      </c>
    </row>
    <row r="15" spans="1:2" x14ac:dyDescent="0.25">
      <c r="A15" s="22" t="s">
        <v>65</v>
      </c>
      <c r="B15" s="7" t="s">
        <v>59</v>
      </c>
    </row>
    <row r="16" spans="1:2" x14ac:dyDescent="0.25">
      <c r="A16" s="22" t="s">
        <v>66</v>
      </c>
      <c r="B16" s="7" t="s">
        <v>59</v>
      </c>
    </row>
    <row r="17" spans="1:2" x14ac:dyDescent="0.25">
      <c r="A17" s="23" t="s">
        <v>67</v>
      </c>
      <c r="B17" s="7" t="s">
        <v>59</v>
      </c>
    </row>
    <row r="18" spans="1:2" x14ac:dyDescent="0.25">
      <c r="A18" s="23" t="s">
        <v>68</v>
      </c>
      <c r="B18" s="7" t="s">
        <v>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CEE8B1-A670-4F88-830F-23836C959E54}">
  <ds:schemaRefs>
    <ds:schemaRef ds:uri="http://schemas.microsoft.com/office/2006/metadata/properties"/>
    <ds:schemaRef ds:uri="http://schemas.microsoft.com/office/infopath/2007/PartnerControls"/>
    <ds:schemaRef ds:uri="a1fcbaaf-06d9-47c4-b3a2-beefbc45d784"/>
  </ds:schemaRefs>
</ds:datastoreItem>
</file>

<file path=customXml/itemProps2.xml><?xml version="1.0" encoding="utf-8"?>
<ds:datastoreItem xmlns:ds="http://schemas.openxmlformats.org/officeDocument/2006/customXml" ds:itemID="{D24877A3-1D94-4F5F-8D49-EF9CF6104D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26A9AD-8E18-4D26-B0B2-A63BC934AF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Occupancy_Rate</vt:lpstr>
      <vt:lpstr>TElasticity</vt:lpstr>
      <vt:lpstr>Tech_Adoption</vt:lpstr>
      <vt:lpstr>Electrical</vt:lpstr>
      <vt:lpstr>SmartGrid</vt:lpstr>
      <vt:lpstr>Efficiency</vt:lpstr>
      <vt:lpstr>Biofuels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Andrey Salazar-Vargas</cp:lastModifiedBy>
  <dcterms:created xsi:type="dcterms:W3CDTF">2015-06-05T18:17:20Z</dcterms:created>
  <dcterms:modified xsi:type="dcterms:W3CDTF">2025-08-05T20:24:29Z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</Properties>
</file>