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ropbox\2_WORK\MOMF\AGR_20241130\A1_Outputs\"/>
    </mc:Choice>
  </mc:AlternateContent>
  <xr:revisionPtr revIDLastSave="0" documentId="13_ncr:1_{4F2E13E8-0D65-4E12-8A5C-E573F698FF34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2" l="1"/>
  <c r="I36" i="2"/>
  <c r="I35" i="2"/>
  <c r="I31" i="2"/>
  <c r="I34" i="2"/>
  <c r="I33" i="2"/>
  <c r="I29" i="2"/>
  <c r="I28" i="2"/>
  <c r="I30" i="2"/>
  <c r="I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F21" authorId="0" shapeId="0" xr:uid="{BDE02E6A-B4F7-4E6E-85AB-2F72DC814588}">
      <text>
        <r>
          <rPr>
            <b/>
            <sz val="9"/>
            <color indexed="81"/>
            <rFont val="Tahoma"/>
            <family val="2"/>
          </rPr>
          <t>La mayoria no estan modeladas en PLANMICC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I4" authorId="0" shapeId="0" xr:uid="{4DF88A0C-195B-4FA2-851A-6A177FC8AD3A}">
      <text>
        <r>
          <rPr>
            <b/>
            <sz val="9"/>
            <color indexed="81"/>
            <rFont val="Tahoma"/>
            <family val="2"/>
          </rPr>
          <t>Edit here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7" authorId="0" shapeId="0" xr:uid="{BDFEA8A0-9CF6-4572-94C1-4B3C50BE724B}">
      <text>
        <r>
          <rPr>
            <b/>
            <sz val="9"/>
            <color indexed="81"/>
            <rFont val="Tahoma"/>
            <family val="2"/>
          </rPr>
          <t>Las Mha de ganaderia por las categorias que no son Bovino, resultaran dificiles de cotejar Y pueden impactar el total de coberturas.</t>
        </r>
      </text>
    </comment>
    <comment ref="I27" authorId="0" shapeId="0" xr:uid="{A8F5D746-2F86-4338-A870-2AD509C28E7F}">
      <text>
        <r>
          <rPr>
            <b/>
            <sz val="9"/>
            <color indexed="81"/>
            <rFont val="Tahoma"/>
            <family val="2"/>
          </rPr>
          <t>Supuesto (no se cuenta con esta data de PLANMICC):
Bufalo usa area similar a Bovino</t>
        </r>
      </text>
    </comment>
    <comment ref="I28" authorId="0" shapeId="0" xr:uid="{ABA495E7-54D6-4233-8CFC-3CB91F3D7581}">
      <text>
        <r>
          <rPr>
            <b/>
            <sz val="9"/>
            <color indexed="81"/>
            <rFont val="Tahoma"/>
            <family val="2"/>
          </rPr>
          <t>Supuesto (no se cuenta con esta data de PLANMICC):
Oveja usa 1% del area de bovino</t>
        </r>
      </text>
    </comment>
    <comment ref="I29" authorId="0" shapeId="0" xr:uid="{5970ADA9-F4E0-4D31-954B-10AFFF8B3A0B}">
      <text>
        <r>
          <rPr>
            <b/>
            <sz val="9"/>
            <color indexed="81"/>
            <rFont val="Tahoma"/>
            <family val="2"/>
          </rPr>
          <t>Supuesto (no se cuenta con esta data de PLANMICC):
Cabra usa 1% del area de bovino</t>
        </r>
      </text>
    </comment>
    <comment ref="I30" authorId="0" shapeId="0" xr:uid="{9B5CEB19-CBBD-4954-865B-38AEB660B02C}">
      <text>
        <r>
          <rPr>
            <b/>
            <sz val="9"/>
            <color indexed="81"/>
            <rFont val="Tahoma"/>
            <family val="2"/>
          </rPr>
          <t>Supuesto (no se cuenta con esta data de PLANMICC):
Camelido Sudamericano usa 10% del area de bovino</t>
        </r>
      </text>
    </comment>
    <comment ref="I31" authorId="0" shapeId="0" xr:uid="{742F66B0-AAF5-4DA5-B726-DD994B9B8A4F}">
      <text>
        <r>
          <rPr>
            <b/>
            <sz val="9"/>
            <color indexed="81"/>
            <rFont val="Tahoma"/>
            <family val="2"/>
          </rPr>
          <t>Supuesto (no se cuenta con esta data de PLANMICC):
Caballo usa 50% del are de Bovino</t>
        </r>
      </text>
    </comment>
    <comment ref="I32" authorId="0" shapeId="0" xr:uid="{6DEDEE77-95AD-4A78-82B6-7F845C5D109C}">
      <text>
        <r>
          <rPr>
            <b/>
            <sz val="9"/>
            <color indexed="81"/>
            <rFont val="Tahoma"/>
            <family val="2"/>
          </rPr>
          <t>Supuesto (no se cuenta con esta data de PLANMICC):
Mula usa 10% del area de bovino</t>
        </r>
      </text>
    </comment>
    <comment ref="I33" authorId="0" shapeId="0" xr:uid="{E128841B-A84C-4CBC-84B8-7D87326FBDB7}">
      <text>
        <r>
          <rPr>
            <b/>
            <sz val="9"/>
            <color indexed="81"/>
            <rFont val="Tahoma"/>
            <family val="2"/>
          </rPr>
          <t>Supuesto (no se cuenta con esta data de PLANMICC):
Cerdo usa 1% del area de bovino</t>
        </r>
      </text>
    </comment>
    <comment ref="I34" authorId="0" shapeId="0" xr:uid="{B6234F21-B7C7-45CE-8917-5E5FAF09C60F}">
      <text>
        <r>
          <rPr>
            <b/>
            <sz val="9"/>
            <color indexed="81"/>
            <rFont val="Tahoma"/>
            <family val="2"/>
          </rPr>
          <t>Supuesto (no se cuenta con esta data de PLANMICC):
Ave usa 1% del area de bovino</t>
        </r>
      </text>
    </comment>
    <comment ref="I35" authorId="0" shapeId="0" xr:uid="{AFE8DC8A-8609-4556-8384-98ABC60716BC}">
      <text>
        <r>
          <rPr>
            <b/>
            <sz val="9"/>
            <color indexed="81"/>
            <rFont val="Tahoma"/>
            <family val="2"/>
          </rPr>
          <t>Supuesto (no se cuenta con esta data de PLANMICC):
Ave usa 1% del area de bovino</t>
        </r>
      </text>
    </comment>
    <comment ref="I36" authorId="0" shapeId="0" xr:uid="{B991B23C-320D-4B05-89C8-2AD58A6B4503}">
      <text>
        <r>
          <rPr>
            <b/>
            <sz val="9"/>
            <color indexed="81"/>
            <rFont val="Tahoma"/>
            <family val="2"/>
          </rPr>
          <t>Supuesto (no se cuenta con esta data de PLANMICC):
Ave usa 1% del area de bovino</t>
        </r>
      </text>
    </comment>
    <comment ref="I37" authorId="0" shapeId="0" xr:uid="{12E8AC44-57FF-4E31-9E84-C387721AD4DC}">
      <text>
        <r>
          <rPr>
            <b/>
            <sz val="9"/>
            <color indexed="81"/>
            <rFont val="Tahoma"/>
            <family val="2"/>
          </rPr>
          <t>Supuesto (no se cuenta con esta data de PLANMICC):
Ave usa 1% del area de bovino</t>
        </r>
      </text>
    </comment>
  </commentList>
</comments>
</file>

<file path=xl/sharedStrings.xml><?xml version="1.0" encoding="utf-8"?>
<sst xmlns="http://schemas.openxmlformats.org/spreadsheetml/2006/main" count="926" uniqueCount="483">
  <si>
    <t>Tech</t>
  </si>
  <si>
    <t>Tech.Name</t>
  </si>
  <si>
    <t>Fuel.O</t>
  </si>
  <si>
    <t>Fuel.O.Name</t>
  </si>
  <si>
    <t>Value.Fuel.O</t>
  </si>
  <si>
    <t>Unit.Fuel.O</t>
  </si>
  <si>
    <t>IMP_ELE</t>
  </si>
  <si>
    <t>SOIALL</t>
  </si>
  <si>
    <t>IMPARR</t>
  </si>
  <si>
    <t>IMPBAN</t>
  </si>
  <si>
    <t>IMPCOC</t>
  </si>
  <si>
    <t>IMPCOF</t>
  </si>
  <si>
    <t>IMPSUG</t>
  </si>
  <si>
    <t>IMPMAI</t>
  </si>
  <si>
    <t>IMPPAF</t>
  </si>
  <si>
    <t>IMPPAL</t>
  </si>
  <si>
    <t>IMPLEG</t>
  </si>
  <si>
    <t>IMPCER</t>
  </si>
  <si>
    <t>IMPTUB</t>
  </si>
  <si>
    <t>IMPFRT</t>
  </si>
  <si>
    <t>IMPVEG</t>
  </si>
  <si>
    <t>IMPFLO</t>
  </si>
  <si>
    <t>IMPBOV</t>
  </si>
  <si>
    <t>IMPBUF</t>
  </si>
  <si>
    <t>IMPOVE</t>
  </si>
  <si>
    <t>IMPCBR</t>
  </si>
  <si>
    <t>IMPCAM</t>
  </si>
  <si>
    <t>IMPCAB</t>
  </si>
  <si>
    <t>IMPMUL</t>
  </si>
  <si>
    <t>IMPAVE</t>
  </si>
  <si>
    <t>Primary - Import - Electricity</t>
  </si>
  <si>
    <t>Primary - Soil</t>
  </si>
  <si>
    <t>Import Arroz</t>
  </si>
  <si>
    <t>Import Banana</t>
  </si>
  <si>
    <t>Import Cocoa</t>
  </si>
  <si>
    <t>Import Coffee</t>
  </si>
  <si>
    <t>Import Sugarcane</t>
  </si>
  <si>
    <t>Import Maize</t>
  </si>
  <si>
    <t>Import African_palm</t>
  </si>
  <si>
    <t>Import Palmito</t>
  </si>
  <si>
    <t>Import Legumes</t>
  </si>
  <si>
    <t>Import Cereals</t>
  </si>
  <si>
    <t>Import Tubers</t>
  </si>
  <si>
    <t>Import Fruits</t>
  </si>
  <si>
    <t>Import Vegetables</t>
  </si>
  <si>
    <t>Import Flowers</t>
  </si>
  <si>
    <t>Import Bovinos</t>
  </si>
  <si>
    <t>Import Bufalos</t>
  </si>
  <si>
    <t>Import Ovejas</t>
  </si>
  <si>
    <t>Import Cabras</t>
  </si>
  <si>
    <t>Import Camelidos_sud</t>
  </si>
  <si>
    <t>Import Caballos</t>
  </si>
  <si>
    <t>Import Mulas</t>
  </si>
  <si>
    <t>Import Cerdos</t>
  </si>
  <si>
    <t>Import Aves</t>
  </si>
  <si>
    <t>E1ELE</t>
  </si>
  <si>
    <t>E1_SOI</t>
  </si>
  <si>
    <t>E3_ARR</t>
  </si>
  <si>
    <t>E3_BAN</t>
  </si>
  <si>
    <t>E3_COC</t>
  </si>
  <si>
    <t>E3_COF</t>
  </si>
  <si>
    <t>E3_SUG</t>
  </si>
  <si>
    <t>E3_MAI</t>
  </si>
  <si>
    <t>E3_PAF</t>
  </si>
  <si>
    <t>E3_PAL</t>
  </si>
  <si>
    <t>E3_LEG</t>
  </si>
  <si>
    <t>E3_CER</t>
  </si>
  <si>
    <t>E3_TUB</t>
  </si>
  <si>
    <t>E3_FRT</t>
  </si>
  <si>
    <t>E3_VEG</t>
  </si>
  <si>
    <t>E3_FLO</t>
  </si>
  <si>
    <t>E3_BOV</t>
  </si>
  <si>
    <t>E3_BUF</t>
  </si>
  <si>
    <t>E3_OVE</t>
  </si>
  <si>
    <t>E3_CBR</t>
  </si>
  <si>
    <t>E3_CAM</t>
  </si>
  <si>
    <t>E3_CAB</t>
  </si>
  <si>
    <t>E3_MUL</t>
  </si>
  <si>
    <t>E3_AVE</t>
  </si>
  <si>
    <t>Primary - Imported Electricity</t>
  </si>
  <si>
    <t>Arroz</t>
  </si>
  <si>
    <t xml:space="preserve">Banana  </t>
  </si>
  <si>
    <t xml:space="preserve">Cocoa  </t>
  </si>
  <si>
    <t xml:space="preserve">Coffee  </t>
  </si>
  <si>
    <t>Sugarcane</t>
  </si>
  <si>
    <t>Maize</t>
  </si>
  <si>
    <t>African_palm</t>
  </si>
  <si>
    <t>Palmito</t>
  </si>
  <si>
    <t xml:space="preserve">Legumes  </t>
  </si>
  <si>
    <t>Cereals</t>
  </si>
  <si>
    <t xml:space="preserve">Tubers  </t>
  </si>
  <si>
    <t xml:space="preserve">Fruits  </t>
  </si>
  <si>
    <t xml:space="preserve">Vegetables  </t>
  </si>
  <si>
    <t>Flowers</t>
  </si>
  <si>
    <t>Bovinos</t>
  </si>
  <si>
    <t>Bufalos</t>
  </si>
  <si>
    <t>Ovejas</t>
  </si>
  <si>
    <t>Cabras</t>
  </si>
  <si>
    <t>Camelidos_sud</t>
  </si>
  <si>
    <t>Caballos</t>
  </si>
  <si>
    <t>Mulas</t>
  </si>
  <si>
    <t>Aves</t>
  </si>
  <si>
    <t>Fuel.I</t>
  </si>
  <si>
    <t>Fuel.I.Name</t>
  </si>
  <si>
    <t>Value.Fuel.I</t>
  </si>
  <si>
    <t>Unit.Fuel.I</t>
  </si>
  <si>
    <t>E2_PAS</t>
  </si>
  <si>
    <t>Soil</t>
  </si>
  <si>
    <t>Cropland</t>
  </si>
  <si>
    <t>Pasture</t>
  </si>
  <si>
    <t>LU_CROP</t>
  </si>
  <si>
    <t>LU_PAS</t>
  </si>
  <si>
    <t>AG_ARR</t>
  </si>
  <si>
    <t>AG_BAN</t>
  </si>
  <si>
    <t>AG_COC</t>
  </si>
  <si>
    <t>AG_COF</t>
  </si>
  <si>
    <t>AG_SUG</t>
  </si>
  <si>
    <t>AG_MAI</t>
  </si>
  <si>
    <t>AG_PAF</t>
  </si>
  <si>
    <t>AG_PAL</t>
  </si>
  <si>
    <t>AG_LEG</t>
  </si>
  <si>
    <t>AG_CER</t>
  </si>
  <si>
    <t>AG_TUB</t>
  </si>
  <si>
    <t>AG_FRT</t>
  </si>
  <si>
    <t>AG_VEG</t>
  </si>
  <si>
    <t>AG_FLO</t>
  </si>
  <si>
    <t>GA_BOV</t>
  </si>
  <si>
    <t>GA_BUF</t>
  </si>
  <si>
    <t>GA_OVE</t>
  </si>
  <si>
    <t>GA_CBR</t>
  </si>
  <si>
    <t>GA_CAM</t>
  </si>
  <si>
    <t>GA_CAB</t>
  </si>
  <si>
    <t>GA_MUL</t>
  </si>
  <si>
    <t>GA_AVE</t>
  </si>
  <si>
    <t>Cropland soil</t>
  </si>
  <si>
    <t>Pasture soil</t>
  </si>
  <si>
    <t>Banana</t>
  </si>
  <si>
    <t>Cocoa</t>
  </si>
  <si>
    <t>Coffee</t>
  </si>
  <si>
    <t>Legumes</t>
  </si>
  <si>
    <t>Tubers</t>
  </si>
  <si>
    <t>Fruits</t>
  </si>
  <si>
    <t>Vegetables</t>
  </si>
  <si>
    <t>Cerdos</t>
  </si>
  <si>
    <t>Cropland Arroz</t>
  </si>
  <si>
    <t>Cropland Banana</t>
  </si>
  <si>
    <t>Cropland Cocoa</t>
  </si>
  <si>
    <t>Cropland Coffee</t>
  </si>
  <si>
    <t>Cropland Sugarcane</t>
  </si>
  <si>
    <t>Cropland Maize</t>
  </si>
  <si>
    <t>Cropland African_palm</t>
  </si>
  <si>
    <t>Cropland Palmito</t>
  </si>
  <si>
    <t>Cropland Legumes</t>
  </si>
  <si>
    <t>Cropland Cereals</t>
  </si>
  <si>
    <t>Cropland Tubers</t>
  </si>
  <si>
    <t>Cropland Fruits</t>
  </si>
  <si>
    <t>Cropland Vegetables</t>
  </si>
  <si>
    <t>Cropland Flowers</t>
  </si>
  <si>
    <t>Pastures Bovinos</t>
  </si>
  <si>
    <t>Pastures Bufalos</t>
  </si>
  <si>
    <t>Pastures Ovejas</t>
  </si>
  <si>
    <t>Pastures Cabras</t>
  </si>
  <si>
    <t>Pastures Camelidos_sud</t>
  </si>
  <si>
    <t>Pastures Caballos</t>
  </si>
  <si>
    <t>Pastures Mulas</t>
  </si>
  <si>
    <t>Pastures Aves</t>
  </si>
  <si>
    <t>T5ELEAGR</t>
  </si>
  <si>
    <t>T5ARRAGR</t>
  </si>
  <si>
    <t>T5BANAGR</t>
  </si>
  <si>
    <t>T5COCAGR</t>
  </si>
  <si>
    <t>T5COFAGR</t>
  </si>
  <si>
    <t>T5SUGAGR</t>
  </si>
  <si>
    <t>T5MAIAGR</t>
  </si>
  <si>
    <t>T5PAFAGR</t>
  </si>
  <si>
    <t>T5PALAGR</t>
  </si>
  <si>
    <t>T5LEGAGR</t>
  </si>
  <si>
    <t>T5CERAGR</t>
  </si>
  <si>
    <t>T5TUBAGR</t>
  </si>
  <si>
    <t>T5FRTAGR</t>
  </si>
  <si>
    <t>T5VEGAGR</t>
  </si>
  <si>
    <t>T5FLOAGR</t>
  </si>
  <si>
    <t>T5BOVGAN</t>
  </si>
  <si>
    <t>T5BUFGAN</t>
  </si>
  <si>
    <t>T5OVEGAN</t>
  </si>
  <si>
    <t>T5CBRGAN</t>
  </si>
  <si>
    <t>T5CAMGAN</t>
  </si>
  <si>
    <t>T5CABGAN</t>
  </si>
  <si>
    <t>T5MULGAN</t>
  </si>
  <si>
    <t>T5CERGAN</t>
  </si>
  <si>
    <t>T5AVEGAN</t>
  </si>
  <si>
    <t>T5ARRAGREXP</t>
  </si>
  <si>
    <t>T5BANAGREXP</t>
  </si>
  <si>
    <t>T5COCAGREXP</t>
  </si>
  <si>
    <t>T5COFAGREXP</t>
  </si>
  <si>
    <t>T5SUGAGREXP</t>
  </si>
  <si>
    <t>T5MAIAGREXP</t>
  </si>
  <si>
    <t>T5PAFAGREXP</t>
  </si>
  <si>
    <t>T5PALAGREXP</t>
  </si>
  <si>
    <t>T5LEGAGREXP</t>
  </si>
  <si>
    <t>T5CERAGREXP</t>
  </si>
  <si>
    <t>T5TUBAGREXP</t>
  </si>
  <si>
    <t>T5FRTAGREXP</t>
  </si>
  <si>
    <t>T5VEGAGREXP</t>
  </si>
  <si>
    <t>T5FLOAGREXP</t>
  </si>
  <si>
    <t>T5BOVGANEXP</t>
  </si>
  <si>
    <t>T5BUFGANEXP</t>
  </si>
  <si>
    <t>T5OVEGANEXP</t>
  </si>
  <si>
    <t>T5CBRGANEXP</t>
  </si>
  <si>
    <t>T5CAMGANEXP</t>
  </si>
  <si>
    <t>T5CABGANEXP</t>
  </si>
  <si>
    <t>T5MULGANEXP</t>
  </si>
  <si>
    <t>T5CERGANEXP</t>
  </si>
  <si>
    <t>T5AVEGANEXP</t>
  </si>
  <si>
    <t>Demand Electric for Agriculture</t>
  </si>
  <si>
    <t>Demand Rice for Agriculture</t>
  </si>
  <si>
    <t>Demand Banana   for Agriculture</t>
  </si>
  <si>
    <t>Demand Cocoa   for Agriculture</t>
  </si>
  <si>
    <t>Demand Coffee   for Agriculture</t>
  </si>
  <si>
    <t>Demand Sugarcane for Agriculture</t>
  </si>
  <si>
    <t>Demand Maize for Agriculture</t>
  </si>
  <si>
    <t>Demand African_palm for Agriculture</t>
  </si>
  <si>
    <t>Demand Palmito for Agriculture</t>
  </si>
  <si>
    <t>Demand Legumes   for Agriculture</t>
  </si>
  <si>
    <t>Demand Cereals for Agriculture</t>
  </si>
  <si>
    <t>Demand Tubers   for Agriculture</t>
  </si>
  <si>
    <t>Demand Fruits   for Agriculture</t>
  </si>
  <si>
    <t>Demand Vegetables   for Agriculture</t>
  </si>
  <si>
    <t>Demand Flowers for Agriculture</t>
  </si>
  <si>
    <t>Demand Bufalos for Livestock</t>
  </si>
  <si>
    <t>Demand Ovejas for Livestock</t>
  </si>
  <si>
    <t>Demand Cabras for Livestock</t>
  </si>
  <si>
    <t>Demand Camelidos_sud for Livestock</t>
  </si>
  <si>
    <t>Demand Caballos for Livestock</t>
  </si>
  <si>
    <t>Demand Mulas for Livestock</t>
  </si>
  <si>
    <t>Demand Cerdos for Livestock</t>
  </si>
  <si>
    <t>Demand Aves for Livestock</t>
  </si>
  <si>
    <t>Demand Rice for Agricultural Exports</t>
  </si>
  <si>
    <t>Demand Banana   for Agricultural Exports</t>
  </si>
  <si>
    <t>Demand Cocoa   for Agricultural Exports</t>
  </si>
  <si>
    <t>Demand Coffee   for Agricultural Exports</t>
  </si>
  <si>
    <t>Demand Sugarcane for Agricultural Exports</t>
  </si>
  <si>
    <t>Demand Maize for Agricultural Exports</t>
  </si>
  <si>
    <t>Demand African_palm for Agricultural Exports</t>
  </si>
  <si>
    <t>Demand Palmito for Agricultural Exports</t>
  </si>
  <si>
    <t>Demand Legumes   for Agricultural Exports</t>
  </si>
  <si>
    <t>Demand Cereals for Agricultural Exports</t>
  </si>
  <si>
    <t>Demand Tubers   for Agricultural Exports</t>
  </si>
  <si>
    <t>Demand Fruits   for Agricultural Exports</t>
  </si>
  <si>
    <t>Demand Vegetables   for Agricultural Exports</t>
  </si>
  <si>
    <t>Demand Flowers for Agricultural Exports</t>
  </si>
  <si>
    <t>Demand Bovinos for Livestock Exports</t>
  </si>
  <si>
    <t>Demand Bufalos for Livestock Exports</t>
  </si>
  <si>
    <t>Demand Ovejas for Livestock Exports</t>
  </si>
  <si>
    <t>Demand Cabras for Livestock Exports</t>
  </si>
  <si>
    <t>Demand Camelidos_sud for Livestock Exports</t>
  </si>
  <si>
    <t>Demand Caballos for Livestock Exports</t>
  </si>
  <si>
    <t>Demand Mulas for Livestock Exports</t>
  </si>
  <si>
    <t>Demand Cerdos for Livestock Exports</t>
  </si>
  <si>
    <t>Demand Aves for Livestock Exports</t>
  </si>
  <si>
    <t>E5AGRELE</t>
  </si>
  <si>
    <t>E5AGRARR</t>
  </si>
  <si>
    <t>E5AGRBAN</t>
  </si>
  <si>
    <t>E5AGRCOC</t>
  </si>
  <si>
    <t>E5AGRCOF</t>
  </si>
  <si>
    <t>E5AGRSUG</t>
  </si>
  <si>
    <t>E5AGRMAI</t>
  </si>
  <si>
    <t>E5AGRPAF</t>
  </si>
  <si>
    <t>E5AGRPAL</t>
  </si>
  <si>
    <t>E5AGRLEG</t>
  </si>
  <si>
    <t>E5AGRCER</t>
  </si>
  <si>
    <t>E5AGRTUB</t>
  </si>
  <si>
    <t>E5AGRFRT</t>
  </si>
  <si>
    <t>E5AGRVEG</t>
  </si>
  <si>
    <t>E5AGRFLO</t>
  </si>
  <si>
    <t>E5GANBOV</t>
  </si>
  <si>
    <t>E5GANBUF</t>
  </si>
  <si>
    <t>E5GANOVE</t>
  </si>
  <si>
    <t>E5GANCBR</t>
  </si>
  <si>
    <t>E5GANCAM</t>
  </si>
  <si>
    <t>E5GANCAB</t>
  </si>
  <si>
    <t>E5GANMUL</t>
  </si>
  <si>
    <t>E5GANCER</t>
  </si>
  <si>
    <t>E5GANAVE</t>
  </si>
  <si>
    <t>E5AGREXPARR</t>
  </si>
  <si>
    <t>E5AGREXPBAN</t>
  </si>
  <si>
    <t>E5AGREXPCOC</t>
  </si>
  <si>
    <t>E5AGREXPCOF</t>
  </si>
  <si>
    <t>E5AGREXPSUG</t>
  </si>
  <si>
    <t>E5AGREXPMAI</t>
  </si>
  <si>
    <t>E5AGREXPPAF</t>
  </si>
  <si>
    <t>E5AGREXPPAL</t>
  </si>
  <si>
    <t>E5AGREXPLEG</t>
  </si>
  <si>
    <t>E5AGREXPCER</t>
  </si>
  <si>
    <t>E5AGREXPTUB</t>
  </si>
  <si>
    <t>E5AGREXPFRT</t>
  </si>
  <si>
    <t>E5AGREXPVEG</t>
  </si>
  <si>
    <t>E5AGREXPFLO</t>
  </si>
  <si>
    <t>E5GANEXPBOV</t>
  </si>
  <si>
    <t>E5GANEXPBUF</t>
  </si>
  <si>
    <t>E5GANEXPOVE</t>
  </si>
  <si>
    <t>E5GANEXPCBR</t>
  </si>
  <si>
    <t>E5GANEXPCAM</t>
  </si>
  <si>
    <t>E5GANEXPCAB</t>
  </si>
  <si>
    <t>E5GANEXPMUL</t>
  </si>
  <si>
    <t>E5GANEXPCER</t>
  </si>
  <si>
    <t>E5GANEXPAVE</t>
  </si>
  <si>
    <t>Demand Agriculture Electric</t>
  </si>
  <si>
    <t>Demand Agriculture Rice</t>
  </si>
  <si>
    <t xml:space="preserve">Demand Agriculture Banana  </t>
  </si>
  <si>
    <t xml:space="preserve">Demand Agriculture Cocoa  </t>
  </si>
  <si>
    <t xml:space="preserve">Demand Agriculture Coffee  </t>
  </si>
  <si>
    <t>Demand Agriculture Sugarcane</t>
  </si>
  <si>
    <t>Demand Agriculture Maize</t>
  </si>
  <si>
    <t>Demand Agriculture African_palm</t>
  </si>
  <si>
    <t>Demand Agriculture Palmito</t>
  </si>
  <si>
    <t xml:space="preserve">Demand Agriculture Legumes  </t>
  </si>
  <si>
    <t>Demand Agriculture Cereals</t>
  </si>
  <si>
    <t xml:space="preserve">Demand Agriculture Tubers  </t>
  </si>
  <si>
    <t xml:space="preserve">Demand Agriculture Fruits  </t>
  </si>
  <si>
    <t xml:space="preserve">Demand Agriculture Vegetables  </t>
  </si>
  <si>
    <t>Demand Agriculture Flowers</t>
  </si>
  <si>
    <t>Demand Livestock Bufalos</t>
  </si>
  <si>
    <t>Demand Livestock Ovejas</t>
  </si>
  <si>
    <t>Demand Livestock Cabras</t>
  </si>
  <si>
    <t>Demand Livestock Camelidos_sud</t>
  </si>
  <si>
    <t>Demand Livestock Caballos</t>
  </si>
  <si>
    <t>Demand Livestock Mulas</t>
  </si>
  <si>
    <t>Demand Livestock Cerdos</t>
  </si>
  <si>
    <t>Demand Livestock Aves</t>
  </si>
  <si>
    <t>Demand Agricultural Exports Rice</t>
  </si>
  <si>
    <t xml:space="preserve">Demand Agricultural Exports Banana  </t>
  </si>
  <si>
    <t xml:space="preserve">Demand Agricultural Exports Cocoa  </t>
  </si>
  <si>
    <t xml:space="preserve">Demand Agricultural Exports Coffee  </t>
  </si>
  <si>
    <t>Demand Agricultural Exports Sugarcane</t>
  </si>
  <si>
    <t>Demand Agricultural Exports Maize</t>
  </si>
  <si>
    <t>Demand Agricultural Exports African_palm</t>
  </si>
  <si>
    <t>Demand Agricultural Exports Palmito</t>
  </si>
  <si>
    <t xml:space="preserve">Demand Agricultural Exports Legumes  </t>
  </si>
  <si>
    <t>Demand Agricultural Exports Cereals</t>
  </si>
  <si>
    <t xml:space="preserve">Demand Agricultural Exports Tubers  </t>
  </si>
  <si>
    <t xml:space="preserve">Demand Agricultural Exports Fruits  </t>
  </si>
  <si>
    <t xml:space="preserve">Demand Agricultural Exports Vegetables  </t>
  </si>
  <si>
    <t>Demand Agricultural Exports Flowers</t>
  </si>
  <si>
    <t>Demand Livestock Exports Bovinos</t>
  </si>
  <si>
    <t>Demand Livestock Exports Bufalos</t>
  </si>
  <si>
    <t>Demand Livestock Exports Ovejas</t>
  </si>
  <si>
    <t>Demand Livestock Exports Cabras</t>
  </si>
  <si>
    <t>Demand Livestock Exports Camelidos_sud</t>
  </si>
  <si>
    <t>Demand Livestock Exports Caballos</t>
  </si>
  <si>
    <t>Demand Livestock Exports Mulas</t>
  </si>
  <si>
    <t>Demand Livestock Exports Cerdos</t>
  </si>
  <si>
    <t>Demand Livestock Exports Aves</t>
  </si>
  <si>
    <t>T4ELE_HEA</t>
  </si>
  <si>
    <t>Distribute Electric for Heavy Freight</t>
  </si>
  <si>
    <t>E4ELE_HEA</t>
  </si>
  <si>
    <t>Distributed Electric for Heavy Freight</t>
  </si>
  <si>
    <t>Fuel.I.1</t>
  </si>
  <si>
    <t>Fuel.I.1.Name</t>
  </si>
  <si>
    <t>Value.Fuel.I.1</t>
  </si>
  <si>
    <t>Unit.Fuel.I.1</t>
  </si>
  <si>
    <t>Fuel.I.2</t>
  </si>
  <si>
    <t>Fuel.I.2.Name</t>
  </si>
  <si>
    <t>Value.Fuel.I.2</t>
  </si>
  <si>
    <t>Unit.Fuel.I.2</t>
  </si>
  <si>
    <t>none</t>
  </si>
  <si>
    <t>TRXTRAIELE</t>
  </si>
  <si>
    <t>Floating technology Electric</t>
  </si>
  <si>
    <t>E5TRXTRAI</t>
  </si>
  <si>
    <t>Techs_Rail</t>
  </si>
  <si>
    <t>Floating technology</t>
  </si>
  <si>
    <t>E6TDFREHEA</t>
  </si>
  <si>
    <t>Transport Demand - Floating</t>
  </si>
  <si>
    <t>PJ</t>
  </si>
  <si>
    <t>Mha</t>
  </si>
  <si>
    <t>Mton</t>
  </si>
  <si>
    <t>Soy</t>
  </si>
  <si>
    <t>E3_SOY</t>
  </si>
  <si>
    <t>Cropland Soy</t>
  </si>
  <si>
    <t>Mcabezas</t>
  </si>
  <si>
    <t>IMPBOVLEC</t>
  </si>
  <si>
    <t>Import Bovinos_Leche</t>
  </si>
  <si>
    <t>E3_BOVLEC</t>
  </si>
  <si>
    <t>Bovinos_Leche</t>
  </si>
  <si>
    <t>Pastures Bovinos_Leche</t>
  </si>
  <si>
    <t>GA_BOVLEC</t>
  </si>
  <si>
    <t>T5BOVLECGANEXP</t>
  </si>
  <si>
    <t>E5GANEXPBOVLEC</t>
  </si>
  <si>
    <t>IMPPOR</t>
  </si>
  <si>
    <t>E3_POR</t>
  </si>
  <si>
    <t>GA_POR</t>
  </si>
  <si>
    <t>Pastures Cerdos</t>
  </si>
  <si>
    <t>AG_SOY</t>
  </si>
  <si>
    <t>T5BOVLECGAN</t>
  </si>
  <si>
    <t>E5GANBOVLEC</t>
  </si>
  <si>
    <t>Demand Livestock Bovinos Leche</t>
  </si>
  <si>
    <t>Demand Bovinos Leche for Livestock</t>
  </si>
  <si>
    <t>E5AGREXPSOY</t>
  </si>
  <si>
    <t>Demand Agricultural Exports Soy</t>
  </si>
  <si>
    <t>Demand Soy for Agricultural Exports</t>
  </si>
  <si>
    <t>T5SOYAGREXP</t>
  </si>
  <si>
    <t>T5SOYAGR</t>
  </si>
  <si>
    <t>E5AGRSOY</t>
  </si>
  <si>
    <t>Demand Agriculture Soya</t>
  </si>
  <si>
    <t>Demand Soy for Agriculture</t>
  </si>
  <si>
    <t>Fuente</t>
  </si>
  <si>
    <t xml:space="preserve">Ajustes entre INGEI de la 4ta Comunicación y PLANMICC https://github.com/PLANMICC/OSeMOSYS_Ecuador/blob/main/AgriculturaUSCUSS/Data_inputs/Plantilla_EscenarioTendencial_Agricultura.xlsx </t>
  </si>
  <si>
    <t>Import Soy</t>
  </si>
  <si>
    <t>IMPSOY</t>
  </si>
  <si>
    <t>E2_CRO</t>
  </si>
  <si>
    <t>E3_BOVVAC</t>
  </si>
  <si>
    <t>Demand Bovinos Vacas for Livestock</t>
  </si>
  <si>
    <t>E3_BOVCRE</t>
  </si>
  <si>
    <t>Demand Bovinos Crecimiento for Livestock</t>
  </si>
  <si>
    <t>Demand Bovinos Toros for Livestock</t>
  </si>
  <si>
    <t>E3_PAT</t>
  </si>
  <si>
    <t>E3_PAV</t>
  </si>
  <si>
    <t>E3_PON</t>
  </si>
  <si>
    <t>T5PATGAN</t>
  </si>
  <si>
    <t>T5PAVGAN</t>
  </si>
  <si>
    <t>T5PONGAN</t>
  </si>
  <si>
    <t>Demand Patos for Livestock</t>
  </si>
  <si>
    <t>Demand Pavos for Livestock</t>
  </si>
  <si>
    <t>Demand Ponedoras for Livestock</t>
  </si>
  <si>
    <t>E5GANPAT</t>
  </si>
  <si>
    <t>E5GANPAV</t>
  </si>
  <si>
    <t>E5GANPON</t>
  </si>
  <si>
    <t>Demand Livestock Patos</t>
  </si>
  <si>
    <t>Demand Livestock Pavos</t>
  </si>
  <si>
    <t>Demand Livestock Ponedoras</t>
  </si>
  <si>
    <t>Demand Livestock Bovinos Vacas</t>
  </si>
  <si>
    <t>Demand Livestock Bovinos Toros</t>
  </si>
  <si>
    <t>Demand Livestock Bovinos Crecimiento</t>
  </si>
  <si>
    <t>E5GANBOVVAC</t>
  </si>
  <si>
    <t>E5GANBOVCRE</t>
  </si>
  <si>
    <t>T5BOVVACGAN</t>
  </si>
  <si>
    <t>T5BOVCREGAN</t>
  </si>
  <si>
    <t>GA_PAT</t>
  </si>
  <si>
    <t>GA_PAV</t>
  </si>
  <si>
    <t>GA_PON</t>
  </si>
  <si>
    <t>Pastures Patos</t>
  </si>
  <si>
    <t>Pastures Pavos</t>
  </si>
  <si>
    <t>Pastures Ponedoras</t>
  </si>
  <si>
    <t>GA_BOVVAC</t>
  </si>
  <si>
    <t>GA_BOVCRE</t>
  </si>
  <si>
    <t>Bovinos Vacas</t>
  </si>
  <si>
    <t>Bovinos Crecimiento</t>
  </si>
  <si>
    <t>Pastures Bovinos Vacas</t>
  </si>
  <si>
    <t>Pastures Bovinos Crecimiento</t>
  </si>
  <si>
    <t>Patos</t>
  </si>
  <si>
    <t>Pavos</t>
  </si>
  <si>
    <t>Ponedoras</t>
  </si>
  <si>
    <t>E5GANBOVREG</t>
  </si>
  <si>
    <t>E5GANBOVVACREG</t>
  </si>
  <si>
    <t>E5GANBOVCREREG</t>
  </si>
  <si>
    <t>E5GANBOVLECREG</t>
  </si>
  <si>
    <t>T5BOVGANREG</t>
  </si>
  <si>
    <t>T5BOVVACGANREG</t>
  </si>
  <si>
    <t>T5BOVCREGANREG</t>
  </si>
  <si>
    <t>T5BOVLECGANREG</t>
  </si>
  <si>
    <t>E3_BOVREG</t>
  </si>
  <si>
    <t>E3_BOVVACREG</t>
  </si>
  <si>
    <t>E3_BOVCREREG</t>
  </si>
  <si>
    <t>E3_BOVLECREG</t>
  </si>
  <si>
    <t>Demand Bovinos Toros for Livestock Regenerativo</t>
  </si>
  <si>
    <t>Demand Bovinos Vacas for Livestock Regenerativo</t>
  </si>
  <si>
    <t>Demand Bovinos Crecimiento for Livestock Regenerativo</t>
  </si>
  <si>
    <t>Demand Bovinos Leche for Livestock Regenerativo</t>
  </si>
  <si>
    <t>Demand Livestock Bovinos Toros Regenerativo</t>
  </si>
  <si>
    <t>Demand Livestock Bovinos Vacas Regenerativo</t>
  </si>
  <si>
    <t>Demand Livestock Bovinos Crecimiento Regenerativo</t>
  </si>
  <si>
    <t>Demand Livestock Bovinos Leche Regenerativo</t>
  </si>
  <si>
    <t>Pastures Bovinos Regenerativo</t>
  </si>
  <si>
    <t>Pastures Bovinos Vacas Regenerativo</t>
  </si>
  <si>
    <t>Pastures Bovinos Crecimiento Regenerativo</t>
  </si>
  <si>
    <t>Pastures Bovinos_Leche Regenerativo</t>
  </si>
  <si>
    <t>Bovinos Regenerativo</t>
  </si>
  <si>
    <t>Bovinos Vacas Regenerativo</t>
  </si>
  <si>
    <t>Bovinos Crecimiento Regenerativo</t>
  </si>
  <si>
    <t>Bovinos_Leche Regenerativo</t>
  </si>
  <si>
    <t>GA_BOVREG</t>
  </si>
  <si>
    <t>GA_BOVVACREG</t>
  </si>
  <si>
    <t>GA_BOVCREREG</t>
  </si>
  <si>
    <t>GA_BOVLECREG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</si>
</sst>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6" tint="-0.49998474074526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E87331"/>
        <bgColor rgb="FFDAEEF3"/>
      </patternFill>
    </fill>
    <fill>
      <patternFill patternType="solid">
        <fgColor rgb="FFDAEEF3"/>
        <bgColor rgb="FF000000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rgb="FFB7DEE8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2" borderId="11" xfId="0" applyFill="1" applyBorder="1"/>
    <xf numFmtId="0" fontId="0" fillId="2" borderId="1" xfId="0" applyFill="1" applyBorder="1"/>
    <xf numFmtId="0" fontId="0" fillId="2" borderId="12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1" xfId="0" applyFill="1" applyBorder="1"/>
    <xf numFmtId="0" fontId="0" fillId="3" borderId="1" xfId="0" applyFill="1" applyBorder="1"/>
    <xf numFmtId="0" fontId="0" fillId="3" borderId="12" xfId="0" applyFill="1" applyBorder="1"/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0" fillId="4" borderId="1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" fillId="7" borderId="28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6" fillId="8" borderId="18" xfId="0" applyFont="1" applyFill="1" applyBorder="1" applyAlignment="1">
      <alignment vertical="center"/>
    </xf>
    <xf numFmtId="0" fontId="7" fillId="9" borderId="29" xfId="0" applyFont="1" applyFill="1" applyBorder="1" applyAlignment="1">
      <alignment vertical="center"/>
    </xf>
    <xf numFmtId="0" fontId="3" fillId="7" borderId="30" xfId="0" applyFont="1" applyFill="1" applyBorder="1" applyAlignment="1">
      <alignment vertical="center"/>
    </xf>
    <xf numFmtId="0" fontId="3" fillId="7" borderId="31" xfId="0" applyFont="1" applyFill="1" applyBorder="1" applyAlignment="1">
      <alignment vertical="center"/>
    </xf>
    <xf numFmtId="0" fontId="3" fillId="7" borderId="32" xfId="0" applyFont="1" applyFill="1" applyBorder="1" applyAlignment="1">
      <alignment vertical="center"/>
    </xf>
    <xf numFmtId="0" fontId="3" fillId="10" borderId="30" xfId="0" applyFont="1" applyFill="1" applyBorder="1" applyAlignment="1">
      <alignment vertical="center"/>
    </xf>
    <xf numFmtId="0" fontId="3" fillId="10" borderId="33" xfId="0" applyFont="1" applyFill="1" applyBorder="1" applyAlignment="1">
      <alignment vertical="center"/>
    </xf>
    <xf numFmtId="0" fontId="3" fillId="11" borderId="34" xfId="0" applyFont="1" applyFill="1" applyBorder="1" applyAlignment="1">
      <alignment vertical="center"/>
    </xf>
    <xf numFmtId="0" fontId="3" fillId="11" borderId="31" xfId="0" applyFont="1" applyFill="1" applyBorder="1" applyAlignment="1">
      <alignment vertical="center"/>
    </xf>
    <xf numFmtId="0" fontId="7" fillId="12" borderId="18" xfId="0" applyFont="1" applyFill="1" applyBorder="1" applyAlignment="1">
      <alignment vertical="center"/>
    </xf>
    <xf numFmtId="0" fontId="7" fillId="12" borderId="35" xfId="0" applyFont="1" applyFill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11" xfId="0" applyFill="1" applyBorder="1"/>
    <xf numFmtId="0" fontId="0" fillId="6" borderId="1" xfId="0" applyFill="1" applyBorder="1"/>
    <xf numFmtId="0" fontId="0" fillId="6" borderId="12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13" borderId="13" xfId="0" applyFill="1" applyBorder="1"/>
    <xf numFmtId="0" fontId="0" fillId="13" borderId="14" xfId="0" applyFill="1" applyBorder="1"/>
    <xf numFmtId="0" fontId="0" fillId="13" borderId="11" xfId="0" applyFill="1" applyBorder="1"/>
    <xf numFmtId="0" fontId="0" fillId="13" borderId="1" xfId="0" applyFill="1" applyBorder="1"/>
    <xf numFmtId="0" fontId="0" fillId="13" borderId="8" xfId="0" applyFill="1" applyBorder="1"/>
    <xf numFmtId="0" fontId="0" fillId="13" borderId="9" xfId="0" applyFill="1" applyBorder="1"/>
    <xf numFmtId="0" fontId="0" fillId="14" borderId="5" xfId="0" applyFill="1" applyBorder="1"/>
    <xf numFmtId="0" fontId="0" fillId="14" borderId="6" xfId="0" applyFill="1" applyBorder="1"/>
    <xf numFmtId="0" fontId="0" fillId="14" borderId="7" xfId="0" applyFill="1" applyBorder="1"/>
    <xf numFmtId="0" fontId="0" fillId="14" borderId="11" xfId="0" applyFill="1" applyBorder="1"/>
    <xf numFmtId="0" fontId="0" fillId="14" borderId="1" xfId="0" applyFill="1" applyBorder="1"/>
    <xf numFmtId="0" fontId="0" fillId="14" borderId="12" xfId="0" applyFill="1" applyBorder="1"/>
    <xf numFmtId="0" fontId="0" fillId="14" borderId="8" xfId="0" applyFill="1" applyBorder="1"/>
    <xf numFmtId="0" fontId="0" fillId="14" borderId="9" xfId="0" applyFill="1" applyBorder="1"/>
    <xf numFmtId="0" fontId="0" fillId="14" borderId="10" xfId="0" applyFill="1" applyBorder="1"/>
    <xf numFmtId="0" fontId="0" fillId="15" borderId="13" xfId="0" applyFill="1" applyBorder="1"/>
    <xf numFmtId="0" fontId="0" fillId="15" borderId="14" xfId="0" applyFill="1" applyBorder="1"/>
    <xf numFmtId="0" fontId="0" fillId="15" borderId="15" xfId="0" applyFill="1" applyBorder="1"/>
    <xf numFmtId="0" fontId="0" fillId="15" borderId="11" xfId="0" applyFill="1" applyBorder="1"/>
    <xf numFmtId="0" fontId="0" fillId="15" borderId="1" xfId="0" applyFill="1" applyBorder="1"/>
    <xf numFmtId="0" fontId="0" fillId="15" borderId="8" xfId="0" applyFill="1" applyBorder="1"/>
    <xf numFmtId="0" fontId="0" fillId="15" borderId="9" xfId="0" applyFill="1" applyBorder="1"/>
    <xf numFmtId="0" fontId="0" fillId="3" borderId="37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164" fontId="10" fillId="6" borderId="6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22" xfId="0" applyFill="1" applyBorder="1" applyAlignment="1">
      <alignment horizontal="center" vertical="center"/>
    </xf>
    <xf numFmtId="0" fontId="0" fillId="16" borderId="23" xfId="0" applyFill="1" applyBorder="1" applyAlignment="1">
      <alignment horizontal="center" vertical="center"/>
    </xf>
    <xf numFmtId="0" fontId="0" fillId="16" borderId="24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165" fontId="8" fillId="17" borderId="1" xfId="0" applyNumberFormat="1" applyFont="1" applyFill="1" applyBorder="1" applyAlignment="1">
      <alignment horizontal="center" vertical="center"/>
    </xf>
    <xf numFmtId="0" fontId="9" fillId="17" borderId="14" xfId="0" applyFont="1" applyFill="1" applyBorder="1"/>
    <xf numFmtId="0" fontId="2" fillId="3" borderId="12" xfId="0" applyFont="1" applyFill="1" applyBorder="1"/>
    <xf numFmtId="0" fontId="0" fillId="16" borderId="13" xfId="0" applyFill="1" applyBorder="1"/>
    <xf numFmtId="0" fontId="0" fillId="16" borderId="14" xfId="0" applyFill="1" applyBorder="1"/>
    <xf numFmtId="0" fontId="0" fillId="16" borderId="15" xfId="0" applyFill="1" applyBorder="1"/>
    <xf numFmtId="0" fontId="0" fillId="16" borderId="11" xfId="0" applyFill="1" applyBorder="1"/>
    <xf numFmtId="0" fontId="0" fillId="16" borderId="1" xfId="0" applyFill="1" applyBorder="1"/>
    <xf numFmtId="0" fontId="0" fillId="16" borderId="12" xfId="0" applyFill="1" applyBorder="1"/>
    <xf numFmtId="165" fontId="11" fillId="5" borderId="1" xfId="0" applyNumberFormat="1" applyFont="1" applyFill="1" applyBorder="1" applyAlignment="1">
      <alignment horizontal="center" vertical="center"/>
    </xf>
    <xf numFmtId="165" fontId="11" fillId="5" borderId="9" xfId="0" applyNumberFormat="1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top"/>
    </xf>
    <xf numFmtId="0" fontId="0" fillId="5" borderId="39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6" borderId="42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165" fontId="8" fillId="17" borderId="6" xfId="0" applyNumberFormat="1" applyFont="1" applyFill="1" applyBorder="1" applyAlignment="1">
      <alignment horizontal="center" vertical="center"/>
    </xf>
    <xf numFmtId="0" fontId="9" fillId="18" borderId="23" xfId="0" applyFont="1" applyFill="1" applyBorder="1" applyAlignment="1">
      <alignment horizontal="center" vertical="center"/>
    </xf>
    <xf numFmtId="0" fontId="0" fillId="3" borderId="36" xfId="0" applyFill="1" applyBorder="1"/>
    <xf numFmtId="0" fontId="2" fillId="3" borderId="38" xfId="0" applyFont="1" applyFill="1" applyBorder="1"/>
    <xf numFmtId="0" fontId="0" fillId="5" borderId="36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9" fillId="19" borderId="11" xfId="0" applyFont="1" applyFill="1" applyBorder="1"/>
    <xf numFmtId="0" fontId="0" fillId="20" borderId="1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0" fontId="0" fillId="20" borderId="11" xfId="0" applyFill="1" applyBorder="1" applyAlignment="1">
      <alignment horizontal="center" vertical="center"/>
    </xf>
    <xf numFmtId="0" fontId="0" fillId="20" borderId="36" xfId="0" applyFill="1" applyBorder="1" applyAlignment="1">
      <alignment horizontal="center" vertical="center"/>
    </xf>
    <xf numFmtId="0" fontId="10" fillId="18" borderId="1" xfId="0" applyFont="1" applyFill="1" applyBorder="1"/>
    <xf numFmtId="0" fontId="12" fillId="18" borderId="37" xfId="0" applyFont="1" applyFill="1" applyBorder="1"/>
    <xf numFmtId="0" fontId="9" fillId="18" borderId="41" xfId="0" applyFont="1" applyFill="1" applyBorder="1" applyAlignment="1">
      <alignment horizontal="center" vertical="center"/>
    </xf>
    <xf numFmtId="165" fontId="11" fillId="5" borderId="37" xfId="0" applyNumberFormat="1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9" fillId="18" borderId="6" xfId="0" applyFont="1" applyFill="1" applyBorder="1" applyAlignment="1">
      <alignment horizontal="center" vertical="center"/>
    </xf>
    <xf numFmtId="165" fontId="11" fillId="5" borderId="6" xfId="0" applyNumberFormat="1" applyFont="1" applyFill="1" applyBorder="1" applyAlignment="1">
      <alignment horizontal="center" vertical="center"/>
    </xf>
    <xf numFmtId="0" fontId="9" fillId="18" borderId="9" xfId="0" applyFont="1" applyFill="1" applyBorder="1" applyAlignment="1">
      <alignment horizontal="center" vertical="center"/>
    </xf>
    <xf numFmtId="0" fontId="9" fillId="21" borderId="13" xfId="0" applyFont="1" applyFill="1" applyBorder="1"/>
    <xf numFmtId="0" fontId="9" fillId="21" borderId="14" xfId="0" applyFont="1" applyFill="1" applyBorder="1"/>
    <xf numFmtId="0" fontId="9" fillId="21" borderId="5" xfId="0" applyFont="1" applyFill="1" applyBorder="1" applyAlignment="1">
      <alignment horizontal="center" vertical="center"/>
    </xf>
    <xf numFmtId="0" fontId="9" fillId="21" borderId="11" xfId="0" applyFont="1" applyFill="1" applyBorder="1" applyAlignment="1">
      <alignment horizontal="center" vertical="center"/>
    </xf>
    <xf numFmtId="0" fontId="9" fillId="21" borderId="8" xfId="0" applyFont="1" applyFill="1" applyBorder="1" applyAlignment="1">
      <alignment horizontal="center" vertical="center"/>
    </xf>
    <xf numFmtId="0" fontId="9" fillId="21" borderId="6" xfId="0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/>
    </xf>
    <xf numFmtId="0" fontId="9" fillId="21" borderId="9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165" fontId="8" fillId="17" borderId="14" xfId="0" applyNumberFormat="1" applyFont="1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9" fillId="21" borderId="13" xfId="0" applyFont="1" applyFill="1" applyBorder="1" applyAlignment="1">
      <alignment horizontal="center" vertical="center"/>
    </xf>
    <xf numFmtId="0" fontId="9" fillId="21" borderId="45" xfId="0" applyFont="1" applyFill="1" applyBorder="1" applyAlignment="1">
      <alignment horizontal="center" vertical="center"/>
    </xf>
    <xf numFmtId="0" fontId="9" fillId="21" borderId="14" xfId="0" applyFont="1" applyFill="1" applyBorder="1" applyAlignment="1">
      <alignment horizontal="center" vertical="center"/>
    </xf>
    <xf numFmtId="0" fontId="9" fillId="21" borderId="15" xfId="0" applyFont="1" applyFill="1" applyBorder="1"/>
    <xf numFmtId="165" fontId="8" fillId="21" borderId="6" xfId="0" applyNumberFormat="1" applyFont="1" applyFill="1" applyBorder="1" applyAlignment="1">
      <alignment horizontal="center" vertical="center"/>
    </xf>
    <xf numFmtId="165" fontId="8" fillId="21" borderId="14" xfId="0" applyNumberFormat="1" applyFont="1" applyFill="1" applyBorder="1" applyAlignment="1">
      <alignment horizontal="center" vertical="center"/>
    </xf>
    <xf numFmtId="165" fontId="8" fillId="21" borderId="1" xfId="0" applyNumberFormat="1" applyFont="1" applyFill="1" applyBorder="1" applyAlignment="1">
      <alignment horizontal="center" vertical="center"/>
    </xf>
    <xf numFmtId="0" fontId="9" fillId="21" borderId="19" xfId="0" applyFont="1" applyFill="1" applyBorder="1" applyAlignment="1">
      <alignment horizontal="center" vertical="center"/>
    </xf>
    <xf numFmtId="0" fontId="9" fillId="21" borderId="20" xfId="0" applyFont="1" applyFill="1" applyBorder="1" applyAlignment="1">
      <alignment horizontal="center" vertical="center"/>
    </xf>
    <xf numFmtId="0" fontId="9" fillId="21" borderId="21" xfId="0" applyFont="1" applyFill="1" applyBorder="1" applyAlignment="1">
      <alignment horizontal="center" vertical="center"/>
    </xf>
    <xf numFmtId="0" fontId="9" fillId="21" borderId="7" xfId="0" applyFont="1" applyFill="1" applyBorder="1" applyAlignment="1">
      <alignment horizontal="center" vertical="center"/>
    </xf>
    <xf numFmtId="0" fontId="9" fillId="21" borderId="43" xfId="0" applyFont="1" applyFill="1" applyBorder="1" applyAlignment="1">
      <alignment horizontal="center" vertical="center"/>
    </xf>
    <xf numFmtId="0" fontId="9" fillId="21" borderId="44" xfId="0" applyFont="1" applyFill="1" applyBorder="1" applyAlignment="1">
      <alignment horizontal="center" vertical="center"/>
    </xf>
    <xf numFmtId="0" fontId="9" fillId="21" borderId="15" xfId="0" applyFont="1" applyFill="1" applyBorder="1" applyAlignment="1">
      <alignment horizontal="center" vertical="center"/>
    </xf>
    <xf numFmtId="0" fontId="9" fillId="21" borderId="22" xfId="0" applyFont="1" applyFill="1" applyBorder="1" applyAlignment="1">
      <alignment horizontal="center" vertical="center"/>
    </xf>
    <xf numFmtId="0" fontId="9" fillId="21" borderId="23" xfId="0" applyFont="1" applyFill="1" applyBorder="1" applyAlignment="1">
      <alignment horizontal="center" vertical="center"/>
    </xf>
    <xf numFmtId="0" fontId="9" fillId="21" borderId="24" xfId="0" applyFont="1" applyFill="1" applyBorder="1" applyAlignment="1">
      <alignment horizontal="center" vertical="center"/>
    </xf>
    <xf numFmtId="0" fontId="9" fillId="21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.453125" customWidth="1"/>
    <col min="2" max="2" width="25.08984375" bestFit="1" customWidth="1"/>
    <col min="3" max="3" width="14.7265625" bestFit="1" customWidth="1"/>
    <col min="4" max="4" width="26.1796875" bestFit="1" customWidth="1"/>
    <col min="5" max="5" width="12" bestFit="1" customWidth="1"/>
    <col min="6" max="6" width="10.7265625" bestFit="1" customWidth="1"/>
  </cols>
  <sheetData>
    <row r="1" spans="1:6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" thickBot="1" x14ac:dyDescent="0.4">
      <c r="A2" s="4" t="s">
        <v>6</v>
      </c>
      <c r="B2" s="5" t="s">
        <v>30</v>
      </c>
      <c r="C2" s="5" t="s">
        <v>55</v>
      </c>
      <c r="D2" s="5" t="s">
        <v>79</v>
      </c>
      <c r="E2" s="5">
        <v>1</v>
      </c>
      <c r="F2" s="6" t="s">
        <v>372</v>
      </c>
    </row>
    <row r="3" spans="1:6" ht="15" thickBot="1" x14ac:dyDescent="0.4">
      <c r="A3" s="7" t="s">
        <v>7</v>
      </c>
      <c r="B3" s="8" t="s">
        <v>31</v>
      </c>
      <c r="C3" s="8" t="s">
        <v>56</v>
      </c>
      <c r="D3" s="8" t="s">
        <v>31</v>
      </c>
      <c r="E3" s="8">
        <v>1</v>
      </c>
      <c r="F3" s="9" t="s">
        <v>373</v>
      </c>
    </row>
    <row r="4" spans="1:6" ht="15" thickBot="1" x14ac:dyDescent="0.4">
      <c r="A4" s="4" t="s">
        <v>8</v>
      </c>
      <c r="B4" s="5" t="s">
        <v>32</v>
      </c>
      <c r="C4" s="5" t="s">
        <v>57</v>
      </c>
      <c r="D4" s="5" t="s">
        <v>80</v>
      </c>
      <c r="E4" s="5">
        <v>1</v>
      </c>
      <c r="F4" s="6" t="s">
        <v>374</v>
      </c>
    </row>
    <row r="5" spans="1:6" x14ac:dyDescent="0.35">
      <c r="A5" s="110" t="s">
        <v>9</v>
      </c>
      <c r="B5" s="111" t="s">
        <v>33</v>
      </c>
      <c r="C5" s="111" t="s">
        <v>58</v>
      </c>
      <c r="D5" s="111" t="s">
        <v>81</v>
      </c>
      <c r="E5" s="111">
        <v>1</v>
      </c>
      <c r="F5" s="112" t="s">
        <v>374</v>
      </c>
    </row>
    <row r="6" spans="1:6" x14ac:dyDescent="0.35">
      <c r="A6" s="10" t="s">
        <v>10</v>
      </c>
      <c r="B6" s="11" t="s">
        <v>34</v>
      </c>
      <c r="C6" s="11" t="s">
        <v>59</v>
      </c>
      <c r="D6" s="11" t="s">
        <v>82</v>
      </c>
      <c r="E6" s="11">
        <v>1</v>
      </c>
      <c r="F6" s="12" t="s">
        <v>374</v>
      </c>
    </row>
    <row r="7" spans="1:6" x14ac:dyDescent="0.35">
      <c r="A7" s="10" t="s">
        <v>11</v>
      </c>
      <c r="B7" s="11" t="s">
        <v>35</v>
      </c>
      <c r="C7" s="11" t="s">
        <v>60</v>
      </c>
      <c r="D7" s="11" t="s">
        <v>83</v>
      </c>
      <c r="E7" s="11">
        <v>1</v>
      </c>
      <c r="F7" s="12" t="s">
        <v>374</v>
      </c>
    </row>
    <row r="8" spans="1:6" x14ac:dyDescent="0.35">
      <c r="A8" s="10" t="s">
        <v>12</v>
      </c>
      <c r="B8" s="11" t="s">
        <v>36</v>
      </c>
      <c r="C8" s="11" t="s">
        <v>61</v>
      </c>
      <c r="D8" s="11" t="s">
        <v>84</v>
      </c>
      <c r="E8" s="11">
        <v>1</v>
      </c>
      <c r="F8" s="12" t="s">
        <v>374</v>
      </c>
    </row>
    <row r="9" spans="1:6" x14ac:dyDescent="0.35">
      <c r="A9" s="10" t="s">
        <v>13</v>
      </c>
      <c r="B9" s="11" t="s">
        <v>37</v>
      </c>
      <c r="C9" s="11" t="s">
        <v>62</v>
      </c>
      <c r="D9" s="11" t="s">
        <v>85</v>
      </c>
      <c r="E9" s="11">
        <v>1</v>
      </c>
      <c r="F9" s="12" t="s">
        <v>374</v>
      </c>
    </row>
    <row r="10" spans="1:6" x14ac:dyDescent="0.35">
      <c r="A10" s="10" t="s">
        <v>14</v>
      </c>
      <c r="B10" s="11" t="s">
        <v>38</v>
      </c>
      <c r="C10" s="11" t="s">
        <v>63</v>
      </c>
      <c r="D10" s="11" t="s">
        <v>86</v>
      </c>
      <c r="E10" s="11">
        <v>1</v>
      </c>
      <c r="F10" s="12" t="s">
        <v>374</v>
      </c>
    </row>
    <row r="11" spans="1:6" x14ac:dyDescent="0.35">
      <c r="A11" s="127" t="s">
        <v>407</v>
      </c>
      <c r="B11" s="128" t="s">
        <v>406</v>
      </c>
      <c r="C11" s="128" t="s">
        <v>376</v>
      </c>
      <c r="D11" s="128" t="s">
        <v>375</v>
      </c>
      <c r="E11" s="128">
        <v>1</v>
      </c>
      <c r="F11" s="129" t="s">
        <v>374</v>
      </c>
    </row>
    <row r="12" spans="1:6" x14ac:dyDescent="0.35">
      <c r="A12" s="10" t="s">
        <v>15</v>
      </c>
      <c r="B12" s="11" t="s">
        <v>39</v>
      </c>
      <c r="C12" s="11" t="s">
        <v>64</v>
      </c>
      <c r="D12" s="11" t="s">
        <v>87</v>
      </c>
      <c r="E12" s="11">
        <v>1</v>
      </c>
      <c r="F12" s="12" t="s">
        <v>374</v>
      </c>
    </row>
    <row r="13" spans="1:6" x14ac:dyDescent="0.35">
      <c r="A13" s="10" t="s">
        <v>16</v>
      </c>
      <c r="B13" s="11" t="s">
        <v>40</v>
      </c>
      <c r="C13" s="11" t="s">
        <v>65</v>
      </c>
      <c r="D13" s="11" t="s">
        <v>88</v>
      </c>
      <c r="E13" s="11">
        <v>1</v>
      </c>
      <c r="F13" s="12" t="s">
        <v>374</v>
      </c>
    </row>
    <row r="14" spans="1:6" x14ac:dyDescent="0.35">
      <c r="A14" s="10" t="s">
        <v>17</v>
      </c>
      <c r="B14" s="11" t="s">
        <v>41</v>
      </c>
      <c r="C14" s="11" t="s">
        <v>66</v>
      </c>
      <c r="D14" s="11" t="s">
        <v>89</v>
      </c>
      <c r="E14" s="11">
        <v>1</v>
      </c>
      <c r="F14" s="12" t="s">
        <v>374</v>
      </c>
    </row>
    <row r="15" spans="1:6" x14ac:dyDescent="0.35">
      <c r="A15" s="10" t="s">
        <v>18</v>
      </c>
      <c r="B15" s="11" t="s">
        <v>42</v>
      </c>
      <c r="C15" s="11" t="s">
        <v>67</v>
      </c>
      <c r="D15" s="11" t="s">
        <v>90</v>
      </c>
      <c r="E15" s="11">
        <v>1</v>
      </c>
      <c r="F15" s="12" t="s">
        <v>374</v>
      </c>
    </row>
    <row r="16" spans="1:6" x14ac:dyDescent="0.35">
      <c r="A16" s="10" t="s">
        <v>19</v>
      </c>
      <c r="B16" s="11" t="s">
        <v>43</v>
      </c>
      <c r="C16" s="11" t="s">
        <v>68</v>
      </c>
      <c r="D16" s="11" t="s">
        <v>91</v>
      </c>
      <c r="E16" s="11">
        <v>1</v>
      </c>
      <c r="F16" s="12" t="s">
        <v>374</v>
      </c>
    </row>
    <row r="17" spans="1:6" x14ac:dyDescent="0.35">
      <c r="A17" s="10" t="s">
        <v>20</v>
      </c>
      <c r="B17" s="11" t="s">
        <v>44</v>
      </c>
      <c r="C17" s="11" t="s">
        <v>69</v>
      </c>
      <c r="D17" s="11" t="s">
        <v>92</v>
      </c>
      <c r="E17" s="11">
        <v>1</v>
      </c>
      <c r="F17" s="12" t="s">
        <v>374</v>
      </c>
    </row>
    <row r="18" spans="1:6" ht="15" thickBot="1" x14ac:dyDescent="0.4">
      <c r="A18" s="13" t="s">
        <v>21</v>
      </c>
      <c r="B18" s="14" t="s">
        <v>45</v>
      </c>
      <c r="C18" s="14" t="s">
        <v>70</v>
      </c>
      <c r="D18" s="14" t="s">
        <v>93</v>
      </c>
      <c r="E18" s="14">
        <v>1</v>
      </c>
      <c r="F18" s="15" t="s">
        <v>374</v>
      </c>
    </row>
    <row r="19" spans="1:6" x14ac:dyDescent="0.35">
      <c r="A19" s="16" t="s">
        <v>22</v>
      </c>
      <c r="B19" s="17" t="s">
        <v>46</v>
      </c>
      <c r="C19" s="17" t="s">
        <v>71</v>
      </c>
      <c r="D19" s="17" t="s">
        <v>94</v>
      </c>
      <c r="E19" s="19">
        <v>1</v>
      </c>
      <c r="F19" s="20" t="s">
        <v>374</v>
      </c>
    </row>
    <row r="20" spans="1:6" x14ac:dyDescent="0.35">
      <c r="A20" s="124" t="s">
        <v>379</v>
      </c>
      <c r="B20" s="125" t="s">
        <v>380</v>
      </c>
      <c r="C20" s="125" t="s">
        <v>381</v>
      </c>
      <c r="D20" s="125" t="s">
        <v>382</v>
      </c>
      <c r="E20" s="128">
        <v>1</v>
      </c>
      <c r="F20" s="129" t="s">
        <v>374</v>
      </c>
    </row>
    <row r="21" spans="1:6" x14ac:dyDescent="0.35">
      <c r="A21" s="18" t="s">
        <v>23</v>
      </c>
      <c r="B21" s="19" t="s">
        <v>47</v>
      </c>
      <c r="C21" s="19" t="s">
        <v>72</v>
      </c>
      <c r="D21" s="19" t="s">
        <v>95</v>
      </c>
      <c r="E21" s="19">
        <v>1</v>
      </c>
      <c r="F21" s="123" t="s">
        <v>378</v>
      </c>
    </row>
    <row r="22" spans="1:6" x14ac:dyDescent="0.35">
      <c r="A22" s="18" t="s">
        <v>24</v>
      </c>
      <c r="B22" s="19" t="s">
        <v>48</v>
      </c>
      <c r="C22" s="19" t="s">
        <v>73</v>
      </c>
      <c r="D22" s="19" t="s">
        <v>96</v>
      </c>
      <c r="E22" s="19">
        <v>1</v>
      </c>
      <c r="F22" s="123" t="s">
        <v>378</v>
      </c>
    </row>
    <row r="23" spans="1:6" x14ac:dyDescent="0.35">
      <c r="A23" s="18" t="s">
        <v>25</v>
      </c>
      <c r="B23" s="19" t="s">
        <v>49</v>
      </c>
      <c r="C23" s="19" t="s">
        <v>74</v>
      </c>
      <c r="D23" s="19" t="s">
        <v>97</v>
      </c>
      <c r="E23" s="19">
        <v>1</v>
      </c>
      <c r="F23" s="123" t="s">
        <v>378</v>
      </c>
    </row>
    <row r="24" spans="1:6" x14ac:dyDescent="0.35">
      <c r="A24" s="18" t="s">
        <v>26</v>
      </c>
      <c r="B24" s="19" t="s">
        <v>50</v>
      </c>
      <c r="C24" s="19" t="s">
        <v>75</v>
      </c>
      <c r="D24" s="19" t="s">
        <v>98</v>
      </c>
      <c r="E24" s="19">
        <v>1</v>
      </c>
      <c r="F24" s="123" t="s">
        <v>378</v>
      </c>
    </row>
    <row r="25" spans="1:6" x14ac:dyDescent="0.35">
      <c r="A25" s="18" t="s">
        <v>27</v>
      </c>
      <c r="B25" s="19" t="s">
        <v>51</v>
      </c>
      <c r="C25" s="19" t="s">
        <v>76</v>
      </c>
      <c r="D25" s="19" t="s">
        <v>99</v>
      </c>
      <c r="E25" s="19">
        <v>1</v>
      </c>
      <c r="F25" s="123" t="s">
        <v>378</v>
      </c>
    </row>
    <row r="26" spans="1:6" x14ac:dyDescent="0.35">
      <c r="A26" s="18" t="s">
        <v>28</v>
      </c>
      <c r="B26" s="19" t="s">
        <v>52</v>
      </c>
      <c r="C26" s="19" t="s">
        <v>77</v>
      </c>
      <c r="D26" s="19" t="s">
        <v>100</v>
      </c>
      <c r="E26" s="19">
        <v>1</v>
      </c>
      <c r="F26" s="123" t="s">
        <v>378</v>
      </c>
    </row>
    <row r="27" spans="1:6" x14ac:dyDescent="0.35">
      <c r="A27" s="18" t="s">
        <v>387</v>
      </c>
      <c r="B27" s="19" t="s">
        <v>53</v>
      </c>
      <c r="C27" s="19" t="s">
        <v>388</v>
      </c>
      <c r="D27" s="19" t="s">
        <v>143</v>
      </c>
      <c r="E27" s="19">
        <v>1</v>
      </c>
      <c r="F27" s="123" t="s">
        <v>378</v>
      </c>
    </row>
    <row r="28" spans="1:6" x14ac:dyDescent="0.35">
      <c r="A28" s="141" t="s">
        <v>29</v>
      </c>
      <c r="B28" s="109" t="s">
        <v>54</v>
      </c>
      <c r="C28" s="109" t="s">
        <v>78</v>
      </c>
      <c r="D28" s="109" t="s">
        <v>101</v>
      </c>
      <c r="E28" s="109">
        <v>1</v>
      </c>
      <c r="F28" s="142" t="s">
        <v>378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zoomScale="115" zoomScaleNormal="115" workbookViewId="0"/>
  </sheetViews>
  <sheetFormatPr defaultRowHeight="14.5" x14ac:dyDescent="0.35"/>
  <cols>
    <col min="1" max="1" width="7.453125" bestFit="1" customWidth="1"/>
    <col min="2" max="2" width="14.26953125" bestFit="1" customWidth="1"/>
    <col min="3" max="3" width="11.1796875" bestFit="1" customWidth="1"/>
    <col min="4" max="4" width="9.90625" bestFit="1" customWidth="1"/>
    <col min="5" max="5" width="15" bestFit="1" customWidth="1"/>
    <col min="6" max="6" width="29.7265625" bestFit="1" customWidth="1"/>
    <col min="7" max="7" width="14.453125" bestFit="1" customWidth="1"/>
    <col min="8" max="8" width="37.6328125" bestFit="1" customWidth="1"/>
    <col min="9" max="9" width="12.81640625" bestFit="1" customWidth="1"/>
    <col min="10" max="10" width="10.7265625" bestFit="1" customWidth="1"/>
    <col min="11" max="11" width="171" bestFit="1" customWidth="1"/>
    <col min="12" max="12" width="33.81640625" bestFit="1" customWidth="1"/>
  </cols>
  <sheetData>
    <row r="1" spans="1:11" ht="15" thickBot="1" x14ac:dyDescent="0.4">
      <c r="A1" s="1" t="s">
        <v>102</v>
      </c>
      <c r="B1" s="2" t="s">
        <v>103</v>
      </c>
      <c r="C1" s="21" t="s">
        <v>104</v>
      </c>
      <c r="D1" s="22" t="s">
        <v>105</v>
      </c>
      <c r="E1" s="23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3" t="s">
        <v>5</v>
      </c>
      <c r="K1" s="132" t="s">
        <v>404</v>
      </c>
    </row>
    <row r="2" spans="1:11" x14ac:dyDescent="0.35">
      <c r="A2" s="24" t="s">
        <v>56</v>
      </c>
      <c r="B2" s="25" t="s">
        <v>107</v>
      </c>
      <c r="C2" s="26">
        <v>1</v>
      </c>
      <c r="D2" s="27" t="s">
        <v>373</v>
      </c>
      <c r="E2" s="28" t="s">
        <v>110</v>
      </c>
      <c r="F2" s="25" t="s">
        <v>134</v>
      </c>
      <c r="G2" s="149" t="s">
        <v>408</v>
      </c>
      <c r="H2" s="25" t="s">
        <v>134</v>
      </c>
      <c r="I2" s="25">
        <v>1</v>
      </c>
      <c r="J2" s="29" t="s">
        <v>373</v>
      </c>
    </row>
    <row r="3" spans="1:11" ht="15" thickBot="1" x14ac:dyDescent="0.4">
      <c r="A3" s="24" t="s">
        <v>56</v>
      </c>
      <c r="B3" s="25" t="s">
        <v>107</v>
      </c>
      <c r="C3" s="26">
        <v>1</v>
      </c>
      <c r="D3" s="27" t="s">
        <v>373</v>
      </c>
      <c r="E3" s="28" t="s">
        <v>111</v>
      </c>
      <c r="F3" s="25" t="s">
        <v>135</v>
      </c>
      <c r="G3" s="25" t="s">
        <v>106</v>
      </c>
      <c r="H3" s="25" t="s">
        <v>135</v>
      </c>
      <c r="I3" s="25">
        <v>1</v>
      </c>
      <c r="J3" s="29" t="s">
        <v>373</v>
      </c>
    </row>
    <row r="4" spans="1:11" x14ac:dyDescent="0.35">
      <c r="A4" s="150" t="s">
        <v>408</v>
      </c>
      <c r="B4" s="43" t="s">
        <v>108</v>
      </c>
      <c r="C4" s="44">
        <v>1</v>
      </c>
      <c r="D4" s="45" t="s">
        <v>373</v>
      </c>
      <c r="E4" s="46" t="s">
        <v>112</v>
      </c>
      <c r="F4" s="43" t="s">
        <v>80</v>
      </c>
      <c r="G4" s="43" t="s">
        <v>57</v>
      </c>
      <c r="H4" s="43" t="s">
        <v>144</v>
      </c>
      <c r="I4" s="113">
        <v>4.3399451081938354</v>
      </c>
      <c r="J4" s="47" t="s">
        <v>374</v>
      </c>
    </row>
    <row r="5" spans="1:11" x14ac:dyDescent="0.35">
      <c r="A5" s="151" t="s">
        <v>408</v>
      </c>
      <c r="B5" s="48" t="s">
        <v>108</v>
      </c>
      <c r="C5" s="49">
        <v>1</v>
      </c>
      <c r="D5" s="50" t="s">
        <v>373</v>
      </c>
      <c r="E5" s="51" t="s">
        <v>113</v>
      </c>
      <c r="F5" s="48" t="s">
        <v>136</v>
      </c>
      <c r="G5" s="48" t="s">
        <v>58</v>
      </c>
      <c r="H5" s="48" t="s">
        <v>145</v>
      </c>
      <c r="I5" s="114">
        <v>36.777975116741715</v>
      </c>
      <c r="J5" s="52" t="s">
        <v>374</v>
      </c>
    </row>
    <row r="6" spans="1:11" x14ac:dyDescent="0.35">
      <c r="A6" s="151" t="s">
        <v>408</v>
      </c>
      <c r="B6" s="48" t="s">
        <v>108</v>
      </c>
      <c r="C6" s="49">
        <v>1</v>
      </c>
      <c r="D6" s="50" t="s">
        <v>373</v>
      </c>
      <c r="E6" s="51" t="s">
        <v>114</v>
      </c>
      <c r="F6" s="48" t="s">
        <v>137</v>
      </c>
      <c r="G6" s="48" t="s">
        <v>59</v>
      </c>
      <c r="H6" s="48" t="s">
        <v>146</v>
      </c>
      <c r="I6" s="114">
        <v>0.36691896396083606</v>
      </c>
      <c r="J6" s="52" t="s">
        <v>374</v>
      </c>
    </row>
    <row r="7" spans="1:11" x14ac:dyDescent="0.35">
      <c r="A7" s="151" t="s">
        <v>408</v>
      </c>
      <c r="B7" s="48" t="s">
        <v>108</v>
      </c>
      <c r="C7" s="49">
        <v>1</v>
      </c>
      <c r="D7" s="50" t="s">
        <v>373</v>
      </c>
      <c r="E7" s="51" t="s">
        <v>115</v>
      </c>
      <c r="F7" s="48" t="s">
        <v>138</v>
      </c>
      <c r="G7" s="48" t="s">
        <v>60</v>
      </c>
      <c r="H7" s="48" t="s">
        <v>147</v>
      </c>
      <c r="I7" s="114">
        <v>0.21628913068977651</v>
      </c>
      <c r="J7" s="52" t="s">
        <v>374</v>
      </c>
    </row>
    <row r="8" spans="1:11" x14ac:dyDescent="0.35">
      <c r="A8" s="151" t="s">
        <v>408</v>
      </c>
      <c r="B8" s="48" t="s">
        <v>108</v>
      </c>
      <c r="C8" s="49">
        <v>1</v>
      </c>
      <c r="D8" s="50" t="s">
        <v>373</v>
      </c>
      <c r="E8" s="51" t="s">
        <v>116</v>
      </c>
      <c r="F8" s="48" t="s">
        <v>84</v>
      </c>
      <c r="G8" s="48" t="s">
        <v>61</v>
      </c>
      <c r="H8" s="48" t="s">
        <v>148</v>
      </c>
      <c r="I8" s="114">
        <v>78.063575490049388</v>
      </c>
      <c r="J8" s="52" t="s">
        <v>374</v>
      </c>
    </row>
    <row r="9" spans="1:11" x14ac:dyDescent="0.35">
      <c r="A9" s="151" t="s">
        <v>408</v>
      </c>
      <c r="B9" s="48" t="s">
        <v>108</v>
      </c>
      <c r="C9" s="49">
        <v>1</v>
      </c>
      <c r="D9" s="50" t="s">
        <v>373</v>
      </c>
      <c r="E9" s="51" t="s">
        <v>117</v>
      </c>
      <c r="F9" s="48" t="s">
        <v>85</v>
      </c>
      <c r="G9" s="48" t="s">
        <v>62</v>
      </c>
      <c r="H9" s="48" t="s">
        <v>149</v>
      </c>
      <c r="I9" s="114">
        <v>2.234824433513646</v>
      </c>
      <c r="J9" s="52" t="s">
        <v>374</v>
      </c>
    </row>
    <row r="10" spans="1:11" x14ac:dyDescent="0.35">
      <c r="A10" s="151" t="s">
        <v>408</v>
      </c>
      <c r="B10" s="48" t="s">
        <v>108</v>
      </c>
      <c r="C10" s="49">
        <v>1</v>
      </c>
      <c r="D10" s="50" t="s">
        <v>373</v>
      </c>
      <c r="E10" s="51" t="s">
        <v>118</v>
      </c>
      <c r="F10" s="48" t="s">
        <v>86</v>
      </c>
      <c r="G10" s="48" t="s">
        <v>63</v>
      </c>
      <c r="H10" s="48" t="s">
        <v>150</v>
      </c>
      <c r="I10" s="114">
        <v>14.73093301361226</v>
      </c>
      <c r="J10" s="52" t="s">
        <v>374</v>
      </c>
    </row>
    <row r="11" spans="1:11" x14ac:dyDescent="0.35">
      <c r="A11" s="115" t="s">
        <v>408</v>
      </c>
      <c r="B11" s="116" t="s">
        <v>108</v>
      </c>
      <c r="C11" s="117">
        <v>1</v>
      </c>
      <c r="D11" s="118" t="s">
        <v>373</v>
      </c>
      <c r="E11" s="119" t="s">
        <v>391</v>
      </c>
      <c r="F11" s="116" t="s">
        <v>375</v>
      </c>
      <c r="G11" s="116" t="s">
        <v>376</v>
      </c>
      <c r="H11" s="116" t="s">
        <v>377</v>
      </c>
      <c r="I11" s="153">
        <v>1.2324546517328507</v>
      </c>
      <c r="J11" s="120" t="s">
        <v>374</v>
      </c>
    </row>
    <row r="12" spans="1:11" x14ac:dyDescent="0.35">
      <c r="A12" s="151" t="s">
        <v>408</v>
      </c>
      <c r="B12" s="48" t="s">
        <v>108</v>
      </c>
      <c r="C12" s="49">
        <v>1</v>
      </c>
      <c r="D12" s="50" t="s">
        <v>373</v>
      </c>
      <c r="E12" s="51" t="s">
        <v>119</v>
      </c>
      <c r="F12" s="48" t="s">
        <v>87</v>
      </c>
      <c r="G12" s="48" t="s">
        <v>64</v>
      </c>
      <c r="H12" s="48" t="s">
        <v>151</v>
      </c>
      <c r="I12" s="153">
        <v>6.047940658034979</v>
      </c>
      <c r="J12" s="52" t="s">
        <v>374</v>
      </c>
    </row>
    <row r="13" spans="1:11" x14ac:dyDescent="0.35">
      <c r="A13" s="151" t="s">
        <v>408</v>
      </c>
      <c r="B13" s="48" t="s">
        <v>108</v>
      </c>
      <c r="C13" s="49">
        <v>1</v>
      </c>
      <c r="D13" s="50" t="s">
        <v>373</v>
      </c>
      <c r="E13" s="51" t="s">
        <v>120</v>
      </c>
      <c r="F13" s="48" t="s">
        <v>139</v>
      </c>
      <c r="G13" s="48" t="s">
        <v>65</v>
      </c>
      <c r="H13" s="48" t="s">
        <v>152</v>
      </c>
      <c r="I13" s="114">
        <v>0.56324422784393136</v>
      </c>
      <c r="J13" s="52" t="s">
        <v>374</v>
      </c>
    </row>
    <row r="14" spans="1:11" x14ac:dyDescent="0.35">
      <c r="A14" s="151" t="s">
        <v>408</v>
      </c>
      <c r="B14" s="48" t="s">
        <v>108</v>
      </c>
      <c r="C14" s="49">
        <v>1</v>
      </c>
      <c r="D14" s="50" t="s">
        <v>373</v>
      </c>
      <c r="E14" s="51" t="s">
        <v>121</v>
      </c>
      <c r="F14" s="48" t="s">
        <v>89</v>
      </c>
      <c r="G14" s="48" t="s">
        <v>66</v>
      </c>
      <c r="H14" s="48" t="s">
        <v>153</v>
      </c>
      <c r="I14" s="114">
        <v>0.75451915088664168</v>
      </c>
      <c r="J14" s="52" t="s">
        <v>374</v>
      </c>
    </row>
    <row r="15" spans="1:11" x14ac:dyDescent="0.35">
      <c r="A15" s="151" t="s">
        <v>408</v>
      </c>
      <c r="B15" s="48" t="s">
        <v>108</v>
      </c>
      <c r="C15" s="49">
        <v>1</v>
      </c>
      <c r="D15" s="50" t="s">
        <v>373</v>
      </c>
      <c r="E15" s="51" t="s">
        <v>122</v>
      </c>
      <c r="F15" s="48" t="s">
        <v>140</v>
      </c>
      <c r="G15" s="48" t="s">
        <v>67</v>
      </c>
      <c r="H15" s="48" t="s">
        <v>154</v>
      </c>
      <c r="I15" s="114">
        <v>7.2170067804382718</v>
      </c>
      <c r="J15" s="52" t="s">
        <v>374</v>
      </c>
    </row>
    <row r="16" spans="1:11" x14ac:dyDescent="0.35">
      <c r="A16" s="151" t="s">
        <v>408</v>
      </c>
      <c r="B16" s="48" t="s">
        <v>108</v>
      </c>
      <c r="C16" s="49">
        <v>1</v>
      </c>
      <c r="D16" s="50" t="s">
        <v>373</v>
      </c>
      <c r="E16" s="51" t="s">
        <v>123</v>
      </c>
      <c r="F16" s="48" t="s">
        <v>141</v>
      </c>
      <c r="G16" s="48" t="s">
        <v>68</v>
      </c>
      <c r="H16" s="48" t="s">
        <v>155</v>
      </c>
      <c r="I16" s="114">
        <v>4.7410408126434112</v>
      </c>
      <c r="J16" s="52" t="s">
        <v>374</v>
      </c>
    </row>
    <row r="17" spans="1:11" x14ac:dyDescent="0.35">
      <c r="A17" s="151" t="s">
        <v>408</v>
      </c>
      <c r="B17" s="48" t="s">
        <v>108</v>
      </c>
      <c r="C17" s="49">
        <v>1</v>
      </c>
      <c r="D17" s="50" t="s">
        <v>373</v>
      </c>
      <c r="E17" s="51" t="s">
        <v>124</v>
      </c>
      <c r="F17" s="48" t="s">
        <v>142</v>
      </c>
      <c r="G17" s="48" t="s">
        <v>69</v>
      </c>
      <c r="H17" s="48" t="s">
        <v>156</v>
      </c>
      <c r="I17" s="114">
        <v>20.08933933933934</v>
      </c>
      <c r="J17" s="52" t="s">
        <v>374</v>
      </c>
    </row>
    <row r="18" spans="1:11" ht="15" thickBot="1" x14ac:dyDescent="0.4">
      <c r="A18" s="152" t="s">
        <v>408</v>
      </c>
      <c r="B18" s="134" t="s">
        <v>108</v>
      </c>
      <c r="C18" s="135">
        <v>1</v>
      </c>
      <c r="D18" s="136" t="s">
        <v>373</v>
      </c>
      <c r="E18" s="137" t="s">
        <v>125</v>
      </c>
      <c r="F18" s="134" t="s">
        <v>93</v>
      </c>
      <c r="G18" s="134" t="s">
        <v>70</v>
      </c>
      <c r="H18" s="134" t="s">
        <v>157</v>
      </c>
      <c r="I18" s="154">
        <v>71.313941598573763</v>
      </c>
      <c r="J18" s="138" t="s">
        <v>374</v>
      </c>
    </row>
    <row r="19" spans="1:11" x14ac:dyDescent="0.35">
      <c r="A19" s="30" t="s">
        <v>106</v>
      </c>
      <c r="B19" s="31" t="s">
        <v>109</v>
      </c>
      <c r="C19" s="32">
        <v>1</v>
      </c>
      <c r="D19" s="33" t="s">
        <v>373</v>
      </c>
      <c r="E19" s="34" t="s">
        <v>126</v>
      </c>
      <c r="F19" s="31" t="s">
        <v>94</v>
      </c>
      <c r="G19" s="31" t="s">
        <v>71</v>
      </c>
      <c r="H19" s="31" t="s">
        <v>158</v>
      </c>
      <c r="I19" s="139">
        <v>1.0678077547539351</v>
      </c>
      <c r="J19" s="35" t="s">
        <v>378</v>
      </c>
      <c r="K19" s="133" t="s">
        <v>405</v>
      </c>
    </row>
    <row r="20" spans="1:11" x14ac:dyDescent="0.35">
      <c r="A20" s="175" t="s">
        <v>106</v>
      </c>
      <c r="B20" s="169" t="s">
        <v>109</v>
      </c>
      <c r="C20" s="170">
        <v>1</v>
      </c>
      <c r="D20" s="171" t="s">
        <v>373</v>
      </c>
      <c r="E20" s="176" t="s">
        <v>442</v>
      </c>
      <c r="F20" s="169" t="s">
        <v>444</v>
      </c>
      <c r="G20" s="177" t="s">
        <v>409</v>
      </c>
      <c r="H20" s="169" t="s">
        <v>446</v>
      </c>
      <c r="I20" s="172">
        <v>1.0678077547539351</v>
      </c>
      <c r="J20" s="173" t="s">
        <v>378</v>
      </c>
      <c r="K20" s="174"/>
    </row>
    <row r="21" spans="1:11" x14ac:dyDescent="0.35">
      <c r="A21" s="175" t="s">
        <v>106</v>
      </c>
      <c r="B21" s="169" t="s">
        <v>109</v>
      </c>
      <c r="C21" s="170">
        <v>1</v>
      </c>
      <c r="D21" s="171" t="s">
        <v>373</v>
      </c>
      <c r="E21" s="176" t="s">
        <v>443</v>
      </c>
      <c r="F21" s="169" t="s">
        <v>445</v>
      </c>
      <c r="G21" s="177" t="s">
        <v>411</v>
      </c>
      <c r="H21" s="169" t="s">
        <v>447</v>
      </c>
      <c r="I21" s="172">
        <v>1.0678077547539351</v>
      </c>
      <c r="J21" s="173" t="s">
        <v>378</v>
      </c>
      <c r="K21" s="174"/>
    </row>
    <row r="22" spans="1:11" ht="15" thickBot="1" x14ac:dyDescent="0.4">
      <c r="A22" s="115" t="s">
        <v>106</v>
      </c>
      <c r="B22" s="116" t="s">
        <v>109</v>
      </c>
      <c r="C22" s="117">
        <v>1</v>
      </c>
      <c r="D22" s="118" t="s">
        <v>373</v>
      </c>
      <c r="E22" s="119" t="s">
        <v>384</v>
      </c>
      <c r="F22" s="116" t="s">
        <v>382</v>
      </c>
      <c r="G22" s="116" t="s">
        <v>381</v>
      </c>
      <c r="H22" s="116" t="s">
        <v>383</v>
      </c>
      <c r="I22" s="121">
        <v>1.0678077547539351</v>
      </c>
      <c r="J22" s="40" t="s">
        <v>378</v>
      </c>
    </row>
    <row r="23" spans="1:11" x14ac:dyDescent="0.35">
      <c r="A23" s="163" t="s">
        <v>106</v>
      </c>
      <c r="B23" s="166" t="s">
        <v>109</v>
      </c>
      <c r="C23" s="182">
        <v>1</v>
      </c>
      <c r="D23" s="183" t="s">
        <v>373</v>
      </c>
      <c r="E23" s="184" t="s">
        <v>479</v>
      </c>
      <c r="F23" s="166" t="s">
        <v>475</v>
      </c>
      <c r="G23" s="166" t="s">
        <v>459</v>
      </c>
      <c r="H23" s="166" t="s">
        <v>471</v>
      </c>
      <c r="I23" s="179">
        <v>1.0678077547539351</v>
      </c>
      <c r="J23" s="185" t="s">
        <v>378</v>
      </c>
    </row>
    <row r="24" spans="1:11" x14ac:dyDescent="0.35">
      <c r="A24" s="175" t="s">
        <v>106</v>
      </c>
      <c r="B24" s="177" t="s">
        <v>109</v>
      </c>
      <c r="C24" s="186">
        <v>1</v>
      </c>
      <c r="D24" s="187" t="s">
        <v>373</v>
      </c>
      <c r="E24" s="176" t="s">
        <v>480</v>
      </c>
      <c r="F24" s="177" t="s">
        <v>476</v>
      </c>
      <c r="G24" s="177" t="s">
        <v>460</v>
      </c>
      <c r="H24" s="177" t="s">
        <v>472</v>
      </c>
      <c r="I24" s="180">
        <v>1.0678077547539351</v>
      </c>
      <c r="J24" s="188" t="s">
        <v>378</v>
      </c>
    </row>
    <row r="25" spans="1:11" x14ac:dyDescent="0.35">
      <c r="A25" s="175" t="s">
        <v>106</v>
      </c>
      <c r="B25" s="177" t="s">
        <v>109</v>
      </c>
      <c r="C25" s="186">
        <v>1</v>
      </c>
      <c r="D25" s="187" t="s">
        <v>373</v>
      </c>
      <c r="E25" s="176" t="s">
        <v>481</v>
      </c>
      <c r="F25" s="177" t="s">
        <v>477</v>
      </c>
      <c r="G25" s="177" t="s">
        <v>461</v>
      </c>
      <c r="H25" s="177" t="s">
        <v>473</v>
      </c>
      <c r="I25" s="180">
        <v>1.0678077547539351</v>
      </c>
      <c r="J25" s="188" t="s">
        <v>378</v>
      </c>
    </row>
    <row r="26" spans="1:11" x14ac:dyDescent="0.35">
      <c r="A26" s="164" t="s">
        <v>106</v>
      </c>
      <c r="B26" s="167" t="s">
        <v>109</v>
      </c>
      <c r="C26" s="189">
        <v>1</v>
      </c>
      <c r="D26" s="190" t="s">
        <v>373</v>
      </c>
      <c r="E26" s="191" t="s">
        <v>482</v>
      </c>
      <c r="F26" s="167" t="s">
        <v>478</v>
      </c>
      <c r="G26" s="167" t="s">
        <v>462</v>
      </c>
      <c r="H26" s="167" t="s">
        <v>474</v>
      </c>
      <c r="I26" s="181">
        <v>1.0678077547539351</v>
      </c>
      <c r="J26" s="192" t="s">
        <v>378</v>
      </c>
    </row>
    <row r="27" spans="1:11" x14ac:dyDescent="0.35">
      <c r="A27" s="36" t="s">
        <v>106</v>
      </c>
      <c r="B27" s="37" t="s">
        <v>109</v>
      </c>
      <c r="C27" s="38">
        <v>1</v>
      </c>
      <c r="D27" s="140" t="s">
        <v>373</v>
      </c>
      <c r="E27" s="39" t="s">
        <v>127</v>
      </c>
      <c r="F27" s="37" t="s">
        <v>95</v>
      </c>
      <c r="G27" s="37" t="s">
        <v>72</v>
      </c>
      <c r="H27" s="37" t="s">
        <v>159</v>
      </c>
      <c r="I27" s="130">
        <v>1.0678077547539351</v>
      </c>
      <c r="J27" s="40" t="s">
        <v>378</v>
      </c>
    </row>
    <row r="28" spans="1:11" x14ac:dyDescent="0.35">
      <c r="A28" s="36" t="s">
        <v>106</v>
      </c>
      <c r="B28" s="37" t="s">
        <v>109</v>
      </c>
      <c r="C28" s="38">
        <v>1</v>
      </c>
      <c r="D28" s="140" t="s">
        <v>373</v>
      </c>
      <c r="E28" s="39" t="s">
        <v>128</v>
      </c>
      <c r="F28" s="37" t="s">
        <v>96</v>
      </c>
      <c r="G28" s="37" t="s">
        <v>73</v>
      </c>
      <c r="H28" s="37" t="s">
        <v>160</v>
      </c>
      <c r="I28" s="130">
        <f>1.06780775475394*0.01</f>
        <v>1.06780775475394E-2</v>
      </c>
      <c r="J28" s="40" t="s">
        <v>378</v>
      </c>
    </row>
    <row r="29" spans="1:11" x14ac:dyDescent="0.35">
      <c r="A29" s="36" t="s">
        <v>106</v>
      </c>
      <c r="B29" s="37" t="s">
        <v>109</v>
      </c>
      <c r="C29" s="38">
        <v>1</v>
      </c>
      <c r="D29" s="140" t="s">
        <v>373</v>
      </c>
      <c r="E29" s="39" t="s">
        <v>129</v>
      </c>
      <c r="F29" s="37" t="s">
        <v>97</v>
      </c>
      <c r="G29" s="37" t="s">
        <v>74</v>
      </c>
      <c r="H29" s="37" t="s">
        <v>161</v>
      </c>
      <c r="I29" s="130">
        <f>1.06780775475394*0.01</f>
        <v>1.06780775475394E-2</v>
      </c>
      <c r="J29" s="40" t="s">
        <v>378</v>
      </c>
    </row>
    <row r="30" spans="1:11" x14ac:dyDescent="0.35">
      <c r="A30" s="36" t="s">
        <v>106</v>
      </c>
      <c r="B30" s="37" t="s">
        <v>109</v>
      </c>
      <c r="C30" s="38">
        <v>1</v>
      </c>
      <c r="D30" s="140" t="s">
        <v>373</v>
      </c>
      <c r="E30" s="39" t="s">
        <v>130</v>
      </c>
      <c r="F30" s="37" t="s">
        <v>98</v>
      </c>
      <c r="G30" s="37" t="s">
        <v>75</v>
      </c>
      <c r="H30" s="37" t="s">
        <v>162</v>
      </c>
      <c r="I30" s="130">
        <f>1.06780775475394*0.1</f>
        <v>0.106780775475394</v>
      </c>
      <c r="J30" s="40" t="s">
        <v>378</v>
      </c>
    </row>
    <row r="31" spans="1:11" x14ac:dyDescent="0.35">
      <c r="A31" s="36" t="s">
        <v>106</v>
      </c>
      <c r="B31" s="37" t="s">
        <v>109</v>
      </c>
      <c r="C31" s="38">
        <v>1</v>
      </c>
      <c r="D31" s="140" t="s">
        <v>373</v>
      </c>
      <c r="E31" s="39" t="s">
        <v>131</v>
      </c>
      <c r="F31" s="37" t="s">
        <v>99</v>
      </c>
      <c r="G31" s="37" t="s">
        <v>76</v>
      </c>
      <c r="H31" s="37" t="s">
        <v>163</v>
      </c>
      <c r="I31" s="130">
        <f>1.06780775475394*0.5</f>
        <v>0.53390387737696998</v>
      </c>
      <c r="J31" s="40" t="s">
        <v>378</v>
      </c>
    </row>
    <row r="32" spans="1:11" x14ac:dyDescent="0.35">
      <c r="A32" s="36" t="s">
        <v>106</v>
      </c>
      <c r="B32" s="37" t="s">
        <v>109</v>
      </c>
      <c r="C32" s="38">
        <v>1</v>
      </c>
      <c r="D32" s="140" t="s">
        <v>373</v>
      </c>
      <c r="E32" s="39" t="s">
        <v>132</v>
      </c>
      <c r="F32" s="37" t="s">
        <v>100</v>
      </c>
      <c r="G32" s="37" t="s">
        <v>77</v>
      </c>
      <c r="H32" s="37" t="s">
        <v>164</v>
      </c>
      <c r="I32" s="130">
        <f>1.06780775475394*0.1</f>
        <v>0.106780775475394</v>
      </c>
      <c r="J32" s="40" t="s">
        <v>378</v>
      </c>
    </row>
    <row r="33" spans="1:10" x14ac:dyDescent="0.35">
      <c r="A33" s="36" t="s">
        <v>106</v>
      </c>
      <c r="B33" s="37" t="s">
        <v>109</v>
      </c>
      <c r="C33" s="38">
        <v>1</v>
      </c>
      <c r="D33" s="140" t="s">
        <v>373</v>
      </c>
      <c r="E33" s="119" t="s">
        <v>389</v>
      </c>
      <c r="F33" s="37" t="s">
        <v>143</v>
      </c>
      <c r="G33" s="37" t="s">
        <v>388</v>
      </c>
      <c r="H33" s="37" t="s">
        <v>390</v>
      </c>
      <c r="I33" s="130">
        <f>1.06780775475394*0.01</f>
        <v>1.06780775475394E-2</v>
      </c>
      <c r="J33" s="40" t="s">
        <v>378</v>
      </c>
    </row>
    <row r="34" spans="1:10" ht="15" thickBot="1" x14ac:dyDescent="0.4">
      <c r="A34" s="143" t="s">
        <v>106</v>
      </c>
      <c r="B34" s="144" t="s">
        <v>109</v>
      </c>
      <c r="C34" s="145">
        <v>1</v>
      </c>
      <c r="D34" s="155" t="s">
        <v>373</v>
      </c>
      <c r="E34" s="146" t="s">
        <v>133</v>
      </c>
      <c r="F34" s="144" t="s">
        <v>101</v>
      </c>
      <c r="G34" s="144" t="s">
        <v>78</v>
      </c>
      <c r="H34" s="144" t="s">
        <v>165</v>
      </c>
      <c r="I34" s="156">
        <f>1.06780775475394*0.01</f>
        <v>1.06780775475394E-2</v>
      </c>
      <c r="J34" s="147" t="s">
        <v>378</v>
      </c>
    </row>
    <row r="35" spans="1:10" x14ac:dyDescent="0.35">
      <c r="A35" s="163" t="s">
        <v>106</v>
      </c>
      <c r="B35" s="31" t="s">
        <v>109</v>
      </c>
      <c r="C35" s="31">
        <v>1</v>
      </c>
      <c r="D35" s="158" t="s">
        <v>373</v>
      </c>
      <c r="E35" s="166" t="s">
        <v>436</v>
      </c>
      <c r="F35" s="31" t="s">
        <v>448</v>
      </c>
      <c r="G35" s="166" t="s">
        <v>414</v>
      </c>
      <c r="H35" s="31" t="s">
        <v>439</v>
      </c>
      <c r="I35" s="159">
        <f t="shared" ref="I35:I37" si="0">1.06780775475394*0.01</f>
        <v>1.06780775475394E-2</v>
      </c>
      <c r="J35" s="35" t="s">
        <v>378</v>
      </c>
    </row>
    <row r="36" spans="1:10" x14ac:dyDescent="0.35">
      <c r="A36" s="164" t="s">
        <v>106</v>
      </c>
      <c r="B36" s="37" t="s">
        <v>109</v>
      </c>
      <c r="C36" s="37">
        <v>1</v>
      </c>
      <c r="D36" s="157" t="s">
        <v>373</v>
      </c>
      <c r="E36" s="167" t="s">
        <v>437</v>
      </c>
      <c r="F36" s="37" t="s">
        <v>449</v>
      </c>
      <c r="G36" s="167" t="s">
        <v>415</v>
      </c>
      <c r="H36" s="37" t="s">
        <v>440</v>
      </c>
      <c r="I36" s="130">
        <f t="shared" si="0"/>
        <v>1.06780775475394E-2</v>
      </c>
      <c r="J36" s="40" t="s">
        <v>378</v>
      </c>
    </row>
    <row r="37" spans="1:10" ht="15" thickBot="1" x14ac:dyDescent="0.4">
      <c r="A37" s="165" t="s">
        <v>106</v>
      </c>
      <c r="B37" s="41" t="s">
        <v>109</v>
      </c>
      <c r="C37" s="41">
        <v>1</v>
      </c>
      <c r="D37" s="160" t="s">
        <v>373</v>
      </c>
      <c r="E37" s="168" t="s">
        <v>438</v>
      </c>
      <c r="F37" s="41" t="s">
        <v>450</v>
      </c>
      <c r="G37" s="168" t="s">
        <v>416</v>
      </c>
      <c r="H37" s="41" t="s">
        <v>441</v>
      </c>
      <c r="I37" s="131">
        <f t="shared" si="0"/>
        <v>1.06780775475394E-2</v>
      </c>
      <c r="J37" s="42" t="s">
        <v>378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1"/>
  <sheetViews>
    <sheetView workbookViewId="0"/>
  </sheetViews>
  <sheetFormatPr defaultRowHeight="14.5" x14ac:dyDescent="0.35"/>
  <cols>
    <col min="1" max="1" width="14.453125" bestFit="1" customWidth="1"/>
    <col min="2" max="2" width="11.26953125" bestFit="1" customWidth="1"/>
    <col min="3" max="3" width="1.90625" bestFit="1" customWidth="1"/>
    <col min="4" max="4" width="9.08984375" bestFit="1" customWidth="1"/>
    <col min="5" max="5" width="17.453125" bestFit="1" customWidth="1"/>
    <col min="6" max="6" width="50" bestFit="1" customWidth="1"/>
    <col min="7" max="7" width="17.453125" bestFit="1" customWidth="1"/>
    <col min="8" max="8" width="47" bestFit="1" customWidth="1"/>
    <col min="9" max="9" width="1.90625" bestFit="1" customWidth="1"/>
    <col min="10" max="10" width="9.08984375" bestFit="1" customWidth="1"/>
  </cols>
  <sheetData>
    <row r="1" spans="1:10" ht="15" thickBot="1" x14ac:dyDescent="0.4">
      <c r="A1" s="1" t="s">
        <v>102</v>
      </c>
      <c r="B1" s="2" t="s">
        <v>103</v>
      </c>
      <c r="C1" s="2" t="s">
        <v>104</v>
      </c>
      <c r="D1" s="2" t="s">
        <v>105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3" t="s">
        <v>5</v>
      </c>
    </row>
    <row r="2" spans="1:10" ht="15" thickBot="1" x14ac:dyDescent="0.4">
      <c r="A2" s="75" t="s">
        <v>55</v>
      </c>
      <c r="B2" s="76"/>
      <c r="C2" s="76">
        <v>1</v>
      </c>
      <c r="D2" s="76" t="s">
        <v>374</v>
      </c>
      <c r="E2" s="76" t="s">
        <v>166</v>
      </c>
      <c r="F2" s="76" t="s">
        <v>213</v>
      </c>
      <c r="G2" s="76" t="s">
        <v>259</v>
      </c>
      <c r="H2" s="76" t="s">
        <v>306</v>
      </c>
      <c r="I2" s="76">
        <v>1</v>
      </c>
      <c r="J2" s="77" t="s">
        <v>374</v>
      </c>
    </row>
    <row r="3" spans="1:10" x14ac:dyDescent="0.35">
      <c r="A3" s="78" t="s">
        <v>57</v>
      </c>
      <c r="B3" s="79"/>
      <c r="C3" s="79">
        <v>1</v>
      </c>
      <c r="D3" s="79" t="s">
        <v>374</v>
      </c>
      <c r="E3" s="79" t="s">
        <v>167</v>
      </c>
      <c r="F3" s="79" t="s">
        <v>214</v>
      </c>
      <c r="G3" s="79" t="s">
        <v>260</v>
      </c>
      <c r="H3" s="79" t="s">
        <v>307</v>
      </c>
      <c r="I3" s="79">
        <v>1</v>
      </c>
      <c r="J3" s="80" t="s">
        <v>374</v>
      </c>
    </row>
    <row r="4" spans="1:10" x14ac:dyDescent="0.35">
      <c r="A4" s="81" t="s">
        <v>58</v>
      </c>
      <c r="B4" s="82"/>
      <c r="C4" s="82">
        <v>1</v>
      </c>
      <c r="D4" s="82" t="s">
        <v>374</v>
      </c>
      <c r="E4" s="82" t="s">
        <v>168</v>
      </c>
      <c r="F4" s="82" t="s">
        <v>215</v>
      </c>
      <c r="G4" s="82" t="s">
        <v>261</v>
      </c>
      <c r="H4" s="82" t="s">
        <v>308</v>
      </c>
      <c r="I4" s="82">
        <v>1</v>
      </c>
      <c r="J4" s="83" t="s">
        <v>374</v>
      </c>
    </row>
    <row r="5" spans="1:10" x14ac:dyDescent="0.35">
      <c r="A5" s="81" t="s">
        <v>59</v>
      </c>
      <c r="B5" s="82"/>
      <c r="C5" s="82">
        <v>1</v>
      </c>
      <c r="D5" s="82" t="s">
        <v>374</v>
      </c>
      <c r="E5" s="82" t="s">
        <v>169</v>
      </c>
      <c r="F5" s="82" t="s">
        <v>216</v>
      </c>
      <c r="G5" s="82" t="s">
        <v>262</v>
      </c>
      <c r="H5" s="82" t="s">
        <v>309</v>
      </c>
      <c r="I5" s="82">
        <v>1</v>
      </c>
      <c r="J5" s="83" t="s">
        <v>374</v>
      </c>
    </row>
    <row r="6" spans="1:10" x14ac:dyDescent="0.35">
      <c r="A6" s="81" t="s">
        <v>60</v>
      </c>
      <c r="B6" s="82"/>
      <c r="C6" s="82">
        <v>1</v>
      </c>
      <c r="D6" s="82" t="s">
        <v>374</v>
      </c>
      <c r="E6" s="82" t="s">
        <v>170</v>
      </c>
      <c r="F6" s="82" t="s">
        <v>217</v>
      </c>
      <c r="G6" s="82" t="s">
        <v>263</v>
      </c>
      <c r="H6" s="82" t="s">
        <v>310</v>
      </c>
      <c r="I6" s="82">
        <v>1</v>
      </c>
      <c r="J6" s="83" t="s">
        <v>374</v>
      </c>
    </row>
    <row r="7" spans="1:10" x14ac:dyDescent="0.35">
      <c r="A7" s="81" t="s">
        <v>61</v>
      </c>
      <c r="B7" s="82"/>
      <c r="C7" s="82">
        <v>1</v>
      </c>
      <c r="D7" s="82" t="s">
        <v>374</v>
      </c>
      <c r="E7" s="82" t="s">
        <v>171</v>
      </c>
      <c r="F7" s="82" t="s">
        <v>218</v>
      </c>
      <c r="G7" s="82" t="s">
        <v>264</v>
      </c>
      <c r="H7" s="82" t="s">
        <v>311</v>
      </c>
      <c r="I7" s="82">
        <v>1</v>
      </c>
      <c r="J7" s="83" t="s">
        <v>374</v>
      </c>
    </row>
    <row r="8" spans="1:10" x14ac:dyDescent="0.35">
      <c r="A8" s="81" t="s">
        <v>62</v>
      </c>
      <c r="B8" s="82"/>
      <c r="C8" s="82">
        <v>1</v>
      </c>
      <c r="D8" s="82" t="s">
        <v>374</v>
      </c>
      <c r="E8" s="82" t="s">
        <v>172</v>
      </c>
      <c r="F8" s="82" t="s">
        <v>219</v>
      </c>
      <c r="G8" s="82" t="s">
        <v>265</v>
      </c>
      <c r="H8" s="82" t="s">
        <v>312</v>
      </c>
      <c r="I8" s="82">
        <v>1</v>
      </c>
      <c r="J8" s="83" t="s">
        <v>374</v>
      </c>
    </row>
    <row r="9" spans="1:10" x14ac:dyDescent="0.35">
      <c r="A9" s="81" t="s">
        <v>63</v>
      </c>
      <c r="B9" s="82"/>
      <c r="C9" s="82">
        <v>1</v>
      </c>
      <c r="D9" s="82" t="s">
        <v>374</v>
      </c>
      <c r="E9" s="82" t="s">
        <v>173</v>
      </c>
      <c r="F9" s="82" t="s">
        <v>220</v>
      </c>
      <c r="G9" s="82" t="s">
        <v>266</v>
      </c>
      <c r="H9" s="82" t="s">
        <v>313</v>
      </c>
      <c r="I9" s="82">
        <v>1</v>
      </c>
      <c r="J9" s="83" t="s">
        <v>374</v>
      </c>
    </row>
    <row r="10" spans="1:10" x14ac:dyDescent="0.35">
      <c r="A10" s="127" t="s">
        <v>376</v>
      </c>
      <c r="B10" s="128"/>
      <c r="C10" s="128">
        <v>1</v>
      </c>
      <c r="D10" s="128" t="s">
        <v>374</v>
      </c>
      <c r="E10" s="128" t="s">
        <v>400</v>
      </c>
      <c r="F10" s="128" t="s">
        <v>403</v>
      </c>
      <c r="G10" s="128" t="s">
        <v>401</v>
      </c>
      <c r="H10" s="128" t="s">
        <v>402</v>
      </c>
      <c r="I10" s="128">
        <v>1</v>
      </c>
      <c r="J10" s="129" t="s">
        <v>374</v>
      </c>
    </row>
    <row r="11" spans="1:10" x14ac:dyDescent="0.35">
      <c r="A11" s="81" t="s">
        <v>64</v>
      </c>
      <c r="B11" s="82"/>
      <c r="C11" s="82">
        <v>1</v>
      </c>
      <c r="D11" s="82" t="s">
        <v>374</v>
      </c>
      <c r="E11" s="82" t="s">
        <v>174</v>
      </c>
      <c r="F11" s="82" t="s">
        <v>221</v>
      </c>
      <c r="G11" s="82" t="s">
        <v>267</v>
      </c>
      <c r="H11" s="82" t="s">
        <v>314</v>
      </c>
      <c r="I11" s="82">
        <v>1</v>
      </c>
      <c r="J11" s="83" t="s">
        <v>374</v>
      </c>
    </row>
    <row r="12" spans="1:10" x14ac:dyDescent="0.35">
      <c r="A12" s="81" t="s">
        <v>65</v>
      </c>
      <c r="B12" s="82"/>
      <c r="C12" s="82">
        <v>1</v>
      </c>
      <c r="D12" s="82" t="s">
        <v>374</v>
      </c>
      <c r="E12" s="82" t="s">
        <v>175</v>
      </c>
      <c r="F12" s="82" t="s">
        <v>222</v>
      </c>
      <c r="G12" s="82" t="s">
        <v>268</v>
      </c>
      <c r="H12" s="82" t="s">
        <v>315</v>
      </c>
      <c r="I12" s="82">
        <v>1</v>
      </c>
      <c r="J12" s="83" t="s">
        <v>374</v>
      </c>
    </row>
    <row r="13" spans="1:10" x14ac:dyDescent="0.35">
      <c r="A13" s="81" t="s">
        <v>66</v>
      </c>
      <c r="B13" s="82"/>
      <c r="C13" s="82">
        <v>1</v>
      </c>
      <c r="D13" s="82" t="s">
        <v>374</v>
      </c>
      <c r="E13" s="82" t="s">
        <v>176</v>
      </c>
      <c r="F13" s="82" t="s">
        <v>223</v>
      </c>
      <c r="G13" s="82" t="s">
        <v>269</v>
      </c>
      <c r="H13" s="82" t="s">
        <v>316</v>
      </c>
      <c r="I13" s="82">
        <v>1</v>
      </c>
      <c r="J13" s="83" t="s">
        <v>374</v>
      </c>
    </row>
    <row r="14" spans="1:10" x14ac:dyDescent="0.35">
      <c r="A14" s="81" t="s">
        <v>67</v>
      </c>
      <c r="B14" s="82"/>
      <c r="C14" s="82">
        <v>1</v>
      </c>
      <c r="D14" s="82" t="s">
        <v>374</v>
      </c>
      <c r="E14" s="82" t="s">
        <v>177</v>
      </c>
      <c r="F14" s="82" t="s">
        <v>224</v>
      </c>
      <c r="G14" s="82" t="s">
        <v>270</v>
      </c>
      <c r="H14" s="82" t="s">
        <v>317</v>
      </c>
      <c r="I14" s="82">
        <v>1</v>
      </c>
      <c r="J14" s="83" t="s">
        <v>374</v>
      </c>
    </row>
    <row r="15" spans="1:10" x14ac:dyDescent="0.35">
      <c r="A15" s="81" t="s">
        <v>68</v>
      </c>
      <c r="B15" s="82"/>
      <c r="C15" s="82">
        <v>1</v>
      </c>
      <c r="D15" s="82" t="s">
        <v>374</v>
      </c>
      <c r="E15" s="82" t="s">
        <v>178</v>
      </c>
      <c r="F15" s="82" t="s">
        <v>225</v>
      </c>
      <c r="G15" s="82" t="s">
        <v>271</v>
      </c>
      <c r="H15" s="82" t="s">
        <v>318</v>
      </c>
      <c r="I15" s="82">
        <v>1</v>
      </c>
      <c r="J15" s="83" t="s">
        <v>374</v>
      </c>
    </row>
    <row r="16" spans="1:10" x14ac:dyDescent="0.35">
      <c r="A16" s="81" t="s">
        <v>69</v>
      </c>
      <c r="B16" s="82"/>
      <c r="C16" s="82">
        <v>1</v>
      </c>
      <c r="D16" s="82" t="s">
        <v>374</v>
      </c>
      <c r="E16" s="82" t="s">
        <v>179</v>
      </c>
      <c r="F16" s="82" t="s">
        <v>226</v>
      </c>
      <c r="G16" s="82" t="s">
        <v>272</v>
      </c>
      <c r="H16" s="82" t="s">
        <v>319</v>
      </c>
      <c r="I16" s="82">
        <v>1</v>
      </c>
      <c r="J16" s="83" t="s">
        <v>374</v>
      </c>
    </row>
    <row r="17" spans="1:10" ht="15" thickBot="1" x14ac:dyDescent="0.4">
      <c r="A17" s="84" t="s">
        <v>70</v>
      </c>
      <c r="B17" s="85"/>
      <c r="C17" s="85">
        <v>1</v>
      </c>
      <c r="D17" s="85" t="s">
        <v>374</v>
      </c>
      <c r="E17" s="85" t="s">
        <v>180</v>
      </c>
      <c r="F17" s="85" t="s">
        <v>227</v>
      </c>
      <c r="G17" s="85" t="s">
        <v>273</v>
      </c>
      <c r="H17" s="85" t="s">
        <v>320</v>
      </c>
      <c r="I17" s="85">
        <v>1</v>
      </c>
      <c r="J17" s="86" t="s">
        <v>374</v>
      </c>
    </row>
    <row r="18" spans="1:10" x14ac:dyDescent="0.35">
      <c r="A18" s="87" t="s">
        <v>71</v>
      </c>
      <c r="B18" s="88"/>
      <c r="C18" s="88">
        <v>1</v>
      </c>
      <c r="D18" s="103" t="s">
        <v>378</v>
      </c>
      <c r="E18" s="88" t="s">
        <v>181</v>
      </c>
      <c r="F18" s="88" t="s">
        <v>413</v>
      </c>
      <c r="G18" s="88" t="s">
        <v>274</v>
      </c>
      <c r="H18" s="88" t="s">
        <v>430</v>
      </c>
      <c r="I18" s="122">
        <v>1</v>
      </c>
      <c r="J18" s="104" t="s">
        <v>378</v>
      </c>
    </row>
    <row r="19" spans="1:10" x14ac:dyDescent="0.35">
      <c r="A19" s="161" t="s">
        <v>409</v>
      </c>
      <c r="B19" s="88"/>
      <c r="C19" s="88">
        <v>1</v>
      </c>
      <c r="D19" s="103" t="s">
        <v>378</v>
      </c>
      <c r="E19" s="162" t="s">
        <v>434</v>
      </c>
      <c r="F19" s="88" t="s">
        <v>410</v>
      </c>
      <c r="G19" s="162" t="s">
        <v>432</v>
      </c>
      <c r="H19" s="88" t="s">
        <v>429</v>
      </c>
      <c r="I19" s="122">
        <v>1</v>
      </c>
      <c r="J19" s="104" t="s">
        <v>378</v>
      </c>
    </row>
    <row r="20" spans="1:10" x14ac:dyDescent="0.35">
      <c r="A20" s="161" t="s">
        <v>411</v>
      </c>
      <c r="B20" s="88"/>
      <c r="C20" s="88">
        <v>1</v>
      </c>
      <c r="D20" s="103" t="s">
        <v>378</v>
      </c>
      <c r="E20" s="162" t="s">
        <v>435</v>
      </c>
      <c r="F20" s="88" t="s">
        <v>412</v>
      </c>
      <c r="G20" s="162" t="s">
        <v>433</v>
      </c>
      <c r="H20" s="88" t="s">
        <v>431</v>
      </c>
      <c r="I20" s="122">
        <v>1</v>
      </c>
      <c r="J20" s="104" t="s">
        <v>378</v>
      </c>
    </row>
    <row r="21" spans="1:10" x14ac:dyDescent="0.35">
      <c r="A21" s="124" t="s">
        <v>381</v>
      </c>
      <c r="B21" s="125"/>
      <c r="C21" s="125">
        <v>1</v>
      </c>
      <c r="D21" s="125" t="s">
        <v>378</v>
      </c>
      <c r="E21" s="125" t="s">
        <v>392</v>
      </c>
      <c r="F21" s="125" t="s">
        <v>395</v>
      </c>
      <c r="G21" s="125" t="s">
        <v>393</v>
      </c>
      <c r="H21" s="125" t="s">
        <v>394</v>
      </c>
      <c r="I21" s="122">
        <v>1</v>
      </c>
      <c r="J21" s="126" t="s">
        <v>378</v>
      </c>
    </row>
    <row r="22" spans="1:10" x14ac:dyDescent="0.35">
      <c r="A22" s="161" t="s">
        <v>459</v>
      </c>
      <c r="B22" s="162"/>
      <c r="C22" s="162">
        <v>1</v>
      </c>
      <c r="D22" s="162" t="s">
        <v>378</v>
      </c>
      <c r="E22" s="162" t="s">
        <v>455</v>
      </c>
      <c r="F22" s="162" t="s">
        <v>463</v>
      </c>
      <c r="G22" s="162" t="s">
        <v>451</v>
      </c>
      <c r="H22" s="162" t="s">
        <v>467</v>
      </c>
      <c r="I22" s="162">
        <v>1</v>
      </c>
      <c r="J22" s="178" t="s">
        <v>378</v>
      </c>
    </row>
    <row r="23" spans="1:10" x14ac:dyDescent="0.35">
      <c r="A23" s="161" t="s">
        <v>460</v>
      </c>
      <c r="B23" s="162"/>
      <c r="C23" s="162">
        <v>1</v>
      </c>
      <c r="D23" s="162" t="s">
        <v>378</v>
      </c>
      <c r="E23" s="162" t="s">
        <v>456</v>
      </c>
      <c r="F23" s="162" t="s">
        <v>464</v>
      </c>
      <c r="G23" s="162" t="s">
        <v>452</v>
      </c>
      <c r="H23" s="162" t="s">
        <v>468</v>
      </c>
      <c r="I23" s="162">
        <v>1</v>
      </c>
      <c r="J23" s="178" t="s">
        <v>378</v>
      </c>
    </row>
    <row r="24" spans="1:10" x14ac:dyDescent="0.35">
      <c r="A24" s="161" t="s">
        <v>461</v>
      </c>
      <c r="B24" s="162"/>
      <c r="C24" s="162">
        <v>1</v>
      </c>
      <c r="D24" s="162" t="s">
        <v>378</v>
      </c>
      <c r="E24" s="162" t="s">
        <v>457</v>
      </c>
      <c r="F24" s="162" t="s">
        <v>465</v>
      </c>
      <c r="G24" s="162" t="s">
        <v>453</v>
      </c>
      <c r="H24" s="162" t="s">
        <v>469</v>
      </c>
      <c r="I24" s="162">
        <v>1</v>
      </c>
      <c r="J24" s="178" t="s">
        <v>378</v>
      </c>
    </row>
    <row r="25" spans="1:10" x14ac:dyDescent="0.35">
      <c r="A25" s="161" t="s">
        <v>462</v>
      </c>
      <c r="B25" s="162"/>
      <c r="C25" s="162">
        <v>1</v>
      </c>
      <c r="D25" s="162" t="s">
        <v>378</v>
      </c>
      <c r="E25" s="162" t="s">
        <v>458</v>
      </c>
      <c r="F25" s="162" t="s">
        <v>466</v>
      </c>
      <c r="G25" s="162" t="s">
        <v>454</v>
      </c>
      <c r="H25" s="162" t="s">
        <v>470</v>
      </c>
      <c r="I25" s="162">
        <v>1</v>
      </c>
      <c r="J25" s="178" t="s">
        <v>378</v>
      </c>
    </row>
    <row r="26" spans="1:10" x14ac:dyDescent="0.35">
      <c r="A26" s="89" t="s">
        <v>72</v>
      </c>
      <c r="B26" s="90"/>
      <c r="C26" s="90">
        <v>1</v>
      </c>
      <c r="D26" s="106" t="s">
        <v>378</v>
      </c>
      <c r="E26" s="90" t="s">
        <v>182</v>
      </c>
      <c r="F26" s="90" t="s">
        <v>228</v>
      </c>
      <c r="G26" s="90" t="s">
        <v>275</v>
      </c>
      <c r="H26" s="90" t="s">
        <v>321</v>
      </c>
      <c r="I26" s="90">
        <v>1</v>
      </c>
      <c r="J26" s="106" t="s">
        <v>378</v>
      </c>
    </row>
    <row r="27" spans="1:10" x14ac:dyDescent="0.35">
      <c r="A27" s="89" t="s">
        <v>73</v>
      </c>
      <c r="B27" s="90"/>
      <c r="C27" s="90">
        <v>1</v>
      </c>
      <c r="D27" s="106" t="s">
        <v>378</v>
      </c>
      <c r="E27" s="90" t="s">
        <v>183</v>
      </c>
      <c r="F27" s="90" t="s">
        <v>229</v>
      </c>
      <c r="G27" s="90" t="s">
        <v>276</v>
      </c>
      <c r="H27" s="90" t="s">
        <v>322</v>
      </c>
      <c r="I27" s="90">
        <v>1</v>
      </c>
      <c r="J27" s="106" t="s">
        <v>378</v>
      </c>
    </row>
    <row r="28" spans="1:10" x14ac:dyDescent="0.35">
      <c r="A28" s="89" t="s">
        <v>74</v>
      </c>
      <c r="B28" s="90"/>
      <c r="C28" s="90">
        <v>1</v>
      </c>
      <c r="D28" s="106" t="s">
        <v>378</v>
      </c>
      <c r="E28" s="90" t="s">
        <v>184</v>
      </c>
      <c r="F28" s="90" t="s">
        <v>230</v>
      </c>
      <c r="G28" s="90" t="s">
        <v>277</v>
      </c>
      <c r="H28" s="90" t="s">
        <v>323</v>
      </c>
      <c r="I28" s="90">
        <v>1</v>
      </c>
      <c r="J28" s="106" t="s">
        <v>378</v>
      </c>
    </row>
    <row r="29" spans="1:10" x14ac:dyDescent="0.35">
      <c r="A29" s="89" t="s">
        <v>75</v>
      </c>
      <c r="B29" s="90"/>
      <c r="C29" s="90">
        <v>1</v>
      </c>
      <c r="D29" s="106" t="s">
        <v>378</v>
      </c>
      <c r="E29" s="90" t="s">
        <v>185</v>
      </c>
      <c r="F29" s="90" t="s">
        <v>231</v>
      </c>
      <c r="G29" s="90" t="s">
        <v>278</v>
      </c>
      <c r="H29" s="90" t="s">
        <v>324</v>
      </c>
      <c r="I29" s="90">
        <v>1</v>
      </c>
      <c r="J29" s="106" t="s">
        <v>378</v>
      </c>
    </row>
    <row r="30" spans="1:10" x14ac:dyDescent="0.35">
      <c r="A30" s="89" t="s">
        <v>76</v>
      </c>
      <c r="B30" s="90"/>
      <c r="C30" s="90">
        <v>1</v>
      </c>
      <c r="D30" s="106" t="s">
        <v>378</v>
      </c>
      <c r="E30" s="90" t="s">
        <v>186</v>
      </c>
      <c r="F30" s="90" t="s">
        <v>232</v>
      </c>
      <c r="G30" s="90" t="s">
        <v>279</v>
      </c>
      <c r="H30" s="90" t="s">
        <v>325</v>
      </c>
      <c r="I30" s="90">
        <v>1</v>
      </c>
      <c r="J30" s="106" t="s">
        <v>378</v>
      </c>
    </row>
    <row r="31" spans="1:10" x14ac:dyDescent="0.35">
      <c r="A31" s="89" t="s">
        <v>77</v>
      </c>
      <c r="B31" s="90"/>
      <c r="C31" s="90">
        <v>1</v>
      </c>
      <c r="D31" s="106" t="s">
        <v>378</v>
      </c>
      <c r="E31" s="90" t="s">
        <v>187</v>
      </c>
      <c r="F31" s="90" t="s">
        <v>233</v>
      </c>
      <c r="G31" s="90" t="s">
        <v>280</v>
      </c>
      <c r="H31" s="90" t="s">
        <v>326</v>
      </c>
      <c r="I31" s="90">
        <v>1</v>
      </c>
      <c r="J31" s="106" t="s">
        <v>378</v>
      </c>
    </row>
    <row r="32" spans="1:10" x14ac:dyDescent="0.35">
      <c r="A32" s="148" t="s">
        <v>388</v>
      </c>
      <c r="B32" s="90"/>
      <c r="C32" s="90">
        <v>1</v>
      </c>
      <c r="D32" s="106" t="s">
        <v>378</v>
      </c>
      <c r="E32" s="90" t="s">
        <v>188</v>
      </c>
      <c r="F32" s="90" t="s">
        <v>234</v>
      </c>
      <c r="G32" s="90" t="s">
        <v>281</v>
      </c>
      <c r="H32" s="90" t="s">
        <v>327</v>
      </c>
      <c r="I32" s="90">
        <v>1</v>
      </c>
      <c r="J32" s="106" t="s">
        <v>378</v>
      </c>
    </row>
    <row r="33" spans="1:10" ht="15" thickBot="1" x14ac:dyDescent="0.4">
      <c r="A33" s="91" t="s">
        <v>78</v>
      </c>
      <c r="B33" s="92"/>
      <c r="C33" s="92">
        <v>1</v>
      </c>
      <c r="D33" s="108" t="s">
        <v>378</v>
      </c>
      <c r="E33" s="92" t="s">
        <v>189</v>
      </c>
      <c r="F33" s="92" t="s">
        <v>235</v>
      </c>
      <c r="G33" s="92" t="s">
        <v>282</v>
      </c>
      <c r="H33" s="92" t="s">
        <v>328</v>
      </c>
      <c r="I33" s="92">
        <v>1</v>
      </c>
      <c r="J33" s="108" t="s">
        <v>378</v>
      </c>
    </row>
    <row r="34" spans="1:10" x14ac:dyDescent="0.35">
      <c r="A34" s="161" t="s">
        <v>414</v>
      </c>
      <c r="B34" s="88"/>
      <c r="C34" s="88">
        <v>1</v>
      </c>
      <c r="D34" s="103" t="s">
        <v>378</v>
      </c>
      <c r="E34" s="162" t="s">
        <v>417</v>
      </c>
      <c r="F34" s="88" t="s">
        <v>420</v>
      </c>
      <c r="G34" s="162" t="s">
        <v>423</v>
      </c>
      <c r="H34" s="88" t="s">
        <v>426</v>
      </c>
      <c r="I34" s="122">
        <v>1</v>
      </c>
      <c r="J34" s="104" t="s">
        <v>378</v>
      </c>
    </row>
    <row r="35" spans="1:10" x14ac:dyDescent="0.35">
      <c r="A35" s="161" t="s">
        <v>415</v>
      </c>
      <c r="B35" s="88"/>
      <c r="C35" s="88">
        <v>1</v>
      </c>
      <c r="D35" s="103" t="s">
        <v>378</v>
      </c>
      <c r="E35" s="162" t="s">
        <v>418</v>
      </c>
      <c r="F35" s="88" t="s">
        <v>421</v>
      </c>
      <c r="G35" s="162" t="s">
        <v>424</v>
      </c>
      <c r="H35" s="88" t="s">
        <v>427</v>
      </c>
      <c r="I35" s="122">
        <v>1</v>
      </c>
      <c r="J35" s="104" t="s">
        <v>378</v>
      </c>
    </row>
    <row r="36" spans="1:10" ht="15" thickBot="1" x14ac:dyDescent="0.4">
      <c r="A36" s="161" t="s">
        <v>416</v>
      </c>
      <c r="B36" s="88"/>
      <c r="C36" s="88">
        <v>1</v>
      </c>
      <c r="D36" s="103" t="s">
        <v>378</v>
      </c>
      <c r="E36" s="162" t="s">
        <v>419</v>
      </c>
      <c r="F36" s="88" t="s">
        <v>422</v>
      </c>
      <c r="G36" s="162" t="s">
        <v>425</v>
      </c>
      <c r="H36" s="88" t="s">
        <v>428</v>
      </c>
      <c r="I36" s="122">
        <v>1</v>
      </c>
      <c r="J36" s="104" t="s">
        <v>378</v>
      </c>
    </row>
    <row r="37" spans="1:10" x14ac:dyDescent="0.35">
      <c r="A37" s="93" t="s">
        <v>57</v>
      </c>
      <c r="B37" s="94"/>
      <c r="C37" s="94">
        <v>1</v>
      </c>
      <c r="D37" s="94" t="s">
        <v>374</v>
      </c>
      <c r="E37" s="94" t="s">
        <v>190</v>
      </c>
      <c r="F37" s="94" t="s">
        <v>236</v>
      </c>
      <c r="G37" s="94" t="s">
        <v>283</v>
      </c>
      <c r="H37" s="94" t="s">
        <v>329</v>
      </c>
      <c r="I37" s="94">
        <v>1</v>
      </c>
      <c r="J37" s="95" t="s">
        <v>374</v>
      </c>
    </row>
    <row r="38" spans="1:10" x14ac:dyDescent="0.35">
      <c r="A38" s="96" t="s">
        <v>58</v>
      </c>
      <c r="B38" s="97"/>
      <c r="C38" s="97">
        <v>1</v>
      </c>
      <c r="D38" s="97" t="s">
        <v>374</v>
      </c>
      <c r="E38" s="97" t="s">
        <v>191</v>
      </c>
      <c r="F38" s="97" t="s">
        <v>237</v>
      </c>
      <c r="G38" s="97" t="s">
        <v>284</v>
      </c>
      <c r="H38" s="97" t="s">
        <v>330</v>
      </c>
      <c r="I38" s="97">
        <v>1</v>
      </c>
      <c r="J38" s="98" t="s">
        <v>374</v>
      </c>
    </row>
    <row r="39" spans="1:10" x14ac:dyDescent="0.35">
      <c r="A39" s="96" t="s">
        <v>59</v>
      </c>
      <c r="B39" s="97"/>
      <c r="C39" s="97">
        <v>1</v>
      </c>
      <c r="D39" s="97" t="s">
        <v>374</v>
      </c>
      <c r="E39" s="97" t="s">
        <v>192</v>
      </c>
      <c r="F39" s="97" t="s">
        <v>238</v>
      </c>
      <c r="G39" s="97" t="s">
        <v>285</v>
      </c>
      <c r="H39" s="97" t="s">
        <v>331</v>
      </c>
      <c r="I39" s="97">
        <v>1</v>
      </c>
      <c r="J39" s="98" t="s">
        <v>374</v>
      </c>
    </row>
    <row r="40" spans="1:10" x14ac:dyDescent="0.35">
      <c r="A40" s="96" t="s">
        <v>60</v>
      </c>
      <c r="B40" s="97"/>
      <c r="C40" s="97">
        <v>1</v>
      </c>
      <c r="D40" s="97" t="s">
        <v>374</v>
      </c>
      <c r="E40" s="97" t="s">
        <v>193</v>
      </c>
      <c r="F40" s="97" t="s">
        <v>239</v>
      </c>
      <c r="G40" s="97" t="s">
        <v>286</v>
      </c>
      <c r="H40" s="97" t="s">
        <v>332</v>
      </c>
      <c r="I40" s="97">
        <v>1</v>
      </c>
      <c r="J40" s="98" t="s">
        <v>374</v>
      </c>
    </row>
    <row r="41" spans="1:10" x14ac:dyDescent="0.35">
      <c r="A41" s="96" t="s">
        <v>61</v>
      </c>
      <c r="B41" s="97"/>
      <c r="C41" s="97">
        <v>1</v>
      </c>
      <c r="D41" s="97" t="s">
        <v>374</v>
      </c>
      <c r="E41" s="97" t="s">
        <v>194</v>
      </c>
      <c r="F41" s="97" t="s">
        <v>240</v>
      </c>
      <c r="G41" s="97" t="s">
        <v>287</v>
      </c>
      <c r="H41" s="97" t="s">
        <v>333</v>
      </c>
      <c r="I41" s="97">
        <v>1</v>
      </c>
      <c r="J41" s="98" t="s">
        <v>374</v>
      </c>
    </row>
    <row r="42" spans="1:10" x14ac:dyDescent="0.35">
      <c r="A42" s="96" t="s">
        <v>62</v>
      </c>
      <c r="B42" s="97"/>
      <c r="C42" s="97">
        <v>1</v>
      </c>
      <c r="D42" s="97" t="s">
        <v>374</v>
      </c>
      <c r="E42" s="97" t="s">
        <v>195</v>
      </c>
      <c r="F42" s="97" t="s">
        <v>241</v>
      </c>
      <c r="G42" s="97" t="s">
        <v>288</v>
      </c>
      <c r="H42" s="97" t="s">
        <v>334</v>
      </c>
      <c r="I42" s="97">
        <v>1</v>
      </c>
      <c r="J42" s="98" t="s">
        <v>374</v>
      </c>
    </row>
    <row r="43" spans="1:10" x14ac:dyDescent="0.35">
      <c r="A43" s="96" t="s">
        <v>63</v>
      </c>
      <c r="B43" s="97"/>
      <c r="C43" s="97">
        <v>1</v>
      </c>
      <c r="D43" s="97" t="s">
        <v>374</v>
      </c>
      <c r="E43" s="97" t="s">
        <v>196</v>
      </c>
      <c r="F43" s="97" t="s">
        <v>242</v>
      </c>
      <c r="G43" s="97" t="s">
        <v>289</v>
      </c>
      <c r="H43" s="97" t="s">
        <v>335</v>
      </c>
      <c r="I43" s="97">
        <v>1</v>
      </c>
      <c r="J43" s="98" t="s">
        <v>374</v>
      </c>
    </row>
    <row r="44" spans="1:10" x14ac:dyDescent="0.35">
      <c r="A44" s="127" t="s">
        <v>376</v>
      </c>
      <c r="B44" s="128"/>
      <c r="C44" s="128">
        <v>1</v>
      </c>
      <c r="D44" s="128" t="s">
        <v>374</v>
      </c>
      <c r="E44" s="128" t="s">
        <v>399</v>
      </c>
      <c r="F44" s="128" t="s">
        <v>398</v>
      </c>
      <c r="G44" s="128" t="s">
        <v>396</v>
      </c>
      <c r="H44" s="128" t="s">
        <v>397</v>
      </c>
      <c r="I44" s="128">
        <v>1</v>
      </c>
      <c r="J44" s="129" t="s">
        <v>374</v>
      </c>
    </row>
    <row r="45" spans="1:10" x14ac:dyDescent="0.35">
      <c r="A45" s="96" t="s">
        <v>64</v>
      </c>
      <c r="B45" s="97"/>
      <c r="C45" s="97">
        <v>1</v>
      </c>
      <c r="D45" s="97" t="s">
        <v>374</v>
      </c>
      <c r="E45" s="97" t="s">
        <v>197</v>
      </c>
      <c r="F45" s="97" t="s">
        <v>243</v>
      </c>
      <c r="G45" s="97" t="s">
        <v>290</v>
      </c>
      <c r="H45" s="97" t="s">
        <v>336</v>
      </c>
      <c r="I45" s="97">
        <v>1</v>
      </c>
      <c r="J45" s="98" t="s">
        <v>374</v>
      </c>
    </row>
    <row r="46" spans="1:10" x14ac:dyDescent="0.35">
      <c r="A46" s="96" t="s">
        <v>65</v>
      </c>
      <c r="B46" s="97"/>
      <c r="C46" s="97">
        <v>1</v>
      </c>
      <c r="D46" s="97" t="s">
        <v>374</v>
      </c>
      <c r="E46" s="97" t="s">
        <v>198</v>
      </c>
      <c r="F46" s="97" t="s">
        <v>244</v>
      </c>
      <c r="G46" s="97" t="s">
        <v>291</v>
      </c>
      <c r="H46" s="97" t="s">
        <v>337</v>
      </c>
      <c r="I46" s="97">
        <v>1</v>
      </c>
      <c r="J46" s="98" t="s">
        <v>374</v>
      </c>
    </row>
    <row r="47" spans="1:10" x14ac:dyDescent="0.35">
      <c r="A47" s="96" t="s">
        <v>66</v>
      </c>
      <c r="B47" s="97"/>
      <c r="C47" s="97">
        <v>1</v>
      </c>
      <c r="D47" s="97" t="s">
        <v>374</v>
      </c>
      <c r="E47" s="97" t="s">
        <v>199</v>
      </c>
      <c r="F47" s="97" t="s">
        <v>245</v>
      </c>
      <c r="G47" s="97" t="s">
        <v>292</v>
      </c>
      <c r="H47" s="97" t="s">
        <v>338</v>
      </c>
      <c r="I47" s="97">
        <v>1</v>
      </c>
      <c r="J47" s="98" t="s">
        <v>374</v>
      </c>
    </row>
    <row r="48" spans="1:10" x14ac:dyDescent="0.35">
      <c r="A48" s="96" t="s">
        <v>67</v>
      </c>
      <c r="B48" s="97"/>
      <c r="C48" s="97">
        <v>1</v>
      </c>
      <c r="D48" s="97" t="s">
        <v>374</v>
      </c>
      <c r="E48" s="97" t="s">
        <v>200</v>
      </c>
      <c r="F48" s="97" t="s">
        <v>246</v>
      </c>
      <c r="G48" s="97" t="s">
        <v>293</v>
      </c>
      <c r="H48" s="97" t="s">
        <v>339</v>
      </c>
      <c r="I48" s="97">
        <v>1</v>
      </c>
      <c r="J48" s="98" t="s">
        <v>374</v>
      </c>
    </row>
    <row r="49" spans="1:10" x14ac:dyDescent="0.35">
      <c r="A49" s="96" t="s">
        <v>68</v>
      </c>
      <c r="B49" s="97"/>
      <c r="C49" s="97">
        <v>1</v>
      </c>
      <c r="D49" s="97" t="s">
        <v>374</v>
      </c>
      <c r="E49" s="97" t="s">
        <v>201</v>
      </c>
      <c r="F49" s="97" t="s">
        <v>247</v>
      </c>
      <c r="G49" s="97" t="s">
        <v>294</v>
      </c>
      <c r="H49" s="97" t="s">
        <v>340</v>
      </c>
      <c r="I49" s="97">
        <v>1</v>
      </c>
      <c r="J49" s="98" t="s">
        <v>374</v>
      </c>
    </row>
    <row r="50" spans="1:10" x14ac:dyDescent="0.35">
      <c r="A50" s="96" t="s">
        <v>69</v>
      </c>
      <c r="B50" s="97"/>
      <c r="C50" s="97">
        <v>1</v>
      </c>
      <c r="D50" s="97" t="s">
        <v>374</v>
      </c>
      <c r="E50" s="97" t="s">
        <v>202</v>
      </c>
      <c r="F50" s="97" t="s">
        <v>248</v>
      </c>
      <c r="G50" s="97" t="s">
        <v>295</v>
      </c>
      <c r="H50" s="97" t="s">
        <v>341</v>
      </c>
      <c r="I50" s="97">
        <v>1</v>
      </c>
      <c r="J50" s="98" t="s">
        <v>374</v>
      </c>
    </row>
    <row r="51" spans="1:10" ht="15" thickBot="1" x14ac:dyDescent="0.4">
      <c r="A51" s="99" t="s">
        <v>70</v>
      </c>
      <c r="B51" s="100"/>
      <c r="C51" s="100">
        <v>1</v>
      </c>
      <c r="D51" s="100" t="s">
        <v>374</v>
      </c>
      <c r="E51" s="100" t="s">
        <v>203</v>
      </c>
      <c r="F51" s="100" t="s">
        <v>249</v>
      </c>
      <c r="G51" s="100" t="s">
        <v>296</v>
      </c>
      <c r="H51" s="100" t="s">
        <v>342</v>
      </c>
      <c r="I51" s="100">
        <v>1</v>
      </c>
      <c r="J51" s="101" t="s">
        <v>374</v>
      </c>
    </row>
    <row r="52" spans="1:10" x14ac:dyDescent="0.35">
      <c r="A52" s="102" t="s">
        <v>71</v>
      </c>
      <c r="B52" s="103"/>
      <c r="C52" s="103">
        <v>1</v>
      </c>
      <c r="D52" s="103" t="s">
        <v>378</v>
      </c>
      <c r="E52" s="103" t="s">
        <v>204</v>
      </c>
      <c r="F52" s="103" t="s">
        <v>250</v>
      </c>
      <c r="G52" s="103" t="s">
        <v>297</v>
      </c>
      <c r="H52" s="103" t="s">
        <v>343</v>
      </c>
      <c r="I52" s="122">
        <v>1</v>
      </c>
      <c r="J52" s="104" t="s">
        <v>378</v>
      </c>
    </row>
    <row r="53" spans="1:10" x14ac:dyDescent="0.35">
      <c r="A53" s="124" t="s">
        <v>381</v>
      </c>
      <c r="B53" s="125"/>
      <c r="C53" s="125">
        <v>1</v>
      </c>
      <c r="D53" s="125" t="s">
        <v>378</v>
      </c>
      <c r="E53" s="125" t="s">
        <v>385</v>
      </c>
      <c r="F53" s="125" t="s">
        <v>250</v>
      </c>
      <c r="G53" s="125" t="s">
        <v>386</v>
      </c>
      <c r="H53" s="125" t="s">
        <v>343</v>
      </c>
      <c r="I53" s="122">
        <v>1</v>
      </c>
      <c r="J53" s="126" t="s">
        <v>378</v>
      </c>
    </row>
    <row r="54" spans="1:10" x14ac:dyDescent="0.35">
      <c r="A54" s="105" t="s">
        <v>72</v>
      </c>
      <c r="B54" s="106"/>
      <c r="C54" s="106">
        <v>1</v>
      </c>
      <c r="D54" s="106" t="s">
        <v>378</v>
      </c>
      <c r="E54" s="106" t="s">
        <v>205</v>
      </c>
      <c r="F54" s="106" t="s">
        <v>251</v>
      </c>
      <c r="G54" s="106" t="s">
        <v>298</v>
      </c>
      <c r="H54" s="106" t="s">
        <v>344</v>
      </c>
      <c r="I54" s="106">
        <v>1</v>
      </c>
      <c r="J54" s="106" t="s">
        <v>378</v>
      </c>
    </row>
    <row r="55" spans="1:10" x14ac:dyDescent="0.35">
      <c r="A55" s="105" t="s">
        <v>73</v>
      </c>
      <c r="B55" s="106"/>
      <c r="C55" s="106">
        <v>1</v>
      </c>
      <c r="D55" s="106" t="s">
        <v>378</v>
      </c>
      <c r="E55" s="106" t="s">
        <v>206</v>
      </c>
      <c r="F55" s="106" t="s">
        <v>252</v>
      </c>
      <c r="G55" s="106" t="s">
        <v>299</v>
      </c>
      <c r="H55" s="106" t="s">
        <v>345</v>
      </c>
      <c r="I55" s="106">
        <v>1</v>
      </c>
      <c r="J55" s="106" t="s">
        <v>378</v>
      </c>
    </row>
    <row r="56" spans="1:10" x14ac:dyDescent="0.35">
      <c r="A56" s="105" t="s">
        <v>74</v>
      </c>
      <c r="B56" s="106"/>
      <c r="C56" s="106">
        <v>1</v>
      </c>
      <c r="D56" s="106" t="s">
        <v>378</v>
      </c>
      <c r="E56" s="106" t="s">
        <v>207</v>
      </c>
      <c r="F56" s="106" t="s">
        <v>253</v>
      </c>
      <c r="G56" s="106" t="s">
        <v>300</v>
      </c>
      <c r="H56" s="106" t="s">
        <v>346</v>
      </c>
      <c r="I56" s="106">
        <v>1</v>
      </c>
      <c r="J56" s="106" t="s">
        <v>378</v>
      </c>
    </row>
    <row r="57" spans="1:10" x14ac:dyDescent="0.35">
      <c r="A57" s="105" t="s">
        <v>75</v>
      </c>
      <c r="B57" s="106"/>
      <c r="C57" s="106">
        <v>1</v>
      </c>
      <c r="D57" s="106" t="s">
        <v>378</v>
      </c>
      <c r="E57" s="106" t="s">
        <v>208</v>
      </c>
      <c r="F57" s="106" t="s">
        <v>254</v>
      </c>
      <c r="G57" s="106" t="s">
        <v>301</v>
      </c>
      <c r="H57" s="106" t="s">
        <v>347</v>
      </c>
      <c r="I57" s="106">
        <v>1</v>
      </c>
      <c r="J57" s="106" t="s">
        <v>378</v>
      </c>
    </row>
    <row r="58" spans="1:10" x14ac:dyDescent="0.35">
      <c r="A58" s="105" t="s">
        <v>76</v>
      </c>
      <c r="B58" s="106"/>
      <c r="C58" s="106">
        <v>1</v>
      </c>
      <c r="D58" s="106" t="s">
        <v>378</v>
      </c>
      <c r="E58" s="106" t="s">
        <v>209</v>
      </c>
      <c r="F58" s="106" t="s">
        <v>255</v>
      </c>
      <c r="G58" s="106" t="s">
        <v>302</v>
      </c>
      <c r="H58" s="106" t="s">
        <v>348</v>
      </c>
      <c r="I58" s="106">
        <v>1</v>
      </c>
      <c r="J58" s="106" t="s">
        <v>378</v>
      </c>
    </row>
    <row r="59" spans="1:10" x14ac:dyDescent="0.35">
      <c r="A59" s="105" t="s">
        <v>77</v>
      </c>
      <c r="B59" s="106"/>
      <c r="C59" s="106">
        <v>1</v>
      </c>
      <c r="D59" s="106" t="s">
        <v>378</v>
      </c>
      <c r="E59" s="106" t="s">
        <v>210</v>
      </c>
      <c r="F59" s="106" t="s">
        <v>256</v>
      </c>
      <c r="G59" s="106" t="s">
        <v>303</v>
      </c>
      <c r="H59" s="106" t="s">
        <v>349</v>
      </c>
      <c r="I59" s="106">
        <v>1</v>
      </c>
      <c r="J59" s="106" t="s">
        <v>378</v>
      </c>
    </row>
    <row r="60" spans="1:10" x14ac:dyDescent="0.35">
      <c r="A60" s="148" t="s">
        <v>388</v>
      </c>
      <c r="B60" s="106"/>
      <c r="C60" s="106">
        <v>1</v>
      </c>
      <c r="D60" s="106" t="s">
        <v>378</v>
      </c>
      <c r="E60" s="106" t="s">
        <v>211</v>
      </c>
      <c r="F60" s="106" t="s">
        <v>257</v>
      </c>
      <c r="G60" s="106" t="s">
        <v>304</v>
      </c>
      <c r="H60" s="106" t="s">
        <v>350</v>
      </c>
      <c r="I60" s="106">
        <v>1</v>
      </c>
      <c r="J60" s="106" t="s">
        <v>378</v>
      </c>
    </row>
    <row r="61" spans="1:10" ht="15" thickBot="1" x14ac:dyDescent="0.4">
      <c r="A61" s="107" t="s">
        <v>78</v>
      </c>
      <c r="B61" s="108"/>
      <c r="C61" s="108">
        <v>1</v>
      </c>
      <c r="D61" s="108" t="s">
        <v>378</v>
      </c>
      <c r="E61" s="108" t="s">
        <v>212</v>
      </c>
      <c r="F61" s="108" t="s">
        <v>258</v>
      </c>
      <c r="G61" s="108" t="s">
        <v>305</v>
      </c>
      <c r="H61" s="108" t="s">
        <v>351</v>
      </c>
      <c r="I61" s="108">
        <v>1</v>
      </c>
      <c r="J61" s="108" t="s">
        <v>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J2"/>
  <sheetViews>
    <sheetView workbookViewId="0"/>
  </sheetViews>
  <sheetFormatPr defaultRowHeight="14.5" x14ac:dyDescent="0.35"/>
  <cols>
    <col min="1" max="1" width="5.7265625" bestFit="1" customWidth="1"/>
    <col min="2" max="2" width="11.26953125" bestFit="1" customWidth="1"/>
    <col min="3" max="3" width="11.1796875" bestFit="1" customWidth="1"/>
    <col min="4" max="4" width="9.90625" bestFit="1" customWidth="1"/>
    <col min="5" max="5" width="10.08984375" bestFit="1" customWidth="1"/>
    <col min="6" max="6" width="31.453125" bestFit="1" customWidth="1"/>
    <col min="7" max="7" width="10.08984375" bestFit="1" customWidth="1"/>
    <col min="8" max="8" width="32.7265625" bestFit="1" customWidth="1"/>
    <col min="9" max="9" width="12" bestFit="1" customWidth="1"/>
    <col min="10" max="10" width="10.7265625" bestFit="1" customWidth="1"/>
  </cols>
  <sheetData>
    <row r="1" spans="1:10" ht="15" thickBot="1" x14ac:dyDescent="0.4">
      <c r="A1" s="53" t="s">
        <v>102</v>
      </c>
      <c r="B1" s="54" t="s">
        <v>103</v>
      </c>
      <c r="C1" s="54" t="s">
        <v>104</v>
      </c>
      <c r="D1" s="54" t="s">
        <v>105</v>
      </c>
      <c r="E1" s="54" t="s">
        <v>0</v>
      </c>
      <c r="F1" s="54" t="s">
        <v>1</v>
      </c>
      <c r="G1" s="54" t="s">
        <v>2</v>
      </c>
      <c r="H1" s="54" t="s">
        <v>3</v>
      </c>
      <c r="I1" s="54" t="s">
        <v>4</v>
      </c>
      <c r="J1" s="55" t="s">
        <v>5</v>
      </c>
    </row>
    <row r="2" spans="1:10" ht="15" thickBot="1" x14ac:dyDescent="0.4">
      <c r="A2" s="56" t="s">
        <v>55</v>
      </c>
      <c r="B2" s="57"/>
      <c r="C2" s="57">
        <v>1</v>
      </c>
      <c r="D2" s="57" t="s">
        <v>372</v>
      </c>
      <c r="E2" s="57" t="s">
        <v>352</v>
      </c>
      <c r="F2" s="57" t="s">
        <v>353</v>
      </c>
      <c r="G2" s="57" t="s">
        <v>354</v>
      </c>
      <c r="H2" s="57" t="s">
        <v>355</v>
      </c>
      <c r="I2" s="57">
        <v>1</v>
      </c>
      <c r="J2" s="58" t="s">
        <v>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N2"/>
  <sheetViews>
    <sheetView workbookViewId="0"/>
  </sheetViews>
  <sheetFormatPr defaultRowHeight="14.5" x14ac:dyDescent="0.35"/>
  <cols>
    <col min="1" max="1" width="10.08984375" bestFit="1" customWidth="1"/>
    <col min="2" max="2" width="12.90625" bestFit="1" customWidth="1"/>
    <col min="3" max="3" width="12.81640625" bestFit="1" customWidth="1"/>
    <col min="4" max="4" width="11.453125" bestFit="1" customWidth="1"/>
    <col min="5" max="5" width="7.1796875" bestFit="1" customWidth="1"/>
    <col min="6" max="6" width="12.90625" bestFit="1" customWidth="1"/>
    <col min="7" max="7" width="12.81640625" bestFit="1" customWidth="1"/>
    <col min="8" max="8" width="11.453125" bestFit="1" customWidth="1"/>
    <col min="9" max="9" width="10.6328125" bestFit="1" customWidth="1"/>
    <col min="10" max="10" width="24.6328125" bestFit="1" customWidth="1"/>
    <col min="11" max="11" width="9.81640625" bestFit="1" customWidth="1"/>
    <col min="12" max="12" width="12.08984375" bestFit="1" customWidth="1"/>
    <col min="13" max="13" width="12" bestFit="1" customWidth="1"/>
    <col min="14" max="14" width="10.7265625" bestFit="1" customWidth="1"/>
  </cols>
  <sheetData>
    <row r="1" spans="1:14" ht="15" thickBot="1" x14ac:dyDescent="0.4">
      <c r="A1" s="53" t="s">
        <v>356</v>
      </c>
      <c r="B1" s="54" t="s">
        <v>357</v>
      </c>
      <c r="C1" s="54" t="s">
        <v>358</v>
      </c>
      <c r="D1" s="54" t="s">
        <v>359</v>
      </c>
      <c r="E1" s="54" t="s">
        <v>360</v>
      </c>
      <c r="F1" s="54" t="s">
        <v>361</v>
      </c>
      <c r="G1" s="54" t="s">
        <v>362</v>
      </c>
      <c r="H1" s="54" t="s">
        <v>363</v>
      </c>
      <c r="I1" s="54" t="s">
        <v>0</v>
      </c>
      <c r="J1" s="54" t="s">
        <v>1</v>
      </c>
      <c r="K1" s="54" t="s">
        <v>2</v>
      </c>
      <c r="L1" s="54" t="s">
        <v>3</v>
      </c>
      <c r="M1" s="54" t="s">
        <v>4</v>
      </c>
      <c r="N1" s="55" t="s">
        <v>5</v>
      </c>
    </row>
    <row r="2" spans="1:14" ht="15" thickBot="1" x14ac:dyDescent="0.4">
      <c r="A2" s="59" t="s">
        <v>354</v>
      </c>
      <c r="B2" s="60"/>
      <c r="C2" s="61">
        <v>1</v>
      </c>
      <c r="D2" s="62" t="s">
        <v>372</v>
      </c>
      <c r="E2" s="63" t="s">
        <v>364</v>
      </c>
      <c r="F2" s="64"/>
      <c r="G2" s="64">
        <v>0</v>
      </c>
      <c r="H2" s="65"/>
      <c r="I2" s="66" t="s">
        <v>365</v>
      </c>
      <c r="J2" s="67" t="s">
        <v>366</v>
      </c>
      <c r="K2" s="68" t="s">
        <v>367</v>
      </c>
      <c r="L2" s="69"/>
      <c r="M2" s="70">
        <v>1</v>
      </c>
      <c r="N2" s="71" t="s">
        <v>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J2"/>
  <sheetViews>
    <sheetView workbookViewId="0"/>
  </sheetViews>
  <sheetFormatPr defaultRowHeight="14.5" x14ac:dyDescent="0.35"/>
  <cols>
    <col min="1" max="1" width="9.81640625" bestFit="1" customWidth="1"/>
    <col min="2" max="2" width="11.26953125" bestFit="1" customWidth="1"/>
    <col min="3" max="3" width="11.1796875" bestFit="1" customWidth="1"/>
    <col min="4" max="4" width="9.90625" bestFit="1" customWidth="1"/>
    <col min="5" max="5" width="9.81640625" bestFit="1" customWidth="1"/>
    <col min="6" max="6" width="17.81640625" bestFit="1" customWidth="1"/>
    <col min="7" max="7" width="11.54296875" bestFit="1" customWidth="1"/>
    <col min="8" max="8" width="25.36328125" bestFit="1" customWidth="1"/>
    <col min="9" max="9" width="12" bestFit="1" customWidth="1"/>
    <col min="10" max="10" width="10.7265625" bestFit="1" customWidth="1"/>
  </cols>
  <sheetData>
    <row r="1" spans="1:10" ht="15" thickBot="1" x14ac:dyDescent="0.4">
      <c r="A1" s="53" t="s">
        <v>102</v>
      </c>
      <c r="B1" s="54" t="s">
        <v>103</v>
      </c>
      <c r="C1" s="54" t="s">
        <v>104</v>
      </c>
      <c r="D1" s="54" t="s">
        <v>105</v>
      </c>
      <c r="E1" s="54" t="s">
        <v>0</v>
      </c>
      <c r="F1" s="54" t="s">
        <v>1</v>
      </c>
      <c r="G1" s="54" t="s">
        <v>2</v>
      </c>
      <c r="H1" s="54" t="s">
        <v>3</v>
      </c>
      <c r="I1" s="54" t="s">
        <v>4</v>
      </c>
      <c r="J1" s="55" t="s">
        <v>5</v>
      </c>
    </row>
    <row r="2" spans="1:10" ht="15" thickBot="1" x14ac:dyDescent="0.4">
      <c r="A2" s="72" t="s">
        <v>367</v>
      </c>
      <c r="B2" s="73"/>
      <c r="C2" s="73">
        <v>1</v>
      </c>
      <c r="D2" s="73" t="s">
        <v>372</v>
      </c>
      <c r="E2" s="73" t="s">
        <v>368</v>
      </c>
      <c r="F2" s="73" t="s">
        <v>369</v>
      </c>
      <c r="G2" s="73" t="s">
        <v>370</v>
      </c>
      <c r="H2" s="73" t="s">
        <v>371</v>
      </c>
      <c r="I2" s="73">
        <v>1</v>
      </c>
      <c r="J2" s="74" t="s">
        <v>372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85E1AC-5753-4BCA-9694-B82659BB9D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8D8556-3541-4A86-9BA4-A7845BE7F87D}"/>
</file>

<file path=customXml/itemProps3.xml><?xml version="1.0" encoding="utf-8"?>
<ds:datastoreItem xmlns:ds="http://schemas.openxmlformats.org/officeDocument/2006/customXml" ds:itemID="{2BBC782B-4409-40EC-A048-7400F3B16C3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Victor</dc:creator>
  <cp:lastModifiedBy>Luis Victor Gallardo</cp:lastModifiedBy>
  <dcterms:created xsi:type="dcterms:W3CDTF">2024-09-24T19:14:16Z</dcterms:created>
  <dcterms:modified xsi:type="dcterms:W3CDTF">2024-11-30T22:33:33Z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