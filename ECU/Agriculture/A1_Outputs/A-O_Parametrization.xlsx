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fernando\Dropbox\2_WORK\MOMF\AGR_20241130\A1_Outputs\"/>
    </mc:Choice>
  </mc:AlternateContent>
  <xr:revisionPtr revIDLastSave="0" documentId="13_ncr:1_{F0B2FE9B-CA26-4C86-BD4C-B5A458655FF3}" xr6:coauthVersionLast="47" xr6:coauthVersionMax="47" xr10:uidLastSave="{00000000-0000-0000-0000-000000000000}"/>
  <bookViews>
    <workbookView xWindow="-37830" yWindow="5220" windowWidth="25815" windowHeight="15495" activeTab="2" xr2:uid="{00000000-000D-0000-FFFF-FFFF00000000}"/>
  </bookViews>
  <sheets>
    <sheet name="Fixed Horizon Parameters" sheetId="1" r:id="rId1"/>
    <sheet name="Primary Techs" sheetId="2" r:id="rId2"/>
    <sheet name="Secondary Techs" sheetId="3" r:id="rId3"/>
    <sheet name="Demand Techs" sheetId="4" r:id="rId4"/>
    <sheet name="Transport Fuel Distribution" sheetId="5" r:id="rId5"/>
    <sheet name="Vehicle Techs" sheetId="6" r:id="rId6"/>
    <sheet name="Vehicle Groups" sheetId="7" r:id="rId7"/>
    <sheet name="Other_Techs" sheetId="8" r:id="rId8"/>
  </sheets>
  <definedNames>
    <definedName name="_xlnm._FilterDatabase" localSheetId="1" hidden="1">'Primary Techs'!$A$1:$AH$261</definedName>
    <definedName name="_xlnm._FilterDatabase" localSheetId="2" hidden="1">'Secondary Techs'!$A$1:$AH$331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3" l="1"/>
  <c r="A25" i="3" s="1"/>
  <c r="A20" i="3"/>
  <c r="A30" i="3" s="1"/>
  <c r="C141" i="4"/>
  <c r="B141" i="4"/>
  <c r="C137" i="4"/>
  <c r="B137" i="4"/>
  <c r="C133" i="4"/>
  <c r="B133" i="4"/>
  <c r="I27" i="2"/>
  <c r="AH187" i="2"/>
  <c r="AH177" i="2" s="1"/>
  <c r="AH167" i="2" s="1"/>
  <c r="AG187" i="2"/>
  <c r="AG177" i="2" s="1"/>
  <c r="AG167" i="2" s="1"/>
  <c r="AG157" i="2" s="1"/>
  <c r="AG147" i="2" s="1"/>
  <c r="AG137" i="2" s="1"/>
  <c r="AG127" i="2" s="1"/>
  <c r="AG117" i="2" s="1"/>
  <c r="AG107" i="2" s="1"/>
  <c r="AG97" i="2" s="1"/>
  <c r="AG87" i="2" s="1"/>
  <c r="AG77" i="2" s="1"/>
  <c r="AG67" i="2" s="1"/>
  <c r="AG57" i="2" s="1"/>
  <c r="AG47" i="2" s="1"/>
  <c r="AF187" i="2"/>
  <c r="AF177" i="2" s="1"/>
  <c r="AF167" i="2" s="1"/>
  <c r="AF157" i="2" s="1"/>
  <c r="AF147" i="2" s="1"/>
  <c r="AF137" i="2" s="1"/>
  <c r="AF127" i="2" s="1"/>
  <c r="AF117" i="2" s="1"/>
  <c r="AF107" i="2" s="1"/>
  <c r="AF97" i="2" s="1"/>
  <c r="AF87" i="2" s="1"/>
  <c r="AF77" i="2" s="1"/>
  <c r="AF67" i="2" s="1"/>
  <c r="AF57" i="2" s="1"/>
  <c r="AF47" i="2" s="1"/>
  <c r="AD187" i="2"/>
  <c r="AD177" i="2" s="1"/>
  <c r="AD167" i="2" s="1"/>
  <c r="AD157" i="2" s="1"/>
  <c r="AD147" i="2" s="1"/>
  <c r="AD137" i="2" s="1"/>
  <c r="AD127" i="2" s="1"/>
  <c r="AD117" i="2" s="1"/>
  <c r="AD107" i="2" s="1"/>
  <c r="AD97" i="2" s="1"/>
  <c r="AD87" i="2" s="1"/>
  <c r="AD77" i="2" s="1"/>
  <c r="AD67" i="2" s="1"/>
  <c r="AD57" i="2" s="1"/>
  <c r="AD47" i="2" s="1"/>
  <c r="AC187" i="2"/>
  <c r="AC177" i="2" s="1"/>
  <c r="AC167" i="2" s="1"/>
  <c r="AC157" i="2" s="1"/>
  <c r="AC147" i="2" s="1"/>
  <c r="AC137" i="2" s="1"/>
  <c r="AC127" i="2" s="1"/>
  <c r="AC117" i="2" s="1"/>
  <c r="AC107" i="2" s="1"/>
  <c r="AC97" i="2" s="1"/>
  <c r="AC87" i="2" s="1"/>
  <c r="AC77" i="2" s="1"/>
  <c r="AC67" i="2" s="1"/>
  <c r="AC57" i="2" s="1"/>
  <c r="AC47" i="2" s="1"/>
  <c r="AB187" i="2"/>
  <c r="AB177" i="2" s="1"/>
  <c r="AB167" i="2" s="1"/>
  <c r="AB157" i="2" s="1"/>
  <c r="AB147" i="2" s="1"/>
  <c r="AB137" i="2" s="1"/>
  <c r="AB127" i="2" s="1"/>
  <c r="AB117" i="2" s="1"/>
  <c r="AB107" i="2" s="1"/>
  <c r="AB97" i="2" s="1"/>
  <c r="AB87" i="2" s="1"/>
  <c r="AB77" i="2" s="1"/>
  <c r="AB67" i="2" s="1"/>
  <c r="AB57" i="2" s="1"/>
  <c r="AB47" i="2" s="1"/>
  <c r="AA187" i="2"/>
  <c r="AA177" i="2" s="1"/>
  <c r="AA167" i="2" s="1"/>
  <c r="AA157" i="2" s="1"/>
  <c r="AA147" i="2" s="1"/>
  <c r="AA137" i="2" s="1"/>
  <c r="AA127" i="2" s="1"/>
  <c r="AA117" i="2" s="1"/>
  <c r="AA107" i="2" s="1"/>
  <c r="AA97" i="2" s="1"/>
  <c r="AA87" i="2" s="1"/>
  <c r="AA77" i="2" s="1"/>
  <c r="AA67" i="2" s="1"/>
  <c r="AA57" i="2" s="1"/>
  <c r="AA47" i="2" s="1"/>
  <c r="Z187" i="2"/>
  <c r="Z177" i="2" s="1"/>
  <c r="Z167" i="2" s="1"/>
  <c r="Y187" i="2"/>
  <c r="Y177" i="2" s="1"/>
  <c r="Y167" i="2" s="1"/>
  <c r="Y157" i="2" s="1"/>
  <c r="Y147" i="2" s="1"/>
  <c r="Y137" i="2" s="1"/>
  <c r="Y127" i="2" s="1"/>
  <c r="Y117" i="2" s="1"/>
  <c r="Y107" i="2" s="1"/>
  <c r="Y97" i="2" s="1"/>
  <c r="Y87" i="2" s="1"/>
  <c r="Y77" i="2" s="1"/>
  <c r="Y67" i="2" s="1"/>
  <c r="Y57" i="2" s="1"/>
  <c r="Y47" i="2" s="1"/>
  <c r="X187" i="2"/>
  <c r="X177" i="2" s="1"/>
  <c r="X167" i="2" s="1"/>
  <c r="X157" i="2" s="1"/>
  <c r="X147" i="2" s="1"/>
  <c r="X137" i="2" s="1"/>
  <c r="X127" i="2" s="1"/>
  <c r="X117" i="2" s="1"/>
  <c r="X107" i="2" s="1"/>
  <c r="X97" i="2" s="1"/>
  <c r="X87" i="2" s="1"/>
  <c r="X77" i="2" s="1"/>
  <c r="X67" i="2" s="1"/>
  <c r="X57" i="2" s="1"/>
  <c r="X47" i="2" s="1"/>
  <c r="V187" i="2"/>
  <c r="V177" i="2" s="1"/>
  <c r="V167" i="2" s="1"/>
  <c r="V157" i="2" s="1"/>
  <c r="V147" i="2" s="1"/>
  <c r="V137" i="2" s="1"/>
  <c r="V127" i="2" s="1"/>
  <c r="V117" i="2" s="1"/>
  <c r="V107" i="2" s="1"/>
  <c r="V97" i="2" s="1"/>
  <c r="V87" i="2" s="1"/>
  <c r="V77" i="2" s="1"/>
  <c r="V67" i="2" s="1"/>
  <c r="V57" i="2" s="1"/>
  <c r="V47" i="2" s="1"/>
  <c r="U187" i="2"/>
  <c r="U177" i="2" s="1"/>
  <c r="U167" i="2" s="1"/>
  <c r="U157" i="2" s="1"/>
  <c r="U147" i="2" s="1"/>
  <c r="U137" i="2" s="1"/>
  <c r="U127" i="2" s="1"/>
  <c r="U117" i="2" s="1"/>
  <c r="U107" i="2" s="1"/>
  <c r="U97" i="2" s="1"/>
  <c r="U87" i="2" s="1"/>
  <c r="U77" i="2" s="1"/>
  <c r="U67" i="2" s="1"/>
  <c r="U57" i="2" s="1"/>
  <c r="U47" i="2" s="1"/>
  <c r="U37" i="2" s="1"/>
  <c r="U27" i="2" s="1"/>
  <c r="T187" i="2"/>
  <c r="T177" i="2" s="1"/>
  <c r="T167" i="2" s="1"/>
  <c r="T157" i="2" s="1"/>
  <c r="T147" i="2" s="1"/>
  <c r="T137" i="2" s="1"/>
  <c r="T127" i="2" s="1"/>
  <c r="T117" i="2" s="1"/>
  <c r="T107" i="2" s="1"/>
  <c r="T97" i="2" s="1"/>
  <c r="T87" i="2" s="1"/>
  <c r="T77" i="2" s="1"/>
  <c r="T67" i="2" s="1"/>
  <c r="T57" i="2" s="1"/>
  <c r="T47" i="2" s="1"/>
  <c r="T37" i="2" s="1"/>
  <c r="T27" i="2" s="1"/>
  <c r="S187" i="2"/>
  <c r="S177" i="2" s="1"/>
  <c r="S167" i="2" s="1"/>
  <c r="S157" i="2" s="1"/>
  <c r="S147" i="2" s="1"/>
  <c r="S137" i="2" s="1"/>
  <c r="S127" i="2" s="1"/>
  <c r="S117" i="2" s="1"/>
  <c r="S107" i="2" s="1"/>
  <c r="S97" i="2" s="1"/>
  <c r="S87" i="2" s="1"/>
  <c r="S77" i="2" s="1"/>
  <c r="S67" i="2" s="1"/>
  <c r="S57" i="2" s="1"/>
  <c r="S47" i="2" s="1"/>
  <c r="S37" i="2" s="1"/>
  <c r="S27" i="2" s="1"/>
  <c r="R187" i="2"/>
  <c r="R177" i="2" s="1"/>
  <c r="R167" i="2" s="1"/>
  <c r="R157" i="2" s="1"/>
  <c r="R147" i="2" s="1"/>
  <c r="R137" i="2" s="1"/>
  <c r="R127" i="2" s="1"/>
  <c r="R117" i="2" s="1"/>
  <c r="R107" i="2" s="1"/>
  <c r="R97" i="2" s="1"/>
  <c r="R87" i="2" s="1"/>
  <c r="R77" i="2" s="1"/>
  <c r="R67" i="2" s="1"/>
  <c r="R57" i="2" s="1"/>
  <c r="R47" i="2" s="1"/>
  <c r="R37" i="2" s="1"/>
  <c r="R27" i="2" s="1"/>
  <c r="Q187" i="2"/>
  <c r="Q177" i="2" s="1"/>
  <c r="Q167" i="2" s="1"/>
  <c r="Q157" i="2" s="1"/>
  <c r="Q147" i="2" s="1"/>
  <c r="Q137" i="2" s="1"/>
  <c r="Q127" i="2" s="1"/>
  <c r="Q117" i="2" s="1"/>
  <c r="Q107" i="2" s="1"/>
  <c r="Q97" i="2" s="1"/>
  <c r="Q87" i="2" s="1"/>
  <c r="Q77" i="2" s="1"/>
  <c r="Q67" i="2" s="1"/>
  <c r="Q57" i="2" s="1"/>
  <c r="Q47" i="2" s="1"/>
  <c r="Q37" i="2" s="1"/>
  <c r="Q27" i="2" s="1"/>
  <c r="P187" i="2"/>
  <c r="P177" i="2" s="1"/>
  <c r="P167" i="2" s="1"/>
  <c r="P157" i="2" s="1"/>
  <c r="P147" i="2" s="1"/>
  <c r="P137" i="2" s="1"/>
  <c r="P127" i="2" s="1"/>
  <c r="P117" i="2" s="1"/>
  <c r="P107" i="2" s="1"/>
  <c r="P97" i="2" s="1"/>
  <c r="P87" i="2" s="1"/>
  <c r="P77" i="2" s="1"/>
  <c r="P67" i="2" s="1"/>
  <c r="P57" i="2" s="1"/>
  <c r="P47" i="2" s="1"/>
  <c r="P37" i="2" s="1"/>
  <c r="P27" i="2" s="1"/>
  <c r="N187" i="2"/>
  <c r="M187" i="2"/>
  <c r="M177" i="2" s="1"/>
  <c r="M167" i="2" s="1"/>
  <c r="M157" i="2" s="1"/>
  <c r="M147" i="2" s="1"/>
  <c r="M137" i="2" s="1"/>
  <c r="M127" i="2" s="1"/>
  <c r="M117" i="2" s="1"/>
  <c r="M107" i="2" s="1"/>
  <c r="M97" i="2" s="1"/>
  <c r="M87" i="2" s="1"/>
  <c r="M77" i="2" s="1"/>
  <c r="M67" i="2" s="1"/>
  <c r="M57" i="2" s="1"/>
  <c r="M47" i="2" s="1"/>
  <c r="M37" i="2" s="1"/>
  <c r="M27" i="2" s="1"/>
  <c r="L187" i="2"/>
  <c r="L177" i="2" s="1"/>
  <c r="L167" i="2" s="1"/>
  <c r="L157" i="2" s="1"/>
  <c r="L147" i="2" s="1"/>
  <c r="L137" i="2" s="1"/>
  <c r="L127" i="2" s="1"/>
  <c r="L117" i="2" s="1"/>
  <c r="L107" i="2" s="1"/>
  <c r="L97" i="2" s="1"/>
  <c r="L87" i="2" s="1"/>
  <c r="L77" i="2" s="1"/>
  <c r="L67" i="2" s="1"/>
  <c r="L57" i="2" s="1"/>
  <c r="L47" i="2" s="1"/>
  <c r="L37" i="2" s="1"/>
  <c r="L27" i="2" s="1"/>
  <c r="K187" i="2"/>
  <c r="K177" i="2" s="1"/>
  <c r="K167" i="2" s="1"/>
  <c r="K157" i="2" s="1"/>
  <c r="K147" i="2" s="1"/>
  <c r="K137" i="2" s="1"/>
  <c r="K127" i="2" s="1"/>
  <c r="K117" i="2" s="1"/>
  <c r="K107" i="2" s="1"/>
  <c r="K97" i="2" s="1"/>
  <c r="K87" i="2" s="1"/>
  <c r="K77" i="2" s="1"/>
  <c r="K67" i="2" s="1"/>
  <c r="K57" i="2" s="1"/>
  <c r="K47" i="2" s="1"/>
  <c r="K37" i="2" s="1"/>
  <c r="K27" i="2" s="1"/>
  <c r="J187" i="2"/>
  <c r="J177" i="2" s="1"/>
  <c r="J167" i="2" s="1"/>
  <c r="J157" i="2" s="1"/>
  <c r="J147" i="2" s="1"/>
  <c r="J137" i="2" s="1"/>
  <c r="J127" i="2" s="1"/>
  <c r="J117" i="2" s="1"/>
  <c r="J107" i="2" s="1"/>
  <c r="J97" i="2" s="1"/>
  <c r="J87" i="2" s="1"/>
  <c r="J77" i="2" s="1"/>
  <c r="J67" i="2" s="1"/>
  <c r="J57" i="2" s="1"/>
  <c r="J47" i="2" s="1"/>
  <c r="J37" i="2" s="1"/>
  <c r="J27" i="2" s="1"/>
  <c r="AE187" i="2"/>
  <c r="AE177" i="2" s="1"/>
  <c r="AE167" i="2" s="1"/>
  <c r="AE157" i="2" s="1"/>
  <c r="AE147" i="2" s="1"/>
  <c r="AE137" i="2" s="1"/>
  <c r="AE127" i="2" s="1"/>
  <c r="AE117" i="2" s="1"/>
  <c r="AE107" i="2" s="1"/>
  <c r="AE97" i="2" s="1"/>
  <c r="AE87" i="2" s="1"/>
  <c r="AE77" i="2" s="1"/>
  <c r="AE67" i="2" s="1"/>
  <c r="AE57" i="2" s="1"/>
  <c r="AE47" i="2" s="1"/>
  <c r="W187" i="2"/>
  <c r="W177" i="2" s="1"/>
  <c r="W167" i="2" s="1"/>
  <c r="W157" i="2" s="1"/>
  <c r="W147" i="2" s="1"/>
  <c r="W137" i="2" s="1"/>
  <c r="W127" i="2" s="1"/>
  <c r="W117" i="2" s="1"/>
  <c r="W107" i="2" s="1"/>
  <c r="W97" i="2" s="1"/>
  <c r="W87" i="2" s="1"/>
  <c r="W77" i="2" s="1"/>
  <c r="W67" i="2" s="1"/>
  <c r="W57" i="2" s="1"/>
  <c r="W47" i="2" s="1"/>
  <c r="O187" i="2"/>
  <c r="O177" i="2" s="1"/>
  <c r="O167" i="2" s="1"/>
  <c r="O157" i="2" s="1"/>
  <c r="O147" i="2" s="1"/>
  <c r="O137" i="2" s="1"/>
  <c r="O127" i="2" s="1"/>
  <c r="O117" i="2" s="1"/>
  <c r="O107" i="2" s="1"/>
  <c r="O97" i="2" s="1"/>
  <c r="O87" i="2" s="1"/>
  <c r="O77" i="2" s="1"/>
  <c r="O67" i="2" s="1"/>
  <c r="O57" i="2" s="1"/>
  <c r="O47" i="2" s="1"/>
  <c r="O37" i="2" s="1"/>
  <c r="O27" i="2" s="1"/>
  <c r="I187" i="2"/>
  <c r="I177" i="2" s="1"/>
  <c r="I167" i="2" s="1"/>
  <c r="I157" i="2" s="1"/>
  <c r="I147" i="2" s="1"/>
  <c r="I137" i="2" s="1"/>
  <c r="I127" i="2" s="1"/>
  <c r="I117" i="2" s="1"/>
  <c r="I107" i="2" s="1"/>
  <c r="I97" i="2" s="1"/>
  <c r="I87" i="2" s="1"/>
  <c r="I77" i="2" s="1"/>
  <c r="I67" i="2" s="1"/>
  <c r="I57" i="2" s="1"/>
  <c r="I47" i="2" s="1"/>
  <c r="I37" i="2" s="1"/>
  <c r="N177" i="2"/>
  <c r="N167" i="2" s="1"/>
  <c r="N157" i="2" s="1"/>
  <c r="N147" i="2" s="1"/>
  <c r="N137" i="2" s="1"/>
  <c r="N127" i="2" s="1"/>
  <c r="N117" i="2" s="1"/>
  <c r="N107" i="2" s="1"/>
  <c r="N97" i="2" s="1"/>
  <c r="N87" i="2" s="1"/>
  <c r="N77" i="2" s="1"/>
  <c r="N67" i="2" s="1"/>
  <c r="N57" i="2" s="1"/>
  <c r="N47" i="2" s="1"/>
  <c r="N37" i="2" s="1"/>
  <c r="N27" i="2" s="1"/>
  <c r="AH157" i="2"/>
  <c r="AH147" i="2" s="1"/>
  <c r="AH137" i="2" s="1"/>
  <c r="AH127" i="2" s="1"/>
  <c r="AH117" i="2" s="1"/>
  <c r="AH107" i="2" s="1"/>
  <c r="AH97" i="2" s="1"/>
  <c r="AH87" i="2" s="1"/>
  <c r="AH77" i="2" s="1"/>
  <c r="AH67" i="2" s="1"/>
  <c r="AH57" i="2" s="1"/>
  <c r="AH47" i="2" s="1"/>
  <c r="AH37" i="2" s="1"/>
  <c r="AH27" i="2" s="1"/>
  <c r="Z157" i="2"/>
  <c r="Z147" i="2" s="1"/>
  <c r="Z137" i="2" s="1"/>
  <c r="Z127" i="2" s="1"/>
  <c r="Z117" i="2" s="1"/>
  <c r="Z107" i="2" s="1"/>
  <c r="Z97" i="2" s="1"/>
  <c r="Z87" i="2" s="1"/>
  <c r="Z77" i="2" s="1"/>
  <c r="Z67" i="2" s="1"/>
  <c r="Z57" i="2" s="1"/>
  <c r="Z47" i="2" s="1"/>
  <c r="A8" i="4"/>
  <c r="A12" i="4" s="1"/>
  <c r="A16" i="4" s="1"/>
  <c r="A20" i="4" s="1"/>
  <c r="A24" i="4" s="1"/>
  <c r="A28" i="4" s="1"/>
  <c r="A32" i="4" s="1"/>
  <c r="A36" i="4" s="1"/>
  <c r="A40" i="4" s="1"/>
  <c r="A7" i="4"/>
  <c r="A11" i="4" s="1"/>
  <c r="A15" i="4" s="1"/>
  <c r="A19" i="4" s="1"/>
  <c r="A23" i="4" s="1"/>
  <c r="A27" i="4" s="1"/>
  <c r="A31" i="4" s="1"/>
  <c r="A35" i="4" s="1"/>
  <c r="A39" i="4" s="1"/>
  <c r="A6" i="4"/>
  <c r="A10" i="4" s="1"/>
  <c r="A14" i="4" s="1"/>
  <c r="A18" i="4" s="1"/>
  <c r="A22" i="4" s="1"/>
  <c r="A26" i="4" s="1"/>
  <c r="A30" i="4" s="1"/>
  <c r="A34" i="4" s="1"/>
  <c r="A38" i="4" s="1"/>
  <c r="A21" i="3"/>
  <c r="A31" i="3" s="1"/>
  <c r="A19" i="3"/>
  <c r="A29" i="3" s="1"/>
  <c r="A18" i="3"/>
  <c r="A28" i="3" s="1"/>
  <c r="A17" i="3"/>
  <c r="A27" i="3" s="1"/>
  <c r="A16" i="3"/>
  <c r="A26" i="3" s="1"/>
  <c r="A14" i="3"/>
  <c r="A24" i="3" s="1"/>
  <c r="A13" i="3"/>
  <c r="A23" i="3" s="1"/>
  <c r="A12" i="3"/>
  <c r="B113" i="1"/>
  <c r="B115" i="1" s="1"/>
  <c r="B117" i="1" s="1"/>
  <c r="B119" i="1" s="1"/>
  <c r="B121" i="1" s="1"/>
  <c r="B123" i="1" s="1"/>
  <c r="B112" i="1"/>
  <c r="B114" i="1" s="1"/>
  <c r="B116" i="1" s="1"/>
  <c r="B118" i="1" s="1"/>
  <c r="B120" i="1" s="1"/>
  <c r="B122" i="1" s="1"/>
  <c r="B19" i="1"/>
  <c r="B21" i="1" s="1"/>
  <c r="B23" i="1" s="1"/>
  <c r="B25" i="1" s="1"/>
  <c r="B27" i="1" s="1"/>
  <c r="B29" i="1" s="1"/>
  <c r="B31" i="1" s="1"/>
  <c r="B33" i="1" s="1"/>
  <c r="B35" i="1" s="1"/>
  <c r="B37" i="1" s="1"/>
  <c r="B39" i="1" s="1"/>
  <c r="B41" i="1" s="1"/>
  <c r="B43" i="1" s="1"/>
  <c r="B45" i="1" s="1"/>
  <c r="B47" i="1" s="1"/>
  <c r="B49" i="1" s="1"/>
  <c r="B51" i="1" s="1"/>
  <c r="B53" i="1" s="1"/>
  <c r="B18" i="1"/>
  <c r="B20" i="1" s="1"/>
  <c r="B22" i="1" s="1"/>
  <c r="B24" i="1" s="1"/>
  <c r="B26" i="1" s="1"/>
  <c r="B28" i="1" s="1"/>
  <c r="B30" i="1" s="1"/>
  <c r="B32" i="1" s="1"/>
  <c r="B34" i="1" s="1"/>
  <c r="B36" i="1" s="1"/>
  <c r="B38" i="1" s="1"/>
  <c r="B40" i="1" s="1"/>
  <c r="B42" i="1" s="1"/>
  <c r="B44" i="1" s="1"/>
  <c r="B46" i="1" s="1"/>
  <c r="B48" i="1" s="1"/>
  <c r="B50" i="1" s="1"/>
  <c r="B52" i="1" s="1"/>
  <c r="B73" i="1"/>
  <c r="B75" i="1" s="1"/>
  <c r="B77" i="1" s="1"/>
  <c r="B79" i="1" s="1"/>
  <c r="B81" i="1" s="1"/>
  <c r="B83" i="1" s="1"/>
  <c r="B85" i="1" s="1"/>
  <c r="B87" i="1" s="1"/>
  <c r="B89" i="1" s="1"/>
  <c r="B91" i="1" s="1"/>
  <c r="B93" i="1" s="1"/>
  <c r="B95" i="1" s="1"/>
  <c r="B97" i="1" s="1"/>
  <c r="B99" i="1" s="1"/>
  <c r="B101" i="1" s="1"/>
  <c r="B103" i="1" s="1"/>
  <c r="B105" i="1" s="1"/>
  <c r="B107" i="1" s="1"/>
  <c r="B72" i="1"/>
  <c r="B74" i="1" s="1"/>
  <c r="B76" i="1" s="1"/>
  <c r="B78" i="1" s="1"/>
  <c r="B80" i="1" s="1"/>
  <c r="B82" i="1" s="1"/>
  <c r="B84" i="1" s="1"/>
  <c r="B86" i="1" s="1"/>
  <c r="B88" i="1" s="1"/>
  <c r="B90" i="1" s="1"/>
  <c r="B92" i="1" s="1"/>
  <c r="B94" i="1" s="1"/>
  <c r="B96" i="1" s="1"/>
  <c r="B98" i="1" s="1"/>
  <c r="B100" i="1" s="1"/>
  <c r="B102" i="1" s="1"/>
  <c r="B104" i="1" s="1"/>
  <c r="B106" i="1" s="1"/>
  <c r="C5" i="4"/>
  <c r="B5" i="4"/>
  <c r="A5" i="4"/>
  <c r="A9" i="4" s="1"/>
  <c r="A13" i="4" s="1"/>
  <c r="A17" i="4" s="1"/>
  <c r="A21" i="4" s="1"/>
  <c r="A25" i="4" s="1"/>
  <c r="A29" i="4" s="1"/>
  <c r="A33" i="4" s="1"/>
  <c r="A37" i="4" s="1"/>
  <c r="A41" i="4" s="1"/>
  <c r="C9" i="4"/>
  <c r="B9" i="4"/>
  <c r="C13" i="4"/>
  <c r="B13" i="4"/>
  <c r="C17" i="4"/>
  <c r="B17" i="4"/>
  <c r="C21" i="4"/>
  <c r="B21" i="4"/>
  <c r="C25" i="4"/>
  <c r="B25" i="4"/>
  <c r="C29" i="4"/>
  <c r="B29" i="4"/>
  <c r="C33" i="4"/>
  <c r="B33" i="4"/>
  <c r="C41" i="4"/>
  <c r="B41" i="4"/>
  <c r="C45" i="4"/>
  <c r="B45" i="4"/>
  <c r="C49" i="4"/>
  <c r="B49" i="4"/>
  <c r="C53" i="4"/>
  <c r="B53" i="4"/>
  <c r="C57" i="4"/>
  <c r="B57" i="4"/>
  <c r="C61" i="4"/>
  <c r="B61" i="4"/>
  <c r="C65" i="4"/>
  <c r="B65" i="4"/>
  <c r="C69" i="4"/>
  <c r="B69" i="4"/>
  <c r="C101" i="4"/>
  <c r="B101" i="4"/>
  <c r="C109" i="4"/>
  <c r="B109" i="4"/>
  <c r="C105" i="4"/>
  <c r="B105" i="4"/>
  <c r="C113" i="4"/>
  <c r="B113" i="4"/>
  <c r="C117" i="4"/>
  <c r="B117" i="4"/>
  <c r="C121" i="4"/>
  <c r="B121" i="4"/>
  <c r="C125" i="4"/>
  <c r="B125" i="4"/>
  <c r="C129" i="4"/>
  <c r="B129" i="4"/>
  <c r="C145" i="4"/>
  <c r="B145" i="4"/>
  <c r="C149" i="4"/>
  <c r="B149" i="4"/>
  <c r="C153" i="4"/>
  <c r="B153" i="4"/>
  <c r="C157" i="4"/>
  <c r="B157" i="4"/>
  <c r="C161" i="4"/>
  <c r="B161" i="4"/>
  <c r="C165" i="4"/>
  <c r="B165" i="4"/>
  <c r="C169" i="4"/>
  <c r="B169" i="4"/>
  <c r="C177" i="4"/>
  <c r="B177" i="4"/>
  <c r="C181" i="4"/>
  <c r="B181" i="4"/>
  <c r="C185" i="4"/>
  <c r="B185" i="4"/>
  <c r="C189" i="4"/>
  <c r="B189" i="4"/>
  <c r="C193" i="4"/>
  <c r="B193" i="4"/>
  <c r="C197" i="4"/>
  <c r="B197" i="4"/>
  <c r="C201" i="4"/>
  <c r="B201" i="4"/>
  <c r="C205" i="4"/>
  <c r="B205" i="4"/>
  <c r="C213" i="4"/>
  <c r="B213" i="4"/>
  <c r="C217" i="4"/>
  <c r="B217" i="4"/>
  <c r="C221" i="4"/>
  <c r="B221" i="4"/>
  <c r="C225" i="4"/>
  <c r="B225" i="4"/>
  <c r="C229" i="4"/>
  <c r="B229" i="4"/>
  <c r="C233" i="4"/>
  <c r="B233" i="4"/>
  <c r="C237" i="4"/>
  <c r="B237" i="4"/>
  <c r="C241" i="4"/>
  <c r="B241" i="4"/>
  <c r="A22" i="3" l="1"/>
  <c r="A32" i="3" s="1"/>
  <c r="A42" i="3" s="1"/>
  <c r="A52" i="3" s="1"/>
  <c r="A62" i="3" s="1"/>
  <c r="A72" i="3" s="1"/>
  <c r="A82" i="3" s="1"/>
  <c r="A92" i="3" s="1"/>
  <c r="A102" i="3" s="1"/>
  <c r="A112" i="3" s="1"/>
  <c r="A122" i="3" s="1"/>
  <c r="A132" i="3" s="1"/>
  <c r="A142" i="3" s="1"/>
  <c r="A152" i="3" s="1"/>
  <c r="A162" i="3" s="1"/>
  <c r="A172" i="3" s="1"/>
  <c r="A182" i="3" s="1"/>
  <c r="A192" i="3" s="1"/>
  <c r="A36" i="3"/>
  <c r="A46" i="3" s="1"/>
  <c r="A56" i="3" s="1"/>
  <c r="A66" i="3" s="1"/>
  <c r="A76" i="3" s="1"/>
  <c r="A86" i="3" s="1"/>
  <c r="A96" i="3" s="1"/>
  <c r="A106" i="3" s="1"/>
  <c r="A37" i="3"/>
  <c r="A47" i="3" s="1"/>
  <c r="A57" i="3" s="1"/>
  <c r="A67" i="3" s="1"/>
  <c r="A77" i="3" s="1"/>
  <c r="A87" i="3" s="1"/>
  <c r="A97" i="3" s="1"/>
  <c r="A107" i="3" s="1"/>
  <c r="A117" i="3" s="1"/>
  <c r="A127" i="3" s="1"/>
  <c r="A137" i="3" s="1"/>
  <c r="A147" i="3" s="1"/>
  <c r="A157" i="3" s="1"/>
  <c r="A167" i="3" s="1"/>
  <c r="A177" i="3" s="1"/>
  <c r="A187" i="3" s="1"/>
  <c r="A197" i="3" s="1"/>
  <c r="A35" i="3"/>
  <c r="A45" i="3" s="1"/>
  <c r="A55" i="3" s="1"/>
  <c r="A65" i="3" s="1"/>
  <c r="A75" i="3" s="1"/>
  <c r="A85" i="3" s="1"/>
  <c r="A95" i="3" s="1"/>
  <c r="A105" i="3" s="1"/>
  <c r="A115" i="3" s="1"/>
  <c r="A125" i="3" s="1"/>
  <c r="A135" i="3" s="1"/>
  <c r="A145" i="3" s="1"/>
  <c r="A155" i="3" s="1"/>
  <c r="A165" i="3" s="1"/>
  <c r="A34" i="3"/>
  <c r="A44" i="3" s="1"/>
  <c r="A54" i="3" s="1"/>
  <c r="A64" i="3" s="1"/>
  <c r="A74" i="3" s="1"/>
  <c r="A84" i="3" s="1"/>
  <c r="A94" i="3" s="1"/>
  <c r="A104" i="3" s="1"/>
  <c r="A114" i="3" s="1"/>
  <c r="A124" i="3" s="1"/>
  <c r="A134" i="3" s="1"/>
  <c r="A144" i="3" s="1"/>
  <c r="A154" i="3" s="1"/>
  <c r="A164" i="3" s="1"/>
  <c r="A41" i="3"/>
  <c r="A51" i="3" s="1"/>
  <c r="A61" i="3" s="1"/>
  <c r="A71" i="3" s="1"/>
  <c r="A81" i="3" s="1"/>
  <c r="A91" i="3" s="1"/>
  <c r="A101" i="3" s="1"/>
  <c r="A111" i="3" s="1"/>
  <c r="A121" i="3" s="1"/>
  <c r="A131" i="3" s="1"/>
  <c r="A141" i="3" s="1"/>
  <c r="A151" i="3" s="1"/>
  <c r="A161" i="3" s="1"/>
  <c r="A171" i="3" s="1"/>
  <c r="A181" i="3" s="1"/>
  <c r="A191" i="3" s="1"/>
  <c r="A201" i="3" s="1"/>
  <c r="A38" i="3"/>
  <c r="A48" i="3" s="1"/>
  <c r="A58" i="3" s="1"/>
  <c r="A68" i="3" s="1"/>
  <c r="A78" i="3" s="1"/>
  <c r="A88" i="3" s="1"/>
  <c r="A98" i="3" s="1"/>
  <c r="A108" i="3" s="1"/>
  <c r="A118" i="3" s="1"/>
  <c r="A128" i="3" s="1"/>
  <c r="A138" i="3" s="1"/>
  <c r="A148" i="3" s="1"/>
  <c r="A158" i="3" s="1"/>
  <c r="A168" i="3" s="1"/>
  <c r="A40" i="3"/>
  <c r="A50" i="3" s="1"/>
  <c r="A60" i="3" s="1"/>
  <c r="A70" i="3" s="1"/>
  <c r="A80" i="3" s="1"/>
  <c r="A90" i="3" s="1"/>
  <c r="A39" i="3"/>
  <c r="A49" i="3" s="1"/>
  <c r="A59" i="3" s="1"/>
  <c r="A69" i="3" s="1"/>
  <c r="A79" i="3" s="1"/>
  <c r="A89" i="3" s="1"/>
  <c r="A99" i="3" s="1"/>
  <c r="A109" i="3" s="1"/>
  <c r="A119" i="3" s="1"/>
  <c r="A129" i="3" s="1"/>
  <c r="A139" i="3" s="1"/>
  <c r="A149" i="3" s="1"/>
  <c r="A159" i="3" s="1"/>
  <c r="A169" i="3" s="1"/>
  <c r="A179" i="3" s="1"/>
  <c r="A189" i="3" s="1"/>
  <c r="A199" i="3" s="1"/>
  <c r="A33" i="3"/>
  <c r="A43" i="3" s="1"/>
  <c r="A53" i="3" s="1"/>
  <c r="A63" i="3" s="1"/>
  <c r="A73" i="3" s="1"/>
  <c r="A83" i="3" s="1"/>
  <c r="B124" i="1"/>
  <c r="B126" i="1" s="1"/>
  <c r="B128" i="1" s="1"/>
  <c r="B130" i="1" s="1"/>
  <c r="B132" i="1" s="1"/>
  <c r="B134" i="1" s="1"/>
  <c r="B136" i="1" s="1"/>
  <c r="B138" i="1" s="1"/>
  <c r="B140" i="1" s="1"/>
  <c r="B125" i="1"/>
  <c r="B127" i="1" s="1"/>
  <c r="B129" i="1" s="1"/>
  <c r="B131" i="1" s="1"/>
  <c r="B133" i="1" s="1"/>
  <c r="B135" i="1" s="1"/>
  <c r="B137" i="1" s="1"/>
  <c r="B139" i="1" s="1"/>
  <c r="B141" i="1" s="1"/>
  <c r="A45" i="4"/>
  <c r="A49" i="4" s="1"/>
  <c r="A53" i="4" s="1"/>
  <c r="A57" i="4" s="1"/>
  <c r="A61" i="4" s="1"/>
  <c r="A44" i="4"/>
  <c r="A48" i="4" s="1"/>
  <c r="A52" i="4" s="1"/>
  <c r="A56" i="4" s="1"/>
  <c r="A60" i="4" s="1"/>
  <c r="A42" i="4"/>
  <c r="A46" i="4" s="1"/>
  <c r="A50" i="4" s="1"/>
  <c r="A54" i="4" s="1"/>
  <c r="A58" i="4" s="1"/>
  <c r="A43" i="4"/>
  <c r="A47" i="4" s="1"/>
  <c r="A51" i="4" s="1"/>
  <c r="A55" i="4" s="1"/>
  <c r="A59" i="4" s="1"/>
  <c r="A116" i="3"/>
  <c r="A126" i="3" s="1"/>
  <c r="A136" i="3" s="1"/>
  <c r="A146" i="3" s="1"/>
  <c r="A156" i="3" s="1"/>
  <c r="A166" i="3" s="1"/>
  <c r="A209" i="3" l="1"/>
  <c r="A100" i="3"/>
  <c r="A110" i="3" s="1"/>
  <c r="A120" i="3" s="1"/>
  <c r="A130" i="3" s="1"/>
  <c r="A140" i="3" s="1"/>
  <c r="A150" i="3" s="1"/>
  <c r="A160" i="3" s="1"/>
  <c r="A170" i="3" s="1"/>
  <c r="A180" i="3" s="1"/>
  <c r="A190" i="3" s="1"/>
  <c r="A200" i="3" s="1"/>
  <c r="A211" i="3"/>
  <c r="A207" i="3"/>
  <c r="A202" i="3"/>
  <c r="A93" i="3"/>
  <c r="A103" i="3" s="1"/>
  <c r="A113" i="3" s="1"/>
  <c r="A123" i="3" s="1"/>
  <c r="A133" i="3" s="1"/>
  <c r="A143" i="3" s="1"/>
  <c r="A153" i="3" s="1"/>
  <c r="A163" i="3" s="1"/>
  <c r="A173" i="3" s="1"/>
  <c r="A183" i="3" s="1"/>
  <c r="A193" i="3" s="1"/>
  <c r="B143" i="1"/>
  <c r="B145" i="1" s="1"/>
  <c r="B147" i="1" s="1"/>
  <c r="B149" i="1" s="1"/>
  <c r="B151" i="1" s="1"/>
  <c r="B153" i="1" s="1"/>
  <c r="B155" i="1" s="1"/>
  <c r="B157" i="1" s="1"/>
  <c r="B159" i="1" s="1"/>
  <c r="B161" i="1" s="1"/>
  <c r="B163" i="1" s="1"/>
  <c r="B165" i="1" s="1"/>
  <c r="B167" i="1" s="1"/>
  <c r="B169" i="1" s="1"/>
  <c r="B171" i="1" s="1"/>
  <c r="B142" i="1"/>
  <c r="B144" i="1" s="1"/>
  <c r="B146" i="1" s="1"/>
  <c r="B148" i="1" s="1"/>
  <c r="B150" i="1" s="1"/>
  <c r="B152" i="1" s="1"/>
  <c r="B154" i="1" s="1"/>
  <c r="B156" i="1" s="1"/>
  <c r="B158" i="1" s="1"/>
  <c r="B160" i="1" s="1"/>
  <c r="B162" i="1" s="1"/>
  <c r="B164" i="1" s="1"/>
  <c r="B166" i="1" s="1"/>
  <c r="B168" i="1" s="1"/>
  <c r="B170" i="1" s="1"/>
  <c r="A63" i="4"/>
  <c r="A62" i="4"/>
  <c r="A64" i="4"/>
  <c r="A65" i="4"/>
  <c r="A178" i="3"/>
  <c r="A188" i="3" s="1"/>
  <c r="A198" i="3" s="1"/>
  <c r="A176" i="3"/>
  <c r="A186" i="3" s="1"/>
  <c r="A196" i="3" s="1"/>
  <c r="A174" i="3"/>
  <c r="A184" i="3" s="1"/>
  <c r="A194" i="3" s="1"/>
  <c r="A175" i="3"/>
  <c r="A185" i="3" s="1"/>
  <c r="A195" i="3" s="1"/>
  <c r="A212" i="3" l="1"/>
  <c r="A217" i="3"/>
  <c r="A221" i="3"/>
  <c r="A219" i="3"/>
  <c r="A203" i="3"/>
  <c r="A205" i="3"/>
  <c r="A204" i="3"/>
  <c r="A206" i="3"/>
  <c r="A208" i="3"/>
  <c r="A210" i="3"/>
  <c r="B172" i="1"/>
  <c r="B174" i="1" s="1"/>
  <c r="B176" i="1" s="1"/>
  <c r="B178" i="1" s="1"/>
  <c r="B180" i="1" s="1"/>
  <c r="B182" i="1" s="1"/>
  <c r="B184" i="1" s="1"/>
  <c r="B186" i="1" s="1"/>
  <c r="B188" i="1" s="1"/>
  <c r="B190" i="1" s="1"/>
  <c r="B173" i="1"/>
  <c r="B175" i="1" s="1"/>
  <c r="B177" i="1" s="1"/>
  <c r="B179" i="1" s="1"/>
  <c r="B181" i="1" s="1"/>
  <c r="B183" i="1" s="1"/>
  <c r="B185" i="1" s="1"/>
  <c r="B187" i="1" s="1"/>
  <c r="B189" i="1" s="1"/>
  <c r="B191" i="1" s="1"/>
  <c r="A69" i="4"/>
  <c r="A73" i="4" s="1"/>
  <c r="A77" i="4" s="1"/>
  <c r="A68" i="4"/>
  <c r="A72" i="4" s="1"/>
  <c r="A76" i="4" s="1"/>
  <c r="A66" i="4"/>
  <c r="A70" i="4" s="1"/>
  <c r="A74" i="4" s="1"/>
  <c r="A67" i="4"/>
  <c r="A71" i="4" s="1"/>
  <c r="A75" i="4" s="1"/>
  <c r="A251" i="3" l="1"/>
  <c r="A261" i="3" s="1"/>
  <c r="A271" i="3" s="1"/>
  <c r="A281" i="3" s="1"/>
  <c r="A291" i="3" s="1"/>
  <c r="A301" i="3" s="1"/>
  <c r="A311" i="3" s="1"/>
  <c r="A321" i="3" s="1"/>
  <c r="A331" i="3" s="1"/>
  <c r="A341" i="3" s="1"/>
  <c r="A351" i="3" s="1"/>
  <c r="A361" i="3" s="1"/>
  <c r="A231" i="3"/>
  <c r="A241" i="3" s="1"/>
  <c r="A227" i="3"/>
  <c r="A237" i="3" s="1"/>
  <c r="A247" i="3"/>
  <c r="A257" i="3" s="1"/>
  <c r="A267" i="3" s="1"/>
  <c r="A277" i="3" s="1"/>
  <c r="A287" i="3" s="1"/>
  <c r="A297" i="3" s="1"/>
  <c r="A307" i="3" s="1"/>
  <c r="A317" i="3" s="1"/>
  <c r="A327" i="3" s="1"/>
  <c r="A337" i="3" s="1"/>
  <c r="A347" i="3" s="1"/>
  <c r="A357" i="3" s="1"/>
  <c r="A249" i="3"/>
  <c r="A259" i="3" s="1"/>
  <c r="A269" i="3" s="1"/>
  <c r="A279" i="3" s="1"/>
  <c r="A289" i="3" s="1"/>
  <c r="A299" i="3" s="1"/>
  <c r="A309" i="3" s="1"/>
  <c r="A319" i="3" s="1"/>
  <c r="A329" i="3" s="1"/>
  <c r="A339" i="3" s="1"/>
  <c r="A349" i="3" s="1"/>
  <c r="A359" i="3" s="1"/>
  <c r="A229" i="3"/>
  <c r="A239" i="3" s="1"/>
  <c r="A218" i="3"/>
  <c r="A242" i="3"/>
  <c r="A252" i="3" s="1"/>
  <c r="A262" i="3" s="1"/>
  <c r="A272" i="3" s="1"/>
  <c r="A282" i="3" s="1"/>
  <c r="A292" i="3" s="1"/>
  <c r="A302" i="3" s="1"/>
  <c r="A312" i="3" s="1"/>
  <c r="A322" i="3" s="1"/>
  <c r="A332" i="3" s="1"/>
  <c r="A342" i="3" s="1"/>
  <c r="A352" i="3" s="1"/>
  <c r="A222" i="3"/>
  <c r="A232" i="3" s="1"/>
  <c r="A220" i="3"/>
  <c r="A216" i="3"/>
  <c r="A214" i="3"/>
  <c r="A215" i="3"/>
  <c r="A213" i="3"/>
  <c r="B193" i="1"/>
  <c r="B195" i="1" s="1"/>
  <c r="B197" i="1" s="1"/>
  <c r="B199" i="1" s="1"/>
  <c r="B201" i="1" s="1"/>
  <c r="B203" i="1" s="1"/>
  <c r="B205" i="1" s="1"/>
  <c r="B207" i="1" s="1"/>
  <c r="B209" i="1" s="1"/>
  <c r="B192" i="1"/>
  <c r="B194" i="1" s="1"/>
  <c r="B196" i="1" s="1"/>
  <c r="B198" i="1" s="1"/>
  <c r="B200" i="1" s="1"/>
  <c r="B202" i="1" s="1"/>
  <c r="B204" i="1" s="1"/>
  <c r="B206" i="1" s="1"/>
  <c r="B208" i="1" s="1"/>
  <c r="A78" i="4"/>
  <c r="A80" i="4"/>
  <c r="A79" i="4"/>
  <c r="A81" i="4"/>
  <c r="A248" i="3" l="1"/>
  <c r="A258" i="3" s="1"/>
  <c r="A268" i="3" s="1"/>
  <c r="A278" i="3" s="1"/>
  <c r="A288" i="3" s="1"/>
  <c r="A298" i="3" s="1"/>
  <c r="A308" i="3" s="1"/>
  <c r="A318" i="3" s="1"/>
  <c r="A328" i="3" s="1"/>
  <c r="A338" i="3" s="1"/>
  <c r="A348" i="3" s="1"/>
  <c r="A358" i="3" s="1"/>
  <c r="A228" i="3"/>
  <c r="A238" i="3" s="1"/>
  <c r="A224" i="3"/>
  <c r="A234" i="3" s="1"/>
  <c r="A244" i="3"/>
  <c r="A254" i="3" s="1"/>
  <c r="A264" i="3" s="1"/>
  <c r="A274" i="3" s="1"/>
  <c r="A284" i="3" s="1"/>
  <c r="A294" i="3" s="1"/>
  <c r="A304" i="3" s="1"/>
  <c r="A314" i="3" s="1"/>
  <c r="A324" i="3" s="1"/>
  <c r="A334" i="3" s="1"/>
  <c r="A344" i="3" s="1"/>
  <c r="A354" i="3" s="1"/>
  <c r="A226" i="3"/>
  <c r="A236" i="3" s="1"/>
  <c r="A246" i="3"/>
  <c r="A256" i="3" s="1"/>
  <c r="A266" i="3" s="1"/>
  <c r="A276" i="3" s="1"/>
  <c r="A286" i="3" s="1"/>
  <c r="A296" i="3" s="1"/>
  <c r="A306" i="3" s="1"/>
  <c r="A316" i="3" s="1"/>
  <c r="A326" i="3" s="1"/>
  <c r="A336" i="3" s="1"/>
  <c r="A346" i="3" s="1"/>
  <c r="A356" i="3" s="1"/>
  <c r="A243" i="3"/>
  <c r="A253" i="3" s="1"/>
  <c r="A263" i="3" s="1"/>
  <c r="A273" i="3" s="1"/>
  <c r="A283" i="3" s="1"/>
  <c r="A293" i="3" s="1"/>
  <c r="A303" i="3" s="1"/>
  <c r="A313" i="3" s="1"/>
  <c r="A323" i="3" s="1"/>
  <c r="A333" i="3" s="1"/>
  <c r="A343" i="3" s="1"/>
  <c r="A353" i="3" s="1"/>
  <c r="A223" i="3"/>
  <c r="A233" i="3" s="1"/>
  <c r="A250" i="3"/>
  <c r="A260" i="3" s="1"/>
  <c r="A270" i="3" s="1"/>
  <c r="A280" i="3" s="1"/>
  <c r="A290" i="3" s="1"/>
  <c r="A300" i="3" s="1"/>
  <c r="A310" i="3" s="1"/>
  <c r="A320" i="3" s="1"/>
  <c r="A330" i="3" s="1"/>
  <c r="A340" i="3" s="1"/>
  <c r="A350" i="3" s="1"/>
  <c r="A360" i="3" s="1"/>
  <c r="A230" i="3"/>
  <c r="A240" i="3" s="1"/>
  <c r="A245" i="3"/>
  <c r="A255" i="3" s="1"/>
  <c r="A265" i="3" s="1"/>
  <c r="A275" i="3" s="1"/>
  <c r="A285" i="3" s="1"/>
  <c r="A295" i="3" s="1"/>
  <c r="A305" i="3" s="1"/>
  <c r="A315" i="3" s="1"/>
  <c r="A325" i="3" s="1"/>
  <c r="A335" i="3" s="1"/>
  <c r="A345" i="3" s="1"/>
  <c r="A355" i="3" s="1"/>
  <c r="A225" i="3"/>
  <c r="A235" i="3" s="1"/>
  <c r="A84" i="4"/>
  <c r="A85" i="4"/>
  <c r="A83" i="4"/>
  <c r="A82" i="4"/>
  <c r="A94" i="4" l="1"/>
  <c r="A98" i="4" s="1"/>
  <c r="A102" i="4" s="1"/>
  <c r="A106" i="4" s="1"/>
  <c r="A110" i="4" s="1"/>
  <c r="A114" i="4" s="1"/>
  <c r="A118" i="4" s="1"/>
  <c r="A122" i="4" s="1"/>
  <c r="A126" i="4" s="1"/>
  <c r="A86" i="4"/>
  <c r="A90" i="4" s="1"/>
  <c r="A95" i="4"/>
  <c r="A99" i="4" s="1"/>
  <c r="A103" i="4" s="1"/>
  <c r="A107" i="4" s="1"/>
  <c r="A111" i="4" s="1"/>
  <c r="A115" i="4" s="1"/>
  <c r="A119" i="4" s="1"/>
  <c r="A123" i="4" s="1"/>
  <c r="A127" i="4" s="1"/>
  <c r="A87" i="4"/>
  <c r="A91" i="4" s="1"/>
  <c r="A97" i="4"/>
  <c r="A101" i="4" s="1"/>
  <c r="A105" i="4" s="1"/>
  <c r="A109" i="4" s="1"/>
  <c r="A113" i="4" s="1"/>
  <c r="A117" i="4" s="1"/>
  <c r="A121" i="4" s="1"/>
  <c r="A125" i="4" s="1"/>
  <c r="A129" i="4" s="1"/>
  <c r="A89" i="4"/>
  <c r="A93" i="4" s="1"/>
  <c r="A96" i="4"/>
  <c r="A100" i="4" s="1"/>
  <c r="A104" i="4" s="1"/>
  <c r="A108" i="4" s="1"/>
  <c r="A112" i="4" s="1"/>
  <c r="A116" i="4" s="1"/>
  <c r="A120" i="4" s="1"/>
  <c r="A124" i="4" s="1"/>
  <c r="A128" i="4" s="1"/>
  <c r="A88" i="4"/>
  <c r="A92" i="4" s="1"/>
  <c r="AA37" i="2"/>
  <c r="AA27" i="2" s="1"/>
  <c r="AB37" i="2"/>
  <c r="AB27" i="2" s="1"/>
  <c r="AC37" i="2"/>
  <c r="AC27" i="2" s="1"/>
  <c r="V37" i="2"/>
  <c r="V27" i="2" s="1"/>
  <c r="AD37" i="2"/>
  <c r="AD27" i="2" s="1"/>
  <c r="W37" i="2"/>
  <c r="W27" i="2" s="1"/>
  <c r="AE37" i="2"/>
  <c r="AE27" i="2" s="1"/>
  <c r="X37" i="2"/>
  <c r="X27" i="2" s="1"/>
  <c r="Y37" i="2"/>
  <c r="Y27" i="2" s="1"/>
  <c r="AG37" i="2"/>
  <c r="AG27" i="2" s="1"/>
  <c r="Z37" i="2"/>
  <c r="Z27" i="2" s="1"/>
  <c r="AF37" i="2"/>
  <c r="AF27" i="2" s="1"/>
  <c r="A132" i="4" l="1"/>
  <c r="A136" i="4" s="1"/>
  <c r="A140" i="4" s="1"/>
  <c r="A144" i="4"/>
  <c r="A148" i="4" s="1"/>
  <c r="A152" i="4" s="1"/>
  <c r="A156" i="4" s="1"/>
  <c r="A160" i="4" s="1"/>
  <c r="A164" i="4" s="1"/>
  <c r="A168" i="4" s="1"/>
  <c r="A172" i="4" s="1"/>
  <c r="A176" i="4" s="1"/>
  <c r="A180" i="4" s="1"/>
  <c r="A184" i="4" s="1"/>
  <c r="A188" i="4" s="1"/>
  <c r="A192" i="4" s="1"/>
  <c r="A196" i="4" s="1"/>
  <c r="A200" i="4" s="1"/>
  <c r="A204" i="4" s="1"/>
  <c r="A208" i="4" s="1"/>
  <c r="A212" i="4" s="1"/>
  <c r="A216" i="4" s="1"/>
  <c r="A220" i="4" s="1"/>
  <c r="A224" i="4" s="1"/>
  <c r="A228" i="4" s="1"/>
  <c r="A232" i="4" s="1"/>
  <c r="A236" i="4" s="1"/>
  <c r="A240" i="4" s="1"/>
  <c r="A143" i="4"/>
  <c r="A147" i="4" s="1"/>
  <c r="A151" i="4" s="1"/>
  <c r="A155" i="4" s="1"/>
  <c r="A159" i="4" s="1"/>
  <c r="A163" i="4" s="1"/>
  <c r="A167" i="4" s="1"/>
  <c r="A171" i="4" s="1"/>
  <c r="A175" i="4" s="1"/>
  <c r="A179" i="4" s="1"/>
  <c r="A183" i="4" s="1"/>
  <c r="A187" i="4" s="1"/>
  <c r="A191" i="4" s="1"/>
  <c r="A195" i="4" s="1"/>
  <c r="A199" i="4" s="1"/>
  <c r="A203" i="4" s="1"/>
  <c r="A207" i="4" s="1"/>
  <c r="A211" i="4" s="1"/>
  <c r="A215" i="4" s="1"/>
  <c r="A219" i="4" s="1"/>
  <c r="A223" i="4" s="1"/>
  <c r="A227" i="4" s="1"/>
  <c r="A231" i="4" s="1"/>
  <c r="A235" i="4" s="1"/>
  <c r="A239" i="4" s="1"/>
  <c r="A131" i="4"/>
  <c r="A135" i="4" s="1"/>
  <c r="A139" i="4" s="1"/>
  <c r="A145" i="4"/>
  <c r="A149" i="4" s="1"/>
  <c r="A153" i="4" s="1"/>
  <c r="A157" i="4" s="1"/>
  <c r="A161" i="4" s="1"/>
  <c r="A165" i="4" s="1"/>
  <c r="A169" i="4" s="1"/>
  <c r="A173" i="4" s="1"/>
  <c r="A177" i="4" s="1"/>
  <c r="A181" i="4" s="1"/>
  <c r="A185" i="4" s="1"/>
  <c r="A189" i="4" s="1"/>
  <c r="A193" i="4" s="1"/>
  <c r="A197" i="4" s="1"/>
  <c r="A201" i="4" s="1"/>
  <c r="A205" i="4" s="1"/>
  <c r="A209" i="4" s="1"/>
  <c r="A213" i="4" s="1"/>
  <c r="A217" i="4" s="1"/>
  <c r="A221" i="4" s="1"/>
  <c r="A225" i="4" s="1"/>
  <c r="A229" i="4" s="1"/>
  <c r="A233" i="4" s="1"/>
  <c r="A237" i="4" s="1"/>
  <c r="A241" i="4" s="1"/>
  <c r="A133" i="4"/>
  <c r="A137" i="4" s="1"/>
  <c r="A141" i="4" s="1"/>
  <c r="A142" i="4"/>
  <c r="A146" i="4" s="1"/>
  <c r="A150" i="4" s="1"/>
  <c r="A154" i="4" s="1"/>
  <c r="A158" i="4" s="1"/>
  <c r="A162" i="4" s="1"/>
  <c r="A166" i="4" s="1"/>
  <c r="A170" i="4" s="1"/>
  <c r="A174" i="4" s="1"/>
  <c r="A178" i="4" s="1"/>
  <c r="A182" i="4" s="1"/>
  <c r="A186" i="4" s="1"/>
  <c r="A190" i="4" s="1"/>
  <c r="A194" i="4" s="1"/>
  <c r="A198" i="4" s="1"/>
  <c r="A202" i="4" s="1"/>
  <c r="A206" i="4" s="1"/>
  <c r="A210" i="4" s="1"/>
  <c r="A214" i="4" s="1"/>
  <c r="A218" i="4" s="1"/>
  <c r="A222" i="4" s="1"/>
  <c r="A226" i="4" s="1"/>
  <c r="A230" i="4" s="1"/>
  <c r="A234" i="4" s="1"/>
  <c r="A238" i="4" s="1"/>
  <c r="A130" i="4"/>
  <c r="A134" i="4" s="1"/>
  <c r="A138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B1" authorId="0" shapeId="0" xr:uid="{37DCB958-80DC-47E9-B76A-411FEB128AC6}">
      <text>
        <r>
          <rPr>
            <b/>
            <sz val="9"/>
            <color indexed="81"/>
            <rFont val="Tahoma"/>
            <family val="2"/>
          </rPr>
          <t>Insert here rail technologies</t>
        </r>
      </text>
    </comment>
  </commentList>
</comments>
</file>

<file path=xl/sharedStrings.xml><?xml version="1.0" encoding="utf-8"?>
<sst xmlns="http://schemas.openxmlformats.org/spreadsheetml/2006/main" count="5023" uniqueCount="304">
  <si>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</si>
  <si>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</si>
  <si>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</si>
  <si>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</si>
  <si>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</si>
  <si>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</si>
  <si>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</si>
  <si>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</si>
  <si>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Primary</t>
  </si>
  <si>
    <t>Secondary</t>
  </si>
  <si>
    <t>Demand Techs</t>
  </si>
  <si>
    <t>Transport Fuel Distribution</t>
  </si>
  <si>
    <t>Transport Vehicles</t>
  </si>
  <si>
    <t>Vehicle Groups</t>
  </si>
  <si>
    <t>IMP_ELE</t>
  </si>
  <si>
    <t>SOIALL</t>
  </si>
  <si>
    <t>IMPARR</t>
  </si>
  <si>
    <t>IMPBAN</t>
  </si>
  <si>
    <t>IMPCOC</t>
  </si>
  <si>
    <t>IMPCOF</t>
  </si>
  <si>
    <t>IMPSUG</t>
  </si>
  <si>
    <t>IMPMAI</t>
  </si>
  <si>
    <t>IMPPAF</t>
  </si>
  <si>
    <t>IMPPAL</t>
  </si>
  <si>
    <t>IMPLEG</t>
  </si>
  <si>
    <t>IMPCER</t>
  </si>
  <si>
    <t>IMPTUB</t>
  </si>
  <si>
    <t>IMPFRT</t>
  </si>
  <si>
    <t>IMPVEG</t>
  </si>
  <si>
    <t>IMPFLO</t>
  </si>
  <si>
    <t>IMPBOV</t>
  </si>
  <si>
    <t>IMPBUF</t>
  </si>
  <si>
    <t>IMPOVE</t>
  </si>
  <si>
    <t>IMPCBR</t>
  </si>
  <si>
    <t>IMPCAM</t>
  </si>
  <si>
    <t>IMPCAB</t>
  </si>
  <si>
    <t>IMPMUL</t>
  </si>
  <si>
    <t>IMPAVE</t>
  </si>
  <si>
    <t>LU_CROP</t>
  </si>
  <si>
    <t>LU_PAS</t>
  </si>
  <si>
    <t>AG_ARR</t>
  </si>
  <si>
    <t>AG_BAN</t>
  </si>
  <si>
    <t>AG_COC</t>
  </si>
  <si>
    <t>AG_COF</t>
  </si>
  <si>
    <t>AG_SUG</t>
  </si>
  <si>
    <t>AG_MAI</t>
  </si>
  <si>
    <t>AG_PAF</t>
  </si>
  <si>
    <t>AG_PAL</t>
  </si>
  <si>
    <t>AG_LEG</t>
  </si>
  <si>
    <t>AG_CER</t>
  </si>
  <si>
    <t>AG_TUB</t>
  </si>
  <si>
    <t>AG_FRT</t>
  </si>
  <si>
    <t>AG_VEG</t>
  </si>
  <si>
    <t>AG_FLO</t>
  </si>
  <si>
    <t>GA_BOV</t>
  </si>
  <si>
    <t>GA_BUF</t>
  </si>
  <si>
    <t>GA_OVE</t>
  </si>
  <si>
    <t>GA_CBR</t>
  </si>
  <si>
    <t>GA_CAM</t>
  </si>
  <si>
    <t>GA_CAB</t>
  </si>
  <si>
    <t>GA_MUL</t>
  </si>
  <si>
    <t>GA_AVE</t>
  </si>
  <si>
    <t>T5ELEAGR</t>
  </si>
  <si>
    <t>T5ARRAGR</t>
  </si>
  <si>
    <t>T5BANAGR</t>
  </si>
  <si>
    <t>T5COCAGR</t>
  </si>
  <si>
    <t>T5COFAGR</t>
  </si>
  <si>
    <t>T5SUGAGR</t>
  </si>
  <si>
    <t>T5MAIAGR</t>
  </si>
  <si>
    <t>T5PAFAGR</t>
  </si>
  <si>
    <t>T5PALAGR</t>
  </si>
  <si>
    <t>T5LEGAGR</t>
  </si>
  <si>
    <t>T5CERAGR</t>
  </si>
  <si>
    <t>T5TUBAGR</t>
  </si>
  <si>
    <t>T5FRTAGR</t>
  </si>
  <si>
    <t>T5VEGAGR</t>
  </si>
  <si>
    <t>T5FLOAGR</t>
  </si>
  <si>
    <t>T5BOVGAN</t>
  </si>
  <si>
    <t>T5BUFGAN</t>
  </si>
  <si>
    <t>T5OVEGAN</t>
  </si>
  <si>
    <t>T5CBRGAN</t>
  </si>
  <si>
    <t>T5CAMGAN</t>
  </si>
  <si>
    <t>T5CABGAN</t>
  </si>
  <si>
    <t>T5MULGAN</t>
  </si>
  <si>
    <t>T5CERGAN</t>
  </si>
  <si>
    <t>T5AVEGAN</t>
  </si>
  <si>
    <t>T5ARRAGREXP</t>
  </si>
  <si>
    <t>T5BANAGREXP</t>
  </si>
  <si>
    <t>T5COCAGREXP</t>
  </si>
  <si>
    <t>T5COFAGREXP</t>
  </si>
  <si>
    <t>T5SUGAGREXP</t>
  </si>
  <si>
    <t>T5MAIAGREXP</t>
  </si>
  <si>
    <t>T5PAFAGREXP</t>
  </si>
  <si>
    <t>T5PALAGREXP</t>
  </si>
  <si>
    <t>T5LEGAGREXP</t>
  </si>
  <si>
    <t>T5CERAGREXP</t>
  </si>
  <si>
    <t>T5TUBAGREXP</t>
  </si>
  <si>
    <t>T5FRTAGREXP</t>
  </si>
  <si>
    <t>T5VEGAGREXP</t>
  </si>
  <si>
    <t>T5FLOAGREXP</t>
  </si>
  <si>
    <t>T5BOVGANEXP</t>
  </si>
  <si>
    <t>T5BUFGANEXP</t>
  </si>
  <si>
    <t>T5OVEGANEXP</t>
  </si>
  <si>
    <t>T5CBRGANEXP</t>
  </si>
  <si>
    <t>T5CAMGANEXP</t>
  </si>
  <si>
    <t>T5CABGANEXP</t>
  </si>
  <si>
    <t>T5MULGANEXP</t>
  </si>
  <si>
    <t>T5CERGANEXP</t>
  </si>
  <si>
    <t>T5AVEGANEXP</t>
  </si>
  <si>
    <t>T4ELE_HEA</t>
  </si>
  <si>
    <t>TRXTRAIELE</t>
  </si>
  <si>
    <t>Techs_Rail</t>
  </si>
  <si>
    <t>Primary - Import - Electricity</t>
  </si>
  <si>
    <t>Primary - Soil</t>
  </si>
  <si>
    <t>Import Arroz</t>
  </si>
  <si>
    <t>Import Banana</t>
  </si>
  <si>
    <t>Import Cocoa</t>
  </si>
  <si>
    <t>Import Coffee</t>
  </si>
  <si>
    <t>Import Sugarcane</t>
  </si>
  <si>
    <t>Import Maize</t>
  </si>
  <si>
    <t>Import African_palm</t>
  </si>
  <si>
    <t>Import Palmito</t>
  </si>
  <si>
    <t>Import Legumes</t>
  </si>
  <si>
    <t>Import Cereals</t>
  </si>
  <si>
    <t>Import Tubers</t>
  </si>
  <si>
    <t>Import Fruits</t>
  </si>
  <si>
    <t>Import Vegetables</t>
  </si>
  <si>
    <t>Import Flowers</t>
  </si>
  <si>
    <t>Import Bovinos</t>
  </si>
  <si>
    <t>Import Bufalos</t>
  </si>
  <si>
    <t>Import Ovejas</t>
  </si>
  <si>
    <t>Import Cabras</t>
  </si>
  <si>
    <t>Import Camelidos_sud</t>
  </si>
  <si>
    <t>Import Caballos</t>
  </si>
  <si>
    <t>Import Mulas</t>
  </si>
  <si>
    <t>Import Cerdos</t>
  </si>
  <si>
    <t>Import Aves</t>
  </si>
  <si>
    <t>Cropland soil</t>
  </si>
  <si>
    <t>Pasture soil</t>
  </si>
  <si>
    <t>Arroz</t>
  </si>
  <si>
    <t>Banana</t>
  </si>
  <si>
    <t>Cocoa</t>
  </si>
  <si>
    <t>Coffee</t>
  </si>
  <si>
    <t>Sugarcane</t>
  </si>
  <si>
    <t>Maize</t>
  </si>
  <si>
    <t>African_palm</t>
  </si>
  <si>
    <t>Palmito</t>
  </si>
  <si>
    <t>Legumes</t>
  </si>
  <si>
    <t>Cereals</t>
  </si>
  <si>
    <t>Tubers</t>
  </si>
  <si>
    <t>Fruits</t>
  </si>
  <si>
    <t>Vegetables</t>
  </si>
  <si>
    <t>Flowers</t>
  </si>
  <si>
    <t>Bovinos</t>
  </si>
  <si>
    <t>Bufalos</t>
  </si>
  <si>
    <t>Ovejas</t>
  </si>
  <si>
    <t>Cabras</t>
  </si>
  <si>
    <t>Camelidos_sud</t>
  </si>
  <si>
    <t>Caballos</t>
  </si>
  <si>
    <t>Mulas</t>
  </si>
  <si>
    <t>Cerdos</t>
  </si>
  <si>
    <t>Aves</t>
  </si>
  <si>
    <t>Demand Electric for Agriculture</t>
  </si>
  <si>
    <t>Demand Rice for Agriculture</t>
  </si>
  <si>
    <t>Demand Banana   for Agriculture</t>
  </si>
  <si>
    <t>Demand Cocoa   for Agriculture</t>
  </si>
  <si>
    <t>Demand Coffee   for Agriculture</t>
  </si>
  <si>
    <t>Demand Sugarcane for Agriculture</t>
  </si>
  <si>
    <t>Demand Maize for Agriculture</t>
  </si>
  <si>
    <t>Demand African_palm for Agriculture</t>
  </si>
  <si>
    <t>Demand Palmito for Agriculture</t>
  </si>
  <si>
    <t>Demand Legumes   for Agriculture</t>
  </si>
  <si>
    <t>Demand Cereals for Agriculture</t>
  </si>
  <si>
    <t>Demand Tubers   for Agriculture</t>
  </si>
  <si>
    <t>Demand Fruits   for Agriculture</t>
  </si>
  <si>
    <t>Demand Vegetables   for Agriculture</t>
  </si>
  <si>
    <t>Demand Flowers for Agriculture</t>
  </si>
  <si>
    <t>Demand Bovinos for Livestock</t>
  </si>
  <si>
    <t>Demand Bufalos for Livestock</t>
  </si>
  <si>
    <t>Demand Ovejas for Livestock</t>
  </si>
  <si>
    <t>Demand Cabras for Livestock</t>
  </si>
  <si>
    <t>Demand Camelidos_sud for Livestock</t>
  </si>
  <si>
    <t>Demand Caballos for Livestock</t>
  </si>
  <si>
    <t>Demand Mulas for Livestock</t>
  </si>
  <si>
    <t>Demand Cerdos for Livestock</t>
  </si>
  <si>
    <t>Demand Aves for Livestock</t>
  </si>
  <si>
    <t>Demand Rice for Agricultural Exports</t>
  </si>
  <si>
    <t>Demand Banana   for Agricultural Exports</t>
  </si>
  <si>
    <t>Demand Cocoa   for Agricultural Exports</t>
  </si>
  <si>
    <t>Demand Coffee   for Agricultural Exports</t>
  </si>
  <si>
    <t>Demand Sugarcane for Agricultural Exports</t>
  </si>
  <si>
    <t>Demand Maize for Agricultural Exports</t>
  </si>
  <si>
    <t>Demand African_palm for Agricultural Exports</t>
  </si>
  <si>
    <t>Demand Palmito for Agricultural Exports</t>
  </si>
  <si>
    <t>Demand Legumes   for Agricultural Exports</t>
  </si>
  <si>
    <t>Demand Cereals for Agricultural Exports</t>
  </si>
  <si>
    <t>Demand Tubers   for Agricultural Exports</t>
  </si>
  <si>
    <t>Demand Fruits   for Agricultural Exports</t>
  </si>
  <si>
    <t>Demand Vegetables   for Agricultural Exports</t>
  </si>
  <si>
    <t>Demand Flowers for Agricultural Exports</t>
  </si>
  <si>
    <t>Demand Bovinos for Livestock Exports</t>
  </si>
  <si>
    <t>Demand Bufalos for Livestock Exports</t>
  </si>
  <si>
    <t>Demand Ovejas for Livestock Exports</t>
  </si>
  <si>
    <t>Demand Cabras for Livestock Exports</t>
  </si>
  <si>
    <t>Demand Camelidos_sud for Livestock Exports</t>
  </si>
  <si>
    <t>Demand Caballos for Livestock Exports</t>
  </si>
  <si>
    <t>Demand Mulas for Livestock Exports</t>
  </si>
  <si>
    <t>Demand Cerdos for Livestock Exports</t>
  </si>
  <si>
    <t>Demand Aves for Livestock Exports</t>
  </si>
  <si>
    <t>Distribute Electric for Heavy Freight</t>
  </si>
  <si>
    <t>Floating technology Electric</t>
  </si>
  <si>
    <t>Floating technology</t>
  </si>
  <si>
    <t>CapacityToActivityUnit</t>
  </si>
  <si>
    <t>OperationalLife</t>
  </si>
  <si>
    <t>Projection.Mode</t>
  </si>
  <si>
    <t>Projection.Parameter</t>
  </si>
  <si>
    <t>CapitalCost</t>
  </si>
  <si>
    <t>FixedCost</t>
  </si>
  <si>
    <t>VariableCost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</si>
  <si>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</si>
  <si>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</si>
  <si>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</si>
  <si>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</si>
  <si>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</si>
  <si>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CapacityFactor</t>
  </si>
  <si>
    <t>AvailabilityFactor</t>
  </si>
  <si>
    <t>Unit.Introduced</t>
  </si>
  <si>
    <t>Application</t>
  </si>
  <si>
    <t>Fuel</t>
  </si>
  <si>
    <t>TRANE6NOMOT</t>
  </si>
  <si>
    <t>Tecnología habilitadora de reducción de no-motorizado</t>
  </si>
  <si>
    <t>E6TRNOMOT</t>
  </si>
  <si>
    <t>OutputActivityRatio</t>
  </si>
  <si>
    <t>Flat</t>
  </si>
  <si>
    <t>NDC scenarios</t>
  </si>
  <si>
    <t>MUS$/Gvkm</t>
  </si>
  <si>
    <t>Gvkm</t>
  </si>
  <si>
    <t>According to demand</t>
  </si>
  <si>
    <t>EMPTY</t>
  </si>
  <si>
    <t>Mha</t>
  </si>
  <si>
    <t>M US$ / Mha</t>
  </si>
  <si>
    <t>MUS$ / PJ</t>
  </si>
  <si>
    <t>adim</t>
  </si>
  <si>
    <t>MUS$ / Mha</t>
  </si>
  <si>
    <t>PJ/PJ</t>
  </si>
  <si>
    <t>Years</t>
  </si>
  <si>
    <t>Not needed</t>
  </si>
  <si>
    <t>Does not have CAPEX, so operational life is not necessary</t>
  </si>
  <si>
    <t>Mha/Mha</t>
  </si>
  <si>
    <t>Mton/Mton</t>
  </si>
  <si>
    <t>User defined</t>
  </si>
  <si>
    <t>Transport</t>
  </si>
  <si>
    <t>IMPPOR</t>
  </si>
  <si>
    <t>GA_POR</t>
  </si>
  <si>
    <t>AG_SOY</t>
  </si>
  <si>
    <t>GA_BOVLEC</t>
  </si>
  <si>
    <t>Bovinos Leche</t>
  </si>
  <si>
    <t>Soy</t>
  </si>
  <si>
    <t>IMPSOY</t>
  </si>
  <si>
    <t>Import Soy</t>
  </si>
  <si>
    <t>T5SOYAGR</t>
  </si>
  <si>
    <t>Demand Soy for Agriculture</t>
  </si>
  <si>
    <t>Demand Bovinos Leche for Livestock</t>
  </si>
  <si>
    <t>T5SOYAGREXP</t>
  </si>
  <si>
    <t>Demand Soy for Agricultural Exports</t>
  </si>
  <si>
    <t>T5BOVLECGANEXP</t>
  </si>
  <si>
    <t>Demand Bovinos Leche for Livestock Exports</t>
  </si>
  <si>
    <t>T5BOVLECGAN</t>
  </si>
  <si>
    <t>GA_BOVVAC</t>
  </si>
  <si>
    <t>Bovinos Vacas</t>
  </si>
  <si>
    <t>GA_BOVCRE</t>
  </si>
  <si>
    <t>Bovinos Crecimiento</t>
  </si>
  <si>
    <t>GA_PAT</t>
  </si>
  <si>
    <t>GA_PAV</t>
  </si>
  <si>
    <t>GA_PON</t>
  </si>
  <si>
    <t>Patos</t>
  </si>
  <si>
    <t>Pavos</t>
  </si>
  <si>
    <t>Ponedoras</t>
  </si>
  <si>
    <t>Demand Bovinos Vacas for Livestock</t>
  </si>
  <si>
    <t>Demand Bovinos Crecimiento for Livestock</t>
  </si>
  <si>
    <t>T5PATGAN</t>
  </si>
  <si>
    <t>T5PAVGAN</t>
  </si>
  <si>
    <t>Demand Patos for Livestock</t>
  </si>
  <si>
    <t>Demand Pavos for Livestock</t>
  </si>
  <si>
    <t>T5PONGAN</t>
  </si>
  <si>
    <t>Demand Ponedoras for Livestock</t>
  </si>
  <si>
    <t>T5BOVVACGAN</t>
  </si>
  <si>
    <t>T5BOVCREGAN</t>
  </si>
  <si>
    <t>Bovinos Regenerativo</t>
  </si>
  <si>
    <t>Bovinos Vacas Regenerativo</t>
  </si>
  <si>
    <t>Bovinos Crecimiento Regenerativo</t>
  </si>
  <si>
    <t>Bovinos Leche Regenerativo</t>
  </si>
  <si>
    <t>GA_BOVREG</t>
  </si>
  <si>
    <t>GA_BOVVACREG</t>
  </si>
  <si>
    <t>GA_BOVCREREG</t>
  </si>
  <si>
    <t>GA_BOVLECREG</t>
  </si>
  <si>
    <t>T5BOVGANREG</t>
  </si>
  <si>
    <t>T5BOVVACGANREG</t>
  </si>
  <si>
    <t>T5BOVCREGANREG</t>
  </si>
  <si>
    <t>T5BOVLECGANREG</t>
  </si>
  <si>
    <t>Demand Bovinos for Livestock Regenerativa</t>
  </si>
  <si>
    <t>Demand Bovinos Vacas for Livestock Regenerativa</t>
  </si>
  <si>
    <t>Demand Bovinos Crecimiento for Livestock Regenerativa</t>
  </si>
  <si>
    <t>Demand Bovinos Leche for Livestock Regenerativa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</si>
</sst>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E+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0" xfId="0" applyFont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9" xfId="0" applyBorder="1"/>
    <xf numFmtId="0" fontId="0" fillId="0" borderId="20" xfId="0" applyBorder="1"/>
    <xf numFmtId="0" fontId="0" fillId="5" borderId="21" xfId="0" applyFill="1" applyBorder="1"/>
    <xf numFmtId="0" fontId="0" fillId="2" borderId="1" xfId="0" applyFill="1" applyBorder="1"/>
    <xf numFmtId="0" fontId="0" fillId="5" borderId="0" xfId="0" applyFill="1"/>
    <xf numFmtId="0" fontId="0" fillId="5" borderId="22" xfId="0" applyFill="1" applyBorder="1"/>
    <xf numFmtId="0" fontId="0" fillId="6" borderId="21" xfId="0" applyFill="1" applyBorder="1"/>
    <xf numFmtId="0" fontId="0" fillId="6" borderId="0" xfId="0" applyFill="1"/>
    <xf numFmtId="0" fontId="0" fillId="6" borderId="22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1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0" borderId="10" xfId="0" applyBorder="1"/>
    <xf numFmtId="0" fontId="0" fillId="0" borderId="11" xfId="0" applyBorder="1"/>
    <xf numFmtId="0" fontId="0" fillId="7" borderId="1" xfId="0" applyFill="1" applyBorder="1"/>
    <xf numFmtId="0" fontId="0" fillId="8" borderId="1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16" xfId="0" applyFill="1" applyBorder="1"/>
    <xf numFmtId="0" fontId="0" fillId="4" borderId="5" xfId="0" applyFill="1" applyBorder="1"/>
    <xf numFmtId="0" fontId="0" fillId="9" borderId="1" xfId="0" applyFill="1" applyBorder="1"/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4" borderId="3" xfId="0" applyFill="1" applyBorder="1"/>
    <xf numFmtId="0" fontId="0" fillId="0" borderId="23" xfId="0" applyBorder="1"/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9" borderId="3" xfId="0" applyFill="1" applyBorder="1"/>
    <xf numFmtId="0" fontId="0" fillId="9" borderId="8" xfId="0" applyFill="1" applyBorder="1"/>
    <xf numFmtId="0" fontId="0" fillId="4" borderId="5" xfId="0" applyFill="1" applyBorder="1" applyAlignment="1">
      <alignment horizontal="left"/>
    </xf>
    <xf numFmtId="0" fontId="0" fillId="4" borderId="21" xfId="0" applyFill="1" applyBorder="1"/>
    <xf numFmtId="0" fontId="0" fillId="4" borderId="0" xfId="0" applyFill="1"/>
    <xf numFmtId="0" fontId="0" fillId="4" borderId="22" xfId="0" applyFill="1" applyBorder="1"/>
    <xf numFmtId="0" fontId="0" fillId="4" borderId="8" xfId="0" applyFill="1" applyBorder="1"/>
    <xf numFmtId="164" fontId="0" fillId="0" borderId="1" xfId="0" applyNumberFormat="1" applyBorder="1"/>
    <xf numFmtId="164" fontId="0" fillId="0" borderId="6" xfId="0" applyNumberFormat="1" applyBorder="1"/>
    <xf numFmtId="0" fontId="0" fillId="10" borderId="3" xfId="0" applyFill="1" applyBorder="1"/>
    <xf numFmtId="0" fontId="0" fillId="10" borderId="1" xfId="0" applyFill="1" applyBorder="1"/>
    <xf numFmtId="0" fontId="0" fillId="10" borderId="8" xfId="0" applyFill="1" applyBorder="1"/>
    <xf numFmtId="0" fontId="0" fillId="11" borderId="3" xfId="0" applyFill="1" applyBorder="1"/>
    <xf numFmtId="0" fontId="0" fillId="11" borderId="1" xfId="0" applyFill="1" applyBorder="1"/>
    <xf numFmtId="0" fontId="0" fillId="11" borderId="8" xfId="0" applyFill="1" applyBorder="1"/>
    <xf numFmtId="0" fontId="3" fillId="10" borderId="3" xfId="0" applyFont="1" applyFill="1" applyBorder="1"/>
    <xf numFmtId="0" fontId="3" fillId="10" borderId="1" xfId="0" applyFont="1" applyFill="1" applyBorder="1"/>
    <xf numFmtId="0" fontId="3" fillId="10" borderId="8" xfId="0" applyFont="1" applyFill="1" applyBorder="1"/>
    <xf numFmtId="0" fontId="0" fillId="10" borderId="11" xfId="0" applyFill="1" applyBorder="1"/>
    <xf numFmtId="0" fontId="4" fillId="12" borderId="3" xfId="0" applyFont="1" applyFill="1" applyBorder="1"/>
    <xf numFmtId="0" fontId="4" fillId="12" borderId="21" xfId="0" applyFont="1" applyFill="1" applyBorder="1"/>
    <xf numFmtId="0" fontId="4" fillId="12" borderId="2" xfId="0" applyFont="1" applyFill="1" applyBorder="1"/>
    <xf numFmtId="0" fontId="4" fillId="12" borderId="4" xfId="0" applyFont="1" applyFill="1" applyBorder="1"/>
    <xf numFmtId="0" fontId="4" fillId="12" borderId="1" xfId="0" applyFont="1" applyFill="1" applyBorder="1"/>
    <xf numFmtId="0" fontId="4" fillId="12" borderId="0" xfId="0" applyFont="1" applyFill="1"/>
    <xf numFmtId="0" fontId="4" fillId="12" borderId="5" xfId="0" applyFont="1" applyFill="1" applyBorder="1"/>
    <xf numFmtId="0" fontId="4" fillId="12" borderId="6" xfId="0" applyFont="1" applyFill="1" applyBorder="1"/>
    <xf numFmtId="0" fontId="4" fillId="12" borderId="8" xfId="0" applyFont="1" applyFill="1" applyBorder="1"/>
    <xf numFmtId="0" fontId="4" fillId="12" borderId="22" xfId="0" applyFont="1" applyFill="1" applyBorder="1"/>
    <xf numFmtId="0" fontId="4" fillId="12" borderId="7" xfId="0" applyFont="1" applyFill="1" applyBorder="1"/>
    <xf numFmtId="0" fontId="4" fillId="12" borderId="9" xfId="0" applyFont="1" applyFill="1" applyBorder="1"/>
    <xf numFmtId="0" fontId="4" fillId="12" borderId="3" xfId="0" applyFont="1" applyFill="1" applyBorder="1" applyAlignment="1">
      <alignment horizontal="left"/>
    </xf>
    <xf numFmtId="0" fontId="4" fillId="13" borderId="2" xfId="0" applyFont="1" applyFill="1" applyBorder="1"/>
    <xf numFmtId="0" fontId="4" fillId="13" borderId="3" xfId="0" applyFont="1" applyFill="1" applyBorder="1"/>
    <xf numFmtId="0" fontId="4" fillId="13" borderId="1" xfId="0" applyFont="1" applyFill="1" applyBorder="1"/>
    <xf numFmtId="0" fontId="4" fillId="13" borderId="4" xfId="0" applyFont="1" applyFill="1" applyBorder="1"/>
    <xf numFmtId="0" fontId="4" fillId="13" borderId="5" xfId="0" applyFont="1" applyFill="1" applyBorder="1"/>
    <xf numFmtId="0" fontId="4" fillId="13" borderId="6" xfId="0" applyFont="1" applyFill="1" applyBorder="1"/>
    <xf numFmtId="0" fontId="4" fillId="13" borderId="7" xfId="0" applyFont="1" applyFill="1" applyBorder="1"/>
    <xf numFmtId="0" fontId="4" fillId="13" borderId="8" xfId="0" applyFont="1" applyFill="1" applyBorder="1"/>
    <xf numFmtId="0" fontId="4" fillId="13" borderId="9" xfId="0" applyFont="1" applyFill="1" applyBorder="1"/>
    <xf numFmtId="0" fontId="4" fillId="13" borderId="10" xfId="0" applyFont="1" applyFill="1" applyBorder="1"/>
    <xf numFmtId="0" fontId="4" fillId="13" borderId="11" xfId="0" applyFont="1" applyFill="1" applyBorder="1"/>
    <xf numFmtId="0" fontId="4" fillId="13" borderId="19" xfId="0" applyFont="1" applyFill="1" applyBorder="1"/>
    <xf numFmtId="0" fontId="4" fillId="13" borderId="2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5"/>
  <sheetViews>
    <sheetView workbookViewId="0">
      <pane ySplit="1" topLeftCell="A193" activePane="bottomLeft" state="frozen"/>
      <selection pane="bottomLeft" activeCell="A54" sqref="A54:XFD55"/>
    </sheetView>
  </sheetViews>
  <sheetFormatPr defaultRowHeight="14.5" x14ac:dyDescent="0.35"/>
  <cols>
    <col min="1" max="1" width="24" bestFit="1" customWidth="1"/>
    <col min="2" max="2" width="7.1796875" bestFit="1" customWidth="1"/>
    <col min="3" max="3" width="20.7265625" customWidth="1"/>
    <col min="4" max="4" width="40.453125" bestFit="1" customWidth="1"/>
    <col min="5" max="5" width="12.08984375" bestFit="1" customWidth="1"/>
    <col min="6" max="6" width="20.453125" bestFit="1" customWidth="1"/>
    <col min="7" max="7" width="15.453125" customWidth="1"/>
    <col min="8" max="8" width="7.6328125" customWidth="1"/>
    <col min="9" max="9" width="50.26953125" bestFit="1" customWidth="1"/>
  </cols>
  <sheetData>
    <row r="1" spans="1:9" ht="15" thickBot="1" x14ac:dyDescent="0.4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</row>
    <row r="2" spans="1:9" x14ac:dyDescent="0.35">
      <c r="A2" s="2" t="s">
        <v>8</v>
      </c>
      <c r="B2" s="3">
        <v>1</v>
      </c>
      <c r="C2" s="3" t="s">
        <v>14</v>
      </c>
      <c r="D2" s="3" t="s">
        <v>112</v>
      </c>
      <c r="E2" s="3">
        <v>1</v>
      </c>
      <c r="F2" s="3" t="s">
        <v>212</v>
      </c>
      <c r="G2" s="22" t="s">
        <v>244</v>
      </c>
      <c r="H2" s="23">
        <v>1</v>
      </c>
      <c r="I2" s="21" t="s">
        <v>246</v>
      </c>
    </row>
    <row r="3" spans="1:9" x14ac:dyDescent="0.35">
      <c r="A3" s="5" t="s">
        <v>8</v>
      </c>
      <c r="B3" s="1">
        <v>1</v>
      </c>
      <c r="C3" s="1" t="s">
        <v>14</v>
      </c>
      <c r="D3" s="1" t="s">
        <v>112</v>
      </c>
      <c r="E3" s="1">
        <v>2</v>
      </c>
      <c r="F3" s="1" t="s">
        <v>213</v>
      </c>
      <c r="G3" s="24" t="s">
        <v>245</v>
      </c>
      <c r="H3" s="25">
        <v>1</v>
      </c>
      <c r="I3" s="21" t="s">
        <v>247</v>
      </c>
    </row>
    <row r="4" spans="1:9" x14ac:dyDescent="0.35">
      <c r="A4" s="5" t="s">
        <v>8</v>
      </c>
      <c r="B4" s="1">
        <v>2</v>
      </c>
      <c r="C4" s="1" t="s">
        <v>15</v>
      </c>
      <c r="D4" s="1" t="s">
        <v>113</v>
      </c>
      <c r="E4" s="1">
        <v>1</v>
      </c>
      <c r="F4" s="1" t="s">
        <v>212</v>
      </c>
      <c r="G4" s="24" t="s">
        <v>248</v>
      </c>
      <c r="H4" s="25">
        <v>1</v>
      </c>
    </row>
    <row r="5" spans="1:9" x14ac:dyDescent="0.35">
      <c r="A5" s="5" t="s">
        <v>8</v>
      </c>
      <c r="B5" s="1">
        <v>2</v>
      </c>
      <c r="C5" s="1" t="s">
        <v>15</v>
      </c>
      <c r="D5" s="1" t="s">
        <v>113</v>
      </c>
      <c r="E5" s="1">
        <v>2</v>
      </c>
      <c r="F5" s="1" t="s">
        <v>213</v>
      </c>
      <c r="G5" s="24" t="s">
        <v>245</v>
      </c>
      <c r="H5" s="25">
        <v>1</v>
      </c>
    </row>
    <row r="6" spans="1:9" x14ac:dyDescent="0.35">
      <c r="A6" s="5" t="s">
        <v>8</v>
      </c>
      <c r="B6" s="1">
        <v>4</v>
      </c>
      <c r="C6" s="1" t="s">
        <v>16</v>
      </c>
      <c r="D6" s="1" t="s">
        <v>114</v>
      </c>
      <c r="E6" s="1">
        <v>1</v>
      </c>
      <c r="F6" s="1" t="s">
        <v>212</v>
      </c>
      <c r="G6" s="24" t="s">
        <v>249</v>
      </c>
      <c r="H6" s="25">
        <v>1</v>
      </c>
    </row>
    <row r="7" spans="1:9" x14ac:dyDescent="0.35">
      <c r="A7" s="5" t="s">
        <v>8</v>
      </c>
      <c r="B7" s="1">
        <v>4</v>
      </c>
      <c r="C7" s="1" t="s">
        <v>16</v>
      </c>
      <c r="D7" s="1" t="s">
        <v>114</v>
      </c>
      <c r="E7" s="1">
        <v>2</v>
      </c>
      <c r="F7" s="1" t="s">
        <v>213</v>
      </c>
      <c r="G7" s="24" t="s">
        <v>245</v>
      </c>
      <c r="H7" s="25">
        <v>1</v>
      </c>
    </row>
    <row r="8" spans="1:9" x14ac:dyDescent="0.35">
      <c r="A8" s="5" t="s">
        <v>8</v>
      </c>
      <c r="B8" s="1">
        <v>5</v>
      </c>
      <c r="C8" s="1" t="s">
        <v>17</v>
      </c>
      <c r="D8" s="1" t="s">
        <v>115</v>
      </c>
      <c r="E8" s="1">
        <v>1</v>
      </c>
      <c r="F8" s="1" t="s">
        <v>212</v>
      </c>
      <c r="G8" s="24" t="s">
        <v>249</v>
      </c>
      <c r="H8" s="25">
        <v>1</v>
      </c>
    </row>
    <row r="9" spans="1:9" x14ac:dyDescent="0.35">
      <c r="A9" s="5" t="s">
        <v>8</v>
      </c>
      <c r="B9" s="1">
        <v>5</v>
      </c>
      <c r="C9" s="1" t="s">
        <v>17</v>
      </c>
      <c r="D9" s="1" t="s">
        <v>115</v>
      </c>
      <c r="E9" s="1">
        <v>2</v>
      </c>
      <c r="F9" s="1" t="s">
        <v>213</v>
      </c>
      <c r="G9" s="24" t="s">
        <v>245</v>
      </c>
      <c r="H9" s="25">
        <v>1</v>
      </c>
    </row>
    <row r="10" spans="1:9" x14ac:dyDescent="0.35">
      <c r="A10" s="5" t="s">
        <v>8</v>
      </c>
      <c r="B10" s="1">
        <v>6</v>
      </c>
      <c r="C10" s="1" t="s">
        <v>18</v>
      </c>
      <c r="D10" s="1" t="s">
        <v>116</v>
      </c>
      <c r="E10" s="1">
        <v>1</v>
      </c>
      <c r="F10" s="1" t="s">
        <v>212</v>
      </c>
      <c r="G10" s="24" t="s">
        <v>249</v>
      </c>
      <c r="H10" s="25">
        <v>1</v>
      </c>
    </row>
    <row r="11" spans="1:9" x14ac:dyDescent="0.35">
      <c r="A11" s="5" t="s">
        <v>8</v>
      </c>
      <c r="B11" s="1">
        <v>6</v>
      </c>
      <c r="C11" s="1" t="s">
        <v>18</v>
      </c>
      <c r="D11" s="1" t="s">
        <v>116</v>
      </c>
      <c r="E11" s="1">
        <v>2</v>
      </c>
      <c r="F11" s="1" t="s">
        <v>213</v>
      </c>
      <c r="G11" s="24" t="s">
        <v>245</v>
      </c>
      <c r="H11" s="25">
        <v>1</v>
      </c>
    </row>
    <row r="12" spans="1:9" x14ac:dyDescent="0.35">
      <c r="A12" s="5" t="s">
        <v>8</v>
      </c>
      <c r="B12" s="1">
        <v>7</v>
      </c>
      <c r="C12" s="1" t="s">
        <v>19</v>
      </c>
      <c r="D12" s="1" t="s">
        <v>117</v>
      </c>
      <c r="E12" s="1">
        <v>1</v>
      </c>
      <c r="F12" s="1" t="s">
        <v>212</v>
      </c>
      <c r="G12" s="24" t="s">
        <v>249</v>
      </c>
      <c r="H12" s="25">
        <v>1</v>
      </c>
    </row>
    <row r="13" spans="1:9" x14ac:dyDescent="0.35">
      <c r="A13" s="5" t="s">
        <v>8</v>
      </c>
      <c r="B13" s="1">
        <v>7</v>
      </c>
      <c r="C13" s="1" t="s">
        <v>19</v>
      </c>
      <c r="D13" s="1" t="s">
        <v>117</v>
      </c>
      <c r="E13" s="1">
        <v>2</v>
      </c>
      <c r="F13" s="1" t="s">
        <v>213</v>
      </c>
      <c r="G13" s="24" t="s">
        <v>245</v>
      </c>
      <c r="H13" s="25">
        <v>1</v>
      </c>
    </row>
    <row r="14" spans="1:9" x14ac:dyDescent="0.35">
      <c r="A14" s="5" t="s">
        <v>8</v>
      </c>
      <c r="B14" s="1">
        <v>8</v>
      </c>
      <c r="C14" s="1" t="s">
        <v>20</v>
      </c>
      <c r="D14" s="1" t="s">
        <v>118</v>
      </c>
      <c r="E14" s="1">
        <v>1</v>
      </c>
      <c r="F14" s="1" t="s">
        <v>212</v>
      </c>
      <c r="G14" s="24" t="s">
        <v>249</v>
      </c>
      <c r="H14" s="25">
        <v>1</v>
      </c>
    </row>
    <row r="15" spans="1:9" x14ac:dyDescent="0.35">
      <c r="A15" s="5" t="s">
        <v>8</v>
      </c>
      <c r="B15" s="1">
        <v>8</v>
      </c>
      <c r="C15" s="1" t="s">
        <v>20</v>
      </c>
      <c r="D15" s="1" t="s">
        <v>118</v>
      </c>
      <c r="E15" s="1">
        <v>2</v>
      </c>
      <c r="F15" s="1" t="s">
        <v>213</v>
      </c>
      <c r="G15" s="24" t="s">
        <v>245</v>
      </c>
      <c r="H15" s="25">
        <v>1</v>
      </c>
    </row>
    <row r="16" spans="1:9" x14ac:dyDescent="0.35">
      <c r="A16" s="5" t="s">
        <v>8</v>
      </c>
      <c r="B16" s="1">
        <v>9</v>
      </c>
      <c r="C16" s="1" t="s">
        <v>21</v>
      </c>
      <c r="D16" s="1" t="s">
        <v>119</v>
      </c>
      <c r="E16" s="1">
        <v>1</v>
      </c>
      <c r="F16" s="1" t="s">
        <v>212</v>
      </c>
      <c r="G16" s="24" t="s">
        <v>249</v>
      </c>
      <c r="H16" s="25">
        <v>1</v>
      </c>
    </row>
    <row r="17" spans="1:8" x14ac:dyDescent="0.35">
      <c r="A17" s="5" t="s">
        <v>8</v>
      </c>
      <c r="B17" s="1">
        <v>9</v>
      </c>
      <c r="C17" s="1" t="s">
        <v>21</v>
      </c>
      <c r="D17" s="1" t="s">
        <v>119</v>
      </c>
      <c r="E17" s="1">
        <v>2</v>
      </c>
      <c r="F17" s="1" t="s">
        <v>213</v>
      </c>
      <c r="G17" s="24" t="s">
        <v>245</v>
      </c>
      <c r="H17" s="25">
        <v>1</v>
      </c>
    </row>
    <row r="18" spans="1:8" x14ac:dyDescent="0.35">
      <c r="A18" s="5" t="s">
        <v>8</v>
      </c>
      <c r="B18" s="1">
        <f t="shared" ref="B18:B53" si="0">+B16+1</f>
        <v>10</v>
      </c>
      <c r="C18" s="55" t="s">
        <v>258</v>
      </c>
      <c r="D18" s="52" t="s">
        <v>259</v>
      </c>
      <c r="E18" s="1">
        <v>1</v>
      </c>
      <c r="F18" s="1" t="s">
        <v>212</v>
      </c>
      <c r="G18" s="24" t="s">
        <v>249</v>
      </c>
      <c r="H18" s="25">
        <v>1</v>
      </c>
    </row>
    <row r="19" spans="1:8" x14ac:dyDescent="0.35">
      <c r="A19" s="5" t="s">
        <v>8</v>
      </c>
      <c r="B19" s="1">
        <f t="shared" si="0"/>
        <v>10</v>
      </c>
      <c r="C19" s="55" t="s">
        <v>258</v>
      </c>
      <c r="D19" s="52" t="s">
        <v>259</v>
      </c>
      <c r="E19" s="1">
        <v>2</v>
      </c>
      <c r="F19" s="1" t="s">
        <v>213</v>
      </c>
      <c r="G19" s="24" t="s">
        <v>245</v>
      </c>
      <c r="H19" s="25">
        <v>1</v>
      </c>
    </row>
    <row r="20" spans="1:8" x14ac:dyDescent="0.35">
      <c r="A20" s="5" t="s">
        <v>8</v>
      </c>
      <c r="B20" s="1">
        <f t="shared" si="0"/>
        <v>11</v>
      </c>
      <c r="C20" s="1" t="s">
        <v>22</v>
      </c>
      <c r="D20" s="1" t="s">
        <v>120</v>
      </c>
      <c r="E20" s="1">
        <v>1</v>
      </c>
      <c r="F20" s="1" t="s">
        <v>212</v>
      </c>
      <c r="G20" s="24" t="s">
        <v>249</v>
      </c>
      <c r="H20" s="25">
        <v>1</v>
      </c>
    </row>
    <row r="21" spans="1:8" x14ac:dyDescent="0.35">
      <c r="A21" s="5" t="s">
        <v>8</v>
      </c>
      <c r="B21" s="1">
        <f t="shared" si="0"/>
        <v>11</v>
      </c>
      <c r="C21" s="1" t="s">
        <v>22</v>
      </c>
      <c r="D21" s="1" t="s">
        <v>120</v>
      </c>
      <c r="E21" s="1">
        <v>2</v>
      </c>
      <c r="F21" s="1" t="s">
        <v>213</v>
      </c>
      <c r="G21" s="24" t="s">
        <v>245</v>
      </c>
      <c r="H21" s="25">
        <v>1</v>
      </c>
    </row>
    <row r="22" spans="1:8" x14ac:dyDescent="0.35">
      <c r="A22" s="5" t="s">
        <v>8</v>
      </c>
      <c r="B22" s="1">
        <f t="shared" si="0"/>
        <v>12</v>
      </c>
      <c r="C22" s="1" t="s">
        <v>23</v>
      </c>
      <c r="D22" s="1" t="s">
        <v>121</v>
      </c>
      <c r="E22" s="1">
        <v>1</v>
      </c>
      <c r="F22" s="1" t="s">
        <v>212</v>
      </c>
      <c r="G22" s="24" t="s">
        <v>249</v>
      </c>
      <c r="H22" s="25">
        <v>1</v>
      </c>
    </row>
    <row r="23" spans="1:8" x14ac:dyDescent="0.35">
      <c r="A23" s="5" t="s">
        <v>8</v>
      </c>
      <c r="B23" s="1">
        <f t="shared" si="0"/>
        <v>12</v>
      </c>
      <c r="C23" s="1" t="s">
        <v>23</v>
      </c>
      <c r="D23" s="1" t="s">
        <v>121</v>
      </c>
      <c r="E23" s="1">
        <v>2</v>
      </c>
      <c r="F23" s="1" t="s">
        <v>213</v>
      </c>
      <c r="G23" s="24" t="s">
        <v>245</v>
      </c>
      <c r="H23" s="25">
        <v>1</v>
      </c>
    </row>
    <row r="24" spans="1:8" x14ac:dyDescent="0.35">
      <c r="A24" s="5" t="s">
        <v>8</v>
      </c>
      <c r="B24" s="1">
        <f t="shared" si="0"/>
        <v>13</v>
      </c>
      <c r="C24" s="1" t="s">
        <v>24</v>
      </c>
      <c r="D24" s="1" t="s">
        <v>122</v>
      </c>
      <c r="E24" s="1">
        <v>1</v>
      </c>
      <c r="F24" s="1" t="s">
        <v>212</v>
      </c>
      <c r="G24" s="24" t="s">
        <v>249</v>
      </c>
      <c r="H24" s="25">
        <v>1</v>
      </c>
    </row>
    <row r="25" spans="1:8" x14ac:dyDescent="0.35">
      <c r="A25" s="5" t="s">
        <v>8</v>
      </c>
      <c r="B25" s="1">
        <f t="shared" si="0"/>
        <v>13</v>
      </c>
      <c r="C25" s="1" t="s">
        <v>24</v>
      </c>
      <c r="D25" s="1" t="s">
        <v>122</v>
      </c>
      <c r="E25" s="1">
        <v>2</v>
      </c>
      <c r="F25" s="1" t="s">
        <v>213</v>
      </c>
      <c r="G25" s="24" t="s">
        <v>245</v>
      </c>
      <c r="H25" s="25">
        <v>1</v>
      </c>
    </row>
    <row r="26" spans="1:8" x14ac:dyDescent="0.35">
      <c r="A26" s="5" t="s">
        <v>8</v>
      </c>
      <c r="B26" s="1">
        <f t="shared" si="0"/>
        <v>14</v>
      </c>
      <c r="C26" s="1" t="s">
        <v>25</v>
      </c>
      <c r="D26" s="1" t="s">
        <v>123</v>
      </c>
      <c r="E26" s="1">
        <v>1</v>
      </c>
      <c r="F26" s="1" t="s">
        <v>212</v>
      </c>
      <c r="G26" s="24" t="s">
        <v>249</v>
      </c>
      <c r="H26" s="25">
        <v>1</v>
      </c>
    </row>
    <row r="27" spans="1:8" x14ac:dyDescent="0.35">
      <c r="A27" s="5" t="s">
        <v>8</v>
      </c>
      <c r="B27" s="1">
        <f t="shared" si="0"/>
        <v>14</v>
      </c>
      <c r="C27" s="1" t="s">
        <v>25</v>
      </c>
      <c r="D27" s="1" t="s">
        <v>123</v>
      </c>
      <c r="E27" s="1">
        <v>2</v>
      </c>
      <c r="F27" s="1" t="s">
        <v>213</v>
      </c>
      <c r="G27" s="24" t="s">
        <v>245</v>
      </c>
      <c r="H27" s="25">
        <v>1</v>
      </c>
    </row>
    <row r="28" spans="1:8" x14ac:dyDescent="0.35">
      <c r="A28" s="5" t="s">
        <v>8</v>
      </c>
      <c r="B28" s="1">
        <f t="shared" si="0"/>
        <v>15</v>
      </c>
      <c r="C28" s="1" t="s">
        <v>26</v>
      </c>
      <c r="D28" s="1" t="s">
        <v>124</v>
      </c>
      <c r="E28" s="1">
        <v>1</v>
      </c>
      <c r="F28" s="1" t="s">
        <v>212</v>
      </c>
      <c r="G28" s="24" t="s">
        <v>249</v>
      </c>
      <c r="H28" s="25">
        <v>1</v>
      </c>
    </row>
    <row r="29" spans="1:8" x14ac:dyDescent="0.35">
      <c r="A29" s="5" t="s">
        <v>8</v>
      </c>
      <c r="B29" s="1">
        <f t="shared" si="0"/>
        <v>15</v>
      </c>
      <c r="C29" s="1" t="s">
        <v>26</v>
      </c>
      <c r="D29" s="1" t="s">
        <v>124</v>
      </c>
      <c r="E29" s="1">
        <v>2</v>
      </c>
      <c r="F29" s="1" t="s">
        <v>213</v>
      </c>
      <c r="G29" s="24" t="s">
        <v>245</v>
      </c>
      <c r="H29" s="25">
        <v>1</v>
      </c>
    </row>
    <row r="30" spans="1:8" x14ac:dyDescent="0.35">
      <c r="A30" s="5" t="s">
        <v>8</v>
      </c>
      <c r="B30" s="1">
        <f t="shared" si="0"/>
        <v>16</v>
      </c>
      <c r="C30" s="1" t="s">
        <v>27</v>
      </c>
      <c r="D30" s="1" t="s">
        <v>125</v>
      </c>
      <c r="E30" s="1">
        <v>1</v>
      </c>
      <c r="F30" s="1" t="s">
        <v>212</v>
      </c>
      <c r="G30" s="24" t="s">
        <v>249</v>
      </c>
      <c r="H30" s="25">
        <v>1</v>
      </c>
    </row>
    <row r="31" spans="1:8" x14ac:dyDescent="0.35">
      <c r="A31" s="5" t="s">
        <v>8</v>
      </c>
      <c r="B31" s="1">
        <f t="shared" si="0"/>
        <v>16</v>
      </c>
      <c r="C31" s="1" t="s">
        <v>27</v>
      </c>
      <c r="D31" s="1" t="s">
        <v>125</v>
      </c>
      <c r="E31" s="1">
        <v>2</v>
      </c>
      <c r="F31" s="1" t="s">
        <v>213</v>
      </c>
      <c r="G31" s="24" t="s">
        <v>245</v>
      </c>
      <c r="H31" s="25">
        <v>1</v>
      </c>
    </row>
    <row r="32" spans="1:8" x14ac:dyDescent="0.35">
      <c r="A32" s="5" t="s">
        <v>8</v>
      </c>
      <c r="B32" s="1">
        <f t="shared" si="0"/>
        <v>17</v>
      </c>
      <c r="C32" s="1" t="s">
        <v>28</v>
      </c>
      <c r="D32" s="1" t="s">
        <v>126</v>
      </c>
      <c r="E32" s="1">
        <v>1</v>
      </c>
      <c r="F32" s="1" t="s">
        <v>212</v>
      </c>
      <c r="G32" s="24" t="s">
        <v>249</v>
      </c>
      <c r="H32" s="25">
        <v>1</v>
      </c>
    </row>
    <row r="33" spans="1:8" x14ac:dyDescent="0.35">
      <c r="A33" s="5" t="s">
        <v>8</v>
      </c>
      <c r="B33" s="1">
        <f t="shared" si="0"/>
        <v>17</v>
      </c>
      <c r="C33" s="1" t="s">
        <v>28</v>
      </c>
      <c r="D33" s="1" t="s">
        <v>126</v>
      </c>
      <c r="E33" s="1">
        <v>2</v>
      </c>
      <c r="F33" s="1" t="s">
        <v>213</v>
      </c>
      <c r="G33" s="24" t="s">
        <v>245</v>
      </c>
      <c r="H33" s="25">
        <v>1</v>
      </c>
    </row>
    <row r="34" spans="1:8" x14ac:dyDescent="0.35">
      <c r="A34" s="5" t="s">
        <v>8</v>
      </c>
      <c r="B34" s="1">
        <f t="shared" si="0"/>
        <v>18</v>
      </c>
      <c r="C34" s="1" t="s">
        <v>29</v>
      </c>
      <c r="D34" s="1" t="s">
        <v>127</v>
      </c>
      <c r="E34" s="1">
        <v>1</v>
      </c>
      <c r="F34" s="1" t="s">
        <v>212</v>
      </c>
      <c r="G34" s="24" t="s">
        <v>249</v>
      </c>
      <c r="H34" s="25">
        <v>1</v>
      </c>
    </row>
    <row r="35" spans="1:8" x14ac:dyDescent="0.35">
      <c r="A35" s="5" t="s">
        <v>8</v>
      </c>
      <c r="B35" s="1">
        <f t="shared" si="0"/>
        <v>18</v>
      </c>
      <c r="C35" s="1" t="s">
        <v>29</v>
      </c>
      <c r="D35" s="1" t="s">
        <v>127</v>
      </c>
      <c r="E35" s="1">
        <v>2</v>
      </c>
      <c r="F35" s="1" t="s">
        <v>213</v>
      </c>
      <c r="G35" s="24" t="s">
        <v>245</v>
      </c>
      <c r="H35" s="25">
        <v>1</v>
      </c>
    </row>
    <row r="36" spans="1:8" x14ac:dyDescent="0.35">
      <c r="A36" s="5" t="s">
        <v>8</v>
      </c>
      <c r="B36" s="1">
        <f t="shared" si="0"/>
        <v>19</v>
      </c>
      <c r="C36" s="1" t="s">
        <v>30</v>
      </c>
      <c r="D36" s="1" t="s">
        <v>128</v>
      </c>
      <c r="E36" s="1">
        <v>1</v>
      </c>
      <c r="F36" s="1" t="s">
        <v>212</v>
      </c>
      <c r="G36" s="24" t="s">
        <v>249</v>
      </c>
      <c r="H36" s="25">
        <v>1</v>
      </c>
    </row>
    <row r="37" spans="1:8" x14ac:dyDescent="0.35">
      <c r="A37" s="5" t="s">
        <v>8</v>
      </c>
      <c r="B37" s="1">
        <f t="shared" si="0"/>
        <v>19</v>
      </c>
      <c r="C37" s="1" t="s">
        <v>30</v>
      </c>
      <c r="D37" s="1" t="s">
        <v>128</v>
      </c>
      <c r="E37" s="1">
        <v>2</v>
      </c>
      <c r="F37" s="1" t="s">
        <v>213</v>
      </c>
      <c r="G37" s="24" t="s">
        <v>245</v>
      </c>
      <c r="H37" s="25">
        <v>1</v>
      </c>
    </row>
    <row r="38" spans="1:8" x14ac:dyDescent="0.35">
      <c r="A38" s="5" t="s">
        <v>8</v>
      </c>
      <c r="B38" s="1">
        <f t="shared" si="0"/>
        <v>20</v>
      </c>
      <c r="C38" s="1" t="s">
        <v>31</v>
      </c>
      <c r="D38" s="1" t="s">
        <v>129</v>
      </c>
      <c r="E38" s="1">
        <v>1</v>
      </c>
      <c r="F38" s="1" t="s">
        <v>212</v>
      </c>
      <c r="G38" s="24" t="s">
        <v>249</v>
      </c>
      <c r="H38" s="25">
        <v>1</v>
      </c>
    </row>
    <row r="39" spans="1:8" x14ac:dyDescent="0.35">
      <c r="A39" s="5" t="s">
        <v>8</v>
      </c>
      <c r="B39" s="1">
        <f t="shared" si="0"/>
        <v>20</v>
      </c>
      <c r="C39" s="1" t="s">
        <v>31</v>
      </c>
      <c r="D39" s="1" t="s">
        <v>129</v>
      </c>
      <c r="E39" s="1">
        <v>2</v>
      </c>
      <c r="F39" s="1" t="s">
        <v>213</v>
      </c>
      <c r="G39" s="24" t="s">
        <v>245</v>
      </c>
      <c r="H39" s="25">
        <v>1</v>
      </c>
    </row>
    <row r="40" spans="1:8" x14ac:dyDescent="0.35">
      <c r="A40" s="5" t="s">
        <v>8</v>
      </c>
      <c r="B40" s="1">
        <f t="shared" si="0"/>
        <v>21</v>
      </c>
      <c r="C40" s="1" t="s">
        <v>32</v>
      </c>
      <c r="D40" s="1" t="s">
        <v>130</v>
      </c>
      <c r="E40" s="1">
        <v>1</v>
      </c>
      <c r="F40" s="1" t="s">
        <v>212</v>
      </c>
      <c r="G40" s="24" t="s">
        <v>249</v>
      </c>
      <c r="H40" s="25">
        <v>1</v>
      </c>
    </row>
    <row r="41" spans="1:8" x14ac:dyDescent="0.35">
      <c r="A41" s="5" t="s">
        <v>8</v>
      </c>
      <c r="B41" s="1">
        <f t="shared" si="0"/>
        <v>21</v>
      </c>
      <c r="C41" s="1" t="s">
        <v>32</v>
      </c>
      <c r="D41" s="1" t="s">
        <v>130</v>
      </c>
      <c r="E41" s="1">
        <v>2</v>
      </c>
      <c r="F41" s="1" t="s">
        <v>213</v>
      </c>
      <c r="G41" s="24" t="s">
        <v>245</v>
      </c>
      <c r="H41" s="25">
        <v>1</v>
      </c>
    </row>
    <row r="42" spans="1:8" x14ac:dyDescent="0.35">
      <c r="A42" s="5" t="s">
        <v>8</v>
      </c>
      <c r="B42" s="1">
        <f t="shared" si="0"/>
        <v>22</v>
      </c>
      <c r="C42" s="1" t="s">
        <v>33</v>
      </c>
      <c r="D42" s="1" t="s">
        <v>131</v>
      </c>
      <c r="E42" s="1">
        <v>1</v>
      </c>
      <c r="F42" s="1" t="s">
        <v>212</v>
      </c>
      <c r="G42" s="24" t="s">
        <v>249</v>
      </c>
      <c r="H42" s="25">
        <v>1</v>
      </c>
    </row>
    <row r="43" spans="1:8" x14ac:dyDescent="0.35">
      <c r="A43" s="5" t="s">
        <v>8</v>
      </c>
      <c r="B43" s="1">
        <f t="shared" si="0"/>
        <v>22</v>
      </c>
      <c r="C43" s="1" t="s">
        <v>33</v>
      </c>
      <c r="D43" s="1" t="s">
        <v>131</v>
      </c>
      <c r="E43" s="1">
        <v>2</v>
      </c>
      <c r="F43" s="1" t="s">
        <v>213</v>
      </c>
      <c r="G43" s="24" t="s">
        <v>245</v>
      </c>
      <c r="H43" s="25">
        <v>1</v>
      </c>
    </row>
    <row r="44" spans="1:8" x14ac:dyDescent="0.35">
      <c r="A44" s="5" t="s">
        <v>8</v>
      </c>
      <c r="B44" s="1">
        <f t="shared" si="0"/>
        <v>23</v>
      </c>
      <c r="C44" s="1" t="s">
        <v>34</v>
      </c>
      <c r="D44" s="1" t="s">
        <v>132</v>
      </c>
      <c r="E44" s="1">
        <v>1</v>
      </c>
      <c r="F44" s="1" t="s">
        <v>212</v>
      </c>
      <c r="G44" s="24" t="s">
        <v>249</v>
      </c>
      <c r="H44" s="25">
        <v>1</v>
      </c>
    </row>
    <row r="45" spans="1:8" x14ac:dyDescent="0.35">
      <c r="A45" s="5" t="s">
        <v>8</v>
      </c>
      <c r="B45" s="1">
        <f t="shared" si="0"/>
        <v>23</v>
      </c>
      <c r="C45" s="1" t="s">
        <v>34</v>
      </c>
      <c r="D45" s="1" t="s">
        <v>132</v>
      </c>
      <c r="E45" s="1">
        <v>2</v>
      </c>
      <c r="F45" s="1" t="s">
        <v>213</v>
      </c>
      <c r="G45" s="24" t="s">
        <v>245</v>
      </c>
      <c r="H45" s="25">
        <v>1</v>
      </c>
    </row>
    <row r="46" spans="1:8" x14ac:dyDescent="0.35">
      <c r="A46" s="5" t="s">
        <v>8</v>
      </c>
      <c r="B46" s="1">
        <f t="shared" si="0"/>
        <v>24</v>
      </c>
      <c r="C46" s="1" t="s">
        <v>35</v>
      </c>
      <c r="D46" s="1" t="s">
        <v>133</v>
      </c>
      <c r="E46" s="1">
        <v>1</v>
      </c>
      <c r="F46" s="1" t="s">
        <v>212</v>
      </c>
      <c r="G46" s="24" t="s">
        <v>249</v>
      </c>
      <c r="H46" s="25">
        <v>1</v>
      </c>
    </row>
    <row r="47" spans="1:8" x14ac:dyDescent="0.35">
      <c r="A47" s="5" t="s">
        <v>8</v>
      </c>
      <c r="B47" s="1">
        <f t="shared" si="0"/>
        <v>24</v>
      </c>
      <c r="C47" s="1" t="s">
        <v>35</v>
      </c>
      <c r="D47" s="1" t="s">
        <v>133</v>
      </c>
      <c r="E47" s="1">
        <v>2</v>
      </c>
      <c r="F47" s="1" t="s">
        <v>213</v>
      </c>
      <c r="G47" s="24" t="s">
        <v>245</v>
      </c>
      <c r="H47" s="25">
        <v>1</v>
      </c>
    </row>
    <row r="48" spans="1:8" x14ac:dyDescent="0.35">
      <c r="A48" s="5" t="s">
        <v>8</v>
      </c>
      <c r="B48" s="1">
        <f t="shared" si="0"/>
        <v>25</v>
      </c>
      <c r="C48" s="1" t="s">
        <v>36</v>
      </c>
      <c r="D48" s="1" t="s">
        <v>134</v>
      </c>
      <c r="E48" s="1">
        <v>1</v>
      </c>
      <c r="F48" s="1" t="s">
        <v>212</v>
      </c>
      <c r="G48" s="24" t="s">
        <v>249</v>
      </c>
      <c r="H48" s="25">
        <v>1</v>
      </c>
    </row>
    <row r="49" spans="1:8" x14ac:dyDescent="0.35">
      <c r="A49" s="5" t="s">
        <v>8</v>
      </c>
      <c r="B49" s="1">
        <f t="shared" si="0"/>
        <v>25</v>
      </c>
      <c r="C49" s="1" t="s">
        <v>36</v>
      </c>
      <c r="D49" s="1" t="s">
        <v>134</v>
      </c>
      <c r="E49" s="1">
        <v>2</v>
      </c>
      <c r="F49" s="1" t="s">
        <v>213</v>
      </c>
      <c r="G49" s="24" t="s">
        <v>245</v>
      </c>
      <c r="H49" s="25">
        <v>1</v>
      </c>
    </row>
    <row r="50" spans="1:8" x14ac:dyDescent="0.35">
      <c r="A50" s="5" t="s">
        <v>8</v>
      </c>
      <c r="B50" s="1">
        <f t="shared" si="0"/>
        <v>26</v>
      </c>
      <c r="C50" s="56" t="s">
        <v>252</v>
      </c>
      <c r="D50" s="1" t="s">
        <v>135</v>
      </c>
      <c r="E50" s="1">
        <v>1</v>
      </c>
      <c r="F50" s="1" t="s">
        <v>212</v>
      </c>
      <c r="G50" s="24" t="s">
        <v>249</v>
      </c>
      <c r="H50" s="25">
        <v>1</v>
      </c>
    </row>
    <row r="51" spans="1:8" x14ac:dyDescent="0.35">
      <c r="A51" s="5" t="s">
        <v>8</v>
      </c>
      <c r="B51" s="1">
        <f t="shared" si="0"/>
        <v>26</v>
      </c>
      <c r="C51" s="56" t="s">
        <v>252</v>
      </c>
      <c r="D51" s="1" t="s">
        <v>135</v>
      </c>
      <c r="E51" s="1">
        <v>2</v>
      </c>
      <c r="F51" s="1" t="s">
        <v>213</v>
      </c>
      <c r="G51" s="24" t="s">
        <v>245</v>
      </c>
      <c r="H51" s="25">
        <v>1</v>
      </c>
    </row>
    <row r="52" spans="1:8" x14ac:dyDescent="0.35">
      <c r="A52" s="5" t="s">
        <v>8</v>
      </c>
      <c r="B52" s="1">
        <f t="shared" si="0"/>
        <v>27</v>
      </c>
      <c r="C52" s="1" t="s">
        <v>37</v>
      </c>
      <c r="D52" s="1" t="s">
        <v>136</v>
      </c>
      <c r="E52" s="1">
        <v>1</v>
      </c>
      <c r="F52" s="1" t="s">
        <v>212</v>
      </c>
      <c r="G52" s="24" t="s">
        <v>249</v>
      </c>
      <c r="H52" s="25">
        <v>1</v>
      </c>
    </row>
    <row r="53" spans="1:8" x14ac:dyDescent="0.35">
      <c r="A53" s="28" t="s">
        <v>8</v>
      </c>
      <c r="B53" s="29">
        <f t="shared" si="0"/>
        <v>27</v>
      </c>
      <c r="C53" s="29" t="s">
        <v>37</v>
      </c>
      <c r="D53" s="29" t="s">
        <v>136</v>
      </c>
      <c r="E53" s="29">
        <v>2</v>
      </c>
      <c r="F53" s="29" t="s">
        <v>213</v>
      </c>
      <c r="G53" s="61" t="s">
        <v>245</v>
      </c>
      <c r="H53" s="62">
        <v>1</v>
      </c>
    </row>
    <row r="54" spans="1:8" x14ac:dyDescent="0.35">
      <c r="A54" s="5" t="s">
        <v>9</v>
      </c>
      <c r="B54" s="1">
        <v>3</v>
      </c>
      <c r="C54" s="1" t="s">
        <v>38</v>
      </c>
      <c r="D54" s="1" t="s">
        <v>137</v>
      </c>
      <c r="E54" s="1">
        <v>1</v>
      </c>
      <c r="F54" s="1" t="s">
        <v>212</v>
      </c>
      <c r="G54" s="24" t="s">
        <v>248</v>
      </c>
      <c r="H54" s="25">
        <v>1</v>
      </c>
    </row>
    <row r="55" spans="1:8" x14ac:dyDescent="0.35">
      <c r="A55" s="5" t="s">
        <v>9</v>
      </c>
      <c r="B55" s="1">
        <v>3</v>
      </c>
      <c r="C55" s="1" t="s">
        <v>38</v>
      </c>
      <c r="D55" s="1" t="s">
        <v>137</v>
      </c>
      <c r="E55" s="1">
        <v>2</v>
      </c>
      <c r="F55" s="1" t="s">
        <v>213</v>
      </c>
      <c r="G55" s="24" t="s">
        <v>245</v>
      </c>
      <c r="H55" s="25">
        <v>1</v>
      </c>
    </row>
    <row r="56" spans="1:8" x14ac:dyDescent="0.35">
      <c r="A56" s="5" t="s">
        <v>9</v>
      </c>
      <c r="B56" s="1">
        <v>4</v>
      </c>
      <c r="C56" s="1" t="s">
        <v>39</v>
      </c>
      <c r="D56" s="1" t="s">
        <v>138</v>
      </c>
      <c r="E56" s="1">
        <v>1</v>
      </c>
      <c r="F56" s="1" t="s">
        <v>212</v>
      </c>
      <c r="G56" s="24" t="s">
        <v>248</v>
      </c>
      <c r="H56" s="25">
        <v>1</v>
      </c>
    </row>
    <row r="57" spans="1:8" x14ac:dyDescent="0.35">
      <c r="A57" s="5" t="s">
        <v>9</v>
      </c>
      <c r="B57" s="1">
        <v>4</v>
      </c>
      <c r="C57" s="1" t="s">
        <v>39</v>
      </c>
      <c r="D57" s="1" t="s">
        <v>138</v>
      </c>
      <c r="E57" s="1">
        <v>2</v>
      </c>
      <c r="F57" s="1" t="s">
        <v>213</v>
      </c>
      <c r="G57" s="24" t="s">
        <v>245</v>
      </c>
      <c r="H57" s="25">
        <v>1</v>
      </c>
    </row>
    <row r="58" spans="1:8" x14ac:dyDescent="0.35">
      <c r="A58" s="5" t="s">
        <v>9</v>
      </c>
      <c r="B58" s="1">
        <v>11</v>
      </c>
      <c r="C58" s="1" t="s">
        <v>40</v>
      </c>
      <c r="D58" s="1" t="s">
        <v>139</v>
      </c>
      <c r="E58" s="1">
        <v>1</v>
      </c>
      <c r="F58" s="1" t="s">
        <v>212</v>
      </c>
      <c r="G58" s="24" t="s">
        <v>248</v>
      </c>
      <c r="H58" s="25">
        <v>1</v>
      </c>
    </row>
    <row r="59" spans="1:8" x14ac:dyDescent="0.35">
      <c r="A59" s="5" t="s">
        <v>9</v>
      </c>
      <c r="B59" s="1">
        <v>11</v>
      </c>
      <c r="C59" s="1" t="s">
        <v>40</v>
      </c>
      <c r="D59" s="1" t="s">
        <v>139</v>
      </c>
      <c r="E59" s="1">
        <v>2</v>
      </c>
      <c r="F59" s="1" t="s">
        <v>213</v>
      </c>
      <c r="G59" s="24" t="s">
        <v>245</v>
      </c>
      <c r="H59" s="25">
        <v>1</v>
      </c>
    </row>
    <row r="60" spans="1:8" x14ac:dyDescent="0.35">
      <c r="A60" s="5" t="s">
        <v>9</v>
      </c>
      <c r="B60" s="1">
        <v>12</v>
      </c>
      <c r="C60" s="1" t="s">
        <v>41</v>
      </c>
      <c r="D60" s="1" t="s">
        <v>140</v>
      </c>
      <c r="E60" s="1">
        <v>1</v>
      </c>
      <c r="F60" s="1" t="s">
        <v>212</v>
      </c>
      <c r="G60" s="24" t="s">
        <v>248</v>
      </c>
      <c r="H60" s="25">
        <v>1</v>
      </c>
    </row>
    <row r="61" spans="1:8" x14ac:dyDescent="0.35">
      <c r="A61" s="5" t="s">
        <v>9</v>
      </c>
      <c r="B61" s="1">
        <v>12</v>
      </c>
      <c r="C61" s="1" t="s">
        <v>41</v>
      </c>
      <c r="D61" s="1" t="s">
        <v>140</v>
      </c>
      <c r="E61" s="1">
        <v>2</v>
      </c>
      <c r="F61" s="1" t="s">
        <v>213</v>
      </c>
      <c r="G61" s="24" t="s">
        <v>245</v>
      </c>
      <c r="H61" s="25">
        <v>1</v>
      </c>
    </row>
    <row r="62" spans="1:8" x14ac:dyDescent="0.35">
      <c r="A62" s="5" t="s">
        <v>9</v>
      </c>
      <c r="B62" s="1">
        <v>13</v>
      </c>
      <c r="C62" s="1" t="s">
        <v>42</v>
      </c>
      <c r="D62" s="1" t="s">
        <v>141</v>
      </c>
      <c r="E62" s="1">
        <v>1</v>
      </c>
      <c r="F62" s="1" t="s">
        <v>212</v>
      </c>
      <c r="G62" s="24" t="s">
        <v>248</v>
      </c>
      <c r="H62" s="25">
        <v>1</v>
      </c>
    </row>
    <row r="63" spans="1:8" x14ac:dyDescent="0.35">
      <c r="A63" s="5" t="s">
        <v>9</v>
      </c>
      <c r="B63" s="1">
        <v>13</v>
      </c>
      <c r="C63" s="1" t="s">
        <v>42</v>
      </c>
      <c r="D63" s="1" t="s">
        <v>141</v>
      </c>
      <c r="E63" s="1">
        <v>2</v>
      </c>
      <c r="F63" s="1" t="s">
        <v>213</v>
      </c>
      <c r="G63" s="24" t="s">
        <v>245</v>
      </c>
      <c r="H63" s="25">
        <v>1</v>
      </c>
    </row>
    <row r="64" spans="1:8" x14ac:dyDescent="0.35">
      <c r="A64" s="5" t="s">
        <v>9</v>
      </c>
      <c r="B64" s="1">
        <v>14</v>
      </c>
      <c r="C64" s="1" t="s">
        <v>43</v>
      </c>
      <c r="D64" s="1" t="s">
        <v>142</v>
      </c>
      <c r="E64" s="1">
        <v>1</v>
      </c>
      <c r="F64" s="1" t="s">
        <v>212</v>
      </c>
      <c r="G64" s="24" t="s">
        <v>248</v>
      </c>
      <c r="H64" s="25">
        <v>1</v>
      </c>
    </row>
    <row r="65" spans="1:8" x14ac:dyDescent="0.35">
      <c r="A65" s="5" t="s">
        <v>9</v>
      </c>
      <c r="B65" s="1">
        <v>14</v>
      </c>
      <c r="C65" s="1" t="s">
        <v>43</v>
      </c>
      <c r="D65" s="1" t="s">
        <v>142</v>
      </c>
      <c r="E65" s="1">
        <v>2</v>
      </c>
      <c r="F65" s="1" t="s">
        <v>213</v>
      </c>
      <c r="G65" s="24" t="s">
        <v>245</v>
      </c>
      <c r="H65" s="25">
        <v>1</v>
      </c>
    </row>
    <row r="66" spans="1:8" x14ac:dyDescent="0.35">
      <c r="A66" s="5" t="s">
        <v>9</v>
      </c>
      <c r="B66" s="1">
        <v>15</v>
      </c>
      <c r="C66" s="1" t="s">
        <v>44</v>
      </c>
      <c r="D66" s="1" t="s">
        <v>143</v>
      </c>
      <c r="E66" s="1">
        <v>1</v>
      </c>
      <c r="F66" s="1" t="s">
        <v>212</v>
      </c>
      <c r="G66" s="24" t="s">
        <v>248</v>
      </c>
      <c r="H66" s="25">
        <v>1</v>
      </c>
    </row>
    <row r="67" spans="1:8" x14ac:dyDescent="0.35">
      <c r="A67" s="5" t="s">
        <v>9</v>
      </c>
      <c r="B67" s="1">
        <v>15</v>
      </c>
      <c r="C67" s="1" t="s">
        <v>44</v>
      </c>
      <c r="D67" s="1" t="s">
        <v>143</v>
      </c>
      <c r="E67" s="1">
        <v>2</v>
      </c>
      <c r="F67" s="1" t="s">
        <v>213</v>
      </c>
      <c r="G67" s="24" t="s">
        <v>245</v>
      </c>
      <c r="H67" s="25">
        <v>1</v>
      </c>
    </row>
    <row r="68" spans="1:8" x14ac:dyDescent="0.35">
      <c r="A68" s="5" t="s">
        <v>9</v>
      </c>
      <c r="B68" s="1">
        <v>16</v>
      </c>
      <c r="C68" s="1" t="s">
        <v>45</v>
      </c>
      <c r="D68" s="1" t="s">
        <v>144</v>
      </c>
      <c r="E68" s="1">
        <v>1</v>
      </c>
      <c r="F68" s="1" t="s">
        <v>212</v>
      </c>
      <c r="G68" s="24" t="s">
        <v>248</v>
      </c>
      <c r="H68" s="25">
        <v>1</v>
      </c>
    </row>
    <row r="69" spans="1:8" x14ac:dyDescent="0.35">
      <c r="A69" s="5" t="s">
        <v>9</v>
      </c>
      <c r="B69" s="1">
        <v>16</v>
      </c>
      <c r="C69" s="1" t="s">
        <v>45</v>
      </c>
      <c r="D69" s="1" t="s">
        <v>144</v>
      </c>
      <c r="E69" s="1">
        <v>2</v>
      </c>
      <c r="F69" s="1" t="s">
        <v>213</v>
      </c>
      <c r="G69" s="24" t="s">
        <v>245</v>
      </c>
      <c r="H69" s="25">
        <v>1</v>
      </c>
    </row>
    <row r="70" spans="1:8" x14ac:dyDescent="0.35">
      <c r="A70" s="5" t="s">
        <v>9</v>
      </c>
      <c r="B70" s="1">
        <v>17</v>
      </c>
      <c r="C70" s="1" t="s">
        <v>46</v>
      </c>
      <c r="D70" s="1" t="s">
        <v>145</v>
      </c>
      <c r="E70" s="1">
        <v>1</v>
      </c>
      <c r="F70" s="1" t="s">
        <v>212</v>
      </c>
      <c r="G70" s="24" t="s">
        <v>248</v>
      </c>
      <c r="H70" s="25">
        <v>1</v>
      </c>
    </row>
    <row r="71" spans="1:8" x14ac:dyDescent="0.35">
      <c r="A71" s="5" t="s">
        <v>9</v>
      </c>
      <c r="B71" s="1">
        <v>17</v>
      </c>
      <c r="C71" s="1" t="s">
        <v>46</v>
      </c>
      <c r="D71" s="1" t="s">
        <v>145</v>
      </c>
      <c r="E71" s="1">
        <v>2</v>
      </c>
      <c r="F71" s="1" t="s">
        <v>213</v>
      </c>
      <c r="G71" s="24" t="s">
        <v>245</v>
      </c>
      <c r="H71" s="25">
        <v>1</v>
      </c>
    </row>
    <row r="72" spans="1:8" x14ac:dyDescent="0.35">
      <c r="A72" s="5" t="s">
        <v>9</v>
      </c>
      <c r="B72" s="1">
        <f t="shared" ref="B72:B107" si="1">+B70+1</f>
        <v>18</v>
      </c>
      <c r="C72" s="52" t="s">
        <v>254</v>
      </c>
      <c r="D72" s="43" t="s">
        <v>257</v>
      </c>
      <c r="E72" s="1">
        <v>1</v>
      </c>
      <c r="F72" s="1" t="s">
        <v>212</v>
      </c>
      <c r="G72" s="24" t="s">
        <v>248</v>
      </c>
      <c r="H72" s="25">
        <v>1</v>
      </c>
    </row>
    <row r="73" spans="1:8" x14ac:dyDescent="0.35">
      <c r="A73" s="5" t="s">
        <v>9</v>
      </c>
      <c r="B73" s="1">
        <f t="shared" si="1"/>
        <v>18</v>
      </c>
      <c r="C73" s="52" t="s">
        <v>254</v>
      </c>
      <c r="D73" s="43" t="s">
        <v>257</v>
      </c>
      <c r="E73" s="1">
        <v>2</v>
      </c>
      <c r="F73" s="1" t="s">
        <v>213</v>
      </c>
      <c r="G73" s="24" t="s">
        <v>245</v>
      </c>
      <c r="H73" s="25">
        <v>1</v>
      </c>
    </row>
    <row r="74" spans="1:8" x14ac:dyDescent="0.35">
      <c r="A74" s="5" t="s">
        <v>9</v>
      </c>
      <c r="B74" s="1">
        <f t="shared" si="1"/>
        <v>19</v>
      </c>
      <c r="C74" s="1" t="s">
        <v>47</v>
      </c>
      <c r="D74" s="1" t="s">
        <v>146</v>
      </c>
      <c r="E74" s="1">
        <v>1</v>
      </c>
      <c r="F74" s="1" t="s">
        <v>212</v>
      </c>
      <c r="G74" s="24" t="s">
        <v>248</v>
      </c>
      <c r="H74" s="25">
        <v>1</v>
      </c>
    </row>
    <row r="75" spans="1:8" x14ac:dyDescent="0.35">
      <c r="A75" s="5" t="s">
        <v>9</v>
      </c>
      <c r="B75" s="1">
        <f t="shared" si="1"/>
        <v>19</v>
      </c>
      <c r="C75" s="1" t="s">
        <v>47</v>
      </c>
      <c r="D75" s="1" t="s">
        <v>146</v>
      </c>
      <c r="E75" s="1">
        <v>2</v>
      </c>
      <c r="F75" s="1" t="s">
        <v>213</v>
      </c>
      <c r="G75" s="24" t="s">
        <v>245</v>
      </c>
      <c r="H75" s="25">
        <v>1</v>
      </c>
    </row>
    <row r="76" spans="1:8" x14ac:dyDescent="0.35">
      <c r="A76" s="5" t="s">
        <v>9</v>
      </c>
      <c r="B76" s="1">
        <f t="shared" si="1"/>
        <v>20</v>
      </c>
      <c r="C76" s="1" t="s">
        <v>48</v>
      </c>
      <c r="D76" s="1" t="s">
        <v>147</v>
      </c>
      <c r="E76" s="1">
        <v>1</v>
      </c>
      <c r="F76" s="1" t="s">
        <v>212</v>
      </c>
      <c r="G76" s="24" t="s">
        <v>248</v>
      </c>
      <c r="H76" s="25">
        <v>1</v>
      </c>
    </row>
    <row r="77" spans="1:8" x14ac:dyDescent="0.35">
      <c r="A77" s="5" t="s">
        <v>9</v>
      </c>
      <c r="B77" s="1">
        <f t="shared" si="1"/>
        <v>20</v>
      </c>
      <c r="C77" s="1" t="s">
        <v>48</v>
      </c>
      <c r="D77" s="1" t="s">
        <v>147</v>
      </c>
      <c r="E77" s="1">
        <v>2</v>
      </c>
      <c r="F77" s="1" t="s">
        <v>213</v>
      </c>
      <c r="G77" s="24" t="s">
        <v>245</v>
      </c>
      <c r="H77" s="25">
        <v>1</v>
      </c>
    </row>
    <row r="78" spans="1:8" x14ac:dyDescent="0.35">
      <c r="A78" s="5" t="s">
        <v>9</v>
      </c>
      <c r="B78" s="1">
        <f t="shared" si="1"/>
        <v>21</v>
      </c>
      <c r="C78" s="1" t="s">
        <v>49</v>
      </c>
      <c r="D78" s="1" t="s">
        <v>148</v>
      </c>
      <c r="E78" s="1">
        <v>1</v>
      </c>
      <c r="F78" s="1" t="s">
        <v>212</v>
      </c>
      <c r="G78" s="24" t="s">
        <v>248</v>
      </c>
      <c r="H78" s="25">
        <v>1</v>
      </c>
    </row>
    <row r="79" spans="1:8" x14ac:dyDescent="0.35">
      <c r="A79" s="5" t="s">
        <v>9</v>
      </c>
      <c r="B79" s="1">
        <f t="shared" si="1"/>
        <v>21</v>
      </c>
      <c r="C79" s="1" t="s">
        <v>49</v>
      </c>
      <c r="D79" s="1" t="s">
        <v>148</v>
      </c>
      <c r="E79" s="1">
        <v>2</v>
      </c>
      <c r="F79" s="1" t="s">
        <v>213</v>
      </c>
      <c r="G79" s="24" t="s">
        <v>245</v>
      </c>
      <c r="H79" s="25">
        <v>1</v>
      </c>
    </row>
    <row r="80" spans="1:8" x14ac:dyDescent="0.35">
      <c r="A80" s="5" t="s">
        <v>9</v>
      </c>
      <c r="B80" s="1">
        <f t="shared" si="1"/>
        <v>22</v>
      </c>
      <c r="C80" s="1" t="s">
        <v>50</v>
      </c>
      <c r="D80" s="1" t="s">
        <v>149</v>
      </c>
      <c r="E80" s="1">
        <v>1</v>
      </c>
      <c r="F80" s="1" t="s">
        <v>212</v>
      </c>
      <c r="G80" s="24" t="s">
        <v>248</v>
      </c>
      <c r="H80" s="25">
        <v>1</v>
      </c>
    </row>
    <row r="81" spans="1:8" x14ac:dyDescent="0.35">
      <c r="A81" s="5" t="s">
        <v>9</v>
      </c>
      <c r="B81" s="1">
        <f t="shared" si="1"/>
        <v>22</v>
      </c>
      <c r="C81" s="1" t="s">
        <v>50</v>
      </c>
      <c r="D81" s="1" t="s">
        <v>149</v>
      </c>
      <c r="E81" s="1">
        <v>2</v>
      </c>
      <c r="F81" s="1" t="s">
        <v>213</v>
      </c>
      <c r="G81" s="24" t="s">
        <v>245</v>
      </c>
      <c r="H81" s="25">
        <v>1</v>
      </c>
    </row>
    <row r="82" spans="1:8" x14ac:dyDescent="0.35">
      <c r="A82" s="5" t="s">
        <v>9</v>
      </c>
      <c r="B82" s="1">
        <f t="shared" si="1"/>
        <v>23</v>
      </c>
      <c r="C82" s="1" t="s">
        <v>51</v>
      </c>
      <c r="D82" s="1" t="s">
        <v>150</v>
      </c>
      <c r="E82" s="1">
        <v>1</v>
      </c>
      <c r="F82" s="1" t="s">
        <v>212</v>
      </c>
      <c r="G82" s="24" t="s">
        <v>248</v>
      </c>
      <c r="H82" s="25">
        <v>1</v>
      </c>
    </row>
    <row r="83" spans="1:8" x14ac:dyDescent="0.35">
      <c r="A83" s="5" t="s">
        <v>9</v>
      </c>
      <c r="B83" s="1">
        <f t="shared" si="1"/>
        <v>23</v>
      </c>
      <c r="C83" s="1" t="s">
        <v>51</v>
      </c>
      <c r="D83" s="1" t="s">
        <v>150</v>
      </c>
      <c r="E83" s="1">
        <v>2</v>
      </c>
      <c r="F83" s="1" t="s">
        <v>213</v>
      </c>
      <c r="G83" s="24" t="s">
        <v>245</v>
      </c>
      <c r="H83" s="25">
        <v>1</v>
      </c>
    </row>
    <row r="84" spans="1:8" x14ac:dyDescent="0.35">
      <c r="A84" s="5" t="s">
        <v>9</v>
      </c>
      <c r="B84" s="1">
        <f t="shared" si="1"/>
        <v>24</v>
      </c>
      <c r="C84" s="1" t="s">
        <v>52</v>
      </c>
      <c r="D84" s="1" t="s">
        <v>151</v>
      </c>
      <c r="E84" s="1">
        <v>1</v>
      </c>
      <c r="F84" s="1" t="s">
        <v>212</v>
      </c>
      <c r="G84" s="24" t="s">
        <v>248</v>
      </c>
      <c r="H84" s="25">
        <v>1</v>
      </c>
    </row>
    <row r="85" spans="1:8" x14ac:dyDescent="0.35">
      <c r="A85" s="5" t="s">
        <v>9</v>
      </c>
      <c r="B85" s="1">
        <f t="shared" si="1"/>
        <v>24</v>
      </c>
      <c r="C85" s="1" t="s">
        <v>52</v>
      </c>
      <c r="D85" s="1" t="s">
        <v>151</v>
      </c>
      <c r="E85" s="1">
        <v>2</v>
      </c>
      <c r="F85" s="1" t="s">
        <v>213</v>
      </c>
      <c r="G85" s="24" t="s">
        <v>245</v>
      </c>
      <c r="H85" s="25">
        <v>1</v>
      </c>
    </row>
    <row r="86" spans="1:8" x14ac:dyDescent="0.35">
      <c r="A86" s="5" t="s">
        <v>9</v>
      </c>
      <c r="B86" s="1">
        <f t="shared" si="1"/>
        <v>25</v>
      </c>
      <c r="C86" s="1" t="s">
        <v>53</v>
      </c>
      <c r="D86" s="1" t="s">
        <v>152</v>
      </c>
      <c r="E86" s="1">
        <v>1</v>
      </c>
      <c r="F86" s="1" t="s">
        <v>212</v>
      </c>
      <c r="G86" s="24" t="s">
        <v>248</v>
      </c>
      <c r="H86" s="25">
        <v>1</v>
      </c>
    </row>
    <row r="87" spans="1:8" x14ac:dyDescent="0.35">
      <c r="A87" s="5" t="s">
        <v>9</v>
      </c>
      <c r="B87" s="1">
        <f t="shared" si="1"/>
        <v>25</v>
      </c>
      <c r="C87" s="1" t="s">
        <v>53</v>
      </c>
      <c r="D87" s="1" t="s">
        <v>152</v>
      </c>
      <c r="E87" s="1">
        <v>2</v>
      </c>
      <c r="F87" s="1" t="s">
        <v>213</v>
      </c>
      <c r="G87" s="24" t="s">
        <v>245</v>
      </c>
      <c r="H87" s="25">
        <v>1</v>
      </c>
    </row>
    <row r="88" spans="1:8" x14ac:dyDescent="0.35">
      <c r="A88" s="5" t="s">
        <v>9</v>
      </c>
      <c r="B88" s="1">
        <f t="shared" si="1"/>
        <v>26</v>
      </c>
      <c r="C88" s="1" t="s">
        <v>54</v>
      </c>
      <c r="D88" s="1" t="s">
        <v>153</v>
      </c>
      <c r="E88" s="1">
        <v>1</v>
      </c>
      <c r="F88" s="1" t="s">
        <v>212</v>
      </c>
      <c r="G88" s="24" t="s">
        <v>248</v>
      </c>
      <c r="H88" s="25">
        <v>1</v>
      </c>
    </row>
    <row r="89" spans="1:8" ht="15" thickBot="1" x14ac:dyDescent="0.4">
      <c r="A89" s="5" t="s">
        <v>9</v>
      </c>
      <c r="B89" s="1">
        <f t="shared" si="1"/>
        <v>26</v>
      </c>
      <c r="C89" s="1" t="s">
        <v>54</v>
      </c>
      <c r="D89" s="1" t="s">
        <v>153</v>
      </c>
      <c r="E89" s="1">
        <v>2</v>
      </c>
      <c r="F89" s="1" t="s">
        <v>213</v>
      </c>
      <c r="G89" s="24" t="s">
        <v>245</v>
      </c>
      <c r="H89" s="25">
        <v>1</v>
      </c>
    </row>
    <row r="90" spans="1:8" x14ac:dyDescent="0.35">
      <c r="A90" s="5" t="s">
        <v>9</v>
      </c>
      <c r="B90" s="1">
        <f t="shared" si="1"/>
        <v>27</v>
      </c>
      <c r="C90" s="53" t="s">
        <v>255</v>
      </c>
      <c r="D90" s="1" t="s">
        <v>256</v>
      </c>
      <c r="E90" s="1">
        <v>1</v>
      </c>
      <c r="F90" s="1" t="s">
        <v>212</v>
      </c>
      <c r="G90" s="24" t="s">
        <v>248</v>
      </c>
      <c r="H90" s="25">
        <v>1</v>
      </c>
    </row>
    <row r="91" spans="1:8" x14ac:dyDescent="0.35">
      <c r="A91" s="5" t="s">
        <v>9</v>
      </c>
      <c r="B91" s="1">
        <f t="shared" si="1"/>
        <v>27</v>
      </c>
      <c r="C91" s="54" t="s">
        <v>255</v>
      </c>
      <c r="D91" s="1" t="s">
        <v>256</v>
      </c>
      <c r="E91" s="1">
        <v>2</v>
      </c>
      <c r="F91" s="1" t="s">
        <v>213</v>
      </c>
      <c r="G91" s="24" t="s">
        <v>245</v>
      </c>
      <c r="H91" s="25">
        <v>1</v>
      </c>
    </row>
    <row r="92" spans="1:8" x14ac:dyDescent="0.35">
      <c r="A92" s="5" t="s">
        <v>9</v>
      </c>
      <c r="B92" s="1">
        <f t="shared" si="1"/>
        <v>28</v>
      </c>
      <c r="C92" s="1" t="s">
        <v>55</v>
      </c>
      <c r="D92" s="1" t="s">
        <v>154</v>
      </c>
      <c r="E92" s="1">
        <v>1</v>
      </c>
      <c r="F92" s="1" t="s">
        <v>212</v>
      </c>
      <c r="G92" s="24" t="s">
        <v>248</v>
      </c>
      <c r="H92" s="25">
        <v>1</v>
      </c>
    </row>
    <row r="93" spans="1:8" x14ac:dyDescent="0.35">
      <c r="A93" s="5" t="s">
        <v>9</v>
      </c>
      <c r="B93" s="1">
        <f t="shared" si="1"/>
        <v>28</v>
      </c>
      <c r="C93" s="1" t="s">
        <v>55</v>
      </c>
      <c r="D93" s="1" t="s">
        <v>154</v>
      </c>
      <c r="E93" s="1">
        <v>2</v>
      </c>
      <c r="F93" s="1" t="s">
        <v>213</v>
      </c>
      <c r="G93" s="24" t="s">
        <v>245</v>
      </c>
      <c r="H93" s="25">
        <v>1</v>
      </c>
    </row>
    <row r="94" spans="1:8" x14ac:dyDescent="0.35">
      <c r="A94" s="5" t="s">
        <v>9</v>
      </c>
      <c r="B94" s="1">
        <f t="shared" si="1"/>
        <v>29</v>
      </c>
      <c r="C94" s="1" t="s">
        <v>56</v>
      </c>
      <c r="D94" s="1" t="s">
        <v>155</v>
      </c>
      <c r="E94" s="1">
        <v>1</v>
      </c>
      <c r="F94" s="1" t="s">
        <v>212</v>
      </c>
      <c r="G94" s="24" t="s">
        <v>248</v>
      </c>
      <c r="H94" s="25">
        <v>1</v>
      </c>
    </row>
    <row r="95" spans="1:8" x14ac:dyDescent="0.35">
      <c r="A95" s="5" t="s">
        <v>9</v>
      </c>
      <c r="B95" s="1">
        <f t="shared" si="1"/>
        <v>29</v>
      </c>
      <c r="C95" s="1" t="s">
        <v>56</v>
      </c>
      <c r="D95" s="1" t="s">
        <v>155</v>
      </c>
      <c r="E95" s="1">
        <v>2</v>
      </c>
      <c r="F95" s="1" t="s">
        <v>213</v>
      </c>
      <c r="G95" s="24" t="s">
        <v>245</v>
      </c>
      <c r="H95" s="25">
        <v>1</v>
      </c>
    </row>
    <row r="96" spans="1:8" x14ac:dyDescent="0.35">
      <c r="A96" s="5" t="s">
        <v>9</v>
      </c>
      <c r="B96" s="1">
        <f t="shared" si="1"/>
        <v>30</v>
      </c>
      <c r="C96" s="1" t="s">
        <v>57</v>
      </c>
      <c r="D96" s="1" t="s">
        <v>156</v>
      </c>
      <c r="E96" s="1">
        <v>1</v>
      </c>
      <c r="F96" s="1" t="s">
        <v>212</v>
      </c>
      <c r="G96" s="24" t="s">
        <v>248</v>
      </c>
      <c r="H96" s="25">
        <v>1</v>
      </c>
    </row>
    <row r="97" spans="1:8" x14ac:dyDescent="0.35">
      <c r="A97" s="5" t="s">
        <v>9</v>
      </c>
      <c r="B97" s="1">
        <f t="shared" si="1"/>
        <v>30</v>
      </c>
      <c r="C97" s="1" t="s">
        <v>57</v>
      </c>
      <c r="D97" s="1" t="s">
        <v>156</v>
      </c>
      <c r="E97" s="1">
        <v>2</v>
      </c>
      <c r="F97" s="1" t="s">
        <v>213</v>
      </c>
      <c r="G97" s="24" t="s">
        <v>245</v>
      </c>
      <c r="H97" s="25">
        <v>1</v>
      </c>
    </row>
    <row r="98" spans="1:8" x14ac:dyDescent="0.35">
      <c r="A98" s="5" t="s">
        <v>9</v>
      </c>
      <c r="B98" s="1">
        <f t="shared" si="1"/>
        <v>31</v>
      </c>
      <c r="C98" s="1" t="s">
        <v>58</v>
      </c>
      <c r="D98" s="1" t="s">
        <v>157</v>
      </c>
      <c r="E98" s="1">
        <v>1</v>
      </c>
      <c r="F98" s="1" t="s">
        <v>212</v>
      </c>
      <c r="G98" s="24" t="s">
        <v>248</v>
      </c>
      <c r="H98" s="25">
        <v>1</v>
      </c>
    </row>
    <row r="99" spans="1:8" x14ac:dyDescent="0.35">
      <c r="A99" s="5" t="s">
        <v>9</v>
      </c>
      <c r="B99" s="1">
        <f t="shared" si="1"/>
        <v>31</v>
      </c>
      <c r="C99" s="1" t="s">
        <v>58</v>
      </c>
      <c r="D99" s="1" t="s">
        <v>157</v>
      </c>
      <c r="E99" s="1">
        <v>2</v>
      </c>
      <c r="F99" s="1" t="s">
        <v>213</v>
      </c>
      <c r="G99" s="24" t="s">
        <v>245</v>
      </c>
      <c r="H99" s="25">
        <v>1</v>
      </c>
    </row>
    <row r="100" spans="1:8" x14ac:dyDescent="0.35">
      <c r="A100" s="5" t="s">
        <v>9</v>
      </c>
      <c r="B100" s="1">
        <f t="shared" si="1"/>
        <v>32</v>
      </c>
      <c r="C100" s="1" t="s">
        <v>59</v>
      </c>
      <c r="D100" s="1" t="s">
        <v>158</v>
      </c>
      <c r="E100" s="1">
        <v>1</v>
      </c>
      <c r="F100" s="1" t="s">
        <v>212</v>
      </c>
      <c r="G100" s="24" t="s">
        <v>248</v>
      </c>
      <c r="H100" s="25">
        <v>1</v>
      </c>
    </row>
    <row r="101" spans="1:8" x14ac:dyDescent="0.35">
      <c r="A101" s="5" t="s">
        <v>9</v>
      </c>
      <c r="B101" s="1">
        <f t="shared" si="1"/>
        <v>32</v>
      </c>
      <c r="C101" s="1" t="s">
        <v>59</v>
      </c>
      <c r="D101" s="1" t="s">
        <v>158</v>
      </c>
      <c r="E101" s="1">
        <v>2</v>
      </c>
      <c r="F101" s="1" t="s">
        <v>213</v>
      </c>
      <c r="G101" s="24" t="s">
        <v>245</v>
      </c>
      <c r="H101" s="25">
        <v>1</v>
      </c>
    </row>
    <row r="102" spans="1:8" x14ac:dyDescent="0.35">
      <c r="A102" s="5" t="s">
        <v>9</v>
      </c>
      <c r="B102" s="1">
        <f t="shared" si="1"/>
        <v>33</v>
      </c>
      <c r="C102" s="1" t="s">
        <v>60</v>
      </c>
      <c r="D102" s="1" t="s">
        <v>159</v>
      </c>
      <c r="E102" s="1">
        <v>1</v>
      </c>
      <c r="F102" s="1" t="s">
        <v>212</v>
      </c>
      <c r="G102" s="24" t="s">
        <v>248</v>
      </c>
      <c r="H102" s="25">
        <v>1</v>
      </c>
    </row>
    <row r="103" spans="1:8" x14ac:dyDescent="0.35">
      <c r="A103" s="5" t="s">
        <v>9</v>
      </c>
      <c r="B103" s="1">
        <f t="shared" si="1"/>
        <v>33</v>
      </c>
      <c r="C103" s="1" t="s">
        <v>60</v>
      </c>
      <c r="D103" s="1" t="s">
        <v>159</v>
      </c>
      <c r="E103" s="1">
        <v>2</v>
      </c>
      <c r="F103" s="1" t="s">
        <v>213</v>
      </c>
      <c r="G103" s="24" t="s">
        <v>245</v>
      </c>
      <c r="H103" s="25">
        <v>1</v>
      </c>
    </row>
    <row r="104" spans="1:8" x14ac:dyDescent="0.35">
      <c r="A104" s="5" t="s">
        <v>9</v>
      </c>
      <c r="B104" s="1">
        <f t="shared" si="1"/>
        <v>34</v>
      </c>
      <c r="C104" s="56" t="s">
        <v>253</v>
      </c>
      <c r="D104" s="1" t="s">
        <v>160</v>
      </c>
      <c r="E104" s="1">
        <v>1</v>
      </c>
      <c r="F104" s="1" t="s">
        <v>212</v>
      </c>
      <c r="G104" s="24" t="s">
        <v>248</v>
      </c>
      <c r="H104" s="25">
        <v>1</v>
      </c>
    </row>
    <row r="105" spans="1:8" x14ac:dyDescent="0.35">
      <c r="A105" s="5" t="s">
        <v>9</v>
      </c>
      <c r="B105" s="1">
        <f t="shared" si="1"/>
        <v>34</v>
      </c>
      <c r="C105" s="56" t="s">
        <v>253</v>
      </c>
      <c r="D105" s="1" t="s">
        <v>160</v>
      </c>
      <c r="E105" s="1">
        <v>2</v>
      </c>
      <c r="F105" s="1" t="s">
        <v>213</v>
      </c>
      <c r="G105" s="24" t="s">
        <v>245</v>
      </c>
      <c r="H105" s="25">
        <v>1</v>
      </c>
    </row>
    <row r="106" spans="1:8" x14ac:dyDescent="0.35">
      <c r="A106" s="5" t="s">
        <v>9</v>
      </c>
      <c r="B106" s="1">
        <f t="shared" si="1"/>
        <v>35</v>
      </c>
      <c r="C106" s="1" t="s">
        <v>61</v>
      </c>
      <c r="D106" s="1" t="s">
        <v>161</v>
      </c>
      <c r="E106" s="1">
        <v>1</v>
      </c>
      <c r="F106" s="1" t="s">
        <v>212</v>
      </c>
      <c r="G106" s="24" t="s">
        <v>248</v>
      </c>
      <c r="H106" s="25">
        <v>1</v>
      </c>
    </row>
    <row r="107" spans="1:8" ht="15" thickBot="1" x14ac:dyDescent="0.4">
      <c r="A107" s="7" t="s">
        <v>9</v>
      </c>
      <c r="B107" s="1">
        <f t="shared" si="1"/>
        <v>35</v>
      </c>
      <c r="C107" s="8" t="s">
        <v>61</v>
      </c>
      <c r="D107" s="8" t="s">
        <v>161</v>
      </c>
      <c r="E107" s="8">
        <v>2</v>
      </c>
      <c r="F107" s="8" t="s">
        <v>213</v>
      </c>
      <c r="G107" s="26" t="s">
        <v>245</v>
      </c>
      <c r="H107" s="27">
        <v>1</v>
      </c>
    </row>
    <row r="108" spans="1:8" x14ac:dyDescent="0.35">
      <c r="A108" s="2" t="s">
        <v>10</v>
      </c>
      <c r="B108" s="3">
        <v>1</v>
      </c>
      <c r="C108" s="3" t="s">
        <v>62</v>
      </c>
      <c r="D108" s="3" t="s">
        <v>162</v>
      </c>
      <c r="E108" s="3">
        <v>1</v>
      </c>
      <c r="F108" s="3" t="s">
        <v>212</v>
      </c>
      <c r="G108" s="22" t="s">
        <v>249</v>
      </c>
      <c r="H108" s="23">
        <v>1</v>
      </c>
    </row>
    <row r="109" spans="1:8" ht="15" thickBot="1" x14ac:dyDescent="0.4">
      <c r="A109" s="7" t="s">
        <v>10</v>
      </c>
      <c r="B109" s="8">
        <v>1</v>
      </c>
      <c r="C109" s="8" t="s">
        <v>62</v>
      </c>
      <c r="D109" s="8" t="s">
        <v>162</v>
      </c>
      <c r="E109" s="8">
        <v>2</v>
      </c>
      <c r="F109" s="8" t="s">
        <v>213</v>
      </c>
      <c r="G109" s="26" t="s">
        <v>245</v>
      </c>
      <c r="H109" s="27">
        <v>1</v>
      </c>
    </row>
    <row r="110" spans="1:8" x14ac:dyDescent="0.35">
      <c r="A110" s="13" t="s">
        <v>10</v>
      </c>
      <c r="B110" s="14">
        <v>2</v>
      </c>
      <c r="C110" s="14" t="s">
        <v>63</v>
      </c>
      <c r="D110" s="14" t="s">
        <v>163</v>
      </c>
      <c r="E110" s="14">
        <v>1</v>
      </c>
      <c r="F110" s="14" t="s">
        <v>212</v>
      </c>
      <c r="G110" s="57" t="s">
        <v>249</v>
      </c>
      <c r="H110" s="58">
        <v>1</v>
      </c>
    </row>
    <row r="111" spans="1:8" x14ac:dyDescent="0.35">
      <c r="A111" s="5" t="s">
        <v>10</v>
      </c>
      <c r="B111" s="1">
        <v>2</v>
      </c>
      <c r="C111" s="1" t="s">
        <v>63</v>
      </c>
      <c r="D111" s="1" t="s">
        <v>163</v>
      </c>
      <c r="E111" s="1">
        <v>2</v>
      </c>
      <c r="F111" s="1" t="s">
        <v>213</v>
      </c>
      <c r="G111" s="24" t="s">
        <v>245</v>
      </c>
      <c r="H111" s="25">
        <v>1</v>
      </c>
    </row>
    <row r="112" spans="1:8" x14ac:dyDescent="0.35">
      <c r="A112" s="5" t="s">
        <v>10</v>
      </c>
      <c r="B112" s="1">
        <f t="shared" ref="B112:B143" si="2">+B110+1</f>
        <v>3</v>
      </c>
      <c r="C112" s="1" t="s">
        <v>64</v>
      </c>
      <c r="D112" s="1" t="s">
        <v>164</v>
      </c>
      <c r="E112" s="1">
        <v>1</v>
      </c>
      <c r="F112" s="1" t="s">
        <v>212</v>
      </c>
      <c r="G112" s="24" t="s">
        <v>249</v>
      </c>
      <c r="H112" s="25">
        <v>1</v>
      </c>
    </row>
    <row r="113" spans="1:8" x14ac:dyDescent="0.35">
      <c r="A113" s="5" t="s">
        <v>10</v>
      </c>
      <c r="B113" s="1">
        <f t="shared" si="2"/>
        <v>3</v>
      </c>
      <c r="C113" s="1" t="s">
        <v>64</v>
      </c>
      <c r="D113" s="1" t="s">
        <v>164</v>
      </c>
      <c r="E113" s="1">
        <v>2</v>
      </c>
      <c r="F113" s="1" t="s">
        <v>213</v>
      </c>
      <c r="G113" s="24" t="s">
        <v>245</v>
      </c>
      <c r="H113" s="25">
        <v>1</v>
      </c>
    </row>
    <row r="114" spans="1:8" x14ac:dyDescent="0.35">
      <c r="A114" s="5" t="s">
        <v>10</v>
      </c>
      <c r="B114" s="1">
        <f t="shared" si="2"/>
        <v>4</v>
      </c>
      <c r="C114" s="1" t="s">
        <v>65</v>
      </c>
      <c r="D114" s="1" t="s">
        <v>165</v>
      </c>
      <c r="E114" s="1">
        <v>1</v>
      </c>
      <c r="F114" s="1" t="s">
        <v>212</v>
      </c>
      <c r="G114" s="24" t="s">
        <v>249</v>
      </c>
      <c r="H114" s="25">
        <v>1</v>
      </c>
    </row>
    <row r="115" spans="1:8" x14ac:dyDescent="0.35">
      <c r="A115" s="5" t="s">
        <v>10</v>
      </c>
      <c r="B115" s="1">
        <f t="shared" si="2"/>
        <v>4</v>
      </c>
      <c r="C115" s="1" t="s">
        <v>65</v>
      </c>
      <c r="D115" s="1" t="s">
        <v>165</v>
      </c>
      <c r="E115" s="1">
        <v>2</v>
      </c>
      <c r="F115" s="1" t="s">
        <v>213</v>
      </c>
      <c r="G115" s="24" t="s">
        <v>245</v>
      </c>
      <c r="H115" s="25">
        <v>1</v>
      </c>
    </row>
    <row r="116" spans="1:8" x14ac:dyDescent="0.35">
      <c r="A116" s="5" t="s">
        <v>10</v>
      </c>
      <c r="B116" s="1">
        <f t="shared" si="2"/>
        <v>5</v>
      </c>
      <c r="C116" s="1" t="s">
        <v>66</v>
      </c>
      <c r="D116" s="1" t="s">
        <v>166</v>
      </c>
      <c r="E116" s="1">
        <v>1</v>
      </c>
      <c r="F116" s="1" t="s">
        <v>212</v>
      </c>
      <c r="G116" s="24" t="s">
        <v>249</v>
      </c>
      <c r="H116" s="25">
        <v>1</v>
      </c>
    </row>
    <row r="117" spans="1:8" x14ac:dyDescent="0.35">
      <c r="A117" s="5" t="s">
        <v>10</v>
      </c>
      <c r="B117" s="1">
        <f t="shared" si="2"/>
        <v>5</v>
      </c>
      <c r="C117" s="1" t="s">
        <v>66</v>
      </c>
      <c r="D117" s="1" t="s">
        <v>166</v>
      </c>
      <c r="E117" s="1">
        <v>2</v>
      </c>
      <c r="F117" s="1" t="s">
        <v>213</v>
      </c>
      <c r="G117" s="24" t="s">
        <v>245</v>
      </c>
      <c r="H117" s="25">
        <v>1</v>
      </c>
    </row>
    <row r="118" spans="1:8" x14ac:dyDescent="0.35">
      <c r="A118" s="5" t="s">
        <v>10</v>
      </c>
      <c r="B118" s="1">
        <f t="shared" si="2"/>
        <v>6</v>
      </c>
      <c r="C118" s="1" t="s">
        <v>67</v>
      </c>
      <c r="D118" s="1" t="s">
        <v>167</v>
      </c>
      <c r="E118" s="1">
        <v>1</v>
      </c>
      <c r="F118" s="1" t="s">
        <v>212</v>
      </c>
      <c r="G118" s="24" t="s">
        <v>249</v>
      </c>
      <c r="H118" s="25">
        <v>1</v>
      </c>
    </row>
    <row r="119" spans="1:8" x14ac:dyDescent="0.35">
      <c r="A119" s="5" t="s">
        <v>10</v>
      </c>
      <c r="B119" s="1">
        <f t="shared" si="2"/>
        <v>6</v>
      </c>
      <c r="C119" s="1" t="s">
        <v>67</v>
      </c>
      <c r="D119" s="1" t="s">
        <v>167</v>
      </c>
      <c r="E119" s="1">
        <v>2</v>
      </c>
      <c r="F119" s="1" t="s">
        <v>213</v>
      </c>
      <c r="G119" s="24" t="s">
        <v>245</v>
      </c>
      <c r="H119" s="25">
        <v>1</v>
      </c>
    </row>
    <row r="120" spans="1:8" x14ac:dyDescent="0.35">
      <c r="A120" s="5" t="s">
        <v>10</v>
      </c>
      <c r="B120" s="1">
        <f t="shared" si="2"/>
        <v>7</v>
      </c>
      <c r="C120" s="1" t="s">
        <v>68</v>
      </c>
      <c r="D120" s="1" t="s">
        <v>168</v>
      </c>
      <c r="E120" s="1">
        <v>1</v>
      </c>
      <c r="F120" s="1" t="s">
        <v>212</v>
      </c>
      <c r="G120" s="24" t="s">
        <v>249</v>
      </c>
      <c r="H120" s="25">
        <v>1</v>
      </c>
    </row>
    <row r="121" spans="1:8" x14ac:dyDescent="0.35">
      <c r="A121" s="5" t="s">
        <v>10</v>
      </c>
      <c r="B121" s="1">
        <f t="shared" si="2"/>
        <v>7</v>
      </c>
      <c r="C121" s="1" t="s">
        <v>68</v>
      </c>
      <c r="D121" s="1" t="s">
        <v>168</v>
      </c>
      <c r="E121" s="1">
        <v>2</v>
      </c>
      <c r="F121" s="1" t="s">
        <v>213</v>
      </c>
      <c r="G121" s="24" t="s">
        <v>245</v>
      </c>
      <c r="H121" s="25">
        <v>1</v>
      </c>
    </row>
    <row r="122" spans="1:8" x14ac:dyDescent="0.35">
      <c r="A122" s="5" t="s">
        <v>10</v>
      </c>
      <c r="B122" s="1">
        <f t="shared" si="2"/>
        <v>8</v>
      </c>
      <c r="C122" s="1" t="s">
        <v>69</v>
      </c>
      <c r="D122" s="1" t="s">
        <v>169</v>
      </c>
      <c r="E122" s="1">
        <v>1</v>
      </c>
      <c r="F122" s="1" t="s">
        <v>212</v>
      </c>
      <c r="G122" s="24" t="s">
        <v>249</v>
      </c>
      <c r="H122" s="25">
        <v>1</v>
      </c>
    </row>
    <row r="123" spans="1:8" x14ac:dyDescent="0.35">
      <c r="A123" s="5" t="s">
        <v>10</v>
      </c>
      <c r="B123" s="1">
        <f t="shared" si="2"/>
        <v>8</v>
      </c>
      <c r="C123" s="1" t="s">
        <v>69</v>
      </c>
      <c r="D123" s="1" t="s">
        <v>169</v>
      </c>
      <c r="E123" s="1">
        <v>2</v>
      </c>
      <c r="F123" s="1" t="s">
        <v>213</v>
      </c>
      <c r="G123" s="24" t="s">
        <v>245</v>
      </c>
      <c r="H123" s="25">
        <v>1</v>
      </c>
    </row>
    <row r="124" spans="1:8" x14ac:dyDescent="0.35">
      <c r="A124" s="5" t="s">
        <v>10</v>
      </c>
      <c r="B124" s="1">
        <f t="shared" si="2"/>
        <v>9</v>
      </c>
      <c r="C124" s="52" t="s">
        <v>260</v>
      </c>
      <c r="D124" s="52" t="s">
        <v>261</v>
      </c>
      <c r="E124" s="1">
        <v>1</v>
      </c>
      <c r="F124" s="1" t="s">
        <v>212</v>
      </c>
      <c r="G124" s="24" t="s">
        <v>249</v>
      </c>
      <c r="H124" s="25">
        <v>1</v>
      </c>
    </row>
    <row r="125" spans="1:8" x14ac:dyDescent="0.35">
      <c r="A125" s="5" t="s">
        <v>10</v>
      </c>
      <c r="B125" s="1">
        <f t="shared" si="2"/>
        <v>9</v>
      </c>
      <c r="C125" s="52" t="s">
        <v>260</v>
      </c>
      <c r="D125" s="52" t="s">
        <v>261</v>
      </c>
      <c r="E125" s="1">
        <v>2</v>
      </c>
      <c r="F125" s="1" t="s">
        <v>213</v>
      </c>
      <c r="G125" s="24" t="s">
        <v>245</v>
      </c>
      <c r="H125" s="25">
        <v>1</v>
      </c>
    </row>
    <row r="126" spans="1:8" x14ac:dyDescent="0.35">
      <c r="A126" s="5" t="s">
        <v>10</v>
      </c>
      <c r="B126" s="1">
        <f t="shared" si="2"/>
        <v>10</v>
      </c>
      <c r="C126" s="1" t="s">
        <v>70</v>
      </c>
      <c r="D126" s="1" t="s">
        <v>170</v>
      </c>
      <c r="E126" s="1">
        <v>1</v>
      </c>
      <c r="F126" s="1" t="s">
        <v>212</v>
      </c>
      <c r="G126" s="24" t="s">
        <v>249</v>
      </c>
      <c r="H126" s="25">
        <v>1</v>
      </c>
    </row>
    <row r="127" spans="1:8" x14ac:dyDescent="0.35">
      <c r="A127" s="5" t="s">
        <v>10</v>
      </c>
      <c r="B127" s="1">
        <f t="shared" si="2"/>
        <v>10</v>
      </c>
      <c r="C127" s="1" t="s">
        <v>70</v>
      </c>
      <c r="D127" s="1" t="s">
        <v>170</v>
      </c>
      <c r="E127" s="1">
        <v>2</v>
      </c>
      <c r="F127" s="1" t="s">
        <v>213</v>
      </c>
      <c r="G127" s="24" t="s">
        <v>245</v>
      </c>
      <c r="H127" s="25">
        <v>1</v>
      </c>
    </row>
    <row r="128" spans="1:8" x14ac:dyDescent="0.35">
      <c r="A128" s="5" t="s">
        <v>10</v>
      </c>
      <c r="B128" s="1">
        <f t="shared" si="2"/>
        <v>11</v>
      </c>
      <c r="C128" s="1" t="s">
        <v>71</v>
      </c>
      <c r="D128" s="1" t="s">
        <v>171</v>
      </c>
      <c r="E128" s="1">
        <v>1</v>
      </c>
      <c r="F128" s="1" t="s">
        <v>212</v>
      </c>
      <c r="G128" s="24" t="s">
        <v>249</v>
      </c>
      <c r="H128" s="25">
        <v>1</v>
      </c>
    </row>
    <row r="129" spans="1:8" x14ac:dyDescent="0.35">
      <c r="A129" s="5" t="s">
        <v>10</v>
      </c>
      <c r="B129" s="1">
        <f t="shared" si="2"/>
        <v>11</v>
      </c>
      <c r="C129" s="1" t="s">
        <v>71</v>
      </c>
      <c r="D129" s="1" t="s">
        <v>171</v>
      </c>
      <c r="E129" s="1">
        <v>2</v>
      </c>
      <c r="F129" s="1" t="s">
        <v>213</v>
      </c>
      <c r="G129" s="24" t="s">
        <v>245</v>
      </c>
      <c r="H129" s="25">
        <v>1</v>
      </c>
    </row>
    <row r="130" spans="1:8" x14ac:dyDescent="0.35">
      <c r="A130" s="5" t="s">
        <v>10</v>
      </c>
      <c r="B130" s="1">
        <f t="shared" si="2"/>
        <v>12</v>
      </c>
      <c r="C130" s="1" t="s">
        <v>72</v>
      </c>
      <c r="D130" s="1" t="s">
        <v>172</v>
      </c>
      <c r="E130" s="1">
        <v>1</v>
      </c>
      <c r="F130" s="1" t="s">
        <v>212</v>
      </c>
      <c r="G130" s="24" t="s">
        <v>249</v>
      </c>
      <c r="H130" s="25">
        <v>1</v>
      </c>
    </row>
    <row r="131" spans="1:8" x14ac:dyDescent="0.35">
      <c r="A131" s="5" t="s">
        <v>10</v>
      </c>
      <c r="B131" s="1">
        <f t="shared" si="2"/>
        <v>12</v>
      </c>
      <c r="C131" s="1" t="s">
        <v>72</v>
      </c>
      <c r="D131" s="1" t="s">
        <v>172</v>
      </c>
      <c r="E131" s="1">
        <v>2</v>
      </c>
      <c r="F131" s="1" t="s">
        <v>213</v>
      </c>
      <c r="G131" s="24" t="s">
        <v>245</v>
      </c>
      <c r="H131" s="25">
        <v>1</v>
      </c>
    </row>
    <row r="132" spans="1:8" x14ac:dyDescent="0.35">
      <c r="A132" s="5" t="s">
        <v>10</v>
      </c>
      <c r="B132" s="1">
        <f t="shared" si="2"/>
        <v>13</v>
      </c>
      <c r="C132" s="1" t="s">
        <v>73</v>
      </c>
      <c r="D132" s="1" t="s">
        <v>173</v>
      </c>
      <c r="E132" s="1">
        <v>1</v>
      </c>
      <c r="F132" s="1" t="s">
        <v>212</v>
      </c>
      <c r="G132" s="24" t="s">
        <v>249</v>
      </c>
      <c r="H132" s="25">
        <v>1</v>
      </c>
    </row>
    <row r="133" spans="1:8" x14ac:dyDescent="0.35">
      <c r="A133" s="5" t="s">
        <v>10</v>
      </c>
      <c r="B133" s="1">
        <f t="shared" si="2"/>
        <v>13</v>
      </c>
      <c r="C133" s="1" t="s">
        <v>73</v>
      </c>
      <c r="D133" s="1" t="s">
        <v>173</v>
      </c>
      <c r="E133" s="1">
        <v>2</v>
      </c>
      <c r="F133" s="1" t="s">
        <v>213</v>
      </c>
      <c r="G133" s="24" t="s">
        <v>245</v>
      </c>
      <c r="H133" s="25">
        <v>1</v>
      </c>
    </row>
    <row r="134" spans="1:8" x14ac:dyDescent="0.35">
      <c r="A134" s="5" t="s">
        <v>10</v>
      </c>
      <c r="B134" s="1">
        <f t="shared" si="2"/>
        <v>14</v>
      </c>
      <c r="C134" s="1" t="s">
        <v>74</v>
      </c>
      <c r="D134" s="1" t="s">
        <v>174</v>
      </c>
      <c r="E134" s="1">
        <v>1</v>
      </c>
      <c r="F134" s="1" t="s">
        <v>212</v>
      </c>
      <c r="G134" s="24" t="s">
        <v>249</v>
      </c>
      <c r="H134" s="25">
        <v>1</v>
      </c>
    </row>
    <row r="135" spans="1:8" x14ac:dyDescent="0.35">
      <c r="A135" s="5" t="s">
        <v>10</v>
      </c>
      <c r="B135" s="1">
        <f t="shared" si="2"/>
        <v>14</v>
      </c>
      <c r="C135" s="1" t="s">
        <v>74</v>
      </c>
      <c r="D135" s="1" t="s">
        <v>174</v>
      </c>
      <c r="E135" s="1">
        <v>2</v>
      </c>
      <c r="F135" s="1" t="s">
        <v>213</v>
      </c>
      <c r="G135" s="24" t="s">
        <v>245</v>
      </c>
      <c r="H135" s="25">
        <v>1</v>
      </c>
    </row>
    <row r="136" spans="1:8" x14ac:dyDescent="0.35">
      <c r="A136" s="5" t="s">
        <v>10</v>
      </c>
      <c r="B136" s="1">
        <f t="shared" si="2"/>
        <v>15</v>
      </c>
      <c r="C136" s="1" t="s">
        <v>75</v>
      </c>
      <c r="D136" s="1" t="s">
        <v>175</v>
      </c>
      <c r="E136" s="1">
        <v>1</v>
      </c>
      <c r="F136" s="1" t="s">
        <v>212</v>
      </c>
      <c r="G136" s="24" t="s">
        <v>249</v>
      </c>
      <c r="H136" s="25">
        <v>1</v>
      </c>
    </row>
    <row r="137" spans="1:8" x14ac:dyDescent="0.35">
      <c r="A137" s="5" t="s">
        <v>10</v>
      </c>
      <c r="B137" s="1">
        <f t="shared" si="2"/>
        <v>15</v>
      </c>
      <c r="C137" s="1" t="s">
        <v>75</v>
      </c>
      <c r="D137" s="1" t="s">
        <v>175</v>
      </c>
      <c r="E137" s="1">
        <v>2</v>
      </c>
      <c r="F137" s="1" t="s">
        <v>213</v>
      </c>
      <c r="G137" s="24" t="s">
        <v>245</v>
      </c>
      <c r="H137" s="25">
        <v>1</v>
      </c>
    </row>
    <row r="138" spans="1:8" x14ac:dyDescent="0.35">
      <c r="A138" s="5" t="s">
        <v>10</v>
      </c>
      <c r="B138" s="1">
        <f t="shared" si="2"/>
        <v>16</v>
      </c>
      <c r="C138" s="1" t="s">
        <v>76</v>
      </c>
      <c r="D138" s="1" t="s">
        <v>176</v>
      </c>
      <c r="E138" s="1">
        <v>1</v>
      </c>
      <c r="F138" s="1" t="s">
        <v>212</v>
      </c>
      <c r="G138" s="24" t="s">
        <v>249</v>
      </c>
      <c r="H138" s="25">
        <v>1</v>
      </c>
    </row>
    <row r="139" spans="1:8" ht="15" thickBot="1" x14ac:dyDescent="0.4">
      <c r="A139" s="28" t="s">
        <v>10</v>
      </c>
      <c r="B139" s="29">
        <f t="shared" si="2"/>
        <v>16</v>
      </c>
      <c r="C139" s="29" t="s">
        <v>76</v>
      </c>
      <c r="D139" s="29" t="s">
        <v>176</v>
      </c>
      <c r="E139" s="29">
        <v>2</v>
      </c>
      <c r="F139" s="29" t="s">
        <v>213</v>
      </c>
      <c r="G139" s="61" t="s">
        <v>245</v>
      </c>
      <c r="H139" s="62">
        <v>1</v>
      </c>
    </row>
    <row r="140" spans="1:8" x14ac:dyDescent="0.35">
      <c r="A140" s="2" t="s">
        <v>10</v>
      </c>
      <c r="B140" s="3">
        <f t="shared" si="2"/>
        <v>17</v>
      </c>
      <c r="C140" s="3" t="s">
        <v>77</v>
      </c>
      <c r="D140" s="3" t="s">
        <v>177</v>
      </c>
      <c r="E140" s="3">
        <v>1</v>
      </c>
      <c r="F140" s="3" t="s">
        <v>212</v>
      </c>
      <c r="G140" s="22" t="s">
        <v>249</v>
      </c>
      <c r="H140" s="23">
        <v>1</v>
      </c>
    </row>
    <row r="141" spans="1:8" x14ac:dyDescent="0.35">
      <c r="A141" s="5" t="s">
        <v>10</v>
      </c>
      <c r="B141" s="1">
        <f t="shared" si="2"/>
        <v>17</v>
      </c>
      <c r="C141" s="1" t="s">
        <v>77</v>
      </c>
      <c r="D141" s="1" t="s">
        <v>177</v>
      </c>
      <c r="E141" s="1">
        <v>2</v>
      </c>
      <c r="F141" s="1" t="s">
        <v>213</v>
      </c>
      <c r="G141" s="24" t="s">
        <v>245</v>
      </c>
      <c r="H141" s="25">
        <v>1</v>
      </c>
    </row>
    <row r="142" spans="1:8" x14ac:dyDescent="0.35">
      <c r="A142" s="5" t="s">
        <v>10</v>
      </c>
      <c r="B142" s="1">
        <f t="shared" si="2"/>
        <v>18</v>
      </c>
      <c r="C142" s="55" t="s">
        <v>267</v>
      </c>
      <c r="D142" s="52" t="s">
        <v>262</v>
      </c>
      <c r="E142" s="1">
        <v>1</v>
      </c>
      <c r="F142" s="1" t="s">
        <v>212</v>
      </c>
      <c r="G142" s="24" t="s">
        <v>249</v>
      </c>
      <c r="H142" s="25">
        <v>1</v>
      </c>
    </row>
    <row r="143" spans="1:8" x14ac:dyDescent="0.35">
      <c r="A143" s="5" t="s">
        <v>10</v>
      </c>
      <c r="B143" s="1">
        <f t="shared" si="2"/>
        <v>18</v>
      </c>
      <c r="C143" s="55" t="s">
        <v>267</v>
      </c>
      <c r="D143" s="52" t="s">
        <v>262</v>
      </c>
      <c r="E143" s="1">
        <v>2</v>
      </c>
      <c r="F143" s="1" t="s">
        <v>213</v>
      </c>
      <c r="G143" s="24" t="s">
        <v>245</v>
      </c>
      <c r="H143" s="25">
        <v>1</v>
      </c>
    </row>
    <row r="144" spans="1:8" x14ac:dyDescent="0.35">
      <c r="A144" s="5" t="s">
        <v>10</v>
      </c>
      <c r="B144" s="1">
        <f t="shared" ref="B144:B175" si="3">+B142+1</f>
        <v>19</v>
      </c>
      <c r="C144" s="1" t="s">
        <v>78</v>
      </c>
      <c r="D144" s="1" t="s">
        <v>178</v>
      </c>
      <c r="E144" s="1">
        <v>1</v>
      </c>
      <c r="F144" s="1" t="s">
        <v>212</v>
      </c>
      <c r="G144" s="24" t="s">
        <v>249</v>
      </c>
      <c r="H144" s="25">
        <v>1</v>
      </c>
    </row>
    <row r="145" spans="1:8" x14ac:dyDescent="0.35">
      <c r="A145" s="5" t="s">
        <v>10</v>
      </c>
      <c r="B145" s="1">
        <f t="shared" si="3"/>
        <v>19</v>
      </c>
      <c r="C145" s="1" t="s">
        <v>78</v>
      </c>
      <c r="D145" s="1" t="s">
        <v>178</v>
      </c>
      <c r="E145" s="1">
        <v>2</v>
      </c>
      <c r="F145" s="1" t="s">
        <v>213</v>
      </c>
      <c r="G145" s="24" t="s">
        <v>245</v>
      </c>
      <c r="H145" s="25">
        <v>1</v>
      </c>
    </row>
    <row r="146" spans="1:8" x14ac:dyDescent="0.35">
      <c r="A146" s="5" t="s">
        <v>10</v>
      </c>
      <c r="B146" s="1">
        <f t="shared" si="3"/>
        <v>20</v>
      </c>
      <c r="C146" s="1" t="s">
        <v>79</v>
      </c>
      <c r="D146" s="1" t="s">
        <v>179</v>
      </c>
      <c r="E146" s="1">
        <v>1</v>
      </c>
      <c r="F146" s="1" t="s">
        <v>212</v>
      </c>
      <c r="G146" s="24" t="s">
        <v>249</v>
      </c>
      <c r="H146" s="25">
        <v>1</v>
      </c>
    </row>
    <row r="147" spans="1:8" x14ac:dyDescent="0.35">
      <c r="A147" s="5" t="s">
        <v>10</v>
      </c>
      <c r="B147" s="1">
        <f t="shared" si="3"/>
        <v>20</v>
      </c>
      <c r="C147" s="1" t="s">
        <v>79</v>
      </c>
      <c r="D147" s="1" t="s">
        <v>179</v>
      </c>
      <c r="E147" s="1">
        <v>2</v>
      </c>
      <c r="F147" s="1" t="s">
        <v>213</v>
      </c>
      <c r="G147" s="24" t="s">
        <v>245</v>
      </c>
      <c r="H147" s="25">
        <v>1</v>
      </c>
    </row>
    <row r="148" spans="1:8" x14ac:dyDescent="0.35">
      <c r="A148" s="5" t="s">
        <v>10</v>
      </c>
      <c r="B148" s="1">
        <f t="shared" si="3"/>
        <v>21</v>
      </c>
      <c r="C148" s="1" t="s">
        <v>80</v>
      </c>
      <c r="D148" s="1" t="s">
        <v>180</v>
      </c>
      <c r="E148" s="1">
        <v>1</v>
      </c>
      <c r="F148" s="1" t="s">
        <v>212</v>
      </c>
      <c r="G148" s="24" t="s">
        <v>249</v>
      </c>
      <c r="H148" s="25">
        <v>1</v>
      </c>
    </row>
    <row r="149" spans="1:8" x14ac:dyDescent="0.35">
      <c r="A149" s="5" t="s">
        <v>10</v>
      </c>
      <c r="B149" s="1">
        <f t="shared" si="3"/>
        <v>21</v>
      </c>
      <c r="C149" s="1" t="s">
        <v>80</v>
      </c>
      <c r="D149" s="1" t="s">
        <v>180</v>
      </c>
      <c r="E149" s="1">
        <v>2</v>
      </c>
      <c r="F149" s="1" t="s">
        <v>213</v>
      </c>
      <c r="G149" s="24" t="s">
        <v>245</v>
      </c>
      <c r="H149" s="25">
        <v>1</v>
      </c>
    </row>
    <row r="150" spans="1:8" x14ac:dyDescent="0.35">
      <c r="A150" s="5" t="s">
        <v>10</v>
      </c>
      <c r="B150" s="1">
        <f t="shared" si="3"/>
        <v>22</v>
      </c>
      <c r="C150" s="1" t="s">
        <v>81</v>
      </c>
      <c r="D150" s="1" t="s">
        <v>181</v>
      </c>
      <c r="E150" s="1">
        <v>1</v>
      </c>
      <c r="F150" s="1" t="s">
        <v>212</v>
      </c>
      <c r="G150" s="24" t="s">
        <v>249</v>
      </c>
      <c r="H150" s="25">
        <v>1</v>
      </c>
    </row>
    <row r="151" spans="1:8" x14ac:dyDescent="0.35">
      <c r="A151" s="5" t="s">
        <v>10</v>
      </c>
      <c r="B151" s="1">
        <f t="shared" si="3"/>
        <v>22</v>
      </c>
      <c r="C151" s="1" t="s">
        <v>81</v>
      </c>
      <c r="D151" s="1" t="s">
        <v>181</v>
      </c>
      <c r="E151" s="1">
        <v>2</v>
      </c>
      <c r="F151" s="1" t="s">
        <v>213</v>
      </c>
      <c r="G151" s="24" t="s">
        <v>245</v>
      </c>
      <c r="H151" s="25">
        <v>1</v>
      </c>
    </row>
    <row r="152" spans="1:8" x14ac:dyDescent="0.35">
      <c r="A152" s="5" t="s">
        <v>10</v>
      </c>
      <c r="B152" s="1">
        <f t="shared" si="3"/>
        <v>23</v>
      </c>
      <c r="C152" s="1" t="s">
        <v>82</v>
      </c>
      <c r="D152" s="1" t="s">
        <v>182</v>
      </c>
      <c r="E152" s="1">
        <v>1</v>
      </c>
      <c r="F152" s="1" t="s">
        <v>212</v>
      </c>
      <c r="G152" s="24" t="s">
        <v>249</v>
      </c>
      <c r="H152" s="25">
        <v>1</v>
      </c>
    </row>
    <row r="153" spans="1:8" x14ac:dyDescent="0.35">
      <c r="A153" s="5" t="s">
        <v>10</v>
      </c>
      <c r="B153" s="1">
        <f t="shared" si="3"/>
        <v>23</v>
      </c>
      <c r="C153" s="1" t="s">
        <v>82</v>
      </c>
      <c r="D153" s="1" t="s">
        <v>182</v>
      </c>
      <c r="E153" s="1">
        <v>2</v>
      </c>
      <c r="F153" s="1" t="s">
        <v>213</v>
      </c>
      <c r="G153" s="24" t="s">
        <v>245</v>
      </c>
      <c r="H153" s="25">
        <v>1</v>
      </c>
    </row>
    <row r="154" spans="1:8" x14ac:dyDescent="0.35">
      <c r="A154" s="5" t="s">
        <v>10</v>
      </c>
      <c r="B154" s="1">
        <f t="shared" si="3"/>
        <v>24</v>
      </c>
      <c r="C154" s="1" t="s">
        <v>83</v>
      </c>
      <c r="D154" s="1" t="s">
        <v>183</v>
      </c>
      <c r="E154" s="1">
        <v>1</v>
      </c>
      <c r="F154" s="1" t="s">
        <v>212</v>
      </c>
      <c r="G154" s="24" t="s">
        <v>249</v>
      </c>
      <c r="H154" s="25">
        <v>1</v>
      </c>
    </row>
    <row r="155" spans="1:8" x14ac:dyDescent="0.35">
      <c r="A155" s="5" t="s">
        <v>10</v>
      </c>
      <c r="B155" s="1">
        <f t="shared" si="3"/>
        <v>24</v>
      </c>
      <c r="C155" s="1" t="s">
        <v>83</v>
      </c>
      <c r="D155" s="1" t="s">
        <v>183</v>
      </c>
      <c r="E155" s="1">
        <v>2</v>
      </c>
      <c r="F155" s="1" t="s">
        <v>213</v>
      </c>
      <c r="G155" s="24" t="s">
        <v>245</v>
      </c>
      <c r="H155" s="25">
        <v>1</v>
      </c>
    </row>
    <row r="156" spans="1:8" x14ac:dyDescent="0.35">
      <c r="A156" s="5" t="s">
        <v>10</v>
      </c>
      <c r="B156" s="1">
        <f t="shared" si="3"/>
        <v>25</v>
      </c>
      <c r="C156" s="1" t="s">
        <v>84</v>
      </c>
      <c r="D156" s="1" t="s">
        <v>184</v>
      </c>
      <c r="E156" s="1">
        <v>1</v>
      </c>
      <c r="F156" s="1" t="s">
        <v>212</v>
      </c>
      <c r="G156" s="24" t="s">
        <v>249</v>
      </c>
      <c r="H156" s="25">
        <v>1</v>
      </c>
    </row>
    <row r="157" spans="1:8" x14ac:dyDescent="0.35">
      <c r="A157" s="5" t="s">
        <v>10</v>
      </c>
      <c r="B157" s="1">
        <f t="shared" si="3"/>
        <v>25</v>
      </c>
      <c r="C157" s="1" t="s">
        <v>84</v>
      </c>
      <c r="D157" s="1" t="s">
        <v>184</v>
      </c>
      <c r="E157" s="1">
        <v>2</v>
      </c>
      <c r="F157" s="1" t="s">
        <v>213</v>
      </c>
      <c r="G157" s="24" t="s">
        <v>245</v>
      </c>
      <c r="H157" s="25">
        <v>1</v>
      </c>
    </row>
    <row r="158" spans="1:8" x14ac:dyDescent="0.35">
      <c r="A158" s="5" t="s">
        <v>10</v>
      </c>
      <c r="B158" s="1">
        <f t="shared" si="3"/>
        <v>26</v>
      </c>
      <c r="C158" s="1" t="s">
        <v>85</v>
      </c>
      <c r="D158" s="1" t="s">
        <v>185</v>
      </c>
      <c r="E158" s="1">
        <v>1</v>
      </c>
      <c r="F158" s="1" t="s">
        <v>212</v>
      </c>
      <c r="G158" s="24" t="s">
        <v>249</v>
      </c>
      <c r="H158" s="25">
        <v>1</v>
      </c>
    </row>
    <row r="159" spans="1:8" ht="15" thickBot="1" x14ac:dyDescent="0.4">
      <c r="A159" s="7" t="s">
        <v>10</v>
      </c>
      <c r="B159" s="8">
        <f t="shared" si="3"/>
        <v>26</v>
      </c>
      <c r="C159" s="8" t="s">
        <v>85</v>
      </c>
      <c r="D159" s="8" t="s">
        <v>185</v>
      </c>
      <c r="E159" s="8">
        <v>2</v>
      </c>
      <c r="F159" s="8" t="s">
        <v>213</v>
      </c>
      <c r="G159" s="26" t="s">
        <v>245</v>
      </c>
      <c r="H159" s="27">
        <v>1</v>
      </c>
    </row>
    <row r="160" spans="1:8" x14ac:dyDescent="0.35">
      <c r="A160" s="2" t="s">
        <v>10</v>
      </c>
      <c r="B160" s="3">
        <f t="shared" si="3"/>
        <v>27</v>
      </c>
      <c r="C160" s="3" t="s">
        <v>86</v>
      </c>
      <c r="D160" s="3" t="s">
        <v>186</v>
      </c>
      <c r="E160" s="3">
        <v>1</v>
      </c>
      <c r="F160" s="3" t="s">
        <v>212</v>
      </c>
      <c r="G160" s="22" t="s">
        <v>249</v>
      </c>
      <c r="H160" s="23">
        <v>1</v>
      </c>
    </row>
    <row r="161" spans="1:8" x14ac:dyDescent="0.35">
      <c r="A161" s="5" t="s">
        <v>10</v>
      </c>
      <c r="B161" s="1">
        <f t="shared" si="3"/>
        <v>27</v>
      </c>
      <c r="C161" s="1" t="s">
        <v>86</v>
      </c>
      <c r="D161" s="1" t="s">
        <v>186</v>
      </c>
      <c r="E161" s="1">
        <v>2</v>
      </c>
      <c r="F161" s="1" t="s">
        <v>213</v>
      </c>
      <c r="G161" s="24" t="s">
        <v>245</v>
      </c>
      <c r="H161" s="25">
        <v>1</v>
      </c>
    </row>
    <row r="162" spans="1:8" x14ac:dyDescent="0.35">
      <c r="A162" s="5" t="s">
        <v>10</v>
      </c>
      <c r="B162" s="1">
        <f t="shared" si="3"/>
        <v>28</v>
      </c>
      <c r="C162" s="1" t="s">
        <v>87</v>
      </c>
      <c r="D162" s="1" t="s">
        <v>187</v>
      </c>
      <c r="E162" s="1">
        <v>1</v>
      </c>
      <c r="F162" s="1" t="s">
        <v>212</v>
      </c>
      <c r="G162" s="24" t="s">
        <v>249</v>
      </c>
      <c r="H162" s="25">
        <v>1</v>
      </c>
    </row>
    <row r="163" spans="1:8" x14ac:dyDescent="0.35">
      <c r="A163" s="5" t="s">
        <v>10</v>
      </c>
      <c r="B163" s="1">
        <f t="shared" si="3"/>
        <v>28</v>
      </c>
      <c r="C163" s="1" t="s">
        <v>87</v>
      </c>
      <c r="D163" s="1" t="s">
        <v>187</v>
      </c>
      <c r="E163" s="1">
        <v>2</v>
      </c>
      <c r="F163" s="1" t="s">
        <v>213</v>
      </c>
      <c r="G163" s="24" t="s">
        <v>245</v>
      </c>
      <c r="H163" s="25">
        <v>1</v>
      </c>
    </row>
    <row r="164" spans="1:8" x14ac:dyDescent="0.35">
      <c r="A164" s="5" t="s">
        <v>10</v>
      </c>
      <c r="B164" s="1">
        <f t="shared" si="3"/>
        <v>29</v>
      </c>
      <c r="C164" s="1" t="s">
        <v>88</v>
      </c>
      <c r="D164" s="1" t="s">
        <v>188</v>
      </c>
      <c r="E164" s="1">
        <v>1</v>
      </c>
      <c r="F164" s="1" t="s">
        <v>212</v>
      </c>
      <c r="G164" s="24" t="s">
        <v>249</v>
      </c>
      <c r="H164" s="25">
        <v>1</v>
      </c>
    </row>
    <row r="165" spans="1:8" x14ac:dyDescent="0.35">
      <c r="A165" s="5" t="s">
        <v>10</v>
      </c>
      <c r="B165" s="1">
        <f t="shared" si="3"/>
        <v>29</v>
      </c>
      <c r="C165" s="1" t="s">
        <v>88</v>
      </c>
      <c r="D165" s="1" t="s">
        <v>188</v>
      </c>
      <c r="E165" s="1">
        <v>2</v>
      </c>
      <c r="F165" s="1" t="s">
        <v>213</v>
      </c>
      <c r="G165" s="24" t="s">
        <v>245</v>
      </c>
      <c r="H165" s="25">
        <v>1</v>
      </c>
    </row>
    <row r="166" spans="1:8" x14ac:dyDescent="0.35">
      <c r="A166" s="5" t="s">
        <v>10</v>
      </c>
      <c r="B166" s="1">
        <f t="shared" si="3"/>
        <v>30</v>
      </c>
      <c r="C166" s="1" t="s">
        <v>89</v>
      </c>
      <c r="D166" s="1" t="s">
        <v>189</v>
      </c>
      <c r="E166" s="1">
        <v>1</v>
      </c>
      <c r="F166" s="1" t="s">
        <v>212</v>
      </c>
      <c r="G166" s="24" t="s">
        <v>249</v>
      </c>
      <c r="H166" s="25">
        <v>1</v>
      </c>
    </row>
    <row r="167" spans="1:8" x14ac:dyDescent="0.35">
      <c r="A167" s="5" t="s">
        <v>10</v>
      </c>
      <c r="B167" s="1">
        <f t="shared" si="3"/>
        <v>30</v>
      </c>
      <c r="C167" s="1" t="s">
        <v>89</v>
      </c>
      <c r="D167" s="1" t="s">
        <v>189</v>
      </c>
      <c r="E167" s="1">
        <v>2</v>
      </c>
      <c r="F167" s="1" t="s">
        <v>213</v>
      </c>
      <c r="G167" s="24" t="s">
        <v>245</v>
      </c>
      <c r="H167" s="25">
        <v>1</v>
      </c>
    </row>
    <row r="168" spans="1:8" x14ac:dyDescent="0.35">
      <c r="A168" s="5" t="s">
        <v>10</v>
      </c>
      <c r="B168" s="1">
        <f t="shared" si="3"/>
        <v>31</v>
      </c>
      <c r="C168" s="1" t="s">
        <v>90</v>
      </c>
      <c r="D168" s="1" t="s">
        <v>190</v>
      </c>
      <c r="E168" s="1">
        <v>1</v>
      </c>
      <c r="F168" s="1" t="s">
        <v>212</v>
      </c>
      <c r="G168" s="24" t="s">
        <v>249</v>
      </c>
      <c r="H168" s="25">
        <v>1</v>
      </c>
    </row>
    <row r="169" spans="1:8" x14ac:dyDescent="0.35">
      <c r="A169" s="5" t="s">
        <v>10</v>
      </c>
      <c r="B169" s="1">
        <f t="shared" si="3"/>
        <v>31</v>
      </c>
      <c r="C169" s="1" t="s">
        <v>90</v>
      </c>
      <c r="D169" s="1" t="s">
        <v>190</v>
      </c>
      <c r="E169" s="1">
        <v>2</v>
      </c>
      <c r="F169" s="1" t="s">
        <v>213</v>
      </c>
      <c r="G169" s="24" t="s">
        <v>245</v>
      </c>
      <c r="H169" s="25">
        <v>1</v>
      </c>
    </row>
    <row r="170" spans="1:8" x14ac:dyDescent="0.35">
      <c r="A170" s="5" t="s">
        <v>10</v>
      </c>
      <c r="B170" s="1">
        <f t="shared" si="3"/>
        <v>32</v>
      </c>
      <c r="C170" s="1" t="s">
        <v>91</v>
      </c>
      <c r="D170" s="1" t="s">
        <v>191</v>
      </c>
      <c r="E170" s="1">
        <v>1</v>
      </c>
      <c r="F170" s="1" t="s">
        <v>212</v>
      </c>
      <c r="G170" s="24" t="s">
        <v>249</v>
      </c>
      <c r="H170" s="25">
        <v>1</v>
      </c>
    </row>
    <row r="171" spans="1:8" x14ac:dyDescent="0.35">
      <c r="A171" s="5" t="s">
        <v>10</v>
      </c>
      <c r="B171" s="1">
        <f t="shared" si="3"/>
        <v>32</v>
      </c>
      <c r="C171" s="1" t="s">
        <v>91</v>
      </c>
      <c r="D171" s="1" t="s">
        <v>191</v>
      </c>
      <c r="E171" s="1">
        <v>2</v>
      </c>
      <c r="F171" s="1" t="s">
        <v>213</v>
      </c>
      <c r="G171" s="24" t="s">
        <v>245</v>
      </c>
      <c r="H171" s="25">
        <v>1</v>
      </c>
    </row>
    <row r="172" spans="1:8" x14ac:dyDescent="0.35">
      <c r="A172" s="5" t="s">
        <v>10</v>
      </c>
      <c r="B172" s="1">
        <f t="shared" si="3"/>
        <v>33</v>
      </c>
      <c r="C172" s="1" t="s">
        <v>92</v>
      </c>
      <c r="D172" s="1" t="s">
        <v>192</v>
      </c>
      <c r="E172" s="1">
        <v>1</v>
      </c>
      <c r="F172" s="1" t="s">
        <v>212</v>
      </c>
      <c r="G172" s="24" t="s">
        <v>249</v>
      </c>
      <c r="H172" s="25">
        <v>1</v>
      </c>
    </row>
    <row r="173" spans="1:8" x14ac:dyDescent="0.35">
      <c r="A173" s="5" t="s">
        <v>10</v>
      </c>
      <c r="B173" s="1">
        <f t="shared" si="3"/>
        <v>33</v>
      </c>
      <c r="C173" s="1" t="s">
        <v>92</v>
      </c>
      <c r="D173" s="1" t="s">
        <v>192</v>
      </c>
      <c r="E173" s="1">
        <v>2</v>
      </c>
      <c r="F173" s="1" t="s">
        <v>213</v>
      </c>
      <c r="G173" s="24" t="s">
        <v>245</v>
      </c>
      <c r="H173" s="25">
        <v>1</v>
      </c>
    </row>
    <row r="174" spans="1:8" x14ac:dyDescent="0.35">
      <c r="A174" s="5" t="s">
        <v>10</v>
      </c>
      <c r="B174" s="1">
        <f t="shared" si="3"/>
        <v>34</v>
      </c>
      <c r="C174" s="52" t="s">
        <v>263</v>
      </c>
      <c r="D174" s="52" t="s">
        <v>264</v>
      </c>
      <c r="E174" s="1">
        <v>1</v>
      </c>
      <c r="F174" s="1" t="s">
        <v>212</v>
      </c>
      <c r="G174" s="24" t="s">
        <v>249</v>
      </c>
      <c r="H174" s="25">
        <v>1</v>
      </c>
    </row>
    <row r="175" spans="1:8" x14ac:dyDescent="0.35">
      <c r="A175" s="5" t="s">
        <v>10</v>
      </c>
      <c r="B175" s="1">
        <f t="shared" si="3"/>
        <v>34</v>
      </c>
      <c r="C175" s="52" t="s">
        <v>263</v>
      </c>
      <c r="D175" s="52" t="s">
        <v>264</v>
      </c>
      <c r="E175" s="1">
        <v>2</v>
      </c>
      <c r="F175" s="1" t="s">
        <v>213</v>
      </c>
      <c r="G175" s="24" t="s">
        <v>245</v>
      </c>
      <c r="H175" s="25">
        <v>1</v>
      </c>
    </row>
    <row r="176" spans="1:8" x14ac:dyDescent="0.35">
      <c r="A176" s="5" t="s">
        <v>10</v>
      </c>
      <c r="B176" s="1">
        <f t="shared" ref="B176:B207" si="4">+B174+1</f>
        <v>35</v>
      </c>
      <c r="C176" s="1" t="s">
        <v>93</v>
      </c>
      <c r="D176" s="1" t="s">
        <v>193</v>
      </c>
      <c r="E176" s="1">
        <v>1</v>
      </c>
      <c r="F176" s="1" t="s">
        <v>212</v>
      </c>
      <c r="G176" s="24" t="s">
        <v>249</v>
      </c>
      <c r="H176" s="25">
        <v>1</v>
      </c>
    </row>
    <row r="177" spans="1:8" x14ac:dyDescent="0.35">
      <c r="A177" s="5" t="s">
        <v>10</v>
      </c>
      <c r="B177" s="1">
        <f t="shared" si="4"/>
        <v>35</v>
      </c>
      <c r="C177" s="1" t="s">
        <v>93</v>
      </c>
      <c r="D177" s="1" t="s">
        <v>193</v>
      </c>
      <c r="E177" s="1">
        <v>2</v>
      </c>
      <c r="F177" s="1" t="s">
        <v>213</v>
      </c>
      <c r="G177" s="24" t="s">
        <v>245</v>
      </c>
      <c r="H177" s="25">
        <v>1</v>
      </c>
    </row>
    <row r="178" spans="1:8" x14ac:dyDescent="0.35">
      <c r="A178" s="5" t="s">
        <v>10</v>
      </c>
      <c r="B178" s="1">
        <f t="shared" si="4"/>
        <v>36</v>
      </c>
      <c r="C178" s="1" t="s">
        <v>94</v>
      </c>
      <c r="D178" s="1" t="s">
        <v>194</v>
      </c>
      <c r="E178" s="1">
        <v>1</v>
      </c>
      <c r="F178" s="1" t="s">
        <v>212</v>
      </c>
      <c r="G178" s="24" t="s">
        <v>249</v>
      </c>
      <c r="H178" s="25">
        <v>1</v>
      </c>
    </row>
    <row r="179" spans="1:8" x14ac:dyDescent="0.35">
      <c r="A179" s="5" t="s">
        <v>10</v>
      </c>
      <c r="B179" s="1">
        <f t="shared" si="4"/>
        <v>36</v>
      </c>
      <c r="C179" s="1" t="s">
        <v>94</v>
      </c>
      <c r="D179" s="1" t="s">
        <v>194</v>
      </c>
      <c r="E179" s="1">
        <v>2</v>
      </c>
      <c r="F179" s="1" t="s">
        <v>213</v>
      </c>
      <c r="G179" s="24" t="s">
        <v>245</v>
      </c>
      <c r="H179" s="25">
        <v>1</v>
      </c>
    </row>
    <row r="180" spans="1:8" x14ac:dyDescent="0.35">
      <c r="A180" s="5" t="s">
        <v>10</v>
      </c>
      <c r="B180" s="1">
        <f t="shared" si="4"/>
        <v>37</v>
      </c>
      <c r="C180" s="1" t="s">
        <v>95</v>
      </c>
      <c r="D180" s="1" t="s">
        <v>195</v>
      </c>
      <c r="E180" s="1">
        <v>1</v>
      </c>
      <c r="F180" s="1" t="s">
        <v>212</v>
      </c>
      <c r="G180" s="24" t="s">
        <v>249</v>
      </c>
      <c r="H180" s="25">
        <v>1</v>
      </c>
    </row>
    <row r="181" spans="1:8" x14ac:dyDescent="0.35">
      <c r="A181" s="5" t="s">
        <v>10</v>
      </c>
      <c r="B181" s="1">
        <f t="shared" si="4"/>
        <v>37</v>
      </c>
      <c r="C181" s="1" t="s">
        <v>95</v>
      </c>
      <c r="D181" s="1" t="s">
        <v>195</v>
      </c>
      <c r="E181" s="1">
        <v>2</v>
      </c>
      <c r="F181" s="1" t="s">
        <v>213</v>
      </c>
      <c r="G181" s="24" t="s">
        <v>245</v>
      </c>
      <c r="H181" s="25">
        <v>1</v>
      </c>
    </row>
    <row r="182" spans="1:8" x14ac:dyDescent="0.35">
      <c r="A182" s="5" t="s">
        <v>10</v>
      </c>
      <c r="B182" s="1">
        <f t="shared" si="4"/>
        <v>38</v>
      </c>
      <c r="C182" s="1" t="s">
        <v>96</v>
      </c>
      <c r="D182" s="1" t="s">
        <v>196</v>
      </c>
      <c r="E182" s="1">
        <v>1</v>
      </c>
      <c r="F182" s="1" t="s">
        <v>212</v>
      </c>
      <c r="G182" s="24" t="s">
        <v>249</v>
      </c>
      <c r="H182" s="25">
        <v>1</v>
      </c>
    </row>
    <row r="183" spans="1:8" x14ac:dyDescent="0.35">
      <c r="A183" s="5" t="s">
        <v>10</v>
      </c>
      <c r="B183" s="1">
        <f t="shared" si="4"/>
        <v>38</v>
      </c>
      <c r="C183" s="1" t="s">
        <v>96</v>
      </c>
      <c r="D183" s="1" t="s">
        <v>196</v>
      </c>
      <c r="E183" s="1">
        <v>2</v>
      </c>
      <c r="F183" s="1" t="s">
        <v>213</v>
      </c>
      <c r="G183" s="24" t="s">
        <v>245</v>
      </c>
      <c r="H183" s="25">
        <v>1</v>
      </c>
    </row>
    <row r="184" spans="1:8" x14ac:dyDescent="0.35">
      <c r="A184" s="5" t="s">
        <v>10</v>
      </c>
      <c r="B184" s="1">
        <f t="shared" si="4"/>
        <v>39</v>
      </c>
      <c r="C184" s="1" t="s">
        <v>97</v>
      </c>
      <c r="D184" s="1" t="s">
        <v>197</v>
      </c>
      <c r="E184" s="1">
        <v>1</v>
      </c>
      <c r="F184" s="1" t="s">
        <v>212</v>
      </c>
      <c r="G184" s="24" t="s">
        <v>249</v>
      </c>
      <c r="H184" s="25">
        <v>1</v>
      </c>
    </row>
    <row r="185" spans="1:8" x14ac:dyDescent="0.35">
      <c r="A185" s="5" t="s">
        <v>10</v>
      </c>
      <c r="B185" s="1">
        <f t="shared" si="4"/>
        <v>39</v>
      </c>
      <c r="C185" s="1" t="s">
        <v>97</v>
      </c>
      <c r="D185" s="1" t="s">
        <v>197</v>
      </c>
      <c r="E185" s="1">
        <v>2</v>
      </c>
      <c r="F185" s="1" t="s">
        <v>213</v>
      </c>
      <c r="G185" s="24" t="s">
        <v>245</v>
      </c>
      <c r="H185" s="25">
        <v>1</v>
      </c>
    </row>
    <row r="186" spans="1:8" x14ac:dyDescent="0.35">
      <c r="A186" s="5" t="s">
        <v>10</v>
      </c>
      <c r="B186" s="1">
        <f t="shared" si="4"/>
        <v>40</v>
      </c>
      <c r="C186" s="1" t="s">
        <v>98</v>
      </c>
      <c r="D186" s="1" t="s">
        <v>198</v>
      </c>
      <c r="E186" s="1">
        <v>1</v>
      </c>
      <c r="F186" s="1" t="s">
        <v>212</v>
      </c>
      <c r="G186" s="24" t="s">
        <v>249</v>
      </c>
      <c r="H186" s="25">
        <v>1</v>
      </c>
    </row>
    <row r="187" spans="1:8" x14ac:dyDescent="0.35">
      <c r="A187" s="5" t="s">
        <v>10</v>
      </c>
      <c r="B187" s="1">
        <f t="shared" si="4"/>
        <v>40</v>
      </c>
      <c r="C187" s="1" t="s">
        <v>98</v>
      </c>
      <c r="D187" s="1" t="s">
        <v>198</v>
      </c>
      <c r="E187" s="1">
        <v>2</v>
      </c>
      <c r="F187" s="1" t="s">
        <v>213</v>
      </c>
      <c r="G187" s="24" t="s">
        <v>245</v>
      </c>
      <c r="H187" s="25">
        <v>1</v>
      </c>
    </row>
    <row r="188" spans="1:8" x14ac:dyDescent="0.35">
      <c r="A188" s="5" t="s">
        <v>10</v>
      </c>
      <c r="B188" s="1">
        <f t="shared" si="4"/>
        <v>41</v>
      </c>
      <c r="C188" s="1" t="s">
        <v>99</v>
      </c>
      <c r="D188" s="1" t="s">
        <v>199</v>
      </c>
      <c r="E188" s="1">
        <v>1</v>
      </c>
      <c r="F188" s="1" t="s">
        <v>212</v>
      </c>
      <c r="G188" s="24" t="s">
        <v>249</v>
      </c>
      <c r="H188" s="25">
        <v>1</v>
      </c>
    </row>
    <row r="189" spans="1:8" ht="15" thickBot="1" x14ac:dyDescent="0.4">
      <c r="A189" s="7" t="s">
        <v>10</v>
      </c>
      <c r="B189" s="8">
        <f t="shared" si="4"/>
        <v>41</v>
      </c>
      <c r="C189" s="8" t="s">
        <v>99</v>
      </c>
      <c r="D189" s="8" t="s">
        <v>199</v>
      </c>
      <c r="E189" s="8">
        <v>2</v>
      </c>
      <c r="F189" s="8" t="s">
        <v>213</v>
      </c>
      <c r="G189" s="26" t="s">
        <v>245</v>
      </c>
      <c r="H189" s="27">
        <v>1</v>
      </c>
    </row>
    <row r="190" spans="1:8" x14ac:dyDescent="0.35">
      <c r="A190" s="2" t="s">
        <v>10</v>
      </c>
      <c r="B190" s="3">
        <f t="shared" si="4"/>
        <v>42</v>
      </c>
      <c r="C190" s="3" t="s">
        <v>100</v>
      </c>
      <c r="D190" s="3" t="s">
        <v>200</v>
      </c>
      <c r="E190" s="3">
        <v>1</v>
      </c>
      <c r="F190" s="3" t="s">
        <v>212</v>
      </c>
      <c r="G190" s="22" t="s">
        <v>249</v>
      </c>
      <c r="H190" s="23">
        <v>1</v>
      </c>
    </row>
    <row r="191" spans="1:8" x14ac:dyDescent="0.35">
      <c r="A191" s="5" t="s">
        <v>10</v>
      </c>
      <c r="B191" s="60">
        <f t="shared" si="4"/>
        <v>42</v>
      </c>
      <c r="C191" s="1" t="s">
        <v>100</v>
      </c>
      <c r="D191" s="1" t="s">
        <v>200</v>
      </c>
      <c r="E191" s="1">
        <v>2</v>
      </c>
      <c r="F191" s="1" t="s">
        <v>213</v>
      </c>
      <c r="G191" s="24" t="s">
        <v>245</v>
      </c>
      <c r="H191" s="25">
        <v>1</v>
      </c>
    </row>
    <row r="192" spans="1:8" x14ac:dyDescent="0.35">
      <c r="A192" s="5" t="s">
        <v>10</v>
      </c>
      <c r="B192" s="1">
        <f t="shared" si="4"/>
        <v>43</v>
      </c>
      <c r="C192" s="52" t="s">
        <v>265</v>
      </c>
      <c r="D192" s="52" t="s">
        <v>266</v>
      </c>
      <c r="E192" s="1">
        <v>1</v>
      </c>
      <c r="F192" s="1" t="s">
        <v>212</v>
      </c>
      <c r="G192" s="24" t="s">
        <v>249</v>
      </c>
      <c r="H192" s="25">
        <v>1</v>
      </c>
    </row>
    <row r="193" spans="1:8" x14ac:dyDescent="0.35">
      <c r="A193" s="5" t="s">
        <v>10</v>
      </c>
      <c r="B193" s="1">
        <f t="shared" si="4"/>
        <v>43</v>
      </c>
      <c r="C193" s="52" t="s">
        <v>265</v>
      </c>
      <c r="D193" s="52" t="s">
        <v>266</v>
      </c>
      <c r="E193" s="1">
        <v>2</v>
      </c>
      <c r="F193" s="1" t="s">
        <v>213</v>
      </c>
      <c r="G193" s="24" t="s">
        <v>245</v>
      </c>
      <c r="H193" s="25">
        <v>1</v>
      </c>
    </row>
    <row r="194" spans="1:8" x14ac:dyDescent="0.35">
      <c r="A194" s="5" t="s">
        <v>10</v>
      </c>
      <c r="B194" s="1">
        <f t="shared" si="4"/>
        <v>44</v>
      </c>
      <c r="C194" s="1" t="s">
        <v>101</v>
      </c>
      <c r="D194" s="1" t="s">
        <v>201</v>
      </c>
      <c r="E194" s="1">
        <v>1</v>
      </c>
      <c r="F194" s="1" t="s">
        <v>212</v>
      </c>
      <c r="G194" s="24" t="s">
        <v>249</v>
      </c>
      <c r="H194" s="25">
        <v>1</v>
      </c>
    </row>
    <row r="195" spans="1:8" x14ac:dyDescent="0.35">
      <c r="A195" s="5" t="s">
        <v>10</v>
      </c>
      <c r="B195" s="1">
        <f t="shared" si="4"/>
        <v>44</v>
      </c>
      <c r="C195" s="1" t="s">
        <v>101</v>
      </c>
      <c r="D195" s="1" t="s">
        <v>201</v>
      </c>
      <c r="E195" s="1">
        <v>2</v>
      </c>
      <c r="F195" s="1" t="s">
        <v>213</v>
      </c>
      <c r="G195" s="24" t="s">
        <v>245</v>
      </c>
      <c r="H195" s="25">
        <v>1</v>
      </c>
    </row>
    <row r="196" spans="1:8" x14ac:dyDescent="0.35">
      <c r="A196" s="5" t="s">
        <v>10</v>
      </c>
      <c r="B196" s="1">
        <f t="shared" si="4"/>
        <v>45</v>
      </c>
      <c r="C196" s="1" t="s">
        <v>102</v>
      </c>
      <c r="D196" s="1" t="s">
        <v>202</v>
      </c>
      <c r="E196" s="1">
        <v>1</v>
      </c>
      <c r="F196" s="1" t="s">
        <v>212</v>
      </c>
      <c r="G196" s="24" t="s">
        <v>249</v>
      </c>
      <c r="H196" s="25">
        <v>1</v>
      </c>
    </row>
    <row r="197" spans="1:8" x14ac:dyDescent="0.35">
      <c r="A197" s="5" t="s">
        <v>10</v>
      </c>
      <c r="B197" s="1">
        <f t="shared" si="4"/>
        <v>45</v>
      </c>
      <c r="C197" s="1" t="s">
        <v>102</v>
      </c>
      <c r="D197" s="1" t="s">
        <v>202</v>
      </c>
      <c r="E197" s="1">
        <v>2</v>
      </c>
      <c r="F197" s="1" t="s">
        <v>213</v>
      </c>
      <c r="G197" s="24" t="s">
        <v>245</v>
      </c>
      <c r="H197" s="25">
        <v>1</v>
      </c>
    </row>
    <row r="198" spans="1:8" x14ac:dyDescent="0.35">
      <c r="A198" s="5" t="s">
        <v>10</v>
      </c>
      <c r="B198" s="1">
        <f t="shared" si="4"/>
        <v>46</v>
      </c>
      <c r="C198" s="1" t="s">
        <v>103</v>
      </c>
      <c r="D198" s="1" t="s">
        <v>203</v>
      </c>
      <c r="E198" s="1">
        <v>1</v>
      </c>
      <c r="F198" s="1" t="s">
        <v>212</v>
      </c>
      <c r="G198" s="24" t="s">
        <v>249</v>
      </c>
      <c r="H198" s="25">
        <v>1</v>
      </c>
    </row>
    <row r="199" spans="1:8" x14ac:dyDescent="0.35">
      <c r="A199" s="5" t="s">
        <v>10</v>
      </c>
      <c r="B199" s="1">
        <f t="shared" si="4"/>
        <v>46</v>
      </c>
      <c r="C199" s="1" t="s">
        <v>103</v>
      </c>
      <c r="D199" s="1" t="s">
        <v>203</v>
      </c>
      <c r="E199" s="1">
        <v>2</v>
      </c>
      <c r="F199" s="1" t="s">
        <v>213</v>
      </c>
      <c r="G199" s="24" t="s">
        <v>245</v>
      </c>
      <c r="H199" s="25">
        <v>1</v>
      </c>
    </row>
    <row r="200" spans="1:8" x14ac:dyDescent="0.35">
      <c r="A200" s="5" t="s">
        <v>10</v>
      </c>
      <c r="B200" s="1">
        <f t="shared" si="4"/>
        <v>47</v>
      </c>
      <c r="C200" s="1" t="s">
        <v>104</v>
      </c>
      <c r="D200" s="1" t="s">
        <v>204</v>
      </c>
      <c r="E200" s="1">
        <v>1</v>
      </c>
      <c r="F200" s="1" t="s">
        <v>212</v>
      </c>
      <c r="G200" s="24" t="s">
        <v>249</v>
      </c>
      <c r="H200" s="25">
        <v>1</v>
      </c>
    </row>
    <row r="201" spans="1:8" x14ac:dyDescent="0.35">
      <c r="A201" s="5" t="s">
        <v>10</v>
      </c>
      <c r="B201" s="1">
        <f t="shared" si="4"/>
        <v>47</v>
      </c>
      <c r="C201" s="1" t="s">
        <v>104</v>
      </c>
      <c r="D201" s="1" t="s">
        <v>204</v>
      </c>
      <c r="E201" s="1">
        <v>2</v>
      </c>
      <c r="F201" s="1" t="s">
        <v>213</v>
      </c>
      <c r="G201" s="24" t="s">
        <v>245</v>
      </c>
      <c r="H201" s="25">
        <v>1</v>
      </c>
    </row>
    <row r="202" spans="1:8" x14ac:dyDescent="0.35">
      <c r="A202" s="5" t="s">
        <v>10</v>
      </c>
      <c r="B202" s="1">
        <f t="shared" si="4"/>
        <v>48</v>
      </c>
      <c r="C202" s="1" t="s">
        <v>105</v>
      </c>
      <c r="D202" s="1" t="s">
        <v>205</v>
      </c>
      <c r="E202" s="1">
        <v>1</v>
      </c>
      <c r="F202" s="1" t="s">
        <v>212</v>
      </c>
      <c r="G202" s="24" t="s">
        <v>249</v>
      </c>
      <c r="H202" s="25">
        <v>1</v>
      </c>
    </row>
    <row r="203" spans="1:8" x14ac:dyDescent="0.35">
      <c r="A203" s="5" t="s">
        <v>10</v>
      </c>
      <c r="B203" s="1">
        <f t="shared" si="4"/>
        <v>48</v>
      </c>
      <c r="C203" s="1" t="s">
        <v>105</v>
      </c>
      <c r="D203" s="1" t="s">
        <v>205</v>
      </c>
      <c r="E203" s="1">
        <v>2</v>
      </c>
      <c r="F203" s="1" t="s">
        <v>213</v>
      </c>
      <c r="G203" s="24" t="s">
        <v>245</v>
      </c>
      <c r="H203" s="25">
        <v>1</v>
      </c>
    </row>
    <row r="204" spans="1:8" x14ac:dyDescent="0.35">
      <c r="A204" s="5" t="s">
        <v>10</v>
      </c>
      <c r="B204" s="1">
        <f t="shared" si="4"/>
        <v>49</v>
      </c>
      <c r="C204" s="1" t="s">
        <v>106</v>
      </c>
      <c r="D204" s="1" t="s">
        <v>206</v>
      </c>
      <c r="E204" s="1">
        <v>1</v>
      </c>
      <c r="F204" s="1" t="s">
        <v>212</v>
      </c>
      <c r="G204" s="24" t="s">
        <v>249</v>
      </c>
      <c r="H204" s="25">
        <v>1</v>
      </c>
    </row>
    <row r="205" spans="1:8" x14ac:dyDescent="0.35">
      <c r="A205" s="5" t="s">
        <v>10</v>
      </c>
      <c r="B205" s="1">
        <f t="shared" si="4"/>
        <v>49</v>
      </c>
      <c r="C205" s="1" t="s">
        <v>106</v>
      </c>
      <c r="D205" s="1" t="s">
        <v>206</v>
      </c>
      <c r="E205" s="1">
        <v>2</v>
      </c>
      <c r="F205" s="1" t="s">
        <v>213</v>
      </c>
      <c r="G205" s="24" t="s">
        <v>245</v>
      </c>
      <c r="H205" s="25">
        <v>1</v>
      </c>
    </row>
    <row r="206" spans="1:8" x14ac:dyDescent="0.35">
      <c r="A206" s="5" t="s">
        <v>10</v>
      </c>
      <c r="B206" s="1">
        <f t="shared" si="4"/>
        <v>50</v>
      </c>
      <c r="C206" s="1" t="s">
        <v>107</v>
      </c>
      <c r="D206" s="1" t="s">
        <v>207</v>
      </c>
      <c r="E206" s="1">
        <v>1</v>
      </c>
      <c r="F206" s="1" t="s">
        <v>212</v>
      </c>
      <c r="G206" s="24" t="s">
        <v>249</v>
      </c>
      <c r="H206" s="25">
        <v>1</v>
      </c>
    </row>
    <row r="207" spans="1:8" x14ac:dyDescent="0.35">
      <c r="A207" s="5" t="s">
        <v>10</v>
      </c>
      <c r="B207" s="1">
        <f t="shared" si="4"/>
        <v>50</v>
      </c>
      <c r="C207" s="1" t="s">
        <v>107</v>
      </c>
      <c r="D207" s="1" t="s">
        <v>207</v>
      </c>
      <c r="E207" s="1">
        <v>2</v>
      </c>
      <c r="F207" s="1" t="s">
        <v>213</v>
      </c>
      <c r="G207" s="24" t="s">
        <v>245</v>
      </c>
      <c r="H207" s="25">
        <v>1</v>
      </c>
    </row>
    <row r="208" spans="1:8" x14ac:dyDescent="0.35">
      <c r="A208" s="5" t="s">
        <v>10</v>
      </c>
      <c r="B208" s="1">
        <f t="shared" ref="B208:B209" si="5">+B206+1</f>
        <v>51</v>
      </c>
      <c r="C208" s="1" t="s">
        <v>108</v>
      </c>
      <c r="D208" s="1" t="s">
        <v>208</v>
      </c>
      <c r="E208" s="1">
        <v>1</v>
      </c>
      <c r="F208" s="1" t="s">
        <v>212</v>
      </c>
      <c r="G208" s="24" t="s">
        <v>249</v>
      </c>
      <c r="H208" s="25">
        <v>1</v>
      </c>
    </row>
    <row r="209" spans="1:8" ht="15" thickBot="1" x14ac:dyDescent="0.4">
      <c r="A209" s="7" t="s">
        <v>10</v>
      </c>
      <c r="B209" s="8">
        <f t="shared" si="5"/>
        <v>51</v>
      </c>
      <c r="C209" s="8" t="s">
        <v>108</v>
      </c>
      <c r="D209" s="8" t="s">
        <v>208</v>
      </c>
      <c r="E209" s="8">
        <v>2</v>
      </c>
      <c r="F209" s="8" t="s">
        <v>213</v>
      </c>
      <c r="G209" s="26" t="s">
        <v>245</v>
      </c>
      <c r="H209" s="27">
        <v>1</v>
      </c>
    </row>
    <row r="210" spans="1:8" x14ac:dyDescent="0.35">
      <c r="A210" s="2" t="s">
        <v>11</v>
      </c>
      <c r="B210" s="3">
        <v>1</v>
      </c>
      <c r="C210" s="3" t="s">
        <v>109</v>
      </c>
      <c r="D210" s="3" t="s">
        <v>209</v>
      </c>
      <c r="E210" s="3">
        <v>1</v>
      </c>
      <c r="F210" s="3" t="s">
        <v>212</v>
      </c>
      <c r="G210" s="24" t="s">
        <v>251</v>
      </c>
      <c r="H210" s="23">
        <v>1</v>
      </c>
    </row>
    <row r="211" spans="1:8" x14ac:dyDescent="0.35">
      <c r="A211" s="5" t="s">
        <v>11</v>
      </c>
      <c r="B211" s="1">
        <v>1</v>
      </c>
      <c r="C211" s="1" t="s">
        <v>109</v>
      </c>
      <c r="D211" s="1" t="s">
        <v>209</v>
      </c>
      <c r="E211" s="1">
        <v>2</v>
      </c>
      <c r="F211" s="1" t="s">
        <v>213</v>
      </c>
      <c r="G211" s="24" t="s">
        <v>245</v>
      </c>
      <c r="H211" s="25">
        <v>1</v>
      </c>
    </row>
    <row r="212" spans="1:8" x14ac:dyDescent="0.35">
      <c r="A212" s="5" t="s">
        <v>12</v>
      </c>
      <c r="B212" s="1">
        <v>1</v>
      </c>
      <c r="C212" s="1" t="s">
        <v>110</v>
      </c>
      <c r="D212" s="1" t="s">
        <v>210</v>
      </c>
      <c r="E212" s="1">
        <v>1</v>
      </c>
      <c r="F212" s="1" t="s">
        <v>212</v>
      </c>
      <c r="G212" s="24" t="s">
        <v>251</v>
      </c>
      <c r="H212" s="25">
        <v>1</v>
      </c>
    </row>
    <row r="213" spans="1:8" x14ac:dyDescent="0.35">
      <c r="A213" s="5" t="s">
        <v>12</v>
      </c>
      <c r="B213" s="1">
        <v>1</v>
      </c>
      <c r="C213" s="1" t="s">
        <v>110</v>
      </c>
      <c r="D213" s="1" t="s">
        <v>210</v>
      </c>
      <c r="E213" s="1">
        <v>2</v>
      </c>
      <c r="F213" s="1" t="s">
        <v>213</v>
      </c>
      <c r="G213" s="24" t="s">
        <v>245</v>
      </c>
      <c r="H213" s="25">
        <v>1</v>
      </c>
    </row>
    <row r="214" spans="1:8" x14ac:dyDescent="0.35">
      <c r="A214" s="5" t="s">
        <v>13</v>
      </c>
      <c r="B214" s="1">
        <v>1</v>
      </c>
      <c r="C214" s="1" t="s">
        <v>111</v>
      </c>
      <c r="D214" s="1" t="s">
        <v>211</v>
      </c>
      <c r="E214" s="1">
        <v>1</v>
      </c>
      <c r="F214" s="1" t="s">
        <v>212</v>
      </c>
      <c r="G214" s="24" t="s">
        <v>251</v>
      </c>
      <c r="H214" s="25">
        <v>1</v>
      </c>
    </row>
    <row r="215" spans="1:8" ht="15" thickBot="1" x14ac:dyDescent="0.4">
      <c r="A215" s="7" t="s">
        <v>13</v>
      </c>
      <c r="B215" s="8">
        <v>1</v>
      </c>
      <c r="C215" s="8" t="s">
        <v>111</v>
      </c>
      <c r="D215" s="8" t="s">
        <v>211</v>
      </c>
      <c r="E215" s="8">
        <v>2</v>
      </c>
      <c r="F215" s="8" t="s">
        <v>213</v>
      </c>
      <c r="G215" s="26" t="s">
        <v>245</v>
      </c>
      <c r="H215" s="2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61"/>
  <sheetViews>
    <sheetView zoomScale="70" zoomScaleNormal="70" workbookViewId="0">
      <pane ySplit="1" topLeftCell="A2" activePane="bottomLeft" state="frozen"/>
      <selection pane="bottomLeft" activeCell="B1" sqref="B1"/>
    </sheetView>
  </sheetViews>
  <sheetFormatPr defaultRowHeight="14.5" x14ac:dyDescent="0.35"/>
  <cols>
    <col min="1" max="1" width="10.08984375" bestFit="1" customWidth="1"/>
    <col min="2" max="2" width="18.36328125" bestFit="1" customWidth="1"/>
    <col min="3" max="3" width="26" bestFit="1" customWidth="1"/>
    <col min="4" max="4" width="15.90625" bestFit="1" customWidth="1"/>
    <col min="5" max="5" width="40.08984375" bestFit="1" customWidth="1"/>
    <col min="6" max="6" width="12" bestFit="1" customWidth="1"/>
    <col min="7" max="7" width="19.6328125" bestFit="1" customWidth="1"/>
    <col min="8" max="8" width="25.08984375" bestFit="1" customWidth="1"/>
    <col min="9" max="34" width="14.1796875" bestFit="1" customWidth="1"/>
  </cols>
  <sheetData>
    <row r="1" spans="1:34" ht="15" thickBot="1" x14ac:dyDescent="0.4">
      <c r="A1" s="10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214</v>
      </c>
      <c r="H1" s="11" t="s">
        <v>215</v>
      </c>
      <c r="I1" s="11">
        <v>2010</v>
      </c>
      <c r="J1" s="11">
        <v>2011</v>
      </c>
      <c r="K1" s="11">
        <v>2012</v>
      </c>
      <c r="L1" s="11">
        <v>2013</v>
      </c>
      <c r="M1" s="11">
        <v>2014</v>
      </c>
      <c r="N1" s="11">
        <v>2015</v>
      </c>
      <c r="O1" s="11">
        <v>2016</v>
      </c>
      <c r="P1" s="11">
        <v>2017</v>
      </c>
      <c r="Q1" s="11">
        <v>2018</v>
      </c>
      <c r="R1" s="11">
        <v>2019</v>
      </c>
      <c r="S1" s="11">
        <v>2020</v>
      </c>
      <c r="T1" s="11">
        <v>2021</v>
      </c>
      <c r="U1" s="11">
        <v>2022</v>
      </c>
      <c r="V1" s="11">
        <v>2023</v>
      </c>
      <c r="W1" s="11">
        <v>2024</v>
      </c>
      <c r="X1" s="11">
        <v>2025</v>
      </c>
      <c r="Y1" s="11">
        <v>2026</v>
      </c>
      <c r="Z1" s="11">
        <v>2027</v>
      </c>
      <c r="AA1" s="11">
        <v>2028</v>
      </c>
      <c r="AB1" s="11">
        <v>2029</v>
      </c>
      <c r="AC1" s="11">
        <v>2030</v>
      </c>
      <c r="AD1" s="11">
        <v>2031</v>
      </c>
      <c r="AE1" s="11">
        <v>2032</v>
      </c>
      <c r="AF1" s="11">
        <v>2033</v>
      </c>
      <c r="AG1" s="11">
        <v>2034</v>
      </c>
      <c r="AH1" s="12">
        <v>2035</v>
      </c>
    </row>
    <row r="2" spans="1:34" x14ac:dyDescent="0.35">
      <c r="A2" s="18">
        <v>1</v>
      </c>
      <c r="B2" s="3" t="s">
        <v>14</v>
      </c>
      <c r="C2" s="3" t="s">
        <v>112</v>
      </c>
      <c r="D2" s="3">
        <v>1</v>
      </c>
      <c r="E2" s="3" t="s">
        <v>216</v>
      </c>
      <c r="F2" s="3" t="s">
        <v>241</v>
      </c>
      <c r="G2" s="3" t="s">
        <v>233</v>
      </c>
      <c r="H2" s="3">
        <v>0</v>
      </c>
      <c r="I2" s="3">
        <v>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4"/>
    </row>
    <row r="3" spans="1:34" x14ac:dyDescent="0.35">
      <c r="A3" s="19">
        <v>1</v>
      </c>
      <c r="B3" s="1" t="s">
        <v>14</v>
      </c>
      <c r="C3" s="1" t="s">
        <v>112</v>
      </c>
      <c r="D3" s="1">
        <v>2</v>
      </c>
      <c r="E3" s="1" t="s">
        <v>217</v>
      </c>
      <c r="F3" s="1" t="s">
        <v>241</v>
      </c>
      <c r="G3" s="1" t="s">
        <v>233</v>
      </c>
      <c r="H3" s="1">
        <v>0</v>
      </c>
      <c r="I3" s="1">
        <v>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6"/>
    </row>
    <row r="4" spans="1:34" x14ac:dyDescent="0.35">
      <c r="A4" s="19">
        <v>1</v>
      </c>
      <c r="B4" s="1" t="s">
        <v>14</v>
      </c>
      <c r="C4" s="1" t="s">
        <v>112</v>
      </c>
      <c r="D4" s="1">
        <v>3</v>
      </c>
      <c r="E4" s="1" t="s">
        <v>218</v>
      </c>
      <c r="F4" s="1" t="s">
        <v>241</v>
      </c>
      <c r="G4" s="1" t="s">
        <v>233</v>
      </c>
      <c r="H4" s="1">
        <v>0</v>
      </c>
      <c r="I4" s="1">
        <v>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6"/>
    </row>
    <row r="5" spans="1:34" x14ac:dyDescent="0.35">
      <c r="A5" s="19">
        <v>1</v>
      </c>
      <c r="B5" s="1" t="s">
        <v>14</v>
      </c>
      <c r="C5" s="1" t="s">
        <v>112</v>
      </c>
      <c r="D5" s="1">
        <v>4</v>
      </c>
      <c r="E5" s="1" t="s">
        <v>219</v>
      </c>
      <c r="F5" s="1"/>
      <c r="G5" s="1" t="s">
        <v>250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6">
        <v>0</v>
      </c>
    </row>
    <row r="6" spans="1:34" x14ac:dyDescent="0.35">
      <c r="A6" s="19">
        <v>1</v>
      </c>
      <c r="B6" s="1" t="s">
        <v>14</v>
      </c>
      <c r="C6" s="1" t="s">
        <v>112</v>
      </c>
      <c r="D6" s="1">
        <v>5</v>
      </c>
      <c r="E6" s="1" t="s">
        <v>220</v>
      </c>
      <c r="F6" s="1" t="s">
        <v>239</v>
      </c>
      <c r="G6" s="1" t="s">
        <v>233</v>
      </c>
      <c r="H6" s="1">
        <v>0</v>
      </c>
      <c r="I6" s="1">
        <v>999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6"/>
    </row>
    <row r="7" spans="1:34" x14ac:dyDescent="0.35">
      <c r="A7" s="19">
        <v>1</v>
      </c>
      <c r="B7" s="1" t="s">
        <v>14</v>
      </c>
      <c r="C7" s="1" t="s">
        <v>112</v>
      </c>
      <c r="D7" s="1">
        <v>6</v>
      </c>
      <c r="E7" s="1" t="s">
        <v>221</v>
      </c>
      <c r="F7" s="1" t="s">
        <v>239</v>
      </c>
      <c r="G7" s="1" t="s">
        <v>250</v>
      </c>
      <c r="H7" s="1">
        <v>0</v>
      </c>
      <c r="I7" s="1">
        <v>99</v>
      </c>
      <c r="J7" s="1">
        <v>99</v>
      </c>
      <c r="K7" s="1">
        <v>99</v>
      </c>
      <c r="L7" s="1">
        <v>99</v>
      </c>
      <c r="M7" s="1">
        <v>99</v>
      </c>
      <c r="N7" s="1">
        <v>99</v>
      </c>
      <c r="O7" s="1">
        <v>99</v>
      </c>
      <c r="P7" s="1">
        <v>99</v>
      </c>
      <c r="Q7" s="1">
        <v>99</v>
      </c>
      <c r="R7" s="1">
        <v>99</v>
      </c>
      <c r="S7" s="1">
        <v>99</v>
      </c>
      <c r="T7" s="1">
        <v>99</v>
      </c>
      <c r="U7" s="1">
        <v>99</v>
      </c>
      <c r="V7" s="1">
        <v>99</v>
      </c>
      <c r="W7" s="1">
        <v>99</v>
      </c>
      <c r="X7" s="1">
        <v>99</v>
      </c>
      <c r="Y7" s="1">
        <v>99</v>
      </c>
      <c r="Z7" s="1">
        <v>99</v>
      </c>
      <c r="AA7" s="1">
        <v>99</v>
      </c>
      <c r="AB7" s="1">
        <v>99</v>
      </c>
      <c r="AC7" s="1">
        <v>99</v>
      </c>
      <c r="AD7" s="1">
        <v>99</v>
      </c>
      <c r="AE7" s="1">
        <v>99</v>
      </c>
      <c r="AF7" s="1">
        <v>99</v>
      </c>
      <c r="AG7" s="1">
        <v>99</v>
      </c>
      <c r="AH7" s="1">
        <v>99</v>
      </c>
    </row>
    <row r="8" spans="1:34" x14ac:dyDescent="0.35">
      <c r="A8" s="19">
        <v>1</v>
      </c>
      <c r="B8" s="1" t="s">
        <v>14</v>
      </c>
      <c r="C8" s="1" t="s">
        <v>112</v>
      </c>
      <c r="D8" s="1">
        <v>7</v>
      </c>
      <c r="E8" s="1" t="s">
        <v>222</v>
      </c>
      <c r="F8" s="1" t="s">
        <v>239</v>
      </c>
      <c r="G8" s="1" t="s">
        <v>250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6">
        <v>0</v>
      </c>
    </row>
    <row r="9" spans="1:34" x14ac:dyDescent="0.35">
      <c r="A9" s="19">
        <v>1</v>
      </c>
      <c r="B9" s="1" t="s">
        <v>14</v>
      </c>
      <c r="C9" s="1" t="s">
        <v>112</v>
      </c>
      <c r="D9" s="1">
        <v>8</v>
      </c>
      <c r="E9" s="1" t="s">
        <v>223</v>
      </c>
      <c r="F9" s="1"/>
      <c r="G9" s="1" t="s">
        <v>233</v>
      </c>
      <c r="H9" s="1">
        <v>0</v>
      </c>
      <c r="I9" s="1">
        <v>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6"/>
    </row>
    <row r="10" spans="1:34" x14ac:dyDescent="0.35">
      <c r="A10" s="19">
        <v>1</v>
      </c>
      <c r="B10" s="1" t="s">
        <v>14</v>
      </c>
      <c r="C10" s="1" t="s">
        <v>112</v>
      </c>
      <c r="D10" s="1">
        <v>9</v>
      </c>
      <c r="E10" s="1" t="s">
        <v>224</v>
      </c>
      <c r="F10" s="1" t="s">
        <v>242</v>
      </c>
      <c r="G10" s="1" t="s">
        <v>233</v>
      </c>
      <c r="H10" s="1">
        <v>0</v>
      </c>
      <c r="I10" s="1">
        <v>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6"/>
    </row>
    <row r="11" spans="1:34" ht="15" thickBot="1" x14ac:dyDescent="0.4">
      <c r="A11" s="20">
        <v>1</v>
      </c>
      <c r="B11" s="8" t="s">
        <v>14</v>
      </c>
      <c r="C11" s="8" t="s">
        <v>112</v>
      </c>
      <c r="D11" s="8">
        <v>10</v>
      </c>
      <c r="E11" s="8" t="s">
        <v>225</v>
      </c>
      <c r="F11" s="8" t="s">
        <v>242</v>
      </c>
      <c r="G11" s="8" t="s">
        <v>233</v>
      </c>
      <c r="H11" s="8">
        <v>0</v>
      </c>
      <c r="I11" s="8">
        <v>1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9"/>
    </row>
    <row r="12" spans="1:34" x14ac:dyDescent="0.35">
      <c r="A12" s="18">
        <v>2</v>
      </c>
      <c r="B12" s="3" t="s">
        <v>15</v>
      </c>
      <c r="C12" s="3" t="s">
        <v>113</v>
      </c>
      <c r="D12" s="3">
        <v>1</v>
      </c>
      <c r="E12" s="3" t="s">
        <v>216</v>
      </c>
      <c r="F12" s="3" t="s">
        <v>243</v>
      </c>
      <c r="G12" s="3" t="s">
        <v>233</v>
      </c>
      <c r="H12" s="3">
        <v>0</v>
      </c>
      <c r="I12" s="3">
        <v>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4"/>
    </row>
    <row r="13" spans="1:34" x14ac:dyDescent="0.35">
      <c r="A13" s="19">
        <v>2</v>
      </c>
      <c r="B13" s="1" t="s">
        <v>15</v>
      </c>
      <c r="C13" s="1" t="s">
        <v>113</v>
      </c>
      <c r="D13" s="1">
        <v>2</v>
      </c>
      <c r="E13" s="1" t="s">
        <v>217</v>
      </c>
      <c r="F13" s="1" t="s">
        <v>243</v>
      </c>
      <c r="G13" s="1" t="s">
        <v>233</v>
      </c>
      <c r="H13" s="1">
        <v>0</v>
      </c>
      <c r="I13" s="1">
        <v>1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6"/>
    </row>
    <row r="14" spans="1:34" x14ac:dyDescent="0.35">
      <c r="A14" s="19">
        <v>2</v>
      </c>
      <c r="B14" s="1" t="s">
        <v>15</v>
      </c>
      <c r="C14" s="1" t="s">
        <v>113</v>
      </c>
      <c r="D14" s="1">
        <v>3</v>
      </c>
      <c r="E14" s="1" t="s">
        <v>218</v>
      </c>
      <c r="F14" s="1" t="s">
        <v>243</v>
      </c>
      <c r="G14" s="1" t="s">
        <v>233</v>
      </c>
      <c r="H14" s="1">
        <v>0</v>
      </c>
      <c r="I14" s="1">
        <v>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6"/>
    </row>
    <row r="15" spans="1:34" x14ac:dyDescent="0.35">
      <c r="A15" s="19">
        <v>2</v>
      </c>
      <c r="B15" s="1" t="s">
        <v>15</v>
      </c>
      <c r="C15" s="1" t="s">
        <v>113</v>
      </c>
      <c r="D15" s="1">
        <v>4</v>
      </c>
      <c r="E15" s="1" t="s">
        <v>219</v>
      </c>
      <c r="F15" s="1"/>
      <c r="G15" s="1" t="s">
        <v>250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6">
        <v>0</v>
      </c>
    </row>
    <row r="16" spans="1:34" x14ac:dyDescent="0.35">
      <c r="A16" s="19">
        <v>2</v>
      </c>
      <c r="B16" s="1" t="s">
        <v>15</v>
      </c>
      <c r="C16" s="1" t="s">
        <v>113</v>
      </c>
      <c r="D16" s="1">
        <v>5</v>
      </c>
      <c r="E16" s="1" t="s">
        <v>220</v>
      </c>
      <c r="F16" s="1" t="s">
        <v>239</v>
      </c>
      <c r="G16" s="1" t="s">
        <v>233</v>
      </c>
      <c r="H16" s="1">
        <v>0</v>
      </c>
      <c r="I16" s="1">
        <v>999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6"/>
    </row>
    <row r="17" spans="1:34" x14ac:dyDescent="0.35">
      <c r="A17" s="19">
        <v>2</v>
      </c>
      <c r="B17" s="1" t="s">
        <v>15</v>
      </c>
      <c r="C17" s="1" t="s">
        <v>113</v>
      </c>
      <c r="D17" s="1">
        <v>6</v>
      </c>
      <c r="E17" s="1" t="s">
        <v>221</v>
      </c>
      <c r="F17" s="1" t="s">
        <v>239</v>
      </c>
      <c r="G17" s="1" t="s">
        <v>250</v>
      </c>
      <c r="H17" s="1">
        <v>0</v>
      </c>
      <c r="I17" s="1">
        <v>99</v>
      </c>
      <c r="J17" s="1">
        <v>99</v>
      </c>
      <c r="K17" s="1">
        <v>99</v>
      </c>
      <c r="L17" s="1">
        <v>99</v>
      </c>
      <c r="M17" s="1">
        <v>99</v>
      </c>
      <c r="N17" s="1">
        <v>99</v>
      </c>
      <c r="O17" s="1">
        <v>99</v>
      </c>
      <c r="P17" s="1">
        <v>99</v>
      </c>
      <c r="Q17" s="1">
        <v>99</v>
      </c>
      <c r="R17" s="1">
        <v>99</v>
      </c>
      <c r="S17" s="1">
        <v>99</v>
      </c>
      <c r="T17" s="1">
        <v>99</v>
      </c>
      <c r="U17" s="1">
        <v>99</v>
      </c>
      <c r="V17" s="1">
        <v>99</v>
      </c>
      <c r="W17" s="1">
        <v>99</v>
      </c>
      <c r="X17" s="1">
        <v>99</v>
      </c>
      <c r="Y17" s="1">
        <v>99</v>
      </c>
      <c r="Z17" s="1">
        <v>99</v>
      </c>
      <c r="AA17" s="1">
        <v>99</v>
      </c>
      <c r="AB17" s="1">
        <v>99</v>
      </c>
      <c r="AC17" s="1">
        <v>99</v>
      </c>
      <c r="AD17" s="1">
        <v>99</v>
      </c>
      <c r="AE17" s="1">
        <v>99</v>
      </c>
      <c r="AF17" s="1">
        <v>99</v>
      </c>
      <c r="AG17" s="1">
        <v>99</v>
      </c>
      <c r="AH17" s="1">
        <v>99</v>
      </c>
    </row>
    <row r="18" spans="1:34" x14ac:dyDescent="0.35">
      <c r="A18" s="19">
        <v>2</v>
      </c>
      <c r="B18" s="1" t="s">
        <v>15</v>
      </c>
      <c r="C18" s="1" t="s">
        <v>113</v>
      </c>
      <c r="D18" s="1">
        <v>7</v>
      </c>
      <c r="E18" s="1" t="s">
        <v>222</v>
      </c>
      <c r="F18" s="1" t="s">
        <v>239</v>
      </c>
      <c r="G18" s="1" t="s">
        <v>250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6">
        <v>0</v>
      </c>
    </row>
    <row r="19" spans="1:34" x14ac:dyDescent="0.35">
      <c r="A19" s="19">
        <v>2</v>
      </c>
      <c r="B19" s="1" t="s">
        <v>15</v>
      </c>
      <c r="C19" s="1" t="s">
        <v>113</v>
      </c>
      <c r="D19" s="1">
        <v>8</v>
      </c>
      <c r="E19" s="1" t="s">
        <v>223</v>
      </c>
      <c r="F19" s="1"/>
      <c r="G19" s="1" t="s">
        <v>233</v>
      </c>
      <c r="H19" s="1">
        <v>0</v>
      </c>
      <c r="I19" s="1">
        <v>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6"/>
    </row>
    <row r="20" spans="1:34" x14ac:dyDescent="0.35">
      <c r="A20" s="19">
        <v>2</v>
      </c>
      <c r="B20" s="1" t="s">
        <v>15</v>
      </c>
      <c r="C20" s="1" t="s">
        <v>113</v>
      </c>
      <c r="D20" s="1">
        <v>9</v>
      </c>
      <c r="E20" s="1" t="s">
        <v>224</v>
      </c>
      <c r="F20" s="1" t="s">
        <v>242</v>
      </c>
      <c r="G20" s="1" t="s">
        <v>233</v>
      </c>
      <c r="H20" s="1">
        <v>0</v>
      </c>
      <c r="I20" s="1">
        <v>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6"/>
    </row>
    <row r="21" spans="1:34" ht="15" thickBot="1" x14ac:dyDescent="0.4">
      <c r="A21" s="20">
        <v>2</v>
      </c>
      <c r="B21" s="8" t="s">
        <v>15</v>
      </c>
      <c r="C21" s="8" t="s">
        <v>113</v>
      </c>
      <c r="D21" s="8">
        <v>10</v>
      </c>
      <c r="E21" s="8" t="s">
        <v>225</v>
      </c>
      <c r="F21" s="8" t="s">
        <v>242</v>
      </c>
      <c r="G21" s="8" t="s">
        <v>233</v>
      </c>
      <c r="H21" s="8">
        <v>0</v>
      </c>
      <c r="I21" s="8">
        <v>1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9"/>
    </row>
    <row r="22" spans="1:34" x14ac:dyDescent="0.35">
      <c r="A22" s="18">
        <v>4</v>
      </c>
      <c r="B22" s="3" t="s">
        <v>16</v>
      </c>
      <c r="C22" s="3" t="s">
        <v>114</v>
      </c>
      <c r="D22" s="3">
        <v>1</v>
      </c>
      <c r="E22" s="3" t="s">
        <v>216</v>
      </c>
      <c r="F22" s="3" t="s">
        <v>243</v>
      </c>
      <c r="G22" s="3" t="s">
        <v>233</v>
      </c>
      <c r="H22" s="3">
        <v>0</v>
      </c>
      <c r="I22" s="3">
        <v>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4"/>
    </row>
    <row r="23" spans="1:34" x14ac:dyDescent="0.35">
      <c r="A23" s="19">
        <v>4</v>
      </c>
      <c r="B23" s="1" t="s">
        <v>16</v>
      </c>
      <c r="C23" s="1" t="s">
        <v>114</v>
      </c>
      <c r="D23" s="1">
        <v>2</v>
      </c>
      <c r="E23" s="1" t="s">
        <v>217</v>
      </c>
      <c r="F23" s="1" t="s">
        <v>243</v>
      </c>
      <c r="G23" s="1" t="s">
        <v>233</v>
      </c>
      <c r="H23" s="1">
        <v>0</v>
      </c>
      <c r="I23" s="1">
        <v>1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6"/>
    </row>
    <row r="24" spans="1:34" x14ac:dyDescent="0.35">
      <c r="A24" s="19">
        <v>4</v>
      </c>
      <c r="B24" s="1" t="s">
        <v>16</v>
      </c>
      <c r="C24" s="1" t="s">
        <v>114</v>
      </c>
      <c r="D24" s="1">
        <v>3</v>
      </c>
      <c r="E24" s="1" t="s">
        <v>218</v>
      </c>
      <c r="F24" s="1" t="s">
        <v>243</v>
      </c>
      <c r="G24" s="1" t="s">
        <v>233</v>
      </c>
      <c r="H24" s="1">
        <v>0</v>
      </c>
      <c r="I24" s="1">
        <v>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6"/>
    </row>
    <row r="25" spans="1:34" x14ac:dyDescent="0.35">
      <c r="A25" s="19">
        <v>4</v>
      </c>
      <c r="B25" s="1" t="s">
        <v>16</v>
      </c>
      <c r="C25" s="1" t="s">
        <v>114</v>
      </c>
      <c r="D25" s="1">
        <v>4</v>
      </c>
      <c r="E25" s="1" t="s">
        <v>219</v>
      </c>
      <c r="F25" s="1"/>
      <c r="G25" s="1" t="s">
        <v>250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6">
        <v>0</v>
      </c>
    </row>
    <row r="26" spans="1:34" x14ac:dyDescent="0.35">
      <c r="A26" s="19">
        <v>4</v>
      </c>
      <c r="B26" s="1" t="s">
        <v>16</v>
      </c>
      <c r="C26" s="1" t="s">
        <v>114</v>
      </c>
      <c r="D26" s="1">
        <v>5</v>
      </c>
      <c r="E26" s="1" t="s">
        <v>220</v>
      </c>
      <c r="F26" s="1" t="s">
        <v>239</v>
      </c>
      <c r="G26" s="1" t="s">
        <v>233</v>
      </c>
      <c r="H26" s="1">
        <v>0</v>
      </c>
      <c r="I26" s="1">
        <v>999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6"/>
    </row>
    <row r="27" spans="1:34" x14ac:dyDescent="0.35">
      <c r="A27" s="19">
        <v>4</v>
      </c>
      <c r="B27" s="1" t="s">
        <v>16</v>
      </c>
      <c r="C27" s="1" t="s">
        <v>114</v>
      </c>
      <c r="D27" s="1">
        <v>6</v>
      </c>
      <c r="E27" s="1" t="s">
        <v>221</v>
      </c>
      <c r="F27" s="1" t="s">
        <v>239</v>
      </c>
      <c r="G27" s="1" t="s">
        <v>250</v>
      </c>
      <c r="H27" s="1">
        <v>0</v>
      </c>
      <c r="I27" s="1">
        <f t="shared" ref="I27:AH27" si="0">1.1*I28</f>
        <v>1.8578009999999998E-4</v>
      </c>
      <c r="J27" s="1">
        <f t="shared" si="0"/>
        <v>1.679227E-4</v>
      </c>
      <c r="K27" s="1">
        <f t="shared" si="0"/>
        <v>4.9375134600000002E-2</v>
      </c>
      <c r="L27" s="1">
        <f t="shared" si="0"/>
        <v>2.8236669999999995E-4</v>
      </c>
      <c r="M27" s="1">
        <f t="shared" si="0"/>
        <v>2.0795609999999998E-4</v>
      </c>
      <c r="N27" s="1">
        <f t="shared" si="0"/>
        <v>2.1278840000000005E-4</v>
      </c>
      <c r="O27" s="1">
        <f t="shared" si="0"/>
        <v>1.044714E-4</v>
      </c>
      <c r="P27" s="1">
        <f t="shared" si="0"/>
        <v>1.6371048320000002E-4</v>
      </c>
      <c r="Q27" s="1">
        <f t="shared" si="0"/>
        <v>1.9575744100000002E-4</v>
      </c>
      <c r="R27" s="1">
        <f t="shared" si="0"/>
        <v>2.5235368400000001E-4</v>
      </c>
      <c r="S27" s="1">
        <f t="shared" si="0"/>
        <v>1.1404571365000002E-3</v>
      </c>
      <c r="T27" s="1">
        <f t="shared" si="0"/>
        <v>7.1621763400000007E-4</v>
      </c>
      <c r="U27" s="1">
        <f t="shared" si="0"/>
        <v>8.3160155169666498E-4</v>
      </c>
      <c r="V27" s="1">
        <f t="shared" si="0"/>
        <v>8.3531927901007248E-4</v>
      </c>
      <c r="W27" s="1">
        <f t="shared" si="0"/>
        <v>8.7179769075149756E-4</v>
      </c>
      <c r="X27" s="1">
        <f t="shared" si="0"/>
        <v>1.0069886893834532E-3</v>
      </c>
      <c r="Y27" s="1">
        <f t="shared" si="0"/>
        <v>1.1081992158834078E-3</v>
      </c>
      <c r="Z27" s="1">
        <f t="shared" si="0"/>
        <v>1.2769440522235789E-3</v>
      </c>
      <c r="AA27" s="1">
        <f t="shared" si="0"/>
        <v>1.4434464133623798E-3</v>
      </c>
      <c r="AB27" s="1">
        <f t="shared" si="0"/>
        <v>1.6061480185045941E-3</v>
      </c>
      <c r="AC27" s="1">
        <f t="shared" si="0"/>
        <v>1.7821958539666254E-3</v>
      </c>
      <c r="AD27" s="1">
        <f t="shared" si="0"/>
        <v>1.5560754945104875E-3</v>
      </c>
      <c r="AE27" s="1">
        <f t="shared" si="0"/>
        <v>1.653196149264728E-3</v>
      </c>
      <c r="AF27" s="1">
        <f t="shared" si="0"/>
        <v>1.7422769819541825E-3</v>
      </c>
      <c r="AG27" s="1">
        <f t="shared" si="0"/>
        <v>1.8038920600566947E-3</v>
      </c>
      <c r="AH27" s="1">
        <f t="shared" si="0"/>
        <v>1.8410062281114816E-3</v>
      </c>
    </row>
    <row r="28" spans="1:34" x14ac:dyDescent="0.35">
      <c r="A28" s="19">
        <v>4</v>
      </c>
      <c r="B28" s="1" t="s">
        <v>16</v>
      </c>
      <c r="C28" s="1" t="s">
        <v>114</v>
      </c>
      <c r="D28" s="1">
        <v>7</v>
      </c>
      <c r="E28" s="1" t="s">
        <v>222</v>
      </c>
      <c r="F28" s="1" t="s">
        <v>239</v>
      </c>
      <c r="G28" s="1" t="s">
        <v>250</v>
      </c>
      <c r="H28" s="1">
        <v>0</v>
      </c>
      <c r="I28" s="1">
        <v>1.6889099999999998E-4</v>
      </c>
      <c r="J28" s="1">
        <v>1.52657E-4</v>
      </c>
      <c r="K28" s="1">
        <v>4.4886485999999996E-2</v>
      </c>
      <c r="L28" s="1">
        <v>2.5669699999999996E-4</v>
      </c>
      <c r="M28" s="1">
        <v>1.8905099999999998E-4</v>
      </c>
      <c r="N28" s="1">
        <v>1.9344400000000003E-4</v>
      </c>
      <c r="O28" s="1">
        <v>9.4973999999999989E-5</v>
      </c>
      <c r="P28" s="1">
        <v>1.48827712E-4</v>
      </c>
      <c r="Q28" s="1">
        <v>1.7796131000000001E-4</v>
      </c>
      <c r="R28" s="1">
        <v>2.2941244E-4</v>
      </c>
      <c r="S28" s="1">
        <v>1.0367792150000001E-3</v>
      </c>
      <c r="T28" s="1">
        <v>6.5110693999999997E-4</v>
      </c>
      <c r="U28" s="1">
        <v>7.5600141063333177E-4</v>
      </c>
      <c r="V28" s="1">
        <v>7.5938116273642942E-4</v>
      </c>
      <c r="W28" s="1">
        <v>7.925433552286341E-4</v>
      </c>
      <c r="X28" s="1">
        <v>9.154442630758665E-4</v>
      </c>
      <c r="Y28" s="1">
        <v>1.0074538326212796E-3</v>
      </c>
      <c r="Z28" s="1">
        <v>1.1608582292941625E-3</v>
      </c>
      <c r="AA28" s="1">
        <v>1.3122240121476178E-3</v>
      </c>
      <c r="AB28" s="1">
        <v>1.4601345622769035E-3</v>
      </c>
      <c r="AC28" s="1">
        <v>1.6201780490605684E-3</v>
      </c>
      <c r="AD28" s="1">
        <v>1.4146140859186249E-3</v>
      </c>
      <c r="AE28" s="1">
        <v>1.5029055902406616E-3</v>
      </c>
      <c r="AF28" s="1">
        <v>1.5838881654128931E-3</v>
      </c>
      <c r="AG28" s="1">
        <v>1.6399018727788132E-3</v>
      </c>
      <c r="AH28" s="6">
        <v>1.6736420255558922E-3</v>
      </c>
    </row>
    <row r="29" spans="1:34" x14ac:dyDescent="0.35">
      <c r="A29" s="19">
        <v>4</v>
      </c>
      <c r="B29" s="1" t="s">
        <v>16</v>
      </c>
      <c r="C29" s="1" t="s">
        <v>114</v>
      </c>
      <c r="D29" s="1">
        <v>8</v>
      </c>
      <c r="E29" s="1" t="s">
        <v>223</v>
      </c>
      <c r="F29" s="1"/>
      <c r="G29" s="1" t="s">
        <v>233</v>
      </c>
      <c r="H29" s="1">
        <v>0</v>
      </c>
      <c r="I29" s="1">
        <v>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6"/>
    </row>
    <row r="30" spans="1:34" x14ac:dyDescent="0.35">
      <c r="A30" s="19">
        <v>4</v>
      </c>
      <c r="B30" s="1" t="s">
        <v>16</v>
      </c>
      <c r="C30" s="1" t="s">
        <v>114</v>
      </c>
      <c r="D30" s="1">
        <v>9</v>
      </c>
      <c r="E30" s="1" t="s">
        <v>224</v>
      </c>
      <c r="F30" s="1" t="s">
        <v>242</v>
      </c>
      <c r="G30" s="1" t="s">
        <v>233</v>
      </c>
      <c r="H30" s="1">
        <v>0</v>
      </c>
      <c r="I30" s="1">
        <v>1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6"/>
    </row>
    <row r="31" spans="1:34" ht="15" thickBot="1" x14ac:dyDescent="0.4">
      <c r="A31" s="20">
        <v>4</v>
      </c>
      <c r="B31" s="8" t="s">
        <v>16</v>
      </c>
      <c r="C31" s="8" t="s">
        <v>114</v>
      </c>
      <c r="D31" s="8">
        <v>10</v>
      </c>
      <c r="E31" s="8" t="s">
        <v>225</v>
      </c>
      <c r="F31" s="8" t="s">
        <v>242</v>
      </c>
      <c r="G31" s="8" t="s">
        <v>233</v>
      </c>
      <c r="H31" s="8">
        <v>0</v>
      </c>
      <c r="I31" s="8">
        <v>1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9"/>
    </row>
    <row r="32" spans="1:34" x14ac:dyDescent="0.35">
      <c r="A32" s="18">
        <v>5</v>
      </c>
      <c r="B32" s="3" t="s">
        <v>17</v>
      </c>
      <c r="C32" s="3" t="s">
        <v>115</v>
      </c>
      <c r="D32" s="3">
        <v>1</v>
      </c>
      <c r="E32" s="3" t="s">
        <v>216</v>
      </c>
      <c r="F32" s="3" t="s">
        <v>243</v>
      </c>
      <c r="G32" s="3" t="s">
        <v>233</v>
      </c>
      <c r="H32" s="3">
        <v>0</v>
      </c>
      <c r="I32" s="3">
        <v>1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4"/>
    </row>
    <row r="33" spans="1:34" x14ac:dyDescent="0.35">
      <c r="A33" s="19">
        <v>5</v>
      </c>
      <c r="B33" s="1" t="s">
        <v>17</v>
      </c>
      <c r="C33" s="1" t="s">
        <v>115</v>
      </c>
      <c r="D33" s="1">
        <v>2</v>
      </c>
      <c r="E33" s="1" t="s">
        <v>217</v>
      </c>
      <c r="F33" s="1" t="s">
        <v>243</v>
      </c>
      <c r="G33" s="1" t="s">
        <v>233</v>
      </c>
      <c r="H33" s="1">
        <v>0</v>
      </c>
      <c r="I33" s="1">
        <v>1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6"/>
    </row>
    <row r="34" spans="1:34" x14ac:dyDescent="0.35">
      <c r="A34" s="19">
        <v>5</v>
      </c>
      <c r="B34" s="1" t="s">
        <v>17</v>
      </c>
      <c r="C34" s="1" t="s">
        <v>115</v>
      </c>
      <c r="D34" s="1">
        <v>3</v>
      </c>
      <c r="E34" s="1" t="s">
        <v>218</v>
      </c>
      <c r="F34" s="1" t="s">
        <v>243</v>
      </c>
      <c r="G34" s="1" t="s">
        <v>233</v>
      </c>
      <c r="H34" s="1">
        <v>0</v>
      </c>
      <c r="I34" s="1">
        <v>1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6"/>
    </row>
    <row r="35" spans="1:34" x14ac:dyDescent="0.35">
      <c r="A35" s="19">
        <v>5</v>
      </c>
      <c r="B35" s="1" t="s">
        <v>17</v>
      </c>
      <c r="C35" s="1" t="s">
        <v>115</v>
      </c>
      <c r="D35" s="1">
        <v>4</v>
      </c>
      <c r="E35" s="1" t="s">
        <v>219</v>
      </c>
      <c r="F35" s="1"/>
      <c r="G35" s="1" t="s">
        <v>250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6">
        <v>0</v>
      </c>
    </row>
    <row r="36" spans="1:34" x14ac:dyDescent="0.35">
      <c r="A36" s="19">
        <v>5</v>
      </c>
      <c r="B36" s="1" t="s">
        <v>17</v>
      </c>
      <c r="C36" s="1" t="s">
        <v>115</v>
      </c>
      <c r="D36" s="1">
        <v>5</v>
      </c>
      <c r="E36" s="1" t="s">
        <v>220</v>
      </c>
      <c r="F36" s="1" t="s">
        <v>239</v>
      </c>
      <c r="G36" s="1" t="s">
        <v>233</v>
      </c>
      <c r="H36" s="1">
        <v>0</v>
      </c>
      <c r="I36" s="1">
        <v>999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6"/>
    </row>
    <row r="37" spans="1:34" x14ac:dyDescent="0.35">
      <c r="A37" s="19">
        <v>5</v>
      </c>
      <c r="B37" s="1" t="s">
        <v>17</v>
      </c>
      <c r="C37" s="1" t="s">
        <v>115</v>
      </c>
      <c r="D37" s="1">
        <v>6</v>
      </c>
      <c r="E37" s="1" t="s">
        <v>221</v>
      </c>
      <c r="F37" s="1" t="s">
        <v>239</v>
      </c>
      <c r="G37" s="1" t="s">
        <v>250</v>
      </c>
      <c r="H37" s="1">
        <v>0</v>
      </c>
      <c r="I37" s="1">
        <f t="shared" ref="I37:AH37" si="1">1.1*I38</f>
        <v>0</v>
      </c>
      <c r="J37" s="1">
        <f t="shared" si="1"/>
        <v>1.7492607000000002E-5</v>
      </c>
      <c r="K37" s="1">
        <f t="shared" si="1"/>
        <v>8.6282765909999979E-3</v>
      </c>
      <c r="L37" s="1">
        <f t="shared" si="1"/>
        <v>1.3538774700000002E-4</v>
      </c>
      <c r="M37" s="1">
        <f t="shared" si="1"/>
        <v>0</v>
      </c>
      <c r="N37" s="1">
        <f t="shared" si="1"/>
        <v>0</v>
      </c>
      <c r="O37" s="1">
        <f t="shared" si="1"/>
        <v>0</v>
      </c>
      <c r="P37" s="1">
        <f t="shared" si="1"/>
        <v>0</v>
      </c>
      <c r="Q37" s="1">
        <f t="shared" si="1"/>
        <v>0</v>
      </c>
      <c r="R37" s="1">
        <f t="shared" si="1"/>
        <v>0</v>
      </c>
      <c r="S37" s="1">
        <f t="shared" si="1"/>
        <v>0</v>
      </c>
      <c r="T37" s="1">
        <f t="shared" si="1"/>
        <v>2.4539983380000002E-5</v>
      </c>
      <c r="U37" s="1">
        <f t="shared" si="1"/>
        <v>2.8493417766670588E-5</v>
      </c>
      <c r="V37" s="1">
        <f t="shared" si="1"/>
        <v>3.1153843958483446E-5</v>
      </c>
      <c r="W37" s="1">
        <f t="shared" si="1"/>
        <v>3.381427015029631E-5</v>
      </c>
      <c r="X37" s="1">
        <f t="shared" si="1"/>
        <v>3.6474696342109175E-5</v>
      </c>
      <c r="Y37" s="1">
        <f t="shared" si="1"/>
        <v>3.9135122533922032E-5</v>
      </c>
      <c r="Z37" s="1">
        <f t="shared" si="1"/>
        <v>4.179554872573489E-5</v>
      </c>
      <c r="AA37" s="1">
        <f t="shared" si="1"/>
        <v>4.4455974917547747E-5</v>
      </c>
      <c r="AB37" s="1">
        <f t="shared" si="1"/>
        <v>4.7116401109360611E-5</v>
      </c>
      <c r="AC37" s="1">
        <f t="shared" si="1"/>
        <v>4.9776827301173469E-5</v>
      </c>
      <c r="AD37" s="1">
        <f t="shared" si="1"/>
        <v>5.2437253492986326E-5</v>
      </c>
      <c r="AE37" s="1">
        <f t="shared" si="1"/>
        <v>5.5097679684799191E-5</v>
      </c>
      <c r="AF37" s="1">
        <f t="shared" si="1"/>
        <v>5.7758105876612048E-5</v>
      </c>
      <c r="AG37" s="1">
        <f t="shared" si="1"/>
        <v>6.0418532068424912E-5</v>
      </c>
      <c r="AH37" s="1">
        <f t="shared" si="1"/>
        <v>6.307895826023777E-5</v>
      </c>
    </row>
    <row r="38" spans="1:34" x14ac:dyDescent="0.35">
      <c r="A38" s="19">
        <v>5</v>
      </c>
      <c r="B38" s="1" t="s">
        <v>17</v>
      </c>
      <c r="C38" s="1" t="s">
        <v>115</v>
      </c>
      <c r="D38" s="1">
        <v>7</v>
      </c>
      <c r="E38" s="33" t="s">
        <v>222</v>
      </c>
      <c r="F38" s="1" t="s">
        <v>239</v>
      </c>
      <c r="G38" s="1" t="s">
        <v>250</v>
      </c>
      <c r="H38" s="1">
        <v>0</v>
      </c>
      <c r="I38" s="70">
        <v>0</v>
      </c>
      <c r="J38" s="70">
        <v>1.590237E-5</v>
      </c>
      <c r="K38" s="70">
        <v>7.8438878099999967E-3</v>
      </c>
      <c r="L38" s="70">
        <v>1.2307977000000002E-4</v>
      </c>
      <c r="M38" s="70">
        <v>0</v>
      </c>
      <c r="N38" s="70">
        <v>0</v>
      </c>
      <c r="O38" s="70">
        <v>0</v>
      </c>
      <c r="P38" s="70">
        <v>0</v>
      </c>
      <c r="Q38" s="70">
        <v>0</v>
      </c>
      <c r="R38" s="70">
        <v>0</v>
      </c>
      <c r="S38" s="70">
        <v>0</v>
      </c>
      <c r="T38" s="70">
        <v>2.2309075800000001E-5</v>
      </c>
      <c r="U38" s="70">
        <v>2.5903107060609624E-5</v>
      </c>
      <c r="V38" s="70">
        <v>2.8321676325894041E-5</v>
      </c>
      <c r="W38" s="70">
        <v>3.0740245591178464E-5</v>
      </c>
      <c r="X38" s="70">
        <v>3.315881485646288E-5</v>
      </c>
      <c r="Y38" s="70">
        <v>3.5577384121747297E-5</v>
      </c>
      <c r="Z38" s="70">
        <v>3.7995953387031713E-5</v>
      </c>
      <c r="AA38" s="70">
        <v>4.041452265231613E-5</v>
      </c>
      <c r="AB38" s="70">
        <v>4.2833091917600553E-5</v>
      </c>
      <c r="AC38" s="70">
        <v>4.525166118288497E-5</v>
      </c>
      <c r="AD38" s="70">
        <v>4.7670230448169386E-5</v>
      </c>
      <c r="AE38" s="70">
        <v>5.0088799713453803E-5</v>
      </c>
      <c r="AF38" s="70">
        <v>5.2507368978738219E-5</v>
      </c>
      <c r="AG38" s="70">
        <v>5.4925938244022643E-5</v>
      </c>
      <c r="AH38" s="71">
        <v>5.7344507509307059E-5</v>
      </c>
    </row>
    <row r="39" spans="1:34" x14ac:dyDescent="0.35">
      <c r="A39" s="19">
        <v>5</v>
      </c>
      <c r="B39" s="1" t="s">
        <v>17</v>
      </c>
      <c r="C39" s="1" t="s">
        <v>115</v>
      </c>
      <c r="D39" s="1">
        <v>8</v>
      </c>
      <c r="E39" s="1" t="s">
        <v>223</v>
      </c>
      <c r="F39" s="1"/>
      <c r="G39" s="1" t="s">
        <v>233</v>
      </c>
      <c r="H39" s="1">
        <v>0</v>
      </c>
      <c r="I39" s="1">
        <v>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6"/>
    </row>
    <row r="40" spans="1:34" x14ac:dyDescent="0.35">
      <c r="A40" s="19">
        <v>5</v>
      </c>
      <c r="B40" s="1" t="s">
        <v>17</v>
      </c>
      <c r="C40" s="1" t="s">
        <v>115</v>
      </c>
      <c r="D40" s="1">
        <v>9</v>
      </c>
      <c r="E40" s="1" t="s">
        <v>224</v>
      </c>
      <c r="F40" s="1" t="s">
        <v>242</v>
      </c>
      <c r="G40" s="1" t="s">
        <v>233</v>
      </c>
      <c r="H40" s="1">
        <v>0</v>
      </c>
      <c r="I40" s="1">
        <v>1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6"/>
    </row>
    <row r="41" spans="1:34" ht="15" thickBot="1" x14ac:dyDescent="0.4">
      <c r="A41" s="20">
        <v>5</v>
      </c>
      <c r="B41" s="8" t="s">
        <v>17</v>
      </c>
      <c r="C41" s="8" t="s">
        <v>115</v>
      </c>
      <c r="D41" s="8">
        <v>10</v>
      </c>
      <c r="E41" s="8" t="s">
        <v>225</v>
      </c>
      <c r="F41" s="8" t="s">
        <v>242</v>
      </c>
      <c r="G41" s="8" t="s">
        <v>233</v>
      </c>
      <c r="H41" s="8">
        <v>0</v>
      </c>
      <c r="I41" s="8">
        <v>1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9"/>
    </row>
    <row r="42" spans="1:34" x14ac:dyDescent="0.35">
      <c r="A42" s="18">
        <v>6</v>
      </c>
      <c r="B42" s="3" t="s">
        <v>18</v>
      </c>
      <c r="C42" s="3" t="s">
        <v>116</v>
      </c>
      <c r="D42" s="3">
        <v>1</v>
      </c>
      <c r="E42" s="3" t="s">
        <v>216</v>
      </c>
      <c r="F42" s="3" t="s">
        <v>243</v>
      </c>
      <c r="G42" s="3" t="s">
        <v>233</v>
      </c>
      <c r="H42" s="3">
        <v>0</v>
      </c>
      <c r="I42" s="3">
        <v>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4"/>
    </row>
    <row r="43" spans="1:34" x14ac:dyDescent="0.35">
      <c r="A43" s="19">
        <v>6</v>
      </c>
      <c r="B43" s="1" t="s">
        <v>18</v>
      </c>
      <c r="C43" s="1" t="s">
        <v>116</v>
      </c>
      <c r="D43" s="1">
        <v>2</v>
      </c>
      <c r="E43" s="1" t="s">
        <v>217</v>
      </c>
      <c r="F43" s="1" t="s">
        <v>243</v>
      </c>
      <c r="G43" s="1" t="s">
        <v>233</v>
      </c>
      <c r="H43" s="1">
        <v>0</v>
      </c>
      <c r="I43" s="1">
        <v>1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6"/>
    </row>
    <row r="44" spans="1:34" x14ac:dyDescent="0.35">
      <c r="A44" s="19">
        <v>6</v>
      </c>
      <c r="B44" s="1" t="s">
        <v>18</v>
      </c>
      <c r="C44" s="1" t="s">
        <v>116</v>
      </c>
      <c r="D44" s="1">
        <v>3</v>
      </c>
      <c r="E44" s="1" t="s">
        <v>218</v>
      </c>
      <c r="F44" s="1" t="s">
        <v>243</v>
      </c>
      <c r="G44" s="1" t="s">
        <v>233</v>
      </c>
      <c r="H44" s="1">
        <v>0</v>
      </c>
      <c r="I44" s="1">
        <v>1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6"/>
    </row>
    <row r="45" spans="1:34" x14ac:dyDescent="0.35">
      <c r="A45" s="19">
        <v>6</v>
      </c>
      <c r="B45" s="1" t="s">
        <v>18</v>
      </c>
      <c r="C45" s="1" t="s">
        <v>116</v>
      </c>
      <c r="D45" s="1">
        <v>4</v>
      </c>
      <c r="E45" s="1" t="s">
        <v>219</v>
      </c>
      <c r="F45" s="1"/>
      <c r="G45" s="1" t="s">
        <v>250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6">
        <v>0</v>
      </c>
    </row>
    <row r="46" spans="1:34" x14ac:dyDescent="0.35">
      <c r="A46" s="19">
        <v>6</v>
      </c>
      <c r="B46" s="1" t="s">
        <v>18</v>
      </c>
      <c r="C46" s="1" t="s">
        <v>116</v>
      </c>
      <c r="D46" s="1">
        <v>5</v>
      </c>
      <c r="E46" s="1" t="s">
        <v>220</v>
      </c>
      <c r="F46" s="1" t="s">
        <v>239</v>
      </c>
      <c r="G46" s="1" t="s">
        <v>233</v>
      </c>
      <c r="H46" s="1">
        <v>0</v>
      </c>
      <c r="I46" s="1">
        <v>999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6"/>
    </row>
    <row r="47" spans="1:34" x14ac:dyDescent="0.35">
      <c r="A47" s="19">
        <v>6</v>
      </c>
      <c r="B47" s="1" t="s">
        <v>18</v>
      </c>
      <c r="C47" s="1" t="s">
        <v>116</v>
      </c>
      <c r="D47" s="1">
        <v>6</v>
      </c>
      <c r="E47" s="1" t="s">
        <v>221</v>
      </c>
      <c r="F47" s="1" t="s">
        <v>239</v>
      </c>
      <c r="G47" s="1" t="s">
        <v>250</v>
      </c>
      <c r="H47" s="1">
        <v>0</v>
      </c>
      <c r="I47" s="1">
        <f t="shared" ref="I47:AH47" si="2">1.1*I48</f>
        <v>0</v>
      </c>
      <c r="J47" s="1">
        <f t="shared" si="2"/>
        <v>0</v>
      </c>
      <c r="K47" s="1">
        <f t="shared" si="2"/>
        <v>0</v>
      </c>
      <c r="L47" s="1">
        <f t="shared" si="2"/>
        <v>0</v>
      </c>
      <c r="M47" s="1">
        <f t="shared" si="2"/>
        <v>0</v>
      </c>
      <c r="N47" s="1">
        <f t="shared" si="2"/>
        <v>5.5539000000000005E-7</v>
      </c>
      <c r="O47" s="1">
        <f t="shared" si="2"/>
        <v>3.2670000000000004E-5</v>
      </c>
      <c r="P47" s="1">
        <f t="shared" si="2"/>
        <v>6.5340000000000008E-5</v>
      </c>
      <c r="Q47" s="1">
        <f t="shared" si="2"/>
        <v>6.5340000000000008E-5</v>
      </c>
      <c r="R47" s="1">
        <f t="shared" si="2"/>
        <v>6.5340000000000008E-5</v>
      </c>
      <c r="S47" s="1">
        <f t="shared" si="2"/>
        <v>1.7052493095000004E-5</v>
      </c>
      <c r="T47" s="1">
        <f t="shared" si="2"/>
        <v>1.6335000000000002E-5</v>
      </c>
      <c r="U47" s="1">
        <f t="shared" si="2"/>
        <v>1.8966597165583084E-5</v>
      </c>
      <c r="V47" s="1">
        <f t="shared" si="2"/>
        <v>2.0737505530528485E-5</v>
      </c>
      <c r="W47" s="1">
        <f t="shared" si="2"/>
        <v>2.2508413895473886E-5</v>
      </c>
      <c r="X47" s="1">
        <f t="shared" si="2"/>
        <v>2.4279322260419283E-5</v>
      </c>
      <c r="Y47" s="1">
        <f t="shared" si="2"/>
        <v>2.6050230625364685E-5</v>
      </c>
      <c r="Z47" s="1">
        <f t="shared" si="2"/>
        <v>2.7821138990310079E-5</v>
      </c>
      <c r="AA47" s="1">
        <f t="shared" si="2"/>
        <v>2.9592047355255483E-5</v>
      </c>
      <c r="AB47" s="1">
        <f t="shared" si="2"/>
        <v>3.1362955720200885E-5</v>
      </c>
      <c r="AC47" s="1">
        <f t="shared" si="2"/>
        <v>3.3133864085146279E-5</v>
      </c>
      <c r="AD47" s="1">
        <f t="shared" si="2"/>
        <v>3.490477245009168E-5</v>
      </c>
      <c r="AE47" s="1">
        <f t="shared" si="2"/>
        <v>3.6675680815037074E-5</v>
      </c>
      <c r="AF47" s="1">
        <f t="shared" si="2"/>
        <v>3.8446589179982476E-5</v>
      </c>
      <c r="AG47" s="1">
        <f t="shared" si="2"/>
        <v>4.0217497544927877E-5</v>
      </c>
      <c r="AH47" s="1">
        <f t="shared" si="2"/>
        <v>4.1988405909873278E-5</v>
      </c>
    </row>
    <row r="48" spans="1:34" x14ac:dyDescent="0.35">
      <c r="A48" s="19">
        <v>6</v>
      </c>
      <c r="B48" s="1" t="s">
        <v>18</v>
      </c>
      <c r="C48" s="1" t="s">
        <v>116</v>
      </c>
      <c r="D48" s="1">
        <v>7</v>
      </c>
      <c r="E48" s="33" t="s">
        <v>222</v>
      </c>
      <c r="F48" s="1" t="s">
        <v>239</v>
      </c>
      <c r="G48" s="1" t="s">
        <v>250</v>
      </c>
      <c r="H48" s="1">
        <v>0</v>
      </c>
      <c r="I48" s="70">
        <v>0</v>
      </c>
      <c r="J48" s="70">
        <v>0</v>
      </c>
      <c r="K48" s="70">
        <v>0</v>
      </c>
      <c r="L48" s="70">
        <v>0</v>
      </c>
      <c r="M48" s="70">
        <v>0</v>
      </c>
      <c r="N48" s="70">
        <v>5.0490000000000003E-7</v>
      </c>
      <c r="O48" s="70">
        <v>2.97E-5</v>
      </c>
      <c r="P48" s="70">
        <v>5.94E-5</v>
      </c>
      <c r="Q48" s="70">
        <v>5.94E-5</v>
      </c>
      <c r="R48" s="70">
        <v>5.94E-5</v>
      </c>
      <c r="S48" s="70">
        <v>1.5502266450000002E-5</v>
      </c>
      <c r="T48" s="70">
        <v>1.485E-5</v>
      </c>
      <c r="U48" s="70">
        <v>1.7242361059620985E-5</v>
      </c>
      <c r="V48" s="70">
        <v>1.8852277755025894E-5</v>
      </c>
      <c r="W48" s="70">
        <v>2.0462194450430802E-5</v>
      </c>
      <c r="X48" s="70">
        <v>2.2072111145835711E-5</v>
      </c>
      <c r="Y48" s="70">
        <v>2.3682027841240619E-5</v>
      </c>
      <c r="Z48" s="70">
        <v>2.5291944536645524E-5</v>
      </c>
      <c r="AA48" s="70">
        <v>2.6901861232050436E-5</v>
      </c>
      <c r="AB48" s="70">
        <v>2.8511777927455345E-5</v>
      </c>
      <c r="AC48" s="70">
        <v>3.0121694622860254E-5</v>
      </c>
      <c r="AD48" s="70">
        <v>3.1731611318265159E-5</v>
      </c>
      <c r="AE48" s="70">
        <v>3.3341528013670064E-5</v>
      </c>
      <c r="AF48" s="70">
        <v>3.4951444709074976E-5</v>
      </c>
      <c r="AG48" s="70">
        <v>3.6561361404479888E-5</v>
      </c>
      <c r="AH48" s="71">
        <v>3.8171278099884793E-5</v>
      </c>
    </row>
    <row r="49" spans="1:34" x14ac:dyDescent="0.35">
      <c r="A49" s="19">
        <v>6</v>
      </c>
      <c r="B49" s="1" t="s">
        <v>18</v>
      </c>
      <c r="C49" s="1" t="s">
        <v>116</v>
      </c>
      <c r="D49" s="1">
        <v>8</v>
      </c>
      <c r="E49" s="1" t="s">
        <v>223</v>
      </c>
      <c r="F49" s="1"/>
      <c r="G49" s="1" t="s">
        <v>233</v>
      </c>
      <c r="H49" s="1">
        <v>0</v>
      </c>
      <c r="I49" s="1">
        <v>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6"/>
    </row>
    <row r="50" spans="1:34" x14ac:dyDescent="0.35">
      <c r="A50" s="19">
        <v>6</v>
      </c>
      <c r="B50" s="1" t="s">
        <v>18</v>
      </c>
      <c r="C50" s="1" t="s">
        <v>116</v>
      </c>
      <c r="D50" s="1">
        <v>9</v>
      </c>
      <c r="E50" s="1" t="s">
        <v>224</v>
      </c>
      <c r="F50" s="1" t="s">
        <v>242</v>
      </c>
      <c r="G50" s="1" t="s">
        <v>233</v>
      </c>
      <c r="H50" s="1">
        <v>0</v>
      </c>
      <c r="I50" s="1">
        <v>1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6"/>
    </row>
    <row r="51" spans="1:34" ht="15" thickBot="1" x14ac:dyDescent="0.4">
      <c r="A51" s="20">
        <v>6</v>
      </c>
      <c r="B51" s="8" t="s">
        <v>18</v>
      </c>
      <c r="C51" s="8" t="s">
        <v>116</v>
      </c>
      <c r="D51" s="8">
        <v>10</v>
      </c>
      <c r="E51" s="8" t="s">
        <v>225</v>
      </c>
      <c r="F51" s="8" t="s">
        <v>242</v>
      </c>
      <c r="G51" s="8" t="s">
        <v>233</v>
      </c>
      <c r="H51" s="8">
        <v>0</v>
      </c>
      <c r="I51" s="8">
        <v>1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9"/>
    </row>
    <row r="52" spans="1:34" x14ac:dyDescent="0.35">
      <c r="A52" s="18">
        <v>7</v>
      </c>
      <c r="B52" s="3" t="s">
        <v>19</v>
      </c>
      <c r="C52" s="3" t="s">
        <v>117</v>
      </c>
      <c r="D52" s="3">
        <v>1</v>
      </c>
      <c r="E52" s="3" t="s">
        <v>216</v>
      </c>
      <c r="F52" s="3" t="s">
        <v>243</v>
      </c>
      <c r="G52" s="3" t="s">
        <v>233</v>
      </c>
      <c r="H52" s="3">
        <v>0</v>
      </c>
      <c r="I52" s="3">
        <v>1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4"/>
    </row>
    <row r="53" spans="1:34" x14ac:dyDescent="0.35">
      <c r="A53" s="19">
        <v>7</v>
      </c>
      <c r="B53" s="1" t="s">
        <v>19</v>
      </c>
      <c r="C53" s="1" t="s">
        <v>117</v>
      </c>
      <c r="D53" s="1">
        <v>2</v>
      </c>
      <c r="E53" s="1" t="s">
        <v>217</v>
      </c>
      <c r="F53" s="1" t="s">
        <v>243</v>
      </c>
      <c r="G53" s="1" t="s">
        <v>233</v>
      </c>
      <c r="H53" s="1">
        <v>0</v>
      </c>
      <c r="I53" s="1">
        <v>1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6"/>
    </row>
    <row r="54" spans="1:34" x14ac:dyDescent="0.35">
      <c r="A54" s="19">
        <v>7</v>
      </c>
      <c r="B54" s="1" t="s">
        <v>19</v>
      </c>
      <c r="C54" s="1" t="s">
        <v>117</v>
      </c>
      <c r="D54" s="1">
        <v>3</v>
      </c>
      <c r="E54" s="1" t="s">
        <v>218</v>
      </c>
      <c r="F54" s="1" t="s">
        <v>243</v>
      </c>
      <c r="G54" s="1" t="s">
        <v>233</v>
      </c>
      <c r="H54" s="1">
        <v>0</v>
      </c>
      <c r="I54" s="1">
        <v>1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6"/>
    </row>
    <row r="55" spans="1:34" x14ac:dyDescent="0.35">
      <c r="A55" s="19">
        <v>7</v>
      </c>
      <c r="B55" s="1" t="s">
        <v>19</v>
      </c>
      <c r="C55" s="1" t="s">
        <v>117</v>
      </c>
      <c r="D55" s="1">
        <v>4</v>
      </c>
      <c r="E55" s="1" t="s">
        <v>219</v>
      </c>
      <c r="F55" s="1"/>
      <c r="G55" s="1" t="s">
        <v>250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6">
        <v>0</v>
      </c>
    </row>
    <row r="56" spans="1:34" x14ac:dyDescent="0.35">
      <c r="A56" s="19">
        <v>7</v>
      </c>
      <c r="B56" s="1" t="s">
        <v>19</v>
      </c>
      <c r="C56" s="1" t="s">
        <v>117</v>
      </c>
      <c r="D56" s="1">
        <v>5</v>
      </c>
      <c r="E56" s="1" t="s">
        <v>220</v>
      </c>
      <c r="F56" s="1" t="s">
        <v>239</v>
      </c>
      <c r="G56" s="1" t="s">
        <v>233</v>
      </c>
      <c r="H56" s="1">
        <v>0</v>
      </c>
      <c r="I56" s="1">
        <v>999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6"/>
    </row>
    <row r="57" spans="1:34" x14ac:dyDescent="0.35">
      <c r="A57" s="19">
        <v>7</v>
      </c>
      <c r="B57" s="1" t="s">
        <v>19</v>
      </c>
      <c r="C57" s="1" t="s">
        <v>117</v>
      </c>
      <c r="D57" s="1">
        <v>6</v>
      </c>
      <c r="E57" s="1" t="s">
        <v>221</v>
      </c>
      <c r="F57" s="1" t="s">
        <v>239</v>
      </c>
      <c r="G57" s="1" t="s">
        <v>250</v>
      </c>
      <c r="H57" s="1">
        <v>0</v>
      </c>
      <c r="I57" s="1">
        <f t="shared" ref="I57:AH57" si="3">1.1*I58</f>
        <v>3.0434479020000006E-3</v>
      </c>
      <c r="J57" s="1">
        <f t="shared" si="3"/>
        <v>6.9665507999999987E-3</v>
      </c>
      <c r="K57" s="1">
        <f t="shared" si="3"/>
        <v>2.4859517760000005E-3</v>
      </c>
      <c r="L57" s="1">
        <f t="shared" si="3"/>
        <v>5.645474009999999E-4</v>
      </c>
      <c r="M57" s="1">
        <f t="shared" si="3"/>
        <v>1.4663602800000003E-4</v>
      </c>
      <c r="N57" s="1">
        <f t="shared" si="3"/>
        <v>1.4215307253064894E-2</v>
      </c>
      <c r="O57" s="1">
        <f t="shared" si="3"/>
        <v>1.4372845880501649E-2</v>
      </c>
      <c r="P57" s="1">
        <f t="shared" si="3"/>
        <v>1.0216723921984519E-2</v>
      </c>
      <c r="Q57" s="1">
        <f t="shared" si="3"/>
        <v>1.3804654385225006E-2</v>
      </c>
      <c r="R57" s="1">
        <f t="shared" si="3"/>
        <v>5.6691937094320152E-3</v>
      </c>
      <c r="S57" s="1">
        <f t="shared" si="3"/>
        <v>9.3372310928930141E-3</v>
      </c>
      <c r="T57" s="1">
        <f t="shared" si="3"/>
        <v>1.0056310089789052E-2</v>
      </c>
      <c r="U57" s="1">
        <f t="shared" si="3"/>
        <v>1.1676399292636523E-2</v>
      </c>
      <c r="V57" s="1">
        <f t="shared" si="3"/>
        <v>1.3762279316581333E-2</v>
      </c>
      <c r="W57" s="1">
        <f t="shared" si="3"/>
        <v>1.5848159340526143E-2</v>
      </c>
      <c r="X57" s="1">
        <f t="shared" si="3"/>
        <v>1.7934039364470952E-2</v>
      </c>
      <c r="Y57" s="1">
        <f t="shared" si="3"/>
        <v>2.0019919388415758E-2</v>
      </c>
      <c r="Z57" s="1">
        <f t="shared" si="3"/>
        <v>2.2105799412360572E-2</v>
      </c>
      <c r="AA57" s="1">
        <f t="shared" si="3"/>
        <v>2.4191679436305381E-2</v>
      </c>
      <c r="AB57" s="1">
        <f t="shared" si="3"/>
        <v>2.6277559460250191E-2</v>
      </c>
      <c r="AC57" s="1">
        <f t="shared" si="3"/>
        <v>2.8363439484195001E-2</v>
      </c>
      <c r="AD57" s="1">
        <f t="shared" si="3"/>
        <v>3.044931950813981E-2</v>
      </c>
      <c r="AE57" s="1">
        <f t="shared" si="3"/>
        <v>3.253519953208462E-2</v>
      </c>
      <c r="AF57" s="1">
        <f t="shared" si="3"/>
        <v>3.4621079556029423E-2</v>
      </c>
      <c r="AG57" s="1">
        <f t="shared" si="3"/>
        <v>3.670695957997424E-2</v>
      </c>
      <c r="AH57" s="1">
        <f t="shared" si="3"/>
        <v>3.8792839603919049E-2</v>
      </c>
    </row>
    <row r="58" spans="1:34" x14ac:dyDescent="0.35">
      <c r="A58" s="19">
        <v>7</v>
      </c>
      <c r="B58" s="1" t="s">
        <v>19</v>
      </c>
      <c r="C58" s="1" t="s">
        <v>117</v>
      </c>
      <c r="D58" s="1">
        <v>7</v>
      </c>
      <c r="E58" s="33" t="s">
        <v>222</v>
      </c>
      <c r="F58" s="1" t="s">
        <v>239</v>
      </c>
      <c r="G58" s="1" t="s">
        <v>250</v>
      </c>
      <c r="H58" s="1">
        <v>0</v>
      </c>
      <c r="I58" s="70">
        <v>2.7667708200000002E-3</v>
      </c>
      <c r="J58" s="70">
        <v>6.333227999999998E-3</v>
      </c>
      <c r="K58" s="70">
        <v>2.2599561600000003E-3</v>
      </c>
      <c r="L58" s="70">
        <v>5.1322490999999989E-4</v>
      </c>
      <c r="M58" s="70">
        <v>1.3330548000000002E-4</v>
      </c>
      <c r="N58" s="70">
        <v>1.2923006593695358E-2</v>
      </c>
      <c r="O58" s="70">
        <v>1.306622352772877E-2</v>
      </c>
      <c r="P58" s="70">
        <v>9.2879308381677433E-3</v>
      </c>
      <c r="Q58" s="70">
        <v>1.2549685804750004E-2</v>
      </c>
      <c r="R58" s="70">
        <v>5.1538124631200135E-3</v>
      </c>
      <c r="S58" s="70">
        <v>8.488391902630012E-3</v>
      </c>
      <c r="T58" s="70">
        <v>9.1421000816264107E-3</v>
      </c>
      <c r="U58" s="70">
        <v>1.0614908447851384E-2</v>
      </c>
      <c r="V58" s="70">
        <v>1.2511163015073937E-2</v>
      </c>
      <c r="W58" s="70">
        <v>1.4407417582296491E-2</v>
      </c>
      <c r="X58" s="70">
        <v>1.6303672149519045E-2</v>
      </c>
      <c r="Y58" s="70">
        <v>1.8199926716741598E-2</v>
      </c>
      <c r="Z58" s="70">
        <v>2.0096181283964155E-2</v>
      </c>
      <c r="AA58" s="70">
        <v>2.1992435851186709E-2</v>
      </c>
      <c r="AB58" s="70">
        <v>2.3888690418409263E-2</v>
      </c>
      <c r="AC58" s="70">
        <v>2.5784944985631816E-2</v>
      </c>
      <c r="AD58" s="70">
        <v>2.768119955285437E-2</v>
      </c>
      <c r="AE58" s="70">
        <v>2.9577454120076924E-2</v>
      </c>
      <c r="AF58" s="70">
        <v>3.147370868729947E-2</v>
      </c>
      <c r="AG58" s="70">
        <v>3.3369963254522031E-2</v>
      </c>
      <c r="AH58" s="71">
        <v>3.5266217821744585E-2</v>
      </c>
    </row>
    <row r="59" spans="1:34" x14ac:dyDescent="0.35">
      <c r="A59" s="19">
        <v>7</v>
      </c>
      <c r="B59" s="1" t="s">
        <v>19</v>
      </c>
      <c r="C59" s="1" t="s">
        <v>117</v>
      </c>
      <c r="D59" s="1">
        <v>8</v>
      </c>
      <c r="E59" s="1" t="s">
        <v>223</v>
      </c>
      <c r="F59" s="1"/>
      <c r="G59" s="1" t="s">
        <v>233</v>
      </c>
      <c r="H59" s="1">
        <v>0</v>
      </c>
      <c r="I59" s="1">
        <v>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6"/>
    </row>
    <row r="60" spans="1:34" x14ac:dyDescent="0.35">
      <c r="A60" s="19">
        <v>7</v>
      </c>
      <c r="B60" s="1" t="s">
        <v>19</v>
      </c>
      <c r="C60" s="1" t="s">
        <v>117</v>
      </c>
      <c r="D60" s="1">
        <v>9</v>
      </c>
      <c r="E60" s="1" t="s">
        <v>224</v>
      </c>
      <c r="F60" s="1" t="s">
        <v>242</v>
      </c>
      <c r="G60" s="1" t="s">
        <v>233</v>
      </c>
      <c r="H60" s="1">
        <v>0</v>
      </c>
      <c r="I60" s="1">
        <v>1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6"/>
    </row>
    <row r="61" spans="1:34" ht="15" thickBot="1" x14ac:dyDescent="0.4">
      <c r="A61" s="20">
        <v>7</v>
      </c>
      <c r="B61" s="8" t="s">
        <v>19</v>
      </c>
      <c r="C61" s="8" t="s">
        <v>117</v>
      </c>
      <c r="D61" s="8">
        <v>10</v>
      </c>
      <c r="E61" s="8" t="s">
        <v>225</v>
      </c>
      <c r="F61" s="8" t="s">
        <v>242</v>
      </c>
      <c r="G61" s="8" t="s">
        <v>233</v>
      </c>
      <c r="H61" s="8">
        <v>0</v>
      </c>
      <c r="I61" s="8">
        <v>1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9"/>
    </row>
    <row r="62" spans="1:34" x14ac:dyDescent="0.35">
      <c r="A62" s="18">
        <v>8</v>
      </c>
      <c r="B62" s="3" t="s">
        <v>20</v>
      </c>
      <c r="C62" s="3" t="s">
        <v>118</v>
      </c>
      <c r="D62" s="3">
        <v>1</v>
      </c>
      <c r="E62" s="3" t="s">
        <v>216</v>
      </c>
      <c r="F62" s="3" t="s">
        <v>243</v>
      </c>
      <c r="G62" s="3" t="s">
        <v>233</v>
      </c>
      <c r="H62" s="3">
        <v>0</v>
      </c>
      <c r="I62" s="3">
        <v>1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4"/>
    </row>
    <row r="63" spans="1:34" x14ac:dyDescent="0.35">
      <c r="A63" s="19">
        <v>8</v>
      </c>
      <c r="B63" s="1" t="s">
        <v>20</v>
      </c>
      <c r="C63" s="1" t="s">
        <v>118</v>
      </c>
      <c r="D63" s="1">
        <v>2</v>
      </c>
      <c r="E63" s="1" t="s">
        <v>217</v>
      </c>
      <c r="F63" s="1" t="s">
        <v>243</v>
      </c>
      <c r="G63" s="1" t="s">
        <v>233</v>
      </c>
      <c r="H63" s="1">
        <v>0</v>
      </c>
      <c r="I63" s="1">
        <v>1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6"/>
    </row>
    <row r="64" spans="1:34" x14ac:dyDescent="0.35">
      <c r="A64" s="19">
        <v>8</v>
      </c>
      <c r="B64" s="1" t="s">
        <v>20</v>
      </c>
      <c r="C64" s="1" t="s">
        <v>118</v>
      </c>
      <c r="D64" s="1">
        <v>3</v>
      </c>
      <c r="E64" s="1" t="s">
        <v>218</v>
      </c>
      <c r="F64" s="1" t="s">
        <v>243</v>
      </c>
      <c r="G64" s="1" t="s">
        <v>233</v>
      </c>
      <c r="H64" s="1">
        <v>0</v>
      </c>
      <c r="I64" s="1">
        <v>1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6"/>
    </row>
    <row r="65" spans="1:34" x14ac:dyDescent="0.35">
      <c r="A65" s="19">
        <v>8</v>
      </c>
      <c r="B65" s="1" t="s">
        <v>20</v>
      </c>
      <c r="C65" s="1" t="s">
        <v>118</v>
      </c>
      <c r="D65" s="1">
        <v>4</v>
      </c>
      <c r="E65" s="1" t="s">
        <v>219</v>
      </c>
      <c r="F65" s="1"/>
      <c r="G65" s="1" t="s">
        <v>250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6">
        <v>0</v>
      </c>
    </row>
    <row r="66" spans="1:34" x14ac:dyDescent="0.35">
      <c r="A66" s="19">
        <v>8</v>
      </c>
      <c r="B66" s="1" t="s">
        <v>20</v>
      </c>
      <c r="C66" s="1" t="s">
        <v>118</v>
      </c>
      <c r="D66" s="1">
        <v>5</v>
      </c>
      <c r="E66" s="1" t="s">
        <v>220</v>
      </c>
      <c r="F66" s="1" t="s">
        <v>239</v>
      </c>
      <c r="G66" s="1" t="s">
        <v>233</v>
      </c>
      <c r="H66" s="1">
        <v>0</v>
      </c>
      <c r="I66" s="1">
        <v>999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6"/>
    </row>
    <row r="67" spans="1:34" x14ac:dyDescent="0.35">
      <c r="A67" s="19">
        <v>8</v>
      </c>
      <c r="B67" s="1" t="s">
        <v>20</v>
      </c>
      <c r="C67" s="1" t="s">
        <v>118</v>
      </c>
      <c r="D67" s="1">
        <v>6</v>
      </c>
      <c r="E67" s="1" t="s">
        <v>221</v>
      </c>
      <c r="F67" s="1" t="s">
        <v>239</v>
      </c>
      <c r="G67" s="1" t="s">
        <v>250</v>
      </c>
      <c r="H67" s="1">
        <v>0</v>
      </c>
      <c r="I67" s="1">
        <f t="shared" ref="I67:AH67" si="4">1.1*I68</f>
        <v>4.4869637933999999E-2</v>
      </c>
      <c r="J67" s="1">
        <f t="shared" si="4"/>
        <v>6.3874764656999997E-2</v>
      </c>
      <c r="K67" s="1">
        <f t="shared" si="4"/>
        <v>4.3972641702000007E-2</v>
      </c>
      <c r="L67" s="1">
        <f t="shared" si="4"/>
        <v>2.3005985310000001E-3</v>
      </c>
      <c r="M67" s="1">
        <f t="shared" si="4"/>
        <v>2.4317550774E-2</v>
      </c>
      <c r="N67" s="1">
        <f t="shared" si="4"/>
        <v>5.4339672321000003E-2</v>
      </c>
      <c r="O67" s="1">
        <f t="shared" si="4"/>
        <v>5.1461262369000005E-2</v>
      </c>
      <c r="P67" s="1">
        <f t="shared" si="4"/>
        <v>8.2904174961596994E-2</v>
      </c>
      <c r="Q67" s="1">
        <f t="shared" si="4"/>
        <v>4.2345039688973997E-2</v>
      </c>
      <c r="R67" s="1">
        <f t="shared" si="4"/>
        <v>3.1812837966854995E-2</v>
      </c>
      <c r="S67" s="1">
        <f t="shared" si="4"/>
        <v>3.0716575228746008E-2</v>
      </c>
      <c r="T67" s="1">
        <f t="shared" si="4"/>
        <v>4.3064961199524007E-2</v>
      </c>
      <c r="U67" s="1">
        <f t="shared" si="4"/>
        <v>5.0002802021600089E-2</v>
      </c>
      <c r="V67" s="1">
        <f t="shared" si="4"/>
        <v>5.1236189559129779E-2</v>
      </c>
      <c r="W67" s="1">
        <f t="shared" si="4"/>
        <v>5.2469577096659455E-2</v>
      </c>
      <c r="X67" s="1">
        <f t="shared" si="4"/>
        <v>5.3702964634189138E-2</v>
      </c>
      <c r="Y67" s="1">
        <f t="shared" si="4"/>
        <v>5.4936352171718821E-2</v>
      </c>
      <c r="Z67" s="1">
        <f t="shared" si="4"/>
        <v>5.6169739709248503E-2</v>
      </c>
      <c r="AA67" s="1">
        <f t="shared" si="4"/>
        <v>5.7403127246778186E-2</v>
      </c>
      <c r="AB67" s="1">
        <f t="shared" si="4"/>
        <v>5.8636514784307869E-2</v>
      </c>
      <c r="AC67" s="1">
        <f t="shared" si="4"/>
        <v>5.9869902321837545E-2</v>
      </c>
      <c r="AD67" s="1">
        <f t="shared" si="4"/>
        <v>6.1103289859367228E-2</v>
      </c>
      <c r="AE67" s="1">
        <f t="shared" si="4"/>
        <v>6.2336677396896911E-2</v>
      </c>
      <c r="AF67" s="1">
        <f t="shared" si="4"/>
        <v>6.3570064934426601E-2</v>
      </c>
      <c r="AG67" s="1">
        <f t="shared" si="4"/>
        <v>6.4803452471956277E-2</v>
      </c>
      <c r="AH67" s="1">
        <f t="shared" si="4"/>
        <v>6.6036840009485953E-2</v>
      </c>
    </row>
    <row r="68" spans="1:34" x14ac:dyDescent="0.35">
      <c r="A68" s="19">
        <v>8</v>
      </c>
      <c r="B68" s="1" t="s">
        <v>20</v>
      </c>
      <c r="C68" s="1" t="s">
        <v>118</v>
      </c>
      <c r="D68" s="1">
        <v>7</v>
      </c>
      <c r="E68" s="33" t="s">
        <v>222</v>
      </c>
      <c r="F68" s="1" t="s">
        <v>239</v>
      </c>
      <c r="G68" s="1" t="s">
        <v>250</v>
      </c>
      <c r="H68" s="1">
        <v>0</v>
      </c>
      <c r="I68" s="70">
        <v>4.0790579939999995E-2</v>
      </c>
      <c r="J68" s="70">
        <v>5.8067967869999994E-2</v>
      </c>
      <c r="K68" s="70">
        <v>3.9975128820000004E-2</v>
      </c>
      <c r="L68" s="70">
        <v>2.0914532100000001E-3</v>
      </c>
      <c r="M68" s="70">
        <v>2.2106864339999997E-2</v>
      </c>
      <c r="N68" s="70">
        <v>4.9399702109999999E-2</v>
      </c>
      <c r="O68" s="70">
        <v>4.6782965789999999E-2</v>
      </c>
      <c r="P68" s="70">
        <v>7.5367431783269989E-2</v>
      </c>
      <c r="Q68" s="70">
        <v>3.8495490626339994E-2</v>
      </c>
      <c r="R68" s="70">
        <v>2.8920761788049996E-2</v>
      </c>
      <c r="S68" s="70">
        <v>2.7924159298860003E-2</v>
      </c>
      <c r="T68" s="70">
        <v>3.914996472684E-2</v>
      </c>
      <c r="U68" s="70">
        <v>4.5457092746909171E-2</v>
      </c>
      <c r="V68" s="70">
        <v>4.6578354144663429E-2</v>
      </c>
      <c r="W68" s="70">
        <v>4.7699615542417681E-2</v>
      </c>
      <c r="X68" s="70">
        <v>4.8820876940171939E-2</v>
      </c>
      <c r="Y68" s="70">
        <v>4.9942138337926198E-2</v>
      </c>
      <c r="Z68" s="70">
        <v>5.1063399735680456E-2</v>
      </c>
      <c r="AA68" s="70">
        <v>5.2184661133434708E-2</v>
      </c>
      <c r="AB68" s="70">
        <v>5.3305922531188966E-2</v>
      </c>
      <c r="AC68" s="70">
        <v>5.4427183928943218E-2</v>
      </c>
      <c r="AD68" s="70">
        <v>5.5548445326697476E-2</v>
      </c>
      <c r="AE68" s="70">
        <v>5.6669706724451735E-2</v>
      </c>
      <c r="AF68" s="70">
        <v>5.7790968122205993E-2</v>
      </c>
      <c r="AG68" s="70">
        <v>5.8912229519960245E-2</v>
      </c>
      <c r="AH68" s="71">
        <v>6.0033490917714503E-2</v>
      </c>
    </row>
    <row r="69" spans="1:34" x14ac:dyDescent="0.35">
      <c r="A69" s="19">
        <v>8</v>
      </c>
      <c r="B69" s="1" t="s">
        <v>20</v>
      </c>
      <c r="C69" s="1" t="s">
        <v>118</v>
      </c>
      <c r="D69" s="1">
        <v>8</v>
      </c>
      <c r="E69" s="1" t="s">
        <v>223</v>
      </c>
      <c r="F69" s="1"/>
      <c r="G69" s="1" t="s">
        <v>233</v>
      </c>
      <c r="H69" s="1">
        <v>0</v>
      </c>
      <c r="I69" s="1">
        <v>0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6"/>
    </row>
    <row r="70" spans="1:34" x14ac:dyDescent="0.35">
      <c r="A70" s="19">
        <v>8</v>
      </c>
      <c r="B70" s="1" t="s">
        <v>20</v>
      </c>
      <c r="C70" s="1" t="s">
        <v>118</v>
      </c>
      <c r="D70" s="1">
        <v>9</v>
      </c>
      <c r="E70" s="1" t="s">
        <v>224</v>
      </c>
      <c r="F70" s="1" t="s">
        <v>242</v>
      </c>
      <c r="G70" s="1" t="s">
        <v>233</v>
      </c>
      <c r="H70" s="1">
        <v>0</v>
      </c>
      <c r="I70" s="1">
        <v>1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6"/>
    </row>
    <row r="71" spans="1:34" ht="15" thickBot="1" x14ac:dyDescent="0.4">
      <c r="A71" s="20">
        <v>8</v>
      </c>
      <c r="B71" s="8" t="s">
        <v>20</v>
      </c>
      <c r="C71" s="8" t="s">
        <v>118</v>
      </c>
      <c r="D71" s="8">
        <v>10</v>
      </c>
      <c r="E71" s="8" t="s">
        <v>225</v>
      </c>
      <c r="F71" s="8" t="s">
        <v>242</v>
      </c>
      <c r="G71" s="8" t="s">
        <v>233</v>
      </c>
      <c r="H71" s="8">
        <v>0</v>
      </c>
      <c r="I71" s="8">
        <v>1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9"/>
    </row>
    <row r="72" spans="1:34" x14ac:dyDescent="0.35">
      <c r="A72" s="18">
        <v>9</v>
      </c>
      <c r="B72" s="3" t="s">
        <v>21</v>
      </c>
      <c r="C72" s="3" t="s">
        <v>119</v>
      </c>
      <c r="D72" s="3">
        <v>1</v>
      </c>
      <c r="E72" s="3" t="s">
        <v>216</v>
      </c>
      <c r="F72" s="3" t="s">
        <v>243</v>
      </c>
      <c r="G72" s="3" t="s">
        <v>233</v>
      </c>
      <c r="H72" s="3">
        <v>0</v>
      </c>
      <c r="I72" s="3">
        <v>1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4"/>
    </row>
    <row r="73" spans="1:34" x14ac:dyDescent="0.35">
      <c r="A73" s="19">
        <v>9</v>
      </c>
      <c r="B73" s="1" t="s">
        <v>21</v>
      </c>
      <c r="C73" s="1" t="s">
        <v>119</v>
      </c>
      <c r="D73" s="1">
        <v>2</v>
      </c>
      <c r="E73" s="1" t="s">
        <v>217</v>
      </c>
      <c r="F73" s="1" t="s">
        <v>243</v>
      </c>
      <c r="G73" s="1" t="s">
        <v>233</v>
      </c>
      <c r="H73" s="1">
        <v>0</v>
      </c>
      <c r="I73" s="1">
        <v>1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6"/>
    </row>
    <row r="74" spans="1:34" x14ac:dyDescent="0.35">
      <c r="A74" s="19">
        <v>9</v>
      </c>
      <c r="B74" s="1" t="s">
        <v>21</v>
      </c>
      <c r="C74" s="1" t="s">
        <v>119</v>
      </c>
      <c r="D74" s="1">
        <v>3</v>
      </c>
      <c r="E74" s="1" t="s">
        <v>218</v>
      </c>
      <c r="F74" s="1" t="s">
        <v>243</v>
      </c>
      <c r="G74" s="1" t="s">
        <v>233</v>
      </c>
      <c r="H74" s="1">
        <v>0</v>
      </c>
      <c r="I74" s="1">
        <v>1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6"/>
    </row>
    <row r="75" spans="1:34" x14ac:dyDescent="0.35">
      <c r="A75" s="19">
        <v>9</v>
      </c>
      <c r="B75" s="1" t="s">
        <v>21</v>
      </c>
      <c r="C75" s="1" t="s">
        <v>119</v>
      </c>
      <c r="D75" s="1">
        <v>4</v>
      </c>
      <c r="E75" s="1" t="s">
        <v>219</v>
      </c>
      <c r="F75" s="1"/>
      <c r="G75" s="1" t="s">
        <v>250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6">
        <v>0</v>
      </c>
    </row>
    <row r="76" spans="1:34" x14ac:dyDescent="0.35">
      <c r="A76" s="19">
        <v>9</v>
      </c>
      <c r="B76" s="1" t="s">
        <v>21</v>
      </c>
      <c r="C76" s="1" t="s">
        <v>119</v>
      </c>
      <c r="D76" s="1">
        <v>5</v>
      </c>
      <c r="E76" s="1" t="s">
        <v>220</v>
      </c>
      <c r="F76" s="1" t="s">
        <v>239</v>
      </c>
      <c r="G76" s="1" t="s">
        <v>233</v>
      </c>
      <c r="H76" s="1">
        <v>0</v>
      </c>
      <c r="I76" s="1">
        <v>999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6"/>
    </row>
    <row r="77" spans="1:34" x14ac:dyDescent="0.35">
      <c r="A77" s="19">
        <v>9</v>
      </c>
      <c r="B77" s="1" t="s">
        <v>21</v>
      </c>
      <c r="C77" s="1" t="s">
        <v>119</v>
      </c>
      <c r="D77" s="1">
        <v>6</v>
      </c>
      <c r="E77" s="1" t="s">
        <v>221</v>
      </c>
      <c r="F77" s="1" t="s">
        <v>239</v>
      </c>
      <c r="G77" s="1" t="s">
        <v>250</v>
      </c>
      <c r="H77" s="1">
        <v>0</v>
      </c>
      <c r="I77" s="1">
        <f t="shared" ref="I77:AH77" si="5">1.1*I78</f>
        <v>0.51800462999999997</v>
      </c>
      <c r="J77" s="1">
        <f t="shared" si="5"/>
        <v>0.58265420400000012</v>
      </c>
      <c r="K77" s="1">
        <f t="shared" si="5"/>
        <v>0.33216133499999995</v>
      </c>
      <c r="L77" s="1">
        <f t="shared" si="5"/>
        <v>0.14489907300000002</v>
      </c>
      <c r="M77" s="1">
        <f t="shared" si="5"/>
        <v>0.12656358000000001</v>
      </c>
      <c r="N77" s="1">
        <f t="shared" si="5"/>
        <v>3.6062234999999998E-2</v>
      </c>
      <c r="O77" s="1">
        <f t="shared" si="5"/>
        <v>6.9051312000000004E-2</v>
      </c>
      <c r="P77" s="1">
        <f t="shared" si="5"/>
        <v>8.5571441999999998E-2</v>
      </c>
      <c r="Q77" s="1">
        <f t="shared" si="5"/>
        <v>6.2409500999999999E-2</v>
      </c>
      <c r="R77" s="1">
        <f t="shared" si="5"/>
        <v>3.0040065000000005E-2</v>
      </c>
      <c r="S77" s="1">
        <f t="shared" si="5"/>
        <v>5.3665919999999999E-2</v>
      </c>
      <c r="T77" s="1">
        <f t="shared" si="5"/>
        <v>6.2508600000000011E-2</v>
      </c>
      <c r="U77" s="1">
        <f t="shared" si="5"/>
        <v>7.2578845153631277E-2</v>
      </c>
      <c r="V77" s="1">
        <f t="shared" si="5"/>
        <v>7.9355521163489012E-2</v>
      </c>
      <c r="W77" s="1">
        <f t="shared" si="5"/>
        <v>8.6132197173346747E-2</v>
      </c>
      <c r="X77" s="1">
        <f t="shared" si="5"/>
        <v>9.2908873183204468E-2</v>
      </c>
      <c r="Y77" s="1">
        <f t="shared" si="5"/>
        <v>9.9685549193062203E-2</v>
      </c>
      <c r="Z77" s="1">
        <f t="shared" si="5"/>
        <v>0.10646222520291994</v>
      </c>
      <c r="AA77" s="1">
        <f t="shared" si="5"/>
        <v>0.11323890121277766</v>
      </c>
      <c r="AB77" s="1">
        <f t="shared" si="5"/>
        <v>0.12001557722263538</v>
      </c>
      <c r="AC77" s="1">
        <f t="shared" si="5"/>
        <v>0.12679225323249313</v>
      </c>
      <c r="AD77" s="1">
        <f t="shared" si="5"/>
        <v>0.13356892924235084</v>
      </c>
      <c r="AE77" s="1">
        <f t="shared" si="5"/>
        <v>0.1403456052522086</v>
      </c>
      <c r="AF77" s="1">
        <f t="shared" si="5"/>
        <v>0.14712228126206631</v>
      </c>
      <c r="AG77" s="1">
        <f t="shared" si="5"/>
        <v>0.15389895727192404</v>
      </c>
      <c r="AH77" s="1">
        <f t="shared" si="5"/>
        <v>0.16067563328178178</v>
      </c>
    </row>
    <row r="78" spans="1:34" x14ac:dyDescent="0.35">
      <c r="A78" s="19">
        <v>9</v>
      </c>
      <c r="B78" s="1" t="s">
        <v>21</v>
      </c>
      <c r="C78" s="1" t="s">
        <v>119</v>
      </c>
      <c r="D78" s="1">
        <v>7</v>
      </c>
      <c r="E78" s="33" t="s">
        <v>222</v>
      </c>
      <c r="F78" s="1" t="s">
        <v>239</v>
      </c>
      <c r="G78" s="1" t="s">
        <v>250</v>
      </c>
      <c r="H78" s="1">
        <v>0</v>
      </c>
      <c r="I78" s="70">
        <v>0.47091329999999998</v>
      </c>
      <c r="J78" s="70">
        <v>0.52968564000000007</v>
      </c>
      <c r="K78" s="70">
        <v>0.30196484999999995</v>
      </c>
      <c r="L78" s="70">
        <v>0.13172643000000001</v>
      </c>
      <c r="M78" s="70">
        <v>0.1150578</v>
      </c>
      <c r="N78" s="70">
        <v>3.2783849999999996E-2</v>
      </c>
      <c r="O78" s="70">
        <v>6.2773919999999997E-2</v>
      </c>
      <c r="P78" s="70">
        <v>7.7792219999999995E-2</v>
      </c>
      <c r="Q78" s="70">
        <v>5.6735909999999994E-2</v>
      </c>
      <c r="R78" s="70">
        <v>2.7309150000000001E-2</v>
      </c>
      <c r="S78" s="70">
        <v>4.8787199999999996E-2</v>
      </c>
      <c r="T78" s="70">
        <v>5.6826000000000002E-2</v>
      </c>
      <c r="U78" s="70">
        <v>6.5980768321482974E-2</v>
      </c>
      <c r="V78" s="70">
        <v>7.2141382875899093E-2</v>
      </c>
      <c r="W78" s="70">
        <v>7.8301997430315212E-2</v>
      </c>
      <c r="X78" s="70">
        <v>8.4462611984731331E-2</v>
      </c>
      <c r="Y78" s="70">
        <v>9.062322653914745E-2</v>
      </c>
      <c r="Z78" s="70">
        <v>9.6783841093563569E-2</v>
      </c>
      <c r="AA78" s="70">
        <v>0.10294445564797969</v>
      </c>
      <c r="AB78" s="70">
        <v>0.10910507020239579</v>
      </c>
      <c r="AC78" s="70">
        <v>0.11526568475681193</v>
      </c>
      <c r="AD78" s="70">
        <v>0.12142629931122803</v>
      </c>
      <c r="AE78" s="70">
        <v>0.12758691386564416</v>
      </c>
      <c r="AF78" s="70">
        <v>0.13374752842006027</v>
      </c>
      <c r="AG78" s="70">
        <v>0.1399081429744764</v>
      </c>
      <c r="AH78" s="71">
        <v>0.14606875752889251</v>
      </c>
    </row>
    <row r="79" spans="1:34" x14ac:dyDescent="0.35">
      <c r="A79" s="19">
        <v>9</v>
      </c>
      <c r="B79" s="1" t="s">
        <v>21</v>
      </c>
      <c r="C79" s="1" t="s">
        <v>119</v>
      </c>
      <c r="D79" s="1">
        <v>8</v>
      </c>
      <c r="E79" s="1" t="s">
        <v>223</v>
      </c>
      <c r="F79" s="1"/>
      <c r="G79" s="1" t="s">
        <v>233</v>
      </c>
      <c r="H79" s="1">
        <v>0</v>
      </c>
      <c r="I79" s="1">
        <v>0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6"/>
    </row>
    <row r="80" spans="1:34" x14ac:dyDescent="0.35">
      <c r="A80" s="19">
        <v>9</v>
      </c>
      <c r="B80" s="1" t="s">
        <v>21</v>
      </c>
      <c r="C80" s="1" t="s">
        <v>119</v>
      </c>
      <c r="D80" s="1">
        <v>9</v>
      </c>
      <c r="E80" s="1" t="s">
        <v>224</v>
      </c>
      <c r="F80" s="1" t="s">
        <v>242</v>
      </c>
      <c r="G80" s="1" t="s">
        <v>233</v>
      </c>
      <c r="H80" s="1">
        <v>0</v>
      </c>
      <c r="I80" s="1">
        <v>1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6"/>
    </row>
    <row r="81" spans="1:34" ht="15" thickBot="1" x14ac:dyDescent="0.4">
      <c r="A81" s="20">
        <v>9</v>
      </c>
      <c r="B81" s="8" t="s">
        <v>21</v>
      </c>
      <c r="C81" s="8" t="s">
        <v>119</v>
      </c>
      <c r="D81" s="8">
        <v>10</v>
      </c>
      <c r="E81" s="8" t="s">
        <v>225</v>
      </c>
      <c r="F81" s="8" t="s">
        <v>242</v>
      </c>
      <c r="G81" s="8" t="s">
        <v>233</v>
      </c>
      <c r="H81" s="8">
        <v>0</v>
      </c>
      <c r="I81" s="8">
        <v>1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9"/>
    </row>
    <row r="82" spans="1:34" x14ac:dyDescent="0.35">
      <c r="A82" s="18">
        <v>10</v>
      </c>
      <c r="B82" s="55" t="s">
        <v>258</v>
      </c>
      <c r="C82" s="52" t="s">
        <v>259</v>
      </c>
      <c r="D82" s="3">
        <v>1</v>
      </c>
      <c r="E82" s="3" t="s">
        <v>216</v>
      </c>
      <c r="F82" s="3" t="s">
        <v>243</v>
      </c>
      <c r="G82" s="3" t="s">
        <v>233</v>
      </c>
      <c r="H82" s="3">
        <v>0</v>
      </c>
      <c r="I82" s="3">
        <v>1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4"/>
    </row>
    <row r="83" spans="1:34" x14ac:dyDescent="0.35">
      <c r="A83" s="19">
        <v>10</v>
      </c>
      <c r="B83" s="55" t="s">
        <v>258</v>
      </c>
      <c r="C83" s="52" t="s">
        <v>259</v>
      </c>
      <c r="D83" s="1">
        <v>2</v>
      </c>
      <c r="E83" s="1" t="s">
        <v>217</v>
      </c>
      <c r="F83" s="1" t="s">
        <v>243</v>
      </c>
      <c r="G83" s="1" t="s">
        <v>233</v>
      </c>
      <c r="H83" s="1">
        <v>0</v>
      </c>
      <c r="I83" s="1">
        <v>1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6"/>
    </row>
    <row r="84" spans="1:34" x14ac:dyDescent="0.35">
      <c r="A84" s="19">
        <v>10</v>
      </c>
      <c r="B84" s="55" t="s">
        <v>258</v>
      </c>
      <c r="C84" s="52" t="s">
        <v>259</v>
      </c>
      <c r="D84" s="1">
        <v>3</v>
      </c>
      <c r="E84" s="1" t="s">
        <v>218</v>
      </c>
      <c r="F84" s="1" t="s">
        <v>243</v>
      </c>
      <c r="G84" s="1" t="s">
        <v>233</v>
      </c>
      <c r="H84" s="1">
        <v>0</v>
      </c>
      <c r="I84" s="1">
        <v>1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6"/>
    </row>
    <row r="85" spans="1:34" x14ac:dyDescent="0.35">
      <c r="A85" s="19">
        <v>10</v>
      </c>
      <c r="B85" s="55" t="s">
        <v>258</v>
      </c>
      <c r="C85" s="52" t="s">
        <v>259</v>
      </c>
      <c r="D85" s="1">
        <v>4</v>
      </c>
      <c r="E85" s="1" t="s">
        <v>219</v>
      </c>
      <c r="F85" s="1"/>
      <c r="G85" s="1" t="s">
        <v>250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6">
        <v>0</v>
      </c>
    </row>
    <row r="86" spans="1:34" x14ac:dyDescent="0.35">
      <c r="A86" s="19">
        <v>10</v>
      </c>
      <c r="B86" s="55" t="s">
        <v>258</v>
      </c>
      <c r="C86" s="52" t="s">
        <v>259</v>
      </c>
      <c r="D86" s="1">
        <v>5</v>
      </c>
      <c r="E86" s="1" t="s">
        <v>220</v>
      </c>
      <c r="F86" s="1" t="s">
        <v>239</v>
      </c>
      <c r="G86" s="1" t="s">
        <v>233</v>
      </c>
      <c r="H86" s="1">
        <v>0</v>
      </c>
      <c r="I86" s="1">
        <v>999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6"/>
    </row>
    <row r="87" spans="1:34" x14ac:dyDescent="0.35">
      <c r="A87" s="19">
        <v>10</v>
      </c>
      <c r="B87" s="55" t="s">
        <v>258</v>
      </c>
      <c r="C87" s="52" t="s">
        <v>259</v>
      </c>
      <c r="D87" s="1">
        <v>6</v>
      </c>
      <c r="E87" s="1" t="s">
        <v>221</v>
      </c>
      <c r="F87" s="1" t="s">
        <v>239</v>
      </c>
      <c r="G87" s="1" t="s">
        <v>250</v>
      </c>
      <c r="H87" s="1">
        <v>0</v>
      </c>
      <c r="I87" s="1">
        <f t="shared" ref="I87:AH87" si="6">1.1*I88</f>
        <v>1.6881352389000005E-2</v>
      </c>
      <c r="J87" s="1">
        <f t="shared" si="6"/>
        <v>1.2881476079999999E-2</v>
      </c>
      <c r="K87" s="1">
        <f t="shared" si="6"/>
        <v>7.2823608E-5</v>
      </c>
      <c r="L87" s="1">
        <f t="shared" si="6"/>
        <v>2.2827596219999993E-3</v>
      </c>
      <c r="M87" s="1">
        <f t="shared" si="6"/>
        <v>5.578287066000001E-3</v>
      </c>
      <c r="N87" s="1">
        <f t="shared" si="6"/>
        <v>1.2673049103000003E-2</v>
      </c>
      <c r="O87" s="1">
        <f t="shared" si="6"/>
        <v>7.6901913000000012E-5</v>
      </c>
      <c r="P87" s="1">
        <f t="shared" si="6"/>
        <v>1.2379718023200001E-4</v>
      </c>
      <c r="Q87" s="1">
        <f t="shared" si="6"/>
        <v>7.0457278735799999E-3</v>
      </c>
      <c r="R87" s="1">
        <f t="shared" si="6"/>
        <v>2.0736306876878999E-2</v>
      </c>
      <c r="S87" s="1">
        <f t="shared" si="6"/>
        <v>5.4056953328399998E-3</v>
      </c>
      <c r="T87" s="1">
        <f t="shared" si="6"/>
        <v>1.5537337414830002E-2</v>
      </c>
      <c r="U87" s="1">
        <f t="shared" si="6"/>
        <v>1.8040429738158718E-2</v>
      </c>
      <c r="V87" s="1">
        <f t="shared" si="6"/>
        <v>1.9724861987739473E-2</v>
      </c>
      <c r="W87" s="1">
        <f t="shared" si="6"/>
        <v>2.1409294237320221E-2</v>
      </c>
      <c r="X87" s="1">
        <f t="shared" si="6"/>
        <v>2.3093726486900976E-2</v>
      </c>
      <c r="Y87" s="1">
        <f t="shared" si="6"/>
        <v>2.4778158736481724E-2</v>
      </c>
      <c r="Z87" s="1">
        <f t="shared" si="6"/>
        <v>2.6462590986062479E-2</v>
      </c>
      <c r="AA87" s="1">
        <f t="shared" si="6"/>
        <v>2.8147023235643231E-2</v>
      </c>
      <c r="AB87" s="1">
        <f t="shared" si="6"/>
        <v>2.9831455485223982E-2</v>
      </c>
      <c r="AC87" s="1">
        <f t="shared" si="6"/>
        <v>3.1515887734804737E-2</v>
      </c>
      <c r="AD87" s="1">
        <f t="shared" si="6"/>
        <v>3.3200319984385489E-2</v>
      </c>
      <c r="AE87" s="1">
        <f t="shared" si="6"/>
        <v>3.488475223396624E-2</v>
      </c>
      <c r="AF87" s="1">
        <f t="shared" si="6"/>
        <v>3.6569184483546985E-2</v>
      </c>
      <c r="AG87" s="1">
        <f t="shared" si="6"/>
        <v>3.8253616733127743E-2</v>
      </c>
      <c r="AH87" s="1">
        <f t="shared" si="6"/>
        <v>3.9938048982708495E-2</v>
      </c>
    </row>
    <row r="88" spans="1:34" x14ac:dyDescent="0.35">
      <c r="A88" s="19">
        <v>10</v>
      </c>
      <c r="B88" s="55" t="s">
        <v>258</v>
      </c>
      <c r="C88" s="52" t="s">
        <v>259</v>
      </c>
      <c r="D88" s="1">
        <v>7</v>
      </c>
      <c r="E88" s="33" t="s">
        <v>222</v>
      </c>
      <c r="F88" s="1" t="s">
        <v>239</v>
      </c>
      <c r="G88" s="1" t="s">
        <v>250</v>
      </c>
      <c r="H88" s="1">
        <v>0</v>
      </c>
      <c r="I88" s="70">
        <v>1.5346683990000002E-2</v>
      </c>
      <c r="J88" s="70">
        <v>1.1710432799999998E-2</v>
      </c>
      <c r="K88" s="70">
        <v>6.6203279999999995E-5</v>
      </c>
      <c r="L88" s="70">
        <v>2.0752360199999993E-3</v>
      </c>
      <c r="M88" s="70">
        <v>5.0711700600000005E-3</v>
      </c>
      <c r="N88" s="70">
        <v>1.1520953730000002E-2</v>
      </c>
      <c r="O88" s="70">
        <v>6.9910830000000004E-5</v>
      </c>
      <c r="P88" s="70">
        <v>1.1254289112E-4</v>
      </c>
      <c r="Q88" s="70">
        <v>6.4052071577999992E-3</v>
      </c>
      <c r="R88" s="70">
        <v>1.8851188069889998E-2</v>
      </c>
      <c r="S88" s="70">
        <v>4.9142684843999996E-3</v>
      </c>
      <c r="T88" s="70">
        <v>1.41248521953E-2</v>
      </c>
      <c r="U88" s="70">
        <v>1.640039067105338E-2</v>
      </c>
      <c r="V88" s="70">
        <v>1.7931692716126792E-2</v>
      </c>
      <c r="W88" s="70">
        <v>1.9462994761200201E-2</v>
      </c>
      <c r="X88" s="70">
        <v>2.0994296806273613E-2</v>
      </c>
      <c r="Y88" s="70">
        <v>2.2525598851347022E-2</v>
      </c>
      <c r="Z88" s="70">
        <v>2.4056900896420434E-2</v>
      </c>
      <c r="AA88" s="70">
        <v>2.5588202941493846E-2</v>
      </c>
      <c r="AB88" s="70">
        <v>2.7119504986567254E-2</v>
      </c>
      <c r="AC88" s="70">
        <v>2.8650807031640666E-2</v>
      </c>
      <c r="AD88" s="70">
        <v>3.0182109076714078E-2</v>
      </c>
      <c r="AE88" s="70">
        <v>3.1713411121787487E-2</v>
      </c>
      <c r="AF88" s="70">
        <v>3.3244713166860895E-2</v>
      </c>
      <c r="AG88" s="70">
        <v>3.4776015211934311E-2</v>
      </c>
      <c r="AH88" s="71">
        <v>3.6307317257007719E-2</v>
      </c>
    </row>
    <row r="89" spans="1:34" x14ac:dyDescent="0.35">
      <c r="A89" s="19">
        <v>10</v>
      </c>
      <c r="B89" s="55" t="s">
        <v>258</v>
      </c>
      <c r="C89" s="52" t="s">
        <v>259</v>
      </c>
      <c r="D89" s="1">
        <v>8</v>
      </c>
      <c r="E89" s="1" t="s">
        <v>223</v>
      </c>
      <c r="F89" s="1"/>
      <c r="G89" s="1" t="s">
        <v>233</v>
      </c>
      <c r="H89" s="1">
        <v>0</v>
      </c>
      <c r="I89" s="1">
        <v>0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6"/>
    </row>
    <row r="90" spans="1:34" x14ac:dyDescent="0.35">
      <c r="A90" s="19">
        <v>10</v>
      </c>
      <c r="B90" s="55" t="s">
        <v>258</v>
      </c>
      <c r="C90" s="52" t="s">
        <v>259</v>
      </c>
      <c r="D90" s="1">
        <v>9</v>
      </c>
      <c r="E90" s="1" t="s">
        <v>224</v>
      </c>
      <c r="F90" s="1" t="s">
        <v>242</v>
      </c>
      <c r="G90" s="1" t="s">
        <v>233</v>
      </c>
      <c r="H90" s="1">
        <v>0</v>
      </c>
      <c r="I90" s="1">
        <v>1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6"/>
    </row>
    <row r="91" spans="1:34" ht="15" thickBot="1" x14ac:dyDescent="0.4">
      <c r="A91" s="20">
        <v>10</v>
      </c>
      <c r="B91" s="55" t="s">
        <v>258</v>
      </c>
      <c r="C91" s="52" t="s">
        <v>259</v>
      </c>
      <c r="D91" s="8">
        <v>10</v>
      </c>
      <c r="E91" s="8" t="s">
        <v>225</v>
      </c>
      <c r="F91" s="8" t="s">
        <v>242</v>
      </c>
      <c r="G91" s="8" t="s">
        <v>233</v>
      </c>
      <c r="H91" s="8">
        <v>0</v>
      </c>
      <c r="I91" s="8">
        <v>1</v>
      </c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9"/>
    </row>
    <row r="92" spans="1:34" x14ac:dyDescent="0.35">
      <c r="A92" s="18">
        <v>11</v>
      </c>
      <c r="B92" s="3" t="s">
        <v>22</v>
      </c>
      <c r="C92" s="3" t="s">
        <v>120</v>
      </c>
      <c r="D92" s="3">
        <v>1</v>
      </c>
      <c r="E92" s="3" t="s">
        <v>216</v>
      </c>
      <c r="F92" s="3" t="s">
        <v>243</v>
      </c>
      <c r="G92" s="3" t="s">
        <v>233</v>
      </c>
      <c r="H92" s="3">
        <v>0</v>
      </c>
      <c r="I92" s="3">
        <v>1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4"/>
    </row>
    <row r="93" spans="1:34" x14ac:dyDescent="0.35">
      <c r="A93" s="19">
        <v>11</v>
      </c>
      <c r="B93" s="1" t="s">
        <v>22</v>
      </c>
      <c r="C93" s="1" t="s">
        <v>120</v>
      </c>
      <c r="D93" s="1">
        <v>2</v>
      </c>
      <c r="E93" s="1" t="s">
        <v>217</v>
      </c>
      <c r="F93" s="1" t="s">
        <v>243</v>
      </c>
      <c r="G93" s="1" t="s">
        <v>233</v>
      </c>
      <c r="H93" s="1">
        <v>0</v>
      </c>
      <c r="I93" s="1">
        <v>1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6"/>
    </row>
    <row r="94" spans="1:34" x14ac:dyDescent="0.35">
      <c r="A94" s="19">
        <v>11</v>
      </c>
      <c r="B94" s="1" t="s">
        <v>22</v>
      </c>
      <c r="C94" s="1" t="s">
        <v>120</v>
      </c>
      <c r="D94" s="1">
        <v>3</v>
      </c>
      <c r="E94" s="1" t="s">
        <v>218</v>
      </c>
      <c r="F94" s="1" t="s">
        <v>243</v>
      </c>
      <c r="G94" s="1" t="s">
        <v>233</v>
      </c>
      <c r="H94" s="1">
        <v>0</v>
      </c>
      <c r="I94" s="1">
        <v>1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6"/>
    </row>
    <row r="95" spans="1:34" x14ac:dyDescent="0.35">
      <c r="A95" s="19">
        <v>11</v>
      </c>
      <c r="B95" s="1" t="s">
        <v>22</v>
      </c>
      <c r="C95" s="1" t="s">
        <v>120</v>
      </c>
      <c r="D95" s="1">
        <v>4</v>
      </c>
      <c r="E95" s="1" t="s">
        <v>219</v>
      </c>
      <c r="F95" s="1"/>
      <c r="G95" s="1" t="s">
        <v>250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6">
        <v>0</v>
      </c>
    </row>
    <row r="96" spans="1:34" x14ac:dyDescent="0.35">
      <c r="A96" s="19">
        <v>11</v>
      </c>
      <c r="B96" s="1" t="s">
        <v>22</v>
      </c>
      <c r="C96" s="1" t="s">
        <v>120</v>
      </c>
      <c r="D96" s="1">
        <v>5</v>
      </c>
      <c r="E96" s="1" t="s">
        <v>220</v>
      </c>
      <c r="F96" s="1" t="s">
        <v>239</v>
      </c>
      <c r="G96" s="1" t="s">
        <v>233</v>
      </c>
      <c r="H96" s="1">
        <v>0</v>
      </c>
      <c r="I96" s="1">
        <v>999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6"/>
    </row>
    <row r="97" spans="1:34" x14ac:dyDescent="0.35">
      <c r="A97" s="19">
        <v>11</v>
      </c>
      <c r="B97" s="1" t="s">
        <v>22</v>
      </c>
      <c r="C97" s="1" t="s">
        <v>120</v>
      </c>
      <c r="D97" s="1">
        <v>6</v>
      </c>
      <c r="E97" s="1" t="s">
        <v>221</v>
      </c>
      <c r="F97" s="1" t="s">
        <v>239</v>
      </c>
      <c r="G97" s="1" t="s">
        <v>250</v>
      </c>
      <c r="H97" s="1">
        <v>0</v>
      </c>
      <c r="I97" s="1">
        <f t="shared" ref="I97:AH97" si="7">1.1*I98</f>
        <v>4.3723350000000012E-6</v>
      </c>
      <c r="J97" s="1">
        <f t="shared" si="7"/>
        <v>1.0882377000000001E-5</v>
      </c>
      <c r="K97" s="1">
        <f t="shared" si="7"/>
        <v>3.6546840000000003E-6</v>
      </c>
      <c r="L97" s="1">
        <f t="shared" si="7"/>
        <v>5.7553650000000001E-6</v>
      </c>
      <c r="M97" s="1">
        <f t="shared" si="7"/>
        <v>6.7332869999999998E-6</v>
      </c>
      <c r="N97" s="1">
        <f t="shared" si="7"/>
        <v>4.4311410000000003E-6</v>
      </c>
      <c r="O97" s="1">
        <f t="shared" si="7"/>
        <v>4.3712460000000006E-6</v>
      </c>
      <c r="P97" s="1">
        <f t="shared" si="7"/>
        <v>2.5066384200000004E-5</v>
      </c>
      <c r="Q97" s="1">
        <f t="shared" si="7"/>
        <v>4.3567949700000005E-6</v>
      </c>
      <c r="R97" s="1">
        <f t="shared" si="7"/>
        <v>0</v>
      </c>
      <c r="S97" s="1">
        <f t="shared" si="7"/>
        <v>0</v>
      </c>
      <c r="T97" s="1">
        <f t="shared" si="7"/>
        <v>0</v>
      </c>
      <c r="U97" s="1">
        <f t="shared" si="7"/>
        <v>0</v>
      </c>
      <c r="V97" s="1">
        <f t="shared" si="7"/>
        <v>0</v>
      </c>
      <c r="W97" s="1">
        <f t="shared" si="7"/>
        <v>0</v>
      </c>
      <c r="X97" s="1">
        <f t="shared" si="7"/>
        <v>0</v>
      </c>
      <c r="Y97" s="1">
        <f t="shared" si="7"/>
        <v>0</v>
      </c>
      <c r="Z97" s="1">
        <f t="shared" si="7"/>
        <v>0</v>
      </c>
      <c r="AA97" s="1">
        <f t="shared" si="7"/>
        <v>0</v>
      </c>
      <c r="AB97" s="1">
        <f t="shared" si="7"/>
        <v>0</v>
      </c>
      <c r="AC97" s="1">
        <f t="shared" si="7"/>
        <v>0</v>
      </c>
      <c r="AD97" s="1">
        <f t="shared" si="7"/>
        <v>0</v>
      </c>
      <c r="AE97" s="1">
        <f t="shared" si="7"/>
        <v>0</v>
      </c>
      <c r="AF97" s="1">
        <f t="shared" si="7"/>
        <v>0</v>
      </c>
      <c r="AG97" s="1">
        <f t="shared" si="7"/>
        <v>0</v>
      </c>
      <c r="AH97" s="1">
        <f t="shared" si="7"/>
        <v>0</v>
      </c>
    </row>
    <row r="98" spans="1:34" x14ac:dyDescent="0.35">
      <c r="A98" s="19">
        <v>11</v>
      </c>
      <c r="B98" s="1" t="s">
        <v>22</v>
      </c>
      <c r="C98" s="1" t="s">
        <v>120</v>
      </c>
      <c r="D98" s="1">
        <v>7</v>
      </c>
      <c r="E98" s="33" t="s">
        <v>222</v>
      </c>
      <c r="F98" s="1" t="s">
        <v>239</v>
      </c>
      <c r="G98" s="1" t="s">
        <v>250</v>
      </c>
      <c r="H98" s="1">
        <v>0</v>
      </c>
      <c r="I98" s="70">
        <v>3.9748500000000006E-6</v>
      </c>
      <c r="J98" s="70">
        <v>9.8930699999999998E-6</v>
      </c>
      <c r="K98" s="70">
        <v>3.32244E-6</v>
      </c>
      <c r="L98" s="70">
        <v>5.2321499999999995E-6</v>
      </c>
      <c r="M98" s="70">
        <v>6.1211699999999995E-6</v>
      </c>
      <c r="N98" s="70">
        <v>4.0283099999999999E-6</v>
      </c>
      <c r="O98" s="70">
        <v>3.9738599999999999E-6</v>
      </c>
      <c r="P98" s="70">
        <v>2.2787622000000002E-5</v>
      </c>
      <c r="Q98" s="70">
        <v>3.9607226999999998E-6</v>
      </c>
      <c r="R98" s="70">
        <v>0</v>
      </c>
      <c r="S98" s="70">
        <v>0</v>
      </c>
      <c r="T98" s="70">
        <v>0</v>
      </c>
      <c r="U98" s="70">
        <v>0</v>
      </c>
      <c r="V98" s="70">
        <v>0</v>
      </c>
      <c r="W98" s="70">
        <v>0</v>
      </c>
      <c r="X98" s="70">
        <v>0</v>
      </c>
      <c r="Y98" s="70">
        <v>0</v>
      </c>
      <c r="Z98" s="70">
        <v>0</v>
      </c>
      <c r="AA98" s="70">
        <v>0</v>
      </c>
      <c r="AB98" s="70">
        <v>0</v>
      </c>
      <c r="AC98" s="70">
        <v>0</v>
      </c>
      <c r="AD98" s="70">
        <v>0</v>
      </c>
      <c r="AE98" s="70">
        <v>0</v>
      </c>
      <c r="AF98" s="70">
        <v>0</v>
      </c>
      <c r="AG98" s="70">
        <v>0</v>
      </c>
      <c r="AH98" s="71">
        <v>0</v>
      </c>
    </row>
    <row r="99" spans="1:34" x14ac:dyDescent="0.35">
      <c r="A99" s="19">
        <v>11</v>
      </c>
      <c r="B99" s="1" t="s">
        <v>22</v>
      </c>
      <c r="C99" s="1" t="s">
        <v>120</v>
      </c>
      <c r="D99" s="1">
        <v>8</v>
      </c>
      <c r="E99" s="1" t="s">
        <v>223</v>
      </c>
      <c r="F99" s="1"/>
      <c r="G99" s="1" t="s">
        <v>233</v>
      </c>
      <c r="H99" s="1">
        <v>0</v>
      </c>
      <c r="I99" s="1">
        <v>0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6"/>
    </row>
    <row r="100" spans="1:34" x14ac:dyDescent="0.35">
      <c r="A100" s="19">
        <v>11</v>
      </c>
      <c r="B100" s="1" t="s">
        <v>22</v>
      </c>
      <c r="C100" s="1" t="s">
        <v>120</v>
      </c>
      <c r="D100" s="1">
        <v>9</v>
      </c>
      <c r="E100" s="1" t="s">
        <v>224</v>
      </c>
      <c r="F100" s="1" t="s">
        <v>242</v>
      </c>
      <c r="G100" s="1" t="s">
        <v>233</v>
      </c>
      <c r="H100" s="1">
        <v>0</v>
      </c>
      <c r="I100" s="1">
        <v>1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6"/>
    </row>
    <row r="101" spans="1:34" ht="15" thickBot="1" x14ac:dyDescent="0.4">
      <c r="A101" s="20">
        <v>11</v>
      </c>
      <c r="B101" s="8" t="s">
        <v>22</v>
      </c>
      <c r="C101" s="8" t="s">
        <v>120</v>
      </c>
      <c r="D101" s="8">
        <v>10</v>
      </c>
      <c r="E101" s="8" t="s">
        <v>225</v>
      </c>
      <c r="F101" s="8" t="s">
        <v>242</v>
      </c>
      <c r="G101" s="8" t="s">
        <v>233</v>
      </c>
      <c r="H101" s="8">
        <v>0</v>
      </c>
      <c r="I101" s="8">
        <v>1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9"/>
    </row>
    <row r="102" spans="1:34" x14ac:dyDescent="0.35">
      <c r="A102" s="18">
        <v>12</v>
      </c>
      <c r="B102" s="3" t="s">
        <v>23</v>
      </c>
      <c r="C102" s="3" t="s">
        <v>121</v>
      </c>
      <c r="D102" s="3">
        <v>1</v>
      </c>
      <c r="E102" s="3" t="s">
        <v>216</v>
      </c>
      <c r="F102" s="3" t="s">
        <v>243</v>
      </c>
      <c r="G102" s="3" t="s">
        <v>233</v>
      </c>
      <c r="H102" s="3">
        <v>0</v>
      </c>
      <c r="I102" s="3">
        <v>1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4"/>
    </row>
    <row r="103" spans="1:34" x14ac:dyDescent="0.35">
      <c r="A103" s="19">
        <v>12</v>
      </c>
      <c r="B103" s="1" t="s">
        <v>23</v>
      </c>
      <c r="C103" s="1" t="s">
        <v>121</v>
      </c>
      <c r="D103" s="1">
        <v>2</v>
      </c>
      <c r="E103" s="1" t="s">
        <v>217</v>
      </c>
      <c r="F103" s="1" t="s">
        <v>243</v>
      </c>
      <c r="G103" s="1" t="s">
        <v>233</v>
      </c>
      <c r="H103" s="1">
        <v>0</v>
      </c>
      <c r="I103" s="1">
        <v>1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6"/>
    </row>
    <row r="104" spans="1:34" x14ac:dyDescent="0.35">
      <c r="A104" s="19">
        <v>12</v>
      </c>
      <c r="B104" s="1" t="s">
        <v>23</v>
      </c>
      <c r="C104" s="1" t="s">
        <v>121</v>
      </c>
      <c r="D104" s="1">
        <v>3</v>
      </c>
      <c r="E104" s="1" t="s">
        <v>218</v>
      </c>
      <c r="F104" s="1" t="s">
        <v>243</v>
      </c>
      <c r="G104" s="1" t="s">
        <v>233</v>
      </c>
      <c r="H104" s="1">
        <v>0</v>
      </c>
      <c r="I104" s="1">
        <v>1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6"/>
    </row>
    <row r="105" spans="1:34" x14ac:dyDescent="0.35">
      <c r="A105" s="19">
        <v>12</v>
      </c>
      <c r="B105" s="1" t="s">
        <v>23</v>
      </c>
      <c r="C105" s="1" t="s">
        <v>121</v>
      </c>
      <c r="D105" s="1">
        <v>4</v>
      </c>
      <c r="E105" s="1" t="s">
        <v>219</v>
      </c>
      <c r="F105" s="1"/>
      <c r="G105" s="1" t="s">
        <v>250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6">
        <v>0</v>
      </c>
    </row>
    <row r="106" spans="1:34" x14ac:dyDescent="0.35">
      <c r="A106" s="19">
        <v>12</v>
      </c>
      <c r="B106" s="1" t="s">
        <v>23</v>
      </c>
      <c r="C106" s="1" t="s">
        <v>121</v>
      </c>
      <c r="D106" s="1">
        <v>5</v>
      </c>
      <c r="E106" s="1" t="s">
        <v>220</v>
      </c>
      <c r="F106" s="1" t="s">
        <v>239</v>
      </c>
      <c r="G106" s="1" t="s">
        <v>233</v>
      </c>
      <c r="H106" s="1">
        <v>0</v>
      </c>
      <c r="I106" s="1">
        <v>999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6"/>
    </row>
    <row r="107" spans="1:34" x14ac:dyDescent="0.35">
      <c r="A107" s="19">
        <v>12</v>
      </c>
      <c r="B107" s="1" t="s">
        <v>23</v>
      </c>
      <c r="C107" s="1" t="s">
        <v>121</v>
      </c>
      <c r="D107" s="1">
        <v>6</v>
      </c>
      <c r="E107" s="1" t="s">
        <v>221</v>
      </c>
      <c r="F107" s="1" t="s">
        <v>239</v>
      </c>
      <c r="G107" s="1" t="s">
        <v>250</v>
      </c>
      <c r="H107" s="1">
        <v>0</v>
      </c>
      <c r="I107" s="1">
        <f t="shared" ref="I107:AH107" si="8">1.1*I108</f>
        <v>0</v>
      </c>
      <c r="J107" s="1">
        <f t="shared" si="8"/>
        <v>1.8513E-5</v>
      </c>
      <c r="K107" s="1">
        <f t="shared" si="8"/>
        <v>1.8216792000000003E-5</v>
      </c>
      <c r="L107" s="1">
        <f t="shared" si="8"/>
        <v>0</v>
      </c>
      <c r="M107" s="1">
        <f t="shared" si="8"/>
        <v>0</v>
      </c>
      <c r="N107" s="1">
        <f t="shared" si="8"/>
        <v>0</v>
      </c>
      <c r="O107" s="1">
        <f t="shared" si="8"/>
        <v>0</v>
      </c>
      <c r="P107" s="1">
        <f t="shared" si="8"/>
        <v>0</v>
      </c>
      <c r="Q107" s="1">
        <f t="shared" si="8"/>
        <v>0</v>
      </c>
      <c r="R107" s="1">
        <f t="shared" si="8"/>
        <v>3.7331434583493188E-2</v>
      </c>
      <c r="S107" s="1">
        <f t="shared" si="8"/>
        <v>3.6494958025767882E-2</v>
      </c>
      <c r="T107" s="1">
        <f t="shared" si="8"/>
        <v>5.2644792430135298E-2</v>
      </c>
      <c r="U107" s="1">
        <f t="shared" si="8"/>
        <v>6.1125960874693235E-2</v>
      </c>
      <c r="V107" s="1">
        <f t="shared" si="8"/>
        <v>6.6833282777683176E-2</v>
      </c>
      <c r="W107" s="1">
        <f t="shared" si="8"/>
        <v>7.2540604680673137E-2</v>
      </c>
      <c r="X107" s="1">
        <f t="shared" si="8"/>
        <v>7.8247926583663086E-2</v>
      </c>
      <c r="Y107" s="1">
        <f t="shared" si="8"/>
        <v>8.3955248486653034E-2</v>
      </c>
      <c r="Z107" s="1">
        <f t="shared" si="8"/>
        <v>8.9662570389642982E-2</v>
      </c>
      <c r="AA107" s="1">
        <f t="shared" si="8"/>
        <v>9.536989229263293E-2</v>
      </c>
      <c r="AB107" s="1">
        <f t="shared" si="8"/>
        <v>0.10107721419562288</v>
      </c>
      <c r="AC107" s="1">
        <f t="shared" si="8"/>
        <v>0.10678453609861284</v>
      </c>
      <c r="AD107" s="1">
        <f t="shared" si="8"/>
        <v>0.11249185800160279</v>
      </c>
      <c r="AE107" s="1">
        <f t="shared" si="8"/>
        <v>0.11819917990459272</v>
      </c>
      <c r="AF107" s="1">
        <f t="shared" si="8"/>
        <v>0.12390650180758268</v>
      </c>
      <c r="AG107" s="1">
        <f t="shared" si="8"/>
        <v>0.12961382371057262</v>
      </c>
      <c r="AH107" s="1">
        <f t="shared" si="8"/>
        <v>0.13532114561356257</v>
      </c>
    </row>
    <row r="108" spans="1:34" x14ac:dyDescent="0.35">
      <c r="A108" s="19">
        <v>12</v>
      </c>
      <c r="B108" s="1" t="s">
        <v>23</v>
      </c>
      <c r="C108" s="1" t="s">
        <v>121</v>
      </c>
      <c r="D108" s="1">
        <v>7</v>
      </c>
      <c r="E108" s="33" t="s">
        <v>222</v>
      </c>
      <c r="F108" s="1" t="s">
        <v>239</v>
      </c>
      <c r="G108" s="1" t="s">
        <v>250</v>
      </c>
      <c r="H108" s="1">
        <v>0</v>
      </c>
      <c r="I108" s="70">
        <v>0</v>
      </c>
      <c r="J108" s="70">
        <v>1.683E-5</v>
      </c>
      <c r="K108" s="70">
        <v>1.656072E-5</v>
      </c>
      <c r="L108" s="70">
        <v>0</v>
      </c>
      <c r="M108" s="70">
        <v>0</v>
      </c>
      <c r="N108" s="70">
        <v>0</v>
      </c>
      <c r="O108" s="70">
        <v>0</v>
      </c>
      <c r="P108" s="70">
        <v>0</v>
      </c>
      <c r="Q108" s="70">
        <v>0</v>
      </c>
      <c r="R108" s="70">
        <v>3.3937667803175621E-2</v>
      </c>
      <c r="S108" s="70">
        <v>3.3177234568879888E-2</v>
      </c>
      <c r="T108" s="70">
        <v>4.7858902209213905E-2</v>
      </c>
      <c r="U108" s="70">
        <v>5.5569055340630211E-2</v>
      </c>
      <c r="V108" s="70">
        <v>6.0757529797893797E-2</v>
      </c>
      <c r="W108" s="70">
        <v>6.5946004255157398E-2</v>
      </c>
      <c r="X108" s="70">
        <v>7.1134478712420984E-2</v>
      </c>
      <c r="Y108" s="70">
        <v>7.6322953169684571E-2</v>
      </c>
      <c r="Z108" s="70">
        <v>8.1511427626948157E-2</v>
      </c>
      <c r="AA108" s="70">
        <v>8.6699902084211744E-2</v>
      </c>
      <c r="AB108" s="70">
        <v>9.1888376541475331E-2</v>
      </c>
      <c r="AC108" s="70">
        <v>9.7076850998738931E-2</v>
      </c>
      <c r="AD108" s="70">
        <v>0.10226532545600253</v>
      </c>
      <c r="AE108" s="70">
        <v>0.1074537999132661</v>
      </c>
      <c r="AF108" s="70">
        <v>0.1126422743705297</v>
      </c>
      <c r="AG108" s="70">
        <v>0.11783074882779329</v>
      </c>
      <c r="AH108" s="71">
        <v>0.12301922328505688</v>
      </c>
    </row>
    <row r="109" spans="1:34" x14ac:dyDescent="0.35">
      <c r="A109" s="19">
        <v>12</v>
      </c>
      <c r="B109" s="1" t="s">
        <v>23</v>
      </c>
      <c r="C109" s="1" t="s">
        <v>121</v>
      </c>
      <c r="D109" s="1">
        <v>8</v>
      </c>
      <c r="E109" s="1" t="s">
        <v>223</v>
      </c>
      <c r="F109" s="1"/>
      <c r="G109" s="1" t="s">
        <v>233</v>
      </c>
      <c r="H109" s="1">
        <v>0</v>
      </c>
      <c r="I109" s="1">
        <v>0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6"/>
    </row>
    <row r="110" spans="1:34" x14ac:dyDescent="0.35">
      <c r="A110" s="19">
        <v>12</v>
      </c>
      <c r="B110" s="1" t="s">
        <v>23</v>
      </c>
      <c r="C110" s="1" t="s">
        <v>121</v>
      </c>
      <c r="D110" s="1">
        <v>9</v>
      </c>
      <c r="E110" s="1" t="s">
        <v>224</v>
      </c>
      <c r="F110" s="1" t="s">
        <v>242</v>
      </c>
      <c r="G110" s="1" t="s">
        <v>233</v>
      </c>
      <c r="H110" s="1">
        <v>0</v>
      </c>
      <c r="I110" s="1">
        <v>1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6"/>
    </row>
    <row r="111" spans="1:34" ht="15" thickBot="1" x14ac:dyDescent="0.4">
      <c r="A111" s="20">
        <v>12</v>
      </c>
      <c r="B111" s="8" t="s">
        <v>23</v>
      </c>
      <c r="C111" s="8" t="s">
        <v>121</v>
      </c>
      <c r="D111" s="8">
        <v>10</v>
      </c>
      <c r="E111" s="8" t="s">
        <v>225</v>
      </c>
      <c r="F111" s="8" t="s">
        <v>242</v>
      </c>
      <c r="G111" s="8" t="s">
        <v>233</v>
      </c>
      <c r="H111" s="8">
        <v>0</v>
      </c>
      <c r="I111" s="8">
        <v>1</v>
      </c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9"/>
    </row>
    <row r="112" spans="1:34" x14ac:dyDescent="0.35">
      <c r="A112" s="18">
        <v>13</v>
      </c>
      <c r="B112" s="3" t="s">
        <v>24</v>
      </c>
      <c r="C112" s="3" t="s">
        <v>122</v>
      </c>
      <c r="D112" s="3">
        <v>1</v>
      </c>
      <c r="E112" s="3" t="s">
        <v>216</v>
      </c>
      <c r="F112" s="3" t="s">
        <v>243</v>
      </c>
      <c r="G112" s="3" t="s">
        <v>233</v>
      </c>
      <c r="H112" s="3">
        <v>0</v>
      </c>
      <c r="I112" s="3">
        <v>1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4"/>
    </row>
    <row r="113" spans="1:34" x14ac:dyDescent="0.35">
      <c r="A113" s="19">
        <v>13</v>
      </c>
      <c r="B113" s="1" t="s">
        <v>24</v>
      </c>
      <c r="C113" s="1" t="s">
        <v>122</v>
      </c>
      <c r="D113" s="1">
        <v>2</v>
      </c>
      <c r="E113" s="1" t="s">
        <v>217</v>
      </c>
      <c r="F113" s="1" t="s">
        <v>243</v>
      </c>
      <c r="G113" s="1" t="s">
        <v>233</v>
      </c>
      <c r="H113" s="1">
        <v>0</v>
      </c>
      <c r="I113" s="1">
        <v>1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6"/>
    </row>
    <row r="114" spans="1:34" x14ac:dyDescent="0.35">
      <c r="A114" s="19">
        <v>13</v>
      </c>
      <c r="B114" s="1" t="s">
        <v>24</v>
      </c>
      <c r="C114" s="1" t="s">
        <v>122</v>
      </c>
      <c r="D114" s="1">
        <v>3</v>
      </c>
      <c r="E114" s="1" t="s">
        <v>218</v>
      </c>
      <c r="F114" s="1" t="s">
        <v>243</v>
      </c>
      <c r="G114" s="1" t="s">
        <v>233</v>
      </c>
      <c r="H114" s="1">
        <v>0</v>
      </c>
      <c r="I114" s="1">
        <v>1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6"/>
    </row>
    <row r="115" spans="1:34" x14ac:dyDescent="0.35">
      <c r="A115" s="19">
        <v>13</v>
      </c>
      <c r="B115" s="1" t="s">
        <v>24</v>
      </c>
      <c r="C115" s="1" t="s">
        <v>122</v>
      </c>
      <c r="D115" s="1">
        <v>4</v>
      </c>
      <c r="E115" s="1" t="s">
        <v>219</v>
      </c>
      <c r="F115" s="1"/>
      <c r="G115" s="1" t="s">
        <v>250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6">
        <v>0</v>
      </c>
    </row>
    <row r="116" spans="1:34" x14ac:dyDescent="0.35">
      <c r="A116" s="19">
        <v>13</v>
      </c>
      <c r="B116" s="1" t="s">
        <v>24</v>
      </c>
      <c r="C116" s="1" t="s">
        <v>122</v>
      </c>
      <c r="D116" s="1">
        <v>5</v>
      </c>
      <c r="E116" s="1" t="s">
        <v>220</v>
      </c>
      <c r="F116" s="1" t="s">
        <v>239</v>
      </c>
      <c r="G116" s="1" t="s">
        <v>233</v>
      </c>
      <c r="H116" s="1">
        <v>0</v>
      </c>
      <c r="I116" s="1">
        <v>999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6"/>
    </row>
    <row r="117" spans="1:34" x14ac:dyDescent="0.35">
      <c r="A117" s="19">
        <v>13</v>
      </c>
      <c r="B117" s="1" t="s">
        <v>24</v>
      </c>
      <c r="C117" s="1" t="s">
        <v>122</v>
      </c>
      <c r="D117" s="1">
        <v>6</v>
      </c>
      <c r="E117" s="1" t="s">
        <v>221</v>
      </c>
      <c r="F117" s="1" t="s">
        <v>239</v>
      </c>
      <c r="G117" s="1" t="s">
        <v>250</v>
      </c>
      <c r="H117" s="1">
        <v>0</v>
      </c>
      <c r="I117" s="1">
        <f t="shared" ref="I117:AH117" si="9">1.1*I118</f>
        <v>4.9680180000000011E-3</v>
      </c>
      <c r="J117" s="1">
        <f t="shared" si="9"/>
        <v>4.7774430000000001E-3</v>
      </c>
      <c r="K117" s="1">
        <f t="shared" si="9"/>
        <v>5.3023410000000012E-3</v>
      </c>
      <c r="L117" s="1">
        <f t="shared" si="9"/>
        <v>5.2184880000000012E-3</v>
      </c>
      <c r="M117" s="1">
        <f t="shared" si="9"/>
        <v>5.480937E-3</v>
      </c>
      <c r="N117" s="1">
        <f t="shared" si="9"/>
        <v>2.8063530000000001E-3</v>
      </c>
      <c r="O117" s="1">
        <f t="shared" si="9"/>
        <v>4.8112019999999997E-3</v>
      </c>
      <c r="P117" s="1">
        <f t="shared" si="9"/>
        <v>5.2903620000000007E-3</v>
      </c>
      <c r="Q117" s="1">
        <f t="shared" si="9"/>
        <v>5.2261110000000003E-3</v>
      </c>
      <c r="R117" s="1">
        <f t="shared" si="9"/>
        <v>4.0630589999999999E-3</v>
      </c>
      <c r="S117" s="1">
        <f t="shared" si="9"/>
        <v>6.9314850000000011E-3</v>
      </c>
      <c r="T117" s="1">
        <f t="shared" si="9"/>
        <v>4.6707210000000001E-3</v>
      </c>
      <c r="U117" s="1">
        <f t="shared" si="9"/>
        <v>5.4231823495457234E-3</v>
      </c>
      <c r="V117" s="1">
        <f t="shared" si="9"/>
        <v>5.9295440813624447E-3</v>
      </c>
      <c r="W117" s="1">
        <f t="shared" si="9"/>
        <v>6.4359058131791651E-3</v>
      </c>
      <c r="X117" s="1">
        <f t="shared" si="9"/>
        <v>6.9422675449958863E-3</v>
      </c>
      <c r="Y117" s="1">
        <f t="shared" si="9"/>
        <v>7.4486292768126084E-3</v>
      </c>
      <c r="Z117" s="1">
        <f t="shared" si="9"/>
        <v>7.954991008629328E-3</v>
      </c>
      <c r="AA117" s="1">
        <f t="shared" si="9"/>
        <v>8.4613527404460483E-3</v>
      </c>
      <c r="AB117" s="1">
        <f t="shared" si="9"/>
        <v>8.9677144722627705E-3</v>
      </c>
      <c r="AC117" s="1">
        <f t="shared" si="9"/>
        <v>9.4740762040794926E-3</v>
      </c>
      <c r="AD117" s="1">
        <f t="shared" si="9"/>
        <v>9.9804379358962112E-3</v>
      </c>
      <c r="AE117" s="1">
        <f t="shared" si="9"/>
        <v>1.0486799667712933E-2</v>
      </c>
      <c r="AF117" s="1">
        <f t="shared" si="9"/>
        <v>1.0993161399529655E-2</v>
      </c>
      <c r="AG117" s="1">
        <f t="shared" si="9"/>
        <v>1.1499523131346376E-2</v>
      </c>
      <c r="AH117" s="1">
        <f t="shared" si="9"/>
        <v>1.2005884863163098E-2</v>
      </c>
    </row>
    <row r="118" spans="1:34" x14ac:dyDescent="0.35">
      <c r="A118" s="19">
        <v>13</v>
      </c>
      <c r="B118" s="1" t="s">
        <v>24</v>
      </c>
      <c r="C118" s="1" t="s">
        <v>122</v>
      </c>
      <c r="D118" s="1">
        <v>7</v>
      </c>
      <c r="E118" s="33" t="s">
        <v>222</v>
      </c>
      <c r="F118" s="1" t="s">
        <v>239</v>
      </c>
      <c r="G118" s="1" t="s">
        <v>250</v>
      </c>
      <c r="H118" s="1">
        <v>0</v>
      </c>
      <c r="I118" s="70">
        <v>4.5163800000000004E-3</v>
      </c>
      <c r="J118" s="70">
        <v>4.3431299999999997E-3</v>
      </c>
      <c r="K118" s="70">
        <v>4.8203100000000004E-3</v>
      </c>
      <c r="L118" s="70">
        <v>4.7440800000000003E-3</v>
      </c>
      <c r="M118" s="70">
        <v>4.9826699999999998E-3</v>
      </c>
      <c r="N118" s="70">
        <v>2.5512299999999998E-3</v>
      </c>
      <c r="O118" s="70">
        <v>4.3738199999999996E-3</v>
      </c>
      <c r="P118" s="70">
        <v>4.80942E-3</v>
      </c>
      <c r="Q118" s="70">
        <v>4.75101E-3</v>
      </c>
      <c r="R118" s="70">
        <v>3.6936899999999999E-3</v>
      </c>
      <c r="S118" s="70">
        <v>6.3013500000000007E-3</v>
      </c>
      <c r="T118" s="70">
        <v>4.24611E-3</v>
      </c>
      <c r="U118" s="70">
        <v>4.9301657723142935E-3</v>
      </c>
      <c r="V118" s="70">
        <v>5.3904946194204039E-3</v>
      </c>
      <c r="W118" s="70">
        <v>5.8508234665265134E-3</v>
      </c>
      <c r="X118" s="70">
        <v>6.3111523136326238E-3</v>
      </c>
      <c r="Y118" s="70">
        <v>6.7714811607387342E-3</v>
      </c>
      <c r="Z118" s="70">
        <v>7.2318100078448437E-3</v>
      </c>
      <c r="AA118" s="70">
        <v>7.6921388549509532E-3</v>
      </c>
      <c r="AB118" s="70">
        <v>8.1524677020570636E-3</v>
      </c>
      <c r="AC118" s="70">
        <v>8.612796549163174E-3</v>
      </c>
      <c r="AD118" s="70">
        <v>9.0731253962692826E-3</v>
      </c>
      <c r="AE118" s="70">
        <v>9.533454243375393E-3</v>
      </c>
      <c r="AF118" s="70">
        <v>9.9937830904815034E-3</v>
      </c>
      <c r="AG118" s="70">
        <v>1.0454111937587614E-2</v>
      </c>
      <c r="AH118" s="71">
        <v>1.0914440784693724E-2</v>
      </c>
    </row>
    <row r="119" spans="1:34" x14ac:dyDescent="0.35">
      <c r="A119" s="19">
        <v>13</v>
      </c>
      <c r="B119" s="1" t="s">
        <v>24</v>
      </c>
      <c r="C119" s="1" t="s">
        <v>122</v>
      </c>
      <c r="D119" s="1">
        <v>8</v>
      </c>
      <c r="E119" s="1" t="s">
        <v>223</v>
      </c>
      <c r="F119" s="1"/>
      <c r="G119" s="1" t="s">
        <v>233</v>
      </c>
      <c r="H119" s="1">
        <v>0</v>
      </c>
      <c r="I119" s="1">
        <v>0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6"/>
    </row>
    <row r="120" spans="1:34" x14ac:dyDescent="0.35">
      <c r="A120" s="19">
        <v>13</v>
      </c>
      <c r="B120" s="1" t="s">
        <v>24</v>
      </c>
      <c r="C120" s="1" t="s">
        <v>122</v>
      </c>
      <c r="D120" s="1">
        <v>9</v>
      </c>
      <c r="E120" s="1" t="s">
        <v>224</v>
      </c>
      <c r="F120" s="1" t="s">
        <v>242</v>
      </c>
      <c r="G120" s="1" t="s">
        <v>233</v>
      </c>
      <c r="H120" s="1">
        <v>0</v>
      </c>
      <c r="I120" s="1">
        <v>1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6"/>
    </row>
    <row r="121" spans="1:34" ht="15" thickBot="1" x14ac:dyDescent="0.4">
      <c r="A121" s="20">
        <v>13</v>
      </c>
      <c r="B121" s="8" t="s">
        <v>24</v>
      </c>
      <c r="C121" s="8" t="s">
        <v>122</v>
      </c>
      <c r="D121" s="8">
        <v>10</v>
      </c>
      <c r="E121" s="8" t="s">
        <v>225</v>
      </c>
      <c r="F121" s="8" t="s">
        <v>242</v>
      </c>
      <c r="G121" s="8" t="s">
        <v>233</v>
      </c>
      <c r="H121" s="8">
        <v>0</v>
      </c>
      <c r="I121" s="8">
        <v>1</v>
      </c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9"/>
    </row>
    <row r="122" spans="1:34" x14ac:dyDescent="0.35">
      <c r="A122" s="18">
        <v>14</v>
      </c>
      <c r="B122" s="3" t="s">
        <v>25</v>
      </c>
      <c r="C122" s="3" t="s">
        <v>123</v>
      </c>
      <c r="D122" s="3">
        <v>1</v>
      </c>
      <c r="E122" s="3" t="s">
        <v>216</v>
      </c>
      <c r="F122" s="3" t="s">
        <v>243</v>
      </c>
      <c r="G122" s="3" t="s">
        <v>233</v>
      </c>
      <c r="H122" s="3">
        <v>0</v>
      </c>
      <c r="I122" s="3">
        <v>1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4"/>
    </row>
    <row r="123" spans="1:34" x14ac:dyDescent="0.35">
      <c r="A123" s="19">
        <v>14</v>
      </c>
      <c r="B123" s="1" t="s">
        <v>25</v>
      </c>
      <c r="C123" s="1" t="s">
        <v>123</v>
      </c>
      <c r="D123" s="1">
        <v>2</v>
      </c>
      <c r="E123" s="1" t="s">
        <v>217</v>
      </c>
      <c r="F123" s="1" t="s">
        <v>243</v>
      </c>
      <c r="G123" s="1" t="s">
        <v>233</v>
      </c>
      <c r="H123" s="1">
        <v>0</v>
      </c>
      <c r="I123" s="1">
        <v>1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6"/>
    </row>
    <row r="124" spans="1:34" x14ac:dyDescent="0.35">
      <c r="A124" s="19">
        <v>14</v>
      </c>
      <c r="B124" s="1" t="s">
        <v>25</v>
      </c>
      <c r="C124" s="1" t="s">
        <v>123</v>
      </c>
      <c r="D124" s="1">
        <v>3</v>
      </c>
      <c r="E124" s="1" t="s">
        <v>218</v>
      </c>
      <c r="F124" s="1" t="s">
        <v>243</v>
      </c>
      <c r="G124" s="1" t="s">
        <v>233</v>
      </c>
      <c r="H124" s="1">
        <v>0</v>
      </c>
      <c r="I124" s="1">
        <v>1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6"/>
    </row>
    <row r="125" spans="1:34" x14ac:dyDescent="0.35">
      <c r="A125" s="19">
        <v>14</v>
      </c>
      <c r="B125" s="1" t="s">
        <v>25</v>
      </c>
      <c r="C125" s="1" t="s">
        <v>123</v>
      </c>
      <c r="D125" s="1">
        <v>4</v>
      </c>
      <c r="E125" s="1" t="s">
        <v>219</v>
      </c>
      <c r="F125" s="1"/>
      <c r="G125" s="1" t="s">
        <v>250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6">
        <v>0</v>
      </c>
    </row>
    <row r="126" spans="1:34" x14ac:dyDescent="0.35">
      <c r="A126" s="19">
        <v>14</v>
      </c>
      <c r="B126" s="1" t="s">
        <v>25</v>
      </c>
      <c r="C126" s="1" t="s">
        <v>123</v>
      </c>
      <c r="D126" s="1">
        <v>5</v>
      </c>
      <c r="E126" s="1" t="s">
        <v>220</v>
      </c>
      <c r="F126" s="1" t="s">
        <v>239</v>
      </c>
      <c r="G126" s="1" t="s">
        <v>233</v>
      </c>
      <c r="H126" s="1">
        <v>0</v>
      </c>
      <c r="I126" s="1">
        <v>999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6"/>
    </row>
    <row r="127" spans="1:34" x14ac:dyDescent="0.35">
      <c r="A127" s="19">
        <v>14</v>
      </c>
      <c r="B127" s="1" t="s">
        <v>25</v>
      </c>
      <c r="C127" s="1" t="s">
        <v>123</v>
      </c>
      <c r="D127" s="1">
        <v>6</v>
      </c>
      <c r="E127" s="1" t="s">
        <v>221</v>
      </c>
      <c r="F127" s="1" t="s">
        <v>239</v>
      </c>
      <c r="G127" s="1" t="s">
        <v>250</v>
      </c>
      <c r="H127" s="1">
        <v>0</v>
      </c>
      <c r="I127" s="1">
        <f t="shared" ref="I127:AH127" si="10">1.1*I128</f>
        <v>0.66647618165699996</v>
      </c>
      <c r="J127" s="1">
        <f t="shared" si="10"/>
        <v>0.61601806470600018</v>
      </c>
      <c r="K127" s="1">
        <f t="shared" si="10"/>
        <v>0.61567092635400011</v>
      </c>
      <c r="L127" s="1">
        <f t="shared" si="10"/>
        <v>0.64399527838800019</v>
      </c>
      <c r="M127" s="1">
        <f t="shared" si="10"/>
        <v>8.6485439699999986E-3</v>
      </c>
      <c r="N127" s="1">
        <f t="shared" si="10"/>
        <v>1.1611663567659833</v>
      </c>
      <c r="O127" s="1">
        <f t="shared" si="10"/>
        <v>1.0196726036309998</v>
      </c>
      <c r="P127" s="1">
        <f t="shared" si="10"/>
        <v>1.2295169141310001</v>
      </c>
      <c r="Q127" s="1">
        <f t="shared" si="10"/>
        <v>1.228021016904</v>
      </c>
      <c r="R127" s="1">
        <f t="shared" si="10"/>
        <v>1.2882509508330002</v>
      </c>
      <c r="S127" s="1">
        <f t="shared" si="10"/>
        <v>1.3789454815035902</v>
      </c>
      <c r="T127" s="1">
        <f t="shared" si="10"/>
        <v>1.6392962372826601</v>
      </c>
      <c r="U127" s="1">
        <f t="shared" si="10"/>
        <v>1.9033897378387703</v>
      </c>
      <c r="V127" s="1">
        <f t="shared" si="10"/>
        <v>2.0811089554223257</v>
      </c>
      <c r="W127" s="1">
        <f t="shared" si="10"/>
        <v>2.2588281730058819</v>
      </c>
      <c r="X127" s="1">
        <f t="shared" si="10"/>
        <v>2.4365473905894368</v>
      </c>
      <c r="Y127" s="1">
        <f t="shared" si="10"/>
        <v>2.6142666081729926</v>
      </c>
      <c r="Z127" s="1">
        <f t="shared" si="10"/>
        <v>2.791985825756548</v>
      </c>
      <c r="AA127" s="1">
        <f t="shared" si="10"/>
        <v>2.9697050433401038</v>
      </c>
      <c r="AB127" s="1">
        <f t="shared" si="10"/>
        <v>3.1474242609236591</v>
      </c>
      <c r="AC127" s="1">
        <f t="shared" si="10"/>
        <v>3.3251434785072149</v>
      </c>
      <c r="AD127" s="1">
        <f t="shared" si="10"/>
        <v>3.5028626960907707</v>
      </c>
      <c r="AE127" s="1">
        <f t="shared" si="10"/>
        <v>3.6805819136743261</v>
      </c>
      <c r="AF127" s="1">
        <f t="shared" si="10"/>
        <v>3.8583011312578814</v>
      </c>
      <c r="AG127" s="1">
        <f t="shared" si="10"/>
        <v>4.0360203488414372</v>
      </c>
      <c r="AH127" s="1">
        <f t="shared" si="10"/>
        <v>4.2137395664249926</v>
      </c>
    </row>
    <row r="128" spans="1:34" x14ac:dyDescent="0.35">
      <c r="A128" s="19">
        <v>14</v>
      </c>
      <c r="B128" s="1" t="s">
        <v>25</v>
      </c>
      <c r="C128" s="1" t="s">
        <v>123</v>
      </c>
      <c r="D128" s="1">
        <v>7</v>
      </c>
      <c r="E128" s="33" t="s">
        <v>222</v>
      </c>
      <c r="F128" s="1" t="s">
        <v>239</v>
      </c>
      <c r="G128" s="1" t="s">
        <v>250</v>
      </c>
      <c r="H128" s="1">
        <v>0</v>
      </c>
      <c r="I128" s="70">
        <v>0.60588743786999988</v>
      </c>
      <c r="J128" s="70">
        <v>0.56001642246000016</v>
      </c>
      <c r="K128" s="70">
        <v>0.55970084214000004</v>
      </c>
      <c r="L128" s="70">
        <v>0.58545025308000009</v>
      </c>
      <c r="M128" s="70">
        <v>7.8623126999999987E-3</v>
      </c>
      <c r="N128" s="70">
        <v>1.0556057788781665</v>
      </c>
      <c r="O128" s="70">
        <v>0.92697509420999979</v>
      </c>
      <c r="P128" s="70">
        <v>1.11774264921</v>
      </c>
      <c r="Q128" s="70">
        <v>1.1163827426399999</v>
      </c>
      <c r="R128" s="70">
        <v>1.1711372280300001</v>
      </c>
      <c r="S128" s="70">
        <v>1.2535868013669</v>
      </c>
      <c r="T128" s="70">
        <v>1.4902693066205999</v>
      </c>
      <c r="U128" s="70">
        <v>1.7303543071261547</v>
      </c>
      <c r="V128" s="70">
        <v>1.8919172322021143</v>
      </c>
      <c r="W128" s="70">
        <v>2.0534801572780741</v>
      </c>
      <c r="X128" s="70">
        <v>2.2150430823540335</v>
      </c>
      <c r="Y128" s="70">
        <v>2.3766060074299933</v>
      </c>
      <c r="Z128" s="70">
        <v>2.5381689325059527</v>
      </c>
      <c r="AA128" s="70">
        <v>2.6997318575819125</v>
      </c>
      <c r="AB128" s="70">
        <v>2.8612947826578718</v>
      </c>
      <c r="AC128" s="70">
        <v>3.0228577077338317</v>
      </c>
      <c r="AD128" s="70">
        <v>3.1844206328097915</v>
      </c>
      <c r="AE128" s="70">
        <v>3.3459835578857509</v>
      </c>
      <c r="AF128" s="70">
        <v>3.5075464829617102</v>
      </c>
      <c r="AG128" s="70">
        <v>3.6691094080376701</v>
      </c>
      <c r="AH128" s="71">
        <v>3.8306723331136294</v>
      </c>
    </row>
    <row r="129" spans="1:34" x14ac:dyDescent="0.35">
      <c r="A129" s="19">
        <v>14</v>
      </c>
      <c r="B129" s="1" t="s">
        <v>25</v>
      </c>
      <c r="C129" s="1" t="s">
        <v>123</v>
      </c>
      <c r="D129" s="1">
        <v>8</v>
      </c>
      <c r="E129" s="1" t="s">
        <v>223</v>
      </c>
      <c r="F129" s="1"/>
      <c r="G129" s="1" t="s">
        <v>233</v>
      </c>
      <c r="H129" s="1">
        <v>0</v>
      </c>
      <c r="I129" s="1">
        <v>0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6"/>
    </row>
    <row r="130" spans="1:34" x14ac:dyDescent="0.35">
      <c r="A130" s="19">
        <v>14</v>
      </c>
      <c r="B130" s="1" t="s">
        <v>25</v>
      </c>
      <c r="C130" s="1" t="s">
        <v>123</v>
      </c>
      <c r="D130" s="1">
        <v>9</v>
      </c>
      <c r="E130" s="1" t="s">
        <v>224</v>
      </c>
      <c r="F130" s="1" t="s">
        <v>242</v>
      </c>
      <c r="G130" s="1" t="s">
        <v>233</v>
      </c>
      <c r="H130" s="1">
        <v>0</v>
      </c>
      <c r="I130" s="1">
        <v>1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6"/>
    </row>
    <row r="131" spans="1:34" ht="15" thickBot="1" x14ac:dyDescent="0.4">
      <c r="A131" s="20">
        <v>14</v>
      </c>
      <c r="B131" s="8" t="s">
        <v>25</v>
      </c>
      <c r="C131" s="8" t="s">
        <v>123</v>
      </c>
      <c r="D131" s="8">
        <v>10</v>
      </c>
      <c r="E131" s="8" t="s">
        <v>225</v>
      </c>
      <c r="F131" s="8" t="s">
        <v>242</v>
      </c>
      <c r="G131" s="8" t="s">
        <v>233</v>
      </c>
      <c r="H131" s="8">
        <v>0</v>
      </c>
      <c r="I131" s="8">
        <v>1</v>
      </c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9"/>
    </row>
    <row r="132" spans="1:34" x14ac:dyDescent="0.35">
      <c r="A132" s="18">
        <v>15</v>
      </c>
      <c r="B132" s="3" t="s">
        <v>26</v>
      </c>
      <c r="C132" s="3" t="s">
        <v>124</v>
      </c>
      <c r="D132" s="3">
        <v>1</v>
      </c>
      <c r="E132" s="3" t="s">
        <v>216</v>
      </c>
      <c r="F132" s="3" t="s">
        <v>243</v>
      </c>
      <c r="G132" s="3" t="s">
        <v>233</v>
      </c>
      <c r="H132" s="3">
        <v>0</v>
      </c>
      <c r="I132" s="3">
        <v>1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4"/>
    </row>
    <row r="133" spans="1:34" x14ac:dyDescent="0.35">
      <c r="A133" s="19">
        <v>15</v>
      </c>
      <c r="B133" s="1" t="s">
        <v>26</v>
      </c>
      <c r="C133" s="1" t="s">
        <v>124</v>
      </c>
      <c r="D133" s="1">
        <v>2</v>
      </c>
      <c r="E133" s="1" t="s">
        <v>217</v>
      </c>
      <c r="F133" s="1" t="s">
        <v>243</v>
      </c>
      <c r="G133" s="1" t="s">
        <v>233</v>
      </c>
      <c r="H133" s="1">
        <v>0</v>
      </c>
      <c r="I133" s="1">
        <v>1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6"/>
    </row>
    <row r="134" spans="1:34" x14ac:dyDescent="0.35">
      <c r="A134" s="19">
        <v>15</v>
      </c>
      <c r="B134" s="1" t="s">
        <v>26</v>
      </c>
      <c r="C134" s="1" t="s">
        <v>124</v>
      </c>
      <c r="D134" s="1">
        <v>3</v>
      </c>
      <c r="E134" s="1" t="s">
        <v>218</v>
      </c>
      <c r="F134" s="1" t="s">
        <v>243</v>
      </c>
      <c r="G134" s="1" t="s">
        <v>233</v>
      </c>
      <c r="H134" s="1">
        <v>0</v>
      </c>
      <c r="I134" s="1">
        <v>1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6"/>
    </row>
    <row r="135" spans="1:34" x14ac:dyDescent="0.35">
      <c r="A135" s="19">
        <v>15</v>
      </c>
      <c r="B135" s="1" t="s">
        <v>26</v>
      </c>
      <c r="C135" s="1" t="s">
        <v>124</v>
      </c>
      <c r="D135" s="1">
        <v>4</v>
      </c>
      <c r="E135" s="1" t="s">
        <v>219</v>
      </c>
      <c r="F135" s="1"/>
      <c r="G135" s="1" t="s">
        <v>250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6">
        <v>0</v>
      </c>
    </row>
    <row r="136" spans="1:34" x14ac:dyDescent="0.35">
      <c r="A136" s="19">
        <v>15</v>
      </c>
      <c r="B136" s="1" t="s">
        <v>26</v>
      </c>
      <c r="C136" s="1" t="s">
        <v>124</v>
      </c>
      <c r="D136" s="1">
        <v>5</v>
      </c>
      <c r="E136" s="1" t="s">
        <v>220</v>
      </c>
      <c r="F136" s="1" t="s">
        <v>239</v>
      </c>
      <c r="G136" s="1" t="s">
        <v>233</v>
      </c>
      <c r="H136" s="1">
        <v>0</v>
      </c>
      <c r="I136" s="1">
        <v>999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6"/>
    </row>
    <row r="137" spans="1:34" x14ac:dyDescent="0.35">
      <c r="A137" s="19">
        <v>15</v>
      </c>
      <c r="B137" s="1" t="s">
        <v>26</v>
      </c>
      <c r="C137" s="1" t="s">
        <v>124</v>
      </c>
      <c r="D137" s="1">
        <v>6</v>
      </c>
      <c r="E137" s="1" t="s">
        <v>221</v>
      </c>
      <c r="F137" s="1" t="s">
        <v>239</v>
      </c>
      <c r="G137" s="1" t="s">
        <v>250</v>
      </c>
      <c r="H137" s="1">
        <v>0</v>
      </c>
      <c r="I137" s="1">
        <f t="shared" ref="I137:AH137" si="11">1.1*I138</f>
        <v>7.3659959999999997E-3</v>
      </c>
      <c r="J137" s="1">
        <f t="shared" si="11"/>
        <v>8.0760240000000011E-3</v>
      </c>
      <c r="K137" s="1">
        <f t="shared" si="11"/>
        <v>8.6074560000000012E-3</v>
      </c>
      <c r="L137" s="1">
        <f t="shared" si="11"/>
        <v>9.3654000000000012E-3</v>
      </c>
      <c r="M137" s="1">
        <f t="shared" si="11"/>
        <v>0.86970878547300012</v>
      </c>
      <c r="N137" s="1">
        <f t="shared" si="11"/>
        <v>0.98903051656200025</v>
      </c>
      <c r="O137" s="1">
        <f t="shared" si="11"/>
        <v>9.173736E-3</v>
      </c>
      <c r="P137" s="1">
        <f t="shared" si="11"/>
        <v>1.0543698000000001E-2</v>
      </c>
      <c r="Q137" s="1">
        <f t="shared" si="11"/>
        <v>1.1441034000000003E-2</v>
      </c>
      <c r="R137" s="1">
        <f t="shared" si="11"/>
        <v>1.3513401000000001E-2</v>
      </c>
      <c r="S137" s="1">
        <f t="shared" si="11"/>
        <v>1.0169082000000001E-2</v>
      </c>
      <c r="T137" s="1">
        <f t="shared" si="11"/>
        <v>1.5183927E-2</v>
      </c>
      <c r="U137" s="1">
        <f t="shared" si="11"/>
        <v>1.7630084285314995E-2</v>
      </c>
      <c r="V137" s="1">
        <f t="shared" si="11"/>
        <v>1.9276202640810577E-2</v>
      </c>
      <c r="W137" s="1">
        <f t="shared" si="11"/>
        <v>2.0922320996306157E-2</v>
      </c>
      <c r="X137" s="1">
        <f t="shared" si="11"/>
        <v>2.2568439351801733E-2</v>
      </c>
      <c r="Y137" s="1">
        <f t="shared" si="11"/>
        <v>2.4214557707297316E-2</v>
      </c>
      <c r="Z137" s="1">
        <f t="shared" si="11"/>
        <v>2.5860676062792895E-2</v>
      </c>
      <c r="AA137" s="1">
        <f t="shared" si="11"/>
        <v>2.7506794418288474E-2</v>
      </c>
      <c r="AB137" s="1">
        <f t="shared" si="11"/>
        <v>2.9152912773784057E-2</v>
      </c>
      <c r="AC137" s="1">
        <f t="shared" si="11"/>
        <v>3.0799031129279633E-2</v>
      </c>
      <c r="AD137" s="1">
        <f t="shared" si="11"/>
        <v>3.2445149484775213E-2</v>
      </c>
      <c r="AE137" s="1">
        <f t="shared" si="11"/>
        <v>3.4091267840270799E-2</v>
      </c>
      <c r="AF137" s="1">
        <f t="shared" si="11"/>
        <v>3.5737386195766378E-2</v>
      </c>
      <c r="AG137" s="1">
        <f t="shared" si="11"/>
        <v>3.7383504551261951E-2</v>
      </c>
      <c r="AH137" s="1">
        <f t="shared" si="11"/>
        <v>3.9029622906757537E-2</v>
      </c>
    </row>
    <row r="138" spans="1:34" x14ac:dyDescent="0.35">
      <c r="A138" s="19">
        <v>15</v>
      </c>
      <c r="B138" s="1" t="s">
        <v>26</v>
      </c>
      <c r="C138" s="1" t="s">
        <v>124</v>
      </c>
      <c r="D138" s="1">
        <v>7</v>
      </c>
      <c r="E138" s="33" t="s">
        <v>222</v>
      </c>
      <c r="F138" s="1" t="s">
        <v>239</v>
      </c>
      <c r="G138" s="1" t="s">
        <v>250</v>
      </c>
      <c r="H138" s="1">
        <v>0</v>
      </c>
      <c r="I138" s="70">
        <v>6.6963599999999993E-3</v>
      </c>
      <c r="J138" s="70">
        <v>7.3418400000000005E-3</v>
      </c>
      <c r="K138" s="70">
        <v>7.8249600000000006E-3</v>
      </c>
      <c r="L138" s="70">
        <v>8.5140000000000007E-3</v>
      </c>
      <c r="M138" s="70">
        <v>0.79064435043000003</v>
      </c>
      <c r="N138" s="70">
        <v>0.89911865142000014</v>
      </c>
      <c r="O138" s="70">
        <v>8.3397599999999999E-3</v>
      </c>
      <c r="P138" s="70">
        <v>9.5851800000000004E-3</v>
      </c>
      <c r="Q138" s="70">
        <v>1.0400940000000001E-2</v>
      </c>
      <c r="R138" s="70">
        <v>1.228491E-2</v>
      </c>
      <c r="S138" s="70">
        <v>9.2446200000000003E-3</v>
      </c>
      <c r="T138" s="70">
        <v>1.3803569999999999E-2</v>
      </c>
      <c r="U138" s="70">
        <v>1.6027349350286359E-2</v>
      </c>
      <c r="V138" s="70">
        <v>1.7523820582555069E-2</v>
      </c>
      <c r="W138" s="70">
        <v>1.9020291814823776E-2</v>
      </c>
      <c r="X138" s="70">
        <v>2.0516763047092483E-2</v>
      </c>
      <c r="Y138" s="70">
        <v>2.2013234279361193E-2</v>
      </c>
      <c r="Z138" s="70">
        <v>2.3509705511629904E-2</v>
      </c>
      <c r="AA138" s="70">
        <v>2.5006176743898611E-2</v>
      </c>
      <c r="AB138" s="70">
        <v>2.6502647976167321E-2</v>
      </c>
      <c r="AC138" s="70">
        <v>2.7999119208436028E-2</v>
      </c>
      <c r="AD138" s="70">
        <v>2.9495590440704739E-2</v>
      </c>
      <c r="AE138" s="70">
        <v>3.0992061672973449E-2</v>
      </c>
      <c r="AF138" s="70">
        <v>3.248853290524216E-2</v>
      </c>
      <c r="AG138" s="70">
        <v>3.3985004137510863E-2</v>
      </c>
      <c r="AH138" s="71">
        <v>3.5481475369779573E-2</v>
      </c>
    </row>
    <row r="139" spans="1:34" x14ac:dyDescent="0.35">
      <c r="A139" s="19">
        <v>15</v>
      </c>
      <c r="B139" s="1" t="s">
        <v>26</v>
      </c>
      <c r="C139" s="1" t="s">
        <v>124</v>
      </c>
      <c r="D139" s="1">
        <v>8</v>
      </c>
      <c r="E139" s="1" t="s">
        <v>223</v>
      </c>
      <c r="F139" s="1"/>
      <c r="G139" s="1" t="s">
        <v>233</v>
      </c>
      <c r="H139" s="1">
        <v>0</v>
      </c>
      <c r="I139" s="1">
        <v>0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6"/>
    </row>
    <row r="140" spans="1:34" x14ac:dyDescent="0.35">
      <c r="A140" s="19">
        <v>15</v>
      </c>
      <c r="B140" s="1" t="s">
        <v>26</v>
      </c>
      <c r="C140" s="1" t="s">
        <v>124</v>
      </c>
      <c r="D140" s="1">
        <v>9</v>
      </c>
      <c r="E140" s="1" t="s">
        <v>224</v>
      </c>
      <c r="F140" s="1" t="s">
        <v>242</v>
      </c>
      <c r="G140" s="1" t="s">
        <v>233</v>
      </c>
      <c r="H140" s="1">
        <v>0</v>
      </c>
      <c r="I140" s="1">
        <v>1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6"/>
    </row>
    <row r="141" spans="1:34" ht="15" thickBot="1" x14ac:dyDescent="0.4">
      <c r="A141" s="20">
        <v>15</v>
      </c>
      <c r="B141" s="8" t="s">
        <v>26</v>
      </c>
      <c r="C141" s="8" t="s">
        <v>124</v>
      </c>
      <c r="D141" s="8">
        <v>10</v>
      </c>
      <c r="E141" s="8" t="s">
        <v>225</v>
      </c>
      <c r="F141" s="8" t="s">
        <v>242</v>
      </c>
      <c r="G141" s="8" t="s">
        <v>233</v>
      </c>
      <c r="H141" s="8">
        <v>0</v>
      </c>
      <c r="I141" s="8">
        <v>1</v>
      </c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9"/>
    </row>
    <row r="142" spans="1:34" x14ac:dyDescent="0.35">
      <c r="A142" s="18">
        <v>16</v>
      </c>
      <c r="B142" s="3" t="s">
        <v>27</v>
      </c>
      <c r="C142" s="3" t="s">
        <v>125</v>
      </c>
      <c r="D142" s="3">
        <v>1</v>
      </c>
      <c r="E142" s="3" t="s">
        <v>216</v>
      </c>
      <c r="F142" s="3" t="s">
        <v>243</v>
      </c>
      <c r="G142" s="3" t="s">
        <v>233</v>
      </c>
      <c r="H142" s="3">
        <v>0</v>
      </c>
      <c r="I142" s="3">
        <v>1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4"/>
    </row>
    <row r="143" spans="1:34" x14ac:dyDescent="0.35">
      <c r="A143" s="19">
        <v>16</v>
      </c>
      <c r="B143" s="1" t="s">
        <v>27</v>
      </c>
      <c r="C143" s="1" t="s">
        <v>125</v>
      </c>
      <c r="D143" s="1">
        <v>2</v>
      </c>
      <c r="E143" s="1" t="s">
        <v>217</v>
      </c>
      <c r="F143" s="1" t="s">
        <v>243</v>
      </c>
      <c r="G143" s="1" t="s">
        <v>233</v>
      </c>
      <c r="H143" s="1">
        <v>0</v>
      </c>
      <c r="I143" s="1">
        <v>1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6"/>
    </row>
    <row r="144" spans="1:34" x14ac:dyDescent="0.35">
      <c r="A144" s="19">
        <v>16</v>
      </c>
      <c r="B144" s="1" t="s">
        <v>27</v>
      </c>
      <c r="C144" s="1" t="s">
        <v>125</v>
      </c>
      <c r="D144" s="1">
        <v>3</v>
      </c>
      <c r="E144" s="1" t="s">
        <v>218</v>
      </c>
      <c r="F144" s="1" t="s">
        <v>243</v>
      </c>
      <c r="G144" s="1" t="s">
        <v>233</v>
      </c>
      <c r="H144" s="1">
        <v>0</v>
      </c>
      <c r="I144" s="1">
        <v>1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6"/>
    </row>
    <row r="145" spans="1:34" x14ac:dyDescent="0.35">
      <c r="A145" s="19">
        <v>16</v>
      </c>
      <c r="B145" s="1" t="s">
        <v>27</v>
      </c>
      <c r="C145" s="1" t="s">
        <v>125</v>
      </c>
      <c r="D145" s="1">
        <v>4</v>
      </c>
      <c r="E145" s="1" t="s">
        <v>219</v>
      </c>
      <c r="F145" s="1"/>
      <c r="G145" s="1" t="s">
        <v>250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6">
        <v>0</v>
      </c>
    </row>
    <row r="146" spans="1:34" x14ac:dyDescent="0.35">
      <c r="A146" s="19">
        <v>16</v>
      </c>
      <c r="B146" s="1" t="s">
        <v>27</v>
      </c>
      <c r="C146" s="1" t="s">
        <v>125</v>
      </c>
      <c r="D146" s="1">
        <v>5</v>
      </c>
      <c r="E146" s="1" t="s">
        <v>220</v>
      </c>
      <c r="F146" s="1" t="s">
        <v>239</v>
      </c>
      <c r="G146" s="1" t="s">
        <v>233</v>
      </c>
      <c r="H146" s="1">
        <v>0</v>
      </c>
      <c r="I146" s="1">
        <v>999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6"/>
    </row>
    <row r="147" spans="1:34" x14ac:dyDescent="0.35">
      <c r="A147" s="19">
        <v>16</v>
      </c>
      <c r="B147" s="1" t="s">
        <v>27</v>
      </c>
      <c r="C147" s="1" t="s">
        <v>125</v>
      </c>
      <c r="D147" s="1">
        <v>6</v>
      </c>
      <c r="E147" s="1" t="s">
        <v>221</v>
      </c>
      <c r="F147" s="1" t="s">
        <v>239</v>
      </c>
      <c r="G147" s="1" t="s">
        <v>250</v>
      </c>
      <c r="H147" s="1">
        <v>0</v>
      </c>
      <c r="I147" s="1">
        <f t="shared" ref="I147:AH147" si="12">1.1*I148</f>
        <v>5.541921E-3</v>
      </c>
      <c r="J147" s="1">
        <f t="shared" si="12"/>
        <v>5.5214739360000004E-3</v>
      </c>
      <c r="K147" s="1">
        <f t="shared" si="12"/>
        <v>7.4544663600000002E-3</v>
      </c>
      <c r="L147" s="1">
        <f t="shared" si="12"/>
        <v>5.859909E-3</v>
      </c>
      <c r="M147" s="1">
        <f t="shared" si="12"/>
        <v>6.8367420000000007E-3</v>
      </c>
      <c r="N147" s="1">
        <f t="shared" si="12"/>
        <v>6.8998822200000004E-3</v>
      </c>
      <c r="O147" s="1">
        <f t="shared" si="12"/>
        <v>6.5002410000000004E-3</v>
      </c>
      <c r="P147" s="1">
        <f t="shared" si="12"/>
        <v>7.2211590000000004E-3</v>
      </c>
      <c r="Q147" s="1">
        <f t="shared" si="12"/>
        <v>6.8382666000000002E-3</v>
      </c>
      <c r="R147" s="1">
        <f t="shared" si="12"/>
        <v>7.0415284500000008E-3</v>
      </c>
      <c r="S147" s="1">
        <f t="shared" si="12"/>
        <v>8.2132381219680011E-3</v>
      </c>
      <c r="T147" s="1">
        <f t="shared" si="12"/>
        <v>8.8523938800000018E-3</v>
      </c>
      <c r="U147" s="1">
        <f t="shared" si="12"/>
        <v>1.0278530068750111E-2</v>
      </c>
      <c r="V147" s="1">
        <f t="shared" si="12"/>
        <v>1.1238234897148239E-2</v>
      </c>
      <c r="W147" s="1">
        <f t="shared" si="12"/>
        <v>1.2197939725546369E-2</v>
      </c>
      <c r="X147" s="1">
        <f t="shared" si="12"/>
        <v>1.3157644553944499E-2</v>
      </c>
      <c r="Y147" s="1">
        <f t="shared" si="12"/>
        <v>1.4117349382342629E-2</v>
      </c>
      <c r="Z147" s="1">
        <f t="shared" si="12"/>
        <v>1.5077054210740761E-2</v>
      </c>
      <c r="AA147" s="1">
        <f t="shared" si="12"/>
        <v>1.6036759039138891E-2</v>
      </c>
      <c r="AB147" s="1">
        <f t="shared" si="12"/>
        <v>1.6996463867537021E-2</v>
      </c>
      <c r="AC147" s="1">
        <f t="shared" si="12"/>
        <v>1.7956168695935151E-2</v>
      </c>
      <c r="AD147" s="1">
        <f t="shared" si="12"/>
        <v>1.8915873524333281E-2</v>
      </c>
      <c r="AE147" s="1">
        <f t="shared" si="12"/>
        <v>1.9875578352731411E-2</v>
      </c>
      <c r="AF147" s="1">
        <f t="shared" si="12"/>
        <v>2.0835283181129538E-2</v>
      </c>
      <c r="AG147" s="1">
        <f t="shared" si="12"/>
        <v>2.1794988009527668E-2</v>
      </c>
      <c r="AH147" s="1">
        <f t="shared" si="12"/>
        <v>2.2754692837925798E-2</v>
      </c>
    </row>
    <row r="148" spans="1:34" x14ac:dyDescent="0.35">
      <c r="A148" s="19">
        <v>16</v>
      </c>
      <c r="B148" s="1" t="s">
        <v>27</v>
      </c>
      <c r="C148" s="1" t="s">
        <v>125</v>
      </c>
      <c r="D148" s="1">
        <v>7</v>
      </c>
      <c r="E148" s="33" t="s">
        <v>222</v>
      </c>
      <c r="F148" s="1" t="s">
        <v>239</v>
      </c>
      <c r="G148" s="1" t="s">
        <v>250</v>
      </c>
      <c r="H148" s="1">
        <v>0</v>
      </c>
      <c r="I148" s="70">
        <v>5.0381099999999993E-3</v>
      </c>
      <c r="J148" s="70">
        <v>5.0195217600000003E-3</v>
      </c>
      <c r="K148" s="70">
        <v>6.7767875999999996E-3</v>
      </c>
      <c r="L148" s="70">
        <v>5.3271899999999999E-3</v>
      </c>
      <c r="M148" s="70">
        <v>6.2152200000000005E-3</v>
      </c>
      <c r="N148" s="70">
        <v>6.2726201999999997E-3</v>
      </c>
      <c r="O148" s="70">
        <v>5.9093100000000001E-3</v>
      </c>
      <c r="P148" s="70">
        <v>6.5646899999999998E-3</v>
      </c>
      <c r="Q148" s="70">
        <v>6.2166059999999995E-3</v>
      </c>
      <c r="R148" s="70">
        <v>6.4013895000000001E-3</v>
      </c>
      <c r="S148" s="70">
        <v>7.4665801108800001E-3</v>
      </c>
      <c r="T148" s="70">
        <v>8.0476308000000003E-3</v>
      </c>
      <c r="U148" s="70">
        <v>9.3441182443182811E-3</v>
      </c>
      <c r="V148" s="70">
        <v>1.0216577179225672E-2</v>
      </c>
      <c r="W148" s="70">
        <v>1.1089036114133062E-2</v>
      </c>
      <c r="X148" s="70">
        <v>1.1961495049040453E-2</v>
      </c>
      <c r="Y148" s="70">
        <v>1.2833953983947844E-2</v>
      </c>
      <c r="Z148" s="70">
        <v>1.3706412918855236E-2</v>
      </c>
      <c r="AA148" s="70">
        <v>1.4578871853762627E-2</v>
      </c>
      <c r="AB148" s="70">
        <v>1.5451330788670017E-2</v>
      </c>
      <c r="AC148" s="70">
        <v>1.6323789723577408E-2</v>
      </c>
      <c r="AD148" s="70">
        <v>1.7196248658484799E-2</v>
      </c>
      <c r="AE148" s="70">
        <v>1.8068707593392189E-2</v>
      </c>
      <c r="AF148" s="70">
        <v>1.894116652829958E-2</v>
      </c>
      <c r="AG148" s="70">
        <v>1.9813625463206971E-2</v>
      </c>
      <c r="AH148" s="71">
        <v>2.0686084398114361E-2</v>
      </c>
    </row>
    <row r="149" spans="1:34" x14ac:dyDescent="0.35">
      <c r="A149" s="19">
        <v>16</v>
      </c>
      <c r="B149" s="1" t="s">
        <v>27</v>
      </c>
      <c r="C149" s="1" t="s">
        <v>125</v>
      </c>
      <c r="D149" s="1">
        <v>8</v>
      </c>
      <c r="E149" s="1" t="s">
        <v>223</v>
      </c>
      <c r="F149" s="1"/>
      <c r="G149" s="1" t="s">
        <v>233</v>
      </c>
      <c r="H149" s="1">
        <v>0</v>
      </c>
      <c r="I149" s="1">
        <v>0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6"/>
    </row>
    <row r="150" spans="1:34" x14ac:dyDescent="0.35">
      <c r="A150" s="19">
        <v>16</v>
      </c>
      <c r="B150" s="1" t="s">
        <v>27</v>
      </c>
      <c r="C150" s="1" t="s">
        <v>125</v>
      </c>
      <c r="D150" s="1">
        <v>9</v>
      </c>
      <c r="E150" s="1" t="s">
        <v>224</v>
      </c>
      <c r="F150" s="1" t="s">
        <v>242</v>
      </c>
      <c r="G150" s="1" t="s">
        <v>233</v>
      </c>
      <c r="H150" s="1">
        <v>0</v>
      </c>
      <c r="I150" s="1">
        <v>1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6"/>
    </row>
    <row r="151" spans="1:34" ht="15" thickBot="1" x14ac:dyDescent="0.4">
      <c r="A151" s="20">
        <v>16</v>
      </c>
      <c r="B151" s="8" t="s">
        <v>27</v>
      </c>
      <c r="C151" s="8" t="s">
        <v>125</v>
      </c>
      <c r="D151" s="8">
        <v>10</v>
      </c>
      <c r="E151" s="8" t="s">
        <v>225</v>
      </c>
      <c r="F151" s="8" t="s">
        <v>242</v>
      </c>
      <c r="G151" s="8" t="s">
        <v>233</v>
      </c>
      <c r="H151" s="8">
        <v>0</v>
      </c>
      <c r="I151" s="8">
        <v>1</v>
      </c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9"/>
    </row>
    <row r="152" spans="1:34" x14ac:dyDescent="0.35">
      <c r="A152" s="18">
        <v>17</v>
      </c>
      <c r="B152" s="3" t="s">
        <v>28</v>
      </c>
      <c r="C152" s="3" t="s">
        <v>126</v>
      </c>
      <c r="D152" s="3">
        <v>1</v>
      </c>
      <c r="E152" s="3" t="s">
        <v>216</v>
      </c>
      <c r="F152" s="3" t="s">
        <v>243</v>
      </c>
      <c r="G152" s="3" t="s">
        <v>233</v>
      </c>
      <c r="H152" s="3">
        <v>0</v>
      </c>
      <c r="I152" s="3">
        <v>1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4"/>
    </row>
    <row r="153" spans="1:34" x14ac:dyDescent="0.35">
      <c r="A153" s="19">
        <v>17</v>
      </c>
      <c r="B153" s="1" t="s">
        <v>28</v>
      </c>
      <c r="C153" s="1" t="s">
        <v>126</v>
      </c>
      <c r="D153" s="1">
        <v>2</v>
      </c>
      <c r="E153" s="1" t="s">
        <v>217</v>
      </c>
      <c r="F153" s="1" t="s">
        <v>243</v>
      </c>
      <c r="G153" s="1" t="s">
        <v>233</v>
      </c>
      <c r="H153" s="1">
        <v>0</v>
      </c>
      <c r="I153" s="1">
        <v>1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6"/>
    </row>
    <row r="154" spans="1:34" x14ac:dyDescent="0.35">
      <c r="A154" s="19">
        <v>17</v>
      </c>
      <c r="B154" s="1" t="s">
        <v>28</v>
      </c>
      <c r="C154" s="1" t="s">
        <v>126</v>
      </c>
      <c r="D154" s="1">
        <v>3</v>
      </c>
      <c r="E154" s="1" t="s">
        <v>218</v>
      </c>
      <c r="F154" s="1" t="s">
        <v>243</v>
      </c>
      <c r="G154" s="1" t="s">
        <v>233</v>
      </c>
      <c r="H154" s="1">
        <v>0</v>
      </c>
      <c r="I154" s="1">
        <v>1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6"/>
    </row>
    <row r="155" spans="1:34" x14ac:dyDescent="0.35">
      <c r="A155" s="19">
        <v>17</v>
      </c>
      <c r="B155" s="1" t="s">
        <v>28</v>
      </c>
      <c r="C155" s="1" t="s">
        <v>126</v>
      </c>
      <c r="D155" s="1">
        <v>4</v>
      </c>
      <c r="E155" s="1" t="s">
        <v>219</v>
      </c>
      <c r="F155" s="1"/>
      <c r="G155" s="1" t="s">
        <v>250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6">
        <v>0</v>
      </c>
    </row>
    <row r="156" spans="1:34" x14ac:dyDescent="0.35">
      <c r="A156" s="19">
        <v>17</v>
      </c>
      <c r="B156" s="1" t="s">
        <v>28</v>
      </c>
      <c r="C156" s="1" t="s">
        <v>126</v>
      </c>
      <c r="D156" s="1">
        <v>5</v>
      </c>
      <c r="E156" s="1" t="s">
        <v>220</v>
      </c>
      <c r="F156" s="1" t="s">
        <v>239</v>
      </c>
      <c r="G156" s="1" t="s">
        <v>233</v>
      </c>
      <c r="H156" s="1">
        <v>0</v>
      </c>
      <c r="I156" s="1">
        <v>999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6"/>
    </row>
    <row r="157" spans="1:34" x14ac:dyDescent="0.35">
      <c r="A157" s="19">
        <v>17</v>
      </c>
      <c r="B157" s="1" t="s">
        <v>28</v>
      </c>
      <c r="C157" s="1" t="s">
        <v>126</v>
      </c>
      <c r="D157" s="1">
        <v>6</v>
      </c>
      <c r="E157" s="1" t="s">
        <v>221</v>
      </c>
      <c r="F157" s="1" t="s">
        <v>239</v>
      </c>
      <c r="G157" s="1" t="s">
        <v>250</v>
      </c>
      <c r="H157" s="1">
        <v>0</v>
      </c>
      <c r="I157" s="1">
        <f t="shared" ref="I157:AH157" si="13">1.1*I158</f>
        <v>5.8646723949000008E-2</v>
      </c>
      <c r="J157" s="1">
        <f t="shared" si="13"/>
        <v>6.9665507999999987E-3</v>
      </c>
      <c r="K157" s="1">
        <f t="shared" si="13"/>
        <v>2.4859517760000005E-3</v>
      </c>
      <c r="L157" s="1">
        <f t="shared" si="13"/>
        <v>5.645474009999999E-4</v>
      </c>
      <c r="M157" s="1">
        <f t="shared" si="13"/>
        <v>1.4663602800000003E-4</v>
      </c>
      <c r="N157" s="1">
        <f t="shared" si="13"/>
        <v>2.2034825999999995E-4</v>
      </c>
      <c r="O157" s="1">
        <f t="shared" si="13"/>
        <v>5.2764881399999992E-4</v>
      </c>
      <c r="P157" s="1">
        <f t="shared" si="13"/>
        <v>3.7042507497600004E-4</v>
      </c>
      <c r="Q157" s="1">
        <f t="shared" si="13"/>
        <v>1.9322073911250002E-3</v>
      </c>
      <c r="R157" s="1">
        <f t="shared" si="13"/>
        <v>3.4003598112E-4</v>
      </c>
      <c r="S157" s="1">
        <f t="shared" si="13"/>
        <v>3.1353262112700003E-4</v>
      </c>
      <c r="T157" s="1">
        <f t="shared" si="13"/>
        <v>3.9339809516700003E-4</v>
      </c>
      <c r="U157" s="1">
        <f t="shared" si="13"/>
        <v>4.5677521865566001E-4</v>
      </c>
      <c r="V157" s="1">
        <f t="shared" si="13"/>
        <v>4.9942425308999291E-4</v>
      </c>
      <c r="W157" s="1">
        <f t="shared" si="13"/>
        <v>5.4207328752432565E-4</v>
      </c>
      <c r="X157" s="1">
        <f t="shared" si="13"/>
        <v>5.8472232195865849E-4</v>
      </c>
      <c r="Y157" s="1">
        <f t="shared" si="13"/>
        <v>6.2737135639299134E-4</v>
      </c>
      <c r="Z157" s="1">
        <f t="shared" si="13"/>
        <v>6.7002039082732408E-4</v>
      </c>
      <c r="AA157" s="1">
        <f t="shared" si="13"/>
        <v>7.1266942526165692E-4</v>
      </c>
      <c r="AB157" s="1">
        <f t="shared" si="13"/>
        <v>7.5531845969598966E-4</v>
      </c>
      <c r="AC157" s="1">
        <f t="shared" si="13"/>
        <v>7.9796749413032261E-4</v>
      </c>
      <c r="AD157" s="1">
        <f t="shared" si="13"/>
        <v>8.4061652856465545E-4</v>
      </c>
      <c r="AE157" s="1">
        <f t="shared" si="13"/>
        <v>8.832655629989883E-4</v>
      </c>
      <c r="AF157" s="1">
        <f t="shared" si="13"/>
        <v>9.2591459743332103E-4</v>
      </c>
      <c r="AG157" s="1">
        <f t="shared" si="13"/>
        <v>9.6856363186765388E-4</v>
      </c>
      <c r="AH157" s="1">
        <f t="shared" si="13"/>
        <v>1.0112126663019867E-3</v>
      </c>
    </row>
    <row r="158" spans="1:34" x14ac:dyDescent="0.35">
      <c r="A158" s="19">
        <v>17</v>
      </c>
      <c r="B158" s="1" t="s">
        <v>28</v>
      </c>
      <c r="C158" s="1" t="s">
        <v>126</v>
      </c>
      <c r="D158" s="1">
        <v>7</v>
      </c>
      <c r="E158" s="33" t="s">
        <v>222</v>
      </c>
      <c r="F158" s="1" t="s">
        <v>239</v>
      </c>
      <c r="G158" s="1" t="s">
        <v>250</v>
      </c>
      <c r="H158" s="1">
        <v>0</v>
      </c>
      <c r="I158" s="70">
        <v>5.3315203590000006E-2</v>
      </c>
      <c r="J158" s="70">
        <v>6.333227999999998E-3</v>
      </c>
      <c r="K158" s="70">
        <v>2.2599561600000003E-3</v>
      </c>
      <c r="L158" s="70">
        <v>5.1322490999999989E-4</v>
      </c>
      <c r="M158" s="70">
        <v>1.3330548000000002E-4</v>
      </c>
      <c r="N158" s="70">
        <v>2.0031659999999993E-4</v>
      </c>
      <c r="O158" s="70">
        <v>4.7968073999999988E-4</v>
      </c>
      <c r="P158" s="70">
        <v>3.3675006816000002E-4</v>
      </c>
      <c r="Q158" s="70">
        <v>1.75655217375E-3</v>
      </c>
      <c r="R158" s="70">
        <v>3.0912361919999999E-4</v>
      </c>
      <c r="S158" s="70">
        <v>2.8502965556999999E-4</v>
      </c>
      <c r="T158" s="70">
        <v>3.5763463197E-4</v>
      </c>
      <c r="U158" s="70">
        <v>4.1525019877787273E-4</v>
      </c>
      <c r="V158" s="70">
        <v>4.5402204826362985E-4</v>
      </c>
      <c r="W158" s="70">
        <v>4.9279389774938692E-4</v>
      </c>
      <c r="X158" s="70">
        <v>5.31565747235144E-4</v>
      </c>
      <c r="Y158" s="70">
        <v>5.7033759672090118E-4</v>
      </c>
      <c r="Z158" s="70">
        <v>6.0910944620665825E-4</v>
      </c>
      <c r="AA158" s="70">
        <v>6.4788129569241532E-4</v>
      </c>
      <c r="AB158" s="70">
        <v>6.8665314517817239E-4</v>
      </c>
      <c r="AC158" s="70">
        <v>7.2542499466392958E-4</v>
      </c>
      <c r="AD158" s="70">
        <v>7.6419684414968676E-4</v>
      </c>
      <c r="AE158" s="70">
        <v>8.0296869363544383E-4</v>
      </c>
      <c r="AF158" s="70">
        <v>8.417405431212009E-4</v>
      </c>
      <c r="AG158" s="70">
        <v>8.8051239260695797E-4</v>
      </c>
      <c r="AH158" s="71">
        <v>9.1928424209271515E-4</v>
      </c>
    </row>
    <row r="159" spans="1:34" x14ac:dyDescent="0.35">
      <c r="A159" s="19">
        <v>17</v>
      </c>
      <c r="B159" s="1" t="s">
        <v>28</v>
      </c>
      <c r="C159" s="1" t="s">
        <v>126</v>
      </c>
      <c r="D159" s="1">
        <v>8</v>
      </c>
      <c r="E159" s="1" t="s">
        <v>223</v>
      </c>
      <c r="F159" s="1"/>
      <c r="G159" s="1" t="s">
        <v>233</v>
      </c>
      <c r="H159" s="1">
        <v>0</v>
      </c>
      <c r="I159" s="1">
        <v>0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6"/>
    </row>
    <row r="160" spans="1:34" x14ac:dyDescent="0.35">
      <c r="A160" s="19">
        <v>17</v>
      </c>
      <c r="B160" s="1" t="s">
        <v>28</v>
      </c>
      <c r="C160" s="1" t="s">
        <v>126</v>
      </c>
      <c r="D160" s="1">
        <v>9</v>
      </c>
      <c r="E160" s="1" t="s">
        <v>224</v>
      </c>
      <c r="F160" s="1" t="s">
        <v>242</v>
      </c>
      <c r="G160" s="1" t="s">
        <v>233</v>
      </c>
      <c r="H160" s="1">
        <v>0</v>
      </c>
      <c r="I160" s="1">
        <v>1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6"/>
    </row>
    <row r="161" spans="1:34" ht="15" thickBot="1" x14ac:dyDescent="0.4">
      <c r="A161" s="20">
        <v>17</v>
      </c>
      <c r="B161" s="8" t="s">
        <v>28</v>
      </c>
      <c r="C161" s="8" t="s">
        <v>126</v>
      </c>
      <c r="D161" s="8">
        <v>10</v>
      </c>
      <c r="E161" s="8" t="s">
        <v>225</v>
      </c>
      <c r="F161" s="8" t="s">
        <v>242</v>
      </c>
      <c r="G161" s="8" t="s">
        <v>233</v>
      </c>
      <c r="H161" s="8">
        <v>0</v>
      </c>
      <c r="I161" s="8">
        <v>1</v>
      </c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9"/>
    </row>
    <row r="162" spans="1:34" x14ac:dyDescent="0.35">
      <c r="A162" s="18">
        <v>18</v>
      </c>
      <c r="B162" s="3" t="s">
        <v>29</v>
      </c>
      <c r="C162" s="3" t="s">
        <v>127</v>
      </c>
      <c r="D162" s="3">
        <v>1</v>
      </c>
      <c r="E162" s="3" t="s">
        <v>216</v>
      </c>
      <c r="F162" s="3" t="s">
        <v>243</v>
      </c>
      <c r="G162" s="3" t="s">
        <v>233</v>
      </c>
      <c r="H162" s="3">
        <v>0</v>
      </c>
      <c r="I162" s="3">
        <v>1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4"/>
    </row>
    <row r="163" spans="1:34" x14ac:dyDescent="0.35">
      <c r="A163" s="19">
        <v>18</v>
      </c>
      <c r="B163" s="1" t="s">
        <v>29</v>
      </c>
      <c r="C163" s="1" t="s">
        <v>127</v>
      </c>
      <c r="D163" s="1">
        <v>2</v>
      </c>
      <c r="E163" s="1" t="s">
        <v>217</v>
      </c>
      <c r="F163" s="1" t="s">
        <v>243</v>
      </c>
      <c r="G163" s="1" t="s">
        <v>233</v>
      </c>
      <c r="H163" s="1">
        <v>0</v>
      </c>
      <c r="I163" s="1">
        <v>1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6"/>
    </row>
    <row r="164" spans="1:34" x14ac:dyDescent="0.35">
      <c r="A164" s="19">
        <v>18</v>
      </c>
      <c r="B164" s="1" t="s">
        <v>29</v>
      </c>
      <c r="C164" s="1" t="s">
        <v>127</v>
      </c>
      <c r="D164" s="1">
        <v>3</v>
      </c>
      <c r="E164" s="1" t="s">
        <v>218</v>
      </c>
      <c r="F164" s="1" t="s">
        <v>243</v>
      </c>
      <c r="G164" s="1" t="s">
        <v>233</v>
      </c>
      <c r="H164" s="1">
        <v>0</v>
      </c>
      <c r="I164" s="1">
        <v>1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6"/>
    </row>
    <row r="165" spans="1:34" x14ac:dyDescent="0.35">
      <c r="A165" s="19">
        <v>18</v>
      </c>
      <c r="B165" s="1" t="s">
        <v>29</v>
      </c>
      <c r="C165" s="1" t="s">
        <v>127</v>
      </c>
      <c r="D165" s="1">
        <v>4</v>
      </c>
      <c r="E165" s="1" t="s">
        <v>219</v>
      </c>
      <c r="F165" s="1"/>
      <c r="G165" s="1" t="s">
        <v>250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6">
        <v>0</v>
      </c>
    </row>
    <row r="166" spans="1:34" x14ac:dyDescent="0.35">
      <c r="A166" s="19">
        <v>18</v>
      </c>
      <c r="B166" s="1" t="s">
        <v>29</v>
      </c>
      <c r="C166" s="1" t="s">
        <v>127</v>
      </c>
      <c r="D166" s="1">
        <v>5</v>
      </c>
      <c r="E166" s="1" t="s">
        <v>220</v>
      </c>
      <c r="F166" s="1" t="s">
        <v>239</v>
      </c>
      <c r="G166" s="1" t="s">
        <v>233</v>
      </c>
      <c r="H166" s="1">
        <v>0</v>
      </c>
      <c r="I166" s="1">
        <v>999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6"/>
    </row>
    <row r="167" spans="1:34" x14ac:dyDescent="0.35">
      <c r="A167" s="19">
        <v>18</v>
      </c>
      <c r="B167" s="1" t="s">
        <v>29</v>
      </c>
      <c r="C167" s="1" t="s">
        <v>127</v>
      </c>
      <c r="D167" s="1">
        <v>6</v>
      </c>
      <c r="E167" s="1" t="s">
        <v>221</v>
      </c>
      <c r="F167" s="1" t="s">
        <v>239</v>
      </c>
      <c r="G167" s="1" t="s">
        <v>250</v>
      </c>
      <c r="H167" s="1">
        <v>0</v>
      </c>
      <c r="I167" s="1">
        <f t="shared" ref="I167:AH167" si="14">1.1*I168</f>
        <v>3.3000000000000002E-6</v>
      </c>
      <c r="J167" s="1">
        <f t="shared" si="14"/>
        <v>3.3000000000000002E-6</v>
      </c>
      <c r="K167" s="1">
        <f t="shared" si="14"/>
        <v>5.5000000000000007E-6</v>
      </c>
      <c r="L167" s="1">
        <f t="shared" si="14"/>
        <v>4.4000000000000002E-6</v>
      </c>
      <c r="M167" s="1">
        <f t="shared" si="14"/>
        <v>9.9000000000000018E-6</v>
      </c>
      <c r="N167" s="1">
        <f t="shared" si="14"/>
        <v>0</v>
      </c>
      <c r="O167" s="1">
        <f t="shared" si="14"/>
        <v>1.1000000000000001E-6</v>
      </c>
      <c r="P167" s="1">
        <f t="shared" si="14"/>
        <v>0</v>
      </c>
      <c r="Q167" s="1">
        <f t="shared" si="14"/>
        <v>1.1000000000000001E-5</v>
      </c>
      <c r="R167" s="1">
        <f t="shared" si="14"/>
        <v>7.1500000000000003E-5</v>
      </c>
      <c r="S167" s="1">
        <f t="shared" si="14"/>
        <v>1.7600000000000001E-5</v>
      </c>
      <c r="T167" s="1">
        <f t="shared" si="14"/>
        <v>4.7300000000000005E-5</v>
      </c>
      <c r="U167" s="1">
        <f t="shared" si="14"/>
        <v>5.4920113004718697E-5</v>
      </c>
      <c r="V167" s="1">
        <f t="shared" si="14"/>
        <v>6.0047995812304703E-5</v>
      </c>
      <c r="W167" s="1">
        <f t="shared" si="14"/>
        <v>6.5175878619890709E-5</v>
      </c>
      <c r="X167" s="1">
        <f t="shared" si="14"/>
        <v>7.0303761427476701E-5</v>
      </c>
      <c r="Y167" s="1">
        <f t="shared" si="14"/>
        <v>7.5431644235062707E-5</v>
      </c>
      <c r="Z167" s="1">
        <f t="shared" si="14"/>
        <v>8.0559527042648726E-5</v>
      </c>
      <c r="AA167" s="1">
        <f t="shared" si="14"/>
        <v>8.5687409850234732E-5</v>
      </c>
      <c r="AB167" s="1">
        <f t="shared" si="14"/>
        <v>9.0815292657820724E-5</v>
      </c>
      <c r="AC167" s="1">
        <f t="shared" si="14"/>
        <v>9.594317546540673E-5</v>
      </c>
      <c r="AD167" s="1">
        <f t="shared" si="14"/>
        <v>1.0107105827299274E-4</v>
      </c>
      <c r="AE167" s="1">
        <f t="shared" si="14"/>
        <v>1.0619894108057876E-4</v>
      </c>
      <c r="AF167" s="1">
        <f t="shared" si="14"/>
        <v>1.1132682388816473E-4</v>
      </c>
      <c r="AG167" s="1">
        <f t="shared" si="14"/>
        <v>1.1645470669575075E-4</v>
      </c>
      <c r="AH167" s="1">
        <f t="shared" si="14"/>
        <v>1.2158258950333676E-4</v>
      </c>
    </row>
    <row r="168" spans="1:34" x14ac:dyDescent="0.35">
      <c r="A168" s="19">
        <v>18</v>
      </c>
      <c r="B168" s="1" t="s">
        <v>29</v>
      </c>
      <c r="C168" s="1" t="s">
        <v>127</v>
      </c>
      <c r="D168" s="1">
        <v>7</v>
      </c>
      <c r="E168" s="33" t="s">
        <v>222</v>
      </c>
      <c r="F168" s="1" t="s">
        <v>239</v>
      </c>
      <c r="G168" s="1" t="s">
        <v>250</v>
      </c>
      <c r="H168" s="1">
        <v>0</v>
      </c>
      <c r="I168" s="70">
        <v>3.0000000000000001E-6</v>
      </c>
      <c r="J168" s="70">
        <v>3.0000000000000001E-6</v>
      </c>
      <c r="K168" s="70">
        <v>5.0000000000000004E-6</v>
      </c>
      <c r="L168" s="70">
        <v>3.9999999999999998E-6</v>
      </c>
      <c r="M168" s="70">
        <v>9.0000000000000002E-6</v>
      </c>
      <c r="N168" s="70">
        <v>0</v>
      </c>
      <c r="O168" s="70">
        <v>9.9999999999999995E-7</v>
      </c>
      <c r="P168" s="70">
        <v>0</v>
      </c>
      <c r="Q168" s="70">
        <v>1.0000000000000001E-5</v>
      </c>
      <c r="R168" s="70">
        <v>6.4999999999999994E-5</v>
      </c>
      <c r="S168" s="70">
        <v>1.5999999999999999E-5</v>
      </c>
      <c r="T168" s="70">
        <v>4.3000000000000002E-5</v>
      </c>
      <c r="U168" s="70">
        <v>4.9927375458835177E-5</v>
      </c>
      <c r="V168" s="70">
        <v>5.4589087102095178E-5</v>
      </c>
      <c r="W168" s="70">
        <v>5.925079874535518E-5</v>
      </c>
      <c r="X168" s="70">
        <v>6.3912510388615181E-5</v>
      </c>
      <c r="Y168" s="70">
        <v>6.8574222031875183E-5</v>
      </c>
      <c r="Z168" s="70">
        <v>7.3235933675135198E-5</v>
      </c>
      <c r="AA168" s="70">
        <v>7.78976453183952E-5</v>
      </c>
      <c r="AB168" s="70">
        <v>8.2559356961655201E-5</v>
      </c>
      <c r="AC168" s="70">
        <v>8.7221068604915203E-5</v>
      </c>
      <c r="AD168" s="70">
        <v>9.1882780248175205E-5</v>
      </c>
      <c r="AE168" s="70">
        <v>9.654449189143522E-5</v>
      </c>
      <c r="AF168" s="70">
        <v>1.0120620353469521E-4</v>
      </c>
      <c r="AG168" s="70">
        <v>1.0586791517795522E-4</v>
      </c>
      <c r="AH168" s="71">
        <v>1.1052962682121522E-4</v>
      </c>
    </row>
    <row r="169" spans="1:34" x14ac:dyDescent="0.35">
      <c r="A169" s="19">
        <v>18</v>
      </c>
      <c r="B169" s="1" t="s">
        <v>29</v>
      </c>
      <c r="C169" s="1" t="s">
        <v>127</v>
      </c>
      <c r="D169" s="1">
        <v>8</v>
      </c>
      <c r="E169" s="1" t="s">
        <v>223</v>
      </c>
      <c r="F169" s="1"/>
      <c r="G169" s="1" t="s">
        <v>233</v>
      </c>
      <c r="H169" s="1">
        <v>0</v>
      </c>
      <c r="I169" s="1">
        <v>0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6"/>
    </row>
    <row r="170" spans="1:34" x14ac:dyDescent="0.35">
      <c r="A170" s="19">
        <v>18</v>
      </c>
      <c r="B170" s="1" t="s">
        <v>29</v>
      </c>
      <c r="C170" s="1" t="s">
        <v>127</v>
      </c>
      <c r="D170" s="1">
        <v>9</v>
      </c>
      <c r="E170" s="1" t="s">
        <v>224</v>
      </c>
      <c r="F170" s="1" t="s">
        <v>242</v>
      </c>
      <c r="G170" s="1" t="s">
        <v>233</v>
      </c>
      <c r="H170" s="1">
        <v>0</v>
      </c>
      <c r="I170" s="1">
        <v>1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6"/>
    </row>
    <row r="171" spans="1:34" ht="15" thickBot="1" x14ac:dyDescent="0.4">
      <c r="A171" s="20">
        <v>18</v>
      </c>
      <c r="B171" s="8" t="s">
        <v>29</v>
      </c>
      <c r="C171" s="8" t="s">
        <v>127</v>
      </c>
      <c r="D171" s="8">
        <v>10</v>
      </c>
      <c r="E171" s="8" t="s">
        <v>225</v>
      </c>
      <c r="F171" s="8" t="s">
        <v>242</v>
      </c>
      <c r="G171" s="8" t="s">
        <v>233</v>
      </c>
      <c r="H171" s="8">
        <v>0</v>
      </c>
      <c r="I171" s="8">
        <v>1</v>
      </c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9"/>
    </row>
    <row r="172" spans="1:34" x14ac:dyDescent="0.35">
      <c r="A172" s="18">
        <v>19</v>
      </c>
      <c r="B172" s="3" t="s">
        <v>30</v>
      </c>
      <c r="C172" s="3" t="s">
        <v>128</v>
      </c>
      <c r="D172" s="3">
        <v>1</v>
      </c>
      <c r="E172" s="3" t="s">
        <v>216</v>
      </c>
      <c r="F172" s="3" t="s">
        <v>243</v>
      </c>
      <c r="G172" s="3" t="s">
        <v>233</v>
      </c>
      <c r="H172" s="3">
        <v>0</v>
      </c>
      <c r="I172" s="3">
        <v>1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4"/>
    </row>
    <row r="173" spans="1:34" x14ac:dyDescent="0.35">
      <c r="A173" s="19">
        <v>19</v>
      </c>
      <c r="B173" s="1" t="s">
        <v>30</v>
      </c>
      <c r="C173" s="1" t="s">
        <v>128</v>
      </c>
      <c r="D173" s="1">
        <v>2</v>
      </c>
      <c r="E173" s="1" t="s">
        <v>217</v>
      </c>
      <c r="F173" s="1" t="s">
        <v>243</v>
      </c>
      <c r="G173" s="1" t="s">
        <v>233</v>
      </c>
      <c r="H173" s="1">
        <v>0</v>
      </c>
      <c r="I173" s="1">
        <v>1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6"/>
    </row>
    <row r="174" spans="1:34" x14ac:dyDescent="0.35">
      <c r="A174" s="19">
        <v>19</v>
      </c>
      <c r="B174" s="1" t="s">
        <v>30</v>
      </c>
      <c r="C174" s="1" t="s">
        <v>128</v>
      </c>
      <c r="D174" s="1">
        <v>3</v>
      </c>
      <c r="E174" s="1" t="s">
        <v>218</v>
      </c>
      <c r="F174" s="1" t="s">
        <v>243</v>
      </c>
      <c r="G174" s="1" t="s">
        <v>233</v>
      </c>
      <c r="H174" s="1">
        <v>0</v>
      </c>
      <c r="I174" s="1">
        <v>1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6"/>
    </row>
    <row r="175" spans="1:34" x14ac:dyDescent="0.35">
      <c r="A175" s="19">
        <v>19</v>
      </c>
      <c r="B175" s="1" t="s">
        <v>30</v>
      </c>
      <c r="C175" s="1" t="s">
        <v>128</v>
      </c>
      <c r="D175" s="1">
        <v>4</v>
      </c>
      <c r="E175" s="1" t="s">
        <v>219</v>
      </c>
      <c r="F175" s="1"/>
      <c r="G175" s="1" t="s">
        <v>250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6">
        <v>0</v>
      </c>
    </row>
    <row r="176" spans="1:34" x14ac:dyDescent="0.35">
      <c r="A176" s="19">
        <v>19</v>
      </c>
      <c r="B176" s="1" t="s">
        <v>30</v>
      </c>
      <c r="C176" s="1" t="s">
        <v>128</v>
      </c>
      <c r="D176" s="1">
        <v>5</v>
      </c>
      <c r="E176" s="1" t="s">
        <v>220</v>
      </c>
      <c r="F176" s="1" t="s">
        <v>239</v>
      </c>
      <c r="G176" s="1" t="s">
        <v>233</v>
      </c>
      <c r="H176" s="1">
        <v>0</v>
      </c>
      <c r="I176" s="1">
        <v>999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6"/>
    </row>
    <row r="177" spans="1:34" x14ac:dyDescent="0.35">
      <c r="A177" s="19">
        <v>19</v>
      </c>
      <c r="B177" s="1" t="s">
        <v>30</v>
      </c>
      <c r="C177" s="1" t="s">
        <v>128</v>
      </c>
      <c r="D177" s="1">
        <v>6</v>
      </c>
      <c r="E177" s="1" t="s">
        <v>221</v>
      </c>
      <c r="F177" s="1" t="s">
        <v>239</v>
      </c>
      <c r="G177" s="1" t="s">
        <v>250</v>
      </c>
      <c r="H177" s="1">
        <v>0</v>
      </c>
      <c r="I177" s="1">
        <f t="shared" ref="I177:AH177" si="15">1.1*I178</f>
        <v>1.3239038999999998E-3</v>
      </c>
      <c r="J177" s="1">
        <f t="shared" si="15"/>
        <v>1.2618199000000001E-3</v>
      </c>
      <c r="K177" s="1">
        <f t="shared" si="15"/>
        <v>1.2333804999999998E-3</v>
      </c>
      <c r="L177" s="1">
        <f t="shared" si="15"/>
        <v>1.1069344000000001E-3</v>
      </c>
      <c r="M177" s="1">
        <f t="shared" si="15"/>
        <v>1.1550528000000002E-3</v>
      </c>
      <c r="N177" s="1">
        <f t="shared" si="15"/>
        <v>1.1584693999999998E-3</v>
      </c>
      <c r="O177" s="1">
        <f t="shared" si="15"/>
        <v>1.0359998E-3</v>
      </c>
      <c r="P177" s="1">
        <f t="shared" si="15"/>
        <v>1.1388878270000001E-3</v>
      </c>
      <c r="Q177" s="1">
        <f t="shared" si="15"/>
        <v>1.5642725010000002E-3</v>
      </c>
      <c r="R177" s="1">
        <f t="shared" si="15"/>
        <v>1.7774289841000002E-3</v>
      </c>
      <c r="S177" s="1">
        <f t="shared" si="15"/>
        <v>1.8470502699E-3</v>
      </c>
      <c r="T177" s="1">
        <f t="shared" si="15"/>
        <v>2.4783904607000003E-3</v>
      </c>
      <c r="U177" s="1">
        <f t="shared" si="15"/>
        <v>2.5183716321451294E-3</v>
      </c>
      <c r="V177" s="1">
        <f t="shared" si="15"/>
        <v>2.5581170224393481E-3</v>
      </c>
      <c r="W177" s="1">
        <f t="shared" si="15"/>
        <v>2.5975991147805483E-3</v>
      </c>
      <c r="X177" s="1">
        <f t="shared" si="15"/>
        <v>2.6368066330677139E-3</v>
      </c>
      <c r="Y177" s="1">
        <f t="shared" si="15"/>
        <v>2.6756917706299331E-3</v>
      </c>
      <c r="Z177" s="1">
        <f t="shared" si="15"/>
        <v>2.7142357531184814E-3</v>
      </c>
      <c r="AA177" s="1">
        <f t="shared" si="15"/>
        <v>2.7524068519824535E-3</v>
      </c>
      <c r="AB177" s="1">
        <f t="shared" si="15"/>
        <v>2.7901955269327605E-3</v>
      </c>
      <c r="AC177" s="1">
        <f t="shared" si="15"/>
        <v>2.8275552265474317E-3</v>
      </c>
      <c r="AD177" s="1">
        <f t="shared" si="15"/>
        <v>2.8644617418402043E-3</v>
      </c>
      <c r="AE177" s="1">
        <f t="shared" si="15"/>
        <v>2.9008849780646786E-3</v>
      </c>
      <c r="AF177" s="1">
        <f t="shared" si="15"/>
        <v>2.9367906189906728E-3</v>
      </c>
      <c r="AG177" s="1">
        <f t="shared" si="15"/>
        <v>2.9721595654502329E-3</v>
      </c>
      <c r="AH177" s="1">
        <f t="shared" si="15"/>
        <v>3.0069616802909436E-3</v>
      </c>
    </row>
    <row r="178" spans="1:34" x14ac:dyDescent="0.35">
      <c r="A178" s="19">
        <v>19</v>
      </c>
      <c r="B178" s="1" t="s">
        <v>30</v>
      </c>
      <c r="C178" s="1" t="s">
        <v>128</v>
      </c>
      <c r="D178" s="1">
        <v>7</v>
      </c>
      <c r="E178" s="1" t="s">
        <v>222</v>
      </c>
      <c r="F178" s="1" t="s">
        <v>239</v>
      </c>
      <c r="G178" s="1" t="s">
        <v>250</v>
      </c>
      <c r="H178" s="1">
        <v>0</v>
      </c>
      <c r="I178" s="1">
        <v>1.2035489999999997E-3</v>
      </c>
      <c r="J178" s="1">
        <v>1.1471089999999999E-3</v>
      </c>
      <c r="K178" s="1">
        <v>1.1212549999999998E-3</v>
      </c>
      <c r="L178" s="1">
        <v>1.006304E-3</v>
      </c>
      <c r="M178" s="1">
        <v>1.050048E-3</v>
      </c>
      <c r="N178" s="1">
        <v>1.0531539999999997E-3</v>
      </c>
      <c r="O178" s="1">
        <v>9.4181799999999987E-4</v>
      </c>
      <c r="P178" s="1">
        <v>1.0353525699999999E-3</v>
      </c>
      <c r="Q178" s="1">
        <v>1.42206591E-3</v>
      </c>
      <c r="R178" s="1">
        <v>1.615844531E-3</v>
      </c>
      <c r="S178" s="1">
        <v>1.6791366089999999E-3</v>
      </c>
      <c r="T178" s="1">
        <v>2.2530822369999999E-3</v>
      </c>
      <c r="U178" s="1">
        <v>2.289428756495572E-3</v>
      </c>
      <c r="V178" s="1">
        <v>2.3255609294903163E-3</v>
      </c>
      <c r="W178" s="1">
        <v>2.3614537407095891E-3</v>
      </c>
      <c r="X178" s="1">
        <v>2.3970969391524672E-3</v>
      </c>
      <c r="Y178" s="1">
        <v>2.4324470642090299E-3</v>
      </c>
      <c r="Z178" s="1">
        <v>2.4674870482895282E-3</v>
      </c>
      <c r="AA178" s="1">
        <v>2.5021880472567756E-3</v>
      </c>
      <c r="AB178" s="1">
        <v>2.5365413881206912E-3</v>
      </c>
      <c r="AC178" s="1">
        <v>2.5705047514067558E-3</v>
      </c>
      <c r="AD178" s="1">
        <v>2.6040561289456402E-3</v>
      </c>
      <c r="AE178" s="1">
        <v>2.6371681618769802E-3</v>
      </c>
      <c r="AF178" s="1">
        <v>2.669809653627884E-3</v>
      </c>
      <c r="AG178" s="1">
        <v>2.7019632413183932E-3</v>
      </c>
      <c r="AH178" s="6">
        <v>2.7336015275372214E-3</v>
      </c>
    </row>
    <row r="179" spans="1:34" x14ac:dyDescent="0.35">
      <c r="A179" s="19">
        <v>19</v>
      </c>
      <c r="B179" s="1" t="s">
        <v>30</v>
      </c>
      <c r="C179" s="1" t="s">
        <v>128</v>
      </c>
      <c r="D179" s="1">
        <v>8</v>
      </c>
      <c r="E179" s="1" t="s">
        <v>223</v>
      </c>
      <c r="F179" s="1"/>
      <c r="G179" s="1" t="s">
        <v>233</v>
      </c>
      <c r="H179" s="1">
        <v>0</v>
      </c>
      <c r="I179" s="1">
        <v>0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6"/>
    </row>
    <row r="180" spans="1:34" x14ac:dyDescent="0.35">
      <c r="A180" s="19">
        <v>19</v>
      </c>
      <c r="B180" s="1" t="s">
        <v>30</v>
      </c>
      <c r="C180" s="1" t="s">
        <v>128</v>
      </c>
      <c r="D180" s="1">
        <v>9</v>
      </c>
      <c r="E180" s="1" t="s">
        <v>224</v>
      </c>
      <c r="F180" s="1" t="s">
        <v>242</v>
      </c>
      <c r="G180" s="1" t="s">
        <v>233</v>
      </c>
      <c r="H180" s="1">
        <v>0</v>
      </c>
      <c r="I180" s="1">
        <v>1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6"/>
    </row>
    <row r="181" spans="1:34" ht="15" thickBot="1" x14ac:dyDescent="0.4">
      <c r="A181" s="20">
        <v>19</v>
      </c>
      <c r="B181" s="8" t="s">
        <v>30</v>
      </c>
      <c r="C181" s="8" t="s">
        <v>128</v>
      </c>
      <c r="D181" s="8">
        <v>10</v>
      </c>
      <c r="E181" s="8" t="s">
        <v>225</v>
      </c>
      <c r="F181" s="8" t="s">
        <v>242</v>
      </c>
      <c r="G181" s="8" t="s">
        <v>233</v>
      </c>
      <c r="H181" s="8">
        <v>0</v>
      </c>
      <c r="I181" s="8">
        <v>1</v>
      </c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9"/>
    </row>
    <row r="182" spans="1:34" x14ac:dyDescent="0.35">
      <c r="A182" s="18">
        <v>20</v>
      </c>
      <c r="B182" s="3" t="s">
        <v>31</v>
      </c>
      <c r="C182" s="3" t="s">
        <v>129</v>
      </c>
      <c r="D182" s="3">
        <v>1</v>
      </c>
      <c r="E182" s="3" t="s">
        <v>216</v>
      </c>
      <c r="F182" s="3" t="s">
        <v>243</v>
      </c>
      <c r="G182" s="3" t="s">
        <v>233</v>
      </c>
      <c r="H182" s="3">
        <v>0</v>
      </c>
      <c r="I182" s="3">
        <v>1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4"/>
    </row>
    <row r="183" spans="1:34" x14ac:dyDescent="0.35">
      <c r="A183" s="19">
        <v>20</v>
      </c>
      <c r="B183" s="1" t="s">
        <v>31</v>
      </c>
      <c r="C183" s="1" t="s">
        <v>129</v>
      </c>
      <c r="D183" s="1">
        <v>2</v>
      </c>
      <c r="E183" s="1" t="s">
        <v>217</v>
      </c>
      <c r="F183" s="1" t="s">
        <v>243</v>
      </c>
      <c r="G183" s="1" t="s">
        <v>233</v>
      </c>
      <c r="H183" s="1">
        <v>0</v>
      </c>
      <c r="I183" s="1">
        <v>1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6"/>
    </row>
    <row r="184" spans="1:34" x14ac:dyDescent="0.35">
      <c r="A184" s="19">
        <v>20</v>
      </c>
      <c r="B184" s="1" t="s">
        <v>31</v>
      </c>
      <c r="C184" s="1" t="s">
        <v>129</v>
      </c>
      <c r="D184" s="1">
        <v>3</v>
      </c>
      <c r="E184" s="1" t="s">
        <v>218</v>
      </c>
      <c r="F184" s="1" t="s">
        <v>243</v>
      </c>
      <c r="G184" s="1" t="s">
        <v>233</v>
      </c>
      <c r="H184" s="1">
        <v>0</v>
      </c>
      <c r="I184" s="1">
        <v>1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6"/>
    </row>
    <row r="185" spans="1:34" x14ac:dyDescent="0.35">
      <c r="A185" s="19">
        <v>20</v>
      </c>
      <c r="B185" s="1" t="s">
        <v>31</v>
      </c>
      <c r="C185" s="1" t="s">
        <v>129</v>
      </c>
      <c r="D185" s="1">
        <v>4</v>
      </c>
      <c r="E185" s="1" t="s">
        <v>219</v>
      </c>
      <c r="F185" s="1"/>
      <c r="G185" s="1" t="s">
        <v>250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6">
        <v>0</v>
      </c>
    </row>
    <row r="186" spans="1:34" x14ac:dyDescent="0.35">
      <c r="A186" s="19">
        <v>20</v>
      </c>
      <c r="B186" s="1" t="s">
        <v>31</v>
      </c>
      <c r="C186" s="1" t="s">
        <v>129</v>
      </c>
      <c r="D186" s="1">
        <v>5</v>
      </c>
      <c r="E186" s="1" t="s">
        <v>220</v>
      </c>
      <c r="F186" s="1" t="s">
        <v>239</v>
      </c>
      <c r="G186" s="1" t="s">
        <v>233</v>
      </c>
      <c r="H186" s="1">
        <v>0</v>
      </c>
      <c r="I186" s="1">
        <v>999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6"/>
    </row>
    <row r="187" spans="1:34" x14ac:dyDescent="0.35">
      <c r="A187" s="19">
        <v>20</v>
      </c>
      <c r="B187" s="1" t="s">
        <v>31</v>
      </c>
      <c r="C187" s="1" t="s">
        <v>129</v>
      </c>
      <c r="D187" s="1">
        <v>6</v>
      </c>
      <c r="E187" s="1" t="s">
        <v>221</v>
      </c>
      <c r="F187" s="1" t="s">
        <v>239</v>
      </c>
      <c r="G187" s="1" t="s">
        <v>250</v>
      </c>
      <c r="H187" s="1">
        <v>0</v>
      </c>
      <c r="I187" s="1">
        <f t="shared" ref="I187:AH187" si="16">1.1*I188</f>
        <v>0</v>
      </c>
      <c r="J187" s="1">
        <f t="shared" si="16"/>
        <v>0</v>
      </c>
      <c r="K187" s="1">
        <f t="shared" si="16"/>
        <v>0</v>
      </c>
      <c r="L187" s="1">
        <f t="shared" si="16"/>
        <v>0</v>
      </c>
      <c r="M187" s="1">
        <f t="shared" si="16"/>
        <v>0</v>
      </c>
      <c r="N187" s="1">
        <f t="shared" si="16"/>
        <v>0</v>
      </c>
      <c r="O187" s="1">
        <f t="shared" si="16"/>
        <v>0</v>
      </c>
      <c r="P187" s="1">
        <f t="shared" si="16"/>
        <v>0</v>
      </c>
      <c r="Q187" s="1">
        <f t="shared" si="16"/>
        <v>0</v>
      </c>
      <c r="R187" s="1">
        <f t="shared" si="16"/>
        <v>0</v>
      </c>
      <c r="S187" s="1">
        <f t="shared" si="16"/>
        <v>0</v>
      </c>
      <c r="T187" s="1">
        <f t="shared" si="16"/>
        <v>0</v>
      </c>
      <c r="U187" s="1">
        <f t="shared" si="16"/>
        <v>0</v>
      </c>
      <c r="V187" s="1">
        <f t="shared" si="16"/>
        <v>0</v>
      </c>
      <c r="W187" s="1">
        <f t="shared" si="16"/>
        <v>0</v>
      </c>
      <c r="X187" s="1">
        <f t="shared" si="16"/>
        <v>0</v>
      </c>
      <c r="Y187" s="1">
        <f t="shared" si="16"/>
        <v>0</v>
      </c>
      <c r="Z187" s="1">
        <f t="shared" si="16"/>
        <v>0</v>
      </c>
      <c r="AA187" s="1">
        <f t="shared" si="16"/>
        <v>0</v>
      </c>
      <c r="AB187" s="1">
        <f t="shared" si="16"/>
        <v>0</v>
      </c>
      <c r="AC187" s="1">
        <f t="shared" si="16"/>
        <v>0</v>
      </c>
      <c r="AD187" s="1">
        <f t="shared" si="16"/>
        <v>0</v>
      </c>
      <c r="AE187" s="1">
        <f t="shared" si="16"/>
        <v>0</v>
      </c>
      <c r="AF187" s="1">
        <f t="shared" si="16"/>
        <v>0</v>
      </c>
      <c r="AG187" s="1">
        <f t="shared" si="16"/>
        <v>0</v>
      </c>
      <c r="AH187" s="1">
        <f t="shared" si="16"/>
        <v>0</v>
      </c>
    </row>
    <row r="188" spans="1:34" x14ac:dyDescent="0.35">
      <c r="A188" s="19">
        <v>20</v>
      </c>
      <c r="B188" s="1" t="s">
        <v>31</v>
      </c>
      <c r="C188" s="1" t="s">
        <v>129</v>
      </c>
      <c r="D188" s="1">
        <v>7</v>
      </c>
      <c r="E188" s="1" t="s">
        <v>222</v>
      </c>
      <c r="F188" s="1" t="s">
        <v>239</v>
      </c>
      <c r="G188" s="1" t="s">
        <v>250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6">
        <v>0</v>
      </c>
    </row>
    <row r="189" spans="1:34" x14ac:dyDescent="0.35">
      <c r="A189" s="19">
        <v>20</v>
      </c>
      <c r="B189" s="1" t="s">
        <v>31</v>
      </c>
      <c r="C189" s="1" t="s">
        <v>129</v>
      </c>
      <c r="D189" s="1">
        <v>8</v>
      </c>
      <c r="E189" s="1" t="s">
        <v>223</v>
      </c>
      <c r="F189" s="1"/>
      <c r="G189" s="1" t="s">
        <v>233</v>
      </c>
      <c r="H189" s="1">
        <v>0</v>
      </c>
      <c r="I189" s="1">
        <v>0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6"/>
    </row>
    <row r="190" spans="1:34" x14ac:dyDescent="0.35">
      <c r="A190" s="19">
        <v>20</v>
      </c>
      <c r="B190" s="1" t="s">
        <v>31</v>
      </c>
      <c r="C190" s="1" t="s">
        <v>129</v>
      </c>
      <c r="D190" s="1">
        <v>9</v>
      </c>
      <c r="E190" s="1" t="s">
        <v>224</v>
      </c>
      <c r="F190" s="1" t="s">
        <v>242</v>
      </c>
      <c r="G190" s="1" t="s">
        <v>233</v>
      </c>
      <c r="H190" s="1">
        <v>0</v>
      </c>
      <c r="I190" s="1">
        <v>1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6"/>
    </row>
    <row r="191" spans="1:34" ht="15" thickBot="1" x14ac:dyDescent="0.4">
      <c r="A191" s="20">
        <v>20</v>
      </c>
      <c r="B191" s="8" t="s">
        <v>31</v>
      </c>
      <c r="C191" s="8" t="s">
        <v>129</v>
      </c>
      <c r="D191" s="8">
        <v>10</v>
      </c>
      <c r="E191" s="8" t="s">
        <v>225</v>
      </c>
      <c r="F191" s="8" t="s">
        <v>242</v>
      </c>
      <c r="G191" s="8" t="s">
        <v>233</v>
      </c>
      <c r="H191" s="8">
        <v>0</v>
      </c>
      <c r="I191" s="8">
        <v>1</v>
      </c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9"/>
    </row>
    <row r="192" spans="1:34" x14ac:dyDescent="0.35">
      <c r="A192" s="18">
        <v>21</v>
      </c>
      <c r="B192" s="3" t="s">
        <v>32</v>
      </c>
      <c r="C192" s="3" t="s">
        <v>130</v>
      </c>
      <c r="D192" s="3">
        <v>1</v>
      </c>
      <c r="E192" s="3" t="s">
        <v>216</v>
      </c>
      <c r="F192" s="3" t="s">
        <v>243</v>
      </c>
      <c r="G192" s="3" t="s">
        <v>233</v>
      </c>
      <c r="H192" s="3">
        <v>0</v>
      </c>
      <c r="I192" s="3">
        <v>1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4"/>
    </row>
    <row r="193" spans="1:34" x14ac:dyDescent="0.35">
      <c r="A193" s="19">
        <v>21</v>
      </c>
      <c r="B193" s="1" t="s">
        <v>32</v>
      </c>
      <c r="C193" s="1" t="s">
        <v>130</v>
      </c>
      <c r="D193" s="1">
        <v>2</v>
      </c>
      <c r="E193" s="1" t="s">
        <v>217</v>
      </c>
      <c r="F193" s="1" t="s">
        <v>243</v>
      </c>
      <c r="G193" s="1" t="s">
        <v>233</v>
      </c>
      <c r="H193" s="1">
        <v>0</v>
      </c>
      <c r="I193" s="1">
        <v>1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6"/>
    </row>
    <row r="194" spans="1:34" x14ac:dyDescent="0.35">
      <c r="A194" s="19">
        <v>21</v>
      </c>
      <c r="B194" s="1" t="s">
        <v>32</v>
      </c>
      <c r="C194" s="1" t="s">
        <v>130</v>
      </c>
      <c r="D194" s="1">
        <v>3</v>
      </c>
      <c r="E194" s="1" t="s">
        <v>218</v>
      </c>
      <c r="F194" s="1" t="s">
        <v>243</v>
      </c>
      <c r="G194" s="1" t="s">
        <v>233</v>
      </c>
      <c r="H194" s="1">
        <v>0</v>
      </c>
      <c r="I194" s="1">
        <v>1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6"/>
    </row>
    <row r="195" spans="1:34" x14ac:dyDescent="0.35">
      <c r="A195" s="19">
        <v>21</v>
      </c>
      <c r="B195" s="1" t="s">
        <v>32</v>
      </c>
      <c r="C195" s="1" t="s">
        <v>130</v>
      </c>
      <c r="D195" s="1">
        <v>4</v>
      </c>
      <c r="E195" s="1" t="s">
        <v>219</v>
      </c>
      <c r="F195" s="1"/>
      <c r="G195" s="1" t="s">
        <v>250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6">
        <v>0</v>
      </c>
    </row>
    <row r="196" spans="1:34" x14ac:dyDescent="0.35">
      <c r="A196" s="19">
        <v>21</v>
      </c>
      <c r="B196" s="1" t="s">
        <v>32</v>
      </c>
      <c r="C196" s="1" t="s">
        <v>130</v>
      </c>
      <c r="D196" s="1">
        <v>5</v>
      </c>
      <c r="E196" s="1" t="s">
        <v>220</v>
      </c>
      <c r="F196" s="1" t="s">
        <v>239</v>
      </c>
      <c r="G196" s="1" t="s">
        <v>233</v>
      </c>
      <c r="H196" s="1">
        <v>0</v>
      </c>
      <c r="I196" s="1">
        <v>999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6"/>
    </row>
    <row r="197" spans="1:34" x14ac:dyDescent="0.35">
      <c r="A197" s="19">
        <v>21</v>
      </c>
      <c r="B197" s="1" t="s">
        <v>32</v>
      </c>
      <c r="C197" s="1" t="s">
        <v>130</v>
      </c>
      <c r="D197" s="1">
        <v>6</v>
      </c>
      <c r="E197" s="1" t="s">
        <v>221</v>
      </c>
      <c r="F197" s="1" t="s">
        <v>239</v>
      </c>
      <c r="G197" s="1" t="s">
        <v>250</v>
      </c>
      <c r="H197" s="1">
        <v>0</v>
      </c>
      <c r="I197" s="1">
        <v>999</v>
      </c>
      <c r="J197" s="1">
        <v>999</v>
      </c>
      <c r="K197" s="1">
        <v>999</v>
      </c>
      <c r="L197" s="1">
        <v>999</v>
      </c>
      <c r="M197" s="1">
        <v>999</v>
      </c>
      <c r="N197" s="1">
        <v>999</v>
      </c>
      <c r="O197" s="1">
        <v>999</v>
      </c>
      <c r="P197" s="1">
        <v>999</v>
      </c>
      <c r="Q197" s="1">
        <v>999</v>
      </c>
      <c r="R197" s="1">
        <v>999</v>
      </c>
      <c r="S197" s="1">
        <v>999</v>
      </c>
      <c r="T197" s="1">
        <v>999</v>
      </c>
      <c r="U197" s="1">
        <v>999</v>
      </c>
      <c r="V197" s="1">
        <v>999</v>
      </c>
      <c r="W197" s="1">
        <v>999</v>
      </c>
      <c r="X197" s="1">
        <v>999</v>
      </c>
      <c r="Y197" s="1">
        <v>999</v>
      </c>
      <c r="Z197" s="1">
        <v>999</v>
      </c>
      <c r="AA197" s="1">
        <v>999</v>
      </c>
      <c r="AB197" s="1">
        <v>999</v>
      </c>
      <c r="AC197" s="1">
        <v>999</v>
      </c>
      <c r="AD197" s="1">
        <v>999</v>
      </c>
      <c r="AE197" s="1">
        <v>999</v>
      </c>
      <c r="AF197" s="1">
        <v>999</v>
      </c>
      <c r="AG197" s="1">
        <v>999</v>
      </c>
      <c r="AH197" s="1">
        <v>999</v>
      </c>
    </row>
    <row r="198" spans="1:34" x14ac:dyDescent="0.35">
      <c r="A198" s="19">
        <v>21</v>
      </c>
      <c r="B198" s="1" t="s">
        <v>32</v>
      </c>
      <c r="C198" s="1" t="s">
        <v>130</v>
      </c>
      <c r="D198" s="1">
        <v>7</v>
      </c>
      <c r="E198" s="1" t="s">
        <v>222</v>
      </c>
      <c r="F198" s="1" t="s">
        <v>239</v>
      </c>
      <c r="G198" s="1" t="s">
        <v>250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6">
        <v>0</v>
      </c>
    </row>
    <row r="199" spans="1:34" x14ac:dyDescent="0.35">
      <c r="A199" s="19">
        <v>21</v>
      </c>
      <c r="B199" s="1" t="s">
        <v>32</v>
      </c>
      <c r="C199" s="1" t="s">
        <v>130</v>
      </c>
      <c r="D199" s="1">
        <v>8</v>
      </c>
      <c r="E199" s="1" t="s">
        <v>223</v>
      </c>
      <c r="F199" s="1"/>
      <c r="G199" s="1" t="s">
        <v>233</v>
      </c>
      <c r="H199" s="1">
        <v>0</v>
      </c>
      <c r="I199" s="1">
        <v>0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6"/>
    </row>
    <row r="200" spans="1:34" x14ac:dyDescent="0.35">
      <c r="A200" s="19">
        <v>21</v>
      </c>
      <c r="B200" s="1" t="s">
        <v>32</v>
      </c>
      <c r="C200" s="1" t="s">
        <v>130</v>
      </c>
      <c r="D200" s="1">
        <v>9</v>
      </c>
      <c r="E200" s="1" t="s">
        <v>224</v>
      </c>
      <c r="F200" s="1" t="s">
        <v>242</v>
      </c>
      <c r="G200" s="1" t="s">
        <v>233</v>
      </c>
      <c r="H200" s="1">
        <v>0</v>
      </c>
      <c r="I200" s="1">
        <v>1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6"/>
    </row>
    <row r="201" spans="1:34" ht="15" thickBot="1" x14ac:dyDescent="0.4">
      <c r="A201" s="20">
        <v>21</v>
      </c>
      <c r="B201" s="8" t="s">
        <v>32</v>
      </c>
      <c r="C201" s="8" t="s">
        <v>130</v>
      </c>
      <c r="D201" s="8">
        <v>10</v>
      </c>
      <c r="E201" s="8" t="s">
        <v>225</v>
      </c>
      <c r="F201" s="8" t="s">
        <v>242</v>
      </c>
      <c r="G201" s="8" t="s">
        <v>233</v>
      </c>
      <c r="H201" s="8">
        <v>0</v>
      </c>
      <c r="I201" s="8">
        <v>1</v>
      </c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9"/>
    </row>
    <row r="202" spans="1:34" x14ac:dyDescent="0.35">
      <c r="A202" s="18">
        <v>22</v>
      </c>
      <c r="B202" s="3" t="s">
        <v>33</v>
      </c>
      <c r="C202" s="3" t="s">
        <v>131</v>
      </c>
      <c r="D202" s="3">
        <v>1</v>
      </c>
      <c r="E202" s="3" t="s">
        <v>216</v>
      </c>
      <c r="F202" s="3" t="s">
        <v>243</v>
      </c>
      <c r="G202" s="3" t="s">
        <v>233</v>
      </c>
      <c r="H202" s="3">
        <v>0</v>
      </c>
      <c r="I202" s="3">
        <v>1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4"/>
    </row>
    <row r="203" spans="1:34" x14ac:dyDescent="0.35">
      <c r="A203" s="19">
        <v>22</v>
      </c>
      <c r="B203" s="1" t="s">
        <v>33</v>
      </c>
      <c r="C203" s="1" t="s">
        <v>131</v>
      </c>
      <c r="D203" s="1">
        <v>2</v>
      </c>
      <c r="E203" s="1" t="s">
        <v>217</v>
      </c>
      <c r="F203" s="1" t="s">
        <v>243</v>
      </c>
      <c r="G203" s="1" t="s">
        <v>233</v>
      </c>
      <c r="H203" s="1">
        <v>0</v>
      </c>
      <c r="I203" s="1">
        <v>1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6"/>
    </row>
    <row r="204" spans="1:34" x14ac:dyDescent="0.35">
      <c r="A204" s="19">
        <v>22</v>
      </c>
      <c r="B204" s="1" t="s">
        <v>33</v>
      </c>
      <c r="C204" s="1" t="s">
        <v>131</v>
      </c>
      <c r="D204" s="1">
        <v>3</v>
      </c>
      <c r="E204" s="1" t="s">
        <v>218</v>
      </c>
      <c r="F204" s="1" t="s">
        <v>243</v>
      </c>
      <c r="G204" s="1" t="s">
        <v>233</v>
      </c>
      <c r="H204" s="1">
        <v>0</v>
      </c>
      <c r="I204" s="1">
        <v>1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6"/>
    </row>
    <row r="205" spans="1:34" x14ac:dyDescent="0.35">
      <c r="A205" s="19">
        <v>22</v>
      </c>
      <c r="B205" s="1" t="s">
        <v>33</v>
      </c>
      <c r="C205" s="1" t="s">
        <v>131</v>
      </c>
      <c r="D205" s="1">
        <v>4</v>
      </c>
      <c r="E205" s="1" t="s">
        <v>219</v>
      </c>
      <c r="F205" s="1"/>
      <c r="G205" s="1" t="s">
        <v>250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6">
        <v>0</v>
      </c>
    </row>
    <row r="206" spans="1:34" x14ac:dyDescent="0.35">
      <c r="A206" s="19">
        <v>22</v>
      </c>
      <c r="B206" s="1" t="s">
        <v>33</v>
      </c>
      <c r="C206" s="1" t="s">
        <v>131</v>
      </c>
      <c r="D206" s="1">
        <v>5</v>
      </c>
      <c r="E206" s="1" t="s">
        <v>220</v>
      </c>
      <c r="F206" s="1" t="s">
        <v>239</v>
      </c>
      <c r="G206" s="1" t="s">
        <v>233</v>
      </c>
      <c r="H206" s="1">
        <v>0</v>
      </c>
      <c r="I206" s="1">
        <v>999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6"/>
    </row>
    <row r="207" spans="1:34" x14ac:dyDescent="0.35">
      <c r="A207" s="19">
        <v>22</v>
      </c>
      <c r="B207" s="1" t="s">
        <v>33</v>
      </c>
      <c r="C207" s="1" t="s">
        <v>131</v>
      </c>
      <c r="D207" s="1">
        <v>6</v>
      </c>
      <c r="E207" s="1" t="s">
        <v>221</v>
      </c>
      <c r="F207" s="1" t="s">
        <v>239</v>
      </c>
      <c r="G207" s="1" t="s">
        <v>250</v>
      </c>
      <c r="H207" s="1">
        <v>0</v>
      </c>
      <c r="I207" s="1">
        <v>999</v>
      </c>
      <c r="J207" s="1">
        <v>999</v>
      </c>
      <c r="K207" s="1">
        <v>999</v>
      </c>
      <c r="L207" s="1">
        <v>999</v>
      </c>
      <c r="M207" s="1">
        <v>999</v>
      </c>
      <c r="N207" s="1">
        <v>999</v>
      </c>
      <c r="O207" s="1">
        <v>999</v>
      </c>
      <c r="P207" s="1">
        <v>999</v>
      </c>
      <c r="Q207" s="1">
        <v>999</v>
      </c>
      <c r="R207" s="1">
        <v>999</v>
      </c>
      <c r="S207" s="1">
        <v>999</v>
      </c>
      <c r="T207" s="1">
        <v>999</v>
      </c>
      <c r="U207" s="1">
        <v>999</v>
      </c>
      <c r="V207" s="1">
        <v>999</v>
      </c>
      <c r="W207" s="1">
        <v>999</v>
      </c>
      <c r="X207" s="1">
        <v>999</v>
      </c>
      <c r="Y207" s="1">
        <v>999</v>
      </c>
      <c r="Z207" s="1">
        <v>999</v>
      </c>
      <c r="AA207" s="1">
        <v>999</v>
      </c>
      <c r="AB207" s="1">
        <v>999</v>
      </c>
      <c r="AC207" s="1">
        <v>999</v>
      </c>
      <c r="AD207" s="1">
        <v>999</v>
      </c>
      <c r="AE207" s="1">
        <v>999</v>
      </c>
      <c r="AF207" s="1">
        <v>999</v>
      </c>
      <c r="AG207" s="1">
        <v>999</v>
      </c>
      <c r="AH207" s="1">
        <v>999</v>
      </c>
    </row>
    <row r="208" spans="1:34" x14ac:dyDescent="0.35">
      <c r="A208" s="19">
        <v>22</v>
      </c>
      <c r="B208" s="1" t="s">
        <v>33</v>
      </c>
      <c r="C208" s="1" t="s">
        <v>131</v>
      </c>
      <c r="D208" s="1">
        <v>7</v>
      </c>
      <c r="E208" s="1" t="s">
        <v>222</v>
      </c>
      <c r="F208" s="1" t="s">
        <v>239</v>
      </c>
      <c r="G208" s="1" t="s">
        <v>250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6">
        <v>0</v>
      </c>
    </row>
    <row r="209" spans="1:34" x14ac:dyDescent="0.35">
      <c r="A209" s="19">
        <v>22</v>
      </c>
      <c r="B209" s="1" t="s">
        <v>33</v>
      </c>
      <c r="C209" s="1" t="s">
        <v>131</v>
      </c>
      <c r="D209" s="1">
        <v>8</v>
      </c>
      <c r="E209" s="1" t="s">
        <v>223</v>
      </c>
      <c r="F209" s="1"/>
      <c r="G209" s="1" t="s">
        <v>233</v>
      </c>
      <c r="H209" s="1">
        <v>0</v>
      </c>
      <c r="I209" s="1">
        <v>0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6"/>
    </row>
    <row r="210" spans="1:34" x14ac:dyDescent="0.35">
      <c r="A210" s="19">
        <v>22</v>
      </c>
      <c r="B210" s="1" t="s">
        <v>33</v>
      </c>
      <c r="C210" s="1" t="s">
        <v>131</v>
      </c>
      <c r="D210" s="1">
        <v>9</v>
      </c>
      <c r="E210" s="1" t="s">
        <v>224</v>
      </c>
      <c r="F210" s="1" t="s">
        <v>242</v>
      </c>
      <c r="G210" s="1" t="s">
        <v>233</v>
      </c>
      <c r="H210" s="1">
        <v>0</v>
      </c>
      <c r="I210" s="1">
        <v>1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6"/>
    </row>
    <row r="211" spans="1:34" ht="15" thickBot="1" x14ac:dyDescent="0.4">
      <c r="A211" s="20">
        <v>22</v>
      </c>
      <c r="B211" s="8" t="s">
        <v>33</v>
      </c>
      <c r="C211" s="8" t="s">
        <v>131</v>
      </c>
      <c r="D211" s="8">
        <v>10</v>
      </c>
      <c r="E211" s="8" t="s">
        <v>225</v>
      </c>
      <c r="F211" s="8" t="s">
        <v>242</v>
      </c>
      <c r="G211" s="8" t="s">
        <v>233</v>
      </c>
      <c r="H211" s="8">
        <v>0</v>
      </c>
      <c r="I211" s="8">
        <v>1</v>
      </c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9"/>
    </row>
    <row r="212" spans="1:34" x14ac:dyDescent="0.35">
      <c r="A212" s="18">
        <v>23</v>
      </c>
      <c r="B212" s="3" t="s">
        <v>34</v>
      </c>
      <c r="C212" s="3" t="s">
        <v>132</v>
      </c>
      <c r="D212" s="3">
        <v>1</v>
      </c>
      <c r="E212" s="3" t="s">
        <v>216</v>
      </c>
      <c r="F212" s="3" t="s">
        <v>243</v>
      </c>
      <c r="G212" s="3" t="s">
        <v>233</v>
      </c>
      <c r="H212" s="3">
        <v>0</v>
      </c>
      <c r="I212" s="3">
        <v>1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4"/>
    </row>
    <row r="213" spans="1:34" x14ac:dyDescent="0.35">
      <c r="A213" s="19">
        <v>23</v>
      </c>
      <c r="B213" s="1" t="s">
        <v>34</v>
      </c>
      <c r="C213" s="1" t="s">
        <v>132</v>
      </c>
      <c r="D213" s="1">
        <v>2</v>
      </c>
      <c r="E213" s="1" t="s">
        <v>217</v>
      </c>
      <c r="F213" s="1" t="s">
        <v>243</v>
      </c>
      <c r="G213" s="1" t="s">
        <v>233</v>
      </c>
      <c r="H213" s="1">
        <v>0</v>
      </c>
      <c r="I213" s="1">
        <v>1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6"/>
    </row>
    <row r="214" spans="1:34" x14ac:dyDescent="0.35">
      <c r="A214" s="19">
        <v>23</v>
      </c>
      <c r="B214" s="1" t="s">
        <v>34</v>
      </c>
      <c r="C214" s="1" t="s">
        <v>132</v>
      </c>
      <c r="D214" s="1">
        <v>3</v>
      </c>
      <c r="E214" s="1" t="s">
        <v>218</v>
      </c>
      <c r="F214" s="1" t="s">
        <v>243</v>
      </c>
      <c r="G214" s="1" t="s">
        <v>233</v>
      </c>
      <c r="H214" s="1">
        <v>0</v>
      </c>
      <c r="I214" s="1">
        <v>1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6"/>
    </row>
    <row r="215" spans="1:34" x14ac:dyDescent="0.35">
      <c r="A215" s="19">
        <v>23</v>
      </c>
      <c r="B215" s="1" t="s">
        <v>34</v>
      </c>
      <c r="C215" s="1" t="s">
        <v>132</v>
      </c>
      <c r="D215" s="1">
        <v>4</v>
      </c>
      <c r="E215" s="1" t="s">
        <v>219</v>
      </c>
      <c r="F215" s="1"/>
      <c r="G215" s="1" t="s">
        <v>250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6">
        <v>0</v>
      </c>
    </row>
    <row r="216" spans="1:34" x14ac:dyDescent="0.35">
      <c r="A216" s="19">
        <v>23</v>
      </c>
      <c r="B216" s="1" t="s">
        <v>34</v>
      </c>
      <c r="C216" s="1" t="s">
        <v>132</v>
      </c>
      <c r="D216" s="1">
        <v>5</v>
      </c>
      <c r="E216" s="1" t="s">
        <v>220</v>
      </c>
      <c r="F216" s="1" t="s">
        <v>239</v>
      </c>
      <c r="G216" s="1" t="s">
        <v>233</v>
      </c>
      <c r="H216" s="1">
        <v>0</v>
      </c>
      <c r="I216" s="1">
        <v>999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6"/>
    </row>
    <row r="217" spans="1:34" x14ac:dyDescent="0.35">
      <c r="A217" s="19">
        <v>23</v>
      </c>
      <c r="B217" s="1" t="s">
        <v>34</v>
      </c>
      <c r="C217" s="1" t="s">
        <v>132</v>
      </c>
      <c r="D217" s="1">
        <v>6</v>
      </c>
      <c r="E217" s="1" t="s">
        <v>221</v>
      </c>
      <c r="F217" s="1" t="s">
        <v>239</v>
      </c>
      <c r="G217" s="1" t="s">
        <v>250</v>
      </c>
      <c r="H217" s="1">
        <v>0</v>
      </c>
      <c r="I217" s="1">
        <v>999</v>
      </c>
      <c r="J217" s="1">
        <v>999</v>
      </c>
      <c r="K217" s="1">
        <v>999</v>
      </c>
      <c r="L217" s="1">
        <v>999</v>
      </c>
      <c r="M217" s="1">
        <v>999</v>
      </c>
      <c r="N217" s="1">
        <v>999</v>
      </c>
      <c r="O217" s="1">
        <v>999</v>
      </c>
      <c r="P217" s="1">
        <v>999</v>
      </c>
      <c r="Q217" s="1">
        <v>999</v>
      </c>
      <c r="R217" s="1">
        <v>999</v>
      </c>
      <c r="S217" s="1">
        <v>999</v>
      </c>
      <c r="T217" s="1">
        <v>999</v>
      </c>
      <c r="U217" s="1">
        <v>999</v>
      </c>
      <c r="V217" s="1">
        <v>999</v>
      </c>
      <c r="W217" s="1">
        <v>999</v>
      </c>
      <c r="X217" s="1">
        <v>999</v>
      </c>
      <c r="Y217" s="1">
        <v>999</v>
      </c>
      <c r="Z217" s="1">
        <v>999</v>
      </c>
      <c r="AA217" s="1">
        <v>999</v>
      </c>
      <c r="AB217" s="1">
        <v>999</v>
      </c>
      <c r="AC217" s="1">
        <v>999</v>
      </c>
      <c r="AD217" s="1">
        <v>999</v>
      </c>
      <c r="AE217" s="1">
        <v>999</v>
      </c>
      <c r="AF217" s="1">
        <v>999</v>
      </c>
      <c r="AG217" s="1">
        <v>999</v>
      </c>
      <c r="AH217" s="1">
        <v>999</v>
      </c>
    </row>
    <row r="218" spans="1:34" x14ac:dyDescent="0.35">
      <c r="A218" s="19">
        <v>23</v>
      </c>
      <c r="B218" s="1" t="s">
        <v>34</v>
      </c>
      <c r="C218" s="1" t="s">
        <v>132</v>
      </c>
      <c r="D218" s="1">
        <v>7</v>
      </c>
      <c r="E218" s="1" t="s">
        <v>222</v>
      </c>
      <c r="F218" s="1" t="s">
        <v>239</v>
      </c>
      <c r="G218" s="1" t="s">
        <v>250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6">
        <v>0</v>
      </c>
    </row>
    <row r="219" spans="1:34" x14ac:dyDescent="0.35">
      <c r="A219" s="19">
        <v>23</v>
      </c>
      <c r="B219" s="1" t="s">
        <v>34</v>
      </c>
      <c r="C219" s="1" t="s">
        <v>132</v>
      </c>
      <c r="D219" s="1">
        <v>8</v>
      </c>
      <c r="E219" s="1" t="s">
        <v>223</v>
      </c>
      <c r="F219" s="1"/>
      <c r="G219" s="1" t="s">
        <v>233</v>
      </c>
      <c r="H219" s="1">
        <v>0</v>
      </c>
      <c r="I219" s="1">
        <v>0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6"/>
    </row>
    <row r="220" spans="1:34" x14ac:dyDescent="0.35">
      <c r="A220" s="19">
        <v>23</v>
      </c>
      <c r="B220" s="1" t="s">
        <v>34</v>
      </c>
      <c r="C220" s="1" t="s">
        <v>132</v>
      </c>
      <c r="D220" s="1">
        <v>9</v>
      </c>
      <c r="E220" s="1" t="s">
        <v>224</v>
      </c>
      <c r="F220" s="1" t="s">
        <v>242</v>
      </c>
      <c r="G220" s="1" t="s">
        <v>233</v>
      </c>
      <c r="H220" s="1">
        <v>0</v>
      </c>
      <c r="I220" s="1">
        <v>1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6"/>
    </row>
    <row r="221" spans="1:34" ht="15" thickBot="1" x14ac:dyDescent="0.4">
      <c r="A221" s="20">
        <v>23</v>
      </c>
      <c r="B221" s="8" t="s">
        <v>34</v>
      </c>
      <c r="C221" s="8" t="s">
        <v>132</v>
      </c>
      <c r="D221" s="8">
        <v>10</v>
      </c>
      <c r="E221" s="8" t="s">
        <v>225</v>
      </c>
      <c r="F221" s="8" t="s">
        <v>242</v>
      </c>
      <c r="G221" s="8" t="s">
        <v>233</v>
      </c>
      <c r="H221" s="8">
        <v>0</v>
      </c>
      <c r="I221" s="8">
        <v>1</v>
      </c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9"/>
    </row>
    <row r="222" spans="1:34" x14ac:dyDescent="0.35">
      <c r="A222" s="18">
        <v>24</v>
      </c>
      <c r="B222" s="3" t="s">
        <v>35</v>
      </c>
      <c r="C222" s="3" t="s">
        <v>133</v>
      </c>
      <c r="D222" s="3">
        <v>1</v>
      </c>
      <c r="E222" s="3" t="s">
        <v>216</v>
      </c>
      <c r="F222" s="3" t="s">
        <v>243</v>
      </c>
      <c r="G222" s="3" t="s">
        <v>233</v>
      </c>
      <c r="H222" s="3">
        <v>0</v>
      </c>
      <c r="I222" s="3">
        <v>1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4"/>
    </row>
    <row r="223" spans="1:34" x14ac:dyDescent="0.35">
      <c r="A223" s="19">
        <v>24</v>
      </c>
      <c r="B223" s="1" t="s">
        <v>35</v>
      </c>
      <c r="C223" s="1" t="s">
        <v>133</v>
      </c>
      <c r="D223" s="1">
        <v>2</v>
      </c>
      <c r="E223" s="1" t="s">
        <v>217</v>
      </c>
      <c r="F223" s="1" t="s">
        <v>243</v>
      </c>
      <c r="G223" s="1" t="s">
        <v>233</v>
      </c>
      <c r="H223" s="1">
        <v>0</v>
      </c>
      <c r="I223" s="1">
        <v>1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6"/>
    </row>
    <row r="224" spans="1:34" x14ac:dyDescent="0.35">
      <c r="A224" s="19">
        <v>24</v>
      </c>
      <c r="B224" s="1" t="s">
        <v>35</v>
      </c>
      <c r="C224" s="1" t="s">
        <v>133</v>
      </c>
      <c r="D224" s="1">
        <v>3</v>
      </c>
      <c r="E224" s="1" t="s">
        <v>218</v>
      </c>
      <c r="F224" s="1" t="s">
        <v>243</v>
      </c>
      <c r="G224" s="1" t="s">
        <v>233</v>
      </c>
      <c r="H224" s="1">
        <v>0</v>
      </c>
      <c r="I224" s="1">
        <v>1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6"/>
    </row>
    <row r="225" spans="1:34" x14ac:dyDescent="0.35">
      <c r="A225" s="19">
        <v>24</v>
      </c>
      <c r="B225" s="1" t="s">
        <v>35</v>
      </c>
      <c r="C225" s="1" t="s">
        <v>133</v>
      </c>
      <c r="D225" s="1">
        <v>4</v>
      </c>
      <c r="E225" s="1" t="s">
        <v>219</v>
      </c>
      <c r="F225" s="1"/>
      <c r="G225" s="1" t="s">
        <v>250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6">
        <v>0</v>
      </c>
    </row>
    <row r="226" spans="1:34" x14ac:dyDescent="0.35">
      <c r="A226" s="19">
        <v>24</v>
      </c>
      <c r="B226" s="1" t="s">
        <v>35</v>
      </c>
      <c r="C226" s="1" t="s">
        <v>133</v>
      </c>
      <c r="D226" s="1">
        <v>5</v>
      </c>
      <c r="E226" s="1" t="s">
        <v>220</v>
      </c>
      <c r="F226" s="1" t="s">
        <v>239</v>
      </c>
      <c r="G226" s="1" t="s">
        <v>233</v>
      </c>
      <c r="H226" s="1">
        <v>0</v>
      </c>
      <c r="I226" s="1">
        <v>999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6"/>
    </row>
    <row r="227" spans="1:34" x14ac:dyDescent="0.35">
      <c r="A227" s="19">
        <v>24</v>
      </c>
      <c r="B227" s="1" t="s">
        <v>35</v>
      </c>
      <c r="C227" s="1" t="s">
        <v>133</v>
      </c>
      <c r="D227" s="1">
        <v>6</v>
      </c>
      <c r="E227" s="1" t="s">
        <v>221</v>
      </c>
      <c r="F227" s="1" t="s">
        <v>239</v>
      </c>
      <c r="G227" s="1" t="s">
        <v>250</v>
      </c>
      <c r="H227" s="1">
        <v>0</v>
      </c>
      <c r="I227" s="1">
        <v>999</v>
      </c>
      <c r="J227" s="1">
        <v>999</v>
      </c>
      <c r="K227" s="1">
        <v>999</v>
      </c>
      <c r="L227" s="1">
        <v>999</v>
      </c>
      <c r="M227" s="1">
        <v>999</v>
      </c>
      <c r="N227" s="1">
        <v>999</v>
      </c>
      <c r="O227" s="1">
        <v>999</v>
      </c>
      <c r="P227" s="1">
        <v>999</v>
      </c>
      <c r="Q227" s="1">
        <v>999</v>
      </c>
      <c r="R227" s="1">
        <v>999</v>
      </c>
      <c r="S227" s="1">
        <v>999</v>
      </c>
      <c r="T227" s="1">
        <v>999</v>
      </c>
      <c r="U227" s="1">
        <v>999</v>
      </c>
      <c r="V227" s="1">
        <v>999</v>
      </c>
      <c r="W227" s="1">
        <v>999</v>
      </c>
      <c r="X227" s="1">
        <v>999</v>
      </c>
      <c r="Y227" s="1">
        <v>999</v>
      </c>
      <c r="Z227" s="1">
        <v>999</v>
      </c>
      <c r="AA227" s="1">
        <v>999</v>
      </c>
      <c r="AB227" s="1">
        <v>999</v>
      </c>
      <c r="AC227" s="1">
        <v>999</v>
      </c>
      <c r="AD227" s="1">
        <v>999</v>
      </c>
      <c r="AE227" s="1">
        <v>999</v>
      </c>
      <c r="AF227" s="1">
        <v>999</v>
      </c>
      <c r="AG227" s="1">
        <v>999</v>
      </c>
      <c r="AH227" s="1">
        <v>999</v>
      </c>
    </row>
    <row r="228" spans="1:34" x14ac:dyDescent="0.35">
      <c r="A228" s="19">
        <v>24</v>
      </c>
      <c r="B228" s="1" t="s">
        <v>35</v>
      </c>
      <c r="C228" s="1" t="s">
        <v>133</v>
      </c>
      <c r="D228" s="1">
        <v>7</v>
      </c>
      <c r="E228" s="1" t="s">
        <v>222</v>
      </c>
      <c r="F228" s="1" t="s">
        <v>239</v>
      </c>
      <c r="G228" s="1" t="s">
        <v>250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6">
        <v>0</v>
      </c>
    </row>
    <row r="229" spans="1:34" x14ac:dyDescent="0.35">
      <c r="A229" s="19">
        <v>24</v>
      </c>
      <c r="B229" s="1" t="s">
        <v>35</v>
      </c>
      <c r="C229" s="1" t="s">
        <v>133</v>
      </c>
      <c r="D229" s="1">
        <v>8</v>
      </c>
      <c r="E229" s="1" t="s">
        <v>223</v>
      </c>
      <c r="F229" s="1"/>
      <c r="G229" s="1" t="s">
        <v>233</v>
      </c>
      <c r="H229" s="1">
        <v>0</v>
      </c>
      <c r="I229" s="1">
        <v>0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6"/>
    </row>
    <row r="230" spans="1:34" x14ac:dyDescent="0.35">
      <c r="A230" s="19">
        <v>24</v>
      </c>
      <c r="B230" s="1" t="s">
        <v>35</v>
      </c>
      <c r="C230" s="1" t="s">
        <v>133</v>
      </c>
      <c r="D230" s="1">
        <v>9</v>
      </c>
      <c r="E230" s="1" t="s">
        <v>224</v>
      </c>
      <c r="F230" s="1" t="s">
        <v>242</v>
      </c>
      <c r="G230" s="1" t="s">
        <v>233</v>
      </c>
      <c r="H230" s="1">
        <v>0</v>
      </c>
      <c r="I230" s="1">
        <v>1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6"/>
    </row>
    <row r="231" spans="1:34" ht="15" thickBot="1" x14ac:dyDescent="0.4">
      <c r="A231" s="20">
        <v>24</v>
      </c>
      <c r="B231" s="8" t="s">
        <v>35</v>
      </c>
      <c r="C231" s="8" t="s">
        <v>133</v>
      </c>
      <c r="D231" s="8">
        <v>10</v>
      </c>
      <c r="E231" s="8" t="s">
        <v>225</v>
      </c>
      <c r="F231" s="8" t="s">
        <v>242</v>
      </c>
      <c r="G231" s="8" t="s">
        <v>233</v>
      </c>
      <c r="H231" s="8">
        <v>0</v>
      </c>
      <c r="I231" s="8">
        <v>1</v>
      </c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9"/>
    </row>
    <row r="232" spans="1:34" x14ac:dyDescent="0.35">
      <c r="A232" s="18">
        <v>25</v>
      </c>
      <c r="B232" s="3" t="s">
        <v>36</v>
      </c>
      <c r="C232" s="3" t="s">
        <v>134</v>
      </c>
      <c r="D232" s="3">
        <v>1</v>
      </c>
      <c r="E232" s="3" t="s">
        <v>216</v>
      </c>
      <c r="F232" s="3" t="s">
        <v>243</v>
      </c>
      <c r="G232" s="3" t="s">
        <v>233</v>
      </c>
      <c r="H232" s="3">
        <v>0</v>
      </c>
      <c r="I232" s="3">
        <v>1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4"/>
    </row>
    <row r="233" spans="1:34" x14ac:dyDescent="0.35">
      <c r="A233" s="19">
        <v>25</v>
      </c>
      <c r="B233" s="1" t="s">
        <v>36</v>
      </c>
      <c r="C233" s="1" t="s">
        <v>134</v>
      </c>
      <c r="D233" s="1">
        <v>2</v>
      </c>
      <c r="E233" s="1" t="s">
        <v>217</v>
      </c>
      <c r="F233" s="1" t="s">
        <v>243</v>
      </c>
      <c r="G233" s="1" t="s">
        <v>233</v>
      </c>
      <c r="H233" s="1">
        <v>0</v>
      </c>
      <c r="I233" s="1">
        <v>1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6"/>
    </row>
    <row r="234" spans="1:34" x14ac:dyDescent="0.35">
      <c r="A234" s="19">
        <v>25</v>
      </c>
      <c r="B234" s="1" t="s">
        <v>36</v>
      </c>
      <c r="C234" s="1" t="s">
        <v>134</v>
      </c>
      <c r="D234" s="1">
        <v>3</v>
      </c>
      <c r="E234" s="1" t="s">
        <v>218</v>
      </c>
      <c r="F234" s="1" t="s">
        <v>243</v>
      </c>
      <c r="G234" s="1" t="s">
        <v>233</v>
      </c>
      <c r="H234" s="1">
        <v>0</v>
      </c>
      <c r="I234" s="1">
        <v>1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6"/>
    </row>
    <row r="235" spans="1:34" x14ac:dyDescent="0.35">
      <c r="A235" s="19">
        <v>25</v>
      </c>
      <c r="B235" s="1" t="s">
        <v>36</v>
      </c>
      <c r="C235" s="1" t="s">
        <v>134</v>
      </c>
      <c r="D235" s="1">
        <v>4</v>
      </c>
      <c r="E235" s="1" t="s">
        <v>219</v>
      </c>
      <c r="F235" s="1"/>
      <c r="G235" s="1" t="s">
        <v>250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6">
        <v>0</v>
      </c>
    </row>
    <row r="236" spans="1:34" x14ac:dyDescent="0.35">
      <c r="A236" s="19">
        <v>25</v>
      </c>
      <c r="B236" s="1" t="s">
        <v>36</v>
      </c>
      <c r="C236" s="1" t="s">
        <v>134</v>
      </c>
      <c r="D236" s="1">
        <v>5</v>
      </c>
      <c r="E236" s="1" t="s">
        <v>220</v>
      </c>
      <c r="F236" s="1" t="s">
        <v>239</v>
      </c>
      <c r="G236" s="1" t="s">
        <v>233</v>
      </c>
      <c r="H236" s="1">
        <v>0</v>
      </c>
      <c r="I236" s="1">
        <v>999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6"/>
    </row>
    <row r="237" spans="1:34" x14ac:dyDescent="0.35">
      <c r="A237" s="19">
        <v>25</v>
      </c>
      <c r="B237" s="1" t="s">
        <v>36</v>
      </c>
      <c r="C237" s="1" t="s">
        <v>134</v>
      </c>
      <c r="D237" s="1">
        <v>6</v>
      </c>
      <c r="E237" s="1" t="s">
        <v>221</v>
      </c>
      <c r="F237" s="1" t="s">
        <v>239</v>
      </c>
      <c r="G237" s="1" t="s">
        <v>250</v>
      </c>
      <c r="H237" s="1">
        <v>0</v>
      </c>
      <c r="I237" s="1">
        <v>999</v>
      </c>
      <c r="J237" s="1">
        <v>999</v>
      </c>
      <c r="K237" s="1">
        <v>999</v>
      </c>
      <c r="L237" s="1">
        <v>999</v>
      </c>
      <c r="M237" s="1">
        <v>999</v>
      </c>
      <c r="N237" s="1">
        <v>999</v>
      </c>
      <c r="O237" s="1">
        <v>999</v>
      </c>
      <c r="P237" s="1">
        <v>999</v>
      </c>
      <c r="Q237" s="1">
        <v>999</v>
      </c>
      <c r="R237" s="1">
        <v>999</v>
      </c>
      <c r="S237" s="1">
        <v>999</v>
      </c>
      <c r="T237" s="1">
        <v>999</v>
      </c>
      <c r="U237" s="1">
        <v>999</v>
      </c>
      <c r="V237" s="1">
        <v>999</v>
      </c>
      <c r="W237" s="1">
        <v>999</v>
      </c>
      <c r="X237" s="1">
        <v>999</v>
      </c>
      <c r="Y237" s="1">
        <v>999</v>
      </c>
      <c r="Z237" s="1">
        <v>999</v>
      </c>
      <c r="AA237" s="1">
        <v>999</v>
      </c>
      <c r="AB237" s="1">
        <v>999</v>
      </c>
      <c r="AC237" s="1">
        <v>999</v>
      </c>
      <c r="AD237" s="1">
        <v>999</v>
      </c>
      <c r="AE237" s="1">
        <v>999</v>
      </c>
      <c r="AF237" s="1">
        <v>999</v>
      </c>
      <c r="AG237" s="1">
        <v>999</v>
      </c>
      <c r="AH237" s="1">
        <v>999</v>
      </c>
    </row>
    <row r="238" spans="1:34" x14ac:dyDescent="0.35">
      <c r="A238" s="19">
        <v>25</v>
      </c>
      <c r="B238" s="1" t="s">
        <v>36</v>
      </c>
      <c r="C238" s="1" t="s">
        <v>134</v>
      </c>
      <c r="D238" s="1">
        <v>7</v>
      </c>
      <c r="E238" s="1" t="s">
        <v>222</v>
      </c>
      <c r="F238" s="1" t="s">
        <v>239</v>
      </c>
      <c r="G238" s="1" t="s">
        <v>250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6">
        <v>0</v>
      </c>
    </row>
    <row r="239" spans="1:34" x14ac:dyDescent="0.35">
      <c r="A239" s="19">
        <v>25</v>
      </c>
      <c r="B239" s="1" t="s">
        <v>36</v>
      </c>
      <c r="C239" s="1" t="s">
        <v>134</v>
      </c>
      <c r="D239" s="1">
        <v>8</v>
      </c>
      <c r="E239" s="1" t="s">
        <v>223</v>
      </c>
      <c r="F239" s="1"/>
      <c r="G239" s="1" t="s">
        <v>233</v>
      </c>
      <c r="H239" s="1">
        <v>0</v>
      </c>
      <c r="I239" s="1">
        <v>0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6"/>
    </row>
    <row r="240" spans="1:34" x14ac:dyDescent="0.35">
      <c r="A240" s="19">
        <v>25</v>
      </c>
      <c r="B240" s="1" t="s">
        <v>36</v>
      </c>
      <c r="C240" s="1" t="s">
        <v>134</v>
      </c>
      <c r="D240" s="1">
        <v>9</v>
      </c>
      <c r="E240" s="1" t="s">
        <v>224</v>
      </c>
      <c r="F240" s="1" t="s">
        <v>242</v>
      </c>
      <c r="G240" s="1" t="s">
        <v>233</v>
      </c>
      <c r="H240" s="1">
        <v>0</v>
      </c>
      <c r="I240" s="1">
        <v>1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6"/>
    </row>
    <row r="241" spans="1:34" ht="15" thickBot="1" x14ac:dyDescent="0.4">
      <c r="A241" s="20">
        <v>25</v>
      </c>
      <c r="B241" s="8" t="s">
        <v>36</v>
      </c>
      <c r="C241" s="8" t="s">
        <v>134</v>
      </c>
      <c r="D241" s="8">
        <v>10</v>
      </c>
      <c r="E241" s="8" t="s">
        <v>225</v>
      </c>
      <c r="F241" s="8" t="s">
        <v>242</v>
      </c>
      <c r="G241" s="8" t="s">
        <v>233</v>
      </c>
      <c r="H241" s="8">
        <v>0</v>
      </c>
      <c r="I241" s="8">
        <v>1</v>
      </c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9"/>
    </row>
    <row r="242" spans="1:34" x14ac:dyDescent="0.35">
      <c r="A242" s="18">
        <v>26</v>
      </c>
      <c r="B242" s="63" t="s">
        <v>252</v>
      </c>
      <c r="C242" s="3" t="s">
        <v>135</v>
      </c>
      <c r="D242" s="3">
        <v>1</v>
      </c>
      <c r="E242" s="3" t="s">
        <v>216</v>
      </c>
      <c r="F242" s="3" t="s">
        <v>243</v>
      </c>
      <c r="G242" s="3" t="s">
        <v>233</v>
      </c>
      <c r="H242" s="3">
        <v>0</v>
      </c>
      <c r="I242" s="3">
        <v>1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4"/>
    </row>
    <row r="243" spans="1:34" x14ac:dyDescent="0.35">
      <c r="A243" s="19">
        <v>26</v>
      </c>
      <c r="B243" s="56" t="s">
        <v>252</v>
      </c>
      <c r="C243" s="1" t="s">
        <v>135</v>
      </c>
      <c r="D243" s="1">
        <v>2</v>
      </c>
      <c r="E243" s="1" t="s">
        <v>217</v>
      </c>
      <c r="F243" s="1" t="s">
        <v>243</v>
      </c>
      <c r="G243" s="1" t="s">
        <v>233</v>
      </c>
      <c r="H243" s="1">
        <v>0</v>
      </c>
      <c r="I243" s="1">
        <v>1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6"/>
    </row>
    <row r="244" spans="1:34" x14ac:dyDescent="0.35">
      <c r="A244" s="19">
        <v>26</v>
      </c>
      <c r="B244" s="56" t="s">
        <v>252</v>
      </c>
      <c r="C244" s="1" t="s">
        <v>135</v>
      </c>
      <c r="D244" s="1">
        <v>3</v>
      </c>
      <c r="E244" s="1" t="s">
        <v>218</v>
      </c>
      <c r="F244" s="1" t="s">
        <v>243</v>
      </c>
      <c r="G244" s="1" t="s">
        <v>233</v>
      </c>
      <c r="H244" s="1">
        <v>0</v>
      </c>
      <c r="I244" s="1">
        <v>1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6"/>
    </row>
    <row r="245" spans="1:34" x14ac:dyDescent="0.35">
      <c r="A245" s="19">
        <v>26</v>
      </c>
      <c r="B245" s="56" t="s">
        <v>252</v>
      </c>
      <c r="C245" s="1" t="s">
        <v>135</v>
      </c>
      <c r="D245" s="1">
        <v>4</v>
      </c>
      <c r="E245" s="1" t="s">
        <v>219</v>
      </c>
      <c r="F245" s="1"/>
      <c r="G245" s="1" t="s">
        <v>250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6">
        <v>0</v>
      </c>
    </row>
    <row r="246" spans="1:34" x14ac:dyDescent="0.35">
      <c r="A246" s="19">
        <v>26</v>
      </c>
      <c r="B246" s="56" t="s">
        <v>252</v>
      </c>
      <c r="C246" s="1" t="s">
        <v>135</v>
      </c>
      <c r="D246" s="1">
        <v>5</v>
      </c>
      <c r="E246" s="1" t="s">
        <v>220</v>
      </c>
      <c r="F246" s="1" t="s">
        <v>239</v>
      </c>
      <c r="G246" s="1" t="s">
        <v>233</v>
      </c>
      <c r="H246" s="1">
        <v>0</v>
      </c>
      <c r="I246" s="1">
        <v>999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6"/>
    </row>
    <row r="247" spans="1:34" x14ac:dyDescent="0.35">
      <c r="A247" s="19">
        <v>26</v>
      </c>
      <c r="B247" s="56" t="s">
        <v>252</v>
      </c>
      <c r="C247" s="1" t="s">
        <v>135</v>
      </c>
      <c r="D247" s="1">
        <v>6</v>
      </c>
      <c r="E247" s="1" t="s">
        <v>221</v>
      </c>
      <c r="F247" s="1" t="s">
        <v>239</v>
      </c>
      <c r="G247" s="1" t="s">
        <v>250</v>
      </c>
      <c r="H247" s="1">
        <v>0</v>
      </c>
      <c r="I247" s="1">
        <v>999</v>
      </c>
      <c r="J247" s="1">
        <v>999</v>
      </c>
      <c r="K247" s="1">
        <v>999</v>
      </c>
      <c r="L247" s="1">
        <v>999</v>
      </c>
      <c r="M247" s="1">
        <v>999</v>
      </c>
      <c r="N247" s="1">
        <v>999</v>
      </c>
      <c r="O247" s="1">
        <v>999</v>
      </c>
      <c r="P247" s="1">
        <v>999</v>
      </c>
      <c r="Q247" s="1">
        <v>999</v>
      </c>
      <c r="R247" s="1">
        <v>999</v>
      </c>
      <c r="S247" s="1">
        <v>999</v>
      </c>
      <c r="T247" s="1">
        <v>999</v>
      </c>
      <c r="U247" s="1">
        <v>999</v>
      </c>
      <c r="V247" s="1">
        <v>999</v>
      </c>
      <c r="W247" s="1">
        <v>999</v>
      </c>
      <c r="X247" s="1">
        <v>999</v>
      </c>
      <c r="Y247" s="1">
        <v>999</v>
      </c>
      <c r="Z247" s="1">
        <v>999</v>
      </c>
      <c r="AA247" s="1">
        <v>999</v>
      </c>
      <c r="AB247" s="1">
        <v>999</v>
      </c>
      <c r="AC247" s="1">
        <v>999</v>
      </c>
      <c r="AD247" s="1">
        <v>999</v>
      </c>
      <c r="AE247" s="1">
        <v>999</v>
      </c>
      <c r="AF247" s="1">
        <v>999</v>
      </c>
      <c r="AG247" s="1">
        <v>999</v>
      </c>
      <c r="AH247" s="1">
        <v>999</v>
      </c>
    </row>
    <row r="248" spans="1:34" x14ac:dyDescent="0.35">
      <c r="A248" s="19">
        <v>26</v>
      </c>
      <c r="B248" s="56" t="s">
        <v>252</v>
      </c>
      <c r="C248" s="1" t="s">
        <v>135</v>
      </c>
      <c r="D248" s="1">
        <v>7</v>
      </c>
      <c r="E248" s="1" t="s">
        <v>222</v>
      </c>
      <c r="F248" s="1" t="s">
        <v>239</v>
      </c>
      <c r="G248" s="1" t="s">
        <v>250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6">
        <v>0</v>
      </c>
    </row>
    <row r="249" spans="1:34" x14ac:dyDescent="0.35">
      <c r="A249" s="19">
        <v>26</v>
      </c>
      <c r="B249" s="56" t="s">
        <v>252</v>
      </c>
      <c r="C249" s="1" t="s">
        <v>135</v>
      </c>
      <c r="D249" s="1">
        <v>8</v>
      </c>
      <c r="E249" s="1" t="s">
        <v>223</v>
      </c>
      <c r="F249" s="1"/>
      <c r="G249" s="1" t="s">
        <v>233</v>
      </c>
      <c r="H249" s="1">
        <v>0</v>
      </c>
      <c r="I249" s="1">
        <v>0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6"/>
    </row>
    <row r="250" spans="1:34" x14ac:dyDescent="0.35">
      <c r="A250" s="19">
        <v>26</v>
      </c>
      <c r="B250" s="56" t="s">
        <v>252</v>
      </c>
      <c r="C250" s="1" t="s">
        <v>135</v>
      </c>
      <c r="D250" s="1">
        <v>9</v>
      </c>
      <c r="E250" s="1" t="s">
        <v>224</v>
      </c>
      <c r="F250" s="1" t="s">
        <v>242</v>
      </c>
      <c r="G250" s="1" t="s">
        <v>233</v>
      </c>
      <c r="H250" s="1">
        <v>0</v>
      </c>
      <c r="I250" s="1">
        <v>1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6"/>
    </row>
    <row r="251" spans="1:34" ht="15" thickBot="1" x14ac:dyDescent="0.4">
      <c r="A251" s="20">
        <v>26</v>
      </c>
      <c r="B251" s="64" t="s">
        <v>252</v>
      </c>
      <c r="C251" s="8" t="s">
        <v>135</v>
      </c>
      <c r="D251" s="8">
        <v>10</v>
      </c>
      <c r="E251" s="8" t="s">
        <v>225</v>
      </c>
      <c r="F251" s="8" t="s">
        <v>242</v>
      </c>
      <c r="G251" s="8" t="s">
        <v>233</v>
      </c>
      <c r="H251" s="8">
        <v>0</v>
      </c>
      <c r="I251" s="8">
        <v>1</v>
      </c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9"/>
    </row>
    <row r="252" spans="1:34" x14ac:dyDescent="0.35">
      <c r="A252" s="18">
        <v>27</v>
      </c>
      <c r="B252" s="3" t="s">
        <v>37</v>
      </c>
      <c r="C252" s="3" t="s">
        <v>136</v>
      </c>
      <c r="D252" s="3">
        <v>1</v>
      </c>
      <c r="E252" s="3" t="s">
        <v>216</v>
      </c>
      <c r="F252" s="3" t="s">
        <v>243</v>
      </c>
      <c r="G252" s="3" t="s">
        <v>233</v>
      </c>
      <c r="H252" s="3">
        <v>0</v>
      </c>
      <c r="I252" s="3">
        <v>1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4"/>
    </row>
    <row r="253" spans="1:34" x14ac:dyDescent="0.35">
      <c r="A253" s="19">
        <v>27</v>
      </c>
      <c r="B253" s="1" t="s">
        <v>37</v>
      </c>
      <c r="C253" s="1" t="s">
        <v>136</v>
      </c>
      <c r="D253" s="1">
        <v>2</v>
      </c>
      <c r="E253" s="1" t="s">
        <v>217</v>
      </c>
      <c r="F253" s="1" t="s">
        <v>243</v>
      </c>
      <c r="G253" s="1" t="s">
        <v>233</v>
      </c>
      <c r="H253" s="1">
        <v>0</v>
      </c>
      <c r="I253" s="1">
        <v>1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6"/>
    </row>
    <row r="254" spans="1:34" x14ac:dyDescent="0.35">
      <c r="A254" s="19">
        <v>27</v>
      </c>
      <c r="B254" s="1" t="s">
        <v>37</v>
      </c>
      <c r="C254" s="1" t="s">
        <v>136</v>
      </c>
      <c r="D254" s="1">
        <v>3</v>
      </c>
      <c r="E254" s="1" t="s">
        <v>218</v>
      </c>
      <c r="F254" s="1" t="s">
        <v>243</v>
      </c>
      <c r="G254" s="1" t="s">
        <v>233</v>
      </c>
      <c r="H254" s="1">
        <v>0</v>
      </c>
      <c r="I254" s="1">
        <v>1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6"/>
    </row>
    <row r="255" spans="1:34" x14ac:dyDescent="0.35">
      <c r="A255" s="19">
        <v>27</v>
      </c>
      <c r="B255" s="1" t="s">
        <v>37</v>
      </c>
      <c r="C255" s="1" t="s">
        <v>136</v>
      </c>
      <c r="D255" s="1">
        <v>4</v>
      </c>
      <c r="E255" s="1" t="s">
        <v>219</v>
      </c>
      <c r="F255" s="1"/>
      <c r="G255" s="1" t="s">
        <v>250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6">
        <v>0</v>
      </c>
    </row>
    <row r="256" spans="1:34" x14ac:dyDescent="0.35">
      <c r="A256" s="19">
        <v>27</v>
      </c>
      <c r="B256" s="1" t="s">
        <v>37</v>
      </c>
      <c r="C256" s="1" t="s">
        <v>136</v>
      </c>
      <c r="D256" s="1">
        <v>5</v>
      </c>
      <c r="E256" s="1" t="s">
        <v>220</v>
      </c>
      <c r="F256" s="1" t="s">
        <v>239</v>
      </c>
      <c r="G256" s="1" t="s">
        <v>233</v>
      </c>
      <c r="H256" s="1">
        <v>0</v>
      </c>
      <c r="I256" s="1">
        <v>999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6"/>
    </row>
    <row r="257" spans="1:34" x14ac:dyDescent="0.35">
      <c r="A257" s="19">
        <v>27</v>
      </c>
      <c r="B257" s="1" t="s">
        <v>37</v>
      </c>
      <c r="C257" s="1" t="s">
        <v>136</v>
      </c>
      <c r="D257" s="1">
        <v>6</v>
      </c>
      <c r="E257" s="1" t="s">
        <v>221</v>
      </c>
      <c r="F257" s="1" t="s">
        <v>239</v>
      </c>
      <c r="G257" s="1" t="s">
        <v>250</v>
      </c>
      <c r="H257" s="1">
        <v>0</v>
      </c>
      <c r="I257" s="1">
        <v>999</v>
      </c>
      <c r="J257" s="1">
        <v>999</v>
      </c>
      <c r="K257" s="1">
        <v>999</v>
      </c>
      <c r="L257" s="1">
        <v>999</v>
      </c>
      <c r="M257" s="1">
        <v>999</v>
      </c>
      <c r="N257" s="1">
        <v>999</v>
      </c>
      <c r="O257" s="1">
        <v>999</v>
      </c>
      <c r="P257" s="1">
        <v>999</v>
      </c>
      <c r="Q257" s="1">
        <v>999</v>
      </c>
      <c r="R257" s="1">
        <v>999</v>
      </c>
      <c r="S257" s="1">
        <v>999</v>
      </c>
      <c r="T257" s="1">
        <v>999</v>
      </c>
      <c r="U257" s="1">
        <v>999</v>
      </c>
      <c r="V257" s="1">
        <v>999</v>
      </c>
      <c r="W257" s="1">
        <v>999</v>
      </c>
      <c r="X257" s="1">
        <v>999</v>
      </c>
      <c r="Y257" s="1">
        <v>999</v>
      </c>
      <c r="Z257" s="1">
        <v>999</v>
      </c>
      <c r="AA257" s="1">
        <v>999</v>
      </c>
      <c r="AB257" s="1">
        <v>999</v>
      </c>
      <c r="AC257" s="1">
        <v>999</v>
      </c>
      <c r="AD257" s="1">
        <v>999</v>
      </c>
      <c r="AE257" s="1">
        <v>999</v>
      </c>
      <c r="AF257" s="1">
        <v>999</v>
      </c>
      <c r="AG257" s="1">
        <v>999</v>
      </c>
      <c r="AH257" s="1">
        <v>999</v>
      </c>
    </row>
    <row r="258" spans="1:34" x14ac:dyDescent="0.35">
      <c r="A258" s="19">
        <v>27</v>
      </c>
      <c r="B258" s="1" t="s">
        <v>37</v>
      </c>
      <c r="C258" s="1" t="s">
        <v>136</v>
      </c>
      <c r="D258" s="1">
        <v>7</v>
      </c>
      <c r="E258" s="1" t="s">
        <v>222</v>
      </c>
      <c r="F258" s="1" t="s">
        <v>239</v>
      </c>
      <c r="G258" s="1" t="s">
        <v>250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6">
        <v>0</v>
      </c>
    </row>
    <row r="259" spans="1:34" x14ac:dyDescent="0.35">
      <c r="A259" s="19">
        <v>27</v>
      </c>
      <c r="B259" s="1" t="s">
        <v>37</v>
      </c>
      <c r="C259" s="1" t="s">
        <v>136</v>
      </c>
      <c r="D259" s="1">
        <v>8</v>
      </c>
      <c r="E259" s="1" t="s">
        <v>223</v>
      </c>
      <c r="F259" s="1"/>
      <c r="G259" s="1" t="s">
        <v>233</v>
      </c>
      <c r="H259" s="1">
        <v>0</v>
      </c>
      <c r="I259" s="1">
        <v>0</v>
      </c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6"/>
    </row>
    <row r="260" spans="1:34" x14ac:dyDescent="0.35">
      <c r="A260" s="19">
        <v>27</v>
      </c>
      <c r="B260" s="1" t="s">
        <v>37</v>
      </c>
      <c r="C260" s="1" t="s">
        <v>136</v>
      </c>
      <c r="D260" s="1">
        <v>9</v>
      </c>
      <c r="E260" s="1" t="s">
        <v>224</v>
      </c>
      <c r="F260" s="1" t="s">
        <v>242</v>
      </c>
      <c r="G260" s="1" t="s">
        <v>233</v>
      </c>
      <c r="H260" s="1">
        <v>0</v>
      </c>
      <c r="I260" s="1">
        <v>1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6"/>
    </row>
    <row r="261" spans="1:34" ht="15" thickBot="1" x14ac:dyDescent="0.4">
      <c r="A261" s="20">
        <v>27</v>
      </c>
      <c r="B261" s="8" t="s">
        <v>37</v>
      </c>
      <c r="C261" s="8" t="s">
        <v>136</v>
      </c>
      <c r="D261" s="8">
        <v>10</v>
      </c>
      <c r="E261" s="8" t="s">
        <v>225</v>
      </c>
      <c r="F261" s="8" t="s">
        <v>242</v>
      </c>
      <c r="G261" s="8" t="s">
        <v>233</v>
      </c>
      <c r="H261" s="8">
        <v>0</v>
      </c>
      <c r="I261" s="8">
        <v>1</v>
      </c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9"/>
    </row>
  </sheetData>
  <sortState xmlns:xlrd2="http://schemas.microsoft.com/office/spreadsheetml/2017/richdata2" ref="A2:AH261">
    <sortCondition ref="A2:A261"/>
    <sortCondition ref="D2:D26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61"/>
  <sheetViews>
    <sheetView tabSelected="1" workbookViewId="0">
      <pane ySplit="1" topLeftCell="A2" activePane="bottomLeft" state="frozen"/>
      <selection pane="bottomLeft" activeCell="A12" sqref="A12"/>
    </sheetView>
  </sheetViews>
  <sheetFormatPr defaultRowHeight="14.5" x14ac:dyDescent="0.35"/>
  <cols>
    <col min="1" max="1" width="7.1796875" bestFit="1" customWidth="1"/>
    <col min="2" max="2" width="15" bestFit="1" customWidth="1"/>
    <col min="3" max="3" width="30.81640625" bestFit="1" customWidth="1"/>
    <col min="4" max="4" width="12.08984375" bestFit="1" customWidth="1"/>
    <col min="5" max="5" width="37.6328125" bestFit="1" customWidth="1"/>
    <col min="6" max="6" width="11.7265625" bestFit="1" customWidth="1"/>
    <col min="7" max="7" width="15.36328125" bestFit="1" customWidth="1"/>
    <col min="8" max="8" width="19.36328125" bestFit="1" customWidth="1"/>
    <col min="9" max="34" width="4.81640625" bestFit="1" customWidth="1"/>
  </cols>
  <sheetData>
    <row r="1" spans="1:34" ht="15" thickBot="1" x14ac:dyDescent="0.4">
      <c r="A1" s="10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214</v>
      </c>
      <c r="H1" s="11" t="s">
        <v>215</v>
      </c>
      <c r="I1" s="11">
        <v>2010</v>
      </c>
      <c r="J1" s="11">
        <v>2011</v>
      </c>
      <c r="K1" s="11">
        <v>2012</v>
      </c>
      <c r="L1" s="11">
        <v>2013</v>
      </c>
      <c r="M1" s="11">
        <v>2014</v>
      </c>
      <c r="N1" s="11">
        <v>2015</v>
      </c>
      <c r="O1" s="11">
        <v>2016</v>
      </c>
      <c r="P1" s="11">
        <v>2017</v>
      </c>
      <c r="Q1" s="11">
        <v>2018</v>
      </c>
      <c r="R1" s="11">
        <v>2019</v>
      </c>
      <c r="S1" s="11">
        <v>2020</v>
      </c>
      <c r="T1" s="11">
        <v>2021</v>
      </c>
      <c r="U1" s="11">
        <v>2022</v>
      </c>
      <c r="V1" s="11">
        <v>2023</v>
      </c>
      <c r="W1" s="11">
        <v>2024</v>
      </c>
      <c r="X1" s="11">
        <v>2025</v>
      </c>
      <c r="Y1" s="11">
        <v>2026</v>
      </c>
      <c r="Z1" s="11">
        <v>2027</v>
      </c>
      <c r="AA1" s="11">
        <v>2028</v>
      </c>
      <c r="AB1" s="11">
        <v>2029</v>
      </c>
      <c r="AC1" s="11">
        <v>2030</v>
      </c>
      <c r="AD1" s="11">
        <v>2031</v>
      </c>
      <c r="AE1" s="11">
        <v>2032</v>
      </c>
      <c r="AF1" s="11">
        <v>2033</v>
      </c>
      <c r="AG1" s="11">
        <v>2034</v>
      </c>
      <c r="AH1" s="12">
        <v>2035</v>
      </c>
    </row>
    <row r="2" spans="1:34" x14ac:dyDescent="0.35">
      <c r="A2" s="18">
        <v>1</v>
      </c>
      <c r="B2" s="3" t="s">
        <v>38</v>
      </c>
      <c r="C2" s="3" t="s">
        <v>137</v>
      </c>
      <c r="D2" s="32">
        <v>1</v>
      </c>
      <c r="E2" s="32" t="s">
        <v>216</v>
      </c>
      <c r="F2" s="2" t="s">
        <v>240</v>
      </c>
      <c r="G2" s="3" t="s">
        <v>233</v>
      </c>
      <c r="H2" s="3">
        <v>0</v>
      </c>
      <c r="I2" s="3">
        <v>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4"/>
    </row>
    <row r="3" spans="1:34" x14ac:dyDescent="0.35">
      <c r="A3" s="19">
        <v>1</v>
      </c>
      <c r="B3" s="1" t="s">
        <v>38</v>
      </c>
      <c r="C3" s="1" t="s">
        <v>137</v>
      </c>
      <c r="D3" s="34">
        <v>2</v>
      </c>
      <c r="E3" s="34" t="s">
        <v>217</v>
      </c>
      <c r="F3" s="5" t="s">
        <v>240</v>
      </c>
      <c r="G3" s="1" t="s">
        <v>233</v>
      </c>
      <c r="H3" s="1">
        <v>0</v>
      </c>
      <c r="I3" s="1">
        <v>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6"/>
    </row>
    <row r="4" spans="1:34" x14ac:dyDescent="0.35">
      <c r="A4" s="19">
        <v>1</v>
      </c>
      <c r="B4" s="1" t="s">
        <v>38</v>
      </c>
      <c r="C4" s="1" t="s">
        <v>137</v>
      </c>
      <c r="D4" s="34">
        <v>3</v>
      </c>
      <c r="E4" s="34" t="s">
        <v>218</v>
      </c>
      <c r="F4" s="5" t="s">
        <v>240</v>
      </c>
      <c r="G4" s="1" t="s">
        <v>233</v>
      </c>
      <c r="H4" s="1">
        <v>0</v>
      </c>
      <c r="I4" s="1">
        <v>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6"/>
    </row>
    <row r="5" spans="1:34" x14ac:dyDescent="0.35">
      <c r="A5" s="19">
        <v>1</v>
      </c>
      <c r="B5" s="1" t="s">
        <v>38</v>
      </c>
      <c r="C5" s="1" t="s">
        <v>137</v>
      </c>
      <c r="D5" s="34">
        <v>4</v>
      </c>
      <c r="E5" s="34" t="s">
        <v>219</v>
      </c>
      <c r="F5" s="5" t="s">
        <v>239</v>
      </c>
      <c r="G5" s="1" t="s">
        <v>250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6">
        <v>0</v>
      </c>
    </row>
    <row r="6" spans="1:34" x14ac:dyDescent="0.35">
      <c r="A6" s="19">
        <v>1</v>
      </c>
      <c r="B6" s="1" t="s">
        <v>38</v>
      </c>
      <c r="C6" s="1" t="s">
        <v>137</v>
      </c>
      <c r="D6" s="34">
        <v>5</v>
      </c>
      <c r="E6" s="34" t="s">
        <v>220</v>
      </c>
      <c r="F6" s="5"/>
      <c r="G6" s="1" t="s">
        <v>238</v>
      </c>
      <c r="H6" s="1">
        <v>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6"/>
    </row>
    <row r="7" spans="1:34" x14ac:dyDescent="0.35">
      <c r="A7" s="19">
        <v>1</v>
      </c>
      <c r="B7" s="1" t="s">
        <v>38</v>
      </c>
      <c r="C7" s="1" t="s">
        <v>137</v>
      </c>
      <c r="D7" s="34">
        <v>6</v>
      </c>
      <c r="E7" s="34" t="s">
        <v>221</v>
      </c>
      <c r="F7" s="5" t="s">
        <v>239</v>
      </c>
      <c r="G7" s="1" t="s">
        <v>250</v>
      </c>
      <c r="H7" s="1">
        <v>0</v>
      </c>
      <c r="I7" s="1">
        <v>999</v>
      </c>
      <c r="J7" s="1">
        <v>999</v>
      </c>
      <c r="K7" s="1">
        <v>999</v>
      </c>
      <c r="L7" s="1">
        <v>999</v>
      </c>
      <c r="M7" s="1">
        <v>999</v>
      </c>
      <c r="N7" s="1">
        <v>999</v>
      </c>
      <c r="O7" s="1">
        <v>999</v>
      </c>
      <c r="P7" s="1">
        <v>999</v>
      </c>
      <c r="Q7" s="1">
        <v>999</v>
      </c>
      <c r="R7" s="1">
        <v>999</v>
      </c>
      <c r="S7" s="1">
        <v>999</v>
      </c>
      <c r="T7" s="1">
        <v>999</v>
      </c>
      <c r="U7" s="1">
        <v>999</v>
      </c>
      <c r="V7" s="1">
        <v>999</v>
      </c>
      <c r="W7" s="1">
        <v>999</v>
      </c>
      <c r="X7" s="1">
        <v>999</v>
      </c>
      <c r="Y7" s="1">
        <v>999</v>
      </c>
      <c r="Z7" s="1">
        <v>999</v>
      </c>
      <c r="AA7" s="1">
        <v>999</v>
      </c>
      <c r="AB7" s="1">
        <v>999</v>
      </c>
      <c r="AC7" s="1">
        <v>999</v>
      </c>
      <c r="AD7" s="1">
        <v>999</v>
      </c>
      <c r="AE7" s="1">
        <v>999</v>
      </c>
      <c r="AF7" s="1">
        <v>999</v>
      </c>
      <c r="AG7" s="1">
        <v>999</v>
      </c>
      <c r="AH7" s="6">
        <v>999</v>
      </c>
    </row>
    <row r="8" spans="1:34" x14ac:dyDescent="0.35">
      <c r="A8" s="19">
        <v>1</v>
      </c>
      <c r="B8" s="1" t="s">
        <v>38</v>
      </c>
      <c r="C8" s="1" t="s">
        <v>137</v>
      </c>
      <c r="D8" s="34">
        <v>7</v>
      </c>
      <c r="E8" s="34" t="s">
        <v>222</v>
      </c>
      <c r="F8" s="5" t="s">
        <v>239</v>
      </c>
      <c r="G8" s="1" t="s">
        <v>250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6">
        <v>0</v>
      </c>
    </row>
    <row r="9" spans="1:34" x14ac:dyDescent="0.35">
      <c r="A9" s="19">
        <v>1</v>
      </c>
      <c r="B9" s="1" t="s">
        <v>38</v>
      </c>
      <c r="C9" s="1" t="s">
        <v>137</v>
      </c>
      <c r="D9" s="34">
        <v>8</v>
      </c>
      <c r="E9" s="34" t="s">
        <v>223</v>
      </c>
      <c r="F9" s="5"/>
      <c r="G9" s="1" t="s">
        <v>238</v>
      </c>
      <c r="H9" s="1">
        <v>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6"/>
    </row>
    <row r="10" spans="1:34" x14ac:dyDescent="0.35">
      <c r="A10" s="19">
        <v>1</v>
      </c>
      <c r="B10" s="1" t="s">
        <v>38</v>
      </c>
      <c r="C10" s="1" t="s">
        <v>137</v>
      </c>
      <c r="D10" s="34">
        <v>9</v>
      </c>
      <c r="E10" s="34" t="s">
        <v>224</v>
      </c>
      <c r="F10" s="5" t="s">
        <v>242</v>
      </c>
      <c r="G10" s="1" t="s">
        <v>233</v>
      </c>
      <c r="H10" s="1">
        <v>0</v>
      </c>
      <c r="I10" s="1">
        <v>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6"/>
    </row>
    <row r="11" spans="1:34" ht="15" thickBot="1" x14ac:dyDescent="0.4">
      <c r="A11" s="20">
        <v>1</v>
      </c>
      <c r="B11" s="8" t="s">
        <v>38</v>
      </c>
      <c r="C11" s="8" t="s">
        <v>137</v>
      </c>
      <c r="D11" s="35">
        <v>10</v>
      </c>
      <c r="E11" s="35" t="s">
        <v>225</v>
      </c>
      <c r="F11" s="7" t="s">
        <v>242</v>
      </c>
      <c r="G11" s="8" t="s">
        <v>233</v>
      </c>
      <c r="H11" s="8">
        <v>0</v>
      </c>
      <c r="I11" s="8">
        <v>1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9"/>
    </row>
    <row r="12" spans="1:34" x14ac:dyDescent="0.35">
      <c r="A12" s="18">
        <f>+A2+1</f>
        <v>2</v>
      </c>
      <c r="B12" s="3" t="s">
        <v>39</v>
      </c>
      <c r="C12" s="3" t="s">
        <v>138</v>
      </c>
      <c r="D12" s="36">
        <v>1</v>
      </c>
      <c r="E12" s="36" t="s">
        <v>216</v>
      </c>
      <c r="F12" s="2" t="s">
        <v>240</v>
      </c>
      <c r="G12" s="3" t="s">
        <v>233</v>
      </c>
      <c r="H12" s="3">
        <v>0</v>
      </c>
      <c r="I12" s="3">
        <v>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4"/>
    </row>
    <row r="13" spans="1:34" x14ac:dyDescent="0.35">
      <c r="A13" s="19">
        <f t="shared" ref="A13:A21" si="0">+A3+1</f>
        <v>2</v>
      </c>
      <c r="B13" s="1" t="s">
        <v>39</v>
      </c>
      <c r="C13" s="1" t="s">
        <v>138</v>
      </c>
      <c r="D13" s="37">
        <v>2</v>
      </c>
      <c r="E13" s="37" t="s">
        <v>217</v>
      </c>
      <c r="F13" s="5" t="s">
        <v>240</v>
      </c>
      <c r="G13" s="1" t="s">
        <v>233</v>
      </c>
      <c r="H13" s="1">
        <v>0</v>
      </c>
      <c r="I13" s="1">
        <v>1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6"/>
    </row>
    <row r="14" spans="1:34" x14ac:dyDescent="0.35">
      <c r="A14" s="19">
        <f t="shared" si="0"/>
        <v>2</v>
      </c>
      <c r="B14" s="1" t="s">
        <v>39</v>
      </c>
      <c r="C14" s="1" t="s">
        <v>138</v>
      </c>
      <c r="D14" s="37">
        <v>3</v>
      </c>
      <c r="E14" s="37" t="s">
        <v>218</v>
      </c>
      <c r="F14" s="5" t="s">
        <v>240</v>
      </c>
      <c r="G14" s="1" t="s">
        <v>233</v>
      </c>
      <c r="H14" s="1">
        <v>0</v>
      </c>
      <c r="I14" s="1">
        <v>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6"/>
    </row>
    <row r="15" spans="1:34" x14ac:dyDescent="0.35">
      <c r="A15" s="19">
        <f t="shared" si="0"/>
        <v>2</v>
      </c>
      <c r="B15" s="1" t="s">
        <v>39</v>
      </c>
      <c r="C15" s="1" t="s">
        <v>138</v>
      </c>
      <c r="D15" s="37">
        <v>4</v>
      </c>
      <c r="E15" s="37" t="s">
        <v>219</v>
      </c>
      <c r="F15" s="5" t="s">
        <v>239</v>
      </c>
      <c r="G15" s="1" t="s">
        <v>250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6">
        <v>0</v>
      </c>
    </row>
    <row r="16" spans="1:34" x14ac:dyDescent="0.35">
      <c r="A16" s="19">
        <f t="shared" si="0"/>
        <v>2</v>
      </c>
      <c r="B16" s="1" t="s">
        <v>39</v>
      </c>
      <c r="C16" s="1" t="s">
        <v>138</v>
      </c>
      <c r="D16" s="37">
        <v>5</v>
      </c>
      <c r="E16" s="37" t="s">
        <v>220</v>
      </c>
      <c r="F16" s="5"/>
      <c r="G16" s="1" t="s">
        <v>238</v>
      </c>
      <c r="H16" s="1">
        <v>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6"/>
    </row>
    <row r="17" spans="1:34" x14ac:dyDescent="0.35">
      <c r="A17" s="19">
        <f t="shared" si="0"/>
        <v>2</v>
      </c>
      <c r="B17" s="1" t="s">
        <v>39</v>
      </c>
      <c r="C17" s="1" t="s">
        <v>138</v>
      </c>
      <c r="D17" s="37">
        <v>6</v>
      </c>
      <c r="E17" s="37" t="s">
        <v>221</v>
      </c>
      <c r="F17" s="5" t="s">
        <v>239</v>
      </c>
      <c r="G17" s="1" t="s">
        <v>250</v>
      </c>
      <c r="H17" s="1">
        <v>0</v>
      </c>
      <c r="I17" s="1">
        <v>999</v>
      </c>
      <c r="J17" s="1">
        <v>999</v>
      </c>
      <c r="K17" s="1">
        <v>999</v>
      </c>
      <c r="L17" s="1">
        <v>999</v>
      </c>
      <c r="M17" s="1">
        <v>999</v>
      </c>
      <c r="N17" s="1">
        <v>999</v>
      </c>
      <c r="O17" s="1">
        <v>999</v>
      </c>
      <c r="P17" s="1">
        <v>999</v>
      </c>
      <c r="Q17" s="1">
        <v>999</v>
      </c>
      <c r="R17" s="1">
        <v>999</v>
      </c>
      <c r="S17" s="1">
        <v>999</v>
      </c>
      <c r="T17" s="1">
        <v>999</v>
      </c>
      <c r="U17" s="1">
        <v>999</v>
      </c>
      <c r="V17" s="1">
        <v>999</v>
      </c>
      <c r="W17" s="1">
        <v>999</v>
      </c>
      <c r="X17" s="1">
        <v>999</v>
      </c>
      <c r="Y17" s="1">
        <v>999</v>
      </c>
      <c r="Z17" s="1">
        <v>999</v>
      </c>
      <c r="AA17" s="1">
        <v>999</v>
      </c>
      <c r="AB17" s="1">
        <v>999</v>
      </c>
      <c r="AC17" s="1">
        <v>999</v>
      </c>
      <c r="AD17" s="1">
        <v>999</v>
      </c>
      <c r="AE17" s="1">
        <v>999</v>
      </c>
      <c r="AF17" s="1">
        <v>999</v>
      </c>
      <c r="AG17" s="1">
        <v>999</v>
      </c>
      <c r="AH17" s="6">
        <v>999</v>
      </c>
    </row>
    <row r="18" spans="1:34" x14ac:dyDescent="0.35">
      <c r="A18" s="19">
        <f t="shared" si="0"/>
        <v>2</v>
      </c>
      <c r="B18" s="1" t="s">
        <v>39</v>
      </c>
      <c r="C18" s="1" t="s">
        <v>138</v>
      </c>
      <c r="D18" s="37">
        <v>7</v>
      </c>
      <c r="E18" s="37" t="s">
        <v>222</v>
      </c>
      <c r="F18" s="5" t="s">
        <v>239</v>
      </c>
      <c r="G18" s="1" t="s">
        <v>250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6">
        <v>0</v>
      </c>
    </row>
    <row r="19" spans="1:34" x14ac:dyDescent="0.35">
      <c r="A19" s="19">
        <f t="shared" si="0"/>
        <v>2</v>
      </c>
      <c r="B19" s="1" t="s">
        <v>39</v>
      </c>
      <c r="C19" s="1" t="s">
        <v>138</v>
      </c>
      <c r="D19" s="37">
        <v>8</v>
      </c>
      <c r="E19" s="37" t="s">
        <v>223</v>
      </c>
      <c r="F19" s="5"/>
      <c r="G19" s="1" t="s">
        <v>238</v>
      </c>
      <c r="H19" s="1"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6"/>
    </row>
    <row r="20" spans="1:34" x14ac:dyDescent="0.35">
      <c r="A20" s="19">
        <f t="shared" si="0"/>
        <v>2</v>
      </c>
      <c r="B20" s="1" t="s">
        <v>39</v>
      </c>
      <c r="C20" s="1" t="s">
        <v>138</v>
      </c>
      <c r="D20" s="37">
        <v>9</v>
      </c>
      <c r="E20" s="37" t="s">
        <v>224</v>
      </c>
      <c r="F20" s="5" t="s">
        <v>242</v>
      </c>
      <c r="G20" s="1" t="s">
        <v>233</v>
      </c>
      <c r="H20" s="1">
        <v>0</v>
      </c>
      <c r="I20" s="1">
        <v>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6"/>
    </row>
    <row r="21" spans="1:34" ht="15" thickBot="1" x14ac:dyDescent="0.4">
      <c r="A21" s="20">
        <f t="shared" si="0"/>
        <v>2</v>
      </c>
      <c r="B21" s="8" t="s">
        <v>39</v>
      </c>
      <c r="C21" s="8" t="s">
        <v>138</v>
      </c>
      <c r="D21" s="38">
        <v>10</v>
      </c>
      <c r="E21" s="38" t="s">
        <v>225</v>
      </c>
      <c r="F21" s="7" t="s">
        <v>242</v>
      </c>
      <c r="G21" s="8" t="s">
        <v>233</v>
      </c>
      <c r="H21" s="8">
        <v>0</v>
      </c>
      <c r="I21" s="8">
        <v>1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9"/>
    </row>
    <row r="22" spans="1:34" x14ac:dyDescent="0.35">
      <c r="A22" s="18">
        <f>A12+1</f>
        <v>3</v>
      </c>
      <c r="B22" s="40" t="s">
        <v>40</v>
      </c>
      <c r="C22" s="40" t="s">
        <v>139</v>
      </c>
      <c r="D22" s="32">
        <v>1</v>
      </c>
      <c r="E22" s="32" t="s">
        <v>216</v>
      </c>
      <c r="F22" s="39" t="s">
        <v>240</v>
      </c>
      <c r="G22" s="40" t="s">
        <v>233</v>
      </c>
      <c r="H22" s="40">
        <v>0</v>
      </c>
      <c r="I22" s="40">
        <v>1</v>
      </c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1"/>
    </row>
    <row r="23" spans="1:34" x14ac:dyDescent="0.35">
      <c r="A23" s="19">
        <f>+A13+1</f>
        <v>3</v>
      </c>
      <c r="B23" s="43" t="s">
        <v>40</v>
      </c>
      <c r="C23" s="43" t="s">
        <v>139</v>
      </c>
      <c r="D23" s="34">
        <v>2</v>
      </c>
      <c r="E23" s="34" t="s">
        <v>217</v>
      </c>
      <c r="F23" s="42" t="s">
        <v>240</v>
      </c>
      <c r="G23" s="43" t="s">
        <v>233</v>
      </c>
      <c r="H23" s="43">
        <v>0</v>
      </c>
      <c r="I23" s="43">
        <v>1</v>
      </c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4"/>
    </row>
    <row r="24" spans="1:34" x14ac:dyDescent="0.35">
      <c r="A24" s="19">
        <f t="shared" ref="A24:A30" si="1">+A14+1</f>
        <v>3</v>
      </c>
      <c r="B24" s="43" t="s">
        <v>40</v>
      </c>
      <c r="C24" s="43" t="s">
        <v>139</v>
      </c>
      <c r="D24" s="34">
        <v>3</v>
      </c>
      <c r="E24" s="34" t="s">
        <v>218</v>
      </c>
      <c r="F24" s="42" t="s">
        <v>240</v>
      </c>
      <c r="G24" s="43" t="s">
        <v>233</v>
      </c>
      <c r="H24" s="43">
        <v>0</v>
      </c>
      <c r="I24" s="43">
        <v>1</v>
      </c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4"/>
    </row>
    <row r="25" spans="1:34" x14ac:dyDescent="0.35">
      <c r="A25" s="19">
        <f t="shared" si="1"/>
        <v>3</v>
      </c>
      <c r="B25" s="43" t="s">
        <v>40</v>
      </c>
      <c r="C25" s="43" t="s">
        <v>139</v>
      </c>
      <c r="D25" s="34">
        <v>4</v>
      </c>
      <c r="E25" s="34" t="s">
        <v>219</v>
      </c>
      <c r="F25" s="42" t="s">
        <v>239</v>
      </c>
      <c r="G25" s="43" t="s">
        <v>250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  <c r="V25" s="43">
        <v>0</v>
      </c>
      <c r="W25" s="43">
        <v>0</v>
      </c>
      <c r="X25" s="43">
        <v>0</v>
      </c>
      <c r="Y25" s="43">
        <v>0</v>
      </c>
      <c r="Z25" s="43">
        <v>0</v>
      </c>
      <c r="AA25" s="43">
        <v>0</v>
      </c>
      <c r="AB25" s="43">
        <v>0</v>
      </c>
      <c r="AC25" s="43">
        <v>0</v>
      </c>
      <c r="AD25" s="43">
        <v>0</v>
      </c>
      <c r="AE25" s="43">
        <v>0</v>
      </c>
      <c r="AF25" s="43">
        <v>0</v>
      </c>
      <c r="AG25" s="43">
        <v>0</v>
      </c>
      <c r="AH25" s="44">
        <v>0</v>
      </c>
    </row>
    <row r="26" spans="1:34" x14ac:dyDescent="0.35">
      <c r="A26" s="19">
        <f t="shared" si="1"/>
        <v>3</v>
      </c>
      <c r="B26" s="43" t="s">
        <v>40</v>
      </c>
      <c r="C26" s="43" t="s">
        <v>139</v>
      </c>
      <c r="D26" s="34">
        <v>5</v>
      </c>
      <c r="E26" s="34" t="s">
        <v>220</v>
      </c>
      <c r="F26" s="42"/>
      <c r="G26" s="43" t="s">
        <v>238</v>
      </c>
      <c r="H26" s="43">
        <v>0</v>
      </c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4"/>
    </row>
    <row r="27" spans="1:34" x14ac:dyDescent="0.35">
      <c r="A27" s="19">
        <f t="shared" si="1"/>
        <v>3</v>
      </c>
      <c r="B27" s="43" t="s">
        <v>40</v>
      </c>
      <c r="C27" s="43" t="s">
        <v>139</v>
      </c>
      <c r="D27" s="34">
        <v>6</v>
      </c>
      <c r="E27" s="34" t="s">
        <v>221</v>
      </c>
      <c r="F27" s="42" t="s">
        <v>239</v>
      </c>
      <c r="G27" s="43" t="s">
        <v>250</v>
      </c>
      <c r="H27" s="43">
        <v>0</v>
      </c>
      <c r="I27" s="43">
        <v>999</v>
      </c>
      <c r="J27" s="43">
        <v>999</v>
      </c>
      <c r="K27" s="43">
        <v>999</v>
      </c>
      <c r="L27" s="43">
        <v>999</v>
      </c>
      <c r="M27" s="43">
        <v>999</v>
      </c>
      <c r="N27" s="43">
        <v>999</v>
      </c>
      <c r="O27" s="43">
        <v>999</v>
      </c>
      <c r="P27" s="43">
        <v>999</v>
      </c>
      <c r="Q27" s="43">
        <v>999</v>
      </c>
      <c r="R27" s="43">
        <v>999</v>
      </c>
      <c r="S27" s="43">
        <v>999</v>
      </c>
      <c r="T27" s="43">
        <v>999</v>
      </c>
      <c r="U27" s="43">
        <v>999</v>
      </c>
      <c r="V27" s="43">
        <v>999</v>
      </c>
      <c r="W27" s="43">
        <v>999</v>
      </c>
      <c r="X27" s="43">
        <v>999</v>
      </c>
      <c r="Y27" s="43">
        <v>999</v>
      </c>
      <c r="Z27" s="43">
        <v>999</v>
      </c>
      <c r="AA27" s="43">
        <v>999</v>
      </c>
      <c r="AB27" s="43">
        <v>999</v>
      </c>
      <c r="AC27" s="43">
        <v>999</v>
      </c>
      <c r="AD27" s="43">
        <v>999</v>
      </c>
      <c r="AE27" s="43">
        <v>999</v>
      </c>
      <c r="AF27" s="43">
        <v>999</v>
      </c>
      <c r="AG27" s="43">
        <v>999</v>
      </c>
      <c r="AH27" s="44">
        <v>999</v>
      </c>
    </row>
    <row r="28" spans="1:34" x14ac:dyDescent="0.35">
      <c r="A28" s="19">
        <f t="shared" si="1"/>
        <v>3</v>
      </c>
      <c r="B28" s="43" t="s">
        <v>40</v>
      </c>
      <c r="C28" s="43" t="s">
        <v>139</v>
      </c>
      <c r="D28" s="34">
        <v>7</v>
      </c>
      <c r="E28" s="34" t="s">
        <v>222</v>
      </c>
      <c r="F28" s="42" t="s">
        <v>239</v>
      </c>
      <c r="G28" s="43" t="s">
        <v>250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  <c r="V28" s="43">
        <v>0</v>
      </c>
      <c r="W28" s="43">
        <v>0</v>
      </c>
      <c r="X28" s="43">
        <v>0</v>
      </c>
      <c r="Y28" s="43">
        <v>0</v>
      </c>
      <c r="Z28" s="43">
        <v>0</v>
      </c>
      <c r="AA28" s="43">
        <v>0</v>
      </c>
      <c r="AB28" s="43">
        <v>0</v>
      </c>
      <c r="AC28" s="43">
        <v>0</v>
      </c>
      <c r="AD28" s="43">
        <v>0</v>
      </c>
      <c r="AE28" s="43">
        <v>0</v>
      </c>
      <c r="AF28" s="43">
        <v>0</v>
      </c>
      <c r="AG28" s="43">
        <v>0</v>
      </c>
      <c r="AH28" s="44">
        <v>0</v>
      </c>
    </row>
    <row r="29" spans="1:34" x14ac:dyDescent="0.35">
      <c r="A29" s="19">
        <f t="shared" si="1"/>
        <v>3</v>
      </c>
      <c r="B29" s="43" t="s">
        <v>40</v>
      </c>
      <c r="C29" s="43" t="s">
        <v>139</v>
      </c>
      <c r="D29" s="34">
        <v>8</v>
      </c>
      <c r="E29" s="34" t="s">
        <v>223</v>
      </c>
      <c r="F29" s="42"/>
      <c r="G29" s="43" t="s">
        <v>238</v>
      </c>
      <c r="H29" s="43">
        <v>0</v>
      </c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4"/>
    </row>
    <row r="30" spans="1:34" x14ac:dyDescent="0.35">
      <c r="A30" s="19">
        <f t="shared" si="1"/>
        <v>3</v>
      </c>
      <c r="B30" s="43" t="s">
        <v>40</v>
      </c>
      <c r="C30" s="43" t="s">
        <v>139</v>
      </c>
      <c r="D30" s="34">
        <v>9</v>
      </c>
      <c r="E30" s="34" t="s">
        <v>224</v>
      </c>
      <c r="F30" s="42" t="s">
        <v>242</v>
      </c>
      <c r="G30" s="43" t="s">
        <v>233</v>
      </c>
      <c r="H30" s="43">
        <v>0</v>
      </c>
      <c r="I30" s="43">
        <v>1</v>
      </c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4"/>
    </row>
    <row r="31" spans="1:34" ht="15" thickBot="1" x14ac:dyDescent="0.4">
      <c r="A31" s="20">
        <f>A21+1</f>
        <v>3</v>
      </c>
      <c r="B31" s="46" t="s">
        <v>40</v>
      </c>
      <c r="C31" s="46" t="s">
        <v>139</v>
      </c>
      <c r="D31" s="35">
        <v>10</v>
      </c>
      <c r="E31" s="35" t="s">
        <v>225</v>
      </c>
      <c r="F31" s="45" t="s">
        <v>242</v>
      </c>
      <c r="G31" s="46" t="s">
        <v>233</v>
      </c>
      <c r="H31" s="46">
        <v>0</v>
      </c>
      <c r="I31" s="46">
        <v>1</v>
      </c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7"/>
    </row>
    <row r="32" spans="1:34" x14ac:dyDescent="0.35">
      <c r="A32" s="18">
        <f>+A22+1</f>
        <v>4</v>
      </c>
      <c r="B32" s="40" t="s">
        <v>41</v>
      </c>
      <c r="C32" s="40" t="s">
        <v>140</v>
      </c>
      <c r="D32" s="36">
        <v>1</v>
      </c>
      <c r="E32" s="36" t="s">
        <v>216</v>
      </c>
      <c r="F32" s="39" t="s">
        <v>240</v>
      </c>
      <c r="G32" s="40" t="s">
        <v>233</v>
      </c>
      <c r="H32" s="40">
        <v>0</v>
      </c>
      <c r="I32" s="40">
        <v>1</v>
      </c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1"/>
    </row>
    <row r="33" spans="1:34" x14ac:dyDescent="0.35">
      <c r="A33" s="19">
        <f t="shared" ref="A33:A51" si="2">+A23+1</f>
        <v>4</v>
      </c>
      <c r="B33" s="43" t="s">
        <v>41</v>
      </c>
      <c r="C33" s="43" t="s">
        <v>140</v>
      </c>
      <c r="D33" s="37">
        <v>2</v>
      </c>
      <c r="E33" s="37" t="s">
        <v>217</v>
      </c>
      <c r="F33" s="42" t="s">
        <v>240</v>
      </c>
      <c r="G33" s="43" t="s">
        <v>233</v>
      </c>
      <c r="H33" s="43">
        <v>0</v>
      </c>
      <c r="I33" s="43">
        <v>1</v>
      </c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4"/>
    </row>
    <row r="34" spans="1:34" x14ac:dyDescent="0.35">
      <c r="A34" s="19">
        <f t="shared" si="2"/>
        <v>4</v>
      </c>
      <c r="B34" s="43" t="s">
        <v>41</v>
      </c>
      <c r="C34" s="43" t="s">
        <v>140</v>
      </c>
      <c r="D34" s="37">
        <v>3</v>
      </c>
      <c r="E34" s="37" t="s">
        <v>218</v>
      </c>
      <c r="F34" s="42" t="s">
        <v>240</v>
      </c>
      <c r="G34" s="43" t="s">
        <v>233</v>
      </c>
      <c r="H34" s="43">
        <v>0</v>
      </c>
      <c r="I34" s="43">
        <v>1</v>
      </c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4"/>
    </row>
    <row r="35" spans="1:34" x14ac:dyDescent="0.35">
      <c r="A35" s="19">
        <f t="shared" si="2"/>
        <v>4</v>
      </c>
      <c r="B35" s="43" t="s">
        <v>41</v>
      </c>
      <c r="C35" s="43" t="s">
        <v>140</v>
      </c>
      <c r="D35" s="37">
        <v>4</v>
      </c>
      <c r="E35" s="37" t="s">
        <v>219</v>
      </c>
      <c r="F35" s="42" t="s">
        <v>239</v>
      </c>
      <c r="G35" s="43" t="s">
        <v>250</v>
      </c>
      <c r="H35" s="43">
        <v>0</v>
      </c>
      <c r="I35" s="43">
        <v>0</v>
      </c>
      <c r="J35" s="43">
        <v>0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  <c r="V35" s="43">
        <v>0</v>
      </c>
      <c r="W35" s="43">
        <v>0</v>
      </c>
      <c r="X35" s="43">
        <v>0</v>
      </c>
      <c r="Y35" s="43">
        <v>0</v>
      </c>
      <c r="Z35" s="43">
        <v>0</v>
      </c>
      <c r="AA35" s="43">
        <v>0</v>
      </c>
      <c r="AB35" s="43">
        <v>0</v>
      </c>
      <c r="AC35" s="43">
        <v>0</v>
      </c>
      <c r="AD35" s="43">
        <v>0</v>
      </c>
      <c r="AE35" s="43">
        <v>0</v>
      </c>
      <c r="AF35" s="43">
        <v>0</v>
      </c>
      <c r="AG35" s="43">
        <v>0</v>
      </c>
      <c r="AH35" s="44">
        <v>0</v>
      </c>
    </row>
    <row r="36" spans="1:34" x14ac:dyDescent="0.35">
      <c r="A36" s="19">
        <f t="shared" si="2"/>
        <v>4</v>
      </c>
      <c r="B36" s="43" t="s">
        <v>41</v>
      </c>
      <c r="C36" s="43" t="s">
        <v>140</v>
      </c>
      <c r="D36" s="37">
        <v>5</v>
      </c>
      <c r="E36" s="37" t="s">
        <v>220</v>
      </c>
      <c r="F36" s="42"/>
      <c r="G36" s="43" t="s">
        <v>238</v>
      </c>
      <c r="H36" s="43">
        <v>0</v>
      </c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4"/>
    </row>
    <row r="37" spans="1:34" x14ac:dyDescent="0.35">
      <c r="A37" s="19">
        <f t="shared" si="2"/>
        <v>4</v>
      </c>
      <c r="B37" s="43" t="s">
        <v>41</v>
      </c>
      <c r="C37" s="43" t="s">
        <v>140</v>
      </c>
      <c r="D37" s="37">
        <v>6</v>
      </c>
      <c r="E37" s="37" t="s">
        <v>221</v>
      </c>
      <c r="F37" s="42" t="s">
        <v>239</v>
      </c>
      <c r="G37" s="43" t="s">
        <v>250</v>
      </c>
      <c r="H37" s="43">
        <v>0</v>
      </c>
      <c r="I37" s="43">
        <v>999</v>
      </c>
      <c r="J37" s="43">
        <v>999</v>
      </c>
      <c r="K37" s="43">
        <v>999</v>
      </c>
      <c r="L37" s="43">
        <v>999</v>
      </c>
      <c r="M37" s="43">
        <v>999</v>
      </c>
      <c r="N37" s="43">
        <v>999</v>
      </c>
      <c r="O37" s="43">
        <v>999</v>
      </c>
      <c r="P37" s="43">
        <v>999</v>
      </c>
      <c r="Q37" s="43">
        <v>999</v>
      </c>
      <c r="R37" s="43">
        <v>999</v>
      </c>
      <c r="S37" s="43">
        <v>999</v>
      </c>
      <c r="T37" s="43">
        <v>999</v>
      </c>
      <c r="U37" s="43">
        <v>999</v>
      </c>
      <c r="V37" s="43">
        <v>999</v>
      </c>
      <c r="W37" s="43">
        <v>999</v>
      </c>
      <c r="X37" s="43">
        <v>999</v>
      </c>
      <c r="Y37" s="43">
        <v>999</v>
      </c>
      <c r="Z37" s="43">
        <v>999</v>
      </c>
      <c r="AA37" s="43">
        <v>999</v>
      </c>
      <c r="AB37" s="43">
        <v>999</v>
      </c>
      <c r="AC37" s="43">
        <v>999</v>
      </c>
      <c r="AD37" s="43">
        <v>999</v>
      </c>
      <c r="AE37" s="43">
        <v>999</v>
      </c>
      <c r="AF37" s="43">
        <v>999</v>
      </c>
      <c r="AG37" s="43">
        <v>999</v>
      </c>
      <c r="AH37" s="44">
        <v>999</v>
      </c>
    </row>
    <row r="38" spans="1:34" x14ac:dyDescent="0.35">
      <c r="A38" s="19">
        <f t="shared" si="2"/>
        <v>4</v>
      </c>
      <c r="B38" s="43" t="s">
        <v>41</v>
      </c>
      <c r="C38" s="43" t="s">
        <v>140</v>
      </c>
      <c r="D38" s="37">
        <v>7</v>
      </c>
      <c r="E38" s="37" t="s">
        <v>222</v>
      </c>
      <c r="F38" s="42" t="s">
        <v>239</v>
      </c>
      <c r="G38" s="43" t="s">
        <v>250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0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0</v>
      </c>
      <c r="V38" s="43">
        <v>0</v>
      </c>
      <c r="W38" s="43">
        <v>0</v>
      </c>
      <c r="X38" s="43">
        <v>0</v>
      </c>
      <c r="Y38" s="43">
        <v>0</v>
      </c>
      <c r="Z38" s="43">
        <v>0</v>
      </c>
      <c r="AA38" s="43">
        <v>0</v>
      </c>
      <c r="AB38" s="43">
        <v>0</v>
      </c>
      <c r="AC38" s="43">
        <v>0</v>
      </c>
      <c r="AD38" s="43">
        <v>0</v>
      </c>
      <c r="AE38" s="43">
        <v>0</v>
      </c>
      <c r="AF38" s="43">
        <v>0</v>
      </c>
      <c r="AG38" s="43">
        <v>0</v>
      </c>
      <c r="AH38" s="44">
        <v>0</v>
      </c>
    </row>
    <row r="39" spans="1:34" x14ac:dyDescent="0.35">
      <c r="A39" s="19">
        <f t="shared" si="2"/>
        <v>4</v>
      </c>
      <c r="B39" s="43" t="s">
        <v>41</v>
      </c>
      <c r="C39" s="43" t="s">
        <v>140</v>
      </c>
      <c r="D39" s="37">
        <v>8</v>
      </c>
      <c r="E39" s="37" t="s">
        <v>223</v>
      </c>
      <c r="F39" s="42"/>
      <c r="G39" s="43" t="s">
        <v>238</v>
      </c>
      <c r="H39" s="43">
        <v>0</v>
      </c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4"/>
    </row>
    <row r="40" spans="1:34" x14ac:dyDescent="0.35">
      <c r="A40" s="19">
        <f t="shared" si="2"/>
        <v>4</v>
      </c>
      <c r="B40" s="43" t="s">
        <v>41</v>
      </c>
      <c r="C40" s="43" t="s">
        <v>140</v>
      </c>
      <c r="D40" s="37">
        <v>9</v>
      </c>
      <c r="E40" s="37" t="s">
        <v>224</v>
      </c>
      <c r="F40" s="42" t="s">
        <v>242</v>
      </c>
      <c r="G40" s="43" t="s">
        <v>233</v>
      </c>
      <c r="H40" s="43">
        <v>0</v>
      </c>
      <c r="I40" s="43">
        <v>1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4"/>
    </row>
    <row r="41" spans="1:34" ht="15" thickBot="1" x14ac:dyDescent="0.4">
      <c r="A41" s="20">
        <f t="shared" si="2"/>
        <v>4</v>
      </c>
      <c r="B41" s="46" t="s">
        <v>41</v>
      </c>
      <c r="C41" s="46" t="s">
        <v>140</v>
      </c>
      <c r="D41" s="38">
        <v>10</v>
      </c>
      <c r="E41" s="38" t="s">
        <v>225</v>
      </c>
      <c r="F41" s="45" t="s">
        <v>242</v>
      </c>
      <c r="G41" s="46" t="s">
        <v>233</v>
      </c>
      <c r="H41" s="46">
        <v>0</v>
      </c>
      <c r="I41" s="46">
        <v>1</v>
      </c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</row>
    <row r="42" spans="1:34" x14ac:dyDescent="0.35">
      <c r="A42" s="18">
        <f>+A32+1</f>
        <v>5</v>
      </c>
      <c r="B42" s="40" t="s">
        <v>42</v>
      </c>
      <c r="C42" s="40" t="s">
        <v>141</v>
      </c>
      <c r="D42" s="32">
        <v>1</v>
      </c>
      <c r="E42" s="32" t="s">
        <v>216</v>
      </c>
      <c r="F42" s="39" t="s">
        <v>240</v>
      </c>
      <c r="G42" s="40" t="s">
        <v>233</v>
      </c>
      <c r="H42" s="40">
        <v>0</v>
      </c>
      <c r="I42" s="40">
        <v>1</v>
      </c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1"/>
    </row>
    <row r="43" spans="1:34" x14ac:dyDescent="0.35">
      <c r="A43" s="19">
        <f t="shared" si="2"/>
        <v>5</v>
      </c>
      <c r="B43" s="43" t="s">
        <v>42</v>
      </c>
      <c r="C43" s="43" t="s">
        <v>141</v>
      </c>
      <c r="D43" s="34">
        <v>2</v>
      </c>
      <c r="E43" s="34" t="s">
        <v>217</v>
      </c>
      <c r="F43" s="42" t="s">
        <v>240</v>
      </c>
      <c r="G43" s="43" t="s">
        <v>233</v>
      </c>
      <c r="H43" s="43">
        <v>0</v>
      </c>
      <c r="I43" s="43">
        <v>1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4"/>
    </row>
    <row r="44" spans="1:34" x14ac:dyDescent="0.35">
      <c r="A44" s="19">
        <f t="shared" si="2"/>
        <v>5</v>
      </c>
      <c r="B44" s="43" t="s">
        <v>42</v>
      </c>
      <c r="C44" s="43" t="s">
        <v>141</v>
      </c>
      <c r="D44" s="34">
        <v>3</v>
      </c>
      <c r="E44" s="34" t="s">
        <v>218</v>
      </c>
      <c r="F44" s="42" t="s">
        <v>240</v>
      </c>
      <c r="G44" s="43" t="s">
        <v>233</v>
      </c>
      <c r="H44" s="43">
        <v>0</v>
      </c>
      <c r="I44" s="43">
        <v>1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4"/>
    </row>
    <row r="45" spans="1:34" x14ac:dyDescent="0.35">
      <c r="A45" s="19">
        <f t="shared" si="2"/>
        <v>5</v>
      </c>
      <c r="B45" s="43" t="s">
        <v>42</v>
      </c>
      <c r="C45" s="43" t="s">
        <v>141</v>
      </c>
      <c r="D45" s="34">
        <v>4</v>
      </c>
      <c r="E45" s="34" t="s">
        <v>219</v>
      </c>
      <c r="F45" s="42" t="s">
        <v>239</v>
      </c>
      <c r="G45" s="43" t="s">
        <v>250</v>
      </c>
      <c r="H45" s="43">
        <v>0</v>
      </c>
      <c r="I45" s="43">
        <v>0</v>
      </c>
      <c r="J45" s="43">
        <v>0</v>
      </c>
      <c r="K45" s="43">
        <v>0</v>
      </c>
      <c r="L45" s="43">
        <v>0</v>
      </c>
      <c r="M45" s="43">
        <v>0</v>
      </c>
      <c r="N45" s="43">
        <v>0</v>
      </c>
      <c r="O45" s="43">
        <v>0</v>
      </c>
      <c r="P45" s="43">
        <v>0</v>
      </c>
      <c r="Q45" s="43">
        <v>0</v>
      </c>
      <c r="R45" s="43">
        <v>0</v>
      </c>
      <c r="S45" s="43">
        <v>0</v>
      </c>
      <c r="T45" s="43">
        <v>0</v>
      </c>
      <c r="U45" s="43">
        <v>0</v>
      </c>
      <c r="V45" s="43">
        <v>0</v>
      </c>
      <c r="W45" s="43">
        <v>0</v>
      </c>
      <c r="X45" s="43">
        <v>0</v>
      </c>
      <c r="Y45" s="43">
        <v>0</v>
      </c>
      <c r="Z45" s="43">
        <v>0</v>
      </c>
      <c r="AA45" s="43">
        <v>0</v>
      </c>
      <c r="AB45" s="43">
        <v>0</v>
      </c>
      <c r="AC45" s="43">
        <v>0</v>
      </c>
      <c r="AD45" s="43">
        <v>0</v>
      </c>
      <c r="AE45" s="43">
        <v>0</v>
      </c>
      <c r="AF45" s="43">
        <v>0</v>
      </c>
      <c r="AG45" s="43">
        <v>0</v>
      </c>
      <c r="AH45" s="44">
        <v>0</v>
      </c>
    </row>
    <row r="46" spans="1:34" x14ac:dyDescent="0.35">
      <c r="A46" s="19">
        <f t="shared" si="2"/>
        <v>5</v>
      </c>
      <c r="B46" s="43" t="s">
        <v>42</v>
      </c>
      <c r="C46" s="43" t="s">
        <v>141</v>
      </c>
      <c r="D46" s="34">
        <v>5</v>
      </c>
      <c r="E46" s="34" t="s">
        <v>220</v>
      </c>
      <c r="F46" s="42"/>
      <c r="G46" s="43" t="s">
        <v>238</v>
      </c>
      <c r="H46" s="43">
        <v>0</v>
      </c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4"/>
    </row>
    <row r="47" spans="1:34" x14ac:dyDescent="0.35">
      <c r="A47" s="19">
        <f t="shared" si="2"/>
        <v>5</v>
      </c>
      <c r="B47" s="43" t="s">
        <v>42</v>
      </c>
      <c r="C47" s="43" t="s">
        <v>141</v>
      </c>
      <c r="D47" s="34">
        <v>6</v>
      </c>
      <c r="E47" s="34" t="s">
        <v>221</v>
      </c>
      <c r="F47" s="42" t="s">
        <v>239</v>
      </c>
      <c r="G47" s="43" t="s">
        <v>250</v>
      </c>
      <c r="H47" s="43">
        <v>0</v>
      </c>
      <c r="I47" s="43">
        <v>999</v>
      </c>
      <c r="J47" s="43">
        <v>999</v>
      </c>
      <c r="K47" s="43">
        <v>999</v>
      </c>
      <c r="L47" s="43">
        <v>999</v>
      </c>
      <c r="M47" s="43">
        <v>999</v>
      </c>
      <c r="N47" s="43">
        <v>999</v>
      </c>
      <c r="O47" s="43">
        <v>999</v>
      </c>
      <c r="P47" s="43">
        <v>999</v>
      </c>
      <c r="Q47" s="43">
        <v>999</v>
      </c>
      <c r="R47" s="43">
        <v>999</v>
      </c>
      <c r="S47" s="43">
        <v>999</v>
      </c>
      <c r="T47" s="43">
        <v>999</v>
      </c>
      <c r="U47" s="43">
        <v>999</v>
      </c>
      <c r="V47" s="43">
        <v>999</v>
      </c>
      <c r="W47" s="43">
        <v>999</v>
      </c>
      <c r="X47" s="43">
        <v>999</v>
      </c>
      <c r="Y47" s="43">
        <v>999</v>
      </c>
      <c r="Z47" s="43">
        <v>999</v>
      </c>
      <c r="AA47" s="43">
        <v>999</v>
      </c>
      <c r="AB47" s="43">
        <v>999</v>
      </c>
      <c r="AC47" s="43">
        <v>999</v>
      </c>
      <c r="AD47" s="43">
        <v>999</v>
      </c>
      <c r="AE47" s="43">
        <v>999</v>
      </c>
      <c r="AF47" s="43">
        <v>999</v>
      </c>
      <c r="AG47" s="43">
        <v>999</v>
      </c>
      <c r="AH47" s="44">
        <v>999</v>
      </c>
    </row>
    <row r="48" spans="1:34" x14ac:dyDescent="0.35">
      <c r="A48" s="19">
        <f t="shared" si="2"/>
        <v>5</v>
      </c>
      <c r="B48" s="43" t="s">
        <v>42</v>
      </c>
      <c r="C48" s="43" t="s">
        <v>141</v>
      </c>
      <c r="D48" s="34">
        <v>7</v>
      </c>
      <c r="E48" s="34" t="s">
        <v>222</v>
      </c>
      <c r="F48" s="42" t="s">
        <v>239</v>
      </c>
      <c r="G48" s="43" t="s">
        <v>250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>
        <v>0</v>
      </c>
      <c r="N48" s="43">
        <v>0</v>
      </c>
      <c r="O48" s="43">
        <v>0</v>
      </c>
      <c r="P48" s="43">
        <v>0</v>
      </c>
      <c r="Q48" s="43">
        <v>0</v>
      </c>
      <c r="R48" s="43">
        <v>0</v>
      </c>
      <c r="S48" s="43">
        <v>0</v>
      </c>
      <c r="T48" s="43">
        <v>0</v>
      </c>
      <c r="U48" s="43">
        <v>0</v>
      </c>
      <c r="V48" s="43">
        <v>0</v>
      </c>
      <c r="W48" s="43">
        <v>0</v>
      </c>
      <c r="X48" s="43">
        <v>0</v>
      </c>
      <c r="Y48" s="43">
        <v>0</v>
      </c>
      <c r="Z48" s="43">
        <v>0</v>
      </c>
      <c r="AA48" s="43">
        <v>0</v>
      </c>
      <c r="AB48" s="43">
        <v>0</v>
      </c>
      <c r="AC48" s="43">
        <v>0</v>
      </c>
      <c r="AD48" s="43">
        <v>0</v>
      </c>
      <c r="AE48" s="43">
        <v>0</v>
      </c>
      <c r="AF48" s="43">
        <v>0</v>
      </c>
      <c r="AG48" s="43">
        <v>0</v>
      </c>
      <c r="AH48" s="44">
        <v>0</v>
      </c>
    </row>
    <row r="49" spans="1:34" x14ac:dyDescent="0.35">
      <c r="A49" s="19">
        <f t="shared" si="2"/>
        <v>5</v>
      </c>
      <c r="B49" s="43" t="s">
        <v>42</v>
      </c>
      <c r="C49" s="43" t="s">
        <v>141</v>
      </c>
      <c r="D49" s="34">
        <v>8</v>
      </c>
      <c r="E49" s="34" t="s">
        <v>223</v>
      </c>
      <c r="F49" s="42"/>
      <c r="G49" s="43" t="s">
        <v>238</v>
      </c>
      <c r="H49" s="43">
        <v>0</v>
      </c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4"/>
    </row>
    <row r="50" spans="1:34" x14ac:dyDescent="0.35">
      <c r="A50" s="19">
        <f t="shared" si="2"/>
        <v>5</v>
      </c>
      <c r="B50" s="43" t="s">
        <v>42</v>
      </c>
      <c r="C50" s="43" t="s">
        <v>141</v>
      </c>
      <c r="D50" s="34">
        <v>9</v>
      </c>
      <c r="E50" s="34" t="s">
        <v>224</v>
      </c>
      <c r="F50" s="42" t="s">
        <v>242</v>
      </c>
      <c r="G50" s="43" t="s">
        <v>233</v>
      </c>
      <c r="H50" s="43">
        <v>0</v>
      </c>
      <c r="I50" s="43">
        <v>1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4"/>
    </row>
    <row r="51" spans="1:34" ht="15" thickBot="1" x14ac:dyDescent="0.4">
      <c r="A51" s="20">
        <f t="shared" si="2"/>
        <v>5</v>
      </c>
      <c r="B51" s="46" t="s">
        <v>42</v>
      </c>
      <c r="C51" s="46" t="s">
        <v>141</v>
      </c>
      <c r="D51" s="35">
        <v>10</v>
      </c>
      <c r="E51" s="35" t="s">
        <v>225</v>
      </c>
      <c r="F51" s="45" t="s">
        <v>242</v>
      </c>
      <c r="G51" s="46" t="s">
        <v>233</v>
      </c>
      <c r="H51" s="46">
        <v>0</v>
      </c>
      <c r="I51" s="46">
        <v>1</v>
      </c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7"/>
    </row>
    <row r="52" spans="1:34" x14ac:dyDescent="0.35">
      <c r="A52" s="18">
        <f>+A42+1</f>
        <v>6</v>
      </c>
      <c r="B52" s="40" t="s">
        <v>43</v>
      </c>
      <c r="C52" s="40" t="s">
        <v>142</v>
      </c>
      <c r="D52" s="36">
        <v>1</v>
      </c>
      <c r="E52" s="36" t="s">
        <v>216</v>
      </c>
      <c r="F52" s="39" t="s">
        <v>240</v>
      </c>
      <c r="G52" s="40" t="s">
        <v>233</v>
      </c>
      <c r="H52" s="40">
        <v>0</v>
      </c>
      <c r="I52" s="40">
        <v>1</v>
      </c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1"/>
    </row>
    <row r="53" spans="1:34" x14ac:dyDescent="0.35">
      <c r="A53" s="19">
        <f t="shared" ref="A53:A81" si="3">+A43+1</f>
        <v>6</v>
      </c>
      <c r="B53" s="43" t="s">
        <v>43</v>
      </c>
      <c r="C53" s="43" t="s">
        <v>142</v>
      </c>
      <c r="D53" s="37">
        <v>2</v>
      </c>
      <c r="E53" s="37" t="s">
        <v>217</v>
      </c>
      <c r="F53" s="42" t="s">
        <v>240</v>
      </c>
      <c r="G53" s="43" t="s">
        <v>233</v>
      </c>
      <c r="H53" s="43">
        <v>0</v>
      </c>
      <c r="I53" s="43">
        <v>1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4"/>
    </row>
    <row r="54" spans="1:34" x14ac:dyDescent="0.35">
      <c r="A54" s="19">
        <f t="shared" si="3"/>
        <v>6</v>
      </c>
      <c r="B54" s="43" t="s">
        <v>43</v>
      </c>
      <c r="C54" s="43" t="s">
        <v>142</v>
      </c>
      <c r="D54" s="37">
        <v>3</v>
      </c>
      <c r="E54" s="37" t="s">
        <v>218</v>
      </c>
      <c r="F54" s="42" t="s">
        <v>240</v>
      </c>
      <c r="G54" s="43" t="s">
        <v>233</v>
      </c>
      <c r="H54" s="43">
        <v>0</v>
      </c>
      <c r="I54" s="43">
        <v>1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4"/>
    </row>
    <row r="55" spans="1:34" x14ac:dyDescent="0.35">
      <c r="A55" s="19">
        <f t="shared" si="3"/>
        <v>6</v>
      </c>
      <c r="B55" s="43" t="s">
        <v>43</v>
      </c>
      <c r="C55" s="43" t="s">
        <v>142</v>
      </c>
      <c r="D55" s="37">
        <v>4</v>
      </c>
      <c r="E55" s="37" t="s">
        <v>219</v>
      </c>
      <c r="F55" s="42" t="s">
        <v>239</v>
      </c>
      <c r="G55" s="43" t="s">
        <v>250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3">
        <v>0</v>
      </c>
      <c r="U55" s="43">
        <v>0</v>
      </c>
      <c r="V55" s="43">
        <v>0</v>
      </c>
      <c r="W55" s="43">
        <v>0</v>
      </c>
      <c r="X55" s="43">
        <v>0</v>
      </c>
      <c r="Y55" s="43">
        <v>0</v>
      </c>
      <c r="Z55" s="43">
        <v>0</v>
      </c>
      <c r="AA55" s="43">
        <v>0</v>
      </c>
      <c r="AB55" s="43">
        <v>0</v>
      </c>
      <c r="AC55" s="43">
        <v>0</v>
      </c>
      <c r="AD55" s="43">
        <v>0</v>
      </c>
      <c r="AE55" s="43">
        <v>0</v>
      </c>
      <c r="AF55" s="43">
        <v>0</v>
      </c>
      <c r="AG55" s="43">
        <v>0</v>
      </c>
      <c r="AH55" s="44">
        <v>0</v>
      </c>
    </row>
    <row r="56" spans="1:34" x14ac:dyDescent="0.35">
      <c r="A56" s="19">
        <f t="shared" si="3"/>
        <v>6</v>
      </c>
      <c r="B56" s="43" t="s">
        <v>43</v>
      </c>
      <c r="C56" s="43" t="s">
        <v>142</v>
      </c>
      <c r="D56" s="37">
        <v>5</v>
      </c>
      <c r="E56" s="37" t="s">
        <v>220</v>
      </c>
      <c r="F56" s="42"/>
      <c r="G56" s="43" t="s">
        <v>238</v>
      </c>
      <c r="H56" s="43">
        <v>0</v>
      </c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4"/>
    </row>
    <row r="57" spans="1:34" x14ac:dyDescent="0.35">
      <c r="A57" s="19">
        <f t="shared" si="3"/>
        <v>6</v>
      </c>
      <c r="B57" s="43" t="s">
        <v>43</v>
      </c>
      <c r="C57" s="43" t="s">
        <v>142</v>
      </c>
      <c r="D57" s="37">
        <v>6</v>
      </c>
      <c r="E57" s="37" t="s">
        <v>221</v>
      </c>
      <c r="F57" s="42" t="s">
        <v>239</v>
      </c>
      <c r="G57" s="43" t="s">
        <v>250</v>
      </c>
      <c r="H57" s="43">
        <v>0</v>
      </c>
      <c r="I57" s="43">
        <v>999</v>
      </c>
      <c r="J57" s="43">
        <v>999</v>
      </c>
      <c r="K57" s="43">
        <v>999</v>
      </c>
      <c r="L57" s="43">
        <v>999</v>
      </c>
      <c r="M57" s="43">
        <v>999</v>
      </c>
      <c r="N57" s="43">
        <v>999</v>
      </c>
      <c r="O57" s="43">
        <v>999</v>
      </c>
      <c r="P57" s="43">
        <v>999</v>
      </c>
      <c r="Q57" s="43">
        <v>999</v>
      </c>
      <c r="R57" s="43">
        <v>999</v>
      </c>
      <c r="S57" s="43">
        <v>999</v>
      </c>
      <c r="T57" s="43">
        <v>999</v>
      </c>
      <c r="U57" s="43">
        <v>999</v>
      </c>
      <c r="V57" s="43">
        <v>999</v>
      </c>
      <c r="W57" s="43">
        <v>999</v>
      </c>
      <c r="X57" s="43">
        <v>999</v>
      </c>
      <c r="Y57" s="43">
        <v>999</v>
      </c>
      <c r="Z57" s="43">
        <v>999</v>
      </c>
      <c r="AA57" s="43">
        <v>999</v>
      </c>
      <c r="AB57" s="43">
        <v>999</v>
      </c>
      <c r="AC57" s="43">
        <v>999</v>
      </c>
      <c r="AD57" s="43">
        <v>999</v>
      </c>
      <c r="AE57" s="43">
        <v>999</v>
      </c>
      <c r="AF57" s="43">
        <v>999</v>
      </c>
      <c r="AG57" s="43">
        <v>999</v>
      </c>
      <c r="AH57" s="44">
        <v>999</v>
      </c>
    </row>
    <row r="58" spans="1:34" x14ac:dyDescent="0.35">
      <c r="A58" s="19">
        <f t="shared" si="3"/>
        <v>6</v>
      </c>
      <c r="B58" s="43" t="s">
        <v>43</v>
      </c>
      <c r="C58" s="43" t="s">
        <v>142</v>
      </c>
      <c r="D58" s="37">
        <v>7</v>
      </c>
      <c r="E58" s="37" t="s">
        <v>222</v>
      </c>
      <c r="F58" s="42" t="s">
        <v>239</v>
      </c>
      <c r="G58" s="43" t="s">
        <v>250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0</v>
      </c>
      <c r="V58" s="43">
        <v>0</v>
      </c>
      <c r="W58" s="43">
        <v>0</v>
      </c>
      <c r="X58" s="43">
        <v>0</v>
      </c>
      <c r="Y58" s="43">
        <v>0</v>
      </c>
      <c r="Z58" s="43">
        <v>0</v>
      </c>
      <c r="AA58" s="43">
        <v>0</v>
      </c>
      <c r="AB58" s="43">
        <v>0</v>
      </c>
      <c r="AC58" s="43">
        <v>0</v>
      </c>
      <c r="AD58" s="43">
        <v>0</v>
      </c>
      <c r="AE58" s="43">
        <v>0</v>
      </c>
      <c r="AF58" s="43">
        <v>0</v>
      </c>
      <c r="AG58" s="43">
        <v>0</v>
      </c>
      <c r="AH58" s="44">
        <v>0</v>
      </c>
    </row>
    <row r="59" spans="1:34" x14ac:dyDescent="0.35">
      <c r="A59" s="19">
        <f t="shared" si="3"/>
        <v>6</v>
      </c>
      <c r="B59" s="43" t="s">
        <v>43</v>
      </c>
      <c r="C59" s="43" t="s">
        <v>142</v>
      </c>
      <c r="D59" s="37">
        <v>8</v>
      </c>
      <c r="E59" s="37" t="s">
        <v>223</v>
      </c>
      <c r="F59" s="42"/>
      <c r="G59" s="43" t="s">
        <v>238</v>
      </c>
      <c r="H59" s="43">
        <v>0</v>
      </c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4"/>
    </row>
    <row r="60" spans="1:34" x14ac:dyDescent="0.35">
      <c r="A60" s="19">
        <f t="shared" si="3"/>
        <v>6</v>
      </c>
      <c r="B60" s="43" t="s">
        <v>43</v>
      </c>
      <c r="C60" s="43" t="s">
        <v>142</v>
      </c>
      <c r="D60" s="37">
        <v>9</v>
      </c>
      <c r="E60" s="37" t="s">
        <v>224</v>
      </c>
      <c r="F60" s="42" t="s">
        <v>242</v>
      </c>
      <c r="G60" s="43" t="s">
        <v>233</v>
      </c>
      <c r="H60" s="43">
        <v>0</v>
      </c>
      <c r="I60" s="43">
        <v>1</v>
      </c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4"/>
    </row>
    <row r="61" spans="1:34" ht="15" thickBot="1" x14ac:dyDescent="0.4">
      <c r="A61" s="20">
        <f t="shared" si="3"/>
        <v>6</v>
      </c>
      <c r="B61" s="46" t="s">
        <v>43</v>
      </c>
      <c r="C61" s="46" t="s">
        <v>142</v>
      </c>
      <c r="D61" s="38">
        <v>10</v>
      </c>
      <c r="E61" s="38" t="s">
        <v>225</v>
      </c>
      <c r="F61" s="45" t="s">
        <v>242</v>
      </c>
      <c r="G61" s="46" t="s">
        <v>233</v>
      </c>
      <c r="H61" s="46">
        <v>0</v>
      </c>
      <c r="I61" s="46">
        <v>1</v>
      </c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7"/>
    </row>
    <row r="62" spans="1:34" x14ac:dyDescent="0.35">
      <c r="A62" s="18">
        <f>+A52+1</f>
        <v>7</v>
      </c>
      <c r="B62" s="40" t="s">
        <v>44</v>
      </c>
      <c r="C62" s="40" t="s">
        <v>143</v>
      </c>
      <c r="D62" s="32">
        <v>1</v>
      </c>
      <c r="E62" s="32" t="s">
        <v>216</v>
      </c>
      <c r="F62" s="39" t="s">
        <v>240</v>
      </c>
      <c r="G62" s="40" t="s">
        <v>233</v>
      </c>
      <c r="H62" s="40">
        <v>0</v>
      </c>
      <c r="I62" s="40">
        <v>1</v>
      </c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1"/>
    </row>
    <row r="63" spans="1:34" x14ac:dyDescent="0.35">
      <c r="A63" s="19">
        <f t="shared" si="3"/>
        <v>7</v>
      </c>
      <c r="B63" s="43" t="s">
        <v>44</v>
      </c>
      <c r="C63" s="43" t="s">
        <v>143</v>
      </c>
      <c r="D63" s="34">
        <v>2</v>
      </c>
      <c r="E63" s="34" t="s">
        <v>217</v>
      </c>
      <c r="F63" s="42" t="s">
        <v>240</v>
      </c>
      <c r="G63" s="43" t="s">
        <v>233</v>
      </c>
      <c r="H63" s="43">
        <v>0</v>
      </c>
      <c r="I63" s="43">
        <v>1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4"/>
    </row>
    <row r="64" spans="1:34" x14ac:dyDescent="0.35">
      <c r="A64" s="19">
        <f t="shared" si="3"/>
        <v>7</v>
      </c>
      <c r="B64" s="43" t="s">
        <v>44</v>
      </c>
      <c r="C64" s="43" t="s">
        <v>143</v>
      </c>
      <c r="D64" s="34">
        <v>3</v>
      </c>
      <c r="E64" s="34" t="s">
        <v>218</v>
      </c>
      <c r="F64" s="42" t="s">
        <v>240</v>
      </c>
      <c r="G64" s="43" t="s">
        <v>233</v>
      </c>
      <c r="H64" s="43">
        <v>0</v>
      </c>
      <c r="I64" s="43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4"/>
    </row>
    <row r="65" spans="1:34" x14ac:dyDescent="0.35">
      <c r="A65" s="19">
        <f t="shared" si="3"/>
        <v>7</v>
      </c>
      <c r="B65" s="43" t="s">
        <v>44</v>
      </c>
      <c r="C65" s="43" t="s">
        <v>143</v>
      </c>
      <c r="D65" s="34">
        <v>4</v>
      </c>
      <c r="E65" s="34" t="s">
        <v>219</v>
      </c>
      <c r="F65" s="42" t="s">
        <v>239</v>
      </c>
      <c r="G65" s="43" t="s">
        <v>250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>
        <v>0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  <c r="S65" s="43">
        <v>0</v>
      </c>
      <c r="T65" s="43">
        <v>0</v>
      </c>
      <c r="U65" s="43">
        <v>0</v>
      </c>
      <c r="V65" s="43">
        <v>0</v>
      </c>
      <c r="W65" s="43">
        <v>0</v>
      </c>
      <c r="X65" s="43">
        <v>0</v>
      </c>
      <c r="Y65" s="43">
        <v>0</v>
      </c>
      <c r="Z65" s="43">
        <v>0</v>
      </c>
      <c r="AA65" s="43">
        <v>0</v>
      </c>
      <c r="AB65" s="43">
        <v>0</v>
      </c>
      <c r="AC65" s="43">
        <v>0</v>
      </c>
      <c r="AD65" s="43">
        <v>0</v>
      </c>
      <c r="AE65" s="43">
        <v>0</v>
      </c>
      <c r="AF65" s="43">
        <v>0</v>
      </c>
      <c r="AG65" s="43">
        <v>0</v>
      </c>
      <c r="AH65" s="44">
        <v>0</v>
      </c>
    </row>
    <row r="66" spans="1:34" x14ac:dyDescent="0.35">
      <c r="A66" s="19">
        <f t="shared" si="3"/>
        <v>7</v>
      </c>
      <c r="B66" s="43" t="s">
        <v>44</v>
      </c>
      <c r="C66" s="43" t="s">
        <v>143</v>
      </c>
      <c r="D66" s="34">
        <v>5</v>
      </c>
      <c r="E66" s="34" t="s">
        <v>220</v>
      </c>
      <c r="F66" s="42"/>
      <c r="G66" s="43" t="s">
        <v>238</v>
      </c>
      <c r="H66" s="43">
        <v>0</v>
      </c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4"/>
    </row>
    <row r="67" spans="1:34" x14ac:dyDescent="0.35">
      <c r="A67" s="19">
        <f t="shared" si="3"/>
        <v>7</v>
      </c>
      <c r="B67" s="43" t="s">
        <v>44</v>
      </c>
      <c r="C67" s="43" t="s">
        <v>143</v>
      </c>
      <c r="D67" s="34">
        <v>6</v>
      </c>
      <c r="E67" s="34" t="s">
        <v>221</v>
      </c>
      <c r="F67" s="42" t="s">
        <v>239</v>
      </c>
      <c r="G67" s="43" t="s">
        <v>250</v>
      </c>
      <c r="H67" s="43">
        <v>0</v>
      </c>
      <c r="I67" s="43">
        <v>999</v>
      </c>
      <c r="J67" s="43">
        <v>999</v>
      </c>
      <c r="K67" s="43">
        <v>999</v>
      </c>
      <c r="L67" s="43">
        <v>999</v>
      </c>
      <c r="M67" s="43">
        <v>999</v>
      </c>
      <c r="N67" s="43">
        <v>999</v>
      </c>
      <c r="O67" s="43">
        <v>999</v>
      </c>
      <c r="P67" s="43">
        <v>999</v>
      </c>
      <c r="Q67" s="43">
        <v>999</v>
      </c>
      <c r="R67" s="43">
        <v>999</v>
      </c>
      <c r="S67" s="43">
        <v>999</v>
      </c>
      <c r="T67" s="43">
        <v>999</v>
      </c>
      <c r="U67" s="43">
        <v>999</v>
      </c>
      <c r="V67" s="43">
        <v>999</v>
      </c>
      <c r="W67" s="43">
        <v>999</v>
      </c>
      <c r="X67" s="43">
        <v>999</v>
      </c>
      <c r="Y67" s="43">
        <v>999</v>
      </c>
      <c r="Z67" s="43">
        <v>999</v>
      </c>
      <c r="AA67" s="43">
        <v>999</v>
      </c>
      <c r="AB67" s="43">
        <v>999</v>
      </c>
      <c r="AC67" s="43">
        <v>999</v>
      </c>
      <c r="AD67" s="43">
        <v>999</v>
      </c>
      <c r="AE67" s="43">
        <v>999</v>
      </c>
      <c r="AF67" s="43">
        <v>999</v>
      </c>
      <c r="AG67" s="43">
        <v>999</v>
      </c>
      <c r="AH67" s="44">
        <v>999</v>
      </c>
    </row>
    <row r="68" spans="1:34" x14ac:dyDescent="0.35">
      <c r="A68" s="19">
        <f t="shared" si="3"/>
        <v>7</v>
      </c>
      <c r="B68" s="43" t="s">
        <v>44</v>
      </c>
      <c r="C68" s="43" t="s">
        <v>143</v>
      </c>
      <c r="D68" s="34">
        <v>7</v>
      </c>
      <c r="E68" s="34" t="s">
        <v>222</v>
      </c>
      <c r="F68" s="42" t="s">
        <v>239</v>
      </c>
      <c r="G68" s="43" t="s">
        <v>250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>
        <v>0</v>
      </c>
      <c r="N68" s="43">
        <v>0</v>
      </c>
      <c r="O68" s="43">
        <v>0</v>
      </c>
      <c r="P68" s="43">
        <v>0</v>
      </c>
      <c r="Q68" s="43">
        <v>0</v>
      </c>
      <c r="R68" s="43">
        <v>0</v>
      </c>
      <c r="S68" s="43">
        <v>0</v>
      </c>
      <c r="T68" s="43">
        <v>0</v>
      </c>
      <c r="U68" s="43">
        <v>0</v>
      </c>
      <c r="V68" s="43">
        <v>0</v>
      </c>
      <c r="W68" s="43">
        <v>0</v>
      </c>
      <c r="X68" s="43">
        <v>0</v>
      </c>
      <c r="Y68" s="43">
        <v>0</v>
      </c>
      <c r="Z68" s="43">
        <v>0</v>
      </c>
      <c r="AA68" s="43">
        <v>0</v>
      </c>
      <c r="AB68" s="43">
        <v>0</v>
      </c>
      <c r="AC68" s="43">
        <v>0</v>
      </c>
      <c r="AD68" s="43">
        <v>0</v>
      </c>
      <c r="AE68" s="43">
        <v>0</v>
      </c>
      <c r="AF68" s="43">
        <v>0</v>
      </c>
      <c r="AG68" s="43">
        <v>0</v>
      </c>
      <c r="AH68" s="44">
        <v>0</v>
      </c>
    </row>
    <row r="69" spans="1:34" ht="19" customHeight="1" x14ac:dyDescent="0.35">
      <c r="A69" s="19">
        <f t="shared" si="3"/>
        <v>7</v>
      </c>
      <c r="B69" s="43" t="s">
        <v>44</v>
      </c>
      <c r="C69" s="43" t="s">
        <v>143</v>
      </c>
      <c r="D69" s="34">
        <v>8</v>
      </c>
      <c r="E69" s="34" t="s">
        <v>223</v>
      </c>
      <c r="F69" s="42"/>
      <c r="G69" s="43" t="s">
        <v>238</v>
      </c>
      <c r="H69" s="43">
        <v>0</v>
      </c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4"/>
    </row>
    <row r="70" spans="1:34" ht="19" customHeight="1" x14ac:dyDescent="0.35">
      <c r="A70" s="19">
        <f t="shared" si="3"/>
        <v>7</v>
      </c>
      <c r="B70" s="43" t="s">
        <v>44</v>
      </c>
      <c r="C70" s="43" t="s">
        <v>143</v>
      </c>
      <c r="D70" s="34">
        <v>9</v>
      </c>
      <c r="E70" s="34" t="s">
        <v>224</v>
      </c>
      <c r="F70" s="42" t="s">
        <v>242</v>
      </c>
      <c r="G70" s="43" t="s">
        <v>233</v>
      </c>
      <c r="H70" s="43">
        <v>0</v>
      </c>
      <c r="I70" s="43">
        <v>1</v>
      </c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4"/>
    </row>
    <row r="71" spans="1:34" ht="15" thickBot="1" x14ac:dyDescent="0.4">
      <c r="A71" s="20">
        <f t="shared" si="3"/>
        <v>7</v>
      </c>
      <c r="B71" s="46" t="s">
        <v>44</v>
      </c>
      <c r="C71" s="46" t="s">
        <v>143</v>
      </c>
      <c r="D71" s="35">
        <v>10</v>
      </c>
      <c r="E71" s="35" t="s">
        <v>225</v>
      </c>
      <c r="F71" s="45" t="s">
        <v>242</v>
      </c>
      <c r="G71" s="46" t="s">
        <v>233</v>
      </c>
      <c r="H71" s="46">
        <v>0</v>
      </c>
      <c r="I71" s="46">
        <v>1</v>
      </c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7"/>
    </row>
    <row r="72" spans="1:34" x14ac:dyDescent="0.35">
      <c r="A72" s="18">
        <f>+A62+1</f>
        <v>8</v>
      </c>
      <c r="B72" s="40" t="s">
        <v>45</v>
      </c>
      <c r="C72" s="40" t="s">
        <v>144</v>
      </c>
      <c r="D72" s="36">
        <v>1</v>
      </c>
      <c r="E72" s="36" t="s">
        <v>216</v>
      </c>
      <c r="F72" s="39" t="s">
        <v>240</v>
      </c>
      <c r="G72" s="40" t="s">
        <v>233</v>
      </c>
      <c r="H72" s="40">
        <v>0</v>
      </c>
      <c r="I72" s="40">
        <v>1</v>
      </c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1"/>
    </row>
    <row r="73" spans="1:34" x14ac:dyDescent="0.35">
      <c r="A73" s="19">
        <f t="shared" si="3"/>
        <v>8</v>
      </c>
      <c r="B73" s="43" t="s">
        <v>45</v>
      </c>
      <c r="C73" s="43" t="s">
        <v>144</v>
      </c>
      <c r="D73" s="37">
        <v>2</v>
      </c>
      <c r="E73" s="37" t="s">
        <v>217</v>
      </c>
      <c r="F73" s="42" t="s">
        <v>240</v>
      </c>
      <c r="G73" s="43" t="s">
        <v>233</v>
      </c>
      <c r="H73" s="43">
        <v>0</v>
      </c>
      <c r="I73" s="43">
        <v>1</v>
      </c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4"/>
    </row>
    <row r="74" spans="1:34" x14ac:dyDescent="0.35">
      <c r="A74" s="19">
        <f t="shared" si="3"/>
        <v>8</v>
      </c>
      <c r="B74" s="43" t="s">
        <v>45</v>
      </c>
      <c r="C74" s="43" t="s">
        <v>144</v>
      </c>
      <c r="D74" s="37">
        <v>3</v>
      </c>
      <c r="E74" s="37" t="s">
        <v>218</v>
      </c>
      <c r="F74" s="42" t="s">
        <v>240</v>
      </c>
      <c r="G74" s="43" t="s">
        <v>233</v>
      </c>
      <c r="H74" s="43">
        <v>0</v>
      </c>
      <c r="I74" s="43">
        <v>1</v>
      </c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4"/>
    </row>
    <row r="75" spans="1:34" x14ac:dyDescent="0.35">
      <c r="A75" s="19">
        <f t="shared" si="3"/>
        <v>8</v>
      </c>
      <c r="B75" s="43" t="s">
        <v>45</v>
      </c>
      <c r="C75" s="43" t="s">
        <v>144</v>
      </c>
      <c r="D75" s="37">
        <v>4</v>
      </c>
      <c r="E75" s="37" t="s">
        <v>219</v>
      </c>
      <c r="F75" s="42" t="s">
        <v>239</v>
      </c>
      <c r="G75" s="43" t="s">
        <v>250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>
        <v>0</v>
      </c>
      <c r="N75" s="43">
        <v>0</v>
      </c>
      <c r="O75" s="43">
        <v>0</v>
      </c>
      <c r="P75" s="43">
        <v>0</v>
      </c>
      <c r="Q75" s="43">
        <v>0</v>
      </c>
      <c r="R75" s="43">
        <v>0</v>
      </c>
      <c r="S75" s="43">
        <v>0</v>
      </c>
      <c r="T75" s="43">
        <v>0</v>
      </c>
      <c r="U75" s="43">
        <v>0</v>
      </c>
      <c r="V75" s="43">
        <v>0</v>
      </c>
      <c r="W75" s="43">
        <v>0</v>
      </c>
      <c r="X75" s="43">
        <v>0</v>
      </c>
      <c r="Y75" s="43">
        <v>0</v>
      </c>
      <c r="Z75" s="43">
        <v>0</v>
      </c>
      <c r="AA75" s="43">
        <v>0</v>
      </c>
      <c r="AB75" s="43">
        <v>0</v>
      </c>
      <c r="AC75" s="43">
        <v>0</v>
      </c>
      <c r="AD75" s="43">
        <v>0</v>
      </c>
      <c r="AE75" s="43">
        <v>0</v>
      </c>
      <c r="AF75" s="43">
        <v>0</v>
      </c>
      <c r="AG75" s="43">
        <v>0</v>
      </c>
      <c r="AH75" s="44">
        <v>0</v>
      </c>
    </row>
    <row r="76" spans="1:34" x14ac:dyDescent="0.35">
      <c r="A76" s="19">
        <f t="shared" si="3"/>
        <v>8</v>
      </c>
      <c r="B76" s="43" t="s">
        <v>45</v>
      </c>
      <c r="C76" s="43" t="s">
        <v>144</v>
      </c>
      <c r="D76" s="37">
        <v>5</v>
      </c>
      <c r="E76" s="37" t="s">
        <v>220</v>
      </c>
      <c r="F76" s="42"/>
      <c r="G76" s="43" t="s">
        <v>238</v>
      </c>
      <c r="H76" s="43">
        <v>0</v>
      </c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4"/>
    </row>
    <row r="77" spans="1:34" x14ac:dyDescent="0.35">
      <c r="A77" s="19">
        <f t="shared" si="3"/>
        <v>8</v>
      </c>
      <c r="B77" s="43" t="s">
        <v>45</v>
      </c>
      <c r="C77" s="43" t="s">
        <v>144</v>
      </c>
      <c r="D77" s="37">
        <v>6</v>
      </c>
      <c r="E77" s="37" t="s">
        <v>221</v>
      </c>
      <c r="F77" s="42" t="s">
        <v>239</v>
      </c>
      <c r="G77" s="43" t="s">
        <v>250</v>
      </c>
      <c r="H77" s="43">
        <v>0</v>
      </c>
      <c r="I77" s="43">
        <v>999</v>
      </c>
      <c r="J77" s="43">
        <v>999</v>
      </c>
      <c r="K77" s="43">
        <v>999</v>
      </c>
      <c r="L77" s="43">
        <v>999</v>
      </c>
      <c r="M77" s="43">
        <v>999</v>
      </c>
      <c r="N77" s="43">
        <v>999</v>
      </c>
      <c r="O77" s="43">
        <v>999</v>
      </c>
      <c r="P77" s="43">
        <v>999</v>
      </c>
      <c r="Q77" s="43">
        <v>999</v>
      </c>
      <c r="R77" s="43">
        <v>999</v>
      </c>
      <c r="S77" s="43">
        <v>999</v>
      </c>
      <c r="T77" s="43">
        <v>999</v>
      </c>
      <c r="U77" s="43">
        <v>999</v>
      </c>
      <c r="V77" s="43">
        <v>999</v>
      </c>
      <c r="W77" s="43">
        <v>999</v>
      </c>
      <c r="X77" s="43">
        <v>999</v>
      </c>
      <c r="Y77" s="43">
        <v>999</v>
      </c>
      <c r="Z77" s="43">
        <v>999</v>
      </c>
      <c r="AA77" s="43">
        <v>999</v>
      </c>
      <c r="AB77" s="43">
        <v>999</v>
      </c>
      <c r="AC77" s="43">
        <v>999</v>
      </c>
      <c r="AD77" s="43">
        <v>999</v>
      </c>
      <c r="AE77" s="43">
        <v>999</v>
      </c>
      <c r="AF77" s="43">
        <v>999</v>
      </c>
      <c r="AG77" s="43">
        <v>999</v>
      </c>
      <c r="AH77" s="44">
        <v>999</v>
      </c>
    </row>
    <row r="78" spans="1:34" x14ac:dyDescent="0.35">
      <c r="A78" s="19">
        <f t="shared" si="3"/>
        <v>8</v>
      </c>
      <c r="B78" s="43" t="s">
        <v>45</v>
      </c>
      <c r="C78" s="43" t="s">
        <v>144</v>
      </c>
      <c r="D78" s="37">
        <v>7</v>
      </c>
      <c r="E78" s="37" t="s">
        <v>222</v>
      </c>
      <c r="F78" s="42" t="s">
        <v>239</v>
      </c>
      <c r="G78" s="43" t="s">
        <v>250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>
        <v>0</v>
      </c>
      <c r="N78" s="43">
        <v>0</v>
      </c>
      <c r="O78" s="43">
        <v>0</v>
      </c>
      <c r="P78" s="43">
        <v>0</v>
      </c>
      <c r="Q78" s="43">
        <v>0</v>
      </c>
      <c r="R78" s="43">
        <v>0</v>
      </c>
      <c r="S78" s="43">
        <v>0</v>
      </c>
      <c r="T78" s="43">
        <v>0</v>
      </c>
      <c r="U78" s="43">
        <v>0</v>
      </c>
      <c r="V78" s="43">
        <v>0</v>
      </c>
      <c r="W78" s="43">
        <v>0</v>
      </c>
      <c r="X78" s="43">
        <v>0</v>
      </c>
      <c r="Y78" s="43">
        <v>0</v>
      </c>
      <c r="Z78" s="43">
        <v>0</v>
      </c>
      <c r="AA78" s="43">
        <v>0</v>
      </c>
      <c r="AB78" s="43">
        <v>0</v>
      </c>
      <c r="AC78" s="43">
        <v>0</v>
      </c>
      <c r="AD78" s="43">
        <v>0</v>
      </c>
      <c r="AE78" s="43">
        <v>0</v>
      </c>
      <c r="AF78" s="43">
        <v>0</v>
      </c>
      <c r="AG78" s="43">
        <v>0</v>
      </c>
      <c r="AH78" s="44">
        <v>0</v>
      </c>
    </row>
    <row r="79" spans="1:34" x14ac:dyDescent="0.35">
      <c r="A79" s="19">
        <f t="shared" si="3"/>
        <v>8</v>
      </c>
      <c r="B79" s="43" t="s">
        <v>45</v>
      </c>
      <c r="C79" s="43" t="s">
        <v>144</v>
      </c>
      <c r="D79" s="37">
        <v>8</v>
      </c>
      <c r="E79" s="37" t="s">
        <v>223</v>
      </c>
      <c r="F79" s="42"/>
      <c r="G79" s="43" t="s">
        <v>238</v>
      </c>
      <c r="H79" s="43">
        <v>0</v>
      </c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4"/>
    </row>
    <row r="80" spans="1:34" x14ac:dyDescent="0.35">
      <c r="A80" s="19">
        <f t="shared" si="3"/>
        <v>8</v>
      </c>
      <c r="B80" s="43" t="s">
        <v>45</v>
      </c>
      <c r="C80" s="43" t="s">
        <v>144</v>
      </c>
      <c r="D80" s="37">
        <v>9</v>
      </c>
      <c r="E80" s="37" t="s">
        <v>224</v>
      </c>
      <c r="F80" s="42" t="s">
        <v>242</v>
      </c>
      <c r="G80" s="43" t="s">
        <v>233</v>
      </c>
      <c r="H80" s="43">
        <v>0</v>
      </c>
      <c r="I80" s="43">
        <v>1</v>
      </c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4"/>
    </row>
    <row r="81" spans="1:34" ht="15" thickBot="1" x14ac:dyDescent="0.4">
      <c r="A81" s="20">
        <f t="shared" si="3"/>
        <v>8</v>
      </c>
      <c r="B81" s="46" t="s">
        <v>45</v>
      </c>
      <c r="C81" s="46" t="s">
        <v>144</v>
      </c>
      <c r="D81" s="38">
        <v>10</v>
      </c>
      <c r="E81" s="38" t="s">
        <v>225</v>
      </c>
      <c r="F81" s="45" t="s">
        <v>242</v>
      </c>
      <c r="G81" s="46" t="s">
        <v>233</v>
      </c>
      <c r="H81" s="46">
        <v>0</v>
      </c>
      <c r="I81" s="46">
        <v>1</v>
      </c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7"/>
    </row>
    <row r="82" spans="1:34" x14ac:dyDescent="0.35">
      <c r="A82" s="18">
        <f>+A72+1</f>
        <v>9</v>
      </c>
      <c r="B82" s="40" t="s">
        <v>46</v>
      </c>
      <c r="C82" s="40" t="s">
        <v>145</v>
      </c>
      <c r="D82" s="32">
        <v>1</v>
      </c>
      <c r="E82" s="32" t="s">
        <v>216</v>
      </c>
      <c r="F82" s="39" t="s">
        <v>240</v>
      </c>
      <c r="G82" s="40" t="s">
        <v>233</v>
      </c>
      <c r="H82" s="40">
        <v>0</v>
      </c>
      <c r="I82" s="40">
        <v>1</v>
      </c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1"/>
    </row>
    <row r="83" spans="1:34" x14ac:dyDescent="0.35">
      <c r="A83" s="19">
        <f t="shared" ref="A83:A121" si="4">+A73+1</f>
        <v>9</v>
      </c>
      <c r="B83" s="43" t="s">
        <v>46</v>
      </c>
      <c r="C83" s="43" t="s">
        <v>145</v>
      </c>
      <c r="D83" s="34">
        <v>2</v>
      </c>
      <c r="E83" s="34" t="s">
        <v>217</v>
      </c>
      <c r="F83" s="42" t="s">
        <v>240</v>
      </c>
      <c r="G83" s="43" t="s">
        <v>233</v>
      </c>
      <c r="H83" s="43">
        <v>0</v>
      </c>
      <c r="I83" s="43">
        <v>1</v>
      </c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4"/>
    </row>
    <row r="84" spans="1:34" x14ac:dyDescent="0.35">
      <c r="A84" s="19">
        <f t="shared" si="4"/>
        <v>9</v>
      </c>
      <c r="B84" s="43" t="s">
        <v>46</v>
      </c>
      <c r="C84" s="43" t="s">
        <v>145</v>
      </c>
      <c r="D84" s="34">
        <v>3</v>
      </c>
      <c r="E84" s="34" t="s">
        <v>218</v>
      </c>
      <c r="F84" s="42" t="s">
        <v>240</v>
      </c>
      <c r="G84" s="43" t="s">
        <v>233</v>
      </c>
      <c r="H84" s="43">
        <v>0</v>
      </c>
      <c r="I84" s="43">
        <v>1</v>
      </c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4"/>
    </row>
    <row r="85" spans="1:34" x14ac:dyDescent="0.35">
      <c r="A85" s="19">
        <f t="shared" si="4"/>
        <v>9</v>
      </c>
      <c r="B85" s="43" t="s">
        <v>46</v>
      </c>
      <c r="C85" s="43" t="s">
        <v>145</v>
      </c>
      <c r="D85" s="34">
        <v>4</v>
      </c>
      <c r="E85" s="34" t="s">
        <v>219</v>
      </c>
      <c r="F85" s="42" t="s">
        <v>239</v>
      </c>
      <c r="G85" s="43" t="s">
        <v>250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>
        <v>0</v>
      </c>
      <c r="N85" s="43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  <c r="V85" s="43">
        <v>0</v>
      </c>
      <c r="W85" s="43">
        <v>0</v>
      </c>
      <c r="X85" s="43">
        <v>0</v>
      </c>
      <c r="Y85" s="43">
        <v>0</v>
      </c>
      <c r="Z85" s="43">
        <v>0</v>
      </c>
      <c r="AA85" s="43">
        <v>0</v>
      </c>
      <c r="AB85" s="43">
        <v>0</v>
      </c>
      <c r="AC85" s="43">
        <v>0</v>
      </c>
      <c r="AD85" s="43">
        <v>0</v>
      </c>
      <c r="AE85" s="43">
        <v>0</v>
      </c>
      <c r="AF85" s="43">
        <v>0</v>
      </c>
      <c r="AG85" s="43">
        <v>0</v>
      </c>
      <c r="AH85" s="44">
        <v>0</v>
      </c>
    </row>
    <row r="86" spans="1:34" x14ac:dyDescent="0.35">
      <c r="A86" s="19">
        <f t="shared" si="4"/>
        <v>9</v>
      </c>
      <c r="B86" s="43" t="s">
        <v>46</v>
      </c>
      <c r="C86" s="43" t="s">
        <v>145</v>
      </c>
      <c r="D86" s="34">
        <v>5</v>
      </c>
      <c r="E86" s="34" t="s">
        <v>220</v>
      </c>
      <c r="F86" s="42"/>
      <c r="G86" s="43" t="s">
        <v>238</v>
      </c>
      <c r="H86" s="43">
        <v>0</v>
      </c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4"/>
    </row>
    <row r="87" spans="1:34" x14ac:dyDescent="0.35">
      <c r="A87" s="19">
        <f t="shared" si="4"/>
        <v>9</v>
      </c>
      <c r="B87" s="43" t="s">
        <v>46</v>
      </c>
      <c r="C87" s="43" t="s">
        <v>145</v>
      </c>
      <c r="D87" s="34">
        <v>6</v>
      </c>
      <c r="E87" s="34" t="s">
        <v>221</v>
      </c>
      <c r="F87" s="42" t="s">
        <v>239</v>
      </c>
      <c r="G87" s="43" t="s">
        <v>250</v>
      </c>
      <c r="H87" s="43">
        <v>0</v>
      </c>
      <c r="I87" s="43">
        <v>999</v>
      </c>
      <c r="J87" s="43">
        <v>999</v>
      </c>
      <c r="K87" s="43">
        <v>999</v>
      </c>
      <c r="L87" s="43">
        <v>999</v>
      </c>
      <c r="M87" s="43">
        <v>999</v>
      </c>
      <c r="N87" s="43">
        <v>999</v>
      </c>
      <c r="O87" s="43">
        <v>999</v>
      </c>
      <c r="P87" s="43">
        <v>999</v>
      </c>
      <c r="Q87" s="43">
        <v>999</v>
      </c>
      <c r="R87" s="43">
        <v>999</v>
      </c>
      <c r="S87" s="43">
        <v>999</v>
      </c>
      <c r="T87" s="43">
        <v>999</v>
      </c>
      <c r="U87" s="43">
        <v>999</v>
      </c>
      <c r="V87" s="43">
        <v>999</v>
      </c>
      <c r="W87" s="43">
        <v>999</v>
      </c>
      <c r="X87" s="43">
        <v>999</v>
      </c>
      <c r="Y87" s="43">
        <v>999</v>
      </c>
      <c r="Z87" s="43">
        <v>999</v>
      </c>
      <c r="AA87" s="43">
        <v>999</v>
      </c>
      <c r="AB87" s="43">
        <v>999</v>
      </c>
      <c r="AC87" s="43">
        <v>999</v>
      </c>
      <c r="AD87" s="43">
        <v>999</v>
      </c>
      <c r="AE87" s="43">
        <v>999</v>
      </c>
      <c r="AF87" s="43">
        <v>999</v>
      </c>
      <c r="AG87" s="43">
        <v>999</v>
      </c>
      <c r="AH87" s="44">
        <v>999</v>
      </c>
    </row>
    <row r="88" spans="1:34" x14ac:dyDescent="0.35">
      <c r="A88" s="19">
        <f t="shared" si="4"/>
        <v>9</v>
      </c>
      <c r="B88" s="43" t="s">
        <v>46</v>
      </c>
      <c r="C88" s="43" t="s">
        <v>145</v>
      </c>
      <c r="D88" s="34">
        <v>7</v>
      </c>
      <c r="E88" s="34" t="s">
        <v>222</v>
      </c>
      <c r="F88" s="42" t="s">
        <v>239</v>
      </c>
      <c r="G88" s="43" t="s">
        <v>250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>
        <v>0</v>
      </c>
      <c r="N88" s="43">
        <v>0</v>
      </c>
      <c r="O88" s="43">
        <v>0</v>
      </c>
      <c r="P88" s="43">
        <v>0</v>
      </c>
      <c r="Q88" s="43">
        <v>0</v>
      </c>
      <c r="R88" s="43">
        <v>0</v>
      </c>
      <c r="S88" s="43">
        <v>0</v>
      </c>
      <c r="T88" s="43">
        <v>0</v>
      </c>
      <c r="U88" s="43">
        <v>0</v>
      </c>
      <c r="V88" s="43">
        <v>0</v>
      </c>
      <c r="W88" s="43">
        <v>0</v>
      </c>
      <c r="X88" s="43">
        <v>0</v>
      </c>
      <c r="Y88" s="43">
        <v>0</v>
      </c>
      <c r="Z88" s="43">
        <v>0</v>
      </c>
      <c r="AA88" s="43">
        <v>0</v>
      </c>
      <c r="AB88" s="43">
        <v>0</v>
      </c>
      <c r="AC88" s="43">
        <v>0</v>
      </c>
      <c r="AD88" s="43">
        <v>0</v>
      </c>
      <c r="AE88" s="43">
        <v>0</v>
      </c>
      <c r="AF88" s="43">
        <v>0</v>
      </c>
      <c r="AG88" s="43">
        <v>0</v>
      </c>
      <c r="AH88" s="44">
        <v>0</v>
      </c>
    </row>
    <row r="89" spans="1:34" x14ac:dyDescent="0.35">
      <c r="A89" s="19">
        <f t="shared" si="4"/>
        <v>9</v>
      </c>
      <c r="B89" s="43" t="s">
        <v>46</v>
      </c>
      <c r="C89" s="43" t="s">
        <v>145</v>
      </c>
      <c r="D89" s="34">
        <v>8</v>
      </c>
      <c r="E89" s="34" t="s">
        <v>223</v>
      </c>
      <c r="F89" s="42"/>
      <c r="G89" s="43" t="s">
        <v>238</v>
      </c>
      <c r="H89" s="43">
        <v>0</v>
      </c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4"/>
    </row>
    <row r="90" spans="1:34" x14ac:dyDescent="0.35">
      <c r="A90" s="19">
        <f t="shared" si="4"/>
        <v>9</v>
      </c>
      <c r="B90" s="43" t="s">
        <v>46</v>
      </c>
      <c r="C90" s="43" t="s">
        <v>145</v>
      </c>
      <c r="D90" s="34">
        <v>9</v>
      </c>
      <c r="E90" s="34" t="s">
        <v>224</v>
      </c>
      <c r="F90" s="42" t="s">
        <v>242</v>
      </c>
      <c r="G90" s="43" t="s">
        <v>233</v>
      </c>
      <c r="H90" s="43">
        <v>0</v>
      </c>
      <c r="I90" s="43">
        <v>1</v>
      </c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4"/>
    </row>
    <row r="91" spans="1:34" ht="15" thickBot="1" x14ac:dyDescent="0.4">
      <c r="A91" s="20">
        <f t="shared" si="4"/>
        <v>9</v>
      </c>
      <c r="B91" s="46" t="s">
        <v>46</v>
      </c>
      <c r="C91" s="46" t="s">
        <v>145</v>
      </c>
      <c r="D91" s="35">
        <v>10</v>
      </c>
      <c r="E91" s="35" t="s">
        <v>225</v>
      </c>
      <c r="F91" s="45" t="s">
        <v>242</v>
      </c>
      <c r="G91" s="46" t="s">
        <v>233</v>
      </c>
      <c r="H91" s="46">
        <v>0</v>
      </c>
      <c r="I91" s="46">
        <v>1</v>
      </c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7"/>
    </row>
    <row r="92" spans="1:34" x14ac:dyDescent="0.35">
      <c r="A92" s="18">
        <f>+A82+1</f>
        <v>10</v>
      </c>
      <c r="B92" s="65" t="s">
        <v>254</v>
      </c>
      <c r="C92" s="52" t="s">
        <v>257</v>
      </c>
      <c r="D92" s="66">
        <v>1</v>
      </c>
      <c r="E92" s="66" t="s">
        <v>216</v>
      </c>
      <c r="F92" s="39" t="s">
        <v>240</v>
      </c>
      <c r="G92" s="40" t="s">
        <v>233</v>
      </c>
      <c r="H92" s="40">
        <v>0</v>
      </c>
      <c r="I92" s="40">
        <v>1</v>
      </c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1"/>
    </row>
    <row r="93" spans="1:34" x14ac:dyDescent="0.35">
      <c r="A93" s="19">
        <f t="shared" ref="A93:A111" si="5">+A83+1</f>
        <v>10</v>
      </c>
      <c r="B93" s="65" t="s">
        <v>254</v>
      </c>
      <c r="C93" s="52" t="s">
        <v>257</v>
      </c>
      <c r="D93" s="67">
        <v>2</v>
      </c>
      <c r="E93" s="67" t="s">
        <v>217</v>
      </c>
      <c r="F93" s="42" t="s">
        <v>240</v>
      </c>
      <c r="G93" s="43" t="s">
        <v>233</v>
      </c>
      <c r="H93" s="43">
        <v>0</v>
      </c>
      <c r="I93" s="43">
        <v>1</v>
      </c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4"/>
    </row>
    <row r="94" spans="1:34" x14ac:dyDescent="0.35">
      <c r="A94" s="19">
        <f t="shared" si="5"/>
        <v>10</v>
      </c>
      <c r="B94" s="65" t="s">
        <v>254</v>
      </c>
      <c r="C94" s="52" t="s">
        <v>257</v>
      </c>
      <c r="D94" s="67">
        <v>3</v>
      </c>
      <c r="E94" s="67" t="s">
        <v>218</v>
      </c>
      <c r="F94" s="42" t="s">
        <v>240</v>
      </c>
      <c r="G94" s="43" t="s">
        <v>233</v>
      </c>
      <c r="H94" s="43">
        <v>0</v>
      </c>
      <c r="I94" s="43">
        <v>1</v>
      </c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4"/>
    </row>
    <row r="95" spans="1:34" x14ac:dyDescent="0.35">
      <c r="A95" s="19">
        <f t="shared" si="5"/>
        <v>10</v>
      </c>
      <c r="B95" s="65" t="s">
        <v>254</v>
      </c>
      <c r="C95" s="52" t="s">
        <v>257</v>
      </c>
      <c r="D95" s="67">
        <v>4</v>
      </c>
      <c r="E95" s="67" t="s">
        <v>219</v>
      </c>
      <c r="F95" s="42" t="s">
        <v>239</v>
      </c>
      <c r="G95" s="43" t="s">
        <v>250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>
        <v>0</v>
      </c>
      <c r="N95" s="43">
        <v>0</v>
      </c>
      <c r="O95" s="43">
        <v>0</v>
      </c>
      <c r="P95" s="43">
        <v>0</v>
      </c>
      <c r="Q95" s="43">
        <v>0</v>
      </c>
      <c r="R95" s="43">
        <v>0</v>
      </c>
      <c r="S95" s="43">
        <v>0</v>
      </c>
      <c r="T95" s="43">
        <v>0</v>
      </c>
      <c r="U95" s="43">
        <v>0</v>
      </c>
      <c r="V95" s="43">
        <v>0</v>
      </c>
      <c r="W95" s="43">
        <v>0</v>
      </c>
      <c r="X95" s="43">
        <v>0</v>
      </c>
      <c r="Y95" s="43">
        <v>0</v>
      </c>
      <c r="Z95" s="43">
        <v>0</v>
      </c>
      <c r="AA95" s="43">
        <v>0</v>
      </c>
      <c r="AB95" s="43">
        <v>0</v>
      </c>
      <c r="AC95" s="43">
        <v>0</v>
      </c>
      <c r="AD95" s="43">
        <v>0</v>
      </c>
      <c r="AE95" s="43">
        <v>0</v>
      </c>
      <c r="AF95" s="43">
        <v>0</v>
      </c>
      <c r="AG95" s="43">
        <v>0</v>
      </c>
      <c r="AH95" s="44">
        <v>0</v>
      </c>
    </row>
    <row r="96" spans="1:34" x14ac:dyDescent="0.35">
      <c r="A96" s="19">
        <f t="shared" si="5"/>
        <v>10</v>
      </c>
      <c r="B96" s="65" t="s">
        <v>254</v>
      </c>
      <c r="C96" s="52" t="s">
        <v>257</v>
      </c>
      <c r="D96" s="67">
        <v>5</v>
      </c>
      <c r="E96" s="67" t="s">
        <v>220</v>
      </c>
      <c r="F96" s="42"/>
      <c r="G96" s="43" t="s">
        <v>238</v>
      </c>
      <c r="H96" s="43">
        <v>0</v>
      </c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4"/>
    </row>
    <row r="97" spans="1:34" x14ac:dyDescent="0.35">
      <c r="A97" s="19">
        <f t="shared" si="5"/>
        <v>10</v>
      </c>
      <c r="B97" s="65" t="s">
        <v>254</v>
      </c>
      <c r="C97" s="52" t="s">
        <v>257</v>
      </c>
      <c r="D97" s="67">
        <v>6</v>
      </c>
      <c r="E97" s="67" t="s">
        <v>221</v>
      </c>
      <c r="F97" s="42" t="s">
        <v>239</v>
      </c>
      <c r="G97" s="43" t="s">
        <v>250</v>
      </c>
      <c r="H97" s="43">
        <v>0</v>
      </c>
      <c r="I97" s="43">
        <v>999</v>
      </c>
      <c r="J97" s="43">
        <v>999</v>
      </c>
      <c r="K97" s="43">
        <v>999</v>
      </c>
      <c r="L97" s="43">
        <v>999</v>
      </c>
      <c r="M97" s="43">
        <v>999</v>
      </c>
      <c r="N97" s="43">
        <v>999</v>
      </c>
      <c r="O97" s="43">
        <v>999</v>
      </c>
      <c r="P97" s="43">
        <v>999</v>
      </c>
      <c r="Q97" s="43">
        <v>999</v>
      </c>
      <c r="R97" s="43">
        <v>999</v>
      </c>
      <c r="S97" s="43">
        <v>999</v>
      </c>
      <c r="T97" s="43">
        <v>999</v>
      </c>
      <c r="U97" s="43">
        <v>999</v>
      </c>
      <c r="V97" s="43">
        <v>999</v>
      </c>
      <c r="W97" s="43">
        <v>999</v>
      </c>
      <c r="X97" s="43">
        <v>999</v>
      </c>
      <c r="Y97" s="43">
        <v>999</v>
      </c>
      <c r="Z97" s="43">
        <v>999</v>
      </c>
      <c r="AA97" s="43">
        <v>999</v>
      </c>
      <c r="AB97" s="43">
        <v>999</v>
      </c>
      <c r="AC97" s="43">
        <v>999</v>
      </c>
      <c r="AD97" s="43">
        <v>999</v>
      </c>
      <c r="AE97" s="43">
        <v>999</v>
      </c>
      <c r="AF97" s="43">
        <v>999</v>
      </c>
      <c r="AG97" s="43">
        <v>999</v>
      </c>
      <c r="AH97" s="44">
        <v>999</v>
      </c>
    </row>
    <row r="98" spans="1:34" x14ac:dyDescent="0.35">
      <c r="A98" s="19">
        <f t="shared" si="5"/>
        <v>10</v>
      </c>
      <c r="B98" s="65" t="s">
        <v>254</v>
      </c>
      <c r="C98" s="52" t="s">
        <v>257</v>
      </c>
      <c r="D98" s="67">
        <v>7</v>
      </c>
      <c r="E98" s="67" t="s">
        <v>222</v>
      </c>
      <c r="F98" s="42" t="s">
        <v>239</v>
      </c>
      <c r="G98" s="43" t="s">
        <v>250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>
        <v>0</v>
      </c>
      <c r="N98" s="43">
        <v>0</v>
      </c>
      <c r="O98" s="43">
        <v>0</v>
      </c>
      <c r="P98" s="43">
        <v>0</v>
      </c>
      <c r="Q98" s="43">
        <v>0</v>
      </c>
      <c r="R98" s="43">
        <v>0</v>
      </c>
      <c r="S98" s="43">
        <v>0</v>
      </c>
      <c r="T98" s="43">
        <v>0</v>
      </c>
      <c r="U98" s="43">
        <v>0</v>
      </c>
      <c r="V98" s="43">
        <v>0</v>
      </c>
      <c r="W98" s="43">
        <v>0</v>
      </c>
      <c r="X98" s="43">
        <v>0</v>
      </c>
      <c r="Y98" s="43">
        <v>0</v>
      </c>
      <c r="Z98" s="43">
        <v>0</v>
      </c>
      <c r="AA98" s="43">
        <v>0</v>
      </c>
      <c r="AB98" s="43">
        <v>0</v>
      </c>
      <c r="AC98" s="43">
        <v>0</v>
      </c>
      <c r="AD98" s="43">
        <v>0</v>
      </c>
      <c r="AE98" s="43">
        <v>0</v>
      </c>
      <c r="AF98" s="43">
        <v>0</v>
      </c>
      <c r="AG98" s="43">
        <v>0</v>
      </c>
      <c r="AH98" s="44">
        <v>0</v>
      </c>
    </row>
    <row r="99" spans="1:34" x14ac:dyDescent="0.35">
      <c r="A99" s="19">
        <f t="shared" si="5"/>
        <v>10</v>
      </c>
      <c r="B99" s="65" t="s">
        <v>254</v>
      </c>
      <c r="C99" s="52" t="s">
        <v>257</v>
      </c>
      <c r="D99" s="67">
        <v>8</v>
      </c>
      <c r="E99" s="67" t="s">
        <v>223</v>
      </c>
      <c r="F99" s="42"/>
      <c r="G99" s="43" t="s">
        <v>238</v>
      </c>
      <c r="H99" s="43">
        <v>0</v>
      </c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4"/>
    </row>
    <row r="100" spans="1:34" x14ac:dyDescent="0.35">
      <c r="A100" s="19">
        <f t="shared" si="5"/>
        <v>10</v>
      </c>
      <c r="B100" s="65" t="s">
        <v>254</v>
      </c>
      <c r="C100" s="52" t="s">
        <v>257</v>
      </c>
      <c r="D100" s="67">
        <v>9</v>
      </c>
      <c r="E100" s="67" t="s">
        <v>224</v>
      </c>
      <c r="F100" s="42" t="s">
        <v>242</v>
      </c>
      <c r="G100" s="43" t="s">
        <v>233</v>
      </c>
      <c r="H100" s="43">
        <v>0</v>
      </c>
      <c r="I100" s="43">
        <v>1</v>
      </c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4"/>
    </row>
    <row r="101" spans="1:34" ht="15" thickBot="1" x14ac:dyDescent="0.4">
      <c r="A101" s="20">
        <f t="shared" si="5"/>
        <v>10</v>
      </c>
      <c r="B101" s="65" t="s">
        <v>254</v>
      </c>
      <c r="C101" s="52" t="s">
        <v>257</v>
      </c>
      <c r="D101" s="68">
        <v>10</v>
      </c>
      <c r="E101" s="68" t="s">
        <v>225</v>
      </c>
      <c r="F101" s="45" t="s">
        <v>242</v>
      </c>
      <c r="G101" s="46" t="s">
        <v>233</v>
      </c>
      <c r="H101" s="46">
        <v>0</v>
      </c>
      <c r="I101" s="46">
        <v>1</v>
      </c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7"/>
    </row>
    <row r="102" spans="1:34" x14ac:dyDescent="0.35">
      <c r="A102" s="18">
        <f>+A92+1</f>
        <v>11</v>
      </c>
      <c r="B102" s="40" t="s">
        <v>47</v>
      </c>
      <c r="C102" s="40" t="s">
        <v>146</v>
      </c>
      <c r="D102" s="36">
        <v>1</v>
      </c>
      <c r="E102" s="36" t="s">
        <v>216</v>
      </c>
      <c r="F102" s="39" t="s">
        <v>240</v>
      </c>
      <c r="G102" s="40" t="s">
        <v>233</v>
      </c>
      <c r="H102" s="40">
        <v>0</v>
      </c>
      <c r="I102" s="40">
        <v>1</v>
      </c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1"/>
    </row>
    <row r="103" spans="1:34" x14ac:dyDescent="0.35">
      <c r="A103" s="19">
        <f t="shared" si="5"/>
        <v>11</v>
      </c>
      <c r="B103" s="43" t="s">
        <v>47</v>
      </c>
      <c r="C103" s="43" t="s">
        <v>146</v>
      </c>
      <c r="D103" s="37">
        <v>2</v>
      </c>
      <c r="E103" s="37" t="s">
        <v>217</v>
      </c>
      <c r="F103" s="42" t="s">
        <v>240</v>
      </c>
      <c r="G103" s="43" t="s">
        <v>233</v>
      </c>
      <c r="H103" s="43">
        <v>0</v>
      </c>
      <c r="I103" s="43">
        <v>1</v>
      </c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4"/>
    </row>
    <row r="104" spans="1:34" x14ac:dyDescent="0.35">
      <c r="A104" s="19">
        <f t="shared" si="5"/>
        <v>11</v>
      </c>
      <c r="B104" s="43" t="s">
        <v>47</v>
      </c>
      <c r="C104" s="43" t="s">
        <v>146</v>
      </c>
      <c r="D104" s="37">
        <v>3</v>
      </c>
      <c r="E104" s="37" t="s">
        <v>218</v>
      </c>
      <c r="F104" s="42" t="s">
        <v>240</v>
      </c>
      <c r="G104" s="43" t="s">
        <v>233</v>
      </c>
      <c r="H104" s="43">
        <v>0</v>
      </c>
      <c r="I104" s="43">
        <v>1</v>
      </c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4"/>
    </row>
    <row r="105" spans="1:34" x14ac:dyDescent="0.35">
      <c r="A105" s="19">
        <f t="shared" si="5"/>
        <v>11</v>
      </c>
      <c r="B105" s="43" t="s">
        <v>47</v>
      </c>
      <c r="C105" s="43" t="s">
        <v>146</v>
      </c>
      <c r="D105" s="37">
        <v>4</v>
      </c>
      <c r="E105" s="37" t="s">
        <v>219</v>
      </c>
      <c r="F105" s="42" t="s">
        <v>239</v>
      </c>
      <c r="G105" s="43" t="s">
        <v>250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>
        <v>0</v>
      </c>
      <c r="N105" s="43">
        <v>0</v>
      </c>
      <c r="O105" s="43">
        <v>0</v>
      </c>
      <c r="P105" s="43">
        <v>0</v>
      </c>
      <c r="Q105" s="43">
        <v>0</v>
      </c>
      <c r="R105" s="43">
        <v>0</v>
      </c>
      <c r="S105" s="43">
        <v>0</v>
      </c>
      <c r="T105" s="43">
        <v>0</v>
      </c>
      <c r="U105" s="43">
        <v>0</v>
      </c>
      <c r="V105" s="43">
        <v>0</v>
      </c>
      <c r="W105" s="43">
        <v>0</v>
      </c>
      <c r="X105" s="43">
        <v>0</v>
      </c>
      <c r="Y105" s="43">
        <v>0</v>
      </c>
      <c r="Z105" s="43">
        <v>0</v>
      </c>
      <c r="AA105" s="43">
        <v>0</v>
      </c>
      <c r="AB105" s="43">
        <v>0</v>
      </c>
      <c r="AC105" s="43">
        <v>0</v>
      </c>
      <c r="AD105" s="43">
        <v>0</v>
      </c>
      <c r="AE105" s="43">
        <v>0</v>
      </c>
      <c r="AF105" s="43">
        <v>0</v>
      </c>
      <c r="AG105" s="43">
        <v>0</v>
      </c>
      <c r="AH105" s="44">
        <v>0</v>
      </c>
    </row>
    <row r="106" spans="1:34" x14ac:dyDescent="0.35">
      <c r="A106" s="19">
        <f t="shared" si="5"/>
        <v>11</v>
      </c>
      <c r="B106" s="43" t="s">
        <v>47</v>
      </c>
      <c r="C106" s="43" t="s">
        <v>146</v>
      </c>
      <c r="D106" s="37">
        <v>5</v>
      </c>
      <c r="E106" s="37" t="s">
        <v>220</v>
      </c>
      <c r="F106" s="42"/>
      <c r="G106" s="43" t="s">
        <v>238</v>
      </c>
      <c r="H106" s="43">
        <v>0</v>
      </c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4"/>
    </row>
    <row r="107" spans="1:34" x14ac:dyDescent="0.35">
      <c r="A107" s="19">
        <f t="shared" si="5"/>
        <v>11</v>
      </c>
      <c r="B107" s="43" t="s">
        <v>47</v>
      </c>
      <c r="C107" s="43" t="s">
        <v>146</v>
      </c>
      <c r="D107" s="37">
        <v>6</v>
      </c>
      <c r="E107" s="37" t="s">
        <v>221</v>
      </c>
      <c r="F107" s="42" t="s">
        <v>239</v>
      </c>
      <c r="G107" s="43" t="s">
        <v>250</v>
      </c>
      <c r="H107" s="43">
        <v>0</v>
      </c>
      <c r="I107" s="43">
        <v>999</v>
      </c>
      <c r="J107" s="43">
        <v>999</v>
      </c>
      <c r="K107" s="43">
        <v>999</v>
      </c>
      <c r="L107" s="43">
        <v>999</v>
      </c>
      <c r="M107" s="43">
        <v>999</v>
      </c>
      <c r="N107" s="43">
        <v>999</v>
      </c>
      <c r="O107" s="43">
        <v>999</v>
      </c>
      <c r="P107" s="43">
        <v>999</v>
      </c>
      <c r="Q107" s="43">
        <v>999</v>
      </c>
      <c r="R107" s="43">
        <v>999</v>
      </c>
      <c r="S107" s="43">
        <v>999</v>
      </c>
      <c r="T107" s="43">
        <v>999</v>
      </c>
      <c r="U107" s="43">
        <v>999</v>
      </c>
      <c r="V107" s="43">
        <v>999</v>
      </c>
      <c r="W107" s="43">
        <v>999</v>
      </c>
      <c r="X107" s="43">
        <v>999</v>
      </c>
      <c r="Y107" s="43">
        <v>999</v>
      </c>
      <c r="Z107" s="43">
        <v>999</v>
      </c>
      <c r="AA107" s="43">
        <v>999</v>
      </c>
      <c r="AB107" s="43">
        <v>999</v>
      </c>
      <c r="AC107" s="43">
        <v>999</v>
      </c>
      <c r="AD107" s="43">
        <v>999</v>
      </c>
      <c r="AE107" s="43">
        <v>999</v>
      </c>
      <c r="AF107" s="43">
        <v>999</v>
      </c>
      <c r="AG107" s="43">
        <v>999</v>
      </c>
      <c r="AH107" s="44">
        <v>999</v>
      </c>
    </row>
    <row r="108" spans="1:34" x14ac:dyDescent="0.35">
      <c r="A108" s="19">
        <f t="shared" si="5"/>
        <v>11</v>
      </c>
      <c r="B108" s="43" t="s">
        <v>47</v>
      </c>
      <c r="C108" s="43" t="s">
        <v>146</v>
      </c>
      <c r="D108" s="37">
        <v>7</v>
      </c>
      <c r="E108" s="37" t="s">
        <v>222</v>
      </c>
      <c r="F108" s="42" t="s">
        <v>239</v>
      </c>
      <c r="G108" s="43" t="s">
        <v>250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3">
        <v>0</v>
      </c>
      <c r="S108" s="43">
        <v>0</v>
      </c>
      <c r="T108" s="43">
        <v>0</v>
      </c>
      <c r="U108" s="43">
        <v>0</v>
      </c>
      <c r="V108" s="43">
        <v>0</v>
      </c>
      <c r="W108" s="43">
        <v>0</v>
      </c>
      <c r="X108" s="43">
        <v>0</v>
      </c>
      <c r="Y108" s="43">
        <v>0</v>
      </c>
      <c r="Z108" s="43">
        <v>0</v>
      </c>
      <c r="AA108" s="43">
        <v>0</v>
      </c>
      <c r="AB108" s="43">
        <v>0</v>
      </c>
      <c r="AC108" s="43">
        <v>0</v>
      </c>
      <c r="AD108" s="43">
        <v>0</v>
      </c>
      <c r="AE108" s="43">
        <v>0</v>
      </c>
      <c r="AF108" s="43">
        <v>0</v>
      </c>
      <c r="AG108" s="43">
        <v>0</v>
      </c>
      <c r="AH108" s="44">
        <v>0</v>
      </c>
    </row>
    <row r="109" spans="1:34" x14ac:dyDescent="0.35">
      <c r="A109" s="19">
        <f t="shared" si="5"/>
        <v>11</v>
      </c>
      <c r="B109" s="43" t="s">
        <v>47</v>
      </c>
      <c r="C109" s="43" t="s">
        <v>146</v>
      </c>
      <c r="D109" s="37">
        <v>8</v>
      </c>
      <c r="E109" s="37" t="s">
        <v>223</v>
      </c>
      <c r="F109" s="42"/>
      <c r="G109" s="43" t="s">
        <v>238</v>
      </c>
      <c r="H109" s="43">
        <v>0</v>
      </c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4"/>
    </row>
    <row r="110" spans="1:34" x14ac:dyDescent="0.35">
      <c r="A110" s="19">
        <f t="shared" si="5"/>
        <v>11</v>
      </c>
      <c r="B110" s="43" t="s">
        <v>47</v>
      </c>
      <c r="C110" s="43" t="s">
        <v>146</v>
      </c>
      <c r="D110" s="37">
        <v>9</v>
      </c>
      <c r="E110" s="37" t="s">
        <v>224</v>
      </c>
      <c r="F110" s="42" t="s">
        <v>242</v>
      </c>
      <c r="G110" s="43" t="s">
        <v>233</v>
      </c>
      <c r="H110" s="43">
        <v>0</v>
      </c>
      <c r="I110" s="43">
        <v>1</v>
      </c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4"/>
    </row>
    <row r="111" spans="1:34" ht="15" thickBot="1" x14ac:dyDescent="0.4">
      <c r="A111" s="20">
        <f t="shared" si="5"/>
        <v>11</v>
      </c>
      <c r="B111" s="46" t="s">
        <v>47</v>
      </c>
      <c r="C111" s="46" t="s">
        <v>146</v>
      </c>
      <c r="D111" s="38">
        <v>10</v>
      </c>
      <c r="E111" s="38" t="s">
        <v>225</v>
      </c>
      <c r="F111" s="45" t="s">
        <v>242</v>
      </c>
      <c r="G111" s="46" t="s">
        <v>233</v>
      </c>
      <c r="H111" s="46">
        <v>0</v>
      </c>
      <c r="I111" s="46">
        <v>1</v>
      </c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7"/>
    </row>
    <row r="112" spans="1:34" x14ac:dyDescent="0.35">
      <c r="A112" s="18">
        <f>+A102+1</f>
        <v>12</v>
      </c>
      <c r="B112" s="40" t="s">
        <v>48</v>
      </c>
      <c r="C112" s="40" t="s">
        <v>147</v>
      </c>
      <c r="D112" s="32">
        <v>1</v>
      </c>
      <c r="E112" s="32" t="s">
        <v>216</v>
      </c>
      <c r="F112" s="39" t="s">
        <v>240</v>
      </c>
      <c r="G112" s="40" t="s">
        <v>233</v>
      </c>
      <c r="H112" s="40">
        <v>0</v>
      </c>
      <c r="I112" s="40">
        <v>1</v>
      </c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1"/>
    </row>
    <row r="113" spans="1:34" x14ac:dyDescent="0.35">
      <c r="A113" s="19">
        <f t="shared" si="4"/>
        <v>12</v>
      </c>
      <c r="B113" s="43" t="s">
        <v>48</v>
      </c>
      <c r="C113" s="43" t="s">
        <v>147</v>
      </c>
      <c r="D113" s="34">
        <v>2</v>
      </c>
      <c r="E113" s="34" t="s">
        <v>217</v>
      </c>
      <c r="F113" s="42" t="s">
        <v>240</v>
      </c>
      <c r="G113" s="43" t="s">
        <v>233</v>
      </c>
      <c r="H113" s="43">
        <v>0</v>
      </c>
      <c r="I113" s="43">
        <v>1</v>
      </c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4"/>
    </row>
    <row r="114" spans="1:34" x14ac:dyDescent="0.35">
      <c r="A114" s="19">
        <f t="shared" si="4"/>
        <v>12</v>
      </c>
      <c r="B114" s="43" t="s">
        <v>48</v>
      </c>
      <c r="C114" s="43" t="s">
        <v>147</v>
      </c>
      <c r="D114" s="34">
        <v>3</v>
      </c>
      <c r="E114" s="34" t="s">
        <v>218</v>
      </c>
      <c r="F114" s="42" t="s">
        <v>240</v>
      </c>
      <c r="G114" s="43" t="s">
        <v>233</v>
      </c>
      <c r="H114" s="43">
        <v>0</v>
      </c>
      <c r="I114" s="43">
        <v>1</v>
      </c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4"/>
    </row>
    <row r="115" spans="1:34" x14ac:dyDescent="0.35">
      <c r="A115" s="19">
        <f t="shared" si="4"/>
        <v>12</v>
      </c>
      <c r="B115" s="43" t="s">
        <v>48</v>
      </c>
      <c r="C115" s="43" t="s">
        <v>147</v>
      </c>
      <c r="D115" s="34">
        <v>4</v>
      </c>
      <c r="E115" s="34" t="s">
        <v>219</v>
      </c>
      <c r="F115" s="42" t="s">
        <v>239</v>
      </c>
      <c r="G115" s="43" t="s">
        <v>250</v>
      </c>
      <c r="H115" s="43">
        <v>0</v>
      </c>
      <c r="I115" s="43">
        <v>0</v>
      </c>
      <c r="J115" s="43">
        <v>0</v>
      </c>
      <c r="K115" s="43">
        <v>0</v>
      </c>
      <c r="L115" s="43">
        <v>0</v>
      </c>
      <c r="M115" s="43">
        <v>0</v>
      </c>
      <c r="N115" s="43">
        <v>0</v>
      </c>
      <c r="O115" s="43">
        <v>0</v>
      </c>
      <c r="P115" s="43">
        <v>0</v>
      </c>
      <c r="Q115" s="43">
        <v>0</v>
      </c>
      <c r="R115" s="43">
        <v>0</v>
      </c>
      <c r="S115" s="43">
        <v>0</v>
      </c>
      <c r="T115" s="43">
        <v>0</v>
      </c>
      <c r="U115" s="43">
        <v>0</v>
      </c>
      <c r="V115" s="43">
        <v>0</v>
      </c>
      <c r="W115" s="43">
        <v>0</v>
      </c>
      <c r="X115" s="43">
        <v>0</v>
      </c>
      <c r="Y115" s="43">
        <v>0</v>
      </c>
      <c r="Z115" s="43">
        <v>0</v>
      </c>
      <c r="AA115" s="43">
        <v>0</v>
      </c>
      <c r="AB115" s="43">
        <v>0</v>
      </c>
      <c r="AC115" s="43">
        <v>0</v>
      </c>
      <c r="AD115" s="43">
        <v>0</v>
      </c>
      <c r="AE115" s="43">
        <v>0</v>
      </c>
      <c r="AF115" s="43">
        <v>0</v>
      </c>
      <c r="AG115" s="43">
        <v>0</v>
      </c>
      <c r="AH115" s="44">
        <v>0</v>
      </c>
    </row>
    <row r="116" spans="1:34" x14ac:dyDescent="0.35">
      <c r="A116" s="19">
        <f t="shared" si="4"/>
        <v>12</v>
      </c>
      <c r="B116" s="43" t="s">
        <v>48</v>
      </c>
      <c r="C116" s="43" t="s">
        <v>147</v>
      </c>
      <c r="D116" s="34">
        <v>5</v>
      </c>
      <c r="E116" s="34" t="s">
        <v>220</v>
      </c>
      <c r="F116" s="42"/>
      <c r="G116" s="43" t="s">
        <v>238</v>
      </c>
      <c r="H116" s="43">
        <v>0</v>
      </c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4"/>
    </row>
    <row r="117" spans="1:34" x14ac:dyDescent="0.35">
      <c r="A117" s="19">
        <f t="shared" si="4"/>
        <v>12</v>
      </c>
      <c r="B117" s="43" t="s">
        <v>48</v>
      </c>
      <c r="C117" s="43" t="s">
        <v>147</v>
      </c>
      <c r="D117" s="34">
        <v>6</v>
      </c>
      <c r="E117" s="34" t="s">
        <v>221</v>
      </c>
      <c r="F117" s="42" t="s">
        <v>239</v>
      </c>
      <c r="G117" s="43" t="s">
        <v>250</v>
      </c>
      <c r="H117" s="43">
        <v>0</v>
      </c>
      <c r="I117" s="43">
        <v>999</v>
      </c>
      <c r="J117" s="43">
        <v>999</v>
      </c>
      <c r="K117" s="43">
        <v>999</v>
      </c>
      <c r="L117" s="43">
        <v>999</v>
      </c>
      <c r="M117" s="43">
        <v>999</v>
      </c>
      <c r="N117" s="43">
        <v>999</v>
      </c>
      <c r="O117" s="43">
        <v>999</v>
      </c>
      <c r="P117" s="43">
        <v>999</v>
      </c>
      <c r="Q117" s="43">
        <v>999</v>
      </c>
      <c r="R117" s="43">
        <v>999</v>
      </c>
      <c r="S117" s="43">
        <v>999</v>
      </c>
      <c r="T117" s="43">
        <v>999</v>
      </c>
      <c r="U117" s="43">
        <v>999</v>
      </c>
      <c r="V117" s="43">
        <v>999</v>
      </c>
      <c r="W117" s="43">
        <v>999</v>
      </c>
      <c r="X117" s="43">
        <v>999</v>
      </c>
      <c r="Y117" s="43">
        <v>999</v>
      </c>
      <c r="Z117" s="43">
        <v>999</v>
      </c>
      <c r="AA117" s="43">
        <v>999</v>
      </c>
      <c r="AB117" s="43">
        <v>999</v>
      </c>
      <c r="AC117" s="43">
        <v>999</v>
      </c>
      <c r="AD117" s="43">
        <v>999</v>
      </c>
      <c r="AE117" s="43">
        <v>999</v>
      </c>
      <c r="AF117" s="43">
        <v>999</v>
      </c>
      <c r="AG117" s="43">
        <v>999</v>
      </c>
      <c r="AH117" s="44">
        <v>999</v>
      </c>
    </row>
    <row r="118" spans="1:34" x14ac:dyDescent="0.35">
      <c r="A118" s="19">
        <f t="shared" si="4"/>
        <v>12</v>
      </c>
      <c r="B118" s="43" t="s">
        <v>48</v>
      </c>
      <c r="C118" s="43" t="s">
        <v>147</v>
      </c>
      <c r="D118" s="34">
        <v>7</v>
      </c>
      <c r="E118" s="34" t="s">
        <v>222</v>
      </c>
      <c r="F118" s="42" t="s">
        <v>239</v>
      </c>
      <c r="G118" s="43" t="s">
        <v>250</v>
      </c>
      <c r="H118" s="43">
        <v>0</v>
      </c>
      <c r="I118" s="43">
        <v>0</v>
      </c>
      <c r="J118" s="43">
        <v>0</v>
      </c>
      <c r="K118" s="43">
        <v>0</v>
      </c>
      <c r="L118" s="43">
        <v>0</v>
      </c>
      <c r="M118" s="43">
        <v>0</v>
      </c>
      <c r="N118" s="43">
        <v>0</v>
      </c>
      <c r="O118" s="43">
        <v>0</v>
      </c>
      <c r="P118" s="43">
        <v>0</v>
      </c>
      <c r="Q118" s="43">
        <v>0</v>
      </c>
      <c r="R118" s="43">
        <v>0</v>
      </c>
      <c r="S118" s="43">
        <v>0</v>
      </c>
      <c r="T118" s="43">
        <v>0</v>
      </c>
      <c r="U118" s="43">
        <v>0</v>
      </c>
      <c r="V118" s="43">
        <v>0</v>
      </c>
      <c r="W118" s="43">
        <v>0</v>
      </c>
      <c r="X118" s="43">
        <v>0</v>
      </c>
      <c r="Y118" s="43">
        <v>0</v>
      </c>
      <c r="Z118" s="43">
        <v>0</v>
      </c>
      <c r="AA118" s="43">
        <v>0</v>
      </c>
      <c r="AB118" s="43">
        <v>0</v>
      </c>
      <c r="AC118" s="43">
        <v>0</v>
      </c>
      <c r="AD118" s="43">
        <v>0</v>
      </c>
      <c r="AE118" s="43">
        <v>0</v>
      </c>
      <c r="AF118" s="43">
        <v>0</v>
      </c>
      <c r="AG118" s="43">
        <v>0</v>
      </c>
      <c r="AH118" s="44">
        <v>0</v>
      </c>
    </row>
    <row r="119" spans="1:34" x14ac:dyDescent="0.35">
      <c r="A119" s="19">
        <f t="shared" si="4"/>
        <v>12</v>
      </c>
      <c r="B119" s="43" t="s">
        <v>48</v>
      </c>
      <c r="C119" s="43" t="s">
        <v>147</v>
      </c>
      <c r="D119" s="34">
        <v>8</v>
      </c>
      <c r="E119" s="34" t="s">
        <v>223</v>
      </c>
      <c r="F119" s="42"/>
      <c r="G119" s="43" t="s">
        <v>238</v>
      </c>
      <c r="H119" s="43">
        <v>0</v>
      </c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4"/>
    </row>
    <row r="120" spans="1:34" x14ac:dyDescent="0.35">
      <c r="A120" s="19">
        <f t="shared" si="4"/>
        <v>12</v>
      </c>
      <c r="B120" s="43" t="s">
        <v>48</v>
      </c>
      <c r="C120" s="43" t="s">
        <v>147</v>
      </c>
      <c r="D120" s="34">
        <v>9</v>
      </c>
      <c r="E120" s="34" t="s">
        <v>224</v>
      </c>
      <c r="F120" s="42" t="s">
        <v>242</v>
      </c>
      <c r="G120" s="43" t="s">
        <v>233</v>
      </c>
      <c r="H120" s="43">
        <v>0</v>
      </c>
      <c r="I120" s="43">
        <v>1</v>
      </c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4"/>
    </row>
    <row r="121" spans="1:34" ht="15" thickBot="1" x14ac:dyDescent="0.4">
      <c r="A121" s="20">
        <f t="shared" si="4"/>
        <v>12</v>
      </c>
      <c r="B121" s="46" t="s">
        <v>48</v>
      </c>
      <c r="C121" s="46" t="s">
        <v>147</v>
      </c>
      <c r="D121" s="35">
        <v>10</v>
      </c>
      <c r="E121" s="35" t="s">
        <v>225</v>
      </c>
      <c r="F121" s="45" t="s">
        <v>242</v>
      </c>
      <c r="G121" s="46" t="s">
        <v>233</v>
      </c>
      <c r="H121" s="46">
        <v>0</v>
      </c>
      <c r="I121" s="46">
        <v>1</v>
      </c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7"/>
    </row>
    <row r="122" spans="1:34" x14ac:dyDescent="0.35">
      <c r="A122" s="18">
        <f>+A112+1</f>
        <v>13</v>
      </c>
      <c r="B122" s="40" t="s">
        <v>49</v>
      </c>
      <c r="C122" s="40" t="s">
        <v>148</v>
      </c>
      <c r="D122" s="36">
        <v>1</v>
      </c>
      <c r="E122" s="36" t="s">
        <v>216</v>
      </c>
      <c r="F122" s="39" t="s">
        <v>240</v>
      </c>
      <c r="G122" s="40" t="s">
        <v>233</v>
      </c>
      <c r="H122" s="40">
        <v>0</v>
      </c>
      <c r="I122" s="40">
        <v>1</v>
      </c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1"/>
    </row>
    <row r="123" spans="1:34" x14ac:dyDescent="0.35">
      <c r="A123" s="19">
        <f t="shared" ref="A123:A151" si="6">+A113+1</f>
        <v>13</v>
      </c>
      <c r="B123" s="43" t="s">
        <v>49</v>
      </c>
      <c r="C123" s="43" t="s">
        <v>148</v>
      </c>
      <c r="D123" s="37">
        <v>2</v>
      </c>
      <c r="E123" s="37" t="s">
        <v>217</v>
      </c>
      <c r="F123" s="42" t="s">
        <v>240</v>
      </c>
      <c r="G123" s="43" t="s">
        <v>233</v>
      </c>
      <c r="H123" s="43">
        <v>0</v>
      </c>
      <c r="I123" s="43">
        <v>1</v>
      </c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4"/>
    </row>
    <row r="124" spans="1:34" x14ac:dyDescent="0.35">
      <c r="A124" s="19">
        <f t="shared" si="6"/>
        <v>13</v>
      </c>
      <c r="B124" s="43" t="s">
        <v>49</v>
      </c>
      <c r="C124" s="43" t="s">
        <v>148</v>
      </c>
      <c r="D124" s="37">
        <v>3</v>
      </c>
      <c r="E124" s="37" t="s">
        <v>218</v>
      </c>
      <c r="F124" s="42" t="s">
        <v>240</v>
      </c>
      <c r="G124" s="43" t="s">
        <v>233</v>
      </c>
      <c r="H124" s="43">
        <v>0</v>
      </c>
      <c r="I124" s="43">
        <v>1</v>
      </c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4"/>
    </row>
    <row r="125" spans="1:34" x14ac:dyDescent="0.35">
      <c r="A125" s="19">
        <f t="shared" si="6"/>
        <v>13</v>
      </c>
      <c r="B125" s="43" t="s">
        <v>49</v>
      </c>
      <c r="C125" s="43" t="s">
        <v>148</v>
      </c>
      <c r="D125" s="37">
        <v>4</v>
      </c>
      <c r="E125" s="37" t="s">
        <v>219</v>
      </c>
      <c r="F125" s="42" t="s">
        <v>239</v>
      </c>
      <c r="G125" s="43" t="s">
        <v>250</v>
      </c>
      <c r="H125" s="43">
        <v>0</v>
      </c>
      <c r="I125" s="43">
        <v>0</v>
      </c>
      <c r="J125" s="43">
        <v>0</v>
      </c>
      <c r="K125" s="43">
        <v>0</v>
      </c>
      <c r="L125" s="43">
        <v>0</v>
      </c>
      <c r="M125" s="43">
        <v>0</v>
      </c>
      <c r="N125" s="43">
        <v>0</v>
      </c>
      <c r="O125" s="43">
        <v>0</v>
      </c>
      <c r="P125" s="43">
        <v>0</v>
      </c>
      <c r="Q125" s="43">
        <v>0</v>
      </c>
      <c r="R125" s="43">
        <v>0</v>
      </c>
      <c r="S125" s="43">
        <v>0</v>
      </c>
      <c r="T125" s="43">
        <v>0</v>
      </c>
      <c r="U125" s="43">
        <v>0</v>
      </c>
      <c r="V125" s="43">
        <v>0</v>
      </c>
      <c r="W125" s="43">
        <v>0</v>
      </c>
      <c r="X125" s="43">
        <v>0</v>
      </c>
      <c r="Y125" s="43">
        <v>0</v>
      </c>
      <c r="Z125" s="43">
        <v>0</v>
      </c>
      <c r="AA125" s="43">
        <v>0</v>
      </c>
      <c r="AB125" s="43">
        <v>0</v>
      </c>
      <c r="AC125" s="43">
        <v>0</v>
      </c>
      <c r="AD125" s="43">
        <v>0</v>
      </c>
      <c r="AE125" s="43">
        <v>0</v>
      </c>
      <c r="AF125" s="43">
        <v>0</v>
      </c>
      <c r="AG125" s="43">
        <v>0</v>
      </c>
      <c r="AH125" s="44">
        <v>0</v>
      </c>
    </row>
    <row r="126" spans="1:34" x14ac:dyDescent="0.35">
      <c r="A126" s="19">
        <f t="shared" si="6"/>
        <v>13</v>
      </c>
      <c r="B126" s="43" t="s">
        <v>49</v>
      </c>
      <c r="C126" s="43" t="s">
        <v>148</v>
      </c>
      <c r="D126" s="37">
        <v>5</v>
      </c>
      <c r="E126" s="37" t="s">
        <v>220</v>
      </c>
      <c r="F126" s="42"/>
      <c r="G126" s="43" t="s">
        <v>238</v>
      </c>
      <c r="H126" s="43">
        <v>0</v>
      </c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4"/>
    </row>
    <row r="127" spans="1:34" x14ac:dyDescent="0.35">
      <c r="A127" s="19">
        <f t="shared" si="6"/>
        <v>13</v>
      </c>
      <c r="B127" s="43" t="s">
        <v>49</v>
      </c>
      <c r="C127" s="43" t="s">
        <v>148</v>
      </c>
      <c r="D127" s="37">
        <v>6</v>
      </c>
      <c r="E127" s="37" t="s">
        <v>221</v>
      </c>
      <c r="F127" s="42" t="s">
        <v>239</v>
      </c>
      <c r="G127" s="43" t="s">
        <v>250</v>
      </c>
      <c r="H127" s="43">
        <v>0</v>
      </c>
      <c r="I127" s="43">
        <v>999</v>
      </c>
      <c r="J127" s="43">
        <v>999</v>
      </c>
      <c r="K127" s="43">
        <v>999</v>
      </c>
      <c r="L127" s="43">
        <v>999</v>
      </c>
      <c r="M127" s="43">
        <v>999</v>
      </c>
      <c r="N127" s="43">
        <v>999</v>
      </c>
      <c r="O127" s="43">
        <v>999</v>
      </c>
      <c r="P127" s="43">
        <v>999</v>
      </c>
      <c r="Q127" s="43">
        <v>999</v>
      </c>
      <c r="R127" s="43">
        <v>999</v>
      </c>
      <c r="S127" s="43">
        <v>999</v>
      </c>
      <c r="T127" s="43">
        <v>999</v>
      </c>
      <c r="U127" s="43">
        <v>999</v>
      </c>
      <c r="V127" s="43">
        <v>999</v>
      </c>
      <c r="W127" s="43">
        <v>999</v>
      </c>
      <c r="X127" s="43">
        <v>999</v>
      </c>
      <c r="Y127" s="43">
        <v>999</v>
      </c>
      <c r="Z127" s="43">
        <v>999</v>
      </c>
      <c r="AA127" s="43">
        <v>999</v>
      </c>
      <c r="AB127" s="43">
        <v>999</v>
      </c>
      <c r="AC127" s="43">
        <v>999</v>
      </c>
      <c r="AD127" s="43">
        <v>999</v>
      </c>
      <c r="AE127" s="43">
        <v>999</v>
      </c>
      <c r="AF127" s="43">
        <v>999</v>
      </c>
      <c r="AG127" s="43">
        <v>999</v>
      </c>
      <c r="AH127" s="44">
        <v>999</v>
      </c>
    </row>
    <row r="128" spans="1:34" x14ac:dyDescent="0.35">
      <c r="A128" s="19">
        <f t="shared" si="6"/>
        <v>13</v>
      </c>
      <c r="B128" s="43" t="s">
        <v>49</v>
      </c>
      <c r="C128" s="43" t="s">
        <v>148</v>
      </c>
      <c r="D128" s="37">
        <v>7</v>
      </c>
      <c r="E128" s="37" t="s">
        <v>222</v>
      </c>
      <c r="F128" s="42" t="s">
        <v>239</v>
      </c>
      <c r="G128" s="43" t="s">
        <v>250</v>
      </c>
      <c r="H128" s="43">
        <v>0</v>
      </c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3">
        <v>0</v>
      </c>
      <c r="O128" s="43">
        <v>0</v>
      </c>
      <c r="P128" s="43">
        <v>0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  <c r="V128" s="43">
        <v>0</v>
      </c>
      <c r="W128" s="43">
        <v>0</v>
      </c>
      <c r="X128" s="43">
        <v>0</v>
      </c>
      <c r="Y128" s="43">
        <v>0</v>
      </c>
      <c r="Z128" s="43">
        <v>0</v>
      </c>
      <c r="AA128" s="43">
        <v>0</v>
      </c>
      <c r="AB128" s="43">
        <v>0</v>
      </c>
      <c r="AC128" s="43">
        <v>0</v>
      </c>
      <c r="AD128" s="43">
        <v>0</v>
      </c>
      <c r="AE128" s="43">
        <v>0</v>
      </c>
      <c r="AF128" s="43">
        <v>0</v>
      </c>
      <c r="AG128" s="43">
        <v>0</v>
      </c>
      <c r="AH128" s="44">
        <v>0</v>
      </c>
    </row>
    <row r="129" spans="1:34" x14ac:dyDescent="0.35">
      <c r="A129" s="19">
        <f t="shared" si="6"/>
        <v>13</v>
      </c>
      <c r="B129" s="43" t="s">
        <v>49</v>
      </c>
      <c r="C129" s="43" t="s">
        <v>148</v>
      </c>
      <c r="D129" s="37">
        <v>8</v>
      </c>
      <c r="E129" s="37" t="s">
        <v>223</v>
      </c>
      <c r="F129" s="42"/>
      <c r="G129" s="43" t="s">
        <v>238</v>
      </c>
      <c r="H129" s="43">
        <v>0</v>
      </c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4"/>
    </row>
    <row r="130" spans="1:34" x14ac:dyDescent="0.35">
      <c r="A130" s="19">
        <f t="shared" si="6"/>
        <v>13</v>
      </c>
      <c r="B130" s="43" t="s">
        <v>49</v>
      </c>
      <c r="C130" s="43" t="s">
        <v>148</v>
      </c>
      <c r="D130" s="37">
        <v>9</v>
      </c>
      <c r="E130" s="37" t="s">
        <v>224</v>
      </c>
      <c r="F130" s="42" t="s">
        <v>242</v>
      </c>
      <c r="G130" s="43" t="s">
        <v>233</v>
      </c>
      <c r="H130" s="43">
        <v>0</v>
      </c>
      <c r="I130" s="43">
        <v>1</v>
      </c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4"/>
    </row>
    <row r="131" spans="1:34" ht="15" thickBot="1" x14ac:dyDescent="0.4">
      <c r="A131" s="20">
        <f t="shared" si="6"/>
        <v>13</v>
      </c>
      <c r="B131" s="46" t="s">
        <v>49</v>
      </c>
      <c r="C131" s="46" t="s">
        <v>148</v>
      </c>
      <c r="D131" s="38">
        <v>10</v>
      </c>
      <c r="E131" s="38" t="s">
        <v>225</v>
      </c>
      <c r="F131" s="45" t="s">
        <v>242</v>
      </c>
      <c r="G131" s="46" t="s">
        <v>233</v>
      </c>
      <c r="H131" s="46">
        <v>0</v>
      </c>
      <c r="I131" s="46">
        <v>1</v>
      </c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7"/>
    </row>
    <row r="132" spans="1:34" x14ac:dyDescent="0.35">
      <c r="A132" s="18">
        <f>+A122+1</f>
        <v>14</v>
      </c>
      <c r="B132" s="40" t="s">
        <v>50</v>
      </c>
      <c r="C132" s="40" t="s">
        <v>149</v>
      </c>
      <c r="D132" s="32">
        <v>1</v>
      </c>
      <c r="E132" s="32" t="s">
        <v>216</v>
      </c>
      <c r="F132" s="39" t="s">
        <v>240</v>
      </c>
      <c r="G132" s="40" t="s">
        <v>233</v>
      </c>
      <c r="H132" s="40">
        <v>0</v>
      </c>
      <c r="I132" s="40">
        <v>1</v>
      </c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1"/>
    </row>
    <row r="133" spans="1:34" x14ac:dyDescent="0.35">
      <c r="A133" s="19">
        <f t="shared" si="6"/>
        <v>14</v>
      </c>
      <c r="B133" s="43" t="s">
        <v>50</v>
      </c>
      <c r="C133" s="43" t="s">
        <v>149</v>
      </c>
      <c r="D133" s="34">
        <v>2</v>
      </c>
      <c r="E133" s="34" t="s">
        <v>217</v>
      </c>
      <c r="F133" s="42" t="s">
        <v>240</v>
      </c>
      <c r="G133" s="43" t="s">
        <v>233</v>
      </c>
      <c r="H133" s="43">
        <v>0</v>
      </c>
      <c r="I133" s="43">
        <v>1</v>
      </c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4"/>
    </row>
    <row r="134" spans="1:34" x14ac:dyDescent="0.35">
      <c r="A134" s="19">
        <f t="shared" si="6"/>
        <v>14</v>
      </c>
      <c r="B134" s="43" t="s">
        <v>50</v>
      </c>
      <c r="C134" s="43" t="s">
        <v>149</v>
      </c>
      <c r="D134" s="34">
        <v>3</v>
      </c>
      <c r="E134" s="34" t="s">
        <v>218</v>
      </c>
      <c r="F134" s="42" t="s">
        <v>240</v>
      </c>
      <c r="G134" s="43" t="s">
        <v>233</v>
      </c>
      <c r="H134" s="43">
        <v>0</v>
      </c>
      <c r="I134" s="43">
        <v>1</v>
      </c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4"/>
    </row>
    <row r="135" spans="1:34" x14ac:dyDescent="0.35">
      <c r="A135" s="19">
        <f t="shared" si="6"/>
        <v>14</v>
      </c>
      <c r="B135" s="43" t="s">
        <v>50</v>
      </c>
      <c r="C135" s="43" t="s">
        <v>149</v>
      </c>
      <c r="D135" s="34">
        <v>4</v>
      </c>
      <c r="E135" s="34" t="s">
        <v>219</v>
      </c>
      <c r="F135" s="42" t="s">
        <v>239</v>
      </c>
      <c r="G135" s="43" t="s">
        <v>250</v>
      </c>
      <c r="H135" s="43">
        <v>0</v>
      </c>
      <c r="I135" s="43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  <c r="V135" s="43">
        <v>0</v>
      </c>
      <c r="W135" s="43">
        <v>0</v>
      </c>
      <c r="X135" s="43">
        <v>0</v>
      </c>
      <c r="Y135" s="43">
        <v>0</v>
      </c>
      <c r="Z135" s="43">
        <v>0</v>
      </c>
      <c r="AA135" s="43">
        <v>0</v>
      </c>
      <c r="AB135" s="43">
        <v>0</v>
      </c>
      <c r="AC135" s="43">
        <v>0</v>
      </c>
      <c r="AD135" s="43">
        <v>0</v>
      </c>
      <c r="AE135" s="43">
        <v>0</v>
      </c>
      <c r="AF135" s="43">
        <v>0</v>
      </c>
      <c r="AG135" s="43">
        <v>0</v>
      </c>
      <c r="AH135" s="44">
        <v>0</v>
      </c>
    </row>
    <row r="136" spans="1:34" x14ac:dyDescent="0.35">
      <c r="A136" s="19">
        <f t="shared" si="6"/>
        <v>14</v>
      </c>
      <c r="B136" s="43" t="s">
        <v>50</v>
      </c>
      <c r="C136" s="43" t="s">
        <v>149</v>
      </c>
      <c r="D136" s="34">
        <v>5</v>
      </c>
      <c r="E136" s="34" t="s">
        <v>220</v>
      </c>
      <c r="F136" s="42"/>
      <c r="G136" s="43" t="s">
        <v>238</v>
      </c>
      <c r="H136" s="43">
        <v>0</v>
      </c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4"/>
    </row>
    <row r="137" spans="1:34" x14ac:dyDescent="0.35">
      <c r="A137" s="19">
        <f t="shared" si="6"/>
        <v>14</v>
      </c>
      <c r="B137" s="43" t="s">
        <v>50</v>
      </c>
      <c r="C137" s="43" t="s">
        <v>149</v>
      </c>
      <c r="D137" s="34">
        <v>6</v>
      </c>
      <c r="E137" s="34" t="s">
        <v>221</v>
      </c>
      <c r="F137" s="42" t="s">
        <v>239</v>
      </c>
      <c r="G137" s="43" t="s">
        <v>250</v>
      </c>
      <c r="H137" s="43">
        <v>0</v>
      </c>
      <c r="I137" s="43">
        <v>999</v>
      </c>
      <c r="J137" s="43">
        <v>999</v>
      </c>
      <c r="K137" s="43">
        <v>999</v>
      </c>
      <c r="L137" s="43">
        <v>999</v>
      </c>
      <c r="M137" s="43">
        <v>999</v>
      </c>
      <c r="N137" s="43">
        <v>999</v>
      </c>
      <c r="O137" s="43">
        <v>999</v>
      </c>
      <c r="P137" s="43">
        <v>999</v>
      </c>
      <c r="Q137" s="43">
        <v>999</v>
      </c>
      <c r="R137" s="43">
        <v>999</v>
      </c>
      <c r="S137" s="43">
        <v>999</v>
      </c>
      <c r="T137" s="43">
        <v>999</v>
      </c>
      <c r="U137" s="43">
        <v>999</v>
      </c>
      <c r="V137" s="43">
        <v>999</v>
      </c>
      <c r="W137" s="43">
        <v>999</v>
      </c>
      <c r="X137" s="43">
        <v>999</v>
      </c>
      <c r="Y137" s="43">
        <v>999</v>
      </c>
      <c r="Z137" s="43">
        <v>999</v>
      </c>
      <c r="AA137" s="43">
        <v>999</v>
      </c>
      <c r="AB137" s="43">
        <v>999</v>
      </c>
      <c r="AC137" s="43">
        <v>999</v>
      </c>
      <c r="AD137" s="43">
        <v>999</v>
      </c>
      <c r="AE137" s="43">
        <v>999</v>
      </c>
      <c r="AF137" s="43">
        <v>999</v>
      </c>
      <c r="AG137" s="43">
        <v>999</v>
      </c>
      <c r="AH137" s="44">
        <v>999</v>
      </c>
    </row>
    <row r="138" spans="1:34" x14ac:dyDescent="0.35">
      <c r="A138" s="19">
        <f t="shared" si="6"/>
        <v>14</v>
      </c>
      <c r="B138" s="43" t="s">
        <v>50</v>
      </c>
      <c r="C138" s="43" t="s">
        <v>149</v>
      </c>
      <c r="D138" s="34">
        <v>7</v>
      </c>
      <c r="E138" s="34" t="s">
        <v>222</v>
      </c>
      <c r="F138" s="42" t="s">
        <v>239</v>
      </c>
      <c r="G138" s="43" t="s">
        <v>250</v>
      </c>
      <c r="H138" s="43">
        <v>0</v>
      </c>
      <c r="I138" s="43">
        <v>0</v>
      </c>
      <c r="J138" s="43">
        <v>0</v>
      </c>
      <c r="K138" s="43">
        <v>0</v>
      </c>
      <c r="L138" s="43">
        <v>0</v>
      </c>
      <c r="M138" s="43">
        <v>0</v>
      </c>
      <c r="N138" s="43">
        <v>0</v>
      </c>
      <c r="O138" s="43">
        <v>0</v>
      </c>
      <c r="P138" s="43">
        <v>0</v>
      </c>
      <c r="Q138" s="43">
        <v>0</v>
      </c>
      <c r="R138" s="43">
        <v>0</v>
      </c>
      <c r="S138" s="43">
        <v>0</v>
      </c>
      <c r="T138" s="43">
        <v>0</v>
      </c>
      <c r="U138" s="43">
        <v>0</v>
      </c>
      <c r="V138" s="43">
        <v>0</v>
      </c>
      <c r="W138" s="43">
        <v>0</v>
      </c>
      <c r="X138" s="43">
        <v>0</v>
      </c>
      <c r="Y138" s="43">
        <v>0</v>
      </c>
      <c r="Z138" s="43">
        <v>0</v>
      </c>
      <c r="AA138" s="43">
        <v>0</v>
      </c>
      <c r="AB138" s="43">
        <v>0</v>
      </c>
      <c r="AC138" s="43">
        <v>0</v>
      </c>
      <c r="AD138" s="43">
        <v>0</v>
      </c>
      <c r="AE138" s="43">
        <v>0</v>
      </c>
      <c r="AF138" s="43">
        <v>0</v>
      </c>
      <c r="AG138" s="43">
        <v>0</v>
      </c>
      <c r="AH138" s="44">
        <v>0</v>
      </c>
    </row>
    <row r="139" spans="1:34" x14ac:dyDescent="0.35">
      <c r="A139" s="19">
        <f t="shared" si="6"/>
        <v>14</v>
      </c>
      <c r="B139" s="43" t="s">
        <v>50</v>
      </c>
      <c r="C139" s="43" t="s">
        <v>149</v>
      </c>
      <c r="D139" s="34">
        <v>8</v>
      </c>
      <c r="E139" s="34" t="s">
        <v>223</v>
      </c>
      <c r="F139" s="42"/>
      <c r="G139" s="43" t="s">
        <v>238</v>
      </c>
      <c r="H139" s="43">
        <v>0</v>
      </c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4"/>
    </row>
    <row r="140" spans="1:34" x14ac:dyDescent="0.35">
      <c r="A140" s="19">
        <f t="shared" si="6"/>
        <v>14</v>
      </c>
      <c r="B140" s="43" t="s">
        <v>50</v>
      </c>
      <c r="C140" s="43" t="s">
        <v>149</v>
      </c>
      <c r="D140" s="34">
        <v>9</v>
      </c>
      <c r="E140" s="34" t="s">
        <v>224</v>
      </c>
      <c r="F140" s="42" t="s">
        <v>242</v>
      </c>
      <c r="G140" s="43" t="s">
        <v>233</v>
      </c>
      <c r="H140" s="43">
        <v>0</v>
      </c>
      <c r="I140" s="43">
        <v>1</v>
      </c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4"/>
    </row>
    <row r="141" spans="1:34" ht="15" thickBot="1" x14ac:dyDescent="0.4">
      <c r="A141" s="20">
        <f t="shared" si="6"/>
        <v>14</v>
      </c>
      <c r="B141" s="46" t="s">
        <v>50</v>
      </c>
      <c r="C141" s="46" t="s">
        <v>149</v>
      </c>
      <c r="D141" s="35">
        <v>10</v>
      </c>
      <c r="E141" s="35" t="s">
        <v>225</v>
      </c>
      <c r="F141" s="45" t="s">
        <v>242</v>
      </c>
      <c r="G141" s="46" t="s">
        <v>233</v>
      </c>
      <c r="H141" s="46">
        <v>0</v>
      </c>
      <c r="I141" s="46">
        <v>1</v>
      </c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7"/>
    </row>
    <row r="142" spans="1:34" x14ac:dyDescent="0.35">
      <c r="A142" s="18">
        <f>+A132+1</f>
        <v>15</v>
      </c>
      <c r="B142" s="40" t="s">
        <v>51</v>
      </c>
      <c r="C142" s="40" t="s">
        <v>150</v>
      </c>
      <c r="D142" s="36">
        <v>1</v>
      </c>
      <c r="E142" s="36" t="s">
        <v>216</v>
      </c>
      <c r="F142" s="39" t="s">
        <v>240</v>
      </c>
      <c r="G142" s="40" t="s">
        <v>233</v>
      </c>
      <c r="H142" s="40">
        <v>0</v>
      </c>
      <c r="I142" s="40">
        <v>1</v>
      </c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1"/>
    </row>
    <row r="143" spans="1:34" x14ac:dyDescent="0.35">
      <c r="A143" s="19">
        <f t="shared" si="6"/>
        <v>15</v>
      </c>
      <c r="B143" s="43" t="s">
        <v>51</v>
      </c>
      <c r="C143" s="43" t="s">
        <v>150</v>
      </c>
      <c r="D143" s="37">
        <v>2</v>
      </c>
      <c r="E143" s="37" t="s">
        <v>217</v>
      </c>
      <c r="F143" s="42" t="s">
        <v>240</v>
      </c>
      <c r="G143" s="43" t="s">
        <v>233</v>
      </c>
      <c r="H143" s="43">
        <v>0</v>
      </c>
      <c r="I143" s="43">
        <v>1</v>
      </c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4"/>
    </row>
    <row r="144" spans="1:34" x14ac:dyDescent="0.35">
      <c r="A144" s="19">
        <f t="shared" si="6"/>
        <v>15</v>
      </c>
      <c r="B144" s="43" t="s">
        <v>51</v>
      </c>
      <c r="C144" s="43" t="s">
        <v>150</v>
      </c>
      <c r="D144" s="37">
        <v>3</v>
      </c>
      <c r="E144" s="37" t="s">
        <v>218</v>
      </c>
      <c r="F144" s="42" t="s">
        <v>240</v>
      </c>
      <c r="G144" s="43" t="s">
        <v>233</v>
      </c>
      <c r="H144" s="43">
        <v>0</v>
      </c>
      <c r="I144" s="43">
        <v>1</v>
      </c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4"/>
    </row>
    <row r="145" spans="1:34" x14ac:dyDescent="0.35">
      <c r="A145" s="19">
        <f t="shared" si="6"/>
        <v>15</v>
      </c>
      <c r="B145" s="43" t="s">
        <v>51</v>
      </c>
      <c r="C145" s="43" t="s">
        <v>150</v>
      </c>
      <c r="D145" s="37">
        <v>4</v>
      </c>
      <c r="E145" s="37" t="s">
        <v>219</v>
      </c>
      <c r="F145" s="42" t="s">
        <v>239</v>
      </c>
      <c r="G145" s="43" t="s">
        <v>250</v>
      </c>
      <c r="H145" s="43">
        <v>0</v>
      </c>
      <c r="I145" s="43">
        <v>0</v>
      </c>
      <c r="J145" s="43">
        <v>0</v>
      </c>
      <c r="K145" s="43">
        <v>0</v>
      </c>
      <c r="L145" s="43">
        <v>0</v>
      </c>
      <c r="M145" s="43">
        <v>0</v>
      </c>
      <c r="N145" s="43">
        <v>0</v>
      </c>
      <c r="O145" s="43">
        <v>0</v>
      </c>
      <c r="P145" s="43">
        <v>0</v>
      </c>
      <c r="Q145" s="43">
        <v>0</v>
      </c>
      <c r="R145" s="43">
        <v>0</v>
      </c>
      <c r="S145" s="43">
        <v>0</v>
      </c>
      <c r="T145" s="43">
        <v>0</v>
      </c>
      <c r="U145" s="43">
        <v>0</v>
      </c>
      <c r="V145" s="43">
        <v>0</v>
      </c>
      <c r="W145" s="43">
        <v>0</v>
      </c>
      <c r="X145" s="43">
        <v>0</v>
      </c>
      <c r="Y145" s="43">
        <v>0</v>
      </c>
      <c r="Z145" s="43">
        <v>0</v>
      </c>
      <c r="AA145" s="43">
        <v>0</v>
      </c>
      <c r="AB145" s="43">
        <v>0</v>
      </c>
      <c r="AC145" s="43">
        <v>0</v>
      </c>
      <c r="AD145" s="43">
        <v>0</v>
      </c>
      <c r="AE145" s="43">
        <v>0</v>
      </c>
      <c r="AF145" s="43">
        <v>0</v>
      </c>
      <c r="AG145" s="43">
        <v>0</v>
      </c>
      <c r="AH145" s="44">
        <v>0</v>
      </c>
    </row>
    <row r="146" spans="1:34" x14ac:dyDescent="0.35">
      <c r="A146" s="19">
        <f t="shared" si="6"/>
        <v>15</v>
      </c>
      <c r="B146" s="43" t="s">
        <v>51</v>
      </c>
      <c r="C146" s="43" t="s">
        <v>150</v>
      </c>
      <c r="D146" s="37">
        <v>5</v>
      </c>
      <c r="E146" s="37" t="s">
        <v>220</v>
      </c>
      <c r="F146" s="42"/>
      <c r="G146" s="43" t="s">
        <v>238</v>
      </c>
      <c r="H146" s="43">
        <v>0</v>
      </c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4"/>
    </row>
    <row r="147" spans="1:34" x14ac:dyDescent="0.35">
      <c r="A147" s="19">
        <f t="shared" si="6"/>
        <v>15</v>
      </c>
      <c r="B147" s="43" t="s">
        <v>51</v>
      </c>
      <c r="C147" s="43" t="s">
        <v>150</v>
      </c>
      <c r="D147" s="37">
        <v>6</v>
      </c>
      <c r="E147" s="37" t="s">
        <v>221</v>
      </c>
      <c r="F147" s="42" t="s">
        <v>239</v>
      </c>
      <c r="G147" s="43" t="s">
        <v>250</v>
      </c>
      <c r="H147" s="43">
        <v>0</v>
      </c>
      <c r="I147" s="43">
        <v>999</v>
      </c>
      <c r="J147" s="43">
        <v>999</v>
      </c>
      <c r="K147" s="43">
        <v>999</v>
      </c>
      <c r="L147" s="43">
        <v>999</v>
      </c>
      <c r="M147" s="43">
        <v>999</v>
      </c>
      <c r="N147" s="43">
        <v>999</v>
      </c>
      <c r="O147" s="43">
        <v>999</v>
      </c>
      <c r="P147" s="43">
        <v>999</v>
      </c>
      <c r="Q147" s="43">
        <v>999</v>
      </c>
      <c r="R147" s="43">
        <v>999</v>
      </c>
      <c r="S147" s="43">
        <v>999</v>
      </c>
      <c r="T147" s="43">
        <v>999</v>
      </c>
      <c r="U147" s="43">
        <v>999</v>
      </c>
      <c r="V147" s="43">
        <v>999</v>
      </c>
      <c r="W147" s="43">
        <v>999</v>
      </c>
      <c r="X147" s="43">
        <v>999</v>
      </c>
      <c r="Y147" s="43">
        <v>999</v>
      </c>
      <c r="Z147" s="43">
        <v>999</v>
      </c>
      <c r="AA147" s="43">
        <v>999</v>
      </c>
      <c r="AB147" s="43">
        <v>999</v>
      </c>
      <c r="AC147" s="43">
        <v>999</v>
      </c>
      <c r="AD147" s="43">
        <v>999</v>
      </c>
      <c r="AE147" s="43">
        <v>999</v>
      </c>
      <c r="AF147" s="43">
        <v>999</v>
      </c>
      <c r="AG147" s="43">
        <v>999</v>
      </c>
      <c r="AH147" s="44">
        <v>999</v>
      </c>
    </row>
    <row r="148" spans="1:34" x14ac:dyDescent="0.35">
      <c r="A148" s="19">
        <f t="shared" si="6"/>
        <v>15</v>
      </c>
      <c r="B148" s="43" t="s">
        <v>51</v>
      </c>
      <c r="C148" s="43" t="s">
        <v>150</v>
      </c>
      <c r="D148" s="37">
        <v>7</v>
      </c>
      <c r="E148" s="37" t="s">
        <v>222</v>
      </c>
      <c r="F148" s="42" t="s">
        <v>239</v>
      </c>
      <c r="G148" s="43" t="s">
        <v>250</v>
      </c>
      <c r="H148" s="43">
        <v>0</v>
      </c>
      <c r="I148" s="43">
        <v>0</v>
      </c>
      <c r="J148" s="43">
        <v>0</v>
      </c>
      <c r="K148" s="43">
        <v>0</v>
      </c>
      <c r="L148" s="43">
        <v>0</v>
      </c>
      <c r="M148" s="43">
        <v>0</v>
      </c>
      <c r="N148" s="43">
        <v>0</v>
      </c>
      <c r="O148" s="43">
        <v>0</v>
      </c>
      <c r="P148" s="43">
        <v>0</v>
      </c>
      <c r="Q148" s="43">
        <v>0</v>
      </c>
      <c r="R148" s="43">
        <v>0</v>
      </c>
      <c r="S148" s="43">
        <v>0</v>
      </c>
      <c r="T148" s="43">
        <v>0</v>
      </c>
      <c r="U148" s="43">
        <v>0</v>
      </c>
      <c r="V148" s="43">
        <v>0</v>
      </c>
      <c r="W148" s="43">
        <v>0</v>
      </c>
      <c r="X148" s="43">
        <v>0</v>
      </c>
      <c r="Y148" s="43">
        <v>0</v>
      </c>
      <c r="Z148" s="43">
        <v>0</v>
      </c>
      <c r="AA148" s="43">
        <v>0</v>
      </c>
      <c r="AB148" s="43">
        <v>0</v>
      </c>
      <c r="AC148" s="43">
        <v>0</v>
      </c>
      <c r="AD148" s="43">
        <v>0</v>
      </c>
      <c r="AE148" s="43">
        <v>0</v>
      </c>
      <c r="AF148" s="43">
        <v>0</v>
      </c>
      <c r="AG148" s="43">
        <v>0</v>
      </c>
      <c r="AH148" s="44">
        <v>0</v>
      </c>
    </row>
    <row r="149" spans="1:34" x14ac:dyDescent="0.35">
      <c r="A149" s="19">
        <f t="shared" si="6"/>
        <v>15</v>
      </c>
      <c r="B149" s="43" t="s">
        <v>51</v>
      </c>
      <c r="C149" s="43" t="s">
        <v>150</v>
      </c>
      <c r="D149" s="37">
        <v>8</v>
      </c>
      <c r="E149" s="37" t="s">
        <v>223</v>
      </c>
      <c r="F149" s="42"/>
      <c r="G149" s="43" t="s">
        <v>238</v>
      </c>
      <c r="H149" s="43">
        <v>0</v>
      </c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4"/>
    </row>
    <row r="150" spans="1:34" x14ac:dyDescent="0.35">
      <c r="A150" s="19">
        <f t="shared" si="6"/>
        <v>15</v>
      </c>
      <c r="B150" s="43" t="s">
        <v>51</v>
      </c>
      <c r="C150" s="43" t="s">
        <v>150</v>
      </c>
      <c r="D150" s="37">
        <v>9</v>
      </c>
      <c r="E150" s="37" t="s">
        <v>224</v>
      </c>
      <c r="F150" s="42" t="s">
        <v>242</v>
      </c>
      <c r="G150" s="43" t="s">
        <v>233</v>
      </c>
      <c r="H150" s="43">
        <v>0</v>
      </c>
      <c r="I150" s="43">
        <v>1</v>
      </c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4"/>
    </row>
    <row r="151" spans="1:34" ht="15" thickBot="1" x14ac:dyDescent="0.4">
      <c r="A151" s="20">
        <f t="shared" si="6"/>
        <v>15</v>
      </c>
      <c r="B151" s="46" t="s">
        <v>51</v>
      </c>
      <c r="C151" s="46" t="s">
        <v>150</v>
      </c>
      <c r="D151" s="38">
        <v>10</v>
      </c>
      <c r="E151" s="38" t="s">
        <v>225</v>
      </c>
      <c r="F151" s="45" t="s">
        <v>242</v>
      </c>
      <c r="G151" s="46" t="s">
        <v>233</v>
      </c>
      <c r="H151" s="46">
        <v>0</v>
      </c>
      <c r="I151" s="46">
        <v>1</v>
      </c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7"/>
    </row>
    <row r="152" spans="1:34" x14ac:dyDescent="0.35">
      <c r="A152" s="18">
        <f>+A142+1</f>
        <v>16</v>
      </c>
      <c r="B152" s="40" t="s">
        <v>52</v>
      </c>
      <c r="C152" s="40" t="s">
        <v>151</v>
      </c>
      <c r="D152" s="32">
        <v>1</v>
      </c>
      <c r="E152" s="32" t="s">
        <v>216</v>
      </c>
      <c r="F152" s="39" t="s">
        <v>240</v>
      </c>
      <c r="G152" s="40" t="s">
        <v>233</v>
      </c>
      <c r="H152" s="40">
        <v>0</v>
      </c>
      <c r="I152" s="40">
        <v>1</v>
      </c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1"/>
    </row>
    <row r="153" spans="1:34" x14ac:dyDescent="0.35">
      <c r="A153" s="19">
        <f t="shared" ref="A153:A201" si="7">+A143+1</f>
        <v>16</v>
      </c>
      <c r="B153" s="43" t="s">
        <v>52</v>
      </c>
      <c r="C153" s="43" t="s">
        <v>151</v>
      </c>
      <c r="D153" s="34">
        <v>2</v>
      </c>
      <c r="E153" s="34" t="s">
        <v>217</v>
      </c>
      <c r="F153" s="42" t="s">
        <v>240</v>
      </c>
      <c r="G153" s="43" t="s">
        <v>233</v>
      </c>
      <c r="H153" s="43">
        <v>0</v>
      </c>
      <c r="I153" s="43">
        <v>1</v>
      </c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4"/>
    </row>
    <row r="154" spans="1:34" x14ac:dyDescent="0.35">
      <c r="A154" s="19">
        <f t="shared" si="7"/>
        <v>16</v>
      </c>
      <c r="B154" s="43" t="s">
        <v>52</v>
      </c>
      <c r="C154" s="43" t="s">
        <v>151</v>
      </c>
      <c r="D154" s="34">
        <v>3</v>
      </c>
      <c r="E154" s="34" t="s">
        <v>218</v>
      </c>
      <c r="F154" s="42" t="s">
        <v>240</v>
      </c>
      <c r="G154" s="43" t="s">
        <v>233</v>
      </c>
      <c r="H154" s="43">
        <v>0</v>
      </c>
      <c r="I154" s="43">
        <v>1</v>
      </c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4"/>
    </row>
    <row r="155" spans="1:34" x14ac:dyDescent="0.35">
      <c r="A155" s="19">
        <f t="shared" si="7"/>
        <v>16</v>
      </c>
      <c r="B155" s="43" t="s">
        <v>52</v>
      </c>
      <c r="C155" s="43" t="s">
        <v>151</v>
      </c>
      <c r="D155" s="34">
        <v>4</v>
      </c>
      <c r="E155" s="34" t="s">
        <v>219</v>
      </c>
      <c r="F155" s="42" t="s">
        <v>239</v>
      </c>
      <c r="G155" s="43" t="s">
        <v>250</v>
      </c>
      <c r="H155" s="43">
        <v>0</v>
      </c>
      <c r="I155" s="43">
        <v>0</v>
      </c>
      <c r="J155" s="43">
        <v>0</v>
      </c>
      <c r="K155" s="43">
        <v>0</v>
      </c>
      <c r="L155" s="43">
        <v>0</v>
      </c>
      <c r="M155" s="43">
        <v>0</v>
      </c>
      <c r="N155" s="43">
        <v>0</v>
      </c>
      <c r="O155" s="43">
        <v>0</v>
      </c>
      <c r="P155" s="43">
        <v>0</v>
      </c>
      <c r="Q155" s="43">
        <v>0</v>
      </c>
      <c r="R155" s="43">
        <v>0</v>
      </c>
      <c r="S155" s="43">
        <v>0</v>
      </c>
      <c r="T155" s="43">
        <v>0</v>
      </c>
      <c r="U155" s="43">
        <v>0</v>
      </c>
      <c r="V155" s="43">
        <v>0</v>
      </c>
      <c r="W155" s="43">
        <v>0</v>
      </c>
      <c r="X155" s="43">
        <v>0</v>
      </c>
      <c r="Y155" s="43">
        <v>0</v>
      </c>
      <c r="Z155" s="43">
        <v>0</v>
      </c>
      <c r="AA155" s="43">
        <v>0</v>
      </c>
      <c r="AB155" s="43">
        <v>0</v>
      </c>
      <c r="AC155" s="43">
        <v>0</v>
      </c>
      <c r="AD155" s="43">
        <v>0</v>
      </c>
      <c r="AE155" s="43">
        <v>0</v>
      </c>
      <c r="AF155" s="43">
        <v>0</v>
      </c>
      <c r="AG155" s="43">
        <v>0</v>
      </c>
      <c r="AH155" s="44">
        <v>0</v>
      </c>
    </row>
    <row r="156" spans="1:34" x14ac:dyDescent="0.35">
      <c r="A156" s="19">
        <f t="shared" si="7"/>
        <v>16</v>
      </c>
      <c r="B156" s="43" t="s">
        <v>52</v>
      </c>
      <c r="C156" s="43" t="s">
        <v>151</v>
      </c>
      <c r="D156" s="34">
        <v>5</v>
      </c>
      <c r="E156" s="34" t="s">
        <v>220</v>
      </c>
      <c r="F156" s="42"/>
      <c r="G156" s="43" t="s">
        <v>238</v>
      </c>
      <c r="H156" s="43">
        <v>0</v>
      </c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4"/>
    </row>
    <row r="157" spans="1:34" x14ac:dyDescent="0.35">
      <c r="A157" s="19">
        <f t="shared" si="7"/>
        <v>16</v>
      </c>
      <c r="B157" s="43" t="s">
        <v>52</v>
      </c>
      <c r="C157" s="43" t="s">
        <v>151</v>
      </c>
      <c r="D157" s="34">
        <v>6</v>
      </c>
      <c r="E157" s="34" t="s">
        <v>221</v>
      </c>
      <c r="F157" s="42" t="s">
        <v>239</v>
      </c>
      <c r="G157" s="43" t="s">
        <v>250</v>
      </c>
      <c r="H157" s="43">
        <v>0</v>
      </c>
      <c r="I157" s="43">
        <v>999</v>
      </c>
      <c r="J157" s="43">
        <v>999</v>
      </c>
      <c r="K157" s="43">
        <v>999</v>
      </c>
      <c r="L157" s="43">
        <v>999</v>
      </c>
      <c r="M157" s="43">
        <v>999</v>
      </c>
      <c r="N157" s="43">
        <v>999</v>
      </c>
      <c r="O157" s="43">
        <v>999</v>
      </c>
      <c r="P157" s="43">
        <v>999</v>
      </c>
      <c r="Q157" s="43">
        <v>999</v>
      </c>
      <c r="R157" s="43">
        <v>999</v>
      </c>
      <c r="S157" s="43">
        <v>999</v>
      </c>
      <c r="T157" s="43">
        <v>999</v>
      </c>
      <c r="U157" s="43">
        <v>999</v>
      </c>
      <c r="V157" s="43">
        <v>999</v>
      </c>
      <c r="W157" s="43">
        <v>999</v>
      </c>
      <c r="X157" s="43">
        <v>999</v>
      </c>
      <c r="Y157" s="43">
        <v>999</v>
      </c>
      <c r="Z157" s="43">
        <v>999</v>
      </c>
      <c r="AA157" s="43">
        <v>999</v>
      </c>
      <c r="AB157" s="43">
        <v>999</v>
      </c>
      <c r="AC157" s="43">
        <v>999</v>
      </c>
      <c r="AD157" s="43">
        <v>999</v>
      </c>
      <c r="AE157" s="43">
        <v>999</v>
      </c>
      <c r="AF157" s="43">
        <v>999</v>
      </c>
      <c r="AG157" s="43">
        <v>999</v>
      </c>
      <c r="AH157" s="44">
        <v>999</v>
      </c>
    </row>
    <row r="158" spans="1:34" x14ac:dyDescent="0.35">
      <c r="A158" s="19">
        <f t="shared" si="7"/>
        <v>16</v>
      </c>
      <c r="B158" s="43" t="s">
        <v>52</v>
      </c>
      <c r="C158" s="43" t="s">
        <v>151</v>
      </c>
      <c r="D158" s="34">
        <v>7</v>
      </c>
      <c r="E158" s="34" t="s">
        <v>222</v>
      </c>
      <c r="F158" s="42" t="s">
        <v>239</v>
      </c>
      <c r="G158" s="43" t="s">
        <v>250</v>
      </c>
      <c r="H158" s="43">
        <v>0</v>
      </c>
      <c r="I158" s="43">
        <v>0</v>
      </c>
      <c r="J158" s="43">
        <v>0</v>
      </c>
      <c r="K158" s="43">
        <v>0</v>
      </c>
      <c r="L158" s="43">
        <v>0</v>
      </c>
      <c r="M158" s="43">
        <v>0</v>
      </c>
      <c r="N158" s="43">
        <v>0</v>
      </c>
      <c r="O158" s="43">
        <v>0</v>
      </c>
      <c r="P158" s="43">
        <v>0</v>
      </c>
      <c r="Q158" s="43">
        <v>0</v>
      </c>
      <c r="R158" s="43">
        <v>0</v>
      </c>
      <c r="S158" s="43">
        <v>0</v>
      </c>
      <c r="T158" s="43">
        <v>0</v>
      </c>
      <c r="U158" s="43">
        <v>0</v>
      </c>
      <c r="V158" s="43">
        <v>0</v>
      </c>
      <c r="W158" s="43">
        <v>0</v>
      </c>
      <c r="X158" s="43">
        <v>0</v>
      </c>
      <c r="Y158" s="43">
        <v>0</v>
      </c>
      <c r="Z158" s="43">
        <v>0</v>
      </c>
      <c r="AA158" s="43">
        <v>0</v>
      </c>
      <c r="AB158" s="43">
        <v>0</v>
      </c>
      <c r="AC158" s="43">
        <v>0</v>
      </c>
      <c r="AD158" s="43">
        <v>0</v>
      </c>
      <c r="AE158" s="43">
        <v>0</v>
      </c>
      <c r="AF158" s="43">
        <v>0</v>
      </c>
      <c r="AG158" s="43">
        <v>0</v>
      </c>
      <c r="AH158" s="44">
        <v>0</v>
      </c>
    </row>
    <row r="159" spans="1:34" x14ac:dyDescent="0.35">
      <c r="A159" s="19">
        <f t="shared" si="7"/>
        <v>16</v>
      </c>
      <c r="B159" s="43" t="s">
        <v>52</v>
      </c>
      <c r="C159" s="43" t="s">
        <v>151</v>
      </c>
      <c r="D159" s="34">
        <v>8</v>
      </c>
      <c r="E159" s="34" t="s">
        <v>223</v>
      </c>
      <c r="F159" s="42"/>
      <c r="G159" s="43" t="s">
        <v>238</v>
      </c>
      <c r="H159" s="43">
        <v>0</v>
      </c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4"/>
    </row>
    <row r="160" spans="1:34" x14ac:dyDescent="0.35">
      <c r="A160" s="19">
        <f t="shared" si="7"/>
        <v>16</v>
      </c>
      <c r="B160" s="43" t="s">
        <v>52</v>
      </c>
      <c r="C160" s="43" t="s">
        <v>151</v>
      </c>
      <c r="D160" s="34">
        <v>9</v>
      </c>
      <c r="E160" s="34" t="s">
        <v>224</v>
      </c>
      <c r="F160" s="42" t="s">
        <v>242</v>
      </c>
      <c r="G160" s="43" t="s">
        <v>233</v>
      </c>
      <c r="H160" s="43">
        <v>0</v>
      </c>
      <c r="I160" s="43">
        <v>1</v>
      </c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4"/>
    </row>
    <row r="161" spans="1:34" ht="15" thickBot="1" x14ac:dyDescent="0.4">
      <c r="A161" s="20">
        <f t="shared" si="7"/>
        <v>16</v>
      </c>
      <c r="B161" s="46" t="s">
        <v>52</v>
      </c>
      <c r="C161" s="46" t="s">
        <v>151</v>
      </c>
      <c r="D161" s="35">
        <v>10</v>
      </c>
      <c r="E161" s="35" t="s">
        <v>225</v>
      </c>
      <c r="F161" s="45" t="s">
        <v>242</v>
      </c>
      <c r="G161" s="46" t="s">
        <v>233</v>
      </c>
      <c r="H161" s="46">
        <v>0</v>
      </c>
      <c r="I161" s="46">
        <v>1</v>
      </c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7"/>
    </row>
    <row r="162" spans="1:34" x14ac:dyDescent="0.35">
      <c r="A162" s="18">
        <f>+A152+1</f>
        <v>17</v>
      </c>
      <c r="B162" s="40" t="s">
        <v>53</v>
      </c>
      <c r="C162" s="40" t="s">
        <v>152</v>
      </c>
      <c r="D162" s="36">
        <v>1</v>
      </c>
      <c r="E162" s="36" t="s">
        <v>216</v>
      </c>
      <c r="F162" s="39" t="s">
        <v>240</v>
      </c>
      <c r="G162" s="40" t="s">
        <v>233</v>
      </c>
      <c r="H162" s="40">
        <v>0</v>
      </c>
      <c r="I162" s="40">
        <v>1</v>
      </c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1"/>
    </row>
    <row r="163" spans="1:34" x14ac:dyDescent="0.35">
      <c r="A163" s="19">
        <f t="shared" si="7"/>
        <v>17</v>
      </c>
      <c r="B163" s="43" t="s">
        <v>53</v>
      </c>
      <c r="C163" s="43" t="s">
        <v>152</v>
      </c>
      <c r="D163" s="37">
        <v>2</v>
      </c>
      <c r="E163" s="37" t="s">
        <v>217</v>
      </c>
      <c r="F163" s="42" t="s">
        <v>240</v>
      </c>
      <c r="G163" s="43" t="s">
        <v>233</v>
      </c>
      <c r="H163" s="43">
        <v>0</v>
      </c>
      <c r="I163" s="43">
        <v>1</v>
      </c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4"/>
    </row>
    <row r="164" spans="1:34" x14ac:dyDescent="0.35">
      <c r="A164" s="19">
        <f t="shared" si="7"/>
        <v>17</v>
      </c>
      <c r="B164" s="43" t="s">
        <v>53</v>
      </c>
      <c r="C164" s="43" t="s">
        <v>152</v>
      </c>
      <c r="D164" s="37">
        <v>3</v>
      </c>
      <c r="E164" s="37" t="s">
        <v>218</v>
      </c>
      <c r="F164" s="42" t="s">
        <v>240</v>
      </c>
      <c r="G164" s="43" t="s">
        <v>233</v>
      </c>
      <c r="H164" s="43">
        <v>0</v>
      </c>
      <c r="I164" s="43">
        <v>1</v>
      </c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4"/>
    </row>
    <row r="165" spans="1:34" x14ac:dyDescent="0.35">
      <c r="A165" s="19">
        <f t="shared" si="7"/>
        <v>17</v>
      </c>
      <c r="B165" s="43" t="s">
        <v>53</v>
      </c>
      <c r="C165" s="43" t="s">
        <v>152</v>
      </c>
      <c r="D165" s="37">
        <v>4</v>
      </c>
      <c r="E165" s="37" t="s">
        <v>219</v>
      </c>
      <c r="F165" s="42" t="s">
        <v>239</v>
      </c>
      <c r="G165" s="43" t="s">
        <v>250</v>
      </c>
      <c r="H165" s="43">
        <v>0</v>
      </c>
      <c r="I165" s="43">
        <v>0</v>
      </c>
      <c r="J165" s="43">
        <v>0</v>
      </c>
      <c r="K165" s="43">
        <v>0</v>
      </c>
      <c r="L165" s="43">
        <v>0</v>
      </c>
      <c r="M165" s="43">
        <v>0</v>
      </c>
      <c r="N165" s="43">
        <v>0</v>
      </c>
      <c r="O165" s="43">
        <v>0</v>
      </c>
      <c r="P165" s="43">
        <v>0</v>
      </c>
      <c r="Q165" s="43">
        <v>0</v>
      </c>
      <c r="R165" s="43">
        <v>0</v>
      </c>
      <c r="S165" s="43">
        <v>0</v>
      </c>
      <c r="T165" s="43">
        <v>0</v>
      </c>
      <c r="U165" s="43">
        <v>0</v>
      </c>
      <c r="V165" s="43">
        <v>0</v>
      </c>
      <c r="W165" s="43">
        <v>0</v>
      </c>
      <c r="X165" s="43">
        <v>0</v>
      </c>
      <c r="Y165" s="43">
        <v>0</v>
      </c>
      <c r="Z165" s="43">
        <v>0</v>
      </c>
      <c r="AA165" s="43">
        <v>0</v>
      </c>
      <c r="AB165" s="43">
        <v>0</v>
      </c>
      <c r="AC165" s="43">
        <v>0</v>
      </c>
      <c r="AD165" s="43">
        <v>0</v>
      </c>
      <c r="AE165" s="43">
        <v>0</v>
      </c>
      <c r="AF165" s="43">
        <v>0</v>
      </c>
      <c r="AG165" s="43">
        <v>0</v>
      </c>
      <c r="AH165" s="44">
        <v>0</v>
      </c>
    </row>
    <row r="166" spans="1:34" x14ac:dyDescent="0.35">
      <c r="A166" s="19">
        <f t="shared" si="7"/>
        <v>17</v>
      </c>
      <c r="B166" s="43" t="s">
        <v>53</v>
      </c>
      <c r="C166" s="43" t="s">
        <v>152</v>
      </c>
      <c r="D166" s="37">
        <v>5</v>
      </c>
      <c r="E166" s="37" t="s">
        <v>220</v>
      </c>
      <c r="F166" s="42"/>
      <c r="G166" s="43" t="s">
        <v>238</v>
      </c>
      <c r="H166" s="43">
        <v>0</v>
      </c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4"/>
    </row>
    <row r="167" spans="1:34" x14ac:dyDescent="0.35">
      <c r="A167" s="19">
        <f t="shared" si="7"/>
        <v>17</v>
      </c>
      <c r="B167" s="43" t="s">
        <v>53</v>
      </c>
      <c r="C167" s="43" t="s">
        <v>152</v>
      </c>
      <c r="D167" s="37">
        <v>6</v>
      </c>
      <c r="E167" s="37" t="s">
        <v>221</v>
      </c>
      <c r="F167" s="42" t="s">
        <v>239</v>
      </c>
      <c r="G167" s="43" t="s">
        <v>250</v>
      </c>
      <c r="H167" s="43">
        <v>0</v>
      </c>
      <c r="I167" s="43">
        <v>999</v>
      </c>
      <c r="J167" s="43">
        <v>999</v>
      </c>
      <c r="K167" s="43">
        <v>999</v>
      </c>
      <c r="L167" s="43">
        <v>999</v>
      </c>
      <c r="M167" s="43">
        <v>999</v>
      </c>
      <c r="N167" s="43">
        <v>999</v>
      </c>
      <c r="O167" s="43">
        <v>999</v>
      </c>
      <c r="P167" s="43">
        <v>999</v>
      </c>
      <c r="Q167" s="43">
        <v>999</v>
      </c>
      <c r="R167" s="43">
        <v>999</v>
      </c>
      <c r="S167" s="43">
        <v>999</v>
      </c>
      <c r="T167" s="43">
        <v>999</v>
      </c>
      <c r="U167" s="43">
        <v>999</v>
      </c>
      <c r="V167" s="43">
        <v>999</v>
      </c>
      <c r="W167" s="43">
        <v>999</v>
      </c>
      <c r="X167" s="43">
        <v>999</v>
      </c>
      <c r="Y167" s="43">
        <v>999</v>
      </c>
      <c r="Z167" s="43">
        <v>999</v>
      </c>
      <c r="AA167" s="43">
        <v>999</v>
      </c>
      <c r="AB167" s="43">
        <v>999</v>
      </c>
      <c r="AC167" s="43">
        <v>999</v>
      </c>
      <c r="AD167" s="43">
        <v>999</v>
      </c>
      <c r="AE167" s="43">
        <v>999</v>
      </c>
      <c r="AF167" s="43">
        <v>999</v>
      </c>
      <c r="AG167" s="43">
        <v>999</v>
      </c>
      <c r="AH167" s="44">
        <v>999</v>
      </c>
    </row>
    <row r="168" spans="1:34" x14ac:dyDescent="0.35">
      <c r="A168" s="19">
        <f t="shared" si="7"/>
        <v>17</v>
      </c>
      <c r="B168" s="43" t="s">
        <v>53</v>
      </c>
      <c r="C168" s="43" t="s">
        <v>152</v>
      </c>
      <c r="D168" s="37">
        <v>7</v>
      </c>
      <c r="E168" s="37" t="s">
        <v>222</v>
      </c>
      <c r="F168" s="42" t="s">
        <v>239</v>
      </c>
      <c r="G168" s="43" t="s">
        <v>250</v>
      </c>
      <c r="H168" s="43">
        <v>0</v>
      </c>
      <c r="I168" s="43">
        <v>0</v>
      </c>
      <c r="J168" s="43">
        <v>0</v>
      </c>
      <c r="K168" s="43">
        <v>0</v>
      </c>
      <c r="L168" s="43">
        <v>0</v>
      </c>
      <c r="M168" s="43">
        <v>0</v>
      </c>
      <c r="N168" s="43">
        <v>0</v>
      </c>
      <c r="O168" s="43">
        <v>0</v>
      </c>
      <c r="P168" s="43">
        <v>0</v>
      </c>
      <c r="Q168" s="43">
        <v>0</v>
      </c>
      <c r="R168" s="43">
        <v>0</v>
      </c>
      <c r="S168" s="43">
        <v>0</v>
      </c>
      <c r="T168" s="43">
        <v>0</v>
      </c>
      <c r="U168" s="43">
        <v>0</v>
      </c>
      <c r="V168" s="43">
        <v>0</v>
      </c>
      <c r="W168" s="43">
        <v>0</v>
      </c>
      <c r="X168" s="43">
        <v>0</v>
      </c>
      <c r="Y168" s="43">
        <v>0</v>
      </c>
      <c r="Z168" s="43">
        <v>0</v>
      </c>
      <c r="AA168" s="43">
        <v>0</v>
      </c>
      <c r="AB168" s="43">
        <v>0</v>
      </c>
      <c r="AC168" s="43">
        <v>0</v>
      </c>
      <c r="AD168" s="43">
        <v>0</v>
      </c>
      <c r="AE168" s="43">
        <v>0</v>
      </c>
      <c r="AF168" s="43">
        <v>0</v>
      </c>
      <c r="AG168" s="43">
        <v>0</v>
      </c>
      <c r="AH168" s="44">
        <v>0</v>
      </c>
    </row>
    <row r="169" spans="1:34" x14ac:dyDescent="0.35">
      <c r="A169" s="19">
        <f t="shared" si="7"/>
        <v>17</v>
      </c>
      <c r="B169" s="43" t="s">
        <v>53</v>
      </c>
      <c r="C169" s="43" t="s">
        <v>152</v>
      </c>
      <c r="D169" s="37">
        <v>8</v>
      </c>
      <c r="E169" s="37" t="s">
        <v>223</v>
      </c>
      <c r="F169" s="42"/>
      <c r="G169" s="43" t="s">
        <v>238</v>
      </c>
      <c r="H169" s="43">
        <v>0</v>
      </c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4"/>
    </row>
    <row r="170" spans="1:34" x14ac:dyDescent="0.35">
      <c r="A170" s="19">
        <f t="shared" si="7"/>
        <v>17</v>
      </c>
      <c r="B170" s="43" t="s">
        <v>53</v>
      </c>
      <c r="C170" s="43" t="s">
        <v>152</v>
      </c>
      <c r="D170" s="37">
        <v>9</v>
      </c>
      <c r="E170" s="37" t="s">
        <v>224</v>
      </c>
      <c r="F170" s="42" t="s">
        <v>242</v>
      </c>
      <c r="G170" s="43" t="s">
        <v>233</v>
      </c>
      <c r="H170" s="43">
        <v>0</v>
      </c>
      <c r="I170" s="43">
        <v>1</v>
      </c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4"/>
    </row>
    <row r="171" spans="1:34" ht="15" thickBot="1" x14ac:dyDescent="0.4">
      <c r="A171" s="20">
        <f t="shared" si="7"/>
        <v>17</v>
      </c>
      <c r="B171" s="46" t="s">
        <v>53</v>
      </c>
      <c r="C171" s="46" t="s">
        <v>152</v>
      </c>
      <c r="D171" s="38">
        <v>10</v>
      </c>
      <c r="E171" s="38" t="s">
        <v>225</v>
      </c>
      <c r="F171" s="45" t="s">
        <v>242</v>
      </c>
      <c r="G171" s="46" t="s">
        <v>233</v>
      </c>
      <c r="H171" s="46">
        <v>0</v>
      </c>
      <c r="I171" s="46">
        <v>1</v>
      </c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7"/>
    </row>
    <row r="172" spans="1:34" x14ac:dyDescent="0.35">
      <c r="A172" s="18">
        <f>+A162+1</f>
        <v>18</v>
      </c>
      <c r="B172" s="40" t="s">
        <v>54</v>
      </c>
      <c r="C172" s="40" t="s">
        <v>153</v>
      </c>
      <c r="D172" s="32">
        <v>1</v>
      </c>
      <c r="E172" s="32" t="s">
        <v>216</v>
      </c>
      <c r="F172" s="39" t="s">
        <v>240</v>
      </c>
      <c r="G172" s="40" t="s">
        <v>233</v>
      </c>
      <c r="H172" s="40">
        <v>0</v>
      </c>
      <c r="I172" s="40">
        <v>1</v>
      </c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1"/>
    </row>
    <row r="173" spans="1:34" x14ac:dyDescent="0.35">
      <c r="A173" s="19">
        <f t="shared" si="7"/>
        <v>18</v>
      </c>
      <c r="B173" s="43" t="s">
        <v>54</v>
      </c>
      <c r="C173" s="43" t="s">
        <v>153</v>
      </c>
      <c r="D173" s="34">
        <v>2</v>
      </c>
      <c r="E173" s="34" t="s">
        <v>217</v>
      </c>
      <c r="F173" s="42" t="s">
        <v>240</v>
      </c>
      <c r="G173" s="43" t="s">
        <v>233</v>
      </c>
      <c r="H173" s="43">
        <v>0</v>
      </c>
      <c r="I173" s="43">
        <v>1</v>
      </c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4"/>
    </row>
    <row r="174" spans="1:34" x14ac:dyDescent="0.35">
      <c r="A174" s="19">
        <f t="shared" si="7"/>
        <v>18</v>
      </c>
      <c r="B174" s="43" t="s">
        <v>54</v>
      </c>
      <c r="C174" s="43" t="s">
        <v>153</v>
      </c>
      <c r="D174" s="34">
        <v>3</v>
      </c>
      <c r="E174" s="34" t="s">
        <v>218</v>
      </c>
      <c r="F174" s="42" t="s">
        <v>240</v>
      </c>
      <c r="G174" s="43" t="s">
        <v>233</v>
      </c>
      <c r="H174" s="43">
        <v>0</v>
      </c>
      <c r="I174" s="43">
        <v>1</v>
      </c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4"/>
    </row>
    <row r="175" spans="1:34" x14ac:dyDescent="0.35">
      <c r="A175" s="19">
        <f t="shared" si="7"/>
        <v>18</v>
      </c>
      <c r="B175" s="43" t="s">
        <v>54</v>
      </c>
      <c r="C175" s="43" t="s">
        <v>153</v>
      </c>
      <c r="D175" s="34">
        <v>4</v>
      </c>
      <c r="E175" s="34" t="s">
        <v>219</v>
      </c>
      <c r="F175" s="42" t="s">
        <v>239</v>
      </c>
      <c r="G175" s="43" t="s">
        <v>250</v>
      </c>
      <c r="H175" s="43">
        <v>0</v>
      </c>
      <c r="I175" s="43">
        <v>0</v>
      </c>
      <c r="J175" s="43">
        <v>0</v>
      </c>
      <c r="K175" s="43">
        <v>0</v>
      </c>
      <c r="L175" s="43">
        <v>0</v>
      </c>
      <c r="M175" s="43">
        <v>0</v>
      </c>
      <c r="N175" s="43">
        <v>0</v>
      </c>
      <c r="O175" s="43">
        <v>0</v>
      </c>
      <c r="P175" s="43">
        <v>0</v>
      </c>
      <c r="Q175" s="43">
        <v>0</v>
      </c>
      <c r="R175" s="43">
        <v>0</v>
      </c>
      <c r="S175" s="43">
        <v>0</v>
      </c>
      <c r="T175" s="43">
        <v>0</v>
      </c>
      <c r="U175" s="43">
        <v>0</v>
      </c>
      <c r="V175" s="43">
        <v>0</v>
      </c>
      <c r="W175" s="43">
        <v>0</v>
      </c>
      <c r="X175" s="43">
        <v>0</v>
      </c>
      <c r="Y175" s="43">
        <v>0</v>
      </c>
      <c r="Z175" s="43">
        <v>0</v>
      </c>
      <c r="AA175" s="43">
        <v>0</v>
      </c>
      <c r="AB175" s="43">
        <v>0</v>
      </c>
      <c r="AC175" s="43">
        <v>0</v>
      </c>
      <c r="AD175" s="43">
        <v>0</v>
      </c>
      <c r="AE175" s="43">
        <v>0</v>
      </c>
      <c r="AF175" s="43">
        <v>0</v>
      </c>
      <c r="AG175" s="43">
        <v>0</v>
      </c>
      <c r="AH175" s="44">
        <v>0</v>
      </c>
    </row>
    <row r="176" spans="1:34" x14ac:dyDescent="0.35">
      <c r="A176" s="19">
        <f t="shared" si="7"/>
        <v>18</v>
      </c>
      <c r="B176" s="43" t="s">
        <v>54</v>
      </c>
      <c r="C176" s="43" t="s">
        <v>153</v>
      </c>
      <c r="D176" s="34">
        <v>5</v>
      </c>
      <c r="E176" s="34" t="s">
        <v>220</v>
      </c>
      <c r="F176" s="42"/>
      <c r="G176" s="43" t="s">
        <v>238</v>
      </c>
      <c r="H176" s="43">
        <v>0</v>
      </c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4"/>
    </row>
    <row r="177" spans="1:34" x14ac:dyDescent="0.35">
      <c r="A177" s="19">
        <f t="shared" si="7"/>
        <v>18</v>
      </c>
      <c r="B177" s="43" t="s">
        <v>54</v>
      </c>
      <c r="C177" s="43" t="s">
        <v>153</v>
      </c>
      <c r="D177" s="34">
        <v>6</v>
      </c>
      <c r="E177" s="34" t="s">
        <v>221</v>
      </c>
      <c r="F177" s="42" t="s">
        <v>239</v>
      </c>
      <c r="G177" s="43" t="s">
        <v>250</v>
      </c>
      <c r="H177" s="43">
        <v>0</v>
      </c>
      <c r="I177" s="43">
        <v>999</v>
      </c>
      <c r="J177" s="43">
        <v>999</v>
      </c>
      <c r="K177" s="43">
        <v>999</v>
      </c>
      <c r="L177" s="43">
        <v>999</v>
      </c>
      <c r="M177" s="43">
        <v>999</v>
      </c>
      <c r="N177" s="43">
        <v>999</v>
      </c>
      <c r="O177" s="43">
        <v>999</v>
      </c>
      <c r="P177" s="43">
        <v>999</v>
      </c>
      <c r="Q177" s="43">
        <v>999</v>
      </c>
      <c r="R177" s="43">
        <v>999</v>
      </c>
      <c r="S177" s="43">
        <v>999</v>
      </c>
      <c r="T177" s="43">
        <v>999</v>
      </c>
      <c r="U177" s="43">
        <v>999</v>
      </c>
      <c r="V177" s="43">
        <v>999</v>
      </c>
      <c r="W177" s="43">
        <v>999</v>
      </c>
      <c r="X177" s="43">
        <v>999</v>
      </c>
      <c r="Y177" s="43">
        <v>999</v>
      </c>
      <c r="Z177" s="43">
        <v>999</v>
      </c>
      <c r="AA177" s="43">
        <v>999</v>
      </c>
      <c r="AB177" s="43">
        <v>999</v>
      </c>
      <c r="AC177" s="43">
        <v>999</v>
      </c>
      <c r="AD177" s="43">
        <v>999</v>
      </c>
      <c r="AE177" s="43">
        <v>999</v>
      </c>
      <c r="AF177" s="43">
        <v>999</v>
      </c>
      <c r="AG177" s="43">
        <v>999</v>
      </c>
      <c r="AH177" s="44">
        <v>999</v>
      </c>
    </row>
    <row r="178" spans="1:34" x14ac:dyDescent="0.35">
      <c r="A178" s="19">
        <f t="shared" si="7"/>
        <v>18</v>
      </c>
      <c r="B178" s="43" t="s">
        <v>54</v>
      </c>
      <c r="C178" s="43" t="s">
        <v>153</v>
      </c>
      <c r="D178" s="34">
        <v>7</v>
      </c>
      <c r="E178" s="34" t="s">
        <v>222</v>
      </c>
      <c r="F178" s="42" t="s">
        <v>239</v>
      </c>
      <c r="G178" s="43" t="s">
        <v>250</v>
      </c>
      <c r="H178" s="43">
        <v>0</v>
      </c>
      <c r="I178" s="43">
        <v>0</v>
      </c>
      <c r="J178" s="43">
        <v>0</v>
      </c>
      <c r="K178" s="43">
        <v>0</v>
      </c>
      <c r="L178" s="43">
        <v>0</v>
      </c>
      <c r="M178" s="43">
        <v>0</v>
      </c>
      <c r="N178" s="43">
        <v>0</v>
      </c>
      <c r="O178" s="43">
        <v>0</v>
      </c>
      <c r="P178" s="43">
        <v>0</v>
      </c>
      <c r="Q178" s="43">
        <v>0</v>
      </c>
      <c r="R178" s="43">
        <v>0</v>
      </c>
      <c r="S178" s="43">
        <v>0</v>
      </c>
      <c r="T178" s="43">
        <v>0</v>
      </c>
      <c r="U178" s="43">
        <v>0</v>
      </c>
      <c r="V178" s="43">
        <v>0</v>
      </c>
      <c r="W178" s="43">
        <v>0</v>
      </c>
      <c r="X178" s="43">
        <v>0</v>
      </c>
      <c r="Y178" s="43">
        <v>0</v>
      </c>
      <c r="Z178" s="43">
        <v>0</v>
      </c>
      <c r="AA178" s="43">
        <v>0</v>
      </c>
      <c r="AB178" s="43">
        <v>0</v>
      </c>
      <c r="AC178" s="43">
        <v>0</v>
      </c>
      <c r="AD178" s="43">
        <v>0</v>
      </c>
      <c r="AE178" s="43">
        <v>0</v>
      </c>
      <c r="AF178" s="43">
        <v>0</v>
      </c>
      <c r="AG178" s="43">
        <v>0</v>
      </c>
      <c r="AH178" s="44">
        <v>0</v>
      </c>
    </row>
    <row r="179" spans="1:34" x14ac:dyDescent="0.35">
      <c r="A179" s="19">
        <f t="shared" si="7"/>
        <v>18</v>
      </c>
      <c r="B179" s="43" t="s">
        <v>54</v>
      </c>
      <c r="C179" s="43" t="s">
        <v>153</v>
      </c>
      <c r="D179" s="34">
        <v>8</v>
      </c>
      <c r="E179" s="34" t="s">
        <v>223</v>
      </c>
      <c r="F179" s="42"/>
      <c r="G179" s="43" t="s">
        <v>238</v>
      </c>
      <c r="H179" s="43">
        <v>0</v>
      </c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4"/>
    </row>
    <row r="180" spans="1:34" x14ac:dyDescent="0.35">
      <c r="A180" s="19">
        <f t="shared" si="7"/>
        <v>18</v>
      </c>
      <c r="B180" s="43" t="s">
        <v>54</v>
      </c>
      <c r="C180" s="43" t="s">
        <v>153</v>
      </c>
      <c r="D180" s="34">
        <v>9</v>
      </c>
      <c r="E180" s="34" t="s">
        <v>224</v>
      </c>
      <c r="F180" s="42" t="s">
        <v>242</v>
      </c>
      <c r="G180" s="43" t="s">
        <v>233</v>
      </c>
      <c r="H180" s="43">
        <v>0</v>
      </c>
      <c r="I180" s="43">
        <v>1</v>
      </c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4"/>
    </row>
    <row r="181" spans="1:34" ht="15" thickBot="1" x14ac:dyDescent="0.4">
      <c r="A181" s="20">
        <f t="shared" si="7"/>
        <v>18</v>
      </c>
      <c r="B181" s="46" t="s">
        <v>54</v>
      </c>
      <c r="C181" s="46" t="s">
        <v>153</v>
      </c>
      <c r="D181" s="35">
        <v>10</v>
      </c>
      <c r="E181" s="35" t="s">
        <v>225</v>
      </c>
      <c r="F181" s="45" t="s">
        <v>242</v>
      </c>
      <c r="G181" s="46" t="s">
        <v>233</v>
      </c>
      <c r="H181" s="46">
        <v>0</v>
      </c>
      <c r="I181" s="46">
        <v>1</v>
      </c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7"/>
    </row>
    <row r="182" spans="1:34" x14ac:dyDescent="0.35">
      <c r="A182" s="18">
        <f>+A172+1</f>
        <v>19</v>
      </c>
      <c r="B182" s="78" t="s">
        <v>268</v>
      </c>
      <c r="C182" s="40" t="s">
        <v>269</v>
      </c>
      <c r="D182" s="32">
        <v>1</v>
      </c>
      <c r="E182" s="32" t="s">
        <v>216</v>
      </c>
      <c r="F182" s="39" t="s">
        <v>240</v>
      </c>
      <c r="G182" s="40" t="s">
        <v>233</v>
      </c>
      <c r="H182" s="40">
        <v>0</v>
      </c>
      <c r="I182" s="40">
        <v>1</v>
      </c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1"/>
    </row>
    <row r="183" spans="1:34" x14ac:dyDescent="0.35">
      <c r="A183" s="19">
        <f t="shared" si="7"/>
        <v>19</v>
      </c>
      <c r="B183" s="79" t="s">
        <v>268</v>
      </c>
      <c r="C183" s="43" t="s">
        <v>269</v>
      </c>
      <c r="D183" s="34">
        <v>2</v>
      </c>
      <c r="E183" s="34" t="s">
        <v>217</v>
      </c>
      <c r="F183" s="42" t="s">
        <v>240</v>
      </c>
      <c r="G183" s="43" t="s">
        <v>233</v>
      </c>
      <c r="H183" s="43">
        <v>0</v>
      </c>
      <c r="I183" s="43">
        <v>1</v>
      </c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4"/>
    </row>
    <row r="184" spans="1:34" x14ac:dyDescent="0.35">
      <c r="A184" s="19">
        <f t="shared" si="7"/>
        <v>19</v>
      </c>
      <c r="B184" s="79" t="s">
        <v>268</v>
      </c>
      <c r="C184" s="43" t="s">
        <v>269</v>
      </c>
      <c r="D184" s="34">
        <v>3</v>
      </c>
      <c r="E184" s="34" t="s">
        <v>218</v>
      </c>
      <c r="F184" s="42" t="s">
        <v>240</v>
      </c>
      <c r="G184" s="43" t="s">
        <v>233</v>
      </c>
      <c r="H184" s="43">
        <v>0</v>
      </c>
      <c r="I184" s="43">
        <v>1</v>
      </c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4"/>
    </row>
    <row r="185" spans="1:34" x14ac:dyDescent="0.35">
      <c r="A185" s="19">
        <f t="shared" si="7"/>
        <v>19</v>
      </c>
      <c r="B185" s="79" t="s">
        <v>268</v>
      </c>
      <c r="C185" s="43" t="s">
        <v>269</v>
      </c>
      <c r="D185" s="34">
        <v>4</v>
      </c>
      <c r="E185" s="34" t="s">
        <v>219</v>
      </c>
      <c r="F185" s="42" t="s">
        <v>239</v>
      </c>
      <c r="G185" s="43" t="s">
        <v>250</v>
      </c>
      <c r="H185" s="43">
        <v>0</v>
      </c>
      <c r="I185" s="43">
        <v>0</v>
      </c>
      <c r="J185" s="43">
        <v>0</v>
      </c>
      <c r="K185" s="43">
        <v>0</v>
      </c>
      <c r="L185" s="43">
        <v>0</v>
      </c>
      <c r="M185" s="43">
        <v>0</v>
      </c>
      <c r="N185" s="43">
        <v>0</v>
      </c>
      <c r="O185" s="43">
        <v>0</v>
      </c>
      <c r="P185" s="43">
        <v>0</v>
      </c>
      <c r="Q185" s="43">
        <v>0</v>
      </c>
      <c r="R185" s="43">
        <v>0</v>
      </c>
      <c r="S185" s="43">
        <v>0</v>
      </c>
      <c r="T185" s="43">
        <v>0</v>
      </c>
      <c r="U185" s="43">
        <v>0</v>
      </c>
      <c r="V185" s="43">
        <v>0</v>
      </c>
      <c r="W185" s="43">
        <v>0</v>
      </c>
      <c r="X185" s="43">
        <v>0</v>
      </c>
      <c r="Y185" s="43">
        <v>0</v>
      </c>
      <c r="Z185" s="43">
        <v>0</v>
      </c>
      <c r="AA185" s="43">
        <v>0</v>
      </c>
      <c r="AB185" s="43">
        <v>0</v>
      </c>
      <c r="AC185" s="43">
        <v>0</v>
      </c>
      <c r="AD185" s="43">
        <v>0</v>
      </c>
      <c r="AE185" s="43">
        <v>0</v>
      </c>
      <c r="AF185" s="43">
        <v>0</v>
      </c>
      <c r="AG185" s="43">
        <v>0</v>
      </c>
      <c r="AH185" s="44">
        <v>0</v>
      </c>
    </row>
    <row r="186" spans="1:34" x14ac:dyDescent="0.35">
      <c r="A186" s="19">
        <f t="shared" si="7"/>
        <v>19</v>
      </c>
      <c r="B186" s="79" t="s">
        <v>268</v>
      </c>
      <c r="C186" s="43" t="s">
        <v>269</v>
      </c>
      <c r="D186" s="34">
        <v>5</v>
      </c>
      <c r="E186" s="34" t="s">
        <v>220</v>
      </c>
      <c r="F186" s="42"/>
      <c r="G186" s="43" t="s">
        <v>238</v>
      </c>
      <c r="H186" s="43">
        <v>0</v>
      </c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4"/>
    </row>
    <row r="187" spans="1:34" x14ac:dyDescent="0.35">
      <c r="A187" s="19">
        <f t="shared" si="7"/>
        <v>19</v>
      </c>
      <c r="B187" s="79" t="s">
        <v>268</v>
      </c>
      <c r="C187" s="43" t="s">
        <v>269</v>
      </c>
      <c r="D187" s="34">
        <v>6</v>
      </c>
      <c r="E187" s="34" t="s">
        <v>221</v>
      </c>
      <c r="F187" s="42" t="s">
        <v>239</v>
      </c>
      <c r="G187" s="43" t="s">
        <v>250</v>
      </c>
      <c r="H187" s="43">
        <v>0</v>
      </c>
      <c r="I187" s="43">
        <v>999</v>
      </c>
      <c r="J187" s="43">
        <v>999</v>
      </c>
      <c r="K187" s="43">
        <v>999</v>
      </c>
      <c r="L187" s="43">
        <v>999</v>
      </c>
      <c r="M187" s="43">
        <v>999</v>
      </c>
      <c r="N187" s="43">
        <v>999</v>
      </c>
      <c r="O187" s="43">
        <v>999</v>
      </c>
      <c r="P187" s="43">
        <v>999</v>
      </c>
      <c r="Q187" s="43">
        <v>999</v>
      </c>
      <c r="R187" s="43">
        <v>999</v>
      </c>
      <c r="S187" s="43">
        <v>999</v>
      </c>
      <c r="T187" s="43">
        <v>999</v>
      </c>
      <c r="U187" s="43">
        <v>999</v>
      </c>
      <c r="V187" s="43">
        <v>999</v>
      </c>
      <c r="W187" s="43">
        <v>999</v>
      </c>
      <c r="X187" s="43">
        <v>999</v>
      </c>
      <c r="Y187" s="43">
        <v>999</v>
      </c>
      <c r="Z187" s="43">
        <v>999</v>
      </c>
      <c r="AA187" s="43">
        <v>999</v>
      </c>
      <c r="AB187" s="43">
        <v>999</v>
      </c>
      <c r="AC187" s="43">
        <v>999</v>
      </c>
      <c r="AD187" s="43">
        <v>999</v>
      </c>
      <c r="AE187" s="43">
        <v>999</v>
      </c>
      <c r="AF187" s="43">
        <v>999</v>
      </c>
      <c r="AG187" s="43">
        <v>999</v>
      </c>
      <c r="AH187" s="44">
        <v>999</v>
      </c>
    </row>
    <row r="188" spans="1:34" x14ac:dyDescent="0.35">
      <c r="A188" s="19">
        <f t="shared" si="7"/>
        <v>19</v>
      </c>
      <c r="B188" s="79" t="s">
        <v>268</v>
      </c>
      <c r="C188" s="43" t="s">
        <v>269</v>
      </c>
      <c r="D188" s="34">
        <v>7</v>
      </c>
      <c r="E188" s="34" t="s">
        <v>222</v>
      </c>
      <c r="F188" s="42" t="s">
        <v>239</v>
      </c>
      <c r="G188" s="43" t="s">
        <v>250</v>
      </c>
      <c r="H188" s="43">
        <v>0</v>
      </c>
      <c r="I188" s="43">
        <v>0</v>
      </c>
      <c r="J188" s="43">
        <v>0</v>
      </c>
      <c r="K188" s="43">
        <v>0</v>
      </c>
      <c r="L188" s="43">
        <v>0</v>
      </c>
      <c r="M188" s="43">
        <v>0</v>
      </c>
      <c r="N188" s="43">
        <v>0</v>
      </c>
      <c r="O188" s="43">
        <v>0</v>
      </c>
      <c r="P188" s="43">
        <v>0</v>
      </c>
      <c r="Q188" s="43">
        <v>0</v>
      </c>
      <c r="R188" s="43">
        <v>0</v>
      </c>
      <c r="S188" s="43">
        <v>0</v>
      </c>
      <c r="T188" s="43">
        <v>0</v>
      </c>
      <c r="U188" s="43">
        <v>0</v>
      </c>
      <c r="V188" s="43">
        <v>0</v>
      </c>
      <c r="W188" s="43">
        <v>0</v>
      </c>
      <c r="X188" s="43">
        <v>0</v>
      </c>
      <c r="Y188" s="43">
        <v>0</v>
      </c>
      <c r="Z188" s="43">
        <v>0</v>
      </c>
      <c r="AA188" s="43">
        <v>0</v>
      </c>
      <c r="AB188" s="43">
        <v>0</v>
      </c>
      <c r="AC188" s="43">
        <v>0</v>
      </c>
      <c r="AD188" s="43">
        <v>0</v>
      </c>
      <c r="AE188" s="43">
        <v>0</v>
      </c>
      <c r="AF188" s="43">
        <v>0</v>
      </c>
      <c r="AG188" s="43">
        <v>0</v>
      </c>
      <c r="AH188" s="44">
        <v>0</v>
      </c>
    </row>
    <row r="189" spans="1:34" x14ac:dyDescent="0.35">
      <c r="A189" s="19">
        <f t="shared" si="7"/>
        <v>19</v>
      </c>
      <c r="B189" s="79" t="s">
        <v>268</v>
      </c>
      <c r="C189" s="43" t="s">
        <v>269</v>
      </c>
      <c r="D189" s="34">
        <v>8</v>
      </c>
      <c r="E189" s="34" t="s">
        <v>223</v>
      </c>
      <c r="F189" s="42"/>
      <c r="G189" s="43" t="s">
        <v>238</v>
      </c>
      <c r="H189" s="43">
        <v>0</v>
      </c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4"/>
    </row>
    <row r="190" spans="1:34" x14ac:dyDescent="0.35">
      <c r="A190" s="19">
        <f t="shared" si="7"/>
        <v>19</v>
      </c>
      <c r="B190" s="79" t="s">
        <v>268</v>
      </c>
      <c r="C190" s="43" t="s">
        <v>269</v>
      </c>
      <c r="D190" s="34">
        <v>9</v>
      </c>
      <c r="E190" s="34" t="s">
        <v>224</v>
      </c>
      <c r="F190" s="42" t="s">
        <v>242</v>
      </c>
      <c r="G190" s="43" t="s">
        <v>233</v>
      </c>
      <c r="H190" s="43">
        <v>0</v>
      </c>
      <c r="I190" s="43">
        <v>1</v>
      </c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4"/>
    </row>
    <row r="191" spans="1:34" ht="15" thickBot="1" x14ac:dyDescent="0.4">
      <c r="A191" s="20">
        <f t="shared" si="7"/>
        <v>19</v>
      </c>
      <c r="B191" s="80" t="s">
        <v>268</v>
      </c>
      <c r="C191" s="46" t="s">
        <v>269</v>
      </c>
      <c r="D191" s="35">
        <v>10</v>
      </c>
      <c r="E191" s="35" t="s">
        <v>225</v>
      </c>
      <c r="F191" s="45" t="s">
        <v>242</v>
      </c>
      <c r="G191" s="46" t="s">
        <v>233</v>
      </c>
      <c r="H191" s="46">
        <v>0</v>
      </c>
      <c r="I191" s="46">
        <v>1</v>
      </c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7"/>
    </row>
    <row r="192" spans="1:34" x14ac:dyDescent="0.35">
      <c r="A192" s="18">
        <f>+A182+1</f>
        <v>20</v>
      </c>
      <c r="B192" s="78" t="s">
        <v>270</v>
      </c>
      <c r="C192" s="40" t="s">
        <v>271</v>
      </c>
      <c r="D192" s="36">
        <v>1</v>
      </c>
      <c r="E192" s="36" t="s">
        <v>216</v>
      </c>
      <c r="F192" s="39" t="s">
        <v>240</v>
      </c>
      <c r="G192" s="40" t="s">
        <v>233</v>
      </c>
      <c r="H192" s="40">
        <v>0</v>
      </c>
      <c r="I192" s="40">
        <v>1</v>
      </c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1"/>
    </row>
    <row r="193" spans="1:34" x14ac:dyDescent="0.35">
      <c r="A193" s="19">
        <f t="shared" si="7"/>
        <v>20</v>
      </c>
      <c r="B193" s="79" t="s">
        <v>270</v>
      </c>
      <c r="C193" s="43" t="s">
        <v>271</v>
      </c>
      <c r="D193" s="37">
        <v>2</v>
      </c>
      <c r="E193" s="37" t="s">
        <v>217</v>
      </c>
      <c r="F193" s="42" t="s">
        <v>240</v>
      </c>
      <c r="G193" s="43" t="s">
        <v>233</v>
      </c>
      <c r="H193" s="43">
        <v>0</v>
      </c>
      <c r="I193" s="43">
        <v>1</v>
      </c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4"/>
    </row>
    <row r="194" spans="1:34" x14ac:dyDescent="0.35">
      <c r="A194" s="19">
        <f t="shared" si="7"/>
        <v>20</v>
      </c>
      <c r="B194" s="79" t="s">
        <v>270</v>
      </c>
      <c r="C194" s="43" t="s">
        <v>271</v>
      </c>
      <c r="D194" s="37">
        <v>3</v>
      </c>
      <c r="E194" s="37" t="s">
        <v>218</v>
      </c>
      <c r="F194" s="42" t="s">
        <v>240</v>
      </c>
      <c r="G194" s="43" t="s">
        <v>233</v>
      </c>
      <c r="H194" s="43">
        <v>0</v>
      </c>
      <c r="I194" s="43">
        <v>1</v>
      </c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4"/>
    </row>
    <row r="195" spans="1:34" x14ac:dyDescent="0.35">
      <c r="A195" s="19">
        <f t="shared" si="7"/>
        <v>20</v>
      </c>
      <c r="B195" s="79" t="s">
        <v>270</v>
      </c>
      <c r="C195" s="43" t="s">
        <v>271</v>
      </c>
      <c r="D195" s="37">
        <v>4</v>
      </c>
      <c r="E195" s="37" t="s">
        <v>219</v>
      </c>
      <c r="F195" s="42" t="s">
        <v>239</v>
      </c>
      <c r="G195" s="43" t="s">
        <v>250</v>
      </c>
      <c r="H195" s="43">
        <v>0</v>
      </c>
      <c r="I195" s="43">
        <v>0</v>
      </c>
      <c r="J195" s="43">
        <v>0</v>
      </c>
      <c r="K195" s="43">
        <v>0</v>
      </c>
      <c r="L195" s="43">
        <v>0</v>
      </c>
      <c r="M195" s="43">
        <v>0</v>
      </c>
      <c r="N195" s="43">
        <v>0</v>
      </c>
      <c r="O195" s="43">
        <v>0</v>
      </c>
      <c r="P195" s="43">
        <v>0</v>
      </c>
      <c r="Q195" s="43">
        <v>0</v>
      </c>
      <c r="R195" s="43">
        <v>0</v>
      </c>
      <c r="S195" s="43">
        <v>0</v>
      </c>
      <c r="T195" s="43">
        <v>0</v>
      </c>
      <c r="U195" s="43">
        <v>0</v>
      </c>
      <c r="V195" s="43">
        <v>0</v>
      </c>
      <c r="W195" s="43">
        <v>0</v>
      </c>
      <c r="X195" s="43">
        <v>0</v>
      </c>
      <c r="Y195" s="43">
        <v>0</v>
      </c>
      <c r="Z195" s="43">
        <v>0</v>
      </c>
      <c r="AA195" s="43">
        <v>0</v>
      </c>
      <c r="AB195" s="43">
        <v>0</v>
      </c>
      <c r="AC195" s="43">
        <v>0</v>
      </c>
      <c r="AD195" s="43">
        <v>0</v>
      </c>
      <c r="AE195" s="43">
        <v>0</v>
      </c>
      <c r="AF195" s="43">
        <v>0</v>
      </c>
      <c r="AG195" s="43">
        <v>0</v>
      </c>
      <c r="AH195" s="44">
        <v>0</v>
      </c>
    </row>
    <row r="196" spans="1:34" x14ac:dyDescent="0.35">
      <c r="A196" s="19">
        <f t="shared" si="7"/>
        <v>20</v>
      </c>
      <c r="B196" s="79" t="s">
        <v>270</v>
      </c>
      <c r="C196" s="43" t="s">
        <v>271</v>
      </c>
      <c r="D196" s="37">
        <v>5</v>
      </c>
      <c r="E196" s="37" t="s">
        <v>220</v>
      </c>
      <c r="F196" s="42"/>
      <c r="G196" s="43" t="s">
        <v>238</v>
      </c>
      <c r="H196" s="43">
        <v>0</v>
      </c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4"/>
    </row>
    <row r="197" spans="1:34" x14ac:dyDescent="0.35">
      <c r="A197" s="19">
        <f t="shared" si="7"/>
        <v>20</v>
      </c>
      <c r="B197" s="79" t="s">
        <v>270</v>
      </c>
      <c r="C197" s="43" t="s">
        <v>271</v>
      </c>
      <c r="D197" s="37">
        <v>6</v>
      </c>
      <c r="E197" s="37" t="s">
        <v>221</v>
      </c>
      <c r="F197" s="42" t="s">
        <v>239</v>
      </c>
      <c r="G197" s="43" t="s">
        <v>250</v>
      </c>
      <c r="H197" s="43">
        <v>0</v>
      </c>
      <c r="I197" s="43">
        <v>999</v>
      </c>
      <c r="J197" s="43">
        <v>999</v>
      </c>
      <c r="K197" s="43">
        <v>999</v>
      </c>
      <c r="L197" s="43">
        <v>999</v>
      </c>
      <c r="M197" s="43">
        <v>999</v>
      </c>
      <c r="N197" s="43">
        <v>999</v>
      </c>
      <c r="O197" s="43">
        <v>999</v>
      </c>
      <c r="P197" s="43">
        <v>999</v>
      </c>
      <c r="Q197" s="43">
        <v>999</v>
      </c>
      <c r="R197" s="43">
        <v>999</v>
      </c>
      <c r="S197" s="43">
        <v>999</v>
      </c>
      <c r="T197" s="43">
        <v>999</v>
      </c>
      <c r="U197" s="43">
        <v>999</v>
      </c>
      <c r="V197" s="43">
        <v>999</v>
      </c>
      <c r="W197" s="43">
        <v>999</v>
      </c>
      <c r="X197" s="43">
        <v>999</v>
      </c>
      <c r="Y197" s="43">
        <v>999</v>
      </c>
      <c r="Z197" s="43">
        <v>999</v>
      </c>
      <c r="AA197" s="43">
        <v>999</v>
      </c>
      <c r="AB197" s="43">
        <v>999</v>
      </c>
      <c r="AC197" s="43">
        <v>999</v>
      </c>
      <c r="AD197" s="43">
        <v>999</v>
      </c>
      <c r="AE197" s="43">
        <v>999</v>
      </c>
      <c r="AF197" s="43">
        <v>999</v>
      </c>
      <c r="AG197" s="43">
        <v>999</v>
      </c>
      <c r="AH197" s="44">
        <v>999</v>
      </c>
    </row>
    <row r="198" spans="1:34" x14ac:dyDescent="0.35">
      <c r="A198" s="19">
        <f t="shared" si="7"/>
        <v>20</v>
      </c>
      <c r="B198" s="79" t="s">
        <v>270</v>
      </c>
      <c r="C198" s="43" t="s">
        <v>271</v>
      </c>
      <c r="D198" s="37">
        <v>7</v>
      </c>
      <c r="E198" s="37" t="s">
        <v>222</v>
      </c>
      <c r="F198" s="42" t="s">
        <v>239</v>
      </c>
      <c r="G198" s="43" t="s">
        <v>250</v>
      </c>
      <c r="H198" s="43">
        <v>0</v>
      </c>
      <c r="I198" s="43">
        <v>0</v>
      </c>
      <c r="J198" s="43">
        <v>0</v>
      </c>
      <c r="K198" s="43">
        <v>0</v>
      </c>
      <c r="L198" s="43">
        <v>0</v>
      </c>
      <c r="M198" s="43">
        <v>0</v>
      </c>
      <c r="N198" s="43">
        <v>0</v>
      </c>
      <c r="O198" s="43">
        <v>0</v>
      </c>
      <c r="P198" s="43">
        <v>0</v>
      </c>
      <c r="Q198" s="43">
        <v>0</v>
      </c>
      <c r="R198" s="43">
        <v>0</v>
      </c>
      <c r="S198" s="43">
        <v>0</v>
      </c>
      <c r="T198" s="43">
        <v>0</v>
      </c>
      <c r="U198" s="43">
        <v>0</v>
      </c>
      <c r="V198" s="43">
        <v>0</v>
      </c>
      <c r="W198" s="43">
        <v>0</v>
      </c>
      <c r="X198" s="43">
        <v>0</v>
      </c>
      <c r="Y198" s="43">
        <v>0</v>
      </c>
      <c r="Z198" s="43">
        <v>0</v>
      </c>
      <c r="AA198" s="43">
        <v>0</v>
      </c>
      <c r="AB198" s="43">
        <v>0</v>
      </c>
      <c r="AC198" s="43">
        <v>0</v>
      </c>
      <c r="AD198" s="43">
        <v>0</v>
      </c>
      <c r="AE198" s="43">
        <v>0</v>
      </c>
      <c r="AF198" s="43">
        <v>0</v>
      </c>
      <c r="AG198" s="43">
        <v>0</v>
      </c>
      <c r="AH198" s="44">
        <v>0</v>
      </c>
    </row>
    <row r="199" spans="1:34" x14ac:dyDescent="0.35">
      <c r="A199" s="19">
        <f t="shared" si="7"/>
        <v>20</v>
      </c>
      <c r="B199" s="79" t="s">
        <v>270</v>
      </c>
      <c r="C199" s="43" t="s">
        <v>271</v>
      </c>
      <c r="D199" s="37">
        <v>8</v>
      </c>
      <c r="E199" s="37" t="s">
        <v>223</v>
      </c>
      <c r="F199" s="42"/>
      <c r="G199" s="43" t="s">
        <v>238</v>
      </c>
      <c r="H199" s="43">
        <v>0</v>
      </c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4"/>
    </row>
    <row r="200" spans="1:34" x14ac:dyDescent="0.35">
      <c r="A200" s="19">
        <f t="shared" si="7"/>
        <v>20</v>
      </c>
      <c r="B200" s="79" t="s">
        <v>270</v>
      </c>
      <c r="C200" s="43" t="s">
        <v>271</v>
      </c>
      <c r="D200" s="37">
        <v>9</v>
      </c>
      <c r="E200" s="37" t="s">
        <v>224</v>
      </c>
      <c r="F200" s="42" t="s">
        <v>242</v>
      </c>
      <c r="G200" s="43" t="s">
        <v>233</v>
      </c>
      <c r="H200" s="43">
        <v>0</v>
      </c>
      <c r="I200" s="43">
        <v>1</v>
      </c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4"/>
    </row>
    <row r="201" spans="1:34" ht="15" thickBot="1" x14ac:dyDescent="0.4">
      <c r="A201" s="20">
        <f t="shared" si="7"/>
        <v>20</v>
      </c>
      <c r="B201" s="80" t="s">
        <v>270</v>
      </c>
      <c r="C201" s="46" t="s">
        <v>271</v>
      </c>
      <c r="D201" s="38">
        <v>10</v>
      </c>
      <c r="E201" s="38" t="s">
        <v>225</v>
      </c>
      <c r="F201" s="45" t="s">
        <v>242</v>
      </c>
      <c r="G201" s="46" t="s">
        <v>233</v>
      </c>
      <c r="H201" s="46">
        <v>0</v>
      </c>
      <c r="I201" s="46">
        <v>1</v>
      </c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7"/>
    </row>
    <row r="202" spans="1:34" x14ac:dyDescent="0.35">
      <c r="A202" s="18">
        <f t="shared" ref="A202:A211" si="8">+A172+1</f>
        <v>19</v>
      </c>
      <c r="B202" s="59" t="s">
        <v>255</v>
      </c>
      <c r="C202" s="59" t="s">
        <v>256</v>
      </c>
      <c r="D202" s="66">
        <v>1</v>
      </c>
      <c r="E202" s="66" t="s">
        <v>216</v>
      </c>
      <c r="F202" s="39" t="s">
        <v>240</v>
      </c>
      <c r="G202" s="40" t="s">
        <v>233</v>
      </c>
      <c r="H202" s="40">
        <v>0</v>
      </c>
      <c r="I202" s="40">
        <v>1</v>
      </c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1"/>
    </row>
    <row r="203" spans="1:34" x14ac:dyDescent="0.35">
      <c r="A203" s="19">
        <f t="shared" si="8"/>
        <v>19</v>
      </c>
      <c r="B203" s="52" t="s">
        <v>255</v>
      </c>
      <c r="C203" s="52" t="s">
        <v>256</v>
      </c>
      <c r="D203" s="67">
        <v>2</v>
      </c>
      <c r="E203" s="67" t="s">
        <v>217</v>
      </c>
      <c r="F203" s="42" t="s">
        <v>240</v>
      </c>
      <c r="G203" s="43" t="s">
        <v>233</v>
      </c>
      <c r="H203" s="43">
        <v>0</v>
      </c>
      <c r="I203" s="43">
        <v>1</v>
      </c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4"/>
    </row>
    <row r="204" spans="1:34" x14ac:dyDescent="0.35">
      <c r="A204" s="19">
        <f t="shared" si="8"/>
        <v>19</v>
      </c>
      <c r="B204" s="52" t="s">
        <v>255</v>
      </c>
      <c r="C204" s="52" t="s">
        <v>256</v>
      </c>
      <c r="D204" s="67">
        <v>3</v>
      </c>
      <c r="E204" s="67" t="s">
        <v>218</v>
      </c>
      <c r="F204" s="42" t="s">
        <v>240</v>
      </c>
      <c r="G204" s="43" t="s">
        <v>233</v>
      </c>
      <c r="H204" s="43">
        <v>0</v>
      </c>
      <c r="I204" s="43">
        <v>1</v>
      </c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44"/>
    </row>
    <row r="205" spans="1:34" x14ac:dyDescent="0.35">
      <c r="A205" s="19">
        <f t="shared" si="8"/>
        <v>19</v>
      </c>
      <c r="B205" s="52" t="s">
        <v>255</v>
      </c>
      <c r="C205" s="52" t="s">
        <v>256</v>
      </c>
      <c r="D205" s="67">
        <v>4</v>
      </c>
      <c r="E205" s="67" t="s">
        <v>219</v>
      </c>
      <c r="F205" s="42" t="s">
        <v>239</v>
      </c>
      <c r="G205" s="43" t="s">
        <v>250</v>
      </c>
      <c r="H205" s="43">
        <v>0</v>
      </c>
      <c r="I205" s="43">
        <v>0</v>
      </c>
      <c r="J205" s="43">
        <v>0</v>
      </c>
      <c r="K205" s="43">
        <v>0</v>
      </c>
      <c r="L205" s="43">
        <v>0</v>
      </c>
      <c r="M205" s="43">
        <v>0</v>
      </c>
      <c r="N205" s="43">
        <v>0</v>
      </c>
      <c r="O205" s="43">
        <v>0</v>
      </c>
      <c r="P205" s="43">
        <v>0</v>
      </c>
      <c r="Q205" s="43">
        <v>0</v>
      </c>
      <c r="R205" s="43">
        <v>0</v>
      </c>
      <c r="S205" s="43">
        <v>0</v>
      </c>
      <c r="T205" s="43">
        <v>0</v>
      </c>
      <c r="U205" s="43">
        <v>0</v>
      </c>
      <c r="V205" s="43">
        <v>0</v>
      </c>
      <c r="W205" s="43">
        <v>0</v>
      </c>
      <c r="X205" s="43">
        <v>0</v>
      </c>
      <c r="Y205" s="43">
        <v>0</v>
      </c>
      <c r="Z205" s="43">
        <v>0</v>
      </c>
      <c r="AA205" s="43">
        <v>0</v>
      </c>
      <c r="AB205" s="43">
        <v>0</v>
      </c>
      <c r="AC205" s="43">
        <v>0</v>
      </c>
      <c r="AD205" s="43">
        <v>0</v>
      </c>
      <c r="AE205" s="43">
        <v>0</v>
      </c>
      <c r="AF205" s="43">
        <v>0</v>
      </c>
      <c r="AG205" s="43">
        <v>0</v>
      </c>
      <c r="AH205" s="44">
        <v>0</v>
      </c>
    </row>
    <row r="206" spans="1:34" x14ac:dyDescent="0.35">
      <c r="A206" s="19">
        <f t="shared" si="8"/>
        <v>19</v>
      </c>
      <c r="B206" s="52" t="s">
        <v>255</v>
      </c>
      <c r="C206" s="52" t="s">
        <v>256</v>
      </c>
      <c r="D206" s="67">
        <v>5</v>
      </c>
      <c r="E206" s="67" t="s">
        <v>220</v>
      </c>
      <c r="F206" s="42"/>
      <c r="G206" s="43" t="s">
        <v>238</v>
      </c>
      <c r="H206" s="43">
        <v>0</v>
      </c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44"/>
    </row>
    <row r="207" spans="1:34" x14ac:dyDescent="0.35">
      <c r="A207" s="19">
        <f t="shared" si="8"/>
        <v>19</v>
      </c>
      <c r="B207" s="52" t="s">
        <v>255</v>
      </c>
      <c r="C207" s="52" t="s">
        <v>256</v>
      </c>
      <c r="D207" s="67">
        <v>6</v>
      </c>
      <c r="E207" s="67" t="s">
        <v>221</v>
      </c>
      <c r="F207" s="42" t="s">
        <v>239</v>
      </c>
      <c r="G207" s="43" t="s">
        <v>250</v>
      </c>
      <c r="H207" s="43">
        <v>0</v>
      </c>
      <c r="I207" s="43">
        <v>999</v>
      </c>
      <c r="J207" s="43">
        <v>999</v>
      </c>
      <c r="K207" s="43">
        <v>999</v>
      </c>
      <c r="L207" s="43">
        <v>999</v>
      </c>
      <c r="M207" s="43">
        <v>999</v>
      </c>
      <c r="N207" s="43">
        <v>999</v>
      </c>
      <c r="O207" s="43">
        <v>999</v>
      </c>
      <c r="P207" s="43">
        <v>999</v>
      </c>
      <c r="Q207" s="43">
        <v>999</v>
      </c>
      <c r="R207" s="43">
        <v>999</v>
      </c>
      <c r="S207" s="43">
        <v>999</v>
      </c>
      <c r="T207" s="43">
        <v>999</v>
      </c>
      <c r="U207" s="43">
        <v>999</v>
      </c>
      <c r="V207" s="43">
        <v>999</v>
      </c>
      <c r="W207" s="43">
        <v>999</v>
      </c>
      <c r="X207" s="43">
        <v>999</v>
      </c>
      <c r="Y207" s="43">
        <v>999</v>
      </c>
      <c r="Z207" s="43">
        <v>999</v>
      </c>
      <c r="AA207" s="43">
        <v>999</v>
      </c>
      <c r="AB207" s="43">
        <v>999</v>
      </c>
      <c r="AC207" s="43">
        <v>999</v>
      </c>
      <c r="AD207" s="43">
        <v>999</v>
      </c>
      <c r="AE207" s="43">
        <v>999</v>
      </c>
      <c r="AF207" s="43">
        <v>999</v>
      </c>
      <c r="AG207" s="43">
        <v>999</v>
      </c>
      <c r="AH207" s="44">
        <v>999</v>
      </c>
    </row>
    <row r="208" spans="1:34" x14ac:dyDescent="0.35">
      <c r="A208" s="19">
        <f t="shared" si="8"/>
        <v>19</v>
      </c>
      <c r="B208" s="52" t="s">
        <v>255</v>
      </c>
      <c r="C208" s="52" t="s">
        <v>256</v>
      </c>
      <c r="D208" s="67">
        <v>7</v>
      </c>
      <c r="E208" s="67" t="s">
        <v>222</v>
      </c>
      <c r="F208" s="42" t="s">
        <v>239</v>
      </c>
      <c r="G208" s="43" t="s">
        <v>250</v>
      </c>
      <c r="H208" s="43">
        <v>0</v>
      </c>
      <c r="I208" s="43">
        <v>0</v>
      </c>
      <c r="J208" s="43">
        <v>0</v>
      </c>
      <c r="K208" s="43">
        <v>0</v>
      </c>
      <c r="L208" s="43">
        <v>0</v>
      </c>
      <c r="M208" s="43">
        <v>0</v>
      </c>
      <c r="N208" s="43">
        <v>0</v>
      </c>
      <c r="O208" s="43">
        <v>0</v>
      </c>
      <c r="P208" s="43">
        <v>0</v>
      </c>
      <c r="Q208" s="43">
        <v>0</v>
      </c>
      <c r="R208" s="43">
        <v>0</v>
      </c>
      <c r="S208" s="43">
        <v>0</v>
      </c>
      <c r="T208" s="43">
        <v>0</v>
      </c>
      <c r="U208" s="43">
        <v>0</v>
      </c>
      <c r="V208" s="43">
        <v>0</v>
      </c>
      <c r="W208" s="43">
        <v>0</v>
      </c>
      <c r="X208" s="43">
        <v>0</v>
      </c>
      <c r="Y208" s="43">
        <v>0</v>
      </c>
      <c r="Z208" s="43">
        <v>0</v>
      </c>
      <c r="AA208" s="43">
        <v>0</v>
      </c>
      <c r="AB208" s="43">
        <v>0</v>
      </c>
      <c r="AC208" s="43">
        <v>0</v>
      </c>
      <c r="AD208" s="43">
        <v>0</v>
      </c>
      <c r="AE208" s="43">
        <v>0</v>
      </c>
      <c r="AF208" s="43">
        <v>0</v>
      </c>
      <c r="AG208" s="43">
        <v>0</v>
      </c>
      <c r="AH208" s="44">
        <v>0</v>
      </c>
    </row>
    <row r="209" spans="1:34" x14ac:dyDescent="0.35">
      <c r="A209" s="19">
        <f t="shared" si="8"/>
        <v>19</v>
      </c>
      <c r="B209" s="52" t="s">
        <v>255</v>
      </c>
      <c r="C209" s="52" t="s">
        <v>256</v>
      </c>
      <c r="D209" s="67">
        <v>8</v>
      </c>
      <c r="E209" s="67" t="s">
        <v>223</v>
      </c>
      <c r="F209" s="42"/>
      <c r="G209" s="43" t="s">
        <v>238</v>
      </c>
      <c r="H209" s="43">
        <v>0</v>
      </c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4"/>
    </row>
    <row r="210" spans="1:34" x14ac:dyDescent="0.35">
      <c r="A210" s="19">
        <f t="shared" si="8"/>
        <v>19</v>
      </c>
      <c r="B210" s="52" t="s">
        <v>255</v>
      </c>
      <c r="C210" s="52" t="s">
        <v>256</v>
      </c>
      <c r="D210" s="67">
        <v>9</v>
      </c>
      <c r="E210" s="67" t="s">
        <v>224</v>
      </c>
      <c r="F210" s="42" t="s">
        <v>242</v>
      </c>
      <c r="G210" s="43" t="s">
        <v>233</v>
      </c>
      <c r="H210" s="43">
        <v>0</v>
      </c>
      <c r="I210" s="43">
        <v>1</v>
      </c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4"/>
    </row>
    <row r="211" spans="1:34" ht="15" thickBot="1" x14ac:dyDescent="0.4">
      <c r="A211" s="20">
        <f t="shared" si="8"/>
        <v>19</v>
      </c>
      <c r="B211" s="69" t="s">
        <v>255</v>
      </c>
      <c r="C211" s="69" t="s">
        <v>256</v>
      </c>
      <c r="D211" s="68">
        <v>10</v>
      </c>
      <c r="E211" s="68" t="s">
        <v>225</v>
      </c>
      <c r="F211" s="45" t="s">
        <v>242</v>
      </c>
      <c r="G211" s="46" t="s">
        <v>233</v>
      </c>
      <c r="H211" s="46">
        <v>0</v>
      </c>
      <c r="I211" s="46">
        <v>1</v>
      </c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7"/>
    </row>
    <row r="212" spans="1:34" x14ac:dyDescent="0.35">
      <c r="A212" s="18">
        <f>+A202+1</f>
        <v>20</v>
      </c>
      <c r="B212" s="82" t="s">
        <v>292</v>
      </c>
      <c r="C212" s="82" t="s">
        <v>288</v>
      </c>
      <c r="D212" s="83">
        <v>1</v>
      </c>
      <c r="E212" s="83" t="s">
        <v>216</v>
      </c>
      <c r="F212" s="84" t="s">
        <v>240</v>
      </c>
      <c r="G212" s="82" t="s">
        <v>233</v>
      </c>
      <c r="H212" s="82">
        <v>0</v>
      </c>
      <c r="I212" s="82">
        <v>1</v>
      </c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  <c r="AA212" s="82"/>
      <c r="AB212" s="82"/>
      <c r="AC212" s="82"/>
      <c r="AD212" s="82"/>
      <c r="AE212" s="82"/>
      <c r="AF212" s="82"/>
      <c r="AG212" s="82"/>
      <c r="AH212" s="85"/>
    </row>
    <row r="213" spans="1:34" x14ac:dyDescent="0.35">
      <c r="A213" s="19">
        <f t="shared" ref="A213:A241" si="9">+A203+1</f>
        <v>20</v>
      </c>
      <c r="B213" s="86" t="s">
        <v>292</v>
      </c>
      <c r="C213" s="86" t="s">
        <v>288</v>
      </c>
      <c r="D213" s="87">
        <v>2</v>
      </c>
      <c r="E213" s="87" t="s">
        <v>217</v>
      </c>
      <c r="F213" s="88" t="s">
        <v>240</v>
      </c>
      <c r="G213" s="86" t="s">
        <v>233</v>
      </c>
      <c r="H213" s="86">
        <v>0</v>
      </c>
      <c r="I213" s="86">
        <v>1</v>
      </c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9"/>
    </row>
    <row r="214" spans="1:34" x14ac:dyDescent="0.35">
      <c r="A214" s="19">
        <f t="shared" si="9"/>
        <v>20</v>
      </c>
      <c r="B214" s="86" t="s">
        <v>292</v>
      </c>
      <c r="C214" s="86" t="s">
        <v>288</v>
      </c>
      <c r="D214" s="87">
        <v>3</v>
      </c>
      <c r="E214" s="87" t="s">
        <v>218</v>
      </c>
      <c r="F214" s="88" t="s">
        <v>240</v>
      </c>
      <c r="G214" s="86" t="s">
        <v>233</v>
      </c>
      <c r="H214" s="86">
        <v>0</v>
      </c>
      <c r="I214" s="86">
        <v>1</v>
      </c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9"/>
    </row>
    <row r="215" spans="1:34" x14ac:dyDescent="0.35">
      <c r="A215" s="19">
        <f t="shared" si="9"/>
        <v>20</v>
      </c>
      <c r="B215" s="86" t="s">
        <v>292</v>
      </c>
      <c r="C215" s="86" t="s">
        <v>288</v>
      </c>
      <c r="D215" s="87">
        <v>4</v>
      </c>
      <c r="E215" s="87" t="s">
        <v>219</v>
      </c>
      <c r="F215" s="88" t="s">
        <v>239</v>
      </c>
      <c r="G215" s="86" t="s">
        <v>250</v>
      </c>
      <c r="H215" s="86">
        <v>0</v>
      </c>
      <c r="I215" s="86">
        <v>0</v>
      </c>
      <c r="J215" s="86">
        <v>0</v>
      </c>
      <c r="K215" s="86">
        <v>0</v>
      </c>
      <c r="L215" s="86">
        <v>0</v>
      </c>
      <c r="M215" s="86">
        <v>0</v>
      </c>
      <c r="N215" s="86">
        <v>0</v>
      </c>
      <c r="O215" s="86">
        <v>0</v>
      </c>
      <c r="P215" s="86">
        <v>0</v>
      </c>
      <c r="Q215" s="86">
        <v>0</v>
      </c>
      <c r="R215" s="86">
        <v>0</v>
      </c>
      <c r="S215" s="86">
        <v>0</v>
      </c>
      <c r="T215" s="86">
        <v>0</v>
      </c>
      <c r="U215" s="86">
        <v>0</v>
      </c>
      <c r="V215" s="86">
        <v>0</v>
      </c>
      <c r="W215" s="86">
        <v>0</v>
      </c>
      <c r="X215" s="86">
        <v>0</v>
      </c>
      <c r="Y215" s="86">
        <v>0</v>
      </c>
      <c r="Z215" s="86">
        <v>0</v>
      </c>
      <c r="AA215" s="86">
        <v>0</v>
      </c>
      <c r="AB215" s="86">
        <v>0</v>
      </c>
      <c r="AC215" s="86">
        <v>0</v>
      </c>
      <c r="AD215" s="86">
        <v>0</v>
      </c>
      <c r="AE215" s="86">
        <v>0</v>
      </c>
      <c r="AF215" s="86">
        <v>0</v>
      </c>
      <c r="AG215" s="86">
        <v>0</v>
      </c>
      <c r="AH215" s="89">
        <v>0</v>
      </c>
    </row>
    <row r="216" spans="1:34" x14ac:dyDescent="0.35">
      <c r="A216" s="19">
        <f t="shared" si="9"/>
        <v>20</v>
      </c>
      <c r="B216" s="86" t="s">
        <v>292</v>
      </c>
      <c r="C216" s="86" t="s">
        <v>288</v>
      </c>
      <c r="D216" s="87">
        <v>5</v>
      </c>
      <c r="E216" s="87" t="s">
        <v>220</v>
      </c>
      <c r="F216" s="88"/>
      <c r="G216" s="86" t="s">
        <v>238</v>
      </c>
      <c r="H216" s="86">
        <v>0</v>
      </c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9"/>
    </row>
    <row r="217" spans="1:34" x14ac:dyDescent="0.35">
      <c r="A217" s="19">
        <f t="shared" si="9"/>
        <v>20</v>
      </c>
      <c r="B217" s="86" t="s">
        <v>292</v>
      </c>
      <c r="C217" s="86" t="s">
        <v>288</v>
      </c>
      <c r="D217" s="87">
        <v>6</v>
      </c>
      <c r="E217" s="87" t="s">
        <v>221</v>
      </c>
      <c r="F217" s="88" t="s">
        <v>239</v>
      </c>
      <c r="G217" s="86" t="s">
        <v>250</v>
      </c>
      <c r="H217" s="86">
        <v>0</v>
      </c>
      <c r="I217" s="86">
        <v>999</v>
      </c>
      <c r="J217" s="86">
        <v>999</v>
      </c>
      <c r="K217" s="86">
        <v>999</v>
      </c>
      <c r="L217" s="86">
        <v>999</v>
      </c>
      <c r="M217" s="86">
        <v>999</v>
      </c>
      <c r="N217" s="86">
        <v>999</v>
      </c>
      <c r="O217" s="86">
        <v>999</v>
      </c>
      <c r="P217" s="86">
        <v>999</v>
      </c>
      <c r="Q217" s="86">
        <v>999</v>
      </c>
      <c r="R217" s="86">
        <v>999</v>
      </c>
      <c r="S217" s="86">
        <v>999</v>
      </c>
      <c r="T217" s="86">
        <v>999</v>
      </c>
      <c r="U217" s="86">
        <v>999</v>
      </c>
      <c r="V217" s="86">
        <v>999</v>
      </c>
      <c r="W217" s="86">
        <v>999</v>
      </c>
      <c r="X217" s="86">
        <v>999</v>
      </c>
      <c r="Y217" s="86">
        <v>999</v>
      </c>
      <c r="Z217" s="86">
        <v>999</v>
      </c>
      <c r="AA217" s="86">
        <v>999</v>
      </c>
      <c r="AB217" s="86">
        <v>999</v>
      </c>
      <c r="AC217" s="86">
        <v>999</v>
      </c>
      <c r="AD217" s="86">
        <v>999</v>
      </c>
      <c r="AE217" s="86">
        <v>999</v>
      </c>
      <c r="AF217" s="86">
        <v>999</v>
      </c>
      <c r="AG217" s="86">
        <v>999</v>
      </c>
      <c r="AH217" s="89">
        <v>999</v>
      </c>
    </row>
    <row r="218" spans="1:34" x14ac:dyDescent="0.35">
      <c r="A218" s="19">
        <f t="shared" si="9"/>
        <v>20</v>
      </c>
      <c r="B218" s="86" t="s">
        <v>292</v>
      </c>
      <c r="C218" s="86" t="s">
        <v>288</v>
      </c>
      <c r="D218" s="87">
        <v>7</v>
      </c>
      <c r="E218" s="87" t="s">
        <v>222</v>
      </c>
      <c r="F218" s="88" t="s">
        <v>239</v>
      </c>
      <c r="G218" s="86" t="s">
        <v>250</v>
      </c>
      <c r="H218" s="86">
        <v>0</v>
      </c>
      <c r="I218" s="86">
        <v>0</v>
      </c>
      <c r="J218" s="86">
        <v>0</v>
      </c>
      <c r="K218" s="86">
        <v>0</v>
      </c>
      <c r="L218" s="86">
        <v>0</v>
      </c>
      <c r="M218" s="86">
        <v>0</v>
      </c>
      <c r="N218" s="86">
        <v>0</v>
      </c>
      <c r="O218" s="86">
        <v>0</v>
      </c>
      <c r="P218" s="86">
        <v>0</v>
      </c>
      <c r="Q218" s="86">
        <v>0</v>
      </c>
      <c r="R218" s="86">
        <v>0</v>
      </c>
      <c r="S218" s="86">
        <v>0</v>
      </c>
      <c r="T218" s="86">
        <v>0</v>
      </c>
      <c r="U218" s="86">
        <v>0</v>
      </c>
      <c r="V218" s="86">
        <v>0</v>
      </c>
      <c r="W218" s="86">
        <v>0</v>
      </c>
      <c r="X218" s="86">
        <v>0</v>
      </c>
      <c r="Y218" s="86">
        <v>0</v>
      </c>
      <c r="Z218" s="86">
        <v>0</v>
      </c>
      <c r="AA218" s="86">
        <v>0</v>
      </c>
      <c r="AB218" s="86">
        <v>0</v>
      </c>
      <c r="AC218" s="86">
        <v>0</v>
      </c>
      <c r="AD218" s="86">
        <v>0</v>
      </c>
      <c r="AE218" s="86">
        <v>0</v>
      </c>
      <c r="AF218" s="86">
        <v>0</v>
      </c>
      <c r="AG218" s="86">
        <v>0</v>
      </c>
      <c r="AH218" s="89">
        <v>0</v>
      </c>
    </row>
    <row r="219" spans="1:34" x14ac:dyDescent="0.35">
      <c r="A219" s="19">
        <f t="shared" si="9"/>
        <v>20</v>
      </c>
      <c r="B219" s="86" t="s">
        <v>292</v>
      </c>
      <c r="C219" s="86" t="s">
        <v>288</v>
      </c>
      <c r="D219" s="87">
        <v>8</v>
      </c>
      <c r="E219" s="87" t="s">
        <v>223</v>
      </c>
      <c r="F219" s="88"/>
      <c r="G219" s="86" t="s">
        <v>238</v>
      </c>
      <c r="H219" s="86">
        <v>0</v>
      </c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9"/>
    </row>
    <row r="220" spans="1:34" x14ac:dyDescent="0.35">
      <c r="A220" s="19">
        <f t="shared" si="9"/>
        <v>20</v>
      </c>
      <c r="B220" s="86" t="s">
        <v>292</v>
      </c>
      <c r="C220" s="86" t="s">
        <v>288</v>
      </c>
      <c r="D220" s="87">
        <v>9</v>
      </c>
      <c r="E220" s="87" t="s">
        <v>224</v>
      </c>
      <c r="F220" s="88" t="s">
        <v>242</v>
      </c>
      <c r="G220" s="86" t="s">
        <v>233</v>
      </c>
      <c r="H220" s="86">
        <v>0</v>
      </c>
      <c r="I220" s="86">
        <v>1</v>
      </c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9"/>
    </row>
    <row r="221" spans="1:34" ht="15" thickBot="1" x14ac:dyDescent="0.4">
      <c r="A221" s="20">
        <f t="shared" si="9"/>
        <v>20</v>
      </c>
      <c r="B221" s="90" t="s">
        <v>292</v>
      </c>
      <c r="C221" s="90" t="s">
        <v>288</v>
      </c>
      <c r="D221" s="91">
        <v>10</v>
      </c>
      <c r="E221" s="91" t="s">
        <v>225</v>
      </c>
      <c r="F221" s="92" t="s">
        <v>242</v>
      </c>
      <c r="G221" s="90" t="s">
        <v>233</v>
      </c>
      <c r="H221" s="90">
        <v>0</v>
      </c>
      <c r="I221" s="90">
        <v>1</v>
      </c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  <c r="AA221" s="90"/>
      <c r="AB221" s="90"/>
      <c r="AC221" s="90"/>
      <c r="AD221" s="90"/>
      <c r="AE221" s="90"/>
      <c r="AF221" s="90"/>
      <c r="AG221" s="90"/>
      <c r="AH221" s="93"/>
    </row>
    <row r="222" spans="1:34" x14ac:dyDescent="0.35">
      <c r="A222" s="18">
        <f>+A212+1</f>
        <v>21</v>
      </c>
      <c r="B222" s="82" t="s">
        <v>293</v>
      </c>
      <c r="C222" s="94" t="s">
        <v>289</v>
      </c>
      <c r="D222" s="83">
        <v>1</v>
      </c>
      <c r="E222" s="83" t="s">
        <v>216</v>
      </c>
      <c r="F222" s="84" t="s">
        <v>240</v>
      </c>
      <c r="G222" s="82" t="s">
        <v>233</v>
      </c>
      <c r="H222" s="82">
        <v>0</v>
      </c>
      <c r="I222" s="82">
        <v>1</v>
      </c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  <c r="AA222" s="82"/>
      <c r="AB222" s="82"/>
      <c r="AC222" s="82"/>
      <c r="AD222" s="82"/>
      <c r="AE222" s="82"/>
      <c r="AF222" s="82"/>
      <c r="AG222" s="82"/>
      <c r="AH222" s="85"/>
    </row>
    <row r="223" spans="1:34" x14ac:dyDescent="0.35">
      <c r="A223" s="19">
        <f t="shared" si="9"/>
        <v>21</v>
      </c>
      <c r="B223" s="86" t="s">
        <v>293</v>
      </c>
      <c r="C223" s="86" t="s">
        <v>289</v>
      </c>
      <c r="D223" s="87">
        <v>2</v>
      </c>
      <c r="E223" s="87" t="s">
        <v>217</v>
      </c>
      <c r="F223" s="88" t="s">
        <v>240</v>
      </c>
      <c r="G223" s="86" t="s">
        <v>233</v>
      </c>
      <c r="H223" s="86">
        <v>0</v>
      </c>
      <c r="I223" s="86">
        <v>1</v>
      </c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9"/>
    </row>
    <row r="224" spans="1:34" x14ac:dyDescent="0.35">
      <c r="A224" s="19">
        <f t="shared" si="9"/>
        <v>21</v>
      </c>
      <c r="B224" s="86" t="s">
        <v>293</v>
      </c>
      <c r="C224" s="86" t="s">
        <v>289</v>
      </c>
      <c r="D224" s="87">
        <v>3</v>
      </c>
      <c r="E224" s="87" t="s">
        <v>218</v>
      </c>
      <c r="F224" s="88" t="s">
        <v>240</v>
      </c>
      <c r="G224" s="86" t="s">
        <v>233</v>
      </c>
      <c r="H224" s="86">
        <v>0</v>
      </c>
      <c r="I224" s="86">
        <v>1</v>
      </c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9"/>
    </row>
    <row r="225" spans="1:34" x14ac:dyDescent="0.35">
      <c r="A225" s="19">
        <f t="shared" si="9"/>
        <v>21</v>
      </c>
      <c r="B225" s="86" t="s">
        <v>293</v>
      </c>
      <c r="C225" s="86" t="s">
        <v>289</v>
      </c>
      <c r="D225" s="87">
        <v>4</v>
      </c>
      <c r="E225" s="87" t="s">
        <v>219</v>
      </c>
      <c r="F225" s="88" t="s">
        <v>239</v>
      </c>
      <c r="G225" s="86" t="s">
        <v>250</v>
      </c>
      <c r="H225" s="86">
        <v>0</v>
      </c>
      <c r="I225" s="86">
        <v>0</v>
      </c>
      <c r="J225" s="86">
        <v>0</v>
      </c>
      <c r="K225" s="86">
        <v>0</v>
      </c>
      <c r="L225" s="86">
        <v>0</v>
      </c>
      <c r="M225" s="86">
        <v>0</v>
      </c>
      <c r="N225" s="86">
        <v>0</v>
      </c>
      <c r="O225" s="86">
        <v>0</v>
      </c>
      <c r="P225" s="86">
        <v>0</v>
      </c>
      <c r="Q225" s="86">
        <v>0</v>
      </c>
      <c r="R225" s="86">
        <v>0</v>
      </c>
      <c r="S225" s="86">
        <v>0</v>
      </c>
      <c r="T225" s="86">
        <v>0</v>
      </c>
      <c r="U225" s="86">
        <v>0</v>
      </c>
      <c r="V225" s="86">
        <v>0</v>
      </c>
      <c r="W225" s="86">
        <v>0</v>
      </c>
      <c r="X225" s="86">
        <v>0</v>
      </c>
      <c r="Y225" s="86">
        <v>0</v>
      </c>
      <c r="Z225" s="86">
        <v>0</v>
      </c>
      <c r="AA225" s="86">
        <v>0</v>
      </c>
      <c r="AB225" s="86">
        <v>0</v>
      </c>
      <c r="AC225" s="86">
        <v>0</v>
      </c>
      <c r="AD225" s="86">
        <v>0</v>
      </c>
      <c r="AE225" s="86">
        <v>0</v>
      </c>
      <c r="AF225" s="86">
        <v>0</v>
      </c>
      <c r="AG225" s="86">
        <v>0</v>
      </c>
      <c r="AH225" s="89">
        <v>0</v>
      </c>
    </row>
    <row r="226" spans="1:34" x14ac:dyDescent="0.35">
      <c r="A226" s="19">
        <f t="shared" si="9"/>
        <v>21</v>
      </c>
      <c r="B226" s="86" t="s">
        <v>293</v>
      </c>
      <c r="C226" s="86" t="s">
        <v>289</v>
      </c>
      <c r="D226" s="87">
        <v>5</v>
      </c>
      <c r="E226" s="87" t="s">
        <v>220</v>
      </c>
      <c r="F226" s="88"/>
      <c r="G226" s="86" t="s">
        <v>238</v>
      </c>
      <c r="H226" s="86">
        <v>0</v>
      </c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9"/>
    </row>
    <row r="227" spans="1:34" x14ac:dyDescent="0.35">
      <c r="A227" s="19">
        <f t="shared" si="9"/>
        <v>21</v>
      </c>
      <c r="B227" s="86" t="s">
        <v>293</v>
      </c>
      <c r="C227" s="86" t="s">
        <v>289</v>
      </c>
      <c r="D227" s="87">
        <v>6</v>
      </c>
      <c r="E227" s="87" t="s">
        <v>221</v>
      </c>
      <c r="F227" s="88" t="s">
        <v>239</v>
      </c>
      <c r="G227" s="86" t="s">
        <v>250</v>
      </c>
      <c r="H227" s="86">
        <v>0</v>
      </c>
      <c r="I227" s="86">
        <v>999</v>
      </c>
      <c r="J227" s="86">
        <v>999</v>
      </c>
      <c r="K227" s="86">
        <v>999</v>
      </c>
      <c r="L227" s="86">
        <v>999</v>
      </c>
      <c r="M227" s="86">
        <v>999</v>
      </c>
      <c r="N227" s="86">
        <v>999</v>
      </c>
      <c r="O227" s="86">
        <v>999</v>
      </c>
      <c r="P227" s="86">
        <v>999</v>
      </c>
      <c r="Q227" s="86">
        <v>999</v>
      </c>
      <c r="R227" s="86">
        <v>999</v>
      </c>
      <c r="S227" s="86">
        <v>999</v>
      </c>
      <c r="T227" s="86">
        <v>999</v>
      </c>
      <c r="U227" s="86">
        <v>999</v>
      </c>
      <c r="V227" s="86">
        <v>999</v>
      </c>
      <c r="W227" s="86">
        <v>999</v>
      </c>
      <c r="X227" s="86">
        <v>999</v>
      </c>
      <c r="Y227" s="86">
        <v>999</v>
      </c>
      <c r="Z227" s="86">
        <v>999</v>
      </c>
      <c r="AA227" s="86">
        <v>999</v>
      </c>
      <c r="AB227" s="86">
        <v>999</v>
      </c>
      <c r="AC227" s="86">
        <v>999</v>
      </c>
      <c r="AD227" s="86">
        <v>999</v>
      </c>
      <c r="AE227" s="86">
        <v>999</v>
      </c>
      <c r="AF227" s="86">
        <v>999</v>
      </c>
      <c r="AG227" s="86">
        <v>999</v>
      </c>
      <c r="AH227" s="89">
        <v>999</v>
      </c>
    </row>
    <row r="228" spans="1:34" x14ac:dyDescent="0.35">
      <c r="A228" s="19">
        <f t="shared" si="9"/>
        <v>21</v>
      </c>
      <c r="B228" s="86" t="s">
        <v>293</v>
      </c>
      <c r="C228" s="86" t="s">
        <v>289</v>
      </c>
      <c r="D228" s="87">
        <v>7</v>
      </c>
      <c r="E228" s="87" t="s">
        <v>222</v>
      </c>
      <c r="F228" s="88" t="s">
        <v>239</v>
      </c>
      <c r="G228" s="86" t="s">
        <v>250</v>
      </c>
      <c r="H228" s="86">
        <v>0</v>
      </c>
      <c r="I228" s="86">
        <v>0</v>
      </c>
      <c r="J228" s="86">
        <v>0</v>
      </c>
      <c r="K228" s="86">
        <v>0</v>
      </c>
      <c r="L228" s="86">
        <v>0</v>
      </c>
      <c r="M228" s="86">
        <v>0</v>
      </c>
      <c r="N228" s="86">
        <v>0</v>
      </c>
      <c r="O228" s="86">
        <v>0</v>
      </c>
      <c r="P228" s="86">
        <v>0</v>
      </c>
      <c r="Q228" s="86">
        <v>0</v>
      </c>
      <c r="R228" s="86">
        <v>0</v>
      </c>
      <c r="S228" s="86">
        <v>0</v>
      </c>
      <c r="T228" s="86">
        <v>0</v>
      </c>
      <c r="U228" s="86">
        <v>0</v>
      </c>
      <c r="V228" s="86">
        <v>0</v>
      </c>
      <c r="W228" s="86">
        <v>0</v>
      </c>
      <c r="X228" s="86">
        <v>0</v>
      </c>
      <c r="Y228" s="86">
        <v>0</v>
      </c>
      <c r="Z228" s="86">
        <v>0</v>
      </c>
      <c r="AA228" s="86">
        <v>0</v>
      </c>
      <c r="AB228" s="86">
        <v>0</v>
      </c>
      <c r="AC228" s="86">
        <v>0</v>
      </c>
      <c r="AD228" s="86">
        <v>0</v>
      </c>
      <c r="AE228" s="86">
        <v>0</v>
      </c>
      <c r="AF228" s="86">
        <v>0</v>
      </c>
      <c r="AG228" s="86">
        <v>0</v>
      </c>
      <c r="AH228" s="89">
        <v>0</v>
      </c>
    </row>
    <row r="229" spans="1:34" x14ac:dyDescent="0.35">
      <c r="A229" s="19">
        <f t="shared" si="9"/>
        <v>21</v>
      </c>
      <c r="B229" s="86" t="s">
        <v>293</v>
      </c>
      <c r="C229" s="86" t="s">
        <v>289</v>
      </c>
      <c r="D229" s="87">
        <v>8</v>
      </c>
      <c r="E229" s="87" t="s">
        <v>223</v>
      </c>
      <c r="F229" s="88"/>
      <c r="G229" s="86" t="s">
        <v>238</v>
      </c>
      <c r="H229" s="86">
        <v>0</v>
      </c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9"/>
    </row>
    <row r="230" spans="1:34" x14ac:dyDescent="0.35">
      <c r="A230" s="19">
        <f t="shared" si="9"/>
        <v>21</v>
      </c>
      <c r="B230" s="86" t="s">
        <v>293</v>
      </c>
      <c r="C230" s="86" t="s">
        <v>289</v>
      </c>
      <c r="D230" s="87">
        <v>9</v>
      </c>
      <c r="E230" s="87" t="s">
        <v>224</v>
      </c>
      <c r="F230" s="88" t="s">
        <v>242</v>
      </c>
      <c r="G230" s="86" t="s">
        <v>233</v>
      </c>
      <c r="H230" s="86">
        <v>0</v>
      </c>
      <c r="I230" s="86">
        <v>1</v>
      </c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9"/>
    </row>
    <row r="231" spans="1:34" ht="15" thickBot="1" x14ac:dyDescent="0.4">
      <c r="A231" s="20">
        <f t="shared" si="9"/>
        <v>21</v>
      </c>
      <c r="B231" s="90" t="s">
        <v>293</v>
      </c>
      <c r="C231" s="90" t="s">
        <v>289</v>
      </c>
      <c r="D231" s="91">
        <v>10</v>
      </c>
      <c r="E231" s="91" t="s">
        <v>225</v>
      </c>
      <c r="F231" s="92" t="s">
        <v>242</v>
      </c>
      <c r="G231" s="90" t="s">
        <v>233</v>
      </c>
      <c r="H231" s="90">
        <v>0</v>
      </c>
      <c r="I231" s="90">
        <v>1</v>
      </c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3"/>
    </row>
    <row r="232" spans="1:34" x14ac:dyDescent="0.35">
      <c r="A232" s="18">
        <f>+A222+1</f>
        <v>22</v>
      </c>
      <c r="B232" s="82" t="s">
        <v>294</v>
      </c>
      <c r="C232" s="82" t="s">
        <v>290</v>
      </c>
      <c r="D232" s="83">
        <v>1</v>
      </c>
      <c r="E232" s="83" t="s">
        <v>216</v>
      </c>
      <c r="F232" s="84" t="s">
        <v>240</v>
      </c>
      <c r="G232" s="82" t="s">
        <v>233</v>
      </c>
      <c r="H232" s="82">
        <v>0</v>
      </c>
      <c r="I232" s="82">
        <v>1</v>
      </c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  <c r="AH232" s="85"/>
    </row>
    <row r="233" spans="1:34" x14ac:dyDescent="0.35">
      <c r="A233" s="19">
        <f t="shared" si="9"/>
        <v>22</v>
      </c>
      <c r="B233" s="86" t="s">
        <v>294</v>
      </c>
      <c r="C233" s="86" t="s">
        <v>290</v>
      </c>
      <c r="D233" s="87">
        <v>2</v>
      </c>
      <c r="E233" s="87" t="s">
        <v>217</v>
      </c>
      <c r="F233" s="88" t="s">
        <v>240</v>
      </c>
      <c r="G233" s="86" t="s">
        <v>233</v>
      </c>
      <c r="H233" s="86">
        <v>0</v>
      </c>
      <c r="I233" s="86">
        <v>1</v>
      </c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9"/>
    </row>
    <row r="234" spans="1:34" x14ac:dyDescent="0.35">
      <c r="A234" s="19">
        <f t="shared" si="9"/>
        <v>22</v>
      </c>
      <c r="B234" s="86" t="s">
        <v>294</v>
      </c>
      <c r="C234" s="86" t="s">
        <v>290</v>
      </c>
      <c r="D234" s="87">
        <v>3</v>
      </c>
      <c r="E234" s="87" t="s">
        <v>218</v>
      </c>
      <c r="F234" s="88" t="s">
        <v>240</v>
      </c>
      <c r="G234" s="86" t="s">
        <v>233</v>
      </c>
      <c r="H234" s="86">
        <v>0</v>
      </c>
      <c r="I234" s="86">
        <v>1</v>
      </c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9"/>
    </row>
    <row r="235" spans="1:34" x14ac:dyDescent="0.35">
      <c r="A235" s="19">
        <f t="shared" si="9"/>
        <v>22</v>
      </c>
      <c r="B235" s="86" t="s">
        <v>294</v>
      </c>
      <c r="C235" s="86" t="s">
        <v>290</v>
      </c>
      <c r="D235" s="87">
        <v>4</v>
      </c>
      <c r="E235" s="87" t="s">
        <v>219</v>
      </c>
      <c r="F235" s="88" t="s">
        <v>239</v>
      </c>
      <c r="G235" s="86" t="s">
        <v>250</v>
      </c>
      <c r="H235" s="86">
        <v>0</v>
      </c>
      <c r="I235" s="86">
        <v>0</v>
      </c>
      <c r="J235" s="86">
        <v>0</v>
      </c>
      <c r="K235" s="86">
        <v>0</v>
      </c>
      <c r="L235" s="86">
        <v>0</v>
      </c>
      <c r="M235" s="86">
        <v>0</v>
      </c>
      <c r="N235" s="86">
        <v>0</v>
      </c>
      <c r="O235" s="86">
        <v>0</v>
      </c>
      <c r="P235" s="86">
        <v>0</v>
      </c>
      <c r="Q235" s="86">
        <v>0</v>
      </c>
      <c r="R235" s="86">
        <v>0</v>
      </c>
      <c r="S235" s="86">
        <v>0</v>
      </c>
      <c r="T235" s="86">
        <v>0</v>
      </c>
      <c r="U235" s="86">
        <v>0</v>
      </c>
      <c r="V235" s="86">
        <v>0</v>
      </c>
      <c r="W235" s="86">
        <v>0</v>
      </c>
      <c r="X235" s="86">
        <v>0</v>
      </c>
      <c r="Y235" s="86">
        <v>0</v>
      </c>
      <c r="Z235" s="86">
        <v>0</v>
      </c>
      <c r="AA235" s="86">
        <v>0</v>
      </c>
      <c r="AB235" s="86">
        <v>0</v>
      </c>
      <c r="AC235" s="86">
        <v>0</v>
      </c>
      <c r="AD235" s="86">
        <v>0</v>
      </c>
      <c r="AE235" s="86">
        <v>0</v>
      </c>
      <c r="AF235" s="86">
        <v>0</v>
      </c>
      <c r="AG235" s="86">
        <v>0</v>
      </c>
      <c r="AH235" s="89">
        <v>0</v>
      </c>
    </row>
    <row r="236" spans="1:34" x14ac:dyDescent="0.35">
      <c r="A236" s="19">
        <f t="shared" si="9"/>
        <v>22</v>
      </c>
      <c r="B236" s="86" t="s">
        <v>294</v>
      </c>
      <c r="C236" s="86" t="s">
        <v>290</v>
      </c>
      <c r="D236" s="87">
        <v>5</v>
      </c>
      <c r="E236" s="87" t="s">
        <v>220</v>
      </c>
      <c r="F236" s="88"/>
      <c r="G236" s="86" t="s">
        <v>238</v>
      </c>
      <c r="H236" s="86">
        <v>0</v>
      </c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9"/>
    </row>
    <row r="237" spans="1:34" x14ac:dyDescent="0.35">
      <c r="A237" s="19">
        <f t="shared" si="9"/>
        <v>22</v>
      </c>
      <c r="B237" s="86" t="s">
        <v>294</v>
      </c>
      <c r="C237" s="86" t="s">
        <v>290</v>
      </c>
      <c r="D237" s="87">
        <v>6</v>
      </c>
      <c r="E237" s="87" t="s">
        <v>221</v>
      </c>
      <c r="F237" s="88" t="s">
        <v>239</v>
      </c>
      <c r="G237" s="86" t="s">
        <v>250</v>
      </c>
      <c r="H237" s="86">
        <v>0</v>
      </c>
      <c r="I237" s="86">
        <v>999</v>
      </c>
      <c r="J237" s="86">
        <v>999</v>
      </c>
      <c r="K237" s="86">
        <v>999</v>
      </c>
      <c r="L237" s="86">
        <v>999</v>
      </c>
      <c r="M237" s="86">
        <v>999</v>
      </c>
      <c r="N237" s="86">
        <v>999</v>
      </c>
      <c r="O237" s="86">
        <v>999</v>
      </c>
      <c r="P237" s="86">
        <v>999</v>
      </c>
      <c r="Q237" s="86">
        <v>999</v>
      </c>
      <c r="R237" s="86">
        <v>999</v>
      </c>
      <c r="S237" s="86">
        <v>999</v>
      </c>
      <c r="T237" s="86">
        <v>999</v>
      </c>
      <c r="U237" s="86">
        <v>999</v>
      </c>
      <c r="V237" s="86">
        <v>999</v>
      </c>
      <c r="W237" s="86">
        <v>999</v>
      </c>
      <c r="X237" s="86">
        <v>999</v>
      </c>
      <c r="Y237" s="86">
        <v>999</v>
      </c>
      <c r="Z237" s="86">
        <v>999</v>
      </c>
      <c r="AA237" s="86">
        <v>999</v>
      </c>
      <c r="AB237" s="86">
        <v>999</v>
      </c>
      <c r="AC237" s="86">
        <v>999</v>
      </c>
      <c r="AD237" s="86">
        <v>999</v>
      </c>
      <c r="AE237" s="86">
        <v>999</v>
      </c>
      <c r="AF237" s="86">
        <v>999</v>
      </c>
      <c r="AG237" s="86">
        <v>999</v>
      </c>
      <c r="AH237" s="89">
        <v>999</v>
      </c>
    </row>
    <row r="238" spans="1:34" x14ac:dyDescent="0.35">
      <c r="A238" s="19">
        <f t="shared" si="9"/>
        <v>22</v>
      </c>
      <c r="B238" s="86" t="s">
        <v>294</v>
      </c>
      <c r="C238" s="86" t="s">
        <v>290</v>
      </c>
      <c r="D238" s="87">
        <v>7</v>
      </c>
      <c r="E238" s="87" t="s">
        <v>222</v>
      </c>
      <c r="F238" s="88" t="s">
        <v>239</v>
      </c>
      <c r="G238" s="86" t="s">
        <v>250</v>
      </c>
      <c r="H238" s="86">
        <v>0</v>
      </c>
      <c r="I238" s="86">
        <v>0</v>
      </c>
      <c r="J238" s="86">
        <v>0</v>
      </c>
      <c r="K238" s="86">
        <v>0</v>
      </c>
      <c r="L238" s="86">
        <v>0</v>
      </c>
      <c r="M238" s="86">
        <v>0</v>
      </c>
      <c r="N238" s="86">
        <v>0</v>
      </c>
      <c r="O238" s="86">
        <v>0</v>
      </c>
      <c r="P238" s="86">
        <v>0</v>
      </c>
      <c r="Q238" s="86">
        <v>0</v>
      </c>
      <c r="R238" s="86">
        <v>0</v>
      </c>
      <c r="S238" s="86">
        <v>0</v>
      </c>
      <c r="T238" s="86">
        <v>0</v>
      </c>
      <c r="U238" s="86">
        <v>0</v>
      </c>
      <c r="V238" s="86">
        <v>0</v>
      </c>
      <c r="W238" s="86">
        <v>0</v>
      </c>
      <c r="X238" s="86">
        <v>0</v>
      </c>
      <c r="Y238" s="86">
        <v>0</v>
      </c>
      <c r="Z238" s="86">
        <v>0</v>
      </c>
      <c r="AA238" s="86">
        <v>0</v>
      </c>
      <c r="AB238" s="86">
        <v>0</v>
      </c>
      <c r="AC238" s="86">
        <v>0</v>
      </c>
      <c r="AD238" s="86">
        <v>0</v>
      </c>
      <c r="AE238" s="86">
        <v>0</v>
      </c>
      <c r="AF238" s="86">
        <v>0</v>
      </c>
      <c r="AG238" s="86">
        <v>0</v>
      </c>
      <c r="AH238" s="89">
        <v>0</v>
      </c>
    </row>
    <row r="239" spans="1:34" x14ac:dyDescent="0.35">
      <c r="A239" s="19">
        <f t="shared" si="9"/>
        <v>22</v>
      </c>
      <c r="B239" s="86" t="s">
        <v>294</v>
      </c>
      <c r="C239" s="86" t="s">
        <v>290</v>
      </c>
      <c r="D239" s="87">
        <v>8</v>
      </c>
      <c r="E239" s="87" t="s">
        <v>223</v>
      </c>
      <c r="F239" s="88"/>
      <c r="G239" s="86" t="s">
        <v>238</v>
      </c>
      <c r="H239" s="86">
        <v>0</v>
      </c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9"/>
    </row>
    <row r="240" spans="1:34" x14ac:dyDescent="0.35">
      <c r="A240" s="19">
        <f t="shared" si="9"/>
        <v>22</v>
      </c>
      <c r="B240" s="86" t="s">
        <v>294</v>
      </c>
      <c r="C240" s="86" t="s">
        <v>290</v>
      </c>
      <c r="D240" s="87">
        <v>9</v>
      </c>
      <c r="E240" s="87" t="s">
        <v>224</v>
      </c>
      <c r="F240" s="88" t="s">
        <v>242</v>
      </c>
      <c r="G240" s="86" t="s">
        <v>233</v>
      </c>
      <c r="H240" s="86">
        <v>0</v>
      </c>
      <c r="I240" s="86">
        <v>1</v>
      </c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9"/>
    </row>
    <row r="241" spans="1:34" ht="15" thickBot="1" x14ac:dyDescent="0.4">
      <c r="A241" s="20">
        <f t="shared" si="9"/>
        <v>22</v>
      </c>
      <c r="B241" s="90" t="s">
        <v>294</v>
      </c>
      <c r="C241" s="90" t="s">
        <v>290</v>
      </c>
      <c r="D241" s="91">
        <v>10</v>
      </c>
      <c r="E241" s="91" t="s">
        <v>225</v>
      </c>
      <c r="F241" s="92" t="s">
        <v>242</v>
      </c>
      <c r="G241" s="90" t="s">
        <v>233</v>
      </c>
      <c r="H241" s="90">
        <v>0</v>
      </c>
      <c r="I241" s="90">
        <v>1</v>
      </c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  <c r="AA241" s="90"/>
      <c r="AB241" s="90"/>
      <c r="AC241" s="90"/>
      <c r="AD241" s="90"/>
      <c r="AE241" s="90"/>
      <c r="AF241" s="90"/>
      <c r="AG241" s="90"/>
      <c r="AH241" s="93"/>
    </row>
    <row r="242" spans="1:34" x14ac:dyDescent="0.35">
      <c r="A242" s="18">
        <f t="shared" ref="A242:A251" si="10">+A212+1</f>
        <v>21</v>
      </c>
      <c r="B242" s="82" t="s">
        <v>295</v>
      </c>
      <c r="C242" s="82" t="s">
        <v>291</v>
      </c>
      <c r="D242" s="83">
        <v>1</v>
      </c>
      <c r="E242" s="83" t="s">
        <v>216</v>
      </c>
      <c r="F242" s="84" t="s">
        <v>240</v>
      </c>
      <c r="G242" s="82" t="s">
        <v>233</v>
      </c>
      <c r="H242" s="82">
        <v>0</v>
      </c>
      <c r="I242" s="82">
        <v>1</v>
      </c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  <c r="AA242" s="82"/>
      <c r="AB242" s="82"/>
      <c r="AC242" s="82"/>
      <c r="AD242" s="82"/>
      <c r="AE242" s="82"/>
      <c r="AF242" s="82"/>
      <c r="AG242" s="82"/>
      <c r="AH242" s="85"/>
    </row>
    <row r="243" spans="1:34" x14ac:dyDescent="0.35">
      <c r="A243" s="19">
        <f t="shared" si="10"/>
        <v>21</v>
      </c>
      <c r="B243" s="86" t="s">
        <v>295</v>
      </c>
      <c r="C243" s="86" t="s">
        <v>291</v>
      </c>
      <c r="D243" s="87">
        <v>2</v>
      </c>
      <c r="E243" s="87" t="s">
        <v>217</v>
      </c>
      <c r="F243" s="88" t="s">
        <v>240</v>
      </c>
      <c r="G243" s="86" t="s">
        <v>233</v>
      </c>
      <c r="H243" s="86">
        <v>0</v>
      </c>
      <c r="I243" s="86">
        <v>1</v>
      </c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9"/>
    </row>
    <row r="244" spans="1:34" x14ac:dyDescent="0.35">
      <c r="A244" s="19">
        <f t="shared" si="10"/>
        <v>21</v>
      </c>
      <c r="B244" s="86" t="s">
        <v>295</v>
      </c>
      <c r="C244" s="86" t="s">
        <v>291</v>
      </c>
      <c r="D244" s="87">
        <v>3</v>
      </c>
      <c r="E244" s="87" t="s">
        <v>218</v>
      </c>
      <c r="F244" s="88" t="s">
        <v>240</v>
      </c>
      <c r="G244" s="86" t="s">
        <v>233</v>
      </c>
      <c r="H244" s="86">
        <v>0</v>
      </c>
      <c r="I244" s="86">
        <v>1</v>
      </c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9"/>
    </row>
    <row r="245" spans="1:34" x14ac:dyDescent="0.35">
      <c r="A245" s="19">
        <f t="shared" si="10"/>
        <v>21</v>
      </c>
      <c r="B245" s="86" t="s">
        <v>295</v>
      </c>
      <c r="C245" s="86" t="s">
        <v>291</v>
      </c>
      <c r="D245" s="87">
        <v>4</v>
      </c>
      <c r="E245" s="87" t="s">
        <v>219</v>
      </c>
      <c r="F245" s="88" t="s">
        <v>239</v>
      </c>
      <c r="G245" s="86" t="s">
        <v>250</v>
      </c>
      <c r="H245" s="86">
        <v>0</v>
      </c>
      <c r="I245" s="86">
        <v>0</v>
      </c>
      <c r="J245" s="86">
        <v>0</v>
      </c>
      <c r="K245" s="86">
        <v>0</v>
      </c>
      <c r="L245" s="86">
        <v>0</v>
      </c>
      <c r="M245" s="86">
        <v>0</v>
      </c>
      <c r="N245" s="86">
        <v>0</v>
      </c>
      <c r="O245" s="86">
        <v>0</v>
      </c>
      <c r="P245" s="86">
        <v>0</v>
      </c>
      <c r="Q245" s="86">
        <v>0</v>
      </c>
      <c r="R245" s="86">
        <v>0</v>
      </c>
      <c r="S245" s="86">
        <v>0</v>
      </c>
      <c r="T245" s="86">
        <v>0</v>
      </c>
      <c r="U245" s="86">
        <v>0</v>
      </c>
      <c r="V245" s="86">
        <v>0</v>
      </c>
      <c r="W245" s="86">
        <v>0</v>
      </c>
      <c r="X245" s="86">
        <v>0</v>
      </c>
      <c r="Y245" s="86">
        <v>0</v>
      </c>
      <c r="Z245" s="86">
        <v>0</v>
      </c>
      <c r="AA245" s="86">
        <v>0</v>
      </c>
      <c r="AB245" s="86">
        <v>0</v>
      </c>
      <c r="AC245" s="86">
        <v>0</v>
      </c>
      <c r="AD245" s="86">
        <v>0</v>
      </c>
      <c r="AE245" s="86">
        <v>0</v>
      </c>
      <c r="AF245" s="86">
        <v>0</v>
      </c>
      <c r="AG245" s="86">
        <v>0</v>
      </c>
      <c r="AH245" s="89">
        <v>0</v>
      </c>
    </row>
    <row r="246" spans="1:34" x14ac:dyDescent="0.35">
      <c r="A246" s="19">
        <f t="shared" si="10"/>
        <v>21</v>
      </c>
      <c r="B246" s="86" t="s">
        <v>295</v>
      </c>
      <c r="C246" s="86" t="s">
        <v>291</v>
      </c>
      <c r="D246" s="87">
        <v>5</v>
      </c>
      <c r="E246" s="87" t="s">
        <v>220</v>
      </c>
      <c r="F246" s="88"/>
      <c r="G246" s="86" t="s">
        <v>238</v>
      </c>
      <c r="H246" s="86">
        <v>0</v>
      </c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9"/>
    </row>
    <row r="247" spans="1:34" x14ac:dyDescent="0.35">
      <c r="A247" s="19">
        <f t="shared" si="10"/>
        <v>21</v>
      </c>
      <c r="B247" s="86" t="s">
        <v>295</v>
      </c>
      <c r="C247" s="86" t="s">
        <v>291</v>
      </c>
      <c r="D247" s="87">
        <v>6</v>
      </c>
      <c r="E247" s="87" t="s">
        <v>221</v>
      </c>
      <c r="F247" s="88" t="s">
        <v>239</v>
      </c>
      <c r="G247" s="86" t="s">
        <v>250</v>
      </c>
      <c r="H247" s="86">
        <v>0</v>
      </c>
      <c r="I247" s="86">
        <v>999</v>
      </c>
      <c r="J247" s="86">
        <v>999</v>
      </c>
      <c r="K247" s="86">
        <v>999</v>
      </c>
      <c r="L247" s="86">
        <v>999</v>
      </c>
      <c r="M247" s="86">
        <v>999</v>
      </c>
      <c r="N247" s="86">
        <v>999</v>
      </c>
      <c r="O247" s="86">
        <v>999</v>
      </c>
      <c r="P247" s="86">
        <v>999</v>
      </c>
      <c r="Q247" s="86">
        <v>999</v>
      </c>
      <c r="R247" s="86">
        <v>999</v>
      </c>
      <c r="S247" s="86">
        <v>999</v>
      </c>
      <c r="T247" s="86">
        <v>999</v>
      </c>
      <c r="U247" s="86">
        <v>999</v>
      </c>
      <c r="V247" s="86">
        <v>999</v>
      </c>
      <c r="W247" s="86">
        <v>999</v>
      </c>
      <c r="X247" s="86">
        <v>999</v>
      </c>
      <c r="Y247" s="86">
        <v>999</v>
      </c>
      <c r="Z247" s="86">
        <v>999</v>
      </c>
      <c r="AA247" s="86">
        <v>999</v>
      </c>
      <c r="AB247" s="86">
        <v>999</v>
      </c>
      <c r="AC247" s="86">
        <v>999</v>
      </c>
      <c r="AD247" s="86">
        <v>999</v>
      </c>
      <c r="AE247" s="86">
        <v>999</v>
      </c>
      <c r="AF247" s="86">
        <v>999</v>
      </c>
      <c r="AG247" s="86">
        <v>999</v>
      </c>
      <c r="AH247" s="89">
        <v>999</v>
      </c>
    </row>
    <row r="248" spans="1:34" x14ac:dyDescent="0.35">
      <c r="A248" s="19">
        <f t="shared" si="10"/>
        <v>21</v>
      </c>
      <c r="B248" s="86" t="s">
        <v>295</v>
      </c>
      <c r="C248" s="86" t="s">
        <v>291</v>
      </c>
      <c r="D248" s="87">
        <v>7</v>
      </c>
      <c r="E248" s="87" t="s">
        <v>222</v>
      </c>
      <c r="F248" s="88" t="s">
        <v>239</v>
      </c>
      <c r="G248" s="86" t="s">
        <v>250</v>
      </c>
      <c r="H248" s="86">
        <v>0</v>
      </c>
      <c r="I248" s="86">
        <v>0</v>
      </c>
      <c r="J248" s="86">
        <v>0</v>
      </c>
      <c r="K248" s="86">
        <v>0</v>
      </c>
      <c r="L248" s="86">
        <v>0</v>
      </c>
      <c r="M248" s="86">
        <v>0</v>
      </c>
      <c r="N248" s="86">
        <v>0</v>
      </c>
      <c r="O248" s="86">
        <v>0</v>
      </c>
      <c r="P248" s="86">
        <v>0</v>
      </c>
      <c r="Q248" s="86">
        <v>0</v>
      </c>
      <c r="R248" s="86">
        <v>0</v>
      </c>
      <c r="S248" s="86">
        <v>0</v>
      </c>
      <c r="T248" s="86">
        <v>0</v>
      </c>
      <c r="U248" s="86">
        <v>0</v>
      </c>
      <c r="V248" s="86">
        <v>0</v>
      </c>
      <c r="W248" s="86">
        <v>0</v>
      </c>
      <c r="X248" s="86">
        <v>0</v>
      </c>
      <c r="Y248" s="86">
        <v>0</v>
      </c>
      <c r="Z248" s="86">
        <v>0</v>
      </c>
      <c r="AA248" s="86">
        <v>0</v>
      </c>
      <c r="AB248" s="86">
        <v>0</v>
      </c>
      <c r="AC248" s="86">
        <v>0</v>
      </c>
      <c r="AD248" s="86">
        <v>0</v>
      </c>
      <c r="AE248" s="86">
        <v>0</v>
      </c>
      <c r="AF248" s="86">
        <v>0</v>
      </c>
      <c r="AG248" s="86">
        <v>0</v>
      </c>
      <c r="AH248" s="89">
        <v>0</v>
      </c>
    </row>
    <row r="249" spans="1:34" x14ac:dyDescent="0.35">
      <c r="A249" s="19">
        <f t="shared" si="10"/>
        <v>21</v>
      </c>
      <c r="B249" s="86" t="s">
        <v>295</v>
      </c>
      <c r="C249" s="86" t="s">
        <v>291</v>
      </c>
      <c r="D249" s="87">
        <v>8</v>
      </c>
      <c r="E249" s="87" t="s">
        <v>223</v>
      </c>
      <c r="F249" s="88"/>
      <c r="G249" s="86" t="s">
        <v>238</v>
      </c>
      <c r="H249" s="86">
        <v>0</v>
      </c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9"/>
    </row>
    <row r="250" spans="1:34" x14ac:dyDescent="0.35">
      <c r="A250" s="19">
        <f t="shared" si="10"/>
        <v>21</v>
      </c>
      <c r="B250" s="86" t="s">
        <v>295</v>
      </c>
      <c r="C250" s="86" t="s">
        <v>291</v>
      </c>
      <c r="D250" s="87">
        <v>9</v>
      </c>
      <c r="E250" s="87" t="s">
        <v>224</v>
      </c>
      <c r="F250" s="88" t="s">
        <v>242</v>
      </c>
      <c r="G250" s="86" t="s">
        <v>233</v>
      </c>
      <c r="H250" s="86">
        <v>0</v>
      </c>
      <c r="I250" s="86">
        <v>1</v>
      </c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9"/>
    </row>
    <row r="251" spans="1:34" ht="15" thickBot="1" x14ac:dyDescent="0.4">
      <c r="A251" s="20">
        <f t="shared" si="10"/>
        <v>21</v>
      </c>
      <c r="B251" s="90" t="s">
        <v>295</v>
      </c>
      <c r="C251" s="90" t="s">
        <v>291</v>
      </c>
      <c r="D251" s="91">
        <v>10</v>
      </c>
      <c r="E251" s="91" t="s">
        <v>225</v>
      </c>
      <c r="F251" s="92" t="s">
        <v>242</v>
      </c>
      <c r="G251" s="90" t="s">
        <v>233</v>
      </c>
      <c r="H251" s="90">
        <v>0</v>
      </c>
      <c r="I251" s="90">
        <v>1</v>
      </c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  <c r="AA251" s="90"/>
      <c r="AB251" s="90"/>
      <c r="AC251" s="90"/>
      <c r="AD251" s="90"/>
      <c r="AE251" s="90"/>
      <c r="AF251" s="90"/>
      <c r="AG251" s="90"/>
      <c r="AH251" s="93"/>
    </row>
    <row r="252" spans="1:34" x14ac:dyDescent="0.35">
      <c r="A252" s="18">
        <f>+A242+1</f>
        <v>22</v>
      </c>
      <c r="B252" s="40" t="s">
        <v>55</v>
      </c>
      <c r="C252" s="40" t="s">
        <v>154</v>
      </c>
      <c r="D252" s="36">
        <v>1</v>
      </c>
      <c r="E252" s="36" t="s">
        <v>216</v>
      </c>
      <c r="F252" s="39" t="s">
        <v>240</v>
      </c>
      <c r="G252" s="40" t="s">
        <v>233</v>
      </c>
      <c r="H252" s="40">
        <v>0</v>
      </c>
      <c r="I252" s="40">
        <v>1</v>
      </c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1"/>
    </row>
    <row r="253" spans="1:34" x14ac:dyDescent="0.35">
      <c r="A253" s="19">
        <f t="shared" ref="A253:A261" si="11">+A243+1</f>
        <v>22</v>
      </c>
      <c r="B253" s="43" t="s">
        <v>55</v>
      </c>
      <c r="C253" s="43" t="s">
        <v>154</v>
      </c>
      <c r="D253" s="37">
        <v>2</v>
      </c>
      <c r="E253" s="37" t="s">
        <v>217</v>
      </c>
      <c r="F253" s="42" t="s">
        <v>240</v>
      </c>
      <c r="G253" s="43" t="s">
        <v>233</v>
      </c>
      <c r="H253" s="43">
        <v>0</v>
      </c>
      <c r="I253" s="43">
        <v>1</v>
      </c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4"/>
    </row>
    <row r="254" spans="1:34" x14ac:dyDescent="0.35">
      <c r="A254" s="19">
        <f t="shared" si="11"/>
        <v>22</v>
      </c>
      <c r="B254" s="43" t="s">
        <v>55</v>
      </c>
      <c r="C254" s="43" t="s">
        <v>154</v>
      </c>
      <c r="D254" s="37">
        <v>3</v>
      </c>
      <c r="E254" s="37" t="s">
        <v>218</v>
      </c>
      <c r="F254" s="42" t="s">
        <v>240</v>
      </c>
      <c r="G254" s="43" t="s">
        <v>233</v>
      </c>
      <c r="H254" s="43">
        <v>0</v>
      </c>
      <c r="I254" s="43">
        <v>1</v>
      </c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4"/>
    </row>
    <row r="255" spans="1:34" x14ac:dyDescent="0.35">
      <c r="A255" s="19">
        <f t="shared" si="11"/>
        <v>22</v>
      </c>
      <c r="B255" s="43" t="s">
        <v>55</v>
      </c>
      <c r="C255" s="43" t="s">
        <v>154</v>
      </c>
      <c r="D255" s="37">
        <v>4</v>
      </c>
      <c r="E255" s="37" t="s">
        <v>219</v>
      </c>
      <c r="F255" s="42" t="s">
        <v>239</v>
      </c>
      <c r="G255" s="43" t="s">
        <v>250</v>
      </c>
      <c r="H255" s="43">
        <v>0</v>
      </c>
      <c r="I255" s="43">
        <v>0</v>
      </c>
      <c r="J255" s="43">
        <v>0</v>
      </c>
      <c r="K255" s="43">
        <v>0</v>
      </c>
      <c r="L255" s="43">
        <v>0</v>
      </c>
      <c r="M255" s="43">
        <v>0</v>
      </c>
      <c r="N255" s="43">
        <v>0</v>
      </c>
      <c r="O255" s="43">
        <v>0</v>
      </c>
      <c r="P255" s="43">
        <v>0</v>
      </c>
      <c r="Q255" s="43">
        <v>0</v>
      </c>
      <c r="R255" s="43">
        <v>0</v>
      </c>
      <c r="S255" s="43">
        <v>0</v>
      </c>
      <c r="T255" s="43">
        <v>0</v>
      </c>
      <c r="U255" s="43">
        <v>0</v>
      </c>
      <c r="V255" s="43">
        <v>0</v>
      </c>
      <c r="W255" s="43">
        <v>0</v>
      </c>
      <c r="X255" s="43">
        <v>0</v>
      </c>
      <c r="Y255" s="43">
        <v>0</v>
      </c>
      <c r="Z255" s="43">
        <v>0</v>
      </c>
      <c r="AA255" s="43">
        <v>0</v>
      </c>
      <c r="AB255" s="43">
        <v>0</v>
      </c>
      <c r="AC255" s="43">
        <v>0</v>
      </c>
      <c r="AD255" s="43">
        <v>0</v>
      </c>
      <c r="AE255" s="43">
        <v>0</v>
      </c>
      <c r="AF255" s="43">
        <v>0</v>
      </c>
      <c r="AG255" s="43">
        <v>0</v>
      </c>
      <c r="AH255" s="44">
        <v>0</v>
      </c>
    </row>
    <row r="256" spans="1:34" x14ac:dyDescent="0.35">
      <c r="A256" s="19">
        <f t="shared" si="11"/>
        <v>22</v>
      </c>
      <c r="B256" s="43" t="s">
        <v>55</v>
      </c>
      <c r="C256" s="43" t="s">
        <v>154</v>
      </c>
      <c r="D256" s="37">
        <v>5</v>
      </c>
      <c r="E256" s="37" t="s">
        <v>220</v>
      </c>
      <c r="F256" s="42"/>
      <c r="G256" s="43" t="s">
        <v>238</v>
      </c>
      <c r="H256" s="43">
        <v>0</v>
      </c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4"/>
    </row>
    <row r="257" spans="1:34" x14ac:dyDescent="0.35">
      <c r="A257" s="19">
        <f t="shared" si="11"/>
        <v>22</v>
      </c>
      <c r="B257" s="43" t="s">
        <v>55</v>
      </c>
      <c r="C257" s="43" t="s">
        <v>154</v>
      </c>
      <c r="D257" s="37">
        <v>6</v>
      </c>
      <c r="E257" s="37" t="s">
        <v>221</v>
      </c>
      <c r="F257" s="42" t="s">
        <v>239</v>
      </c>
      <c r="G257" s="43" t="s">
        <v>250</v>
      </c>
      <c r="H257" s="43">
        <v>0</v>
      </c>
      <c r="I257" s="43">
        <v>999</v>
      </c>
      <c r="J257" s="43">
        <v>999</v>
      </c>
      <c r="K257" s="43">
        <v>999</v>
      </c>
      <c r="L257" s="43">
        <v>999</v>
      </c>
      <c r="M257" s="43">
        <v>999</v>
      </c>
      <c r="N257" s="43">
        <v>999</v>
      </c>
      <c r="O257" s="43">
        <v>999</v>
      </c>
      <c r="P257" s="43">
        <v>999</v>
      </c>
      <c r="Q257" s="43">
        <v>999</v>
      </c>
      <c r="R257" s="43">
        <v>999</v>
      </c>
      <c r="S257" s="43">
        <v>999</v>
      </c>
      <c r="T257" s="43">
        <v>999</v>
      </c>
      <c r="U257" s="43">
        <v>999</v>
      </c>
      <c r="V257" s="43">
        <v>999</v>
      </c>
      <c r="W257" s="43">
        <v>999</v>
      </c>
      <c r="X257" s="43">
        <v>999</v>
      </c>
      <c r="Y257" s="43">
        <v>999</v>
      </c>
      <c r="Z257" s="43">
        <v>999</v>
      </c>
      <c r="AA257" s="43">
        <v>999</v>
      </c>
      <c r="AB257" s="43">
        <v>999</v>
      </c>
      <c r="AC257" s="43">
        <v>999</v>
      </c>
      <c r="AD257" s="43">
        <v>999</v>
      </c>
      <c r="AE257" s="43">
        <v>999</v>
      </c>
      <c r="AF257" s="43">
        <v>999</v>
      </c>
      <c r="AG257" s="43">
        <v>999</v>
      </c>
      <c r="AH257" s="44">
        <v>999</v>
      </c>
    </row>
    <row r="258" spans="1:34" x14ac:dyDescent="0.35">
      <c r="A258" s="19">
        <f t="shared" si="11"/>
        <v>22</v>
      </c>
      <c r="B258" s="43" t="s">
        <v>55</v>
      </c>
      <c r="C258" s="43" t="s">
        <v>154</v>
      </c>
      <c r="D258" s="37">
        <v>7</v>
      </c>
      <c r="E258" s="37" t="s">
        <v>222</v>
      </c>
      <c r="F258" s="42" t="s">
        <v>239</v>
      </c>
      <c r="G258" s="43" t="s">
        <v>250</v>
      </c>
      <c r="H258" s="43">
        <v>0</v>
      </c>
      <c r="I258" s="43">
        <v>0</v>
      </c>
      <c r="J258" s="43">
        <v>0</v>
      </c>
      <c r="K258" s="43">
        <v>0</v>
      </c>
      <c r="L258" s="43">
        <v>0</v>
      </c>
      <c r="M258" s="43">
        <v>0</v>
      </c>
      <c r="N258" s="43">
        <v>0</v>
      </c>
      <c r="O258" s="43">
        <v>0</v>
      </c>
      <c r="P258" s="43">
        <v>0</v>
      </c>
      <c r="Q258" s="43">
        <v>0</v>
      </c>
      <c r="R258" s="43">
        <v>0</v>
      </c>
      <c r="S258" s="43">
        <v>0</v>
      </c>
      <c r="T258" s="43">
        <v>0</v>
      </c>
      <c r="U258" s="43">
        <v>0</v>
      </c>
      <c r="V258" s="43">
        <v>0</v>
      </c>
      <c r="W258" s="43">
        <v>0</v>
      </c>
      <c r="X258" s="43">
        <v>0</v>
      </c>
      <c r="Y258" s="43">
        <v>0</v>
      </c>
      <c r="Z258" s="43">
        <v>0</v>
      </c>
      <c r="AA258" s="43">
        <v>0</v>
      </c>
      <c r="AB258" s="43">
        <v>0</v>
      </c>
      <c r="AC258" s="43">
        <v>0</v>
      </c>
      <c r="AD258" s="43">
        <v>0</v>
      </c>
      <c r="AE258" s="43">
        <v>0</v>
      </c>
      <c r="AF258" s="43">
        <v>0</v>
      </c>
      <c r="AG258" s="43">
        <v>0</v>
      </c>
      <c r="AH258" s="44">
        <v>0</v>
      </c>
    </row>
    <row r="259" spans="1:34" x14ac:dyDescent="0.35">
      <c r="A259" s="19">
        <f t="shared" si="11"/>
        <v>22</v>
      </c>
      <c r="B259" s="43" t="s">
        <v>55</v>
      </c>
      <c r="C259" s="43" t="s">
        <v>154</v>
      </c>
      <c r="D259" s="37">
        <v>8</v>
      </c>
      <c r="E259" s="37" t="s">
        <v>223</v>
      </c>
      <c r="F259" s="42"/>
      <c r="G259" s="43" t="s">
        <v>238</v>
      </c>
      <c r="H259" s="43">
        <v>0</v>
      </c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4"/>
    </row>
    <row r="260" spans="1:34" x14ac:dyDescent="0.35">
      <c r="A260" s="19">
        <f t="shared" si="11"/>
        <v>22</v>
      </c>
      <c r="B260" s="43" t="s">
        <v>55</v>
      </c>
      <c r="C260" s="43" t="s">
        <v>154</v>
      </c>
      <c r="D260" s="37">
        <v>9</v>
      </c>
      <c r="E260" s="37" t="s">
        <v>224</v>
      </c>
      <c r="F260" s="42" t="s">
        <v>242</v>
      </c>
      <c r="G260" s="43" t="s">
        <v>233</v>
      </c>
      <c r="H260" s="43">
        <v>0</v>
      </c>
      <c r="I260" s="43">
        <v>1</v>
      </c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4"/>
    </row>
    <row r="261" spans="1:34" ht="15" thickBot="1" x14ac:dyDescent="0.4">
      <c r="A261" s="20">
        <f t="shared" si="11"/>
        <v>22</v>
      </c>
      <c r="B261" s="46" t="s">
        <v>55</v>
      </c>
      <c r="C261" s="46" t="s">
        <v>154</v>
      </c>
      <c r="D261" s="38">
        <v>10</v>
      </c>
      <c r="E261" s="38" t="s">
        <v>225</v>
      </c>
      <c r="F261" s="45" t="s">
        <v>242</v>
      </c>
      <c r="G261" s="46" t="s">
        <v>233</v>
      </c>
      <c r="H261" s="46">
        <v>0</v>
      </c>
      <c r="I261" s="46">
        <v>1</v>
      </c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7"/>
    </row>
    <row r="262" spans="1:34" x14ac:dyDescent="0.35">
      <c r="A262" s="18">
        <f>+A252+1</f>
        <v>23</v>
      </c>
      <c r="B262" s="40" t="s">
        <v>56</v>
      </c>
      <c r="C262" s="40" t="s">
        <v>155</v>
      </c>
      <c r="D262" s="32">
        <v>1</v>
      </c>
      <c r="E262" s="32" t="s">
        <v>216</v>
      </c>
      <c r="F262" s="39" t="s">
        <v>240</v>
      </c>
      <c r="G262" s="40" t="s">
        <v>233</v>
      </c>
      <c r="H262" s="40">
        <v>0</v>
      </c>
      <c r="I262" s="40">
        <v>1</v>
      </c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1"/>
    </row>
    <row r="263" spans="1:34" x14ac:dyDescent="0.35">
      <c r="A263" s="19">
        <f t="shared" ref="A263:A291" si="12">+A253+1</f>
        <v>23</v>
      </c>
      <c r="B263" s="43" t="s">
        <v>56</v>
      </c>
      <c r="C263" s="43" t="s">
        <v>155</v>
      </c>
      <c r="D263" s="34">
        <v>2</v>
      </c>
      <c r="E263" s="34" t="s">
        <v>217</v>
      </c>
      <c r="F263" s="42" t="s">
        <v>240</v>
      </c>
      <c r="G263" s="43" t="s">
        <v>233</v>
      </c>
      <c r="H263" s="43">
        <v>0</v>
      </c>
      <c r="I263" s="43">
        <v>1</v>
      </c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4"/>
    </row>
    <row r="264" spans="1:34" x14ac:dyDescent="0.35">
      <c r="A264" s="19">
        <f t="shared" si="12"/>
        <v>23</v>
      </c>
      <c r="B264" s="43" t="s">
        <v>56</v>
      </c>
      <c r="C264" s="43" t="s">
        <v>155</v>
      </c>
      <c r="D264" s="34">
        <v>3</v>
      </c>
      <c r="E264" s="34" t="s">
        <v>218</v>
      </c>
      <c r="F264" s="42" t="s">
        <v>240</v>
      </c>
      <c r="G264" s="43" t="s">
        <v>233</v>
      </c>
      <c r="H264" s="43">
        <v>0</v>
      </c>
      <c r="I264" s="43">
        <v>1</v>
      </c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4"/>
    </row>
    <row r="265" spans="1:34" x14ac:dyDescent="0.35">
      <c r="A265" s="19">
        <f t="shared" si="12"/>
        <v>23</v>
      </c>
      <c r="B265" s="43" t="s">
        <v>56</v>
      </c>
      <c r="C265" s="43" t="s">
        <v>155</v>
      </c>
      <c r="D265" s="34">
        <v>4</v>
      </c>
      <c r="E265" s="34" t="s">
        <v>219</v>
      </c>
      <c r="F265" s="42" t="s">
        <v>239</v>
      </c>
      <c r="G265" s="43" t="s">
        <v>250</v>
      </c>
      <c r="H265" s="43">
        <v>0</v>
      </c>
      <c r="I265" s="43">
        <v>0</v>
      </c>
      <c r="J265" s="43">
        <v>0</v>
      </c>
      <c r="K265" s="43">
        <v>0</v>
      </c>
      <c r="L265" s="43">
        <v>0</v>
      </c>
      <c r="M265" s="43">
        <v>0</v>
      </c>
      <c r="N265" s="43">
        <v>0</v>
      </c>
      <c r="O265" s="43">
        <v>0</v>
      </c>
      <c r="P265" s="43">
        <v>0</v>
      </c>
      <c r="Q265" s="43">
        <v>0</v>
      </c>
      <c r="R265" s="43">
        <v>0</v>
      </c>
      <c r="S265" s="43">
        <v>0</v>
      </c>
      <c r="T265" s="43">
        <v>0</v>
      </c>
      <c r="U265" s="43">
        <v>0</v>
      </c>
      <c r="V265" s="43">
        <v>0</v>
      </c>
      <c r="W265" s="43">
        <v>0</v>
      </c>
      <c r="X265" s="43">
        <v>0</v>
      </c>
      <c r="Y265" s="43">
        <v>0</v>
      </c>
      <c r="Z265" s="43">
        <v>0</v>
      </c>
      <c r="AA265" s="43">
        <v>0</v>
      </c>
      <c r="AB265" s="43">
        <v>0</v>
      </c>
      <c r="AC265" s="43">
        <v>0</v>
      </c>
      <c r="AD265" s="43">
        <v>0</v>
      </c>
      <c r="AE265" s="43">
        <v>0</v>
      </c>
      <c r="AF265" s="43">
        <v>0</v>
      </c>
      <c r="AG265" s="43">
        <v>0</v>
      </c>
      <c r="AH265" s="44">
        <v>0</v>
      </c>
    </row>
    <row r="266" spans="1:34" x14ac:dyDescent="0.35">
      <c r="A266" s="19">
        <f t="shared" si="12"/>
        <v>23</v>
      </c>
      <c r="B266" s="43" t="s">
        <v>56</v>
      </c>
      <c r="C266" s="43" t="s">
        <v>155</v>
      </c>
      <c r="D266" s="34">
        <v>5</v>
      </c>
      <c r="E266" s="34" t="s">
        <v>220</v>
      </c>
      <c r="F266" s="42"/>
      <c r="G266" s="43" t="s">
        <v>238</v>
      </c>
      <c r="H266" s="43">
        <v>0</v>
      </c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4"/>
    </row>
    <row r="267" spans="1:34" x14ac:dyDescent="0.35">
      <c r="A267" s="19">
        <f t="shared" si="12"/>
        <v>23</v>
      </c>
      <c r="B267" s="43" t="s">
        <v>56</v>
      </c>
      <c r="C267" s="43" t="s">
        <v>155</v>
      </c>
      <c r="D267" s="34">
        <v>6</v>
      </c>
      <c r="E267" s="34" t="s">
        <v>221</v>
      </c>
      <c r="F267" s="42" t="s">
        <v>239</v>
      </c>
      <c r="G267" s="43" t="s">
        <v>250</v>
      </c>
      <c r="H267" s="43">
        <v>0</v>
      </c>
      <c r="I267" s="43">
        <v>999</v>
      </c>
      <c r="J267" s="43">
        <v>999</v>
      </c>
      <c r="K267" s="43">
        <v>999</v>
      </c>
      <c r="L267" s="43">
        <v>999</v>
      </c>
      <c r="M267" s="43">
        <v>999</v>
      </c>
      <c r="N267" s="43">
        <v>999</v>
      </c>
      <c r="O267" s="43">
        <v>999</v>
      </c>
      <c r="P267" s="43">
        <v>999</v>
      </c>
      <c r="Q267" s="43">
        <v>999</v>
      </c>
      <c r="R267" s="43">
        <v>999</v>
      </c>
      <c r="S267" s="43">
        <v>999</v>
      </c>
      <c r="T267" s="43">
        <v>999</v>
      </c>
      <c r="U267" s="43">
        <v>999</v>
      </c>
      <c r="V267" s="43">
        <v>999</v>
      </c>
      <c r="W267" s="43">
        <v>999</v>
      </c>
      <c r="X267" s="43">
        <v>999</v>
      </c>
      <c r="Y267" s="43">
        <v>999</v>
      </c>
      <c r="Z267" s="43">
        <v>999</v>
      </c>
      <c r="AA267" s="43">
        <v>999</v>
      </c>
      <c r="AB267" s="43">
        <v>999</v>
      </c>
      <c r="AC267" s="43">
        <v>999</v>
      </c>
      <c r="AD267" s="43">
        <v>999</v>
      </c>
      <c r="AE267" s="43">
        <v>999</v>
      </c>
      <c r="AF267" s="43">
        <v>999</v>
      </c>
      <c r="AG267" s="43">
        <v>999</v>
      </c>
      <c r="AH267" s="44">
        <v>999</v>
      </c>
    </row>
    <row r="268" spans="1:34" x14ac:dyDescent="0.35">
      <c r="A268" s="19">
        <f t="shared" si="12"/>
        <v>23</v>
      </c>
      <c r="B268" s="43" t="s">
        <v>56</v>
      </c>
      <c r="C268" s="43" t="s">
        <v>155</v>
      </c>
      <c r="D268" s="34">
        <v>7</v>
      </c>
      <c r="E268" s="34" t="s">
        <v>222</v>
      </c>
      <c r="F268" s="42" t="s">
        <v>239</v>
      </c>
      <c r="G268" s="43" t="s">
        <v>250</v>
      </c>
      <c r="H268" s="43">
        <v>0</v>
      </c>
      <c r="I268" s="43">
        <v>0</v>
      </c>
      <c r="J268" s="43">
        <v>0</v>
      </c>
      <c r="K268" s="43">
        <v>0</v>
      </c>
      <c r="L268" s="43">
        <v>0</v>
      </c>
      <c r="M268" s="43">
        <v>0</v>
      </c>
      <c r="N268" s="43">
        <v>0</v>
      </c>
      <c r="O268" s="43">
        <v>0</v>
      </c>
      <c r="P268" s="43">
        <v>0</v>
      </c>
      <c r="Q268" s="43">
        <v>0</v>
      </c>
      <c r="R268" s="43">
        <v>0</v>
      </c>
      <c r="S268" s="43">
        <v>0</v>
      </c>
      <c r="T268" s="43">
        <v>0</v>
      </c>
      <c r="U268" s="43">
        <v>0</v>
      </c>
      <c r="V268" s="43">
        <v>0</v>
      </c>
      <c r="W268" s="43">
        <v>0</v>
      </c>
      <c r="X268" s="43">
        <v>0</v>
      </c>
      <c r="Y268" s="43">
        <v>0</v>
      </c>
      <c r="Z268" s="43">
        <v>0</v>
      </c>
      <c r="AA268" s="43">
        <v>0</v>
      </c>
      <c r="AB268" s="43">
        <v>0</v>
      </c>
      <c r="AC268" s="43">
        <v>0</v>
      </c>
      <c r="AD268" s="43">
        <v>0</v>
      </c>
      <c r="AE268" s="43">
        <v>0</v>
      </c>
      <c r="AF268" s="43">
        <v>0</v>
      </c>
      <c r="AG268" s="43">
        <v>0</v>
      </c>
      <c r="AH268" s="44">
        <v>0</v>
      </c>
    </row>
    <row r="269" spans="1:34" x14ac:dyDescent="0.35">
      <c r="A269" s="19">
        <f t="shared" si="12"/>
        <v>23</v>
      </c>
      <c r="B269" s="43" t="s">
        <v>56</v>
      </c>
      <c r="C269" s="43" t="s">
        <v>155</v>
      </c>
      <c r="D269" s="34">
        <v>8</v>
      </c>
      <c r="E269" s="34" t="s">
        <v>223</v>
      </c>
      <c r="F269" s="42"/>
      <c r="G269" s="43" t="s">
        <v>238</v>
      </c>
      <c r="H269" s="43">
        <v>0</v>
      </c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4"/>
    </row>
    <row r="270" spans="1:34" x14ac:dyDescent="0.35">
      <c r="A270" s="19">
        <f t="shared" si="12"/>
        <v>23</v>
      </c>
      <c r="B270" s="43" t="s">
        <v>56</v>
      </c>
      <c r="C270" s="43" t="s">
        <v>155</v>
      </c>
      <c r="D270" s="34">
        <v>9</v>
      </c>
      <c r="E270" s="34" t="s">
        <v>224</v>
      </c>
      <c r="F270" s="42" t="s">
        <v>242</v>
      </c>
      <c r="G270" s="43" t="s">
        <v>233</v>
      </c>
      <c r="H270" s="43">
        <v>0</v>
      </c>
      <c r="I270" s="43">
        <v>1</v>
      </c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4"/>
    </row>
    <row r="271" spans="1:34" ht="15" thickBot="1" x14ac:dyDescent="0.4">
      <c r="A271" s="20">
        <f t="shared" si="12"/>
        <v>23</v>
      </c>
      <c r="B271" s="46" t="s">
        <v>56</v>
      </c>
      <c r="C271" s="46" t="s">
        <v>155</v>
      </c>
      <c r="D271" s="35">
        <v>10</v>
      </c>
      <c r="E271" s="35" t="s">
        <v>225</v>
      </c>
      <c r="F271" s="45" t="s">
        <v>242</v>
      </c>
      <c r="G271" s="46" t="s">
        <v>233</v>
      </c>
      <c r="H271" s="46">
        <v>0</v>
      </c>
      <c r="I271" s="46">
        <v>1</v>
      </c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  <c r="AG271" s="46"/>
      <c r="AH271" s="47"/>
    </row>
    <row r="272" spans="1:34" x14ac:dyDescent="0.35">
      <c r="A272" s="18">
        <f>+A262+1</f>
        <v>24</v>
      </c>
      <c r="B272" s="40" t="s">
        <v>57</v>
      </c>
      <c r="C272" s="40" t="s">
        <v>156</v>
      </c>
      <c r="D272" s="36">
        <v>1</v>
      </c>
      <c r="E272" s="36" t="s">
        <v>216</v>
      </c>
      <c r="F272" s="39" t="s">
        <v>240</v>
      </c>
      <c r="G272" s="40" t="s">
        <v>233</v>
      </c>
      <c r="H272" s="40">
        <v>0</v>
      </c>
      <c r="I272" s="40">
        <v>1</v>
      </c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1"/>
    </row>
    <row r="273" spans="1:34" x14ac:dyDescent="0.35">
      <c r="A273" s="19">
        <f t="shared" si="12"/>
        <v>24</v>
      </c>
      <c r="B273" s="43" t="s">
        <v>57</v>
      </c>
      <c r="C273" s="43" t="s">
        <v>156</v>
      </c>
      <c r="D273" s="37">
        <v>2</v>
      </c>
      <c r="E273" s="37" t="s">
        <v>217</v>
      </c>
      <c r="F273" s="42" t="s">
        <v>240</v>
      </c>
      <c r="G273" s="43" t="s">
        <v>233</v>
      </c>
      <c r="H273" s="43">
        <v>0</v>
      </c>
      <c r="I273" s="43">
        <v>1</v>
      </c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4"/>
    </row>
    <row r="274" spans="1:34" x14ac:dyDescent="0.35">
      <c r="A274" s="19">
        <f t="shared" si="12"/>
        <v>24</v>
      </c>
      <c r="B274" s="43" t="s">
        <v>57</v>
      </c>
      <c r="C274" s="43" t="s">
        <v>156</v>
      </c>
      <c r="D274" s="37">
        <v>3</v>
      </c>
      <c r="E274" s="37" t="s">
        <v>218</v>
      </c>
      <c r="F274" s="42" t="s">
        <v>240</v>
      </c>
      <c r="G274" s="43" t="s">
        <v>233</v>
      </c>
      <c r="H274" s="43">
        <v>0</v>
      </c>
      <c r="I274" s="43">
        <v>1</v>
      </c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4"/>
    </row>
    <row r="275" spans="1:34" x14ac:dyDescent="0.35">
      <c r="A275" s="19">
        <f t="shared" si="12"/>
        <v>24</v>
      </c>
      <c r="B275" s="43" t="s">
        <v>57</v>
      </c>
      <c r="C275" s="43" t="s">
        <v>156</v>
      </c>
      <c r="D275" s="37">
        <v>4</v>
      </c>
      <c r="E275" s="37" t="s">
        <v>219</v>
      </c>
      <c r="F275" s="42" t="s">
        <v>239</v>
      </c>
      <c r="G275" s="43" t="s">
        <v>250</v>
      </c>
      <c r="H275" s="43">
        <v>0</v>
      </c>
      <c r="I275" s="43">
        <v>0</v>
      </c>
      <c r="J275" s="43">
        <v>0</v>
      </c>
      <c r="K275" s="43">
        <v>0</v>
      </c>
      <c r="L275" s="43">
        <v>0</v>
      </c>
      <c r="M275" s="43">
        <v>0</v>
      </c>
      <c r="N275" s="43">
        <v>0</v>
      </c>
      <c r="O275" s="43">
        <v>0</v>
      </c>
      <c r="P275" s="43">
        <v>0</v>
      </c>
      <c r="Q275" s="43">
        <v>0</v>
      </c>
      <c r="R275" s="43">
        <v>0</v>
      </c>
      <c r="S275" s="43">
        <v>0</v>
      </c>
      <c r="T275" s="43">
        <v>0</v>
      </c>
      <c r="U275" s="43">
        <v>0</v>
      </c>
      <c r="V275" s="43">
        <v>0</v>
      </c>
      <c r="W275" s="43">
        <v>0</v>
      </c>
      <c r="X275" s="43">
        <v>0</v>
      </c>
      <c r="Y275" s="43">
        <v>0</v>
      </c>
      <c r="Z275" s="43">
        <v>0</v>
      </c>
      <c r="AA275" s="43">
        <v>0</v>
      </c>
      <c r="AB275" s="43">
        <v>0</v>
      </c>
      <c r="AC275" s="43">
        <v>0</v>
      </c>
      <c r="AD275" s="43">
        <v>0</v>
      </c>
      <c r="AE275" s="43">
        <v>0</v>
      </c>
      <c r="AF275" s="43">
        <v>0</v>
      </c>
      <c r="AG275" s="43">
        <v>0</v>
      </c>
      <c r="AH275" s="44">
        <v>0</v>
      </c>
    </row>
    <row r="276" spans="1:34" x14ac:dyDescent="0.35">
      <c r="A276" s="19">
        <f t="shared" si="12"/>
        <v>24</v>
      </c>
      <c r="B276" s="43" t="s">
        <v>57</v>
      </c>
      <c r="C276" s="43" t="s">
        <v>156</v>
      </c>
      <c r="D276" s="37">
        <v>5</v>
      </c>
      <c r="E276" s="37" t="s">
        <v>220</v>
      </c>
      <c r="F276" s="42"/>
      <c r="G276" s="43" t="s">
        <v>238</v>
      </c>
      <c r="H276" s="43">
        <v>0</v>
      </c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4"/>
    </row>
    <row r="277" spans="1:34" x14ac:dyDescent="0.35">
      <c r="A277" s="19">
        <f t="shared" si="12"/>
        <v>24</v>
      </c>
      <c r="B277" s="43" t="s">
        <v>57</v>
      </c>
      <c r="C277" s="43" t="s">
        <v>156</v>
      </c>
      <c r="D277" s="37">
        <v>6</v>
      </c>
      <c r="E277" s="37" t="s">
        <v>221</v>
      </c>
      <c r="F277" s="42" t="s">
        <v>239</v>
      </c>
      <c r="G277" s="43" t="s">
        <v>250</v>
      </c>
      <c r="H277" s="43">
        <v>0</v>
      </c>
      <c r="I277" s="43">
        <v>999</v>
      </c>
      <c r="J277" s="43">
        <v>999</v>
      </c>
      <c r="K277" s="43">
        <v>999</v>
      </c>
      <c r="L277" s="43">
        <v>999</v>
      </c>
      <c r="M277" s="43">
        <v>999</v>
      </c>
      <c r="N277" s="43">
        <v>999</v>
      </c>
      <c r="O277" s="43">
        <v>999</v>
      </c>
      <c r="P277" s="43">
        <v>999</v>
      </c>
      <c r="Q277" s="43">
        <v>999</v>
      </c>
      <c r="R277" s="43">
        <v>999</v>
      </c>
      <c r="S277" s="43">
        <v>999</v>
      </c>
      <c r="T277" s="43">
        <v>999</v>
      </c>
      <c r="U277" s="43">
        <v>999</v>
      </c>
      <c r="V277" s="43">
        <v>999</v>
      </c>
      <c r="W277" s="43">
        <v>999</v>
      </c>
      <c r="X277" s="43">
        <v>999</v>
      </c>
      <c r="Y277" s="43">
        <v>999</v>
      </c>
      <c r="Z277" s="43">
        <v>999</v>
      </c>
      <c r="AA277" s="43">
        <v>999</v>
      </c>
      <c r="AB277" s="43">
        <v>999</v>
      </c>
      <c r="AC277" s="43">
        <v>999</v>
      </c>
      <c r="AD277" s="43">
        <v>999</v>
      </c>
      <c r="AE277" s="43">
        <v>999</v>
      </c>
      <c r="AF277" s="43">
        <v>999</v>
      </c>
      <c r="AG277" s="43">
        <v>999</v>
      </c>
      <c r="AH277" s="44">
        <v>999</v>
      </c>
    </row>
    <row r="278" spans="1:34" x14ac:dyDescent="0.35">
      <c r="A278" s="19">
        <f t="shared" si="12"/>
        <v>24</v>
      </c>
      <c r="B278" s="43" t="s">
        <v>57</v>
      </c>
      <c r="C278" s="43" t="s">
        <v>156</v>
      </c>
      <c r="D278" s="37">
        <v>7</v>
      </c>
      <c r="E278" s="37" t="s">
        <v>222</v>
      </c>
      <c r="F278" s="42" t="s">
        <v>239</v>
      </c>
      <c r="G278" s="43" t="s">
        <v>250</v>
      </c>
      <c r="H278" s="43">
        <v>0</v>
      </c>
      <c r="I278" s="43">
        <v>0</v>
      </c>
      <c r="J278" s="43">
        <v>0</v>
      </c>
      <c r="K278" s="43">
        <v>0</v>
      </c>
      <c r="L278" s="43">
        <v>0</v>
      </c>
      <c r="M278" s="43">
        <v>0</v>
      </c>
      <c r="N278" s="43">
        <v>0</v>
      </c>
      <c r="O278" s="43">
        <v>0</v>
      </c>
      <c r="P278" s="43">
        <v>0</v>
      </c>
      <c r="Q278" s="43">
        <v>0</v>
      </c>
      <c r="R278" s="43">
        <v>0</v>
      </c>
      <c r="S278" s="43">
        <v>0</v>
      </c>
      <c r="T278" s="43">
        <v>0</v>
      </c>
      <c r="U278" s="43">
        <v>0</v>
      </c>
      <c r="V278" s="43">
        <v>0</v>
      </c>
      <c r="W278" s="43">
        <v>0</v>
      </c>
      <c r="X278" s="43">
        <v>0</v>
      </c>
      <c r="Y278" s="43">
        <v>0</v>
      </c>
      <c r="Z278" s="43">
        <v>0</v>
      </c>
      <c r="AA278" s="43">
        <v>0</v>
      </c>
      <c r="AB278" s="43">
        <v>0</v>
      </c>
      <c r="AC278" s="43">
        <v>0</v>
      </c>
      <c r="AD278" s="43">
        <v>0</v>
      </c>
      <c r="AE278" s="43">
        <v>0</v>
      </c>
      <c r="AF278" s="43">
        <v>0</v>
      </c>
      <c r="AG278" s="43">
        <v>0</v>
      </c>
      <c r="AH278" s="44">
        <v>0</v>
      </c>
    </row>
    <row r="279" spans="1:34" x14ac:dyDescent="0.35">
      <c r="A279" s="19">
        <f t="shared" si="12"/>
        <v>24</v>
      </c>
      <c r="B279" s="43" t="s">
        <v>57</v>
      </c>
      <c r="C279" s="43" t="s">
        <v>156</v>
      </c>
      <c r="D279" s="37">
        <v>8</v>
      </c>
      <c r="E279" s="37" t="s">
        <v>223</v>
      </c>
      <c r="F279" s="42"/>
      <c r="G279" s="43" t="s">
        <v>238</v>
      </c>
      <c r="H279" s="43">
        <v>0</v>
      </c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4"/>
    </row>
    <row r="280" spans="1:34" x14ac:dyDescent="0.35">
      <c r="A280" s="19">
        <f t="shared" si="12"/>
        <v>24</v>
      </c>
      <c r="B280" s="43" t="s">
        <v>57</v>
      </c>
      <c r="C280" s="43" t="s">
        <v>156</v>
      </c>
      <c r="D280" s="37">
        <v>9</v>
      </c>
      <c r="E280" s="37" t="s">
        <v>224</v>
      </c>
      <c r="F280" s="42" t="s">
        <v>242</v>
      </c>
      <c r="G280" s="43" t="s">
        <v>233</v>
      </c>
      <c r="H280" s="43">
        <v>0</v>
      </c>
      <c r="I280" s="43">
        <v>1</v>
      </c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4"/>
    </row>
    <row r="281" spans="1:34" ht="15" thickBot="1" x14ac:dyDescent="0.4">
      <c r="A281" s="20">
        <f t="shared" si="12"/>
        <v>24</v>
      </c>
      <c r="B281" s="46" t="s">
        <v>57</v>
      </c>
      <c r="C281" s="46" t="s">
        <v>156</v>
      </c>
      <c r="D281" s="38">
        <v>10</v>
      </c>
      <c r="E281" s="38" t="s">
        <v>225</v>
      </c>
      <c r="F281" s="45" t="s">
        <v>242</v>
      </c>
      <c r="G281" s="46" t="s">
        <v>233</v>
      </c>
      <c r="H281" s="46">
        <v>0</v>
      </c>
      <c r="I281" s="46">
        <v>1</v>
      </c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7"/>
    </row>
    <row r="282" spans="1:34" x14ac:dyDescent="0.35">
      <c r="A282" s="18">
        <f>+A272+1</f>
        <v>25</v>
      </c>
      <c r="B282" s="40" t="s">
        <v>58</v>
      </c>
      <c r="C282" s="40" t="s">
        <v>157</v>
      </c>
      <c r="D282" s="32">
        <v>1</v>
      </c>
      <c r="E282" s="32" t="s">
        <v>216</v>
      </c>
      <c r="F282" s="39" t="s">
        <v>240</v>
      </c>
      <c r="G282" s="40" t="s">
        <v>233</v>
      </c>
      <c r="H282" s="40">
        <v>0</v>
      </c>
      <c r="I282" s="40">
        <v>1</v>
      </c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1"/>
    </row>
    <row r="283" spans="1:34" x14ac:dyDescent="0.35">
      <c r="A283" s="19">
        <f t="shared" si="12"/>
        <v>25</v>
      </c>
      <c r="B283" s="43" t="s">
        <v>58</v>
      </c>
      <c r="C283" s="43" t="s">
        <v>157</v>
      </c>
      <c r="D283" s="34">
        <v>2</v>
      </c>
      <c r="E283" s="34" t="s">
        <v>217</v>
      </c>
      <c r="F283" s="42" t="s">
        <v>240</v>
      </c>
      <c r="G283" s="43" t="s">
        <v>233</v>
      </c>
      <c r="H283" s="43">
        <v>0</v>
      </c>
      <c r="I283" s="43">
        <v>1</v>
      </c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4"/>
    </row>
    <row r="284" spans="1:34" x14ac:dyDescent="0.35">
      <c r="A284" s="19">
        <f t="shared" si="12"/>
        <v>25</v>
      </c>
      <c r="B284" s="43" t="s">
        <v>58</v>
      </c>
      <c r="C284" s="43" t="s">
        <v>157</v>
      </c>
      <c r="D284" s="34">
        <v>3</v>
      </c>
      <c r="E284" s="34" t="s">
        <v>218</v>
      </c>
      <c r="F284" s="42" t="s">
        <v>240</v>
      </c>
      <c r="G284" s="43" t="s">
        <v>233</v>
      </c>
      <c r="H284" s="43">
        <v>0</v>
      </c>
      <c r="I284" s="43">
        <v>1</v>
      </c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4"/>
    </row>
    <row r="285" spans="1:34" x14ac:dyDescent="0.35">
      <c r="A285" s="19">
        <f t="shared" si="12"/>
        <v>25</v>
      </c>
      <c r="B285" s="43" t="s">
        <v>58</v>
      </c>
      <c r="C285" s="43" t="s">
        <v>157</v>
      </c>
      <c r="D285" s="34">
        <v>4</v>
      </c>
      <c r="E285" s="34" t="s">
        <v>219</v>
      </c>
      <c r="F285" s="42" t="s">
        <v>239</v>
      </c>
      <c r="G285" s="43" t="s">
        <v>250</v>
      </c>
      <c r="H285" s="43">
        <v>0</v>
      </c>
      <c r="I285" s="43">
        <v>0</v>
      </c>
      <c r="J285" s="43">
        <v>0</v>
      </c>
      <c r="K285" s="43">
        <v>0</v>
      </c>
      <c r="L285" s="43">
        <v>0</v>
      </c>
      <c r="M285" s="43">
        <v>0</v>
      </c>
      <c r="N285" s="43">
        <v>0</v>
      </c>
      <c r="O285" s="43">
        <v>0</v>
      </c>
      <c r="P285" s="43">
        <v>0</v>
      </c>
      <c r="Q285" s="43">
        <v>0</v>
      </c>
      <c r="R285" s="43">
        <v>0</v>
      </c>
      <c r="S285" s="43">
        <v>0</v>
      </c>
      <c r="T285" s="43">
        <v>0</v>
      </c>
      <c r="U285" s="43">
        <v>0</v>
      </c>
      <c r="V285" s="43">
        <v>0</v>
      </c>
      <c r="W285" s="43">
        <v>0</v>
      </c>
      <c r="X285" s="43">
        <v>0</v>
      </c>
      <c r="Y285" s="43">
        <v>0</v>
      </c>
      <c r="Z285" s="43">
        <v>0</v>
      </c>
      <c r="AA285" s="43">
        <v>0</v>
      </c>
      <c r="AB285" s="43">
        <v>0</v>
      </c>
      <c r="AC285" s="43">
        <v>0</v>
      </c>
      <c r="AD285" s="43">
        <v>0</v>
      </c>
      <c r="AE285" s="43">
        <v>0</v>
      </c>
      <c r="AF285" s="43">
        <v>0</v>
      </c>
      <c r="AG285" s="43">
        <v>0</v>
      </c>
      <c r="AH285" s="44">
        <v>0</v>
      </c>
    </row>
    <row r="286" spans="1:34" x14ac:dyDescent="0.35">
      <c r="A286" s="19">
        <f t="shared" si="12"/>
        <v>25</v>
      </c>
      <c r="B286" s="43" t="s">
        <v>58</v>
      </c>
      <c r="C286" s="43" t="s">
        <v>157</v>
      </c>
      <c r="D286" s="34">
        <v>5</v>
      </c>
      <c r="E286" s="34" t="s">
        <v>220</v>
      </c>
      <c r="F286" s="42"/>
      <c r="G286" s="43" t="s">
        <v>238</v>
      </c>
      <c r="H286" s="43">
        <v>0</v>
      </c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4"/>
    </row>
    <row r="287" spans="1:34" x14ac:dyDescent="0.35">
      <c r="A287" s="19">
        <f t="shared" si="12"/>
        <v>25</v>
      </c>
      <c r="B287" s="43" t="s">
        <v>58</v>
      </c>
      <c r="C287" s="43" t="s">
        <v>157</v>
      </c>
      <c r="D287" s="34">
        <v>6</v>
      </c>
      <c r="E287" s="34" t="s">
        <v>221</v>
      </c>
      <c r="F287" s="42" t="s">
        <v>239</v>
      </c>
      <c r="G287" s="43" t="s">
        <v>250</v>
      </c>
      <c r="H287" s="43">
        <v>0</v>
      </c>
      <c r="I287" s="43">
        <v>999</v>
      </c>
      <c r="J287" s="43">
        <v>999</v>
      </c>
      <c r="K287" s="43">
        <v>999</v>
      </c>
      <c r="L287" s="43">
        <v>999</v>
      </c>
      <c r="M287" s="43">
        <v>999</v>
      </c>
      <c r="N287" s="43">
        <v>999</v>
      </c>
      <c r="O287" s="43">
        <v>999</v>
      </c>
      <c r="P287" s="43">
        <v>999</v>
      </c>
      <c r="Q287" s="43">
        <v>999</v>
      </c>
      <c r="R287" s="43">
        <v>999</v>
      </c>
      <c r="S287" s="43">
        <v>999</v>
      </c>
      <c r="T287" s="43">
        <v>999</v>
      </c>
      <c r="U287" s="43">
        <v>999</v>
      </c>
      <c r="V287" s="43">
        <v>999</v>
      </c>
      <c r="W287" s="43">
        <v>999</v>
      </c>
      <c r="X287" s="43">
        <v>999</v>
      </c>
      <c r="Y287" s="43">
        <v>999</v>
      </c>
      <c r="Z287" s="43">
        <v>999</v>
      </c>
      <c r="AA287" s="43">
        <v>999</v>
      </c>
      <c r="AB287" s="43">
        <v>999</v>
      </c>
      <c r="AC287" s="43">
        <v>999</v>
      </c>
      <c r="AD287" s="43">
        <v>999</v>
      </c>
      <c r="AE287" s="43">
        <v>999</v>
      </c>
      <c r="AF287" s="43">
        <v>999</v>
      </c>
      <c r="AG287" s="43">
        <v>999</v>
      </c>
      <c r="AH287" s="44">
        <v>999</v>
      </c>
    </row>
    <row r="288" spans="1:34" x14ac:dyDescent="0.35">
      <c r="A288" s="19">
        <f t="shared" si="12"/>
        <v>25</v>
      </c>
      <c r="B288" s="43" t="s">
        <v>58</v>
      </c>
      <c r="C288" s="43" t="s">
        <v>157</v>
      </c>
      <c r="D288" s="34">
        <v>7</v>
      </c>
      <c r="E288" s="34" t="s">
        <v>222</v>
      </c>
      <c r="F288" s="42" t="s">
        <v>239</v>
      </c>
      <c r="G288" s="43" t="s">
        <v>250</v>
      </c>
      <c r="H288" s="43">
        <v>0</v>
      </c>
      <c r="I288" s="43">
        <v>0</v>
      </c>
      <c r="J288" s="43">
        <v>0</v>
      </c>
      <c r="K288" s="43">
        <v>0</v>
      </c>
      <c r="L288" s="43">
        <v>0</v>
      </c>
      <c r="M288" s="43">
        <v>0</v>
      </c>
      <c r="N288" s="43">
        <v>0</v>
      </c>
      <c r="O288" s="43">
        <v>0</v>
      </c>
      <c r="P288" s="43">
        <v>0</v>
      </c>
      <c r="Q288" s="43">
        <v>0</v>
      </c>
      <c r="R288" s="43">
        <v>0</v>
      </c>
      <c r="S288" s="43">
        <v>0</v>
      </c>
      <c r="T288" s="43">
        <v>0</v>
      </c>
      <c r="U288" s="43">
        <v>0</v>
      </c>
      <c r="V288" s="43">
        <v>0</v>
      </c>
      <c r="W288" s="43">
        <v>0</v>
      </c>
      <c r="X288" s="43">
        <v>0</v>
      </c>
      <c r="Y288" s="43">
        <v>0</v>
      </c>
      <c r="Z288" s="43">
        <v>0</v>
      </c>
      <c r="AA288" s="43">
        <v>0</v>
      </c>
      <c r="AB288" s="43">
        <v>0</v>
      </c>
      <c r="AC288" s="43">
        <v>0</v>
      </c>
      <c r="AD288" s="43">
        <v>0</v>
      </c>
      <c r="AE288" s="43">
        <v>0</v>
      </c>
      <c r="AF288" s="43">
        <v>0</v>
      </c>
      <c r="AG288" s="43">
        <v>0</v>
      </c>
      <c r="AH288" s="44">
        <v>0</v>
      </c>
    </row>
    <row r="289" spans="1:34" x14ac:dyDescent="0.35">
      <c r="A289" s="19">
        <f t="shared" si="12"/>
        <v>25</v>
      </c>
      <c r="B289" s="43" t="s">
        <v>58</v>
      </c>
      <c r="C289" s="43" t="s">
        <v>157</v>
      </c>
      <c r="D289" s="34">
        <v>8</v>
      </c>
      <c r="E289" s="34" t="s">
        <v>223</v>
      </c>
      <c r="F289" s="42"/>
      <c r="G289" s="43" t="s">
        <v>238</v>
      </c>
      <c r="H289" s="43">
        <v>0</v>
      </c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4"/>
    </row>
    <row r="290" spans="1:34" x14ac:dyDescent="0.35">
      <c r="A290" s="19">
        <f t="shared" si="12"/>
        <v>25</v>
      </c>
      <c r="B290" s="43" t="s">
        <v>58</v>
      </c>
      <c r="C290" s="43" t="s">
        <v>157</v>
      </c>
      <c r="D290" s="34">
        <v>9</v>
      </c>
      <c r="E290" s="34" t="s">
        <v>224</v>
      </c>
      <c r="F290" s="42" t="s">
        <v>242</v>
      </c>
      <c r="G290" s="43" t="s">
        <v>233</v>
      </c>
      <c r="H290" s="43">
        <v>0</v>
      </c>
      <c r="I290" s="43">
        <v>1</v>
      </c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4"/>
    </row>
    <row r="291" spans="1:34" ht="15" thickBot="1" x14ac:dyDescent="0.4">
      <c r="A291" s="20">
        <f t="shared" si="12"/>
        <v>25</v>
      </c>
      <c r="B291" s="46" t="s">
        <v>58</v>
      </c>
      <c r="C291" s="46" t="s">
        <v>157</v>
      </c>
      <c r="D291" s="35">
        <v>10</v>
      </c>
      <c r="E291" s="35" t="s">
        <v>225</v>
      </c>
      <c r="F291" s="45" t="s">
        <v>242</v>
      </c>
      <c r="G291" s="46" t="s">
        <v>233</v>
      </c>
      <c r="H291" s="46">
        <v>0</v>
      </c>
      <c r="I291" s="46">
        <v>1</v>
      </c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7"/>
    </row>
    <row r="292" spans="1:34" x14ac:dyDescent="0.35">
      <c r="A292" s="18">
        <f>+A282+1</f>
        <v>26</v>
      </c>
      <c r="B292" s="40" t="s">
        <v>59</v>
      </c>
      <c r="C292" s="40" t="s">
        <v>158</v>
      </c>
      <c r="D292" s="36">
        <v>1</v>
      </c>
      <c r="E292" s="36" t="s">
        <v>216</v>
      </c>
      <c r="F292" s="39" t="s">
        <v>240</v>
      </c>
      <c r="G292" s="40" t="s">
        <v>233</v>
      </c>
      <c r="H292" s="40">
        <v>0</v>
      </c>
      <c r="I292" s="40">
        <v>1</v>
      </c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1"/>
    </row>
    <row r="293" spans="1:34" x14ac:dyDescent="0.35">
      <c r="A293" s="19">
        <f t="shared" ref="A293:A356" si="13">+A283+1</f>
        <v>26</v>
      </c>
      <c r="B293" s="43" t="s">
        <v>59</v>
      </c>
      <c r="C293" s="43" t="s">
        <v>158</v>
      </c>
      <c r="D293" s="37">
        <v>2</v>
      </c>
      <c r="E293" s="37" t="s">
        <v>217</v>
      </c>
      <c r="F293" s="42" t="s">
        <v>240</v>
      </c>
      <c r="G293" s="43" t="s">
        <v>233</v>
      </c>
      <c r="H293" s="43">
        <v>0</v>
      </c>
      <c r="I293" s="43">
        <v>1</v>
      </c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4"/>
    </row>
    <row r="294" spans="1:34" x14ac:dyDescent="0.35">
      <c r="A294" s="19">
        <f t="shared" si="13"/>
        <v>26</v>
      </c>
      <c r="B294" s="43" t="s">
        <v>59</v>
      </c>
      <c r="C294" s="43" t="s">
        <v>158</v>
      </c>
      <c r="D294" s="37">
        <v>3</v>
      </c>
      <c r="E294" s="37" t="s">
        <v>218</v>
      </c>
      <c r="F294" s="42" t="s">
        <v>240</v>
      </c>
      <c r="G294" s="43" t="s">
        <v>233</v>
      </c>
      <c r="H294" s="43">
        <v>0</v>
      </c>
      <c r="I294" s="43">
        <v>1</v>
      </c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  <c r="AG294" s="43"/>
      <c r="AH294" s="44"/>
    </row>
    <row r="295" spans="1:34" x14ac:dyDescent="0.35">
      <c r="A295" s="19">
        <f t="shared" si="13"/>
        <v>26</v>
      </c>
      <c r="B295" s="43" t="s">
        <v>59</v>
      </c>
      <c r="C295" s="43" t="s">
        <v>158</v>
      </c>
      <c r="D295" s="37">
        <v>4</v>
      </c>
      <c r="E295" s="37" t="s">
        <v>219</v>
      </c>
      <c r="F295" s="42" t="s">
        <v>239</v>
      </c>
      <c r="G295" s="43" t="s">
        <v>250</v>
      </c>
      <c r="H295" s="43">
        <v>0</v>
      </c>
      <c r="I295" s="43">
        <v>0</v>
      </c>
      <c r="J295" s="43">
        <v>0</v>
      </c>
      <c r="K295" s="43">
        <v>0</v>
      </c>
      <c r="L295" s="43">
        <v>0</v>
      </c>
      <c r="M295" s="43">
        <v>0</v>
      </c>
      <c r="N295" s="43">
        <v>0</v>
      </c>
      <c r="O295" s="43">
        <v>0</v>
      </c>
      <c r="P295" s="43">
        <v>0</v>
      </c>
      <c r="Q295" s="43">
        <v>0</v>
      </c>
      <c r="R295" s="43">
        <v>0</v>
      </c>
      <c r="S295" s="43">
        <v>0</v>
      </c>
      <c r="T295" s="43">
        <v>0</v>
      </c>
      <c r="U295" s="43">
        <v>0</v>
      </c>
      <c r="V295" s="43">
        <v>0</v>
      </c>
      <c r="W295" s="43">
        <v>0</v>
      </c>
      <c r="X295" s="43">
        <v>0</v>
      </c>
      <c r="Y295" s="43">
        <v>0</v>
      </c>
      <c r="Z295" s="43">
        <v>0</v>
      </c>
      <c r="AA295" s="43">
        <v>0</v>
      </c>
      <c r="AB295" s="43">
        <v>0</v>
      </c>
      <c r="AC295" s="43">
        <v>0</v>
      </c>
      <c r="AD295" s="43">
        <v>0</v>
      </c>
      <c r="AE295" s="43">
        <v>0</v>
      </c>
      <c r="AF295" s="43">
        <v>0</v>
      </c>
      <c r="AG295" s="43">
        <v>0</v>
      </c>
      <c r="AH295" s="44">
        <v>0</v>
      </c>
    </row>
    <row r="296" spans="1:34" x14ac:dyDescent="0.35">
      <c r="A296" s="19">
        <f t="shared" si="13"/>
        <v>26</v>
      </c>
      <c r="B296" s="43" t="s">
        <v>59</v>
      </c>
      <c r="C296" s="43" t="s">
        <v>158</v>
      </c>
      <c r="D296" s="37">
        <v>5</v>
      </c>
      <c r="E296" s="37" t="s">
        <v>220</v>
      </c>
      <c r="F296" s="42"/>
      <c r="G296" s="43" t="s">
        <v>238</v>
      </c>
      <c r="H296" s="43">
        <v>0</v>
      </c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3"/>
      <c r="AG296" s="43"/>
      <c r="AH296" s="44"/>
    </row>
    <row r="297" spans="1:34" x14ac:dyDescent="0.35">
      <c r="A297" s="19">
        <f t="shared" si="13"/>
        <v>26</v>
      </c>
      <c r="B297" s="43" t="s">
        <v>59</v>
      </c>
      <c r="C297" s="43" t="s">
        <v>158</v>
      </c>
      <c r="D297" s="37">
        <v>6</v>
      </c>
      <c r="E297" s="37" t="s">
        <v>221</v>
      </c>
      <c r="F297" s="42" t="s">
        <v>239</v>
      </c>
      <c r="G297" s="43" t="s">
        <v>250</v>
      </c>
      <c r="H297" s="43">
        <v>0</v>
      </c>
      <c r="I297" s="43">
        <v>999</v>
      </c>
      <c r="J297" s="43">
        <v>999</v>
      </c>
      <c r="K297" s="43">
        <v>999</v>
      </c>
      <c r="L297" s="43">
        <v>999</v>
      </c>
      <c r="M297" s="43">
        <v>999</v>
      </c>
      <c r="N297" s="43">
        <v>999</v>
      </c>
      <c r="O297" s="43">
        <v>999</v>
      </c>
      <c r="P297" s="43">
        <v>999</v>
      </c>
      <c r="Q297" s="43">
        <v>999</v>
      </c>
      <c r="R297" s="43">
        <v>999</v>
      </c>
      <c r="S297" s="43">
        <v>999</v>
      </c>
      <c r="T297" s="43">
        <v>999</v>
      </c>
      <c r="U297" s="43">
        <v>999</v>
      </c>
      <c r="V297" s="43">
        <v>999</v>
      </c>
      <c r="W297" s="43">
        <v>999</v>
      </c>
      <c r="X297" s="43">
        <v>999</v>
      </c>
      <c r="Y297" s="43">
        <v>999</v>
      </c>
      <c r="Z297" s="43">
        <v>999</v>
      </c>
      <c r="AA297" s="43">
        <v>999</v>
      </c>
      <c r="AB297" s="43">
        <v>999</v>
      </c>
      <c r="AC297" s="43">
        <v>999</v>
      </c>
      <c r="AD297" s="43">
        <v>999</v>
      </c>
      <c r="AE297" s="43">
        <v>999</v>
      </c>
      <c r="AF297" s="43">
        <v>999</v>
      </c>
      <c r="AG297" s="43">
        <v>999</v>
      </c>
      <c r="AH297" s="44">
        <v>999</v>
      </c>
    </row>
    <row r="298" spans="1:34" x14ac:dyDescent="0.35">
      <c r="A298" s="19">
        <f t="shared" si="13"/>
        <v>26</v>
      </c>
      <c r="B298" s="43" t="s">
        <v>59</v>
      </c>
      <c r="C298" s="43" t="s">
        <v>158</v>
      </c>
      <c r="D298" s="37">
        <v>7</v>
      </c>
      <c r="E298" s="37" t="s">
        <v>222</v>
      </c>
      <c r="F298" s="42" t="s">
        <v>239</v>
      </c>
      <c r="G298" s="43" t="s">
        <v>250</v>
      </c>
      <c r="H298" s="43">
        <v>0</v>
      </c>
      <c r="I298" s="43">
        <v>0</v>
      </c>
      <c r="J298" s="43">
        <v>0</v>
      </c>
      <c r="K298" s="43">
        <v>0</v>
      </c>
      <c r="L298" s="43">
        <v>0</v>
      </c>
      <c r="M298" s="43">
        <v>0</v>
      </c>
      <c r="N298" s="43">
        <v>0</v>
      </c>
      <c r="O298" s="43">
        <v>0</v>
      </c>
      <c r="P298" s="43">
        <v>0</v>
      </c>
      <c r="Q298" s="43">
        <v>0</v>
      </c>
      <c r="R298" s="43">
        <v>0</v>
      </c>
      <c r="S298" s="43">
        <v>0</v>
      </c>
      <c r="T298" s="43">
        <v>0</v>
      </c>
      <c r="U298" s="43">
        <v>0</v>
      </c>
      <c r="V298" s="43">
        <v>0</v>
      </c>
      <c r="W298" s="43">
        <v>0</v>
      </c>
      <c r="X298" s="43">
        <v>0</v>
      </c>
      <c r="Y298" s="43">
        <v>0</v>
      </c>
      <c r="Z298" s="43">
        <v>0</v>
      </c>
      <c r="AA298" s="43">
        <v>0</v>
      </c>
      <c r="AB298" s="43">
        <v>0</v>
      </c>
      <c r="AC298" s="43">
        <v>0</v>
      </c>
      <c r="AD298" s="43">
        <v>0</v>
      </c>
      <c r="AE298" s="43">
        <v>0</v>
      </c>
      <c r="AF298" s="43">
        <v>0</v>
      </c>
      <c r="AG298" s="43">
        <v>0</v>
      </c>
      <c r="AH298" s="44">
        <v>0</v>
      </c>
    </row>
    <row r="299" spans="1:34" x14ac:dyDescent="0.35">
      <c r="A299" s="19">
        <f t="shared" si="13"/>
        <v>26</v>
      </c>
      <c r="B299" s="43" t="s">
        <v>59</v>
      </c>
      <c r="C299" s="43" t="s">
        <v>158</v>
      </c>
      <c r="D299" s="37">
        <v>8</v>
      </c>
      <c r="E299" s="37" t="s">
        <v>223</v>
      </c>
      <c r="F299" s="42"/>
      <c r="G299" s="43" t="s">
        <v>238</v>
      </c>
      <c r="H299" s="43">
        <v>0</v>
      </c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3"/>
      <c r="AG299" s="43"/>
      <c r="AH299" s="44"/>
    </row>
    <row r="300" spans="1:34" x14ac:dyDescent="0.35">
      <c r="A300" s="19">
        <f t="shared" si="13"/>
        <v>26</v>
      </c>
      <c r="B300" s="43" t="s">
        <v>59</v>
      </c>
      <c r="C300" s="43" t="s">
        <v>158</v>
      </c>
      <c r="D300" s="37">
        <v>9</v>
      </c>
      <c r="E300" s="37" t="s">
        <v>224</v>
      </c>
      <c r="F300" s="42" t="s">
        <v>242</v>
      </c>
      <c r="G300" s="43" t="s">
        <v>233</v>
      </c>
      <c r="H300" s="43">
        <v>0</v>
      </c>
      <c r="I300" s="43">
        <v>1</v>
      </c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3"/>
      <c r="AG300" s="43"/>
      <c r="AH300" s="44"/>
    </row>
    <row r="301" spans="1:34" ht="15" thickBot="1" x14ac:dyDescent="0.4">
      <c r="A301" s="20">
        <f t="shared" si="13"/>
        <v>26</v>
      </c>
      <c r="B301" s="46" t="s">
        <v>59</v>
      </c>
      <c r="C301" s="46" t="s">
        <v>158</v>
      </c>
      <c r="D301" s="38">
        <v>10</v>
      </c>
      <c r="E301" s="38" t="s">
        <v>225</v>
      </c>
      <c r="F301" s="45" t="s">
        <v>242</v>
      </c>
      <c r="G301" s="46" t="s">
        <v>233</v>
      </c>
      <c r="H301" s="46">
        <v>0</v>
      </c>
      <c r="I301" s="46">
        <v>1</v>
      </c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  <c r="AH301" s="47"/>
    </row>
    <row r="302" spans="1:34" x14ac:dyDescent="0.35">
      <c r="A302" s="18">
        <f>+A292+1</f>
        <v>27</v>
      </c>
      <c r="B302" s="40" t="s">
        <v>60</v>
      </c>
      <c r="C302" s="40" t="s">
        <v>159</v>
      </c>
      <c r="D302" s="32">
        <v>1</v>
      </c>
      <c r="E302" s="32" t="s">
        <v>216</v>
      </c>
      <c r="F302" s="39" t="s">
        <v>240</v>
      </c>
      <c r="G302" s="40" t="s">
        <v>233</v>
      </c>
      <c r="H302" s="40">
        <v>0</v>
      </c>
      <c r="I302" s="40">
        <v>1</v>
      </c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1"/>
    </row>
    <row r="303" spans="1:34" x14ac:dyDescent="0.35">
      <c r="A303" s="19">
        <f t="shared" si="13"/>
        <v>27</v>
      </c>
      <c r="B303" s="43" t="s">
        <v>60</v>
      </c>
      <c r="C303" s="43" t="s">
        <v>159</v>
      </c>
      <c r="D303" s="34">
        <v>2</v>
      </c>
      <c r="E303" s="34" t="s">
        <v>217</v>
      </c>
      <c r="F303" s="42" t="s">
        <v>240</v>
      </c>
      <c r="G303" s="43" t="s">
        <v>233</v>
      </c>
      <c r="H303" s="43">
        <v>0</v>
      </c>
      <c r="I303" s="43">
        <v>1</v>
      </c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  <c r="AH303" s="44"/>
    </row>
    <row r="304" spans="1:34" x14ac:dyDescent="0.35">
      <c r="A304" s="19">
        <f t="shared" si="13"/>
        <v>27</v>
      </c>
      <c r="B304" s="43" t="s">
        <v>60</v>
      </c>
      <c r="C304" s="43" t="s">
        <v>159</v>
      </c>
      <c r="D304" s="34">
        <v>3</v>
      </c>
      <c r="E304" s="34" t="s">
        <v>218</v>
      </c>
      <c r="F304" s="42" t="s">
        <v>240</v>
      </c>
      <c r="G304" s="43" t="s">
        <v>233</v>
      </c>
      <c r="H304" s="43">
        <v>0</v>
      </c>
      <c r="I304" s="43">
        <v>1</v>
      </c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3"/>
      <c r="AG304" s="43"/>
      <c r="AH304" s="44"/>
    </row>
    <row r="305" spans="1:34" x14ac:dyDescent="0.35">
      <c r="A305" s="19">
        <f t="shared" si="13"/>
        <v>27</v>
      </c>
      <c r="B305" s="43" t="s">
        <v>60</v>
      </c>
      <c r="C305" s="43" t="s">
        <v>159</v>
      </c>
      <c r="D305" s="34">
        <v>4</v>
      </c>
      <c r="E305" s="34" t="s">
        <v>219</v>
      </c>
      <c r="F305" s="42" t="s">
        <v>239</v>
      </c>
      <c r="G305" s="43" t="s">
        <v>250</v>
      </c>
      <c r="H305" s="43">
        <v>0</v>
      </c>
      <c r="I305" s="43">
        <v>0</v>
      </c>
      <c r="J305" s="43">
        <v>0</v>
      </c>
      <c r="K305" s="43">
        <v>0</v>
      </c>
      <c r="L305" s="43">
        <v>0</v>
      </c>
      <c r="M305" s="43">
        <v>0</v>
      </c>
      <c r="N305" s="43">
        <v>0</v>
      </c>
      <c r="O305" s="43">
        <v>0</v>
      </c>
      <c r="P305" s="43">
        <v>0</v>
      </c>
      <c r="Q305" s="43">
        <v>0</v>
      </c>
      <c r="R305" s="43">
        <v>0</v>
      </c>
      <c r="S305" s="43">
        <v>0</v>
      </c>
      <c r="T305" s="43">
        <v>0</v>
      </c>
      <c r="U305" s="43">
        <v>0</v>
      </c>
      <c r="V305" s="43">
        <v>0</v>
      </c>
      <c r="W305" s="43">
        <v>0</v>
      </c>
      <c r="X305" s="43">
        <v>0</v>
      </c>
      <c r="Y305" s="43">
        <v>0</v>
      </c>
      <c r="Z305" s="43">
        <v>0</v>
      </c>
      <c r="AA305" s="43">
        <v>0</v>
      </c>
      <c r="AB305" s="43">
        <v>0</v>
      </c>
      <c r="AC305" s="43">
        <v>0</v>
      </c>
      <c r="AD305" s="43">
        <v>0</v>
      </c>
      <c r="AE305" s="43">
        <v>0</v>
      </c>
      <c r="AF305" s="43">
        <v>0</v>
      </c>
      <c r="AG305" s="43">
        <v>0</v>
      </c>
      <c r="AH305" s="44">
        <v>0</v>
      </c>
    </row>
    <row r="306" spans="1:34" x14ac:dyDescent="0.35">
      <c r="A306" s="19">
        <f t="shared" si="13"/>
        <v>27</v>
      </c>
      <c r="B306" s="43" t="s">
        <v>60</v>
      </c>
      <c r="C306" s="43" t="s">
        <v>159</v>
      </c>
      <c r="D306" s="34">
        <v>5</v>
      </c>
      <c r="E306" s="34" t="s">
        <v>220</v>
      </c>
      <c r="F306" s="42"/>
      <c r="G306" s="43" t="s">
        <v>238</v>
      </c>
      <c r="H306" s="43">
        <v>0</v>
      </c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3"/>
      <c r="AG306" s="43"/>
      <c r="AH306" s="44"/>
    </row>
    <row r="307" spans="1:34" x14ac:dyDescent="0.35">
      <c r="A307" s="19">
        <f t="shared" si="13"/>
        <v>27</v>
      </c>
      <c r="B307" s="43" t="s">
        <v>60</v>
      </c>
      <c r="C307" s="43" t="s">
        <v>159</v>
      </c>
      <c r="D307" s="34">
        <v>6</v>
      </c>
      <c r="E307" s="34" t="s">
        <v>221</v>
      </c>
      <c r="F307" s="42" t="s">
        <v>239</v>
      </c>
      <c r="G307" s="43" t="s">
        <v>250</v>
      </c>
      <c r="H307" s="43">
        <v>0</v>
      </c>
      <c r="I307" s="43">
        <v>999</v>
      </c>
      <c r="J307" s="43">
        <v>999</v>
      </c>
      <c r="K307" s="43">
        <v>999</v>
      </c>
      <c r="L307" s="43">
        <v>999</v>
      </c>
      <c r="M307" s="43">
        <v>999</v>
      </c>
      <c r="N307" s="43">
        <v>999</v>
      </c>
      <c r="O307" s="43">
        <v>999</v>
      </c>
      <c r="P307" s="43">
        <v>999</v>
      </c>
      <c r="Q307" s="43">
        <v>999</v>
      </c>
      <c r="R307" s="43">
        <v>999</v>
      </c>
      <c r="S307" s="43">
        <v>999</v>
      </c>
      <c r="T307" s="43">
        <v>999</v>
      </c>
      <c r="U307" s="43">
        <v>999</v>
      </c>
      <c r="V307" s="43">
        <v>999</v>
      </c>
      <c r="W307" s="43">
        <v>999</v>
      </c>
      <c r="X307" s="43">
        <v>999</v>
      </c>
      <c r="Y307" s="43">
        <v>999</v>
      </c>
      <c r="Z307" s="43">
        <v>999</v>
      </c>
      <c r="AA307" s="43">
        <v>999</v>
      </c>
      <c r="AB307" s="43">
        <v>999</v>
      </c>
      <c r="AC307" s="43">
        <v>999</v>
      </c>
      <c r="AD307" s="43">
        <v>999</v>
      </c>
      <c r="AE307" s="43">
        <v>999</v>
      </c>
      <c r="AF307" s="43">
        <v>999</v>
      </c>
      <c r="AG307" s="43">
        <v>999</v>
      </c>
      <c r="AH307" s="44">
        <v>999</v>
      </c>
    </row>
    <row r="308" spans="1:34" x14ac:dyDescent="0.35">
      <c r="A308" s="19">
        <f t="shared" si="13"/>
        <v>27</v>
      </c>
      <c r="B308" s="43" t="s">
        <v>60</v>
      </c>
      <c r="C308" s="43" t="s">
        <v>159</v>
      </c>
      <c r="D308" s="34">
        <v>7</v>
      </c>
      <c r="E308" s="34" t="s">
        <v>222</v>
      </c>
      <c r="F308" s="42" t="s">
        <v>239</v>
      </c>
      <c r="G308" s="43" t="s">
        <v>250</v>
      </c>
      <c r="H308" s="43">
        <v>0</v>
      </c>
      <c r="I308" s="43">
        <v>0</v>
      </c>
      <c r="J308" s="43">
        <v>0</v>
      </c>
      <c r="K308" s="43">
        <v>0</v>
      </c>
      <c r="L308" s="43">
        <v>0</v>
      </c>
      <c r="M308" s="43">
        <v>0</v>
      </c>
      <c r="N308" s="43">
        <v>0</v>
      </c>
      <c r="O308" s="43">
        <v>0</v>
      </c>
      <c r="P308" s="43">
        <v>0</v>
      </c>
      <c r="Q308" s="43">
        <v>0</v>
      </c>
      <c r="R308" s="43">
        <v>0</v>
      </c>
      <c r="S308" s="43">
        <v>0</v>
      </c>
      <c r="T308" s="43">
        <v>0</v>
      </c>
      <c r="U308" s="43">
        <v>0</v>
      </c>
      <c r="V308" s="43">
        <v>0</v>
      </c>
      <c r="W308" s="43">
        <v>0</v>
      </c>
      <c r="X308" s="43">
        <v>0</v>
      </c>
      <c r="Y308" s="43">
        <v>0</v>
      </c>
      <c r="Z308" s="43">
        <v>0</v>
      </c>
      <c r="AA308" s="43">
        <v>0</v>
      </c>
      <c r="AB308" s="43">
        <v>0</v>
      </c>
      <c r="AC308" s="43">
        <v>0</v>
      </c>
      <c r="AD308" s="43">
        <v>0</v>
      </c>
      <c r="AE308" s="43">
        <v>0</v>
      </c>
      <c r="AF308" s="43">
        <v>0</v>
      </c>
      <c r="AG308" s="43">
        <v>0</v>
      </c>
      <c r="AH308" s="44">
        <v>0</v>
      </c>
    </row>
    <row r="309" spans="1:34" x14ac:dyDescent="0.35">
      <c r="A309" s="19">
        <f t="shared" si="13"/>
        <v>27</v>
      </c>
      <c r="B309" s="43" t="s">
        <v>60</v>
      </c>
      <c r="C309" s="43" t="s">
        <v>159</v>
      </c>
      <c r="D309" s="34">
        <v>8</v>
      </c>
      <c r="E309" s="34" t="s">
        <v>223</v>
      </c>
      <c r="F309" s="42"/>
      <c r="G309" s="43" t="s">
        <v>238</v>
      </c>
      <c r="H309" s="43">
        <v>0</v>
      </c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3"/>
      <c r="AG309" s="43"/>
      <c r="AH309" s="44"/>
    </row>
    <row r="310" spans="1:34" x14ac:dyDescent="0.35">
      <c r="A310" s="19">
        <f t="shared" si="13"/>
        <v>27</v>
      </c>
      <c r="B310" s="43" t="s">
        <v>60</v>
      </c>
      <c r="C310" s="43" t="s">
        <v>159</v>
      </c>
      <c r="D310" s="34">
        <v>9</v>
      </c>
      <c r="E310" s="34" t="s">
        <v>224</v>
      </c>
      <c r="F310" s="42" t="s">
        <v>242</v>
      </c>
      <c r="G310" s="43" t="s">
        <v>233</v>
      </c>
      <c r="H310" s="43">
        <v>0</v>
      </c>
      <c r="I310" s="43">
        <v>1</v>
      </c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  <c r="AF310" s="43"/>
      <c r="AG310" s="43"/>
      <c r="AH310" s="44"/>
    </row>
    <row r="311" spans="1:34" ht="15" thickBot="1" x14ac:dyDescent="0.4">
      <c r="A311" s="20">
        <f t="shared" si="13"/>
        <v>27</v>
      </c>
      <c r="B311" s="46" t="s">
        <v>60</v>
      </c>
      <c r="C311" s="46" t="s">
        <v>159</v>
      </c>
      <c r="D311" s="35">
        <v>10</v>
      </c>
      <c r="E311" s="35" t="s">
        <v>225</v>
      </c>
      <c r="F311" s="45" t="s">
        <v>242</v>
      </c>
      <c r="G311" s="46" t="s">
        <v>233</v>
      </c>
      <c r="H311" s="46">
        <v>0</v>
      </c>
      <c r="I311" s="46">
        <v>1</v>
      </c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  <c r="AG311" s="46"/>
      <c r="AH311" s="47"/>
    </row>
    <row r="312" spans="1:34" x14ac:dyDescent="0.35">
      <c r="A312" s="18">
        <f>+A302+1</f>
        <v>28</v>
      </c>
      <c r="B312" s="75" t="s">
        <v>253</v>
      </c>
      <c r="C312" s="40" t="s">
        <v>160</v>
      </c>
      <c r="D312" s="36">
        <v>1</v>
      </c>
      <c r="E312" s="36" t="s">
        <v>216</v>
      </c>
      <c r="F312" s="39" t="s">
        <v>240</v>
      </c>
      <c r="G312" s="40" t="s">
        <v>233</v>
      </c>
      <c r="H312" s="40">
        <v>0</v>
      </c>
      <c r="I312" s="40">
        <v>1</v>
      </c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1"/>
    </row>
    <row r="313" spans="1:34" x14ac:dyDescent="0.35">
      <c r="A313" s="19">
        <f t="shared" si="13"/>
        <v>28</v>
      </c>
      <c r="B313" s="76" t="s">
        <v>253</v>
      </c>
      <c r="C313" s="43" t="s">
        <v>160</v>
      </c>
      <c r="D313" s="37">
        <v>2</v>
      </c>
      <c r="E313" s="37" t="s">
        <v>217</v>
      </c>
      <c r="F313" s="42" t="s">
        <v>240</v>
      </c>
      <c r="G313" s="43" t="s">
        <v>233</v>
      </c>
      <c r="H313" s="43">
        <v>0</v>
      </c>
      <c r="I313" s="43">
        <v>1</v>
      </c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  <c r="AF313" s="43"/>
      <c r="AG313" s="43"/>
      <c r="AH313" s="44"/>
    </row>
    <row r="314" spans="1:34" x14ac:dyDescent="0.35">
      <c r="A314" s="19">
        <f t="shared" si="13"/>
        <v>28</v>
      </c>
      <c r="B314" s="76" t="s">
        <v>253</v>
      </c>
      <c r="C314" s="43" t="s">
        <v>160</v>
      </c>
      <c r="D314" s="37">
        <v>3</v>
      </c>
      <c r="E314" s="37" t="s">
        <v>218</v>
      </c>
      <c r="F314" s="42" t="s">
        <v>240</v>
      </c>
      <c r="G314" s="43" t="s">
        <v>233</v>
      </c>
      <c r="H314" s="43">
        <v>0</v>
      </c>
      <c r="I314" s="43">
        <v>1</v>
      </c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43"/>
      <c r="AG314" s="43"/>
      <c r="AH314" s="44"/>
    </row>
    <row r="315" spans="1:34" x14ac:dyDescent="0.35">
      <c r="A315" s="19">
        <f t="shared" si="13"/>
        <v>28</v>
      </c>
      <c r="B315" s="76" t="s">
        <v>253</v>
      </c>
      <c r="C315" s="43" t="s">
        <v>160</v>
      </c>
      <c r="D315" s="37">
        <v>4</v>
      </c>
      <c r="E315" s="37" t="s">
        <v>219</v>
      </c>
      <c r="F315" s="42" t="s">
        <v>239</v>
      </c>
      <c r="G315" s="43" t="s">
        <v>250</v>
      </c>
      <c r="H315" s="43">
        <v>0</v>
      </c>
      <c r="I315" s="43">
        <v>0</v>
      </c>
      <c r="J315" s="43">
        <v>0</v>
      </c>
      <c r="K315" s="43">
        <v>0</v>
      </c>
      <c r="L315" s="43">
        <v>0</v>
      </c>
      <c r="M315" s="43">
        <v>0</v>
      </c>
      <c r="N315" s="43">
        <v>0</v>
      </c>
      <c r="O315" s="43">
        <v>0</v>
      </c>
      <c r="P315" s="43">
        <v>0</v>
      </c>
      <c r="Q315" s="43">
        <v>0</v>
      </c>
      <c r="R315" s="43">
        <v>0</v>
      </c>
      <c r="S315" s="43">
        <v>0</v>
      </c>
      <c r="T315" s="43">
        <v>0</v>
      </c>
      <c r="U315" s="43">
        <v>0</v>
      </c>
      <c r="V315" s="43">
        <v>0</v>
      </c>
      <c r="W315" s="43">
        <v>0</v>
      </c>
      <c r="X315" s="43">
        <v>0</v>
      </c>
      <c r="Y315" s="43">
        <v>0</v>
      </c>
      <c r="Z315" s="43">
        <v>0</v>
      </c>
      <c r="AA315" s="43">
        <v>0</v>
      </c>
      <c r="AB315" s="43">
        <v>0</v>
      </c>
      <c r="AC315" s="43">
        <v>0</v>
      </c>
      <c r="AD315" s="43">
        <v>0</v>
      </c>
      <c r="AE315" s="43">
        <v>0</v>
      </c>
      <c r="AF315" s="43">
        <v>0</v>
      </c>
      <c r="AG315" s="43">
        <v>0</v>
      </c>
      <c r="AH315" s="44">
        <v>0</v>
      </c>
    </row>
    <row r="316" spans="1:34" x14ac:dyDescent="0.35">
      <c r="A316" s="19">
        <f t="shared" si="13"/>
        <v>28</v>
      </c>
      <c r="B316" s="76" t="s">
        <v>253</v>
      </c>
      <c r="C316" s="43" t="s">
        <v>160</v>
      </c>
      <c r="D316" s="37">
        <v>5</v>
      </c>
      <c r="E316" s="37" t="s">
        <v>220</v>
      </c>
      <c r="F316" s="42"/>
      <c r="G316" s="43" t="s">
        <v>238</v>
      </c>
      <c r="H316" s="43">
        <v>0</v>
      </c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  <c r="AF316" s="43"/>
      <c r="AG316" s="43"/>
      <c r="AH316" s="44"/>
    </row>
    <row r="317" spans="1:34" x14ac:dyDescent="0.35">
      <c r="A317" s="19">
        <f t="shared" si="13"/>
        <v>28</v>
      </c>
      <c r="B317" s="76" t="s">
        <v>253</v>
      </c>
      <c r="C317" s="43" t="s">
        <v>160</v>
      </c>
      <c r="D317" s="37">
        <v>6</v>
      </c>
      <c r="E317" s="37" t="s">
        <v>221</v>
      </c>
      <c r="F317" s="42" t="s">
        <v>239</v>
      </c>
      <c r="G317" s="43" t="s">
        <v>250</v>
      </c>
      <c r="H317" s="43">
        <v>0</v>
      </c>
      <c r="I317" s="43">
        <v>999</v>
      </c>
      <c r="J317" s="43">
        <v>999</v>
      </c>
      <c r="K317" s="43">
        <v>999</v>
      </c>
      <c r="L317" s="43">
        <v>999</v>
      </c>
      <c r="M317" s="43">
        <v>999</v>
      </c>
      <c r="N317" s="43">
        <v>999</v>
      </c>
      <c r="O317" s="43">
        <v>999</v>
      </c>
      <c r="P317" s="43">
        <v>999</v>
      </c>
      <c r="Q317" s="43">
        <v>999</v>
      </c>
      <c r="R317" s="43">
        <v>999</v>
      </c>
      <c r="S317" s="43">
        <v>999</v>
      </c>
      <c r="T317" s="43">
        <v>999</v>
      </c>
      <c r="U317" s="43">
        <v>999</v>
      </c>
      <c r="V317" s="43">
        <v>999</v>
      </c>
      <c r="W317" s="43">
        <v>999</v>
      </c>
      <c r="X317" s="43">
        <v>999</v>
      </c>
      <c r="Y317" s="43">
        <v>999</v>
      </c>
      <c r="Z317" s="43">
        <v>999</v>
      </c>
      <c r="AA317" s="43">
        <v>999</v>
      </c>
      <c r="AB317" s="43">
        <v>999</v>
      </c>
      <c r="AC317" s="43">
        <v>999</v>
      </c>
      <c r="AD317" s="43">
        <v>999</v>
      </c>
      <c r="AE317" s="43">
        <v>999</v>
      </c>
      <c r="AF317" s="43">
        <v>999</v>
      </c>
      <c r="AG317" s="43">
        <v>999</v>
      </c>
      <c r="AH317" s="44">
        <v>999</v>
      </c>
    </row>
    <row r="318" spans="1:34" x14ac:dyDescent="0.35">
      <c r="A318" s="19">
        <f t="shared" si="13"/>
        <v>28</v>
      </c>
      <c r="B318" s="76" t="s">
        <v>253</v>
      </c>
      <c r="C318" s="43" t="s">
        <v>160</v>
      </c>
      <c r="D318" s="37">
        <v>7</v>
      </c>
      <c r="E318" s="37" t="s">
        <v>222</v>
      </c>
      <c r="F318" s="42" t="s">
        <v>239</v>
      </c>
      <c r="G318" s="43" t="s">
        <v>250</v>
      </c>
      <c r="H318" s="43">
        <v>0</v>
      </c>
      <c r="I318" s="43">
        <v>0</v>
      </c>
      <c r="J318" s="43">
        <v>0</v>
      </c>
      <c r="K318" s="43">
        <v>0</v>
      </c>
      <c r="L318" s="43">
        <v>0</v>
      </c>
      <c r="M318" s="43">
        <v>0</v>
      </c>
      <c r="N318" s="43">
        <v>0</v>
      </c>
      <c r="O318" s="43">
        <v>0</v>
      </c>
      <c r="P318" s="43">
        <v>0</v>
      </c>
      <c r="Q318" s="43">
        <v>0</v>
      </c>
      <c r="R318" s="43">
        <v>0</v>
      </c>
      <c r="S318" s="43">
        <v>0</v>
      </c>
      <c r="T318" s="43">
        <v>0</v>
      </c>
      <c r="U318" s="43">
        <v>0</v>
      </c>
      <c r="V318" s="43">
        <v>0</v>
      </c>
      <c r="W318" s="43">
        <v>0</v>
      </c>
      <c r="X318" s="43">
        <v>0</v>
      </c>
      <c r="Y318" s="43">
        <v>0</v>
      </c>
      <c r="Z318" s="43">
        <v>0</v>
      </c>
      <c r="AA318" s="43">
        <v>0</v>
      </c>
      <c r="AB318" s="43">
        <v>0</v>
      </c>
      <c r="AC318" s="43">
        <v>0</v>
      </c>
      <c r="AD318" s="43">
        <v>0</v>
      </c>
      <c r="AE318" s="43">
        <v>0</v>
      </c>
      <c r="AF318" s="43">
        <v>0</v>
      </c>
      <c r="AG318" s="43">
        <v>0</v>
      </c>
      <c r="AH318" s="44">
        <v>0</v>
      </c>
    </row>
    <row r="319" spans="1:34" x14ac:dyDescent="0.35">
      <c r="A319" s="19">
        <f t="shared" si="13"/>
        <v>28</v>
      </c>
      <c r="B319" s="76" t="s">
        <v>253</v>
      </c>
      <c r="C319" s="43" t="s">
        <v>160</v>
      </c>
      <c r="D319" s="37">
        <v>8</v>
      </c>
      <c r="E319" s="37" t="s">
        <v>223</v>
      </c>
      <c r="F319" s="42"/>
      <c r="G319" s="43" t="s">
        <v>238</v>
      </c>
      <c r="H319" s="43">
        <v>0</v>
      </c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3"/>
      <c r="AE319" s="43"/>
      <c r="AF319" s="43"/>
      <c r="AG319" s="43"/>
      <c r="AH319" s="44"/>
    </row>
    <row r="320" spans="1:34" x14ac:dyDescent="0.35">
      <c r="A320" s="19">
        <f t="shared" si="13"/>
        <v>28</v>
      </c>
      <c r="B320" s="76" t="s">
        <v>253</v>
      </c>
      <c r="C320" s="43" t="s">
        <v>160</v>
      </c>
      <c r="D320" s="37">
        <v>9</v>
      </c>
      <c r="E320" s="37" t="s">
        <v>224</v>
      </c>
      <c r="F320" s="42" t="s">
        <v>242</v>
      </c>
      <c r="G320" s="43" t="s">
        <v>233</v>
      </c>
      <c r="H320" s="43">
        <v>0</v>
      </c>
      <c r="I320" s="43">
        <v>1</v>
      </c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  <c r="AF320" s="43"/>
      <c r="AG320" s="43"/>
      <c r="AH320" s="44"/>
    </row>
    <row r="321" spans="1:34" ht="15" thickBot="1" x14ac:dyDescent="0.4">
      <c r="A321" s="20">
        <f t="shared" si="13"/>
        <v>28</v>
      </c>
      <c r="B321" s="77" t="s">
        <v>253</v>
      </c>
      <c r="C321" s="46" t="s">
        <v>160</v>
      </c>
      <c r="D321" s="38">
        <v>10</v>
      </c>
      <c r="E321" s="38" t="s">
        <v>225</v>
      </c>
      <c r="F321" s="45" t="s">
        <v>242</v>
      </c>
      <c r="G321" s="46" t="s">
        <v>233</v>
      </c>
      <c r="H321" s="46">
        <v>0</v>
      </c>
      <c r="I321" s="46">
        <v>1</v>
      </c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  <c r="AG321" s="46"/>
      <c r="AH321" s="47"/>
    </row>
    <row r="322" spans="1:34" x14ac:dyDescent="0.35">
      <c r="A322" s="18">
        <f>+A312+1</f>
        <v>29</v>
      </c>
      <c r="B322" s="40" t="s">
        <v>61</v>
      </c>
      <c r="C322" s="40" t="s">
        <v>161</v>
      </c>
      <c r="D322" s="32">
        <v>1</v>
      </c>
      <c r="E322" s="32" t="s">
        <v>216</v>
      </c>
      <c r="F322" s="39" t="s">
        <v>240</v>
      </c>
      <c r="G322" s="40" t="s">
        <v>233</v>
      </c>
      <c r="H322" s="40">
        <v>0</v>
      </c>
      <c r="I322" s="40">
        <v>1</v>
      </c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1"/>
    </row>
    <row r="323" spans="1:34" x14ac:dyDescent="0.35">
      <c r="A323" s="19">
        <f t="shared" si="13"/>
        <v>29</v>
      </c>
      <c r="B323" s="43" t="s">
        <v>61</v>
      </c>
      <c r="C323" s="43" t="s">
        <v>161</v>
      </c>
      <c r="D323" s="34">
        <v>2</v>
      </c>
      <c r="E323" s="34" t="s">
        <v>217</v>
      </c>
      <c r="F323" s="42" t="s">
        <v>240</v>
      </c>
      <c r="G323" s="43" t="s">
        <v>233</v>
      </c>
      <c r="H323" s="43">
        <v>0</v>
      </c>
      <c r="I323" s="43">
        <v>1</v>
      </c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3"/>
      <c r="AG323" s="43"/>
      <c r="AH323" s="44"/>
    </row>
    <row r="324" spans="1:34" x14ac:dyDescent="0.35">
      <c r="A324" s="19">
        <f t="shared" si="13"/>
        <v>29</v>
      </c>
      <c r="B324" s="43" t="s">
        <v>61</v>
      </c>
      <c r="C324" s="43" t="s">
        <v>161</v>
      </c>
      <c r="D324" s="34">
        <v>3</v>
      </c>
      <c r="E324" s="34" t="s">
        <v>218</v>
      </c>
      <c r="F324" s="42" t="s">
        <v>240</v>
      </c>
      <c r="G324" s="43" t="s">
        <v>233</v>
      </c>
      <c r="H324" s="43">
        <v>0</v>
      </c>
      <c r="I324" s="43">
        <v>1</v>
      </c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3"/>
      <c r="AE324" s="43"/>
      <c r="AF324" s="43"/>
      <c r="AG324" s="43"/>
      <c r="AH324" s="44"/>
    </row>
    <row r="325" spans="1:34" x14ac:dyDescent="0.35">
      <c r="A325" s="19">
        <f t="shared" si="13"/>
        <v>29</v>
      </c>
      <c r="B325" s="43" t="s">
        <v>61</v>
      </c>
      <c r="C325" s="43" t="s">
        <v>161</v>
      </c>
      <c r="D325" s="34">
        <v>4</v>
      </c>
      <c r="E325" s="34" t="s">
        <v>219</v>
      </c>
      <c r="F325" s="42" t="s">
        <v>239</v>
      </c>
      <c r="G325" s="43" t="s">
        <v>250</v>
      </c>
      <c r="H325" s="43">
        <v>0</v>
      </c>
      <c r="I325" s="43">
        <v>0</v>
      </c>
      <c r="J325" s="43">
        <v>0</v>
      </c>
      <c r="K325" s="43">
        <v>0</v>
      </c>
      <c r="L325" s="43">
        <v>0</v>
      </c>
      <c r="M325" s="43">
        <v>0</v>
      </c>
      <c r="N325" s="43">
        <v>0</v>
      </c>
      <c r="O325" s="43">
        <v>0</v>
      </c>
      <c r="P325" s="43">
        <v>0</v>
      </c>
      <c r="Q325" s="43">
        <v>0</v>
      </c>
      <c r="R325" s="43">
        <v>0</v>
      </c>
      <c r="S325" s="43">
        <v>0</v>
      </c>
      <c r="T325" s="43">
        <v>0</v>
      </c>
      <c r="U325" s="43">
        <v>0</v>
      </c>
      <c r="V325" s="43">
        <v>0</v>
      </c>
      <c r="W325" s="43">
        <v>0</v>
      </c>
      <c r="X325" s="43">
        <v>0</v>
      </c>
      <c r="Y325" s="43">
        <v>0</v>
      </c>
      <c r="Z325" s="43">
        <v>0</v>
      </c>
      <c r="AA325" s="43">
        <v>0</v>
      </c>
      <c r="AB325" s="43">
        <v>0</v>
      </c>
      <c r="AC325" s="43">
        <v>0</v>
      </c>
      <c r="AD325" s="43">
        <v>0</v>
      </c>
      <c r="AE325" s="43">
        <v>0</v>
      </c>
      <c r="AF325" s="43">
        <v>0</v>
      </c>
      <c r="AG325" s="43">
        <v>0</v>
      </c>
      <c r="AH325" s="44">
        <v>0</v>
      </c>
    </row>
    <row r="326" spans="1:34" x14ac:dyDescent="0.35">
      <c r="A326" s="19">
        <f t="shared" si="13"/>
        <v>29</v>
      </c>
      <c r="B326" s="43" t="s">
        <v>61</v>
      </c>
      <c r="C326" s="43" t="s">
        <v>161</v>
      </c>
      <c r="D326" s="34">
        <v>5</v>
      </c>
      <c r="E326" s="34" t="s">
        <v>220</v>
      </c>
      <c r="F326" s="42"/>
      <c r="G326" s="43" t="s">
        <v>238</v>
      </c>
      <c r="H326" s="43">
        <v>0</v>
      </c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3"/>
      <c r="AG326" s="43"/>
      <c r="AH326" s="44"/>
    </row>
    <row r="327" spans="1:34" x14ac:dyDescent="0.35">
      <c r="A327" s="19">
        <f t="shared" si="13"/>
        <v>29</v>
      </c>
      <c r="B327" s="43" t="s">
        <v>61</v>
      </c>
      <c r="C327" s="43" t="s">
        <v>161</v>
      </c>
      <c r="D327" s="34">
        <v>6</v>
      </c>
      <c r="E327" s="34" t="s">
        <v>221</v>
      </c>
      <c r="F327" s="42" t="s">
        <v>239</v>
      </c>
      <c r="G327" s="43" t="s">
        <v>250</v>
      </c>
      <c r="H327" s="43">
        <v>0</v>
      </c>
      <c r="I327" s="43">
        <v>999</v>
      </c>
      <c r="J327" s="43">
        <v>999</v>
      </c>
      <c r="K327" s="43">
        <v>999</v>
      </c>
      <c r="L327" s="43">
        <v>999</v>
      </c>
      <c r="M327" s="43">
        <v>999</v>
      </c>
      <c r="N327" s="43">
        <v>999</v>
      </c>
      <c r="O327" s="43">
        <v>999</v>
      </c>
      <c r="P327" s="43">
        <v>999</v>
      </c>
      <c r="Q327" s="43">
        <v>999</v>
      </c>
      <c r="R327" s="43">
        <v>999</v>
      </c>
      <c r="S327" s="43">
        <v>999</v>
      </c>
      <c r="T327" s="43">
        <v>999</v>
      </c>
      <c r="U327" s="43">
        <v>999</v>
      </c>
      <c r="V327" s="43">
        <v>999</v>
      </c>
      <c r="W327" s="43">
        <v>999</v>
      </c>
      <c r="X327" s="43">
        <v>999</v>
      </c>
      <c r="Y327" s="43">
        <v>999</v>
      </c>
      <c r="Z327" s="43">
        <v>999</v>
      </c>
      <c r="AA327" s="43">
        <v>999</v>
      </c>
      <c r="AB327" s="43">
        <v>999</v>
      </c>
      <c r="AC327" s="43">
        <v>999</v>
      </c>
      <c r="AD327" s="43">
        <v>999</v>
      </c>
      <c r="AE327" s="43">
        <v>999</v>
      </c>
      <c r="AF327" s="43">
        <v>999</v>
      </c>
      <c r="AG327" s="43">
        <v>999</v>
      </c>
      <c r="AH327" s="44">
        <v>999</v>
      </c>
    </row>
    <row r="328" spans="1:34" x14ac:dyDescent="0.35">
      <c r="A328" s="19">
        <f t="shared" si="13"/>
        <v>29</v>
      </c>
      <c r="B328" s="43" t="s">
        <v>61</v>
      </c>
      <c r="C328" s="43" t="s">
        <v>161</v>
      </c>
      <c r="D328" s="34">
        <v>7</v>
      </c>
      <c r="E328" s="34" t="s">
        <v>222</v>
      </c>
      <c r="F328" s="42" t="s">
        <v>239</v>
      </c>
      <c r="G328" s="43" t="s">
        <v>250</v>
      </c>
      <c r="H328" s="43">
        <v>0</v>
      </c>
      <c r="I328" s="43">
        <v>0</v>
      </c>
      <c r="J328" s="43">
        <v>0</v>
      </c>
      <c r="K328" s="43">
        <v>0</v>
      </c>
      <c r="L328" s="43">
        <v>0</v>
      </c>
      <c r="M328" s="43">
        <v>0</v>
      </c>
      <c r="N328" s="43">
        <v>0</v>
      </c>
      <c r="O328" s="43">
        <v>0</v>
      </c>
      <c r="P328" s="43">
        <v>0</v>
      </c>
      <c r="Q328" s="43">
        <v>0</v>
      </c>
      <c r="R328" s="43">
        <v>0</v>
      </c>
      <c r="S328" s="43">
        <v>0</v>
      </c>
      <c r="T328" s="43">
        <v>0</v>
      </c>
      <c r="U328" s="43">
        <v>0</v>
      </c>
      <c r="V328" s="43">
        <v>0</v>
      </c>
      <c r="W328" s="43">
        <v>0</v>
      </c>
      <c r="X328" s="43">
        <v>0</v>
      </c>
      <c r="Y328" s="43">
        <v>0</v>
      </c>
      <c r="Z328" s="43">
        <v>0</v>
      </c>
      <c r="AA328" s="43">
        <v>0</v>
      </c>
      <c r="AB328" s="43">
        <v>0</v>
      </c>
      <c r="AC328" s="43">
        <v>0</v>
      </c>
      <c r="AD328" s="43">
        <v>0</v>
      </c>
      <c r="AE328" s="43">
        <v>0</v>
      </c>
      <c r="AF328" s="43">
        <v>0</v>
      </c>
      <c r="AG328" s="43">
        <v>0</v>
      </c>
      <c r="AH328" s="44">
        <v>0</v>
      </c>
    </row>
    <row r="329" spans="1:34" x14ac:dyDescent="0.35">
      <c r="A329" s="19">
        <f t="shared" si="13"/>
        <v>29</v>
      </c>
      <c r="B329" s="43" t="s">
        <v>61</v>
      </c>
      <c r="C329" s="43" t="s">
        <v>161</v>
      </c>
      <c r="D329" s="34">
        <v>8</v>
      </c>
      <c r="E329" s="34" t="s">
        <v>223</v>
      </c>
      <c r="F329" s="42"/>
      <c r="G329" s="43" t="s">
        <v>238</v>
      </c>
      <c r="H329" s="43">
        <v>0</v>
      </c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  <c r="AF329" s="43"/>
      <c r="AG329" s="43"/>
      <c r="AH329" s="44"/>
    </row>
    <row r="330" spans="1:34" x14ac:dyDescent="0.35">
      <c r="A330" s="19">
        <f t="shared" si="13"/>
        <v>29</v>
      </c>
      <c r="B330" s="43" t="s">
        <v>61</v>
      </c>
      <c r="C330" s="43" t="s">
        <v>161</v>
      </c>
      <c r="D330" s="34">
        <v>9</v>
      </c>
      <c r="E330" s="34" t="s">
        <v>224</v>
      </c>
      <c r="F330" s="42" t="s">
        <v>242</v>
      </c>
      <c r="G330" s="43" t="s">
        <v>233</v>
      </c>
      <c r="H330" s="43">
        <v>0</v>
      </c>
      <c r="I330" s="43">
        <v>1</v>
      </c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3"/>
      <c r="AE330" s="43"/>
      <c r="AF330" s="43"/>
      <c r="AG330" s="43"/>
      <c r="AH330" s="44"/>
    </row>
    <row r="331" spans="1:34" ht="15" thickBot="1" x14ac:dyDescent="0.4">
      <c r="A331" s="20">
        <f t="shared" si="13"/>
        <v>29</v>
      </c>
      <c r="B331" s="46" t="s">
        <v>61</v>
      </c>
      <c r="C331" s="46" t="s">
        <v>161</v>
      </c>
      <c r="D331" s="35">
        <v>10</v>
      </c>
      <c r="E331" s="35" t="s">
        <v>225</v>
      </c>
      <c r="F331" s="45" t="s">
        <v>242</v>
      </c>
      <c r="G331" s="46" t="s">
        <v>233</v>
      </c>
      <c r="H331" s="46">
        <v>0</v>
      </c>
      <c r="I331" s="46">
        <v>1</v>
      </c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7"/>
    </row>
    <row r="332" spans="1:34" x14ac:dyDescent="0.35">
      <c r="A332" s="18">
        <f>+A322+1</f>
        <v>30</v>
      </c>
      <c r="B332" s="72" t="s">
        <v>272</v>
      </c>
      <c r="C332" s="40" t="s">
        <v>275</v>
      </c>
      <c r="D332" s="32">
        <v>1</v>
      </c>
      <c r="E332" s="32" t="s">
        <v>216</v>
      </c>
      <c r="F332" s="39" t="s">
        <v>240</v>
      </c>
      <c r="G332" s="40" t="s">
        <v>233</v>
      </c>
      <c r="H332" s="40">
        <v>0</v>
      </c>
      <c r="I332" s="40">
        <v>1</v>
      </c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1"/>
    </row>
    <row r="333" spans="1:34" x14ac:dyDescent="0.35">
      <c r="A333" s="19">
        <f t="shared" si="13"/>
        <v>30</v>
      </c>
      <c r="B333" s="73" t="s">
        <v>272</v>
      </c>
      <c r="C333" s="43" t="s">
        <v>275</v>
      </c>
      <c r="D333" s="34">
        <v>2</v>
      </c>
      <c r="E333" s="34" t="s">
        <v>217</v>
      </c>
      <c r="F333" s="42" t="s">
        <v>240</v>
      </c>
      <c r="G333" s="43" t="s">
        <v>233</v>
      </c>
      <c r="H333" s="43">
        <v>0</v>
      </c>
      <c r="I333" s="43">
        <v>1</v>
      </c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3"/>
      <c r="AE333" s="43"/>
      <c r="AF333" s="43"/>
      <c r="AG333" s="43"/>
      <c r="AH333" s="44"/>
    </row>
    <row r="334" spans="1:34" x14ac:dyDescent="0.35">
      <c r="A334" s="19">
        <f t="shared" si="13"/>
        <v>30</v>
      </c>
      <c r="B334" s="73" t="s">
        <v>272</v>
      </c>
      <c r="C334" s="43" t="s">
        <v>275</v>
      </c>
      <c r="D334" s="34">
        <v>3</v>
      </c>
      <c r="E334" s="34" t="s">
        <v>218</v>
      </c>
      <c r="F334" s="42" t="s">
        <v>240</v>
      </c>
      <c r="G334" s="43" t="s">
        <v>233</v>
      </c>
      <c r="H334" s="43">
        <v>0</v>
      </c>
      <c r="I334" s="43">
        <v>1</v>
      </c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3"/>
      <c r="AG334" s="43"/>
      <c r="AH334" s="44"/>
    </row>
    <row r="335" spans="1:34" x14ac:dyDescent="0.35">
      <c r="A335" s="19">
        <f t="shared" si="13"/>
        <v>30</v>
      </c>
      <c r="B335" s="73" t="s">
        <v>272</v>
      </c>
      <c r="C335" s="43" t="s">
        <v>275</v>
      </c>
      <c r="D335" s="34">
        <v>4</v>
      </c>
      <c r="E335" s="34" t="s">
        <v>219</v>
      </c>
      <c r="F335" s="42" t="s">
        <v>239</v>
      </c>
      <c r="G335" s="43" t="s">
        <v>250</v>
      </c>
      <c r="H335" s="43">
        <v>0</v>
      </c>
      <c r="I335" s="43">
        <v>0</v>
      </c>
      <c r="J335" s="43">
        <v>0</v>
      </c>
      <c r="K335" s="43">
        <v>0</v>
      </c>
      <c r="L335" s="43">
        <v>0</v>
      </c>
      <c r="M335" s="43">
        <v>0</v>
      </c>
      <c r="N335" s="43">
        <v>0</v>
      </c>
      <c r="O335" s="43">
        <v>0</v>
      </c>
      <c r="P335" s="43">
        <v>0</v>
      </c>
      <c r="Q335" s="43">
        <v>0</v>
      </c>
      <c r="R335" s="43">
        <v>0</v>
      </c>
      <c r="S335" s="43">
        <v>0</v>
      </c>
      <c r="T335" s="43">
        <v>0</v>
      </c>
      <c r="U335" s="43">
        <v>0</v>
      </c>
      <c r="V335" s="43">
        <v>0</v>
      </c>
      <c r="W335" s="43">
        <v>0</v>
      </c>
      <c r="X335" s="43">
        <v>0</v>
      </c>
      <c r="Y335" s="43">
        <v>0</v>
      </c>
      <c r="Z335" s="43">
        <v>0</v>
      </c>
      <c r="AA335" s="43">
        <v>0</v>
      </c>
      <c r="AB335" s="43">
        <v>0</v>
      </c>
      <c r="AC335" s="43">
        <v>0</v>
      </c>
      <c r="AD335" s="43">
        <v>0</v>
      </c>
      <c r="AE335" s="43">
        <v>0</v>
      </c>
      <c r="AF335" s="43">
        <v>0</v>
      </c>
      <c r="AG335" s="43">
        <v>0</v>
      </c>
      <c r="AH335" s="44">
        <v>0</v>
      </c>
    </row>
    <row r="336" spans="1:34" x14ac:dyDescent="0.35">
      <c r="A336" s="19">
        <f t="shared" si="13"/>
        <v>30</v>
      </c>
      <c r="B336" s="73" t="s">
        <v>272</v>
      </c>
      <c r="C336" s="43" t="s">
        <v>275</v>
      </c>
      <c r="D336" s="34">
        <v>5</v>
      </c>
      <c r="E336" s="34" t="s">
        <v>220</v>
      </c>
      <c r="F336" s="42"/>
      <c r="G336" s="43" t="s">
        <v>238</v>
      </c>
      <c r="H336" s="43">
        <v>0</v>
      </c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  <c r="AD336" s="43"/>
      <c r="AE336" s="43"/>
      <c r="AF336" s="43"/>
      <c r="AG336" s="43"/>
      <c r="AH336" s="44"/>
    </row>
    <row r="337" spans="1:34" x14ac:dyDescent="0.35">
      <c r="A337" s="19">
        <f t="shared" si="13"/>
        <v>30</v>
      </c>
      <c r="B337" s="73" t="s">
        <v>272</v>
      </c>
      <c r="C337" s="43" t="s">
        <v>275</v>
      </c>
      <c r="D337" s="34">
        <v>6</v>
      </c>
      <c r="E337" s="34" t="s">
        <v>221</v>
      </c>
      <c r="F337" s="42" t="s">
        <v>239</v>
      </c>
      <c r="G337" s="43" t="s">
        <v>250</v>
      </c>
      <c r="H337" s="43">
        <v>0</v>
      </c>
      <c r="I337" s="43">
        <v>999</v>
      </c>
      <c r="J337" s="43">
        <v>999</v>
      </c>
      <c r="K337" s="43">
        <v>999</v>
      </c>
      <c r="L337" s="43">
        <v>999</v>
      </c>
      <c r="M337" s="43">
        <v>999</v>
      </c>
      <c r="N337" s="43">
        <v>999</v>
      </c>
      <c r="O337" s="43">
        <v>999</v>
      </c>
      <c r="P337" s="43">
        <v>999</v>
      </c>
      <c r="Q337" s="43">
        <v>999</v>
      </c>
      <c r="R337" s="43">
        <v>999</v>
      </c>
      <c r="S337" s="43">
        <v>999</v>
      </c>
      <c r="T337" s="43">
        <v>999</v>
      </c>
      <c r="U337" s="43">
        <v>999</v>
      </c>
      <c r="V337" s="43">
        <v>999</v>
      </c>
      <c r="W337" s="43">
        <v>999</v>
      </c>
      <c r="X337" s="43">
        <v>999</v>
      </c>
      <c r="Y337" s="43">
        <v>999</v>
      </c>
      <c r="Z337" s="43">
        <v>999</v>
      </c>
      <c r="AA337" s="43">
        <v>999</v>
      </c>
      <c r="AB337" s="43">
        <v>999</v>
      </c>
      <c r="AC337" s="43">
        <v>999</v>
      </c>
      <c r="AD337" s="43">
        <v>999</v>
      </c>
      <c r="AE337" s="43">
        <v>999</v>
      </c>
      <c r="AF337" s="43">
        <v>999</v>
      </c>
      <c r="AG337" s="43">
        <v>999</v>
      </c>
      <c r="AH337" s="44">
        <v>999</v>
      </c>
    </row>
    <row r="338" spans="1:34" x14ac:dyDescent="0.35">
      <c r="A338" s="19">
        <f t="shared" si="13"/>
        <v>30</v>
      </c>
      <c r="B338" s="73" t="s">
        <v>272</v>
      </c>
      <c r="C338" s="43" t="s">
        <v>275</v>
      </c>
      <c r="D338" s="34">
        <v>7</v>
      </c>
      <c r="E338" s="34" t="s">
        <v>222</v>
      </c>
      <c r="F338" s="42" t="s">
        <v>239</v>
      </c>
      <c r="G338" s="43" t="s">
        <v>250</v>
      </c>
      <c r="H338" s="43">
        <v>0</v>
      </c>
      <c r="I338" s="43">
        <v>0</v>
      </c>
      <c r="J338" s="43">
        <v>0</v>
      </c>
      <c r="K338" s="43">
        <v>0</v>
      </c>
      <c r="L338" s="43">
        <v>0</v>
      </c>
      <c r="M338" s="43">
        <v>0</v>
      </c>
      <c r="N338" s="43">
        <v>0</v>
      </c>
      <c r="O338" s="43">
        <v>0</v>
      </c>
      <c r="P338" s="43">
        <v>0</v>
      </c>
      <c r="Q338" s="43">
        <v>0</v>
      </c>
      <c r="R338" s="43">
        <v>0</v>
      </c>
      <c r="S338" s="43">
        <v>0</v>
      </c>
      <c r="T338" s="43">
        <v>0</v>
      </c>
      <c r="U338" s="43">
        <v>0</v>
      </c>
      <c r="V338" s="43">
        <v>0</v>
      </c>
      <c r="W338" s="43">
        <v>0</v>
      </c>
      <c r="X338" s="43">
        <v>0</v>
      </c>
      <c r="Y338" s="43">
        <v>0</v>
      </c>
      <c r="Z338" s="43">
        <v>0</v>
      </c>
      <c r="AA338" s="43">
        <v>0</v>
      </c>
      <c r="AB338" s="43">
        <v>0</v>
      </c>
      <c r="AC338" s="43">
        <v>0</v>
      </c>
      <c r="AD338" s="43">
        <v>0</v>
      </c>
      <c r="AE338" s="43">
        <v>0</v>
      </c>
      <c r="AF338" s="43">
        <v>0</v>
      </c>
      <c r="AG338" s="43">
        <v>0</v>
      </c>
      <c r="AH338" s="44">
        <v>0</v>
      </c>
    </row>
    <row r="339" spans="1:34" x14ac:dyDescent="0.35">
      <c r="A339" s="19">
        <f t="shared" si="13"/>
        <v>30</v>
      </c>
      <c r="B339" s="73" t="s">
        <v>272</v>
      </c>
      <c r="C339" s="43" t="s">
        <v>275</v>
      </c>
      <c r="D339" s="34">
        <v>8</v>
      </c>
      <c r="E339" s="34" t="s">
        <v>223</v>
      </c>
      <c r="F339" s="42"/>
      <c r="G339" s="43" t="s">
        <v>238</v>
      </c>
      <c r="H339" s="43">
        <v>0</v>
      </c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  <c r="AF339" s="43"/>
      <c r="AG339" s="43"/>
      <c r="AH339" s="44"/>
    </row>
    <row r="340" spans="1:34" x14ac:dyDescent="0.35">
      <c r="A340" s="19">
        <f t="shared" si="13"/>
        <v>30</v>
      </c>
      <c r="B340" s="73" t="s">
        <v>272</v>
      </c>
      <c r="C340" s="43" t="s">
        <v>275</v>
      </c>
      <c r="D340" s="34">
        <v>9</v>
      </c>
      <c r="E340" s="34" t="s">
        <v>224</v>
      </c>
      <c r="F340" s="42" t="s">
        <v>242</v>
      </c>
      <c r="G340" s="43" t="s">
        <v>233</v>
      </c>
      <c r="H340" s="43">
        <v>0</v>
      </c>
      <c r="I340" s="43">
        <v>1</v>
      </c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3"/>
      <c r="AE340" s="43"/>
      <c r="AF340" s="43"/>
      <c r="AG340" s="43"/>
      <c r="AH340" s="44"/>
    </row>
    <row r="341" spans="1:34" ht="15" thickBot="1" x14ac:dyDescent="0.4">
      <c r="A341" s="20">
        <f t="shared" si="13"/>
        <v>30</v>
      </c>
      <c r="B341" s="74" t="s">
        <v>272</v>
      </c>
      <c r="C341" s="46" t="s">
        <v>275</v>
      </c>
      <c r="D341" s="35">
        <v>10</v>
      </c>
      <c r="E341" s="35" t="s">
        <v>225</v>
      </c>
      <c r="F341" s="45" t="s">
        <v>242</v>
      </c>
      <c r="G341" s="46" t="s">
        <v>233</v>
      </c>
      <c r="H341" s="46">
        <v>0</v>
      </c>
      <c r="I341" s="46">
        <v>1</v>
      </c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  <c r="AG341" s="46"/>
      <c r="AH341" s="47"/>
    </row>
    <row r="342" spans="1:34" x14ac:dyDescent="0.35">
      <c r="A342" s="18">
        <f>+A332+1</f>
        <v>31</v>
      </c>
      <c r="B342" s="72" t="s">
        <v>273</v>
      </c>
      <c r="C342" s="40" t="s">
        <v>276</v>
      </c>
      <c r="D342" s="32">
        <v>1</v>
      </c>
      <c r="E342" s="32" t="s">
        <v>216</v>
      </c>
      <c r="F342" s="39" t="s">
        <v>240</v>
      </c>
      <c r="G342" s="40" t="s">
        <v>233</v>
      </c>
      <c r="H342" s="40">
        <v>0</v>
      </c>
      <c r="I342" s="40">
        <v>1</v>
      </c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1"/>
    </row>
    <row r="343" spans="1:34" x14ac:dyDescent="0.35">
      <c r="A343" s="19">
        <f t="shared" si="13"/>
        <v>31</v>
      </c>
      <c r="B343" s="73" t="s">
        <v>273</v>
      </c>
      <c r="C343" s="43" t="s">
        <v>276</v>
      </c>
      <c r="D343" s="34">
        <v>2</v>
      </c>
      <c r="E343" s="34" t="s">
        <v>217</v>
      </c>
      <c r="F343" s="42" t="s">
        <v>240</v>
      </c>
      <c r="G343" s="43" t="s">
        <v>233</v>
      </c>
      <c r="H343" s="43">
        <v>0</v>
      </c>
      <c r="I343" s="43">
        <v>1</v>
      </c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3"/>
      <c r="AE343" s="43"/>
      <c r="AF343" s="43"/>
      <c r="AG343" s="43"/>
      <c r="AH343" s="44"/>
    </row>
    <row r="344" spans="1:34" x14ac:dyDescent="0.35">
      <c r="A344" s="19">
        <f t="shared" si="13"/>
        <v>31</v>
      </c>
      <c r="B344" s="73" t="s">
        <v>273</v>
      </c>
      <c r="C344" s="43" t="s">
        <v>276</v>
      </c>
      <c r="D344" s="34">
        <v>3</v>
      </c>
      <c r="E344" s="34" t="s">
        <v>218</v>
      </c>
      <c r="F344" s="42" t="s">
        <v>240</v>
      </c>
      <c r="G344" s="43" t="s">
        <v>233</v>
      </c>
      <c r="H344" s="43">
        <v>0</v>
      </c>
      <c r="I344" s="43">
        <v>1</v>
      </c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  <c r="AD344" s="43"/>
      <c r="AE344" s="43"/>
      <c r="AF344" s="43"/>
      <c r="AG344" s="43"/>
      <c r="AH344" s="44"/>
    </row>
    <row r="345" spans="1:34" x14ac:dyDescent="0.35">
      <c r="A345" s="19">
        <f t="shared" si="13"/>
        <v>31</v>
      </c>
      <c r="B345" s="73" t="s">
        <v>273</v>
      </c>
      <c r="C345" s="43" t="s">
        <v>276</v>
      </c>
      <c r="D345" s="34">
        <v>4</v>
      </c>
      <c r="E345" s="34" t="s">
        <v>219</v>
      </c>
      <c r="F345" s="42" t="s">
        <v>239</v>
      </c>
      <c r="G345" s="43" t="s">
        <v>250</v>
      </c>
      <c r="H345" s="43">
        <v>0</v>
      </c>
      <c r="I345" s="43">
        <v>0</v>
      </c>
      <c r="J345" s="43">
        <v>0</v>
      </c>
      <c r="K345" s="43">
        <v>0</v>
      </c>
      <c r="L345" s="43">
        <v>0</v>
      </c>
      <c r="M345" s="43">
        <v>0</v>
      </c>
      <c r="N345" s="43">
        <v>0</v>
      </c>
      <c r="O345" s="43">
        <v>0</v>
      </c>
      <c r="P345" s="43">
        <v>0</v>
      </c>
      <c r="Q345" s="43">
        <v>0</v>
      </c>
      <c r="R345" s="43">
        <v>0</v>
      </c>
      <c r="S345" s="43">
        <v>0</v>
      </c>
      <c r="T345" s="43">
        <v>0</v>
      </c>
      <c r="U345" s="43">
        <v>0</v>
      </c>
      <c r="V345" s="43">
        <v>0</v>
      </c>
      <c r="W345" s="43">
        <v>0</v>
      </c>
      <c r="X345" s="43">
        <v>0</v>
      </c>
      <c r="Y345" s="43">
        <v>0</v>
      </c>
      <c r="Z345" s="43">
        <v>0</v>
      </c>
      <c r="AA345" s="43">
        <v>0</v>
      </c>
      <c r="AB345" s="43">
        <v>0</v>
      </c>
      <c r="AC345" s="43">
        <v>0</v>
      </c>
      <c r="AD345" s="43">
        <v>0</v>
      </c>
      <c r="AE345" s="43">
        <v>0</v>
      </c>
      <c r="AF345" s="43">
        <v>0</v>
      </c>
      <c r="AG345" s="43">
        <v>0</v>
      </c>
      <c r="AH345" s="44">
        <v>0</v>
      </c>
    </row>
    <row r="346" spans="1:34" x14ac:dyDescent="0.35">
      <c r="A346" s="19">
        <f t="shared" si="13"/>
        <v>31</v>
      </c>
      <c r="B346" s="73" t="s">
        <v>273</v>
      </c>
      <c r="C346" s="43" t="s">
        <v>276</v>
      </c>
      <c r="D346" s="34">
        <v>5</v>
      </c>
      <c r="E346" s="34" t="s">
        <v>220</v>
      </c>
      <c r="F346" s="42"/>
      <c r="G346" s="43" t="s">
        <v>238</v>
      </c>
      <c r="H346" s="43">
        <v>0</v>
      </c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3"/>
      <c r="AE346" s="43"/>
      <c r="AF346" s="43"/>
      <c r="AG346" s="43"/>
      <c r="AH346" s="44"/>
    </row>
    <row r="347" spans="1:34" x14ac:dyDescent="0.35">
      <c r="A347" s="19">
        <f t="shared" si="13"/>
        <v>31</v>
      </c>
      <c r="B347" s="73" t="s">
        <v>273</v>
      </c>
      <c r="C347" s="43" t="s">
        <v>276</v>
      </c>
      <c r="D347" s="34">
        <v>6</v>
      </c>
      <c r="E347" s="34" t="s">
        <v>221</v>
      </c>
      <c r="F347" s="42" t="s">
        <v>239</v>
      </c>
      <c r="G347" s="43" t="s">
        <v>250</v>
      </c>
      <c r="H347" s="43">
        <v>0</v>
      </c>
      <c r="I347" s="43">
        <v>999</v>
      </c>
      <c r="J347" s="43">
        <v>999</v>
      </c>
      <c r="K347" s="43">
        <v>999</v>
      </c>
      <c r="L347" s="43">
        <v>999</v>
      </c>
      <c r="M347" s="43">
        <v>999</v>
      </c>
      <c r="N347" s="43">
        <v>999</v>
      </c>
      <c r="O347" s="43">
        <v>999</v>
      </c>
      <c r="P347" s="43">
        <v>999</v>
      </c>
      <c r="Q347" s="43">
        <v>999</v>
      </c>
      <c r="R347" s="43">
        <v>999</v>
      </c>
      <c r="S347" s="43">
        <v>999</v>
      </c>
      <c r="T347" s="43">
        <v>999</v>
      </c>
      <c r="U347" s="43">
        <v>999</v>
      </c>
      <c r="V347" s="43">
        <v>999</v>
      </c>
      <c r="W347" s="43">
        <v>999</v>
      </c>
      <c r="X347" s="43">
        <v>999</v>
      </c>
      <c r="Y347" s="43">
        <v>999</v>
      </c>
      <c r="Z347" s="43">
        <v>999</v>
      </c>
      <c r="AA347" s="43">
        <v>999</v>
      </c>
      <c r="AB347" s="43">
        <v>999</v>
      </c>
      <c r="AC347" s="43">
        <v>999</v>
      </c>
      <c r="AD347" s="43">
        <v>999</v>
      </c>
      <c r="AE347" s="43">
        <v>999</v>
      </c>
      <c r="AF347" s="43">
        <v>999</v>
      </c>
      <c r="AG347" s="43">
        <v>999</v>
      </c>
      <c r="AH347" s="44">
        <v>999</v>
      </c>
    </row>
    <row r="348" spans="1:34" x14ac:dyDescent="0.35">
      <c r="A348" s="19">
        <f t="shared" si="13"/>
        <v>31</v>
      </c>
      <c r="B348" s="73" t="s">
        <v>273</v>
      </c>
      <c r="C348" s="43" t="s">
        <v>276</v>
      </c>
      <c r="D348" s="34">
        <v>7</v>
      </c>
      <c r="E348" s="34" t="s">
        <v>222</v>
      </c>
      <c r="F348" s="42" t="s">
        <v>239</v>
      </c>
      <c r="G348" s="43" t="s">
        <v>250</v>
      </c>
      <c r="H348" s="43">
        <v>0</v>
      </c>
      <c r="I348" s="43">
        <v>0</v>
      </c>
      <c r="J348" s="43">
        <v>0</v>
      </c>
      <c r="K348" s="43">
        <v>0</v>
      </c>
      <c r="L348" s="43">
        <v>0</v>
      </c>
      <c r="M348" s="43">
        <v>0</v>
      </c>
      <c r="N348" s="43">
        <v>0</v>
      </c>
      <c r="O348" s="43">
        <v>0</v>
      </c>
      <c r="P348" s="43">
        <v>0</v>
      </c>
      <c r="Q348" s="43">
        <v>0</v>
      </c>
      <c r="R348" s="43">
        <v>0</v>
      </c>
      <c r="S348" s="43">
        <v>0</v>
      </c>
      <c r="T348" s="43">
        <v>0</v>
      </c>
      <c r="U348" s="43">
        <v>0</v>
      </c>
      <c r="V348" s="43">
        <v>0</v>
      </c>
      <c r="W348" s="43">
        <v>0</v>
      </c>
      <c r="X348" s="43">
        <v>0</v>
      </c>
      <c r="Y348" s="43">
        <v>0</v>
      </c>
      <c r="Z348" s="43">
        <v>0</v>
      </c>
      <c r="AA348" s="43">
        <v>0</v>
      </c>
      <c r="AB348" s="43">
        <v>0</v>
      </c>
      <c r="AC348" s="43">
        <v>0</v>
      </c>
      <c r="AD348" s="43">
        <v>0</v>
      </c>
      <c r="AE348" s="43">
        <v>0</v>
      </c>
      <c r="AF348" s="43">
        <v>0</v>
      </c>
      <c r="AG348" s="43">
        <v>0</v>
      </c>
      <c r="AH348" s="44">
        <v>0</v>
      </c>
    </row>
    <row r="349" spans="1:34" x14ac:dyDescent="0.35">
      <c r="A349" s="19">
        <f t="shared" si="13"/>
        <v>31</v>
      </c>
      <c r="B349" s="73" t="s">
        <v>273</v>
      </c>
      <c r="C349" s="43" t="s">
        <v>276</v>
      </c>
      <c r="D349" s="34">
        <v>8</v>
      </c>
      <c r="E349" s="34" t="s">
        <v>223</v>
      </c>
      <c r="F349" s="42"/>
      <c r="G349" s="43" t="s">
        <v>238</v>
      </c>
      <c r="H349" s="43">
        <v>0</v>
      </c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3"/>
      <c r="AE349" s="43"/>
      <c r="AF349" s="43"/>
      <c r="AG349" s="43"/>
      <c r="AH349" s="44"/>
    </row>
    <row r="350" spans="1:34" x14ac:dyDescent="0.35">
      <c r="A350" s="19">
        <f t="shared" si="13"/>
        <v>31</v>
      </c>
      <c r="B350" s="73" t="s">
        <v>273</v>
      </c>
      <c r="C350" s="43" t="s">
        <v>276</v>
      </c>
      <c r="D350" s="34">
        <v>9</v>
      </c>
      <c r="E350" s="34" t="s">
        <v>224</v>
      </c>
      <c r="F350" s="42" t="s">
        <v>242</v>
      </c>
      <c r="G350" s="43" t="s">
        <v>233</v>
      </c>
      <c r="H350" s="43">
        <v>0</v>
      </c>
      <c r="I350" s="43">
        <v>1</v>
      </c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  <c r="AC350" s="43"/>
      <c r="AD350" s="43"/>
      <c r="AE350" s="43"/>
      <c r="AF350" s="43"/>
      <c r="AG350" s="43"/>
      <c r="AH350" s="44"/>
    </row>
    <row r="351" spans="1:34" ht="15" thickBot="1" x14ac:dyDescent="0.4">
      <c r="A351" s="20">
        <f t="shared" si="13"/>
        <v>31</v>
      </c>
      <c r="B351" s="74" t="s">
        <v>273</v>
      </c>
      <c r="C351" s="46" t="s">
        <v>276</v>
      </c>
      <c r="D351" s="35">
        <v>10</v>
      </c>
      <c r="E351" s="35" t="s">
        <v>225</v>
      </c>
      <c r="F351" s="45" t="s">
        <v>242</v>
      </c>
      <c r="G351" s="46" t="s">
        <v>233</v>
      </c>
      <c r="H351" s="46">
        <v>0</v>
      </c>
      <c r="I351" s="46">
        <v>1</v>
      </c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  <c r="AG351" s="46"/>
      <c r="AH351" s="47"/>
    </row>
    <row r="352" spans="1:34" x14ac:dyDescent="0.35">
      <c r="A352" s="18">
        <f>+A342+1</f>
        <v>32</v>
      </c>
      <c r="B352" s="72" t="s">
        <v>274</v>
      </c>
      <c r="C352" s="40" t="s">
        <v>277</v>
      </c>
      <c r="D352" s="32">
        <v>1</v>
      </c>
      <c r="E352" s="32" t="s">
        <v>216</v>
      </c>
      <c r="F352" s="39" t="s">
        <v>240</v>
      </c>
      <c r="G352" s="40" t="s">
        <v>233</v>
      </c>
      <c r="H352" s="40">
        <v>0</v>
      </c>
      <c r="I352" s="40">
        <v>1</v>
      </c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1"/>
    </row>
    <row r="353" spans="1:34" x14ac:dyDescent="0.35">
      <c r="A353" s="19">
        <f t="shared" si="13"/>
        <v>32</v>
      </c>
      <c r="B353" s="73" t="s">
        <v>274</v>
      </c>
      <c r="C353" s="43" t="s">
        <v>277</v>
      </c>
      <c r="D353" s="34">
        <v>2</v>
      </c>
      <c r="E353" s="34" t="s">
        <v>217</v>
      </c>
      <c r="F353" s="42" t="s">
        <v>240</v>
      </c>
      <c r="G353" s="43" t="s">
        <v>233</v>
      </c>
      <c r="H353" s="43">
        <v>0</v>
      </c>
      <c r="I353" s="43">
        <v>1</v>
      </c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3"/>
      <c r="AE353" s="43"/>
      <c r="AF353" s="43"/>
      <c r="AG353" s="43"/>
      <c r="AH353" s="44"/>
    </row>
    <row r="354" spans="1:34" x14ac:dyDescent="0.35">
      <c r="A354" s="19">
        <f t="shared" si="13"/>
        <v>32</v>
      </c>
      <c r="B354" s="73" t="s">
        <v>274</v>
      </c>
      <c r="C354" s="43" t="s">
        <v>277</v>
      </c>
      <c r="D354" s="34">
        <v>3</v>
      </c>
      <c r="E354" s="34" t="s">
        <v>218</v>
      </c>
      <c r="F354" s="42" t="s">
        <v>240</v>
      </c>
      <c r="G354" s="43" t="s">
        <v>233</v>
      </c>
      <c r="H354" s="43">
        <v>0</v>
      </c>
      <c r="I354" s="43">
        <v>1</v>
      </c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  <c r="AD354" s="43"/>
      <c r="AE354" s="43"/>
      <c r="AF354" s="43"/>
      <c r="AG354" s="43"/>
      <c r="AH354" s="44"/>
    </row>
    <row r="355" spans="1:34" x14ac:dyDescent="0.35">
      <c r="A355" s="19">
        <f t="shared" si="13"/>
        <v>32</v>
      </c>
      <c r="B355" s="73" t="s">
        <v>274</v>
      </c>
      <c r="C355" s="43" t="s">
        <v>277</v>
      </c>
      <c r="D355" s="34">
        <v>4</v>
      </c>
      <c r="E355" s="34" t="s">
        <v>219</v>
      </c>
      <c r="F355" s="42" t="s">
        <v>239</v>
      </c>
      <c r="G355" s="43" t="s">
        <v>250</v>
      </c>
      <c r="H355" s="43">
        <v>0</v>
      </c>
      <c r="I355" s="43">
        <v>0</v>
      </c>
      <c r="J355" s="43">
        <v>0</v>
      </c>
      <c r="K355" s="43">
        <v>0</v>
      </c>
      <c r="L355" s="43">
        <v>0</v>
      </c>
      <c r="M355" s="43">
        <v>0</v>
      </c>
      <c r="N355" s="43">
        <v>0</v>
      </c>
      <c r="O355" s="43">
        <v>0</v>
      </c>
      <c r="P355" s="43">
        <v>0</v>
      </c>
      <c r="Q355" s="43">
        <v>0</v>
      </c>
      <c r="R355" s="43">
        <v>0</v>
      </c>
      <c r="S355" s="43">
        <v>0</v>
      </c>
      <c r="T355" s="43">
        <v>0</v>
      </c>
      <c r="U355" s="43">
        <v>0</v>
      </c>
      <c r="V355" s="43">
        <v>0</v>
      </c>
      <c r="W355" s="43">
        <v>0</v>
      </c>
      <c r="X355" s="43">
        <v>0</v>
      </c>
      <c r="Y355" s="43">
        <v>0</v>
      </c>
      <c r="Z355" s="43">
        <v>0</v>
      </c>
      <c r="AA355" s="43">
        <v>0</v>
      </c>
      <c r="AB355" s="43">
        <v>0</v>
      </c>
      <c r="AC355" s="43">
        <v>0</v>
      </c>
      <c r="AD355" s="43">
        <v>0</v>
      </c>
      <c r="AE355" s="43">
        <v>0</v>
      </c>
      <c r="AF355" s="43">
        <v>0</v>
      </c>
      <c r="AG355" s="43">
        <v>0</v>
      </c>
      <c r="AH355" s="44">
        <v>0</v>
      </c>
    </row>
    <row r="356" spans="1:34" x14ac:dyDescent="0.35">
      <c r="A356" s="19">
        <f t="shared" si="13"/>
        <v>32</v>
      </c>
      <c r="B356" s="73" t="s">
        <v>274</v>
      </c>
      <c r="C356" s="43" t="s">
        <v>277</v>
      </c>
      <c r="D356" s="34">
        <v>5</v>
      </c>
      <c r="E356" s="34" t="s">
        <v>220</v>
      </c>
      <c r="F356" s="42"/>
      <c r="G356" s="43" t="s">
        <v>238</v>
      </c>
      <c r="H356" s="43">
        <v>0</v>
      </c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3"/>
      <c r="AE356" s="43"/>
      <c r="AF356" s="43"/>
      <c r="AG356" s="43"/>
      <c r="AH356" s="44"/>
    </row>
    <row r="357" spans="1:34" x14ac:dyDescent="0.35">
      <c r="A357" s="19">
        <f t="shared" ref="A357:A361" si="14">+A347+1</f>
        <v>32</v>
      </c>
      <c r="B357" s="73" t="s">
        <v>274</v>
      </c>
      <c r="C357" s="43" t="s">
        <v>277</v>
      </c>
      <c r="D357" s="34">
        <v>6</v>
      </c>
      <c r="E357" s="34" t="s">
        <v>221</v>
      </c>
      <c r="F357" s="42" t="s">
        <v>239</v>
      </c>
      <c r="G357" s="43" t="s">
        <v>250</v>
      </c>
      <c r="H357" s="43">
        <v>0</v>
      </c>
      <c r="I357" s="43">
        <v>999</v>
      </c>
      <c r="J357" s="43">
        <v>999</v>
      </c>
      <c r="K357" s="43">
        <v>999</v>
      </c>
      <c r="L357" s="43">
        <v>999</v>
      </c>
      <c r="M357" s="43">
        <v>999</v>
      </c>
      <c r="N357" s="43">
        <v>999</v>
      </c>
      <c r="O357" s="43">
        <v>999</v>
      </c>
      <c r="P357" s="43">
        <v>999</v>
      </c>
      <c r="Q357" s="43">
        <v>999</v>
      </c>
      <c r="R357" s="43">
        <v>999</v>
      </c>
      <c r="S357" s="43">
        <v>999</v>
      </c>
      <c r="T357" s="43">
        <v>999</v>
      </c>
      <c r="U357" s="43">
        <v>999</v>
      </c>
      <c r="V357" s="43">
        <v>999</v>
      </c>
      <c r="W357" s="43">
        <v>999</v>
      </c>
      <c r="X357" s="43">
        <v>999</v>
      </c>
      <c r="Y357" s="43">
        <v>999</v>
      </c>
      <c r="Z357" s="43">
        <v>999</v>
      </c>
      <c r="AA357" s="43">
        <v>999</v>
      </c>
      <c r="AB357" s="43">
        <v>999</v>
      </c>
      <c r="AC357" s="43">
        <v>999</v>
      </c>
      <c r="AD357" s="43">
        <v>999</v>
      </c>
      <c r="AE357" s="43">
        <v>999</v>
      </c>
      <c r="AF357" s="43">
        <v>999</v>
      </c>
      <c r="AG357" s="43">
        <v>999</v>
      </c>
      <c r="AH357" s="44">
        <v>999</v>
      </c>
    </row>
    <row r="358" spans="1:34" x14ac:dyDescent="0.35">
      <c r="A358" s="19">
        <f t="shared" si="14"/>
        <v>32</v>
      </c>
      <c r="B358" s="73" t="s">
        <v>274</v>
      </c>
      <c r="C358" s="43" t="s">
        <v>277</v>
      </c>
      <c r="D358" s="34">
        <v>7</v>
      </c>
      <c r="E358" s="34" t="s">
        <v>222</v>
      </c>
      <c r="F358" s="42" t="s">
        <v>239</v>
      </c>
      <c r="G358" s="43" t="s">
        <v>250</v>
      </c>
      <c r="H358" s="43">
        <v>0</v>
      </c>
      <c r="I358" s="43">
        <v>0</v>
      </c>
      <c r="J358" s="43">
        <v>0</v>
      </c>
      <c r="K358" s="43">
        <v>0</v>
      </c>
      <c r="L358" s="43">
        <v>0</v>
      </c>
      <c r="M358" s="43">
        <v>0</v>
      </c>
      <c r="N358" s="43">
        <v>0</v>
      </c>
      <c r="O358" s="43">
        <v>0</v>
      </c>
      <c r="P358" s="43">
        <v>0</v>
      </c>
      <c r="Q358" s="43">
        <v>0</v>
      </c>
      <c r="R358" s="43">
        <v>0</v>
      </c>
      <c r="S358" s="43">
        <v>0</v>
      </c>
      <c r="T358" s="43">
        <v>0</v>
      </c>
      <c r="U358" s="43">
        <v>0</v>
      </c>
      <c r="V358" s="43">
        <v>0</v>
      </c>
      <c r="W358" s="43">
        <v>0</v>
      </c>
      <c r="X358" s="43">
        <v>0</v>
      </c>
      <c r="Y358" s="43">
        <v>0</v>
      </c>
      <c r="Z358" s="43">
        <v>0</v>
      </c>
      <c r="AA358" s="43">
        <v>0</v>
      </c>
      <c r="AB358" s="43">
        <v>0</v>
      </c>
      <c r="AC358" s="43">
        <v>0</v>
      </c>
      <c r="AD358" s="43">
        <v>0</v>
      </c>
      <c r="AE358" s="43">
        <v>0</v>
      </c>
      <c r="AF358" s="43">
        <v>0</v>
      </c>
      <c r="AG358" s="43">
        <v>0</v>
      </c>
      <c r="AH358" s="44">
        <v>0</v>
      </c>
    </row>
    <row r="359" spans="1:34" x14ac:dyDescent="0.35">
      <c r="A359" s="19">
        <f t="shared" si="14"/>
        <v>32</v>
      </c>
      <c r="B359" s="73" t="s">
        <v>274</v>
      </c>
      <c r="C359" s="43" t="s">
        <v>277</v>
      </c>
      <c r="D359" s="34">
        <v>8</v>
      </c>
      <c r="E359" s="34" t="s">
        <v>223</v>
      </c>
      <c r="F359" s="42"/>
      <c r="G359" s="43" t="s">
        <v>238</v>
      </c>
      <c r="H359" s="43">
        <v>0</v>
      </c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3"/>
      <c r="AE359" s="43"/>
      <c r="AF359" s="43"/>
      <c r="AG359" s="43"/>
      <c r="AH359" s="44"/>
    </row>
    <row r="360" spans="1:34" x14ac:dyDescent="0.35">
      <c r="A360" s="19">
        <f t="shared" si="14"/>
        <v>32</v>
      </c>
      <c r="B360" s="73" t="s">
        <v>274</v>
      </c>
      <c r="C360" s="43" t="s">
        <v>277</v>
      </c>
      <c r="D360" s="34">
        <v>9</v>
      </c>
      <c r="E360" s="34" t="s">
        <v>224</v>
      </c>
      <c r="F360" s="42" t="s">
        <v>242</v>
      </c>
      <c r="G360" s="43" t="s">
        <v>233</v>
      </c>
      <c r="H360" s="43">
        <v>0</v>
      </c>
      <c r="I360" s="43">
        <v>1</v>
      </c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  <c r="AC360" s="43"/>
      <c r="AD360" s="43"/>
      <c r="AE360" s="43"/>
      <c r="AF360" s="43"/>
      <c r="AG360" s="43"/>
      <c r="AH360" s="44"/>
    </row>
    <row r="361" spans="1:34" ht="15" thickBot="1" x14ac:dyDescent="0.4">
      <c r="A361" s="20">
        <f t="shared" si="14"/>
        <v>32</v>
      </c>
      <c r="B361" s="74" t="s">
        <v>274</v>
      </c>
      <c r="C361" s="46" t="s">
        <v>277</v>
      </c>
      <c r="D361" s="35">
        <v>10</v>
      </c>
      <c r="E361" s="35" t="s">
        <v>225</v>
      </c>
      <c r="F361" s="45" t="s">
        <v>242</v>
      </c>
      <c r="G361" s="46" t="s">
        <v>233</v>
      </c>
      <c r="H361" s="46">
        <v>0</v>
      </c>
      <c r="I361" s="46">
        <v>1</v>
      </c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46"/>
      <c r="AG361" s="46"/>
      <c r="AH361" s="4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41"/>
  <sheetViews>
    <sheetView workbookViewId="0">
      <pane ySplit="1" topLeftCell="A2" activePane="bottomLeft" state="frozen"/>
      <selection pane="bottomLeft" activeCell="C1" sqref="C1"/>
    </sheetView>
  </sheetViews>
  <sheetFormatPr defaultRowHeight="14.5" x14ac:dyDescent="0.35"/>
  <cols>
    <col min="1" max="1" width="7.1796875" bestFit="1" customWidth="1"/>
    <col min="2" max="2" width="18.453125" customWidth="1"/>
    <col min="3" max="3" width="40.453125" bestFit="1" customWidth="1"/>
    <col min="4" max="4" width="12.08984375" bestFit="1" customWidth="1"/>
    <col min="5" max="5" width="15.36328125" bestFit="1" customWidth="1"/>
    <col min="6" max="6" width="4.81640625" customWidth="1"/>
    <col min="7" max="7" width="16.36328125" customWidth="1"/>
    <col min="8" max="8" width="19.36328125" bestFit="1" customWidth="1"/>
    <col min="9" max="34" width="4.81640625" bestFit="1" customWidth="1"/>
  </cols>
  <sheetData>
    <row r="1" spans="1:34" ht="15" thickBot="1" x14ac:dyDescent="0.4">
      <c r="A1" s="10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214</v>
      </c>
      <c r="H1" s="11" t="s">
        <v>215</v>
      </c>
      <c r="I1" s="11">
        <v>2010</v>
      </c>
      <c r="J1" s="11">
        <v>2011</v>
      </c>
      <c r="K1" s="11">
        <v>2012</v>
      </c>
      <c r="L1" s="11">
        <v>2013</v>
      </c>
      <c r="M1" s="11">
        <v>2014</v>
      </c>
      <c r="N1" s="11">
        <v>2015</v>
      </c>
      <c r="O1" s="11">
        <v>2016</v>
      </c>
      <c r="P1" s="11">
        <v>2017</v>
      </c>
      <c r="Q1" s="11">
        <v>2018</v>
      </c>
      <c r="R1" s="11">
        <v>2019</v>
      </c>
      <c r="S1" s="11">
        <v>2020</v>
      </c>
      <c r="T1" s="11">
        <v>2021</v>
      </c>
      <c r="U1" s="11">
        <v>2022</v>
      </c>
      <c r="V1" s="11">
        <v>2023</v>
      </c>
      <c r="W1" s="11">
        <v>2024</v>
      </c>
      <c r="X1" s="11">
        <v>2025</v>
      </c>
      <c r="Y1" s="11">
        <v>2026</v>
      </c>
      <c r="Z1" s="11">
        <v>2027</v>
      </c>
      <c r="AA1" s="11">
        <v>2028</v>
      </c>
      <c r="AB1" s="11">
        <v>2029</v>
      </c>
      <c r="AC1" s="11">
        <v>2030</v>
      </c>
      <c r="AD1" s="11">
        <v>2031</v>
      </c>
      <c r="AE1" s="11">
        <v>2032</v>
      </c>
      <c r="AF1" s="11">
        <v>2033</v>
      </c>
      <c r="AG1" s="11">
        <v>2034</v>
      </c>
      <c r="AH1" s="12">
        <v>2035</v>
      </c>
    </row>
    <row r="2" spans="1:34" x14ac:dyDescent="0.35">
      <c r="A2" s="2">
        <v>1</v>
      </c>
      <c r="B2" s="3" t="s">
        <v>62</v>
      </c>
      <c r="C2" s="3" t="s">
        <v>162</v>
      </c>
      <c r="D2" s="3">
        <v>1</v>
      </c>
      <c r="E2" s="50" t="s">
        <v>216</v>
      </c>
      <c r="F2" s="3"/>
      <c r="G2" s="3" t="s">
        <v>238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4"/>
    </row>
    <row r="3" spans="1:34" x14ac:dyDescent="0.35">
      <c r="A3" s="5">
        <v>1</v>
      </c>
      <c r="B3" s="1" t="s">
        <v>62</v>
      </c>
      <c r="C3" s="1" t="s">
        <v>162</v>
      </c>
      <c r="D3" s="1">
        <v>2</v>
      </c>
      <c r="E3" s="50" t="s">
        <v>217</v>
      </c>
      <c r="F3" s="1"/>
      <c r="G3" s="1" t="s">
        <v>238</v>
      </c>
      <c r="H3" s="1">
        <v>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6"/>
    </row>
    <row r="4" spans="1:34" ht="15" thickBot="1" x14ac:dyDescent="0.4">
      <c r="A4" s="7">
        <v>1</v>
      </c>
      <c r="B4" s="8" t="s">
        <v>62</v>
      </c>
      <c r="C4" s="8" t="s">
        <v>162</v>
      </c>
      <c r="D4" s="8">
        <v>3</v>
      </c>
      <c r="E4" s="50" t="s">
        <v>219</v>
      </c>
      <c r="F4" s="8"/>
      <c r="G4" s="8" t="s">
        <v>238</v>
      </c>
      <c r="H4" s="8">
        <v>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9"/>
    </row>
    <row r="5" spans="1:34" ht="15" thickBot="1" x14ac:dyDescent="0.4">
      <c r="A5" s="48">
        <f>A4</f>
        <v>1</v>
      </c>
      <c r="B5" s="49" t="str">
        <f>B4</f>
        <v>T5ELEAGR</v>
      </c>
      <c r="C5" s="49" t="str">
        <f>C4</f>
        <v>Demand Electric for Agriculture</v>
      </c>
      <c r="D5" s="30">
        <v>4</v>
      </c>
      <c r="E5" s="50" t="s">
        <v>218</v>
      </c>
      <c r="F5" s="30"/>
      <c r="G5" s="30" t="s">
        <v>250</v>
      </c>
      <c r="H5" s="30">
        <v>0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30">
        <v>1</v>
      </c>
      <c r="W5" s="30">
        <v>1</v>
      </c>
      <c r="X5" s="30">
        <v>1</v>
      </c>
      <c r="Y5" s="30">
        <v>1</v>
      </c>
      <c r="Z5" s="30">
        <v>1</v>
      </c>
      <c r="AA5" s="30">
        <v>1</v>
      </c>
      <c r="AB5" s="30">
        <v>1</v>
      </c>
      <c r="AC5" s="30">
        <v>1</v>
      </c>
      <c r="AD5" s="30">
        <v>1</v>
      </c>
      <c r="AE5" s="30">
        <v>1</v>
      </c>
      <c r="AF5" s="30">
        <v>1</v>
      </c>
      <c r="AG5" s="30">
        <v>1</v>
      </c>
      <c r="AH5" s="31">
        <v>1</v>
      </c>
    </row>
    <row r="6" spans="1:34" x14ac:dyDescent="0.35">
      <c r="A6" s="2">
        <f t="shared" ref="A6:A70" si="0">+A2+1</f>
        <v>2</v>
      </c>
      <c r="B6" s="3" t="s">
        <v>63</v>
      </c>
      <c r="C6" s="3" t="s">
        <v>163</v>
      </c>
      <c r="D6" s="3">
        <v>1</v>
      </c>
      <c r="E6" s="51" t="s">
        <v>216</v>
      </c>
      <c r="F6" s="3"/>
      <c r="G6" s="3" t="s">
        <v>238</v>
      </c>
      <c r="H6" s="3"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4"/>
    </row>
    <row r="7" spans="1:34" x14ac:dyDescent="0.35">
      <c r="A7" s="5">
        <f t="shared" si="0"/>
        <v>2</v>
      </c>
      <c r="B7" s="1" t="s">
        <v>63</v>
      </c>
      <c r="C7" s="1" t="s">
        <v>163</v>
      </c>
      <c r="D7" s="1">
        <v>2</v>
      </c>
      <c r="E7" s="51" t="s">
        <v>217</v>
      </c>
      <c r="F7" s="1"/>
      <c r="G7" s="1" t="s">
        <v>238</v>
      </c>
      <c r="H7" s="1">
        <v>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6"/>
    </row>
    <row r="8" spans="1:34" ht="15" thickBot="1" x14ac:dyDescent="0.4">
      <c r="A8" s="7">
        <f t="shared" si="0"/>
        <v>2</v>
      </c>
      <c r="B8" s="8" t="s">
        <v>63</v>
      </c>
      <c r="C8" s="8" t="s">
        <v>163</v>
      </c>
      <c r="D8" s="8">
        <v>3</v>
      </c>
      <c r="E8" s="51" t="s">
        <v>219</v>
      </c>
      <c r="F8" s="8"/>
      <c r="G8" s="8" t="s">
        <v>238</v>
      </c>
      <c r="H8" s="8">
        <v>0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9"/>
    </row>
    <row r="9" spans="1:34" ht="15" thickBot="1" x14ac:dyDescent="0.4">
      <c r="A9" s="48">
        <f t="shared" si="0"/>
        <v>2</v>
      </c>
      <c r="B9" s="49" t="str">
        <f>B8</f>
        <v>T5ARRAGR</v>
      </c>
      <c r="C9" s="49" t="str">
        <f>C8</f>
        <v>Demand Rice for Agriculture</v>
      </c>
      <c r="D9" s="30">
        <v>4</v>
      </c>
      <c r="E9" s="51" t="s">
        <v>218</v>
      </c>
      <c r="F9" s="30"/>
      <c r="G9" s="30" t="s">
        <v>250</v>
      </c>
      <c r="H9" s="30">
        <v>0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30">
        <v>1</v>
      </c>
      <c r="W9" s="30">
        <v>1</v>
      </c>
      <c r="X9" s="30">
        <v>1</v>
      </c>
      <c r="Y9" s="30">
        <v>1</v>
      </c>
      <c r="Z9" s="30">
        <v>1</v>
      </c>
      <c r="AA9" s="30">
        <v>1</v>
      </c>
      <c r="AB9" s="30">
        <v>1</v>
      </c>
      <c r="AC9" s="30">
        <v>1</v>
      </c>
      <c r="AD9" s="30">
        <v>1</v>
      </c>
      <c r="AE9" s="30">
        <v>1</v>
      </c>
      <c r="AF9" s="30">
        <v>1</v>
      </c>
      <c r="AG9" s="30">
        <v>1</v>
      </c>
      <c r="AH9" s="31">
        <v>1</v>
      </c>
    </row>
    <row r="10" spans="1:34" x14ac:dyDescent="0.35">
      <c r="A10" s="2">
        <f t="shared" si="0"/>
        <v>3</v>
      </c>
      <c r="B10" s="3" t="s">
        <v>64</v>
      </c>
      <c r="C10" s="3" t="s">
        <v>164</v>
      </c>
      <c r="D10" s="3">
        <v>1</v>
      </c>
      <c r="E10" s="50" t="s">
        <v>216</v>
      </c>
      <c r="F10" s="3"/>
      <c r="G10" s="3" t="s">
        <v>238</v>
      </c>
      <c r="H10" s="3">
        <v>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4"/>
    </row>
    <row r="11" spans="1:34" x14ac:dyDescent="0.35">
      <c r="A11" s="5">
        <f t="shared" si="0"/>
        <v>3</v>
      </c>
      <c r="B11" s="1" t="s">
        <v>64</v>
      </c>
      <c r="C11" s="1" t="s">
        <v>164</v>
      </c>
      <c r="D11" s="1">
        <v>2</v>
      </c>
      <c r="E11" s="50" t="s">
        <v>217</v>
      </c>
      <c r="F11" s="1"/>
      <c r="G11" s="1" t="s">
        <v>238</v>
      </c>
      <c r="H11" s="1">
        <v>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6"/>
    </row>
    <row r="12" spans="1:34" ht="15" thickBot="1" x14ac:dyDescent="0.4">
      <c r="A12" s="7">
        <f t="shared" si="0"/>
        <v>3</v>
      </c>
      <c r="B12" s="8" t="s">
        <v>64</v>
      </c>
      <c r="C12" s="8" t="s">
        <v>164</v>
      </c>
      <c r="D12" s="8">
        <v>3</v>
      </c>
      <c r="E12" s="50" t="s">
        <v>219</v>
      </c>
      <c r="F12" s="8"/>
      <c r="G12" s="8" t="s">
        <v>238</v>
      </c>
      <c r="H12" s="8">
        <v>0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9"/>
    </row>
    <row r="13" spans="1:34" ht="15" thickBot="1" x14ac:dyDescent="0.4">
      <c r="A13" s="48">
        <f t="shared" si="0"/>
        <v>3</v>
      </c>
      <c r="B13" s="49" t="str">
        <f>B12</f>
        <v>T5BANAGR</v>
      </c>
      <c r="C13" s="49" t="str">
        <f>C12</f>
        <v>Demand Banana   for Agriculture</v>
      </c>
      <c r="D13" s="30">
        <v>4</v>
      </c>
      <c r="E13" s="50" t="s">
        <v>218</v>
      </c>
      <c r="F13" s="30"/>
      <c r="G13" s="30" t="s">
        <v>250</v>
      </c>
      <c r="H13" s="30">
        <v>0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30">
        <v>1</v>
      </c>
      <c r="W13" s="30">
        <v>1</v>
      </c>
      <c r="X13" s="30">
        <v>1</v>
      </c>
      <c r="Y13" s="30">
        <v>1</v>
      </c>
      <c r="Z13" s="30">
        <v>1</v>
      </c>
      <c r="AA13" s="30">
        <v>1</v>
      </c>
      <c r="AB13" s="30">
        <v>1</v>
      </c>
      <c r="AC13" s="30">
        <v>1</v>
      </c>
      <c r="AD13" s="30">
        <v>1</v>
      </c>
      <c r="AE13" s="30">
        <v>1</v>
      </c>
      <c r="AF13" s="30">
        <v>1</v>
      </c>
      <c r="AG13" s="30">
        <v>1</v>
      </c>
      <c r="AH13" s="31">
        <v>1</v>
      </c>
    </row>
    <row r="14" spans="1:34" x14ac:dyDescent="0.35">
      <c r="A14" s="2">
        <f t="shared" si="0"/>
        <v>4</v>
      </c>
      <c r="B14" s="3" t="s">
        <v>65</v>
      </c>
      <c r="C14" s="3" t="s">
        <v>165</v>
      </c>
      <c r="D14" s="3">
        <v>1</v>
      </c>
      <c r="E14" s="51" t="s">
        <v>216</v>
      </c>
      <c r="F14" s="3"/>
      <c r="G14" s="3" t="s">
        <v>238</v>
      </c>
      <c r="H14" s="3">
        <v>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4"/>
    </row>
    <row r="15" spans="1:34" x14ac:dyDescent="0.35">
      <c r="A15" s="5">
        <f t="shared" si="0"/>
        <v>4</v>
      </c>
      <c r="B15" s="1" t="s">
        <v>65</v>
      </c>
      <c r="C15" s="1" t="s">
        <v>165</v>
      </c>
      <c r="D15" s="1">
        <v>2</v>
      </c>
      <c r="E15" s="51" t="s">
        <v>217</v>
      </c>
      <c r="F15" s="1"/>
      <c r="G15" s="1" t="s">
        <v>238</v>
      </c>
      <c r="H15" s="1">
        <v>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6"/>
    </row>
    <row r="16" spans="1:34" ht="15" thickBot="1" x14ac:dyDescent="0.4">
      <c r="A16" s="7">
        <f t="shared" si="0"/>
        <v>4</v>
      </c>
      <c r="B16" s="8" t="s">
        <v>65</v>
      </c>
      <c r="C16" s="8" t="s">
        <v>165</v>
      </c>
      <c r="D16" s="8">
        <v>3</v>
      </c>
      <c r="E16" s="51" t="s">
        <v>219</v>
      </c>
      <c r="F16" s="8"/>
      <c r="G16" s="8" t="s">
        <v>238</v>
      </c>
      <c r="H16" s="8">
        <v>0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9"/>
    </row>
    <row r="17" spans="1:34" ht="15" thickBot="1" x14ac:dyDescent="0.4">
      <c r="A17" s="48">
        <f t="shared" si="0"/>
        <v>4</v>
      </c>
      <c r="B17" s="49" t="str">
        <f>B16</f>
        <v>T5COCAGR</v>
      </c>
      <c r="C17" s="49" t="str">
        <f>C16</f>
        <v>Demand Cocoa   for Agriculture</v>
      </c>
      <c r="D17" s="30">
        <v>4</v>
      </c>
      <c r="E17" s="51" t="s">
        <v>218</v>
      </c>
      <c r="F17" s="30"/>
      <c r="G17" s="30" t="s">
        <v>250</v>
      </c>
      <c r="H17" s="30">
        <v>0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30">
        <v>1</v>
      </c>
      <c r="W17" s="30">
        <v>1</v>
      </c>
      <c r="X17" s="30">
        <v>1</v>
      </c>
      <c r="Y17" s="30">
        <v>1</v>
      </c>
      <c r="Z17" s="30">
        <v>1</v>
      </c>
      <c r="AA17" s="30">
        <v>1</v>
      </c>
      <c r="AB17" s="30">
        <v>1</v>
      </c>
      <c r="AC17" s="30">
        <v>1</v>
      </c>
      <c r="AD17" s="30">
        <v>1</v>
      </c>
      <c r="AE17" s="30">
        <v>1</v>
      </c>
      <c r="AF17" s="30">
        <v>1</v>
      </c>
      <c r="AG17" s="30">
        <v>1</v>
      </c>
      <c r="AH17" s="31">
        <v>1</v>
      </c>
    </row>
    <row r="18" spans="1:34" x14ac:dyDescent="0.35">
      <c r="A18" s="2">
        <f t="shared" si="0"/>
        <v>5</v>
      </c>
      <c r="B18" s="3" t="s">
        <v>66</v>
      </c>
      <c r="C18" s="3" t="s">
        <v>166</v>
      </c>
      <c r="D18" s="3">
        <v>1</v>
      </c>
      <c r="E18" s="50" t="s">
        <v>216</v>
      </c>
      <c r="F18" s="3"/>
      <c r="G18" s="3" t="s">
        <v>238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4"/>
    </row>
    <row r="19" spans="1:34" x14ac:dyDescent="0.35">
      <c r="A19" s="5">
        <f t="shared" si="0"/>
        <v>5</v>
      </c>
      <c r="B19" s="1" t="s">
        <v>66</v>
      </c>
      <c r="C19" s="1" t="s">
        <v>166</v>
      </c>
      <c r="D19" s="1">
        <v>2</v>
      </c>
      <c r="E19" s="50" t="s">
        <v>217</v>
      </c>
      <c r="F19" s="1"/>
      <c r="G19" s="1" t="s">
        <v>238</v>
      </c>
      <c r="H19" s="1"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6"/>
    </row>
    <row r="20" spans="1:34" ht="15" thickBot="1" x14ac:dyDescent="0.4">
      <c r="A20" s="7">
        <f t="shared" si="0"/>
        <v>5</v>
      </c>
      <c r="B20" s="8" t="s">
        <v>66</v>
      </c>
      <c r="C20" s="8" t="s">
        <v>166</v>
      </c>
      <c r="D20" s="8">
        <v>3</v>
      </c>
      <c r="E20" s="50" t="s">
        <v>219</v>
      </c>
      <c r="F20" s="8"/>
      <c r="G20" s="8" t="s">
        <v>238</v>
      </c>
      <c r="H20" s="8">
        <v>0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9"/>
    </row>
    <row r="21" spans="1:34" ht="15" thickBot="1" x14ac:dyDescent="0.4">
      <c r="A21" s="48">
        <f t="shared" si="0"/>
        <v>5</v>
      </c>
      <c r="B21" s="49" t="str">
        <f>B20</f>
        <v>T5COFAGR</v>
      </c>
      <c r="C21" s="49" t="str">
        <f>C20</f>
        <v>Demand Coffee   for Agriculture</v>
      </c>
      <c r="D21" s="30">
        <v>4</v>
      </c>
      <c r="E21" s="50" t="s">
        <v>218</v>
      </c>
      <c r="F21" s="30"/>
      <c r="G21" s="30" t="s">
        <v>250</v>
      </c>
      <c r="H21" s="30">
        <v>0</v>
      </c>
      <c r="I21" s="30">
        <v>1</v>
      </c>
      <c r="J21" s="30">
        <v>1</v>
      </c>
      <c r="K21" s="30">
        <v>1</v>
      </c>
      <c r="L21" s="30">
        <v>1</v>
      </c>
      <c r="M21" s="30">
        <v>1</v>
      </c>
      <c r="N21" s="30">
        <v>1</v>
      </c>
      <c r="O21" s="30">
        <v>1</v>
      </c>
      <c r="P21" s="30">
        <v>1</v>
      </c>
      <c r="Q21" s="30">
        <v>1</v>
      </c>
      <c r="R21" s="30">
        <v>1</v>
      </c>
      <c r="S21" s="30">
        <v>1</v>
      </c>
      <c r="T21" s="30">
        <v>1</v>
      </c>
      <c r="U21" s="30">
        <v>1</v>
      </c>
      <c r="V21" s="30">
        <v>1</v>
      </c>
      <c r="W21" s="30">
        <v>1</v>
      </c>
      <c r="X21" s="30">
        <v>1</v>
      </c>
      <c r="Y21" s="30">
        <v>1</v>
      </c>
      <c r="Z21" s="30">
        <v>1</v>
      </c>
      <c r="AA21" s="30">
        <v>1</v>
      </c>
      <c r="AB21" s="30">
        <v>1</v>
      </c>
      <c r="AC21" s="30">
        <v>1</v>
      </c>
      <c r="AD21" s="30">
        <v>1</v>
      </c>
      <c r="AE21" s="30">
        <v>1</v>
      </c>
      <c r="AF21" s="30">
        <v>1</v>
      </c>
      <c r="AG21" s="30">
        <v>1</v>
      </c>
      <c r="AH21" s="31">
        <v>1</v>
      </c>
    </row>
    <row r="22" spans="1:34" x14ac:dyDescent="0.35">
      <c r="A22" s="2">
        <f t="shared" si="0"/>
        <v>6</v>
      </c>
      <c r="B22" s="3" t="s">
        <v>67</v>
      </c>
      <c r="C22" s="3" t="s">
        <v>167</v>
      </c>
      <c r="D22" s="3">
        <v>1</v>
      </c>
      <c r="E22" s="51" t="s">
        <v>216</v>
      </c>
      <c r="F22" s="3"/>
      <c r="G22" s="3" t="s">
        <v>238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4"/>
    </row>
    <row r="23" spans="1:34" x14ac:dyDescent="0.35">
      <c r="A23" s="5">
        <f t="shared" si="0"/>
        <v>6</v>
      </c>
      <c r="B23" s="1" t="s">
        <v>67</v>
      </c>
      <c r="C23" s="1" t="s">
        <v>167</v>
      </c>
      <c r="D23" s="1">
        <v>2</v>
      </c>
      <c r="E23" s="51" t="s">
        <v>217</v>
      </c>
      <c r="F23" s="1"/>
      <c r="G23" s="1" t="s">
        <v>238</v>
      </c>
      <c r="H23" s="1">
        <v>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6"/>
    </row>
    <row r="24" spans="1:34" ht="15" thickBot="1" x14ac:dyDescent="0.4">
      <c r="A24" s="7">
        <f t="shared" si="0"/>
        <v>6</v>
      </c>
      <c r="B24" s="8" t="s">
        <v>67</v>
      </c>
      <c r="C24" s="8" t="s">
        <v>167</v>
      </c>
      <c r="D24" s="8">
        <v>3</v>
      </c>
      <c r="E24" s="51" t="s">
        <v>219</v>
      </c>
      <c r="F24" s="8"/>
      <c r="G24" s="8" t="s">
        <v>238</v>
      </c>
      <c r="H24" s="8">
        <v>0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9"/>
    </row>
    <row r="25" spans="1:34" ht="15" thickBot="1" x14ac:dyDescent="0.4">
      <c r="A25" s="48">
        <f t="shared" si="0"/>
        <v>6</v>
      </c>
      <c r="B25" s="49" t="str">
        <f>B24</f>
        <v>T5SUGAGR</v>
      </c>
      <c r="C25" s="49" t="str">
        <f>C24</f>
        <v>Demand Sugarcane for Agriculture</v>
      </c>
      <c r="D25" s="30">
        <v>4</v>
      </c>
      <c r="E25" s="51" t="s">
        <v>218</v>
      </c>
      <c r="F25" s="30"/>
      <c r="G25" s="30" t="s">
        <v>250</v>
      </c>
      <c r="H25" s="30">
        <v>0</v>
      </c>
      <c r="I25" s="30">
        <v>1</v>
      </c>
      <c r="J25" s="30">
        <v>1</v>
      </c>
      <c r="K25" s="30">
        <v>1</v>
      </c>
      <c r="L25" s="30">
        <v>1</v>
      </c>
      <c r="M25" s="30">
        <v>1</v>
      </c>
      <c r="N25" s="30">
        <v>1</v>
      </c>
      <c r="O25" s="30">
        <v>1</v>
      </c>
      <c r="P25" s="30">
        <v>1</v>
      </c>
      <c r="Q25" s="30">
        <v>1</v>
      </c>
      <c r="R25" s="30">
        <v>1</v>
      </c>
      <c r="S25" s="30">
        <v>1</v>
      </c>
      <c r="T25" s="30">
        <v>1</v>
      </c>
      <c r="U25" s="30">
        <v>1</v>
      </c>
      <c r="V25" s="30">
        <v>1</v>
      </c>
      <c r="W25" s="30">
        <v>1</v>
      </c>
      <c r="X25" s="30">
        <v>1</v>
      </c>
      <c r="Y25" s="30">
        <v>1</v>
      </c>
      <c r="Z25" s="30">
        <v>1</v>
      </c>
      <c r="AA25" s="30">
        <v>1</v>
      </c>
      <c r="AB25" s="30">
        <v>1</v>
      </c>
      <c r="AC25" s="30">
        <v>1</v>
      </c>
      <c r="AD25" s="30">
        <v>1</v>
      </c>
      <c r="AE25" s="30">
        <v>1</v>
      </c>
      <c r="AF25" s="30">
        <v>1</v>
      </c>
      <c r="AG25" s="30">
        <v>1</v>
      </c>
      <c r="AH25" s="31">
        <v>1</v>
      </c>
    </row>
    <row r="26" spans="1:34" x14ac:dyDescent="0.35">
      <c r="A26" s="2">
        <f t="shared" si="0"/>
        <v>7</v>
      </c>
      <c r="B26" s="3" t="s">
        <v>68</v>
      </c>
      <c r="C26" s="3" t="s">
        <v>168</v>
      </c>
      <c r="D26" s="3">
        <v>1</v>
      </c>
      <c r="E26" s="50" t="s">
        <v>216</v>
      </c>
      <c r="F26" s="3"/>
      <c r="G26" s="3" t="s">
        <v>238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4"/>
    </row>
    <row r="27" spans="1:34" x14ac:dyDescent="0.35">
      <c r="A27" s="5">
        <f t="shared" si="0"/>
        <v>7</v>
      </c>
      <c r="B27" s="1" t="s">
        <v>68</v>
      </c>
      <c r="C27" s="1" t="s">
        <v>168</v>
      </c>
      <c r="D27" s="1">
        <v>2</v>
      </c>
      <c r="E27" s="50" t="s">
        <v>217</v>
      </c>
      <c r="F27" s="1"/>
      <c r="G27" s="1" t="s">
        <v>238</v>
      </c>
      <c r="H27" s="1">
        <v>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6"/>
    </row>
    <row r="28" spans="1:34" ht="15" thickBot="1" x14ac:dyDescent="0.4">
      <c r="A28" s="7">
        <f t="shared" si="0"/>
        <v>7</v>
      </c>
      <c r="B28" s="8" t="s">
        <v>68</v>
      </c>
      <c r="C28" s="8" t="s">
        <v>168</v>
      </c>
      <c r="D28" s="8">
        <v>3</v>
      </c>
      <c r="E28" s="50" t="s">
        <v>219</v>
      </c>
      <c r="F28" s="8"/>
      <c r="G28" s="8" t="s">
        <v>238</v>
      </c>
      <c r="H28" s="8">
        <v>0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9"/>
    </row>
    <row r="29" spans="1:34" ht="15" thickBot="1" x14ac:dyDescent="0.4">
      <c r="A29" s="48">
        <f t="shared" si="0"/>
        <v>7</v>
      </c>
      <c r="B29" s="49" t="str">
        <f>B28</f>
        <v>T5MAIAGR</v>
      </c>
      <c r="C29" s="49" t="str">
        <f>C28</f>
        <v>Demand Maize for Agriculture</v>
      </c>
      <c r="D29" s="30">
        <v>4</v>
      </c>
      <c r="E29" s="50" t="s">
        <v>218</v>
      </c>
      <c r="F29" s="30"/>
      <c r="G29" s="30" t="s">
        <v>250</v>
      </c>
      <c r="H29" s="30">
        <v>0</v>
      </c>
      <c r="I29" s="30">
        <v>1</v>
      </c>
      <c r="J29" s="30">
        <v>1</v>
      </c>
      <c r="K29" s="30">
        <v>1</v>
      </c>
      <c r="L29" s="30">
        <v>1</v>
      </c>
      <c r="M29" s="30">
        <v>1</v>
      </c>
      <c r="N29" s="30">
        <v>1</v>
      </c>
      <c r="O29" s="30">
        <v>1</v>
      </c>
      <c r="P29" s="30">
        <v>1</v>
      </c>
      <c r="Q29" s="30">
        <v>1</v>
      </c>
      <c r="R29" s="30">
        <v>1</v>
      </c>
      <c r="S29" s="30">
        <v>1</v>
      </c>
      <c r="T29" s="30">
        <v>1</v>
      </c>
      <c r="U29" s="30">
        <v>1</v>
      </c>
      <c r="V29" s="30">
        <v>1</v>
      </c>
      <c r="W29" s="30">
        <v>1</v>
      </c>
      <c r="X29" s="30">
        <v>1</v>
      </c>
      <c r="Y29" s="30">
        <v>1</v>
      </c>
      <c r="Z29" s="30">
        <v>1</v>
      </c>
      <c r="AA29" s="30">
        <v>1</v>
      </c>
      <c r="AB29" s="30">
        <v>1</v>
      </c>
      <c r="AC29" s="30">
        <v>1</v>
      </c>
      <c r="AD29" s="30">
        <v>1</v>
      </c>
      <c r="AE29" s="30">
        <v>1</v>
      </c>
      <c r="AF29" s="30">
        <v>1</v>
      </c>
      <c r="AG29" s="30">
        <v>1</v>
      </c>
      <c r="AH29" s="31">
        <v>1</v>
      </c>
    </row>
    <row r="30" spans="1:34" x14ac:dyDescent="0.35">
      <c r="A30" s="2">
        <f t="shared" si="0"/>
        <v>8</v>
      </c>
      <c r="B30" s="3" t="s">
        <v>69</v>
      </c>
      <c r="C30" s="3" t="s">
        <v>169</v>
      </c>
      <c r="D30" s="3">
        <v>1</v>
      </c>
      <c r="E30" s="51" t="s">
        <v>216</v>
      </c>
      <c r="F30" s="3"/>
      <c r="G30" s="3" t="s">
        <v>238</v>
      </c>
      <c r="H30" s="3">
        <v>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4"/>
    </row>
    <row r="31" spans="1:34" x14ac:dyDescent="0.35">
      <c r="A31" s="5">
        <f t="shared" si="0"/>
        <v>8</v>
      </c>
      <c r="B31" s="1" t="s">
        <v>69</v>
      </c>
      <c r="C31" s="1" t="s">
        <v>169</v>
      </c>
      <c r="D31" s="1">
        <v>2</v>
      </c>
      <c r="E31" s="51" t="s">
        <v>217</v>
      </c>
      <c r="F31" s="1"/>
      <c r="G31" s="1" t="s">
        <v>238</v>
      </c>
      <c r="H31" s="1">
        <v>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6"/>
    </row>
    <row r="32" spans="1:34" ht="15" thickBot="1" x14ac:dyDescent="0.4">
      <c r="A32" s="7">
        <f t="shared" si="0"/>
        <v>8</v>
      </c>
      <c r="B32" s="8" t="s">
        <v>69</v>
      </c>
      <c r="C32" s="8" t="s">
        <v>169</v>
      </c>
      <c r="D32" s="8">
        <v>3</v>
      </c>
      <c r="E32" s="51" t="s">
        <v>219</v>
      </c>
      <c r="F32" s="8"/>
      <c r="G32" s="8" t="s">
        <v>238</v>
      </c>
      <c r="H32" s="8">
        <v>0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9"/>
    </row>
    <row r="33" spans="1:34" ht="15" thickBot="1" x14ac:dyDescent="0.4">
      <c r="A33" s="48">
        <f t="shared" si="0"/>
        <v>8</v>
      </c>
      <c r="B33" s="49" t="str">
        <f>B32</f>
        <v>T5PAFAGR</v>
      </c>
      <c r="C33" s="49" t="str">
        <f>C32</f>
        <v>Demand African_palm for Agriculture</v>
      </c>
      <c r="D33" s="30">
        <v>4</v>
      </c>
      <c r="E33" s="51" t="s">
        <v>218</v>
      </c>
      <c r="F33" s="30"/>
      <c r="G33" s="30" t="s">
        <v>250</v>
      </c>
      <c r="H33" s="30">
        <v>0</v>
      </c>
      <c r="I33" s="30">
        <v>1</v>
      </c>
      <c r="J33" s="30">
        <v>1</v>
      </c>
      <c r="K33" s="30">
        <v>1</v>
      </c>
      <c r="L33" s="30">
        <v>1</v>
      </c>
      <c r="M33" s="30">
        <v>1</v>
      </c>
      <c r="N33" s="30">
        <v>1</v>
      </c>
      <c r="O33" s="30">
        <v>1</v>
      </c>
      <c r="P33" s="30">
        <v>1</v>
      </c>
      <c r="Q33" s="30">
        <v>1</v>
      </c>
      <c r="R33" s="30">
        <v>1</v>
      </c>
      <c r="S33" s="30">
        <v>1</v>
      </c>
      <c r="T33" s="30">
        <v>1</v>
      </c>
      <c r="U33" s="30">
        <v>1</v>
      </c>
      <c r="V33" s="30">
        <v>1</v>
      </c>
      <c r="W33" s="30">
        <v>1</v>
      </c>
      <c r="X33" s="30">
        <v>1</v>
      </c>
      <c r="Y33" s="30">
        <v>1</v>
      </c>
      <c r="Z33" s="30">
        <v>1</v>
      </c>
      <c r="AA33" s="30">
        <v>1</v>
      </c>
      <c r="AB33" s="30">
        <v>1</v>
      </c>
      <c r="AC33" s="30">
        <v>1</v>
      </c>
      <c r="AD33" s="30">
        <v>1</v>
      </c>
      <c r="AE33" s="30">
        <v>1</v>
      </c>
      <c r="AF33" s="30">
        <v>1</v>
      </c>
      <c r="AG33" s="30">
        <v>1</v>
      </c>
      <c r="AH33" s="31">
        <v>1</v>
      </c>
    </row>
    <row r="34" spans="1:34" x14ac:dyDescent="0.35">
      <c r="A34" s="2">
        <f t="shared" si="0"/>
        <v>9</v>
      </c>
      <c r="B34" s="52" t="s">
        <v>260</v>
      </c>
      <c r="C34" s="52" t="s">
        <v>261</v>
      </c>
      <c r="D34" s="3">
        <v>1</v>
      </c>
      <c r="E34" s="51" t="s">
        <v>216</v>
      </c>
      <c r="F34" s="3"/>
      <c r="G34" s="3" t="s">
        <v>238</v>
      </c>
      <c r="H34" s="3">
        <v>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4"/>
    </row>
    <row r="35" spans="1:34" x14ac:dyDescent="0.35">
      <c r="A35" s="5">
        <f t="shared" si="0"/>
        <v>9</v>
      </c>
      <c r="B35" s="52" t="s">
        <v>260</v>
      </c>
      <c r="C35" s="52" t="s">
        <v>261</v>
      </c>
      <c r="D35" s="1">
        <v>2</v>
      </c>
      <c r="E35" s="51" t="s">
        <v>217</v>
      </c>
      <c r="F35" s="1"/>
      <c r="G35" s="1" t="s">
        <v>238</v>
      </c>
      <c r="H35" s="1"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6"/>
    </row>
    <row r="36" spans="1:34" ht="15" thickBot="1" x14ac:dyDescent="0.4">
      <c r="A36" s="7">
        <f t="shared" si="0"/>
        <v>9</v>
      </c>
      <c r="B36" s="52" t="s">
        <v>260</v>
      </c>
      <c r="C36" s="52" t="s">
        <v>261</v>
      </c>
      <c r="D36" s="8">
        <v>3</v>
      </c>
      <c r="E36" s="51" t="s">
        <v>219</v>
      </c>
      <c r="F36" s="8"/>
      <c r="G36" s="8" t="s">
        <v>238</v>
      </c>
      <c r="H36" s="8">
        <v>0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9"/>
    </row>
    <row r="37" spans="1:34" ht="15" thickBot="1" x14ac:dyDescent="0.4">
      <c r="A37" s="48">
        <f t="shared" si="0"/>
        <v>9</v>
      </c>
      <c r="B37" s="52" t="s">
        <v>260</v>
      </c>
      <c r="C37" s="52" t="s">
        <v>261</v>
      </c>
      <c r="D37" s="30">
        <v>4</v>
      </c>
      <c r="E37" s="51" t="s">
        <v>218</v>
      </c>
      <c r="F37" s="30"/>
      <c r="G37" s="30" t="s">
        <v>250</v>
      </c>
      <c r="H37" s="30">
        <v>0</v>
      </c>
      <c r="I37" s="30">
        <v>1</v>
      </c>
      <c r="J37" s="30">
        <v>1</v>
      </c>
      <c r="K37" s="30">
        <v>1</v>
      </c>
      <c r="L37" s="30">
        <v>1</v>
      </c>
      <c r="M37" s="30">
        <v>1</v>
      </c>
      <c r="N37" s="30">
        <v>1</v>
      </c>
      <c r="O37" s="30">
        <v>1</v>
      </c>
      <c r="P37" s="30">
        <v>1</v>
      </c>
      <c r="Q37" s="30">
        <v>1</v>
      </c>
      <c r="R37" s="30">
        <v>1</v>
      </c>
      <c r="S37" s="30">
        <v>1</v>
      </c>
      <c r="T37" s="30">
        <v>1</v>
      </c>
      <c r="U37" s="30">
        <v>1</v>
      </c>
      <c r="V37" s="30">
        <v>1</v>
      </c>
      <c r="W37" s="30">
        <v>1</v>
      </c>
      <c r="X37" s="30">
        <v>1</v>
      </c>
      <c r="Y37" s="30">
        <v>1</v>
      </c>
      <c r="Z37" s="30">
        <v>1</v>
      </c>
      <c r="AA37" s="30">
        <v>1</v>
      </c>
      <c r="AB37" s="30">
        <v>1</v>
      </c>
      <c r="AC37" s="30">
        <v>1</v>
      </c>
      <c r="AD37" s="30">
        <v>1</v>
      </c>
      <c r="AE37" s="30">
        <v>1</v>
      </c>
      <c r="AF37" s="30">
        <v>1</v>
      </c>
      <c r="AG37" s="30">
        <v>1</v>
      </c>
      <c r="AH37" s="31">
        <v>1</v>
      </c>
    </row>
    <row r="38" spans="1:34" x14ac:dyDescent="0.35">
      <c r="A38" s="2">
        <f t="shared" si="0"/>
        <v>10</v>
      </c>
      <c r="B38" s="3" t="s">
        <v>70</v>
      </c>
      <c r="C38" s="3" t="s">
        <v>170</v>
      </c>
      <c r="D38" s="3">
        <v>1</v>
      </c>
      <c r="E38" s="50" t="s">
        <v>216</v>
      </c>
      <c r="F38" s="3"/>
      <c r="G38" s="3" t="s">
        <v>238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4"/>
    </row>
    <row r="39" spans="1:34" x14ac:dyDescent="0.35">
      <c r="A39" s="5">
        <f t="shared" si="0"/>
        <v>10</v>
      </c>
      <c r="B39" s="1" t="s">
        <v>70</v>
      </c>
      <c r="C39" s="1" t="s">
        <v>170</v>
      </c>
      <c r="D39" s="1">
        <v>2</v>
      </c>
      <c r="E39" s="50" t="s">
        <v>217</v>
      </c>
      <c r="F39" s="1"/>
      <c r="G39" s="1" t="s">
        <v>238</v>
      </c>
      <c r="H39" s="1"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6"/>
    </row>
    <row r="40" spans="1:34" ht="15" thickBot="1" x14ac:dyDescent="0.4">
      <c r="A40" s="7">
        <f t="shared" si="0"/>
        <v>10</v>
      </c>
      <c r="B40" s="8" t="s">
        <v>70</v>
      </c>
      <c r="C40" s="8" t="s">
        <v>170</v>
      </c>
      <c r="D40" s="8">
        <v>3</v>
      </c>
      <c r="E40" s="50" t="s">
        <v>219</v>
      </c>
      <c r="F40" s="8"/>
      <c r="G40" s="8" t="s">
        <v>238</v>
      </c>
      <c r="H40" s="8">
        <v>0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9"/>
    </row>
    <row r="41" spans="1:34" ht="15" thickBot="1" x14ac:dyDescent="0.4">
      <c r="A41" s="48">
        <f t="shared" si="0"/>
        <v>10</v>
      </c>
      <c r="B41" s="49" t="str">
        <f>B40</f>
        <v>T5PALAGR</v>
      </c>
      <c r="C41" s="49" t="str">
        <f>C40</f>
        <v>Demand Palmito for Agriculture</v>
      </c>
      <c r="D41" s="30">
        <v>4</v>
      </c>
      <c r="E41" s="50" t="s">
        <v>218</v>
      </c>
      <c r="F41" s="30"/>
      <c r="G41" s="30" t="s">
        <v>250</v>
      </c>
      <c r="H41" s="30">
        <v>0</v>
      </c>
      <c r="I41" s="30">
        <v>1</v>
      </c>
      <c r="J41" s="30">
        <v>1</v>
      </c>
      <c r="K41" s="30">
        <v>1</v>
      </c>
      <c r="L41" s="30">
        <v>1</v>
      </c>
      <c r="M41" s="30">
        <v>1</v>
      </c>
      <c r="N41" s="30">
        <v>1</v>
      </c>
      <c r="O41" s="30">
        <v>1</v>
      </c>
      <c r="P41" s="30">
        <v>1</v>
      </c>
      <c r="Q41" s="30">
        <v>1</v>
      </c>
      <c r="R41" s="30">
        <v>1</v>
      </c>
      <c r="S41" s="30">
        <v>1</v>
      </c>
      <c r="T41" s="30">
        <v>1</v>
      </c>
      <c r="U41" s="30">
        <v>1</v>
      </c>
      <c r="V41" s="30">
        <v>1</v>
      </c>
      <c r="W41" s="30">
        <v>1</v>
      </c>
      <c r="X41" s="30">
        <v>1</v>
      </c>
      <c r="Y41" s="30">
        <v>1</v>
      </c>
      <c r="Z41" s="30">
        <v>1</v>
      </c>
      <c r="AA41" s="30">
        <v>1</v>
      </c>
      <c r="AB41" s="30">
        <v>1</v>
      </c>
      <c r="AC41" s="30">
        <v>1</v>
      </c>
      <c r="AD41" s="30">
        <v>1</v>
      </c>
      <c r="AE41" s="30">
        <v>1</v>
      </c>
      <c r="AF41" s="30">
        <v>1</v>
      </c>
      <c r="AG41" s="30">
        <v>1</v>
      </c>
      <c r="AH41" s="31">
        <v>1</v>
      </c>
    </row>
    <row r="42" spans="1:34" x14ac:dyDescent="0.35">
      <c r="A42" s="2">
        <f t="shared" si="0"/>
        <v>11</v>
      </c>
      <c r="B42" s="3" t="s">
        <v>71</v>
      </c>
      <c r="C42" s="3" t="s">
        <v>171</v>
      </c>
      <c r="D42" s="3">
        <v>1</v>
      </c>
      <c r="E42" s="51" t="s">
        <v>216</v>
      </c>
      <c r="F42" s="3"/>
      <c r="G42" s="3" t="s">
        <v>238</v>
      </c>
      <c r="H42" s="3">
        <v>0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4"/>
    </row>
    <row r="43" spans="1:34" x14ac:dyDescent="0.35">
      <c r="A43" s="5">
        <f t="shared" si="0"/>
        <v>11</v>
      </c>
      <c r="B43" s="1" t="s">
        <v>71</v>
      </c>
      <c r="C43" s="1" t="s">
        <v>171</v>
      </c>
      <c r="D43" s="1">
        <v>2</v>
      </c>
      <c r="E43" s="51" t="s">
        <v>217</v>
      </c>
      <c r="F43" s="1"/>
      <c r="G43" s="1" t="s">
        <v>238</v>
      </c>
      <c r="H43" s="1">
        <v>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6"/>
    </row>
    <row r="44" spans="1:34" ht="15" thickBot="1" x14ac:dyDescent="0.4">
      <c r="A44" s="7">
        <f t="shared" si="0"/>
        <v>11</v>
      </c>
      <c r="B44" s="8" t="s">
        <v>71</v>
      </c>
      <c r="C44" s="8" t="s">
        <v>171</v>
      </c>
      <c r="D44" s="8">
        <v>3</v>
      </c>
      <c r="E44" s="51" t="s">
        <v>219</v>
      </c>
      <c r="F44" s="8"/>
      <c r="G44" s="8" t="s">
        <v>238</v>
      </c>
      <c r="H44" s="8">
        <v>0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9"/>
    </row>
    <row r="45" spans="1:34" ht="15" thickBot="1" x14ac:dyDescent="0.4">
      <c r="A45" s="48">
        <f t="shared" si="0"/>
        <v>11</v>
      </c>
      <c r="B45" s="49" t="str">
        <f>B44</f>
        <v>T5LEGAGR</v>
      </c>
      <c r="C45" s="49" t="str">
        <f>C44</f>
        <v>Demand Legumes   for Agriculture</v>
      </c>
      <c r="D45" s="30">
        <v>4</v>
      </c>
      <c r="E45" s="51" t="s">
        <v>218</v>
      </c>
      <c r="F45" s="30"/>
      <c r="G45" s="30" t="s">
        <v>250</v>
      </c>
      <c r="H45" s="30">
        <v>0</v>
      </c>
      <c r="I45" s="30">
        <v>1</v>
      </c>
      <c r="J45" s="30">
        <v>1</v>
      </c>
      <c r="K45" s="30">
        <v>1</v>
      </c>
      <c r="L45" s="30">
        <v>1</v>
      </c>
      <c r="M45" s="30">
        <v>1</v>
      </c>
      <c r="N45" s="30">
        <v>1</v>
      </c>
      <c r="O45" s="30">
        <v>1</v>
      </c>
      <c r="P45" s="30">
        <v>1</v>
      </c>
      <c r="Q45" s="30">
        <v>1</v>
      </c>
      <c r="R45" s="30">
        <v>1</v>
      </c>
      <c r="S45" s="30">
        <v>1</v>
      </c>
      <c r="T45" s="30">
        <v>1</v>
      </c>
      <c r="U45" s="30">
        <v>1</v>
      </c>
      <c r="V45" s="30">
        <v>1</v>
      </c>
      <c r="W45" s="30">
        <v>1</v>
      </c>
      <c r="X45" s="30">
        <v>1</v>
      </c>
      <c r="Y45" s="30">
        <v>1</v>
      </c>
      <c r="Z45" s="30">
        <v>1</v>
      </c>
      <c r="AA45" s="30">
        <v>1</v>
      </c>
      <c r="AB45" s="30">
        <v>1</v>
      </c>
      <c r="AC45" s="30">
        <v>1</v>
      </c>
      <c r="AD45" s="30">
        <v>1</v>
      </c>
      <c r="AE45" s="30">
        <v>1</v>
      </c>
      <c r="AF45" s="30">
        <v>1</v>
      </c>
      <c r="AG45" s="30">
        <v>1</v>
      </c>
      <c r="AH45" s="31">
        <v>1</v>
      </c>
    </row>
    <row r="46" spans="1:34" x14ac:dyDescent="0.35">
      <c r="A46" s="2">
        <f t="shared" si="0"/>
        <v>12</v>
      </c>
      <c r="B46" s="3" t="s">
        <v>72</v>
      </c>
      <c r="C46" s="3" t="s">
        <v>172</v>
      </c>
      <c r="D46" s="3">
        <v>1</v>
      </c>
      <c r="E46" s="50" t="s">
        <v>216</v>
      </c>
      <c r="F46" s="3"/>
      <c r="G46" s="3" t="s">
        <v>238</v>
      </c>
      <c r="H46" s="3">
        <v>0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4"/>
    </row>
    <row r="47" spans="1:34" x14ac:dyDescent="0.35">
      <c r="A47" s="5">
        <f t="shared" si="0"/>
        <v>12</v>
      </c>
      <c r="B47" s="1" t="s">
        <v>72</v>
      </c>
      <c r="C47" s="1" t="s">
        <v>172</v>
      </c>
      <c r="D47" s="1">
        <v>2</v>
      </c>
      <c r="E47" s="50" t="s">
        <v>217</v>
      </c>
      <c r="F47" s="1"/>
      <c r="G47" s="1" t="s">
        <v>238</v>
      </c>
      <c r="H47" s="1">
        <v>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6"/>
    </row>
    <row r="48" spans="1:34" ht="15" thickBot="1" x14ac:dyDescent="0.4">
      <c r="A48" s="7">
        <f t="shared" si="0"/>
        <v>12</v>
      </c>
      <c r="B48" s="8" t="s">
        <v>72</v>
      </c>
      <c r="C48" s="8" t="s">
        <v>172</v>
      </c>
      <c r="D48" s="8">
        <v>3</v>
      </c>
      <c r="E48" s="50" t="s">
        <v>219</v>
      </c>
      <c r="F48" s="8"/>
      <c r="G48" s="8" t="s">
        <v>238</v>
      </c>
      <c r="H48" s="8">
        <v>0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9"/>
    </row>
    <row r="49" spans="1:34" ht="15" thickBot="1" x14ac:dyDescent="0.4">
      <c r="A49" s="48">
        <f t="shared" si="0"/>
        <v>12</v>
      </c>
      <c r="B49" s="49" t="str">
        <f>B48</f>
        <v>T5CERAGR</v>
      </c>
      <c r="C49" s="49" t="str">
        <f>C48</f>
        <v>Demand Cereals for Agriculture</v>
      </c>
      <c r="D49" s="30">
        <v>4</v>
      </c>
      <c r="E49" s="50" t="s">
        <v>218</v>
      </c>
      <c r="F49" s="30"/>
      <c r="G49" s="30" t="s">
        <v>250</v>
      </c>
      <c r="H49" s="30">
        <v>0</v>
      </c>
      <c r="I49" s="30">
        <v>1</v>
      </c>
      <c r="J49" s="30">
        <v>1</v>
      </c>
      <c r="K49" s="30">
        <v>1</v>
      </c>
      <c r="L49" s="30">
        <v>1</v>
      </c>
      <c r="M49" s="30">
        <v>1</v>
      </c>
      <c r="N49" s="30">
        <v>1</v>
      </c>
      <c r="O49" s="30">
        <v>1</v>
      </c>
      <c r="P49" s="30">
        <v>1</v>
      </c>
      <c r="Q49" s="30">
        <v>1</v>
      </c>
      <c r="R49" s="30">
        <v>1</v>
      </c>
      <c r="S49" s="30">
        <v>1</v>
      </c>
      <c r="T49" s="30">
        <v>1</v>
      </c>
      <c r="U49" s="30">
        <v>1</v>
      </c>
      <c r="V49" s="30">
        <v>1</v>
      </c>
      <c r="W49" s="30">
        <v>1</v>
      </c>
      <c r="X49" s="30">
        <v>1</v>
      </c>
      <c r="Y49" s="30">
        <v>1</v>
      </c>
      <c r="Z49" s="30">
        <v>1</v>
      </c>
      <c r="AA49" s="30">
        <v>1</v>
      </c>
      <c r="AB49" s="30">
        <v>1</v>
      </c>
      <c r="AC49" s="30">
        <v>1</v>
      </c>
      <c r="AD49" s="30">
        <v>1</v>
      </c>
      <c r="AE49" s="30">
        <v>1</v>
      </c>
      <c r="AF49" s="30">
        <v>1</v>
      </c>
      <c r="AG49" s="30">
        <v>1</v>
      </c>
      <c r="AH49" s="31">
        <v>1</v>
      </c>
    </row>
    <row r="50" spans="1:34" x14ac:dyDescent="0.35">
      <c r="A50" s="2">
        <f t="shared" si="0"/>
        <v>13</v>
      </c>
      <c r="B50" s="3" t="s">
        <v>73</v>
      </c>
      <c r="C50" s="3" t="s">
        <v>173</v>
      </c>
      <c r="D50" s="3">
        <v>1</v>
      </c>
      <c r="E50" s="51" t="s">
        <v>216</v>
      </c>
      <c r="F50" s="3"/>
      <c r="G50" s="3" t="s">
        <v>238</v>
      </c>
      <c r="H50" s="3">
        <v>0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4"/>
    </row>
    <row r="51" spans="1:34" x14ac:dyDescent="0.35">
      <c r="A51" s="5">
        <f t="shared" si="0"/>
        <v>13</v>
      </c>
      <c r="B51" s="1" t="s">
        <v>73</v>
      </c>
      <c r="C51" s="1" t="s">
        <v>173</v>
      </c>
      <c r="D51" s="1">
        <v>2</v>
      </c>
      <c r="E51" s="51" t="s">
        <v>217</v>
      </c>
      <c r="F51" s="1"/>
      <c r="G51" s="1" t="s">
        <v>238</v>
      </c>
      <c r="H51" s="1">
        <v>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6"/>
    </row>
    <row r="52" spans="1:34" ht="15" thickBot="1" x14ac:dyDescent="0.4">
      <c r="A52" s="7">
        <f t="shared" si="0"/>
        <v>13</v>
      </c>
      <c r="B52" s="8" t="s">
        <v>73</v>
      </c>
      <c r="C52" s="8" t="s">
        <v>173</v>
      </c>
      <c r="D52" s="8">
        <v>3</v>
      </c>
      <c r="E52" s="51" t="s">
        <v>219</v>
      </c>
      <c r="F52" s="8"/>
      <c r="G52" s="8" t="s">
        <v>238</v>
      </c>
      <c r="H52" s="8">
        <v>0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9"/>
    </row>
    <row r="53" spans="1:34" ht="15" thickBot="1" x14ac:dyDescent="0.4">
      <c r="A53" s="48">
        <f t="shared" si="0"/>
        <v>13</v>
      </c>
      <c r="B53" s="49" t="str">
        <f>B52</f>
        <v>T5TUBAGR</v>
      </c>
      <c r="C53" s="49" t="str">
        <f>C52</f>
        <v>Demand Tubers   for Agriculture</v>
      </c>
      <c r="D53" s="30">
        <v>4</v>
      </c>
      <c r="E53" s="51" t="s">
        <v>218</v>
      </c>
      <c r="F53" s="30"/>
      <c r="G53" s="30" t="s">
        <v>250</v>
      </c>
      <c r="H53" s="30">
        <v>0</v>
      </c>
      <c r="I53" s="30">
        <v>1</v>
      </c>
      <c r="J53" s="30">
        <v>1</v>
      </c>
      <c r="K53" s="30">
        <v>1</v>
      </c>
      <c r="L53" s="30">
        <v>1</v>
      </c>
      <c r="M53" s="30">
        <v>1</v>
      </c>
      <c r="N53" s="30">
        <v>1</v>
      </c>
      <c r="O53" s="30">
        <v>1</v>
      </c>
      <c r="P53" s="30">
        <v>1</v>
      </c>
      <c r="Q53" s="30">
        <v>1</v>
      </c>
      <c r="R53" s="30">
        <v>1</v>
      </c>
      <c r="S53" s="30">
        <v>1</v>
      </c>
      <c r="T53" s="30">
        <v>1</v>
      </c>
      <c r="U53" s="30">
        <v>1</v>
      </c>
      <c r="V53" s="30">
        <v>1</v>
      </c>
      <c r="W53" s="30">
        <v>1</v>
      </c>
      <c r="X53" s="30">
        <v>1</v>
      </c>
      <c r="Y53" s="30">
        <v>1</v>
      </c>
      <c r="Z53" s="30">
        <v>1</v>
      </c>
      <c r="AA53" s="30">
        <v>1</v>
      </c>
      <c r="AB53" s="30">
        <v>1</v>
      </c>
      <c r="AC53" s="30">
        <v>1</v>
      </c>
      <c r="AD53" s="30">
        <v>1</v>
      </c>
      <c r="AE53" s="30">
        <v>1</v>
      </c>
      <c r="AF53" s="30">
        <v>1</v>
      </c>
      <c r="AG53" s="30">
        <v>1</v>
      </c>
      <c r="AH53" s="31">
        <v>1</v>
      </c>
    </row>
    <row r="54" spans="1:34" x14ac:dyDescent="0.35">
      <c r="A54" s="2">
        <f t="shared" si="0"/>
        <v>14</v>
      </c>
      <c r="B54" s="3" t="s">
        <v>74</v>
      </c>
      <c r="C54" s="3" t="s">
        <v>174</v>
      </c>
      <c r="D54" s="3">
        <v>1</v>
      </c>
      <c r="E54" s="50" t="s">
        <v>216</v>
      </c>
      <c r="F54" s="3"/>
      <c r="G54" s="3" t="s">
        <v>238</v>
      </c>
      <c r="H54" s="3">
        <v>0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4"/>
    </row>
    <row r="55" spans="1:34" x14ac:dyDescent="0.35">
      <c r="A55" s="5">
        <f t="shared" si="0"/>
        <v>14</v>
      </c>
      <c r="B55" s="1" t="s">
        <v>74</v>
      </c>
      <c r="C55" s="1" t="s">
        <v>174</v>
      </c>
      <c r="D55" s="1">
        <v>2</v>
      </c>
      <c r="E55" s="50" t="s">
        <v>217</v>
      </c>
      <c r="F55" s="1"/>
      <c r="G55" s="1" t="s">
        <v>238</v>
      </c>
      <c r="H55" s="1">
        <v>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6"/>
    </row>
    <row r="56" spans="1:34" ht="15" thickBot="1" x14ac:dyDescent="0.4">
      <c r="A56" s="7">
        <f t="shared" si="0"/>
        <v>14</v>
      </c>
      <c r="B56" s="8" t="s">
        <v>74</v>
      </c>
      <c r="C56" s="8" t="s">
        <v>174</v>
      </c>
      <c r="D56" s="8">
        <v>3</v>
      </c>
      <c r="E56" s="50" t="s">
        <v>219</v>
      </c>
      <c r="F56" s="8"/>
      <c r="G56" s="8" t="s">
        <v>238</v>
      </c>
      <c r="H56" s="8">
        <v>0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9"/>
    </row>
    <row r="57" spans="1:34" ht="15" thickBot="1" x14ac:dyDescent="0.4">
      <c r="A57" s="48">
        <f t="shared" si="0"/>
        <v>14</v>
      </c>
      <c r="B57" s="49" t="str">
        <f>B56</f>
        <v>T5FRTAGR</v>
      </c>
      <c r="C57" s="49" t="str">
        <f>C56</f>
        <v>Demand Fruits   for Agriculture</v>
      </c>
      <c r="D57" s="30">
        <v>4</v>
      </c>
      <c r="E57" s="50" t="s">
        <v>218</v>
      </c>
      <c r="F57" s="30"/>
      <c r="G57" s="30" t="s">
        <v>250</v>
      </c>
      <c r="H57" s="30">
        <v>0</v>
      </c>
      <c r="I57" s="30">
        <v>1</v>
      </c>
      <c r="J57" s="30">
        <v>1</v>
      </c>
      <c r="K57" s="30">
        <v>1</v>
      </c>
      <c r="L57" s="30">
        <v>1</v>
      </c>
      <c r="M57" s="30">
        <v>1</v>
      </c>
      <c r="N57" s="30">
        <v>1</v>
      </c>
      <c r="O57" s="30">
        <v>1</v>
      </c>
      <c r="P57" s="30">
        <v>1</v>
      </c>
      <c r="Q57" s="30">
        <v>1</v>
      </c>
      <c r="R57" s="30">
        <v>1</v>
      </c>
      <c r="S57" s="30">
        <v>1</v>
      </c>
      <c r="T57" s="30">
        <v>1</v>
      </c>
      <c r="U57" s="30">
        <v>1</v>
      </c>
      <c r="V57" s="30">
        <v>1</v>
      </c>
      <c r="W57" s="30">
        <v>1</v>
      </c>
      <c r="X57" s="30">
        <v>1</v>
      </c>
      <c r="Y57" s="30">
        <v>1</v>
      </c>
      <c r="Z57" s="30">
        <v>1</v>
      </c>
      <c r="AA57" s="30">
        <v>1</v>
      </c>
      <c r="AB57" s="30">
        <v>1</v>
      </c>
      <c r="AC57" s="30">
        <v>1</v>
      </c>
      <c r="AD57" s="30">
        <v>1</v>
      </c>
      <c r="AE57" s="30">
        <v>1</v>
      </c>
      <c r="AF57" s="30">
        <v>1</v>
      </c>
      <c r="AG57" s="30">
        <v>1</v>
      </c>
      <c r="AH57" s="31">
        <v>1</v>
      </c>
    </row>
    <row r="58" spans="1:34" x14ac:dyDescent="0.35">
      <c r="A58" s="2">
        <f t="shared" si="0"/>
        <v>15</v>
      </c>
      <c r="B58" s="3" t="s">
        <v>75</v>
      </c>
      <c r="C58" s="3" t="s">
        <v>175</v>
      </c>
      <c r="D58" s="3">
        <v>1</v>
      </c>
      <c r="E58" s="51" t="s">
        <v>216</v>
      </c>
      <c r="F58" s="3"/>
      <c r="G58" s="3" t="s">
        <v>238</v>
      </c>
      <c r="H58" s="3">
        <v>0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4"/>
    </row>
    <row r="59" spans="1:34" x14ac:dyDescent="0.35">
      <c r="A59" s="5">
        <f t="shared" si="0"/>
        <v>15</v>
      </c>
      <c r="B59" s="1" t="s">
        <v>75</v>
      </c>
      <c r="C59" s="1" t="s">
        <v>175</v>
      </c>
      <c r="D59" s="1">
        <v>2</v>
      </c>
      <c r="E59" s="51" t="s">
        <v>217</v>
      </c>
      <c r="F59" s="1"/>
      <c r="G59" s="1" t="s">
        <v>238</v>
      </c>
      <c r="H59" s="1">
        <v>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6"/>
    </row>
    <row r="60" spans="1:34" ht="15" thickBot="1" x14ac:dyDescent="0.4">
      <c r="A60" s="7">
        <f t="shared" si="0"/>
        <v>15</v>
      </c>
      <c r="B60" s="8" t="s">
        <v>75</v>
      </c>
      <c r="C60" s="8" t="s">
        <v>175</v>
      </c>
      <c r="D60" s="8">
        <v>3</v>
      </c>
      <c r="E60" s="51" t="s">
        <v>219</v>
      </c>
      <c r="F60" s="8"/>
      <c r="G60" s="8" t="s">
        <v>238</v>
      </c>
      <c r="H60" s="8">
        <v>0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9"/>
    </row>
    <row r="61" spans="1:34" ht="15" thickBot="1" x14ac:dyDescent="0.4">
      <c r="A61" s="48">
        <f t="shared" si="0"/>
        <v>15</v>
      </c>
      <c r="B61" s="49" t="str">
        <f>B60</f>
        <v>T5VEGAGR</v>
      </c>
      <c r="C61" s="49" t="str">
        <f>C60</f>
        <v>Demand Vegetables   for Agriculture</v>
      </c>
      <c r="D61" s="30">
        <v>4</v>
      </c>
      <c r="E61" s="51" t="s">
        <v>218</v>
      </c>
      <c r="F61" s="30"/>
      <c r="G61" s="30" t="s">
        <v>250</v>
      </c>
      <c r="H61" s="30">
        <v>0</v>
      </c>
      <c r="I61" s="30">
        <v>1</v>
      </c>
      <c r="J61" s="30">
        <v>1</v>
      </c>
      <c r="K61" s="30">
        <v>1</v>
      </c>
      <c r="L61" s="30">
        <v>1</v>
      </c>
      <c r="M61" s="30">
        <v>1</v>
      </c>
      <c r="N61" s="30">
        <v>1</v>
      </c>
      <c r="O61" s="30">
        <v>1</v>
      </c>
      <c r="P61" s="30">
        <v>1</v>
      </c>
      <c r="Q61" s="30">
        <v>1</v>
      </c>
      <c r="R61" s="30">
        <v>1</v>
      </c>
      <c r="S61" s="30">
        <v>1</v>
      </c>
      <c r="T61" s="30">
        <v>1</v>
      </c>
      <c r="U61" s="30">
        <v>1</v>
      </c>
      <c r="V61" s="30">
        <v>1</v>
      </c>
      <c r="W61" s="30">
        <v>1</v>
      </c>
      <c r="X61" s="30">
        <v>1</v>
      </c>
      <c r="Y61" s="30">
        <v>1</v>
      </c>
      <c r="Z61" s="30">
        <v>1</v>
      </c>
      <c r="AA61" s="30">
        <v>1</v>
      </c>
      <c r="AB61" s="30">
        <v>1</v>
      </c>
      <c r="AC61" s="30">
        <v>1</v>
      </c>
      <c r="AD61" s="30">
        <v>1</v>
      </c>
      <c r="AE61" s="30">
        <v>1</v>
      </c>
      <c r="AF61" s="30">
        <v>1</v>
      </c>
      <c r="AG61" s="30">
        <v>1</v>
      </c>
      <c r="AH61" s="31">
        <v>1</v>
      </c>
    </row>
    <row r="62" spans="1:34" x14ac:dyDescent="0.35">
      <c r="A62" s="2">
        <f t="shared" si="0"/>
        <v>16</v>
      </c>
      <c r="B62" s="3" t="s">
        <v>76</v>
      </c>
      <c r="C62" s="3" t="s">
        <v>176</v>
      </c>
      <c r="D62" s="3">
        <v>1</v>
      </c>
      <c r="E62" s="50" t="s">
        <v>216</v>
      </c>
      <c r="F62" s="3"/>
      <c r="G62" s="3" t="s">
        <v>238</v>
      </c>
      <c r="H62" s="3">
        <v>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4"/>
    </row>
    <row r="63" spans="1:34" x14ac:dyDescent="0.35">
      <c r="A63" s="5">
        <f t="shared" si="0"/>
        <v>16</v>
      </c>
      <c r="B63" s="1" t="s">
        <v>76</v>
      </c>
      <c r="C63" s="1" t="s">
        <v>176</v>
      </c>
      <c r="D63" s="1">
        <v>2</v>
      </c>
      <c r="E63" s="50" t="s">
        <v>217</v>
      </c>
      <c r="F63" s="1"/>
      <c r="G63" s="1" t="s">
        <v>238</v>
      </c>
      <c r="H63" s="1">
        <v>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6"/>
    </row>
    <row r="64" spans="1:34" ht="15" thickBot="1" x14ac:dyDescent="0.4">
      <c r="A64" s="7">
        <f t="shared" si="0"/>
        <v>16</v>
      </c>
      <c r="B64" s="8" t="s">
        <v>76</v>
      </c>
      <c r="C64" s="8" t="s">
        <v>176</v>
      </c>
      <c r="D64" s="8">
        <v>3</v>
      </c>
      <c r="E64" s="50" t="s">
        <v>219</v>
      </c>
      <c r="F64" s="8"/>
      <c r="G64" s="8" t="s">
        <v>238</v>
      </c>
      <c r="H64" s="8">
        <v>0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9"/>
    </row>
    <row r="65" spans="1:34" ht="15" thickBot="1" x14ac:dyDescent="0.4">
      <c r="A65" s="48">
        <f t="shared" si="0"/>
        <v>16</v>
      </c>
      <c r="B65" s="49" t="str">
        <f>B64</f>
        <v>T5FLOAGR</v>
      </c>
      <c r="C65" s="49" t="str">
        <f>C64</f>
        <v>Demand Flowers for Agriculture</v>
      </c>
      <c r="D65" s="30">
        <v>4</v>
      </c>
      <c r="E65" s="50" t="s">
        <v>218</v>
      </c>
      <c r="F65" s="30"/>
      <c r="G65" s="30" t="s">
        <v>250</v>
      </c>
      <c r="H65" s="30">
        <v>0</v>
      </c>
      <c r="I65" s="30">
        <v>1</v>
      </c>
      <c r="J65" s="30">
        <v>1</v>
      </c>
      <c r="K65" s="30">
        <v>1</v>
      </c>
      <c r="L65" s="30">
        <v>1</v>
      </c>
      <c r="M65" s="30">
        <v>1</v>
      </c>
      <c r="N65" s="30">
        <v>1</v>
      </c>
      <c r="O65" s="30">
        <v>1</v>
      </c>
      <c r="P65" s="30">
        <v>1</v>
      </c>
      <c r="Q65" s="30">
        <v>1</v>
      </c>
      <c r="R65" s="30">
        <v>1</v>
      </c>
      <c r="S65" s="30">
        <v>1</v>
      </c>
      <c r="T65" s="30">
        <v>1</v>
      </c>
      <c r="U65" s="30">
        <v>1</v>
      </c>
      <c r="V65" s="30">
        <v>1</v>
      </c>
      <c r="W65" s="30">
        <v>1</v>
      </c>
      <c r="X65" s="30">
        <v>1</v>
      </c>
      <c r="Y65" s="30">
        <v>1</v>
      </c>
      <c r="Z65" s="30">
        <v>1</v>
      </c>
      <c r="AA65" s="30">
        <v>1</v>
      </c>
      <c r="AB65" s="30">
        <v>1</v>
      </c>
      <c r="AC65" s="30">
        <v>1</v>
      </c>
      <c r="AD65" s="30">
        <v>1</v>
      </c>
      <c r="AE65" s="30">
        <v>1</v>
      </c>
      <c r="AF65" s="30">
        <v>1</v>
      </c>
      <c r="AG65" s="30">
        <v>1</v>
      </c>
      <c r="AH65" s="31">
        <v>1</v>
      </c>
    </row>
    <row r="66" spans="1:34" x14ac:dyDescent="0.35">
      <c r="A66" s="2">
        <f t="shared" si="0"/>
        <v>17</v>
      </c>
      <c r="B66" s="3" t="s">
        <v>77</v>
      </c>
      <c r="C66" s="3" t="s">
        <v>177</v>
      </c>
      <c r="D66" s="3">
        <v>1</v>
      </c>
      <c r="E66" s="51" t="s">
        <v>216</v>
      </c>
      <c r="F66" s="3"/>
      <c r="G66" s="3" t="s">
        <v>238</v>
      </c>
      <c r="H66" s="3">
        <v>0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4"/>
    </row>
    <row r="67" spans="1:34" x14ac:dyDescent="0.35">
      <c r="A67" s="5">
        <f t="shared" si="0"/>
        <v>17</v>
      </c>
      <c r="B67" s="1" t="s">
        <v>77</v>
      </c>
      <c r="C67" s="1" t="s">
        <v>177</v>
      </c>
      <c r="D67" s="1">
        <v>2</v>
      </c>
      <c r="E67" s="51" t="s">
        <v>217</v>
      </c>
      <c r="F67" s="1"/>
      <c r="G67" s="1" t="s">
        <v>238</v>
      </c>
      <c r="H67" s="1">
        <v>0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6"/>
    </row>
    <row r="68" spans="1:34" ht="15" thickBot="1" x14ac:dyDescent="0.4">
      <c r="A68" s="7">
        <f t="shared" si="0"/>
        <v>17</v>
      </c>
      <c r="B68" s="8" t="s">
        <v>77</v>
      </c>
      <c r="C68" s="8" t="s">
        <v>177</v>
      </c>
      <c r="D68" s="8">
        <v>3</v>
      </c>
      <c r="E68" s="51" t="s">
        <v>219</v>
      </c>
      <c r="F68" s="8"/>
      <c r="G68" s="8" t="s">
        <v>238</v>
      </c>
      <c r="H68" s="8">
        <v>0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9"/>
    </row>
    <row r="69" spans="1:34" ht="15" thickBot="1" x14ac:dyDescent="0.4">
      <c r="A69" s="48">
        <f t="shared" si="0"/>
        <v>17</v>
      </c>
      <c r="B69" s="49" t="str">
        <f>B68</f>
        <v>T5BOVGAN</v>
      </c>
      <c r="C69" s="49" t="str">
        <f>C68</f>
        <v>Demand Bovinos for Livestock</v>
      </c>
      <c r="D69" s="30">
        <v>4</v>
      </c>
      <c r="E69" s="51" t="s">
        <v>218</v>
      </c>
      <c r="F69" s="30"/>
      <c r="G69" s="30" t="s">
        <v>250</v>
      </c>
      <c r="H69" s="30">
        <v>0</v>
      </c>
      <c r="I69" s="30">
        <v>1</v>
      </c>
      <c r="J69" s="30">
        <v>1</v>
      </c>
      <c r="K69" s="30">
        <v>1</v>
      </c>
      <c r="L69" s="30">
        <v>1</v>
      </c>
      <c r="M69" s="30">
        <v>1</v>
      </c>
      <c r="N69" s="30">
        <v>1</v>
      </c>
      <c r="O69" s="30">
        <v>1</v>
      </c>
      <c r="P69" s="30">
        <v>1</v>
      </c>
      <c r="Q69" s="30">
        <v>1</v>
      </c>
      <c r="R69" s="30">
        <v>1</v>
      </c>
      <c r="S69" s="30">
        <v>1</v>
      </c>
      <c r="T69" s="30">
        <v>1</v>
      </c>
      <c r="U69" s="30">
        <v>1</v>
      </c>
      <c r="V69" s="30">
        <v>1</v>
      </c>
      <c r="W69" s="30">
        <v>1</v>
      </c>
      <c r="X69" s="30">
        <v>1</v>
      </c>
      <c r="Y69" s="30">
        <v>1</v>
      </c>
      <c r="Z69" s="30">
        <v>1</v>
      </c>
      <c r="AA69" s="30">
        <v>1</v>
      </c>
      <c r="AB69" s="30">
        <v>1</v>
      </c>
      <c r="AC69" s="30">
        <v>1</v>
      </c>
      <c r="AD69" s="30">
        <v>1</v>
      </c>
      <c r="AE69" s="30">
        <v>1</v>
      </c>
      <c r="AF69" s="30">
        <v>1</v>
      </c>
      <c r="AG69" s="30">
        <v>1</v>
      </c>
      <c r="AH69" s="31">
        <v>1</v>
      </c>
    </row>
    <row r="70" spans="1:34" x14ac:dyDescent="0.35">
      <c r="A70" s="2">
        <f t="shared" si="0"/>
        <v>18</v>
      </c>
      <c r="B70" s="72" t="s">
        <v>286</v>
      </c>
      <c r="C70" s="3" t="s">
        <v>278</v>
      </c>
      <c r="D70" s="3">
        <v>1</v>
      </c>
      <c r="E70" s="51" t="s">
        <v>216</v>
      </c>
      <c r="F70" s="3"/>
      <c r="G70" s="3" t="s">
        <v>238</v>
      </c>
      <c r="H70" s="3">
        <v>0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4"/>
    </row>
    <row r="71" spans="1:34" x14ac:dyDescent="0.35">
      <c r="A71" s="5">
        <f t="shared" ref="A71:A77" si="1">+A67+1</f>
        <v>18</v>
      </c>
      <c r="B71" s="73" t="s">
        <v>286</v>
      </c>
      <c r="C71" s="1" t="s">
        <v>278</v>
      </c>
      <c r="D71" s="1">
        <v>2</v>
      </c>
      <c r="E71" s="51" t="s">
        <v>217</v>
      </c>
      <c r="F71" s="1"/>
      <c r="G71" s="1" t="s">
        <v>238</v>
      </c>
      <c r="H71" s="1">
        <v>0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6"/>
    </row>
    <row r="72" spans="1:34" ht="15" thickBot="1" x14ac:dyDescent="0.4">
      <c r="A72" s="7">
        <f t="shared" si="1"/>
        <v>18</v>
      </c>
      <c r="B72" s="74" t="s">
        <v>286</v>
      </c>
      <c r="C72" s="8" t="s">
        <v>278</v>
      </c>
      <c r="D72" s="8">
        <v>3</v>
      </c>
      <c r="E72" s="51" t="s">
        <v>219</v>
      </c>
      <c r="F72" s="8"/>
      <c r="G72" s="8" t="s">
        <v>238</v>
      </c>
      <c r="H72" s="8">
        <v>0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9"/>
    </row>
    <row r="73" spans="1:34" ht="15" thickBot="1" x14ac:dyDescent="0.4">
      <c r="A73" s="48">
        <f t="shared" si="1"/>
        <v>18</v>
      </c>
      <c r="B73" s="81" t="s">
        <v>286</v>
      </c>
      <c r="C73" s="49" t="s">
        <v>278</v>
      </c>
      <c r="D73" s="30">
        <v>4</v>
      </c>
      <c r="E73" s="51" t="s">
        <v>218</v>
      </c>
      <c r="F73" s="30"/>
      <c r="G73" s="30" t="s">
        <v>250</v>
      </c>
      <c r="H73" s="30">
        <v>0</v>
      </c>
      <c r="I73" s="30">
        <v>1</v>
      </c>
      <c r="J73" s="30">
        <v>1</v>
      </c>
      <c r="K73" s="30">
        <v>1</v>
      </c>
      <c r="L73" s="30">
        <v>1</v>
      </c>
      <c r="M73" s="30">
        <v>1</v>
      </c>
      <c r="N73" s="30">
        <v>1</v>
      </c>
      <c r="O73" s="30">
        <v>1</v>
      </c>
      <c r="P73" s="30">
        <v>1</v>
      </c>
      <c r="Q73" s="30">
        <v>1</v>
      </c>
      <c r="R73" s="30">
        <v>1</v>
      </c>
      <c r="S73" s="30">
        <v>1</v>
      </c>
      <c r="T73" s="30">
        <v>1</v>
      </c>
      <c r="U73" s="30">
        <v>1</v>
      </c>
      <c r="V73" s="30">
        <v>1</v>
      </c>
      <c r="W73" s="30">
        <v>1</v>
      </c>
      <c r="X73" s="30">
        <v>1</v>
      </c>
      <c r="Y73" s="30">
        <v>1</v>
      </c>
      <c r="Z73" s="30">
        <v>1</v>
      </c>
      <c r="AA73" s="30">
        <v>1</v>
      </c>
      <c r="AB73" s="30">
        <v>1</v>
      </c>
      <c r="AC73" s="30">
        <v>1</v>
      </c>
      <c r="AD73" s="30">
        <v>1</v>
      </c>
      <c r="AE73" s="30">
        <v>1</v>
      </c>
      <c r="AF73" s="30">
        <v>1</v>
      </c>
      <c r="AG73" s="30">
        <v>1</v>
      </c>
      <c r="AH73" s="31">
        <v>1</v>
      </c>
    </row>
    <row r="74" spans="1:34" x14ac:dyDescent="0.35">
      <c r="A74" s="2">
        <f t="shared" si="1"/>
        <v>19</v>
      </c>
      <c r="B74" s="72" t="s">
        <v>287</v>
      </c>
      <c r="C74" s="3" t="s">
        <v>279</v>
      </c>
      <c r="D74" s="3">
        <v>1</v>
      </c>
      <c r="E74" s="51" t="s">
        <v>216</v>
      </c>
      <c r="F74" s="3"/>
      <c r="G74" s="3" t="s">
        <v>238</v>
      </c>
      <c r="H74" s="3">
        <v>0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4"/>
    </row>
    <row r="75" spans="1:34" x14ac:dyDescent="0.35">
      <c r="A75" s="5">
        <f t="shared" si="1"/>
        <v>19</v>
      </c>
      <c r="B75" s="73" t="s">
        <v>287</v>
      </c>
      <c r="C75" s="1" t="s">
        <v>279</v>
      </c>
      <c r="D75" s="1">
        <v>2</v>
      </c>
      <c r="E75" s="51" t="s">
        <v>217</v>
      </c>
      <c r="F75" s="1"/>
      <c r="G75" s="1" t="s">
        <v>238</v>
      </c>
      <c r="H75" s="1">
        <v>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6"/>
    </row>
    <row r="76" spans="1:34" ht="15" thickBot="1" x14ac:dyDescent="0.4">
      <c r="A76" s="7">
        <f t="shared" si="1"/>
        <v>19</v>
      </c>
      <c r="B76" s="74" t="s">
        <v>287</v>
      </c>
      <c r="C76" s="8" t="s">
        <v>279</v>
      </c>
      <c r="D76" s="8">
        <v>3</v>
      </c>
      <c r="E76" s="51" t="s">
        <v>219</v>
      </c>
      <c r="F76" s="8"/>
      <c r="G76" s="8" t="s">
        <v>238</v>
      </c>
      <c r="H76" s="8">
        <v>0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9"/>
    </row>
    <row r="77" spans="1:34" ht="15" thickBot="1" x14ac:dyDescent="0.4">
      <c r="A77" s="48">
        <f t="shared" si="1"/>
        <v>19</v>
      </c>
      <c r="B77" s="81" t="s">
        <v>287</v>
      </c>
      <c r="C77" s="49" t="s">
        <v>279</v>
      </c>
      <c r="D77" s="30">
        <v>4</v>
      </c>
      <c r="E77" s="51" t="s">
        <v>218</v>
      </c>
      <c r="F77" s="30"/>
      <c r="G77" s="30" t="s">
        <v>250</v>
      </c>
      <c r="H77" s="30">
        <v>0</v>
      </c>
      <c r="I77" s="30">
        <v>1</v>
      </c>
      <c r="J77" s="30">
        <v>1</v>
      </c>
      <c r="K77" s="30">
        <v>1</v>
      </c>
      <c r="L77" s="30">
        <v>1</v>
      </c>
      <c r="M77" s="30">
        <v>1</v>
      </c>
      <c r="N77" s="30">
        <v>1</v>
      </c>
      <c r="O77" s="30">
        <v>1</v>
      </c>
      <c r="P77" s="30">
        <v>1</v>
      </c>
      <c r="Q77" s="30">
        <v>1</v>
      </c>
      <c r="R77" s="30">
        <v>1</v>
      </c>
      <c r="S77" s="30">
        <v>1</v>
      </c>
      <c r="T77" s="30">
        <v>1</v>
      </c>
      <c r="U77" s="30">
        <v>1</v>
      </c>
      <c r="V77" s="30">
        <v>1</v>
      </c>
      <c r="W77" s="30">
        <v>1</v>
      </c>
      <c r="X77" s="30">
        <v>1</v>
      </c>
      <c r="Y77" s="30">
        <v>1</v>
      </c>
      <c r="Z77" s="30">
        <v>1</v>
      </c>
      <c r="AA77" s="30">
        <v>1</v>
      </c>
      <c r="AB77" s="30">
        <v>1</v>
      </c>
      <c r="AC77" s="30">
        <v>1</v>
      </c>
      <c r="AD77" s="30">
        <v>1</v>
      </c>
      <c r="AE77" s="30">
        <v>1</v>
      </c>
      <c r="AF77" s="30">
        <v>1</v>
      </c>
      <c r="AG77" s="30">
        <v>1</v>
      </c>
      <c r="AH77" s="31">
        <v>1</v>
      </c>
    </row>
    <row r="78" spans="1:34" x14ac:dyDescent="0.35">
      <c r="A78" s="2">
        <f>+A66+1</f>
        <v>18</v>
      </c>
      <c r="B78" s="55" t="s">
        <v>267</v>
      </c>
      <c r="C78" s="52" t="s">
        <v>262</v>
      </c>
      <c r="D78" s="3">
        <v>1</v>
      </c>
      <c r="E78" s="51" t="s">
        <v>216</v>
      </c>
      <c r="F78" s="3"/>
      <c r="G78" s="3" t="s">
        <v>238</v>
      </c>
      <c r="H78" s="3">
        <v>0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4"/>
    </row>
    <row r="79" spans="1:34" x14ac:dyDescent="0.35">
      <c r="A79" s="5">
        <f>+A67+1</f>
        <v>18</v>
      </c>
      <c r="B79" s="55" t="s">
        <v>267</v>
      </c>
      <c r="C79" s="52" t="s">
        <v>262</v>
      </c>
      <c r="D79" s="1">
        <v>2</v>
      </c>
      <c r="E79" s="51" t="s">
        <v>217</v>
      </c>
      <c r="F79" s="1"/>
      <c r="G79" s="1" t="s">
        <v>238</v>
      </c>
      <c r="H79" s="1">
        <v>0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6"/>
    </row>
    <row r="80" spans="1:34" ht="15" thickBot="1" x14ac:dyDescent="0.4">
      <c r="A80" s="7">
        <f>+A68+1</f>
        <v>18</v>
      </c>
      <c r="B80" s="55" t="s">
        <v>267</v>
      </c>
      <c r="C80" s="52" t="s">
        <v>262</v>
      </c>
      <c r="D80" s="8">
        <v>3</v>
      </c>
      <c r="E80" s="51" t="s">
        <v>219</v>
      </c>
      <c r="F80" s="8"/>
      <c r="G80" s="8" t="s">
        <v>238</v>
      </c>
      <c r="H80" s="8">
        <v>0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9"/>
    </row>
    <row r="81" spans="1:34" ht="15" thickBot="1" x14ac:dyDescent="0.4">
      <c r="A81" s="48">
        <f>+A69+1</f>
        <v>18</v>
      </c>
      <c r="B81" s="55" t="s">
        <v>267</v>
      </c>
      <c r="C81" s="52" t="s">
        <v>262</v>
      </c>
      <c r="D81" s="30">
        <v>4</v>
      </c>
      <c r="E81" s="51" t="s">
        <v>218</v>
      </c>
      <c r="F81" s="30"/>
      <c r="G81" s="30" t="s">
        <v>250</v>
      </c>
      <c r="H81" s="30">
        <v>0</v>
      </c>
      <c r="I81" s="30">
        <v>1</v>
      </c>
      <c r="J81" s="30">
        <v>1</v>
      </c>
      <c r="K81" s="30">
        <v>1</v>
      </c>
      <c r="L81" s="30">
        <v>1</v>
      </c>
      <c r="M81" s="30">
        <v>1</v>
      </c>
      <c r="N81" s="30">
        <v>1</v>
      </c>
      <c r="O81" s="30">
        <v>1</v>
      </c>
      <c r="P81" s="30">
        <v>1</v>
      </c>
      <c r="Q81" s="30">
        <v>1</v>
      </c>
      <c r="R81" s="30">
        <v>1</v>
      </c>
      <c r="S81" s="30">
        <v>1</v>
      </c>
      <c r="T81" s="30">
        <v>1</v>
      </c>
      <c r="U81" s="30">
        <v>1</v>
      </c>
      <c r="V81" s="30">
        <v>1</v>
      </c>
      <c r="W81" s="30">
        <v>1</v>
      </c>
      <c r="X81" s="30">
        <v>1</v>
      </c>
      <c r="Y81" s="30">
        <v>1</v>
      </c>
      <c r="Z81" s="30">
        <v>1</v>
      </c>
      <c r="AA81" s="30">
        <v>1</v>
      </c>
      <c r="AB81" s="30">
        <v>1</v>
      </c>
      <c r="AC81" s="30">
        <v>1</v>
      </c>
      <c r="AD81" s="30">
        <v>1</v>
      </c>
      <c r="AE81" s="30">
        <v>1</v>
      </c>
      <c r="AF81" s="30">
        <v>1</v>
      </c>
      <c r="AG81" s="30">
        <v>1</v>
      </c>
      <c r="AH81" s="31">
        <v>1</v>
      </c>
    </row>
    <row r="82" spans="1:34" x14ac:dyDescent="0.35">
      <c r="A82" s="95">
        <f t="shared" ref="A82:A93" si="2">+A78+1</f>
        <v>19</v>
      </c>
      <c r="B82" s="96" t="s">
        <v>296</v>
      </c>
      <c r="C82" s="96" t="s">
        <v>300</v>
      </c>
      <c r="D82" s="96">
        <v>1</v>
      </c>
      <c r="E82" s="97" t="s">
        <v>216</v>
      </c>
      <c r="F82" s="96"/>
      <c r="G82" s="96" t="s">
        <v>238</v>
      </c>
      <c r="H82" s="96">
        <v>0</v>
      </c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  <c r="AH82" s="98"/>
    </row>
    <row r="83" spans="1:34" x14ac:dyDescent="0.35">
      <c r="A83" s="99">
        <f t="shared" si="2"/>
        <v>19</v>
      </c>
      <c r="B83" s="97" t="s">
        <v>296</v>
      </c>
      <c r="C83" s="97" t="s">
        <v>300</v>
      </c>
      <c r="D83" s="97">
        <v>2</v>
      </c>
      <c r="E83" s="97" t="s">
        <v>217</v>
      </c>
      <c r="F83" s="97"/>
      <c r="G83" s="97" t="s">
        <v>238</v>
      </c>
      <c r="H83" s="97">
        <v>0</v>
      </c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  <c r="AA83" s="97"/>
      <c r="AB83" s="97"/>
      <c r="AC83" s="97"/>
      <c r="AD83" s="97"/>
      <c r="AE83" s="97"/>
      <c r="AF83" s="97"/>
      <c r="AG83" s="97"/>
      <c r="AH83" s="100"/>
    </row>
    <row r="84" spans="1:34" ht="15" thickBot="1" x14ac:dyDescent="0.4">
      <c r="A84" s="101">
        <f t="shared" si="2"/>
        <v>19</v>
      </c>
      <c r="B84" s="102" t="s">
        <v>296</v>
      </c>
      <c r="C84" s="102" t="s">
        <v>300</v>
      </c>
      <c r="D84" s="102">
        <v>3</v>
      </c>
      <c r="E84" s="97" t="s">
        <v>219</v>
      </c>
      <c r="F84" s="102"/>
      <c r="G84" s="102" t="s">
        <v>238</v>
      </c>
      <c r="H84" s="102">
        <v>0</v>
      </c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  <c r="AB84" s="102"/>
      <c r="AC84" s="102"/>
      <c r="AD84" s="102"/>
      <c r="AE84" s="102"/>
      <c r="AF84" s="102"/>
      <c r="AG84" s="102"/>
      <c r="AH84" s="103"/>
    </row>
    <row r="85" spans="1:34" ht="15" thickBot="1" x14ac:dyDescent="0.4">
      <c r="A85" s="104">
        <f t="shared" si="2"/>
        <v>19</v>
      </c>
      <c r="B85" s="105" t="s">
        <v>296</v>
      </c>
      <c r="C85" s="105" t="s">
        <v>300</v>
      </c>
      <c r="D85" s="106">
        <v>4</v>
      </c>
      <c r="E85" s="97" t="s">
        <v>218</v>
      </c>
      <c r="F85" s="106"/>
      <c r="G85" s="106" t="s">
        <v>250</v>
      </c>
      <c r="H85" s="106">
        <v>0</v>
      </c>
      <c r="I85" s="106">
        <v>1</v>
      </c>
      <c r="J85" s="106">
        <v>1</v>
      </c>
      <c r="K85" s="106">
        <v>1</v>
      </c>
      <c r="L85" s="106">
        <v>1</v>
      </c>
      <c r="M85" s="106">
        <v>1</v>
      </c>
      <c r="N85" s="106">
        <v>1</v>
      </c>
      <c r="O85" s="106">
        <v>1</v>
      </c>
      <c r="P85" s="106">
        <v>1</v>
      </c>
      <c r="Q85" s="106">
        <v>1</v>
      </c>
      <c r="R85" s="106">
        <v>1</v>
      </c>
      <c r="S85" s="106">
        <v>1</v>
      </c>
      <c r="T85" s="106">
        <v>1</v>
      </c>
      <c r="U85" s="106">
        <v>1</v>
      </c>
      <c r="V85" s="106">
        <v>1</v>
      </c>
      <c r="W85" s="106">
        <v>1</v>
      </c>
      <c r="X85" s="106">
        <v>1</v>
      </c>
      <c r="Y85" s="106">
        <v>1</v>
      </c>
      <c r="Z85" s="106">
        <v>1</v>
      </c>
      <c r="AA85" s="106">
        <v>1</v>
      </c>
      <c r="AB85" s="106">
        <v>1</v>
      </c>
      <c r="AC85" s="106">
        <v>1</v>
      </c>
      <c r="AD85" s="106">
        <v>1</v>
      </c>
      <c r="AE85" s="106">
        <v>1</v>
      </c>
      <c r="AF85" s="106">
        <v>1</v>
      </c>
      <c r="AG85" s="106">
        <v>1</v>
      </c>
      <c r="AH85" s="107">
        <v>1</v>
      </c>
    </row>
    <row r="86" spans="1:34" x14ac:dyDescent="0.35">
      <c r="A86" s="95">
        <f t="shared" si="2"/>
        <v>20</v>
      </c>
      <c r="B86" s="96" t="s">
        <v>297</v>
      </c>
      <c r="C86" s="96" t="s">
        <v>301</v>
      </c>
      <c r="D86" s="96">
        <v>1</v>
      </c>
      <c r="E86" s="97" t="s">
        <v>216</v>
      </c>
      <c r="F86" s="96"/>
      <c r="G86" s="96" t="s">
        <v>238</v>
      </c>
      <c r="H86" s="96">
        <v>0</v>
      </c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  <c r="AH86" s="98"/>
    </row>
    <row r="87" spans="1:34" x14ac:dyDescent="0.35">
      <c r="A87" s="99">
        <f t="shared" si="2"/>
        <v>20</v>
      </c>
      <c r="B87" s="97" t="s">
        <v>297</v>
      </c>
      <c r="C87" s="97" t="s">
        <v>301</v>
      </c>
      <c r="D87" s="97">
        <v>2</v>
      </c>
      <c r="E87" s="97" t="s">
        <v>217</v>
      </c>
      <c r="F87" s="97"/>
      <c r="G87" s="97" t="s">
        <v>238</v>
      </c>
      <c r="H87" s="97">
        <v>0</v>
      </c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7"/>
      <c r="AH87" s="100"/>
    </row>
    <row r="88" spans="1:34" ht="15" thickBot="1" x14ac:dyDescent="0.4">
      <c r="A88" s="101">
        <f t="shared" si="2"/>
        <v>20</v>
      </c>
      <c r="B88" s="102" t="s">
        <v>297</v>
      </c>
      <c r="C88" s="102" t="s">
        <v>301</v>
      </c>
      <c r="D88" s="102">
        <v>3</v>
      </c>
      <c r="E88" s="97" t="s">
        <v>219</v>
      </c>
      <c r="F88" s="102"/>
      <c r="G88" s="102" t="s">
        <v>238</v>
      </c>
      <c r="H88" s="102">
        <v>0</v>
      </c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2"/>
      <c r="AG88" s="102"/>
      <c r="AH88" s="103"/>
    </row>
    <row r="89" spans="1:34" ht="15" thickBot="1" x14ac:dyDescent="0.4">
      <c r="A89" s="104">
        <f t="shared" si="2"/>
        <v>20</v>
      </c>
      <c r="B89" s="105" t="s">
        <v>297</v>
      </c>
      <c r="C89" s="105" t="s">
        <v>301</v>
      </c>
      <c r="D89" s="106">
        <v>4</v>
      </c>
      <c r="E89" s="97" t="s">
        <v>218</v>
      </c>
      <c r="F89" s="106"/>
      <c r="G89" s="106" t="s">
        <v>250</v>
      </c>
      <c r="H89" s="106">
        <v>0</v>
      </c>
      <c r="I89" s="106">
        <v>1</v>
      </c>
      <c r="J89" s="106">
        <v>1</v>
      </c>
      <c r="K89" s="106">
        <v>1</v>
      </c>
      <c r="L89" s="106">
        <v>1</v>
      </c>
      <c r="M89" s="106">
        <v>1</v>
      </c>
      <c r="N89" s="106">
        <v>1</v>
      </c>
      <c r="O89" s="106">
        <v>1</v>
      </c>
      <c r="P89" s="106">
        <v>1</v>
      </c>
      <c r="Q89" s="106">
        <v>1</v>
      </c>
      <c r="R89" s="106">
        <v>1</v>
      </c>
      <c r="S89" s="106">
        <v>1</v>
      </c>
      <c r="T89" s="106">
        <v>1</v>
      </c>
      <c r="U89" s="106">
        <v>1</v>
      </c>
      <c r="V89" s="106">
        <v>1</v>
      </c>
      <c r="W89" s="106">
        <v>1</v>
      </c>
      <c r="X89" s="106">
        <v>1</v>
      </c>
      <c r="Y89" s="106">
        <v>1</v>
      </c>
      <c r="Z89" s="106">
        <v>1</v>
      </c>
      <c r="AA89" s="106">
        <v>1</v>
      </c>
      <c r="AB89" s="106">
        <v>1</v>
      </c>
      <c r="AC89" s="106">
        <v>1</v>
      </c>
      <c r="AD89" s="106">
        <v>1</v>
      </c>
      <c r="AE89" s="106">
        <v>1</v>
      </c>
      <c r="AF89" s="106">
        <v>1</v>
      </c>
      <c r="AG89" s="106">
        <v>1</v>
      </c>
      <c r="AH89" s="107">
        <v>1</v>
      </c>
    </row>
    <row r="90" spans="1:34" x14ac:dyDescent="0.35">
      <c r="A90" s="95">
        <f t="shared" si="2"/>
        <v>21</v>
      </c>
      <c r="B90" s="96" t="s">
        <v>298</v>
      </c>
      <c r="C90" s="96" t="s">
        <v>302</v>
      </c>
      <c r="D90" s="96">
        <v>1</v>
      </c>
      <c r="E90" s="97" t="s">
        <v>216</v>
      </c>
      <c r="F90" s="96"/>
      <c r="G90" s="96" t="s">
        <v>238</v>
      </c>
      <c r="H90" s="96">
        <v>0</v>
      </c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  <c r="AH90" s="98"/>
    </row>
    <row r="91" spans="1:34" x14ac:dyDescent="0.35">
      <c r="A91" s="99">
        <f t="shared" si="2"/>
        <v>21</v>
      </c>
      <c r="B91" s="97" t="s">
        <v>298</v>
      </c>
      <c r="C91" s="97" t="s">
        <v>302</v>
      </c>
      <c r="D91" s="97">
        <v>2</v>
      </c>
      <c r="E91" s="97" t="s">
        <v>217</v>
      </c>
      <c r="F91" s="97"/>
      <c r="G91" s="97" t="s">
        <v>238</v>
      </c>
      <c r="H91" s="97">
        <v>0</v>
      </c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97"/>
      <c r="AD91" s="97"/>
      <c r="AE91" s="97"/>
      <c r="AF91" s="97"/>
      <c r="AG91" s="97"/>
      <c r="AH91" s="100"/>
    </row>
    <row r="92" spans="1:34" ht="15" thickBot="1" x14ac:dyDescent="0.4">
      <c r="A92" s="101">
        <f t="shared" si="2"/>
        <v>21</v>
      </c>
      <c r="B92" s="102" t="s">
        <v>298</v>
      </c>
      <c r="C92" s="102" t="s">
        <v>302</v>
      </c>
      <c r="D92" s="102">
        <v>3</v>
      </c>
      <c r="E92" s="97" t="s">
        <v>219</v>
      </c>
      <c r="F92" s="102"/>
      <c r="G92" s="102" t="s">
        <v>238</v>
      </c>
      <c r="H92" s="102">
        <v>0</v>
      </c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  <c r="AB92" s="102"/>
      <c r="AC92" s="102"/>
      <c r="AD92" s="102"/>
      <c r="AE92" s="102"/>
      <c r="AF92" s="102"/>
      <c r="AG92" s="102"/>
      <c r="AH92" s="103"/>
    </row>
    <row r="93" spans="1:34" ht="15" thickBot="1" x14ac:dyDescent="0.4">
      <c r="A93" s="104">
        <f t="shared" si="2"/>
        <v>21</v>
      </c>
      <c r="B93" s="105" t="s">
        <v>298</v>
      </c>
      <c r="C93" s="105" t="s">
        <v>302</v>
      </c>
      <c r="D93" s="106">
        <v>4</v>
      </c>
      <c r="E93" s="97" t="s">
        <v>218</v>
      </c>
      <c r="F93" s="106"/>
      <c r="G93" s="106" t="s">
        <v>250</v>
      </c>
      <c r="H93" s="106">
        <v>0</v>
      </c>
      <c r="I93" s="106">
        <v>1</v>
      </c>
      <c r="J93" s="106">
        <v>1</v>
      </c>
      <c r="K93" s="106">
        <v>1</v>
      </c>
      <c r="L93" s="106">
        <v>1</v>
      </c>
      <c r="M93" s="106">
        <v>1</v>
      </c>
      <c r="N93" s="106">
        <v>1</v>
      </c>
      <c r="O93" s="106">
        <v>1</v>
      </c>
      <c r="P93" s="106">
        <v>1</v>
      </c>
      <c r="Q93" s="106">
        <v>1</v>
      </c>
      <c r="R93" s="106">
        <v>1</v>
      </c>
      <c r="S93" s="106">
        <v>1</v>
      </c>
      <c r="T93" s="106">
        <v>1</v>
      </c>
      <c r="U93" s="106">
        <v>1</v>
      </c>
      <c r="V93" s="106">
        <v>1</v>
      </c>
      <c r="W93" s="106">
        <v>1</v>
      </c>
      <c r="X93" s="106">
        <v>1</v>
      </c>
      <c r="Y93" s="106">
        <v>1</v>
      </c>
      <c r="Z93" s="106">
        <v>1</v>
      </c>
      <c r="AA93" s="106">
        <v>1</v>
      </c>
      <c r="AB93" s="106">
        <v>1</v>
      </c>
      <c r="AC93" s="106">
        <v>1</v>
      </c>
      <c r="AD93" s="106">
        <v>1</v>
      </c>
      <c r="AE93" s="106">
        <v>1</v>
      </c>
      <c r="AF93" s="106">
        <v>1</v>
      </c>
      <c r="AG93" s="106">
        <v>1</v>
      </c>
      <c r="AH93" s="107">
        <v>1</v>
      </c>
    </row>
    <row r="94" spans="1:34" x14ac:dyDescent="0.35">
      <c r="A94" s="95">
        <f>+A82+1</f>
        <v>20</v>
      </c>
      <c r="B94" s="99" t="s">
        <v>299</v>
      </c>
      <c r="C94" s="97" t="s">
        <v>303</v>
      </c>
      <c r="D94" s="96">
        <v>1</v>
      </c>
      <c r="E94" s="97" t="s">
        <v>216</v>
      </c>
      <c r="F94" s="96"/>
      <c r="G94" s="96" t="s">
        <v>238</v>
      </c>
      <c r="H94" s="96">
        <v>0</v>
      </c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  <c r="AH94" s="98"/>
    </row>
    <row r="95" spans="1:34" x14ac:dyDescent="0.35">
      <c r="A95" s="99">
        <f>+A83+1</f>
        <v>20</v>
      </c>
      <c r="B95" s="99" t="s">
        <v>299</v>
      </c>
      <c r="C95" s="97" t="s">
        <v>303</v>
      </c>
      <c r="D95" s="97">
        <v>2</v>
      </c>
      <c r="E95" s="97" t="s">
        <v>217</v>
      </c>
      <c r="F95" s="97"/>
      <c r="G95" s="97" t="s">
        <v>238</v>
      </c>
      <c r="H95" s="97">
        <v>0</v>
      </c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  <c r="AA95" s="97"/>
      <c r="AB95" s="97"/>
      <c r="AC95" s="97"/>
      <c r="AD95" s="97"/>
      <c r="AE95" s="97"/>
      <c r="AF95" s="97"/>
      <c r="AG95" s="97"/>
      <c r="AH95" s="100"/>
    </row>
    <row r="96" spans="1:34" ht="15" thickBot="1" x14ac:dyDescent="0.4">
      <c r="A96" s="101">
        <f>+A84+1</f>
        <v>20</v>
      </c>
      <c r="B96" s="99" t="s">
        <v>299</v>
      </c>
      <c r="C96" s="97" t="s">
        <v>303</v>
      </c>
      <c r="D96" s="102">
        <v>3</v>
      </c>
      <c r="E96" s="97" t="s">
        <v>219</v>
      </c>
      <c r="F96" s="102"/>
      <c r="G96" s="102" t="s">
        <v>238</v>
      </c>
      <c r="H96" s="102">
        <v>0</v>
      </c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  <c r="AB96" s="102"/>
      <c r="AC96" s="102"/>
      <c r="AD96" s="102"/>
      <c r="AE96" s="102"/>
      <c r="AF96" s="102"/>
      <c r="AG96" s="102"/>
      <c r="AH96" s="103"/>
    </row>
    <row r="97" spans="1:34" ht="15" thickBot="1" x14ac:dyDescent="0.4">
      <c r="A97" s="104">
        <f>+A85+1</f>
        <v>20</v>
      </c>
      <c r="B97" s="99" t="s">
        <v>299</v>
      </c>
      <c r="C97" s="97" t="s">
        <v>303</v>
      </c>
      <c r="D97" s="106">
        <v>4</v>
      </c>
      <c r="E97" s="97" t="s">
        <v>218</v>
      </c>
      <c r="F97" s="106"/>
      <c r="G97" s="106" t="s">
        <v>250</v>
      </c>
      <c r="H97" s="106">
        <v>0</v>
      </c>
      <c r="I97" s="106">
        <v>1</v>
      </c>
      <c r="J97" s="106">
        <v>1</v>
      </c>
      <c r="K97" s="106">
        <v>1</v>
      </c>
      <c r="L97" s="106">
        <v>1</v>
      </c>
      <c r="M97" s="106">
        <v>1</v>
      </c>
      <c r="N97" s="106">
        <v>1</v>
      </c>
      <c r="O97" s="106">
        <v>1</v>
      </c>
      <c r="P97" s="106">
        <v>1</v>
      </c>
      <c r="Q97" s="106">
        <v>1</v>
      </c>
      <c r="R97" s="106">
        <v>1</v>
      </c>
      <c r="S97" s="106">
        <v>1</v>
      </c>
      <c r="T97" s="106">
        <v>1</v>
      </c>
      <c r="U97" s="106">
        <v>1</v>
      </c>
      <c r="V97" s="106">
        <v>1</v>
      </c>
      <c r="W97" s="106">
        <v>1</v>
      </c>
      <c r="X97" s="106">
        <v>1</v>
      </c>
      <c r="Y97" s="106">
        <v>1</v>
      </c>
      <c r="Z97" s="106">
        <v>1</v>
      </c>
      <c r="AA97" s="106">
        <v>1</v>
      </c>
      <c r="AB97" s="106">
        <v>1</v>
      </c>
      <c r="AC97" s="106">
        <v>1</v>
      </c>
      <c r="AD97" s="106">
        <v>1</v>
      </c>
      <c r="AE97" s="106">
        <v>1</v>
      </c>
      <c r="AF97" s="106">
        <v>1</v>
      </c>
      <c r="AG97" s="106">
        <v>1</v>
      </c>
      <c r="AH97" s="107">
        <v>1</v>
      </c>
    </row>
    <row r="98" spans="1:34" x14ac:dyDescent="0.35">
      <c r="A98" s="2">
        <f t="shared" ref="A98:A101" si="3">+A94+1</f>
        <v>21</v>
      </c>
      <c r="B98" s="3" t="s">
        <v>78</v>
      </c>
      <c r="C98" s="3" t="s">
        <v>178</v>
      </c>
      <c r="D98" s="3">
        <v>1</v>
      </c>
      <c r="E98" s="50" t="s">
        <v>216</v>
      </c>
      <c r="F98" s="3"/>
      <c r="G98" s="3" t="s">
        <v>238</v>
      </c>
      <c r="H98" s="3">
        <v>0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4"/>
    </row>
    <row r="99" spans="1:34" x14ac:dyDescent="0.35">
      <c r="A99" s="5">
        <f t="shared" si="3"/>
        <v>21</v>
      </c>
      <c r="B99" s="1" t="s">
        <v>78</v>
      </c>
      <c r="C99" s="1" t="s">
        <v>178</v>
      </c>
      <c r="D99" s="1">
        <v>2</v>
      </c>
      <c r="E99" s="50" t="s">
        <v>217</v>
      </c>
      <c r="F99" s="1"/>
      <c r="G99" s="1" t="s">
        <v>238</v>
      </c>
      <c r="H99" s="1">
        <v>0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6"/>
    </row>
    <row r="100" spans="1:34" ht="15" thickBot="1" x14ac:dyDescent="0.4">
      <c r="A100" s="7">
        <f t="shared" si="3"/>
        <v>21</v>
      </c>
      <c r="B100" s="8" t="s">
        <v>78</v>
      </c>
      <c r="C100" s="8" t="s">
        <v>178</v>
      </c>
      <c r="D100" s="8">
        <v>3</v>
      </c>
      <c r="E100" s="50" t="s">
        <v>219</v>
      </c>
      <c r="F100" s="8"/>
      <c r="G100" s="8" t="s">
        <v>238</v>
      </c>
      <c r="H100" s="8">
        <v>0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9"/>
    </row>
    <row r="101" spans="1:34" ht="15" thickBot="1" x14ac:dyDescent="0.4">
      <c r="A101" s="48">
        <f t="shared" si="3"/>
        <v>21</v>
      </c>
      <c r="B101" s="49" t="str">
        <f>B100</f>
        <v>T5BUFGAN</v>
      </c>
      <c r="C101" s="49" t="str">
        <f>C100</f>
        <v>Demand Bufalos for Livestock</v>
      </c>
      <c r="D101" s="30">
        <v>4</v>
      </c>
      <c r="E101" s="50" t="s">
        <v>218</v>
      </c>
      <c r="F101" s="30"/>
      <c r="G101" s="30" t="s">
        <v>250</v>
      </c>
      <c r="H101" s="30">
        <v>0</v>
      </c>
      <c r="I101" s="30">
        <v>1</v>
      </c>
      <c r="J101" s="30">
        <v>1</v>
      </c>
      <c r="K101" s="30">
        <v>1</v>
      </c>
      <c r="L101" s="30">
        <v>1</v>
      </c>
      <c r="M101" s="30">
        <v>1</v>
      </c>
      <c r="N101" s="30">
        <v>1</v>
      </c>
      <c r="O101" s="30">
        <v>1</v>
      </c>
      <c r="P101" s="30">
        <v>1</v>
      </c>
      <c r="Q101" s="30">
        <v>1</v>
      </c>
      <c r="R101" s="30">
        <v>1</v>
      </c>
      <c r="S101" s="30">
        <v>1</v>
      </c>
      <c r="T101" s="30">
        <v>1</v>
      </c>
      <c r="U101" s="30">
        <v>1</v>
      </c>
      <c r="V101" s="30">
        <v>1</v>
      </c>
      <c r="W101" s="30">
        <v>1</v>
      </c>
      <c r="X101" s="30">
        <v>1</v>
      </c>
      <c r="Y101" s="30">
        <v>1</v>
      </c>
      <c r="Z101" s="30">
        <v>1</v>
      </c>
      <c r="AA101" s="30">
        <v>1</v>
      </c>
      <c r="AB101" s="30">
        <v>1</v>
      </c>
      <c r="AC101" s="30">
        <v>1</v>
      </c>
      <c r="AD101" s="30">
        <v>1</v>
      </c>
      <c r="AE101" s="30">
        <v>1</v>
      </c>
      <c r="AF101" s="30">
        <v>1</v>
      </c>
      <c r="AG101" s="30">
        <v>1</v>
      </c>
      <c r="AH101" s="31">
        <v>1</v>
      </c>
    </row>
    <row r="102" spans="1:34" x14ac:dyDescent="0.35">
      <c r="A102" s="2">
        <f t="shared" ref="A102:A169" si="4">+A98+1</f>
        <v>22</v>
      </c>
      <c r="B102" s="3" t="s">
        <v>79</v>
      </c>
      <c r="C102" s="3" t="s">
        <v>179</v>
      </c>
      <c r="D102" s="3">
        <v>1</v>
      </c>
      <c r="E102" s="51" t="s">
        <v>216</v>
      </c>
      <c r="F102" s="3"/>
      <c r="G102" s="3" t="s">
        <v>238</v>
      </c>
      <c r="H102" s="3">
        <v>0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4"/>
    </row>
    <row r="103" spans="1:34" x14ac:dyDescent="0.35">
      <c r="A103" s="5">
        <f t="shared" si="4"/>
        <v>22</v>
      </c>
      <c r="B103" s="1" t="s">
        <v>79</v>
      </c>
      <c r="C103" s="1" t="s">
        <v>179</v>
      </c>
      <c r="D103" s="1">
        <v>2</v>
      </c>
      <c r="E103" s="51" t="s">
        <v>217</v>
      </c>
      <c r="F103" s="1"/>
      <c r="G103" s="1" t="s">
        <v>238</v>
      </c>
      <c r="H103" s="1">
        <v>0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6"/>
    </row>
    <row r="104" spans="1:34" ht="15" thickBot="1" x14ac:dyDescent="0.4">
      <c r="A104" s="7">
        <f t="shared" si="4"/>
        <v>22</v>
      </c>
      <c r="B104" s="8" t="s">
        <v>79</v>
      </c>
      <c r="C104" s="8" t="s">
        <v>179</v>
      </c>
      <c r="D104" s="8">
        <v>3</v>
      </c>
      <c r="E104" s="51" t="s">
        <v>219</v>
      </c>
      <c r="F104" s="8"/>
      <c r="G104" s="8" t="s">
        <v>238</v>
      </c>
      <c r="H104" s="8">
        <v>0</v>
      </c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9"/>
    </row>
    <row r="105" spans="1:34" ht="15" thickBot="1" x14ac:dyDescent="0.4">
      <c r="A105" s="48">
        <f t="shared" si="4"/>
        <v>22</v>
      </c>
      <c r="B105" s="49" t="str">
        <f>B104</f>
        <v>T5OVEGAN</v>
      </c>
      <c r="C105" s="49" t="str">
        <f>C104</f>
        <v>Demand Ovejas for Livestock</v>
      </c>
      <c r="D105" s="30">
        <v>4</v>
      </c>
      <c r="E105" s="51" t="s">
        <v>218</v>
      </c>
      <c r="F105" s="30"/>
      <c r="G105" s="30" t="s">
        <v>250</v>
      </c>
      <c r="H105" s="30">
        <v>0</v>
      </c>
      <c r="I105" s="30">
        <v>1</v>
      </c>
      <c r="J105" s="30">
        <v>1</v>
      </c>
      <c r="K105" s="30">
        <v>1</v>
      </c>
      <c r="L105" s="30">
        <v>1</v>
      </c>
      <c r="M105" s="30">
        <v>1</v>
      </c>
      <c r="N105" s="30">
        <v>1</v>
      </c>
      <c r="O105" s="30">
        <v>1</v>
      </c>
      <c r="P105" s="30">
        <v>1</v>
      </c>
      <c r="Q105" s="30">
        <v>1</v>
      </c>
      <c r="R105" s="30">
        <v>1</v>
      </c>
      <c r="S105" s="30">
        <v>1</v>
      </c>
      <c r="T105" s="30">
        <v>1</v>
      </c>
      <c r="U105" s="30">
        <v>1</v>
      </c>
      <c r="V105" s="30">
        <v>1</v>
      </c>
      <c r="W105" s="30">
        <v>1</v>
      </c>
      <c r="X105" s="30">
        <v>1</v>
      </c>
      <c r="Y105" s="30">
        <v>1</v>
      </c>
      <c r="Z105" s="30">
        <v>1</v>
      </c>
      <c r="AA105" s="30">
        <v>1</v>
      </c>
      <c r="AB105" s="30">
        <v>1</v>
      </c>
      <c r="AC105" s="30">
        <v>1</v>
      </c>
      <c r="AD105" s="30">
        <v>1</v>
      </c>
      <c r="AE105" s="30">
        <v>1</v>
      </c>
      <c r="AF105" s="30">
        <v>1</v>
      </c>
      <c r="AG105" s="30">
        <v>1</v>
      </c>
      <c r="AH105" s="31">
        <v>1</v>
      </c>
    </row>
    <row r="106" spans="1:34" x14ac:dyDescent="0.35">
      <c r="A106" s="2">
        <f t="shared" si="4"/>
        <v>23</v>
      </c>
      <c r="B106" s="3" t="s">
        <v>80</v>
      </c>
      <c r="C106" s="3" t="s">
        <v>180</v>
      </c>
      <c r="D106" s="3">
        <v>1</v>
      </c>
      <c r="E106" s="50" t="s">
        <v>216</v>
      </c>
      <c r="F106" s="3"/>
      <c r="G106" s="3" t="s">
        <v>238</v>
      </c>
      <c r="H106" s="3">
        <v>0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4"/>
    </row>
    <row r="107" spans="1:34" x14ac:dyDescent="0.35">
      <c r="A107" s="5">
        <f t="shared" si="4"/>
        <v>23</v>
      </c>
      <c r="B107" s="1" t="s">
        <v>80</v>
      </c>
      <c r="C107" s="1" t="s">
        <v>180</v>
      </c>
      <c r="D107" s="1">
        <v>2</v>
      </c>
      <c r="E107" s="50" t="s">
        <v>217</v>
      </c>
      <c r="F107" s="1"/>
      <c r="G107" s="1" t="s">
        <v>238</v>
      </c>
      <c r="H107" s="1">
        <v>0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6"/>
    </row>
    <row r="108" spans="1:34" ht="15" thickBot="1" x14ac:dyDescent="0.4">
      <c r="A108" s="7">
        <f t="shared" si="4"/>
        <v>23</v>
      </c>
      <c r="B108" s="8" t="s">
        <v>80</v>
      </c>
      <c r="C108" s="8" t="s">
        <v>180</v>
      </c>
      <c r="D108" s="8">
        <v>3</v>
      </c>
      <c r="E108" s="50" t="s">
        <v>219</v>
      </c>
      <c r="F108" s="8"/>
      <c r="G108" s="8" t="s">
        <v>238</v>
      </c>
      <c r="H108" s="8">
        <v>0</v>
      </c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9"/>
    </row>
    <row r="109" spans="1:34" ht="15" thickBot="1" x14ac:dyDescent="0.4">
      <c r="A109" s="48">
        <f t="shared" si="4"/>
        <v>23</v>
      </c>
      <c r="B109" s="49" t="str">
        <f>B108</f>
        <v>T5CBRGAN</v>
      </c>
      <c r="C109" s="49" t="str">
        <f>C108</f>
        <v>Demand Cabras for Livestock</v>
      </c>
      <c r="D109" s="30">
        <v>4</v>
      </c>
      <c r="E109" s="50" t="s">
        <v>218</v>
      </c>
      <c r="F109" s="30"/>
      <c r="G109" s="30" t="s">
        <v>250</v>
      </c>
      <c r="H109" s="30">
        <v>0</v>
      </c>
      <c r="I109" s="30">
        <v>1</v>
      </c>
      <c r="J109" s="30">
        <v>1</v>
      </c>
      <c r="K109" s="30">
        <v>1</v>
      </c>
      <c r="L109" s="30">
        <v>1</v>
      </c>
      <c r="M109" s="30">
        <v>1</v>
      </c>
      <c r="N109" s="30">
        <v>1</v>
      </c>
      <c r="O109" s="30">
        <v>1</v>
      </c>
      <c r="P109" s="30">
        <v>1</v>
      </c>
      <c r="Q109" s="30">
        <v>1</v>
      </c>
      <c r="R109" s="30">
        <v>1</v>
      </c>
      <c r="S109" s="30">
        <v>1</v>
      </c>
      <c r="T109" s="30">
        <v>1</v>
      </c>
      <c r="U109" s="30">
        <v>1</v>
      </c>
      <c r="V109" s="30">
        <v>1</v>
      </c>
      <c r="W109" s="30">
        <v>1</v>
      </c>
      <c r="X109" s="30">
        <v>1</v>
      </c>
      <c r="Y109" s="30">
        <v>1</v>
      </c>
      <c r="Z109" s="30">
        <v>1</v>
      </c>
      <c r="AA109" s="30">
        <v>1</v>
      </c>
      <c r="AB109" s="30">
        <v>1</v>
      </c>
      <c r="AC109" s="30">
        <v>1</v>
      </c>
      <c r="AD109" s="30">
        <v>1</v>
      </c>
      <c r="AE109" s="30">
        <v>1</v>
      </c>
      <c r="AF109" s="30">
        <v>1</v>
      </c>
      <c r="AG109" s="30">
        <v>1</v>
      </c>
      <c r="AH109" s="31">
        <v>1</v>
      </c>
    </row>
    <row r="110" spans="1:34" x14ac:dyDescent="0.35">
      <c r="A110" s="2">
        <f t="shared" si="4"/>
        <v>24</v>
      </c>
      <c r="B110" s="3" t="s">
        <v>81</v>
      </c>
      <c r="C110" s="3" t="s">
        <v>181</v>
      </c>
      <c r="D110" s="3">
        <v>1</v>
      </c>
      <c r="E110" s="51" t="s">
        <v>216</v>
      </c>
      <c r="F110" s="3"/>
      <c r="G110" s="3" t="s">
        <v>238</v>
      </c>
      <c r="H110" s="3">
        <v>0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4"/>
    </row>
    <row r="111" spans="1:34" x14ac:dyDescent="0.35">
      <c r="A111" s="5">
        <f t="shared" si="4"/>
        <v>24</v>
      </c>
      <c r="B111" s="1" t="s">
        <v>81</v>
      </c>
      <c r="C111" s="1" t="s">
        <v>181</v>
      </c>
      <c r="D111" s="1">
        <v>2</v>
      </c>
      <c r="E111" s="51" t="s">
        <v>217</v>
      </c>
      <c r="F111" s="1"/>
      <c r="G111" s="1" t="s">
        <v>238</v>
      </c>
      <c r="H111" s="1">
        <v>0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6"/>
    </row>
    <row r="112" spans="1:34" ht="15" thickBot="1" x14ac:dyDescent="0.4">
      <c r="A112" s="7">
        <f t="shared" si="4"/>
        <v>24</v>
      </c>
      <c r="B112" s="8" t="s">
        <v>81</v>
      </c>
      <c r="C112" s="8" t="s">
        <v>181</v>
      </c>
      <c r="D112" s="8">
        <v>3</v>
      </c>
      <c r="E112" s="51" t="s">
        <v>219</v>
      </c>
      <c r="F112" s="8"/>
      <c r="G112" s="8" t="s">
        <v>238</v>
      </c>
      <c r="H112" s="8">
        <v>0</v>
      </c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9"/>
    </row>
    <row r="113" spans="1:34" ht="15" thickBot="1" x14ac:dyDescent="0.4">
      <c r="A113" s="48">
        <f t="shared" si="4"/>
        <v>24</v>
      </c>
      <c r="B113" s="49" t="str">
        <f>B112</f>
        <v>T5CAMGAN</v>
      </c>
      <c r="C113" s="49" t="str">
        <f>C112</f>
        <v>Demand Camelidos_sud for Livestock</v>
      </c>
      <c r="D113" s="30">
        <v>4</v>
      </c>
      <c r="E113" s="51" t="s">
        <v>218</v>
      </c>
      <c r="F113" s="30"/>
      <c r="G113" s="30" t="s">
        <v>250</v>
      </c>
      <c r="H113" s="30">
        <v>0</v>
      </c>
      <c r="I113" s="30">
        <v>1</v>
      </c>
      <c r="J113" s="30">
        <v>1</v>
      </c>
      <c r="K113" s="30">
        <v>1</v>
      </c>
      <c r="L113" s="30">
        <v>1</v>
      </c>
      <c r="M113" s="30">
        <v>1</v>
      </c>
      <c r="N113" s="30">
        <v>1</v>
      </c>
      <c r="O113" s="30">
        <v>1</v>
      </c>
      <c r="P113" s="30">
        <v>1</v>
      </c>
      <c r="Q113" s="30">
        <v>1</v>
      </c>
      <c r="R113" s="30">
        <v>1</v>
      </c>
      <c r="S113" s="30">
        <v>1</v>
      </c>
      <c r="T113" s="30">
        <v>1</v>
      </c>
      <c r="U113" s="30">
        <v>1</v>
      </c>
      <c r="V113" s="30">
        <v>1</v>
      </c>
      <c r="W113" s="30">
        <v>1</v>
      </c>
      <c r="X113" s="30">
        <v>1</v>
      </c>
      <c r="Y113" s="30">
        <v>1</v>
      </c>
      <c r="Z113" s="30">
        <v>1</v>
      </c>
      <c r="AA113" s="30">
        <v>1</v>
      </c>
      <c r="AB113" s="30">
        <v>1</v>
      </c>
      <c r="AC113" s="30">
        <v>1</v>
      </c>
      <c r="AD113" s="30">
        <v>1</v>
      </c>
      <c r="AE113" s="30">
        <v>1</v>
      </c>
      <c r="AF113" s="30">
        <v>1</v>
      </c>
      <c r="AG113" s="30">
        <v>1</v>
      </c>
      <c r="AH113" s="31">
        <v>1</v>
      </c>
    </row>
    <row r="114" spans="1:34" x14ac:dyDescent="0.35">
      <c r="A114" s="2">
        <f t="shared" si="4"/>
        <v>25</v>
      </c>
      <c r="B114" s="3" t="s">
        <v>82</v>
      </c>
      <c r="C114" s="3" t="s">
        <v>182</v>
      </c>
      <c r="D114" s="3">
        <v>1</v>
      </c>
      <c r="E114" s="50" t="s">
        <v>216</v>
      </c>
      <c r="F114" s="3"/>
      <c r="G114" s="3" t="s">
        <v>238</v>
      </c>
      <c r="H114" s="3">
        <v>0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4"/>
    </row>
    <row r="115" spans="1:34" x14ac:dyDescent="0.35">
      <c r="A115" s="5">
        <f t="shared" si="4"/>
        <v>25</v>
      </c>
      <c r="B115" s="1" t="s">
        <v>82</v>
      </c>
      <c r="C115" s="1" t="s">
        <v>182</v>
      </c>
      <c r="D115" s="1">
        <v>2</v>
      </c>
      <c r="E115" s="50" t="s">
        <v>217</v>
      </c>
      <c r="F115" s="1"/>
      <c r="G115" s="1" t="s">
        <v>238</v>
      </c>
      <c r="H115" s="1">
        <v>0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6"/>
    </row>
    <row r="116" spans="1:34" ht="15" thickBot="1" x14ac:dyDescent="0.4">
      <c r="A116" s="7">
        <f t="shared" si="4"/>
        <v>25</v>
      </c>
      <c r="B116" s="8" t="s">
        <v>82</v>
      </c>
      <c r="C116" s="8" t="s">
        <v>182</v>
      </c>
      <c r="D116" s="8">
        <v>3</v>
      </c>
      <c r="E116" s="50" t="s">
        <v>219</v>
      </c>
      <c r="F116" s="8"/>
      <c r="G116" s="8" t="s">
        <v>238</v>
      </c>
      <c r="H116" s="8">
        <v>0</v>
      </c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9"/>
    </row>
    <row r="117" spans="1:34" ht="15" thickBot="1" x14ac:dyDescent="0.4">
      <c r="A117" s="48">
        <f t="shared" si="4"/>
        <v>25</v>
      </c>
      <c r="B117" s="49" t="str">
        <f>B116</f>
        <v>T5CABGAN</v>
      </c>
      <c r="C117" s="49" t="str">
        <f>C116</f>
        <v>Demand Caballos for Livestock</v>
      </c>
      <c r="D117" s="30">
        <v>4</v>
      </c>
      <c r="E117" s="50" t="s">
        <v>218</v>
      </c>
      <c r="F117" s="30"/>
      <c r="G117" s="30" t="s">
        <v>250</v>
      </c>
      <c r="H117" s="30">
        <v>0</v>
      </c>
      <c r="I117" s="30">
        <v>1</v>
      </c>
      <c r="J117" s="30">
        <v>1</v>
      </c>
      <c r="K117" s="30">
        <v>1</v>
      </c>
      <c r="L117" s="30">
        <v>1</v>
      </c>
      <c r="M117" s="30">
        <v>1</v>
      </c>
      <c r="N117" s="30">
        <v>1</v>
      </c>
      <c r="O117" s="30">
        <v>1</v>
      </c>
      <c r="P117" s="30">
        <v>1</v>
      </c>
      <c r="Q117" s="30">
        <v>1</v>
      </c>
      <c r="R117" s="30">
        <v>1</v>
      </c>
      <c r="S117" s="30">
        <v>1</v>
      </c>
      <c r="T117" s="30">
        <v>1</v>
      </c>
      <c r="U117" s="30">
        <v>1</v>
      </c>
      <c r="V117" s="30">
        <v>1</v>
      </c>
      <c r="W117" s="30">
        <v>1</v>
      </c>
      <c r="X117" s="30">
        <v>1</v>
      </c>
      <c r="Y117" s="30">
        <v>1</v>
      </c>
      <c r="Z117" s="30">
        <v>1</v>
      </c>
      <c r="AA117" s="30">
        <v>1</v>
      </c>
      <c r="AB117" s="30">
        <v>1</v>
      </c>
      <c r="AC117" s="30">
        <v>1</v>
      </c>
      <c r="AD117" s="30">
        <v>1</v>
      </c>
      <c r="AE117" s="30">
        <v>1</v>
      </c>
      <c r="AF117" s="30">
        <v>1</v>
      </c>
      <c r="AG117" s="30">
        <v>1</v>
      </c>
      <c r="AH117" s="31">
        <v>1</v>
      </c>
    </row>
    <row r="118" spans="1:34" x14ac:dyDescent="0.35">
      <c r="A118" s="2">
        <f t="shared" si="4"/>
        <v>26</v>
      </c>
      <c r="B118" s="3" t="s">
        <v>83</v>
      </c>
      <c r="C118" s="3" t="s">
        <v>183</v>
      </c>
      <c r="D118" s="3">
        <v>1</v>
      </c>
      <c r="E118" s="51" t="s">
        <v>216</v>
      </c>
      <c r="F118" s="3"/>
      <c r="G118" s="3" t="s">
        <v>238</v>
      </c>
      <c r="H118" s="3">
        <v>0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4"/>
    </row>
    <row r="119" spans="1:34" x14ac:dyDescent="0.35">
      <c r="A119" s="5">
        <f t="shared" si="4"/>
        <v>26</v>
      </c>
      <c r="B119" s="1" t="s">
        <v>83</v>
      </c>
      <c r="C119" s="1" t="s">
        <v>183</v>
      </c>
      <c r="D119" s="1">
        <v>2</v>
      </c>
      <c r="E119" s="51" t="s">
        <v>217</v>
      </c>
      <c r="F119" s="1"/>
      <c r="G119" s="1" t="s">
        <v>238</v>
      </c>
      <c r="H119" s="1">
        <v>0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6"/>
    </row>
    <row r="120" spans="1:34" ht="15" thickBot="1" x14ac:dyDescent="0.4">
      <c r="A120" s="7">
        <f t="shared" si="4"/>
        <v>26</v>
      </c>
      <c r="B120" s="8" t="s">
        <v>83</v>
      </c>
      <c r="C120" s="8" t="s">
        <v>183</v>
      </c>
      <c r="D120" s="8">
        <v>3</v>
      </c>
      <c r="E120" s="51" t="s">
        <v>219</v>
      </c>
      <c r="F120" s="8"/>
      <c r="G120" s="8" t="s">
        <v>238</v>
      </c>
      <c r="H120" s="8">
        <v>0</v>
      </c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9"/>
    </row>
    <row r="121" spans="1:34" ht="15" thickBot="1" x14ac:dyDescent="0.4">
      <c r="A121" s="48">
        <f t="shared" si="4"/>
        <v>26</v>
      </c>
      <c r="B121" s="49" t="str">
        <f>B120</f>
        <v>T5MULGAN</v>
      </c>
      <c r="C121" s="49" t="str">
        <f>C120</f>
        <v>Demand Mulas for Livestock</v>
      </c>
      <c r="D121" s="30">
        <v>4</v>
      </c>
      <c r="E121" s="51" t="s">
        <v>218</v>
      </c>
      <c r="F121" s="30"/>
      <c r="G121" s="30" t="s">
        <v>250</v>
      </c>
      <c r="H121" s="30">
        <v>0</v>
      </c>
      <c r="I121" s="30">
        <v>1</v>
      </c>
      <c r="J121" s="30">
        <v>1</v>
      </c>
      <c r="K121" s="30">
        <v>1</v>
      </c>
      <c r="L121" s="30">
        <v>1</v>
      </c>
      <c r="M121" s="30">
        <v>1</v>
      </c>
      <c r="N121" s="30">
        <v>1</v>
      </c>
      <c r="O121" s="30">
        <v>1</v>
      </c>
      <c r="P121" s="30">
        <v>1</v>
      </c>
      <c r="Q121" s="30">
        <v>1</v>
      </c>
      <c r="R121" s="30">
        <v>1</v>
      </c>
      <c r="S121" s="30">
        <v>1</v>
      </c>
      <c r="T121" s="30">
        <v>1</v>
      </c>
      <c r="U121" s="30">
        <v>1</v>
      </c>
      <c r="V121" s="30">
        <v>1</v>
      </c>
      <c r="W121" s="30">
        <v>1</v>
      </c>
      <c r="X121" s="30">
        <v>1</v>
      </c>
      <c r="Y121" s="30">
        <v>1</v>
      </c>
      <c r="Z121" s="30">
        <v>1</v>
      </c>
      <c r="AA121" s="30">
        <v>1</v>
      </c>
      <c r="AB121" s="30">
        <v>1</v>
      </c>
      <c r="AC121" s="30">
        <v>1</v>
      </c>
      <c r="AD121" s="30">
        <v>1</v>
      </c>
      <c r="AE121" s="30">
        <v>1</v>
      </c>
      <c r="AF121" s="30">
        <v>1</v>
      </c>
      <c r="AG121" s="30">
        <v>1</v>
      </c>
      <c r="AH121" s="31">
        <v>1</v>
      </c>
    </row>
    <row r="122" spans="1:34" x14ac:dyDescent="0.35">
      <c r="A122" s="2">
        <f t="shared" si="4"/>
        <v>27</v>
      </c>
      <c r="B122" s="3" t="s">
        <v>84</v>
      </c>
      <c r="C122" s="3" t="s">
        <v>184</v>
      </c>
      <c r="D122" s="3">
        <v>1</v>
      </c>
      <c r="E122" s="50" t="s">
        <v>216</v>
      </c>
      <c r="F122" s="3"/>
      <c r="G122" s="3" t="s">
        <v>238</v>
      </c>
      <c r="H122" s="3">
        <v>0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4"/>
    </row>
    <row r="123" spans="1:34" x14ac:dyDescent="0.35">
      <c r="A123" s="5">
        <f t="shared" si="4"/>
        <v>27</v>
      </c>
      <c r="B123" s="1" t="s">
        <v>84</v>
      </c>
      <c r="C123" s="1" t="s">
        <v>184</v>
      </c>
      <c r="D123" s="1">
        <v>2</v>
      </c>
      <c r="E123" s="50" t="s">
        <v>217</v>
      </c>
      <c r="F123" s="1"/>
      <c r="G123" s="1" t="s">
        <v>238</v>
      </c>
      <c r="H123" s="1">
        <v>0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6"/>
    </row>
    <row r="124" spans="1:34" ht="15" thickBot="1" x14ac:dyDescent="0.4">
      <c r="A124" s="7">
        <f t="shared" si="4"/>
        <v>27</v>
      </c>
      <c r="B124" s="8" t="s">
        <v>84</v>
      </c>
      <c r="C124" s="8" t="s">
        <v>184</v>
      </c>
      <c r="D124" s="8">
        <v>3</v>
      </c>
      <c r="E124" s="50" t="s">
        <v>219</v>
      </c>
      <c r="F124" s="8"/>
      <c r="G124" s="8" t="s">
        <v>238</v>
      </c>
      <c r="H124" s="8">
        <v>0</v>
      </c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9"/>
    </row>
    <row r="125" spans="1:34" ht="15" thickBot="1" x14ac:dyDescent="0.4">
      <c r="A125" s="48">
        <f t="shared" si="4"/>
        <v>27</v>
      </c>
      <c r="B125" s="49" t="str">
        <f>B124</f>
        <v>T5CERGAN</v>
      </c>
      <c r="C125" s="49" t="str">
        <f>C124</f>
        <v>Demand Cerdos for Livestock</v>
      </c>
      <c r="D125" s="30">
        <v>4</v>
      </c>
      <c r="E125" s="50" t="s">
        <v>218</v>
      </c>
      <c r="F125" s="30"/>
      <c r="G125" s="30" t="s">
        <v>250</v>
      </c>
      <c r="H125" s="30">
        <v>0</v>
      </c>
      <c r="I125" s="30">
        <v>1</v>
      </c>
      <c r="J125" s="30">
        <v>1</v>
      </c>
      <c r="K125" s="30">
        <v>1</v>
      </c>
      <c r="L125" s="30">
        <v>1</v>
      </c>
      <c r="M125" s="30">
        <v>1</v>
      </c>
      <c r="N125" s="30">
        <v>1</v>
      </c>
      <c r="O125" s="30">
        <v>1</v>
      </c>
      <c r="P125" s="30">
        <v>1</v>
      </c>
      <c r="Q125" s="30">
        <v>1</v>
      </c>
      <c r="R125" s="30">
        <v>1</v>
      </c>
      <c r="S125" s="30">
        <v>1</v>
      </c>
      <c r="T125" s="30">
        <v>1</v>
      </c>
      <c r="U125" s="30">
        <v>1</v>
      </c>
      <c r="V125" s="30">
        <v>1</v>
      </c>
      <c r="W125" s="30">
        <v>1</v>
      </c>
      <c r="X125" s="30">
        <v>1</v>
      </c>
      <c r="Y125" s="30">
        <v>1</v>
      </c>
      <c r="Z125" s="30">
        <v>1</v>
      </c>
      <c r="AA125" s="30">
        <v>1</v>
      </c>
      <c r="AB125" s="30">
        <v>1</v>
      </c>
      <c r="AC125" s="30">
        <v>1</v>
      </c>
      <c r="AD125" s="30">
        <v>1</v>
      </c>
      <c r="AE125" s="30">
        <v>1</v>
      </c>
      <c r="AF125" s="30">
        <v>1</v>
      </c>
      <c r="AG125" s="30">
        <v>1</v>
      </c>
      <c r="AH125" s="31">
        <v>1</v>
      </c>
    </row>
    <row r="126" spans="1:34" x14ac:dyDescent="0.35">
      <c r="A126" s="2">
        <f t="shared" si="4"/>
        <v>28</v>
      </c>
      <c r="B126" s="3" t="s">
        <v>85</v>
      </c>
      <c r="C126" s="3" t="s">
        <v>185</v>
      </c>
      <c r="D126" s="3">
        <v>1</v>
      </c>
      <c r="E126" s="51" t="s">
        <v>216</v>
      </c>
      <c r="F126" s="3"/>
      <c r="G126" s="3" t="s">
        <v>238</v>
      </c>
      <c r="H126" s="3">
        <v>0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4"/>
    </row>
    <row r="127" spans="1:34" x14ac:dyDescent="0.35">
      <c r="A127" s="5">
        <f t="shared" si="4"/>
        <v>28</v>
      </c>
      <c r="B127" s="1" t="s">
        <v>85</v>
      </c>
      <c r="C127" s="1" t="s">
        <v>185</v>
      </c>
      <c r="D127" s="1">
        <v>2</v>
      </c>
      <c r="E127" s="51" t="s">
        <v>217</v>
      </c>
      <c r="F127" s="1"/>
      <c r="G127" s="1" t="s">
        <v>238</v>
      </c>
      <c r="H127" s="1">
        <v>0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6"/>
    </row>
    <row r="128" spans="1:34" ht="15" thickBot="1" x14ac:dyDescent="0.4">
      <c r="A128" s="7">
        <f t="shared" si="4"/>
        <v>28</v>
      </c>
      <c r="B128" s="8" t="s">
        <v>85</v>
      </c>
      <c r="C128" s="8" t="s">
        <v>185</v>
      </c>
      <c r="D128" s="8">
        <v>3</v>
      </c>
      <c r="E128" s="51" t="s">
        <v>219</v>
      </c>
      <c r="F128" s="8"/>
      <c r="G128" s="8" t="s">
        <v>238</v>
      </c>
      <c r="H128" s="8">
        <v>0</v>
      </c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9"/>
    </row>
    <row r="129" spans="1:34" ht="15" thickBot="1" x14ac:dyDescent="0.4">
      <c r="A129" s="48">
        <f t="shared" si="4"/>
        <v>28</v>
      </c>
      <c r="B129" s="49" t="str">
        <f>B128</f>
        <v>T5AVEGAN</v>
      </c>
      <c r="C129" s="49" t="str">
        <f>C128</f>
        <v>Demand Aves for Livestock</v>
      </c>
      <c r="D129" s="30">
        <v>4</v>
      </c>
      <c r="E129" s="51" t="s">
        <v>218</v>
      </c>
      <c r="F129" s="30"/>
      <c r="G129" s="30" t="s">
        <v>250</v>
      </c>
      <c r="H129" s="30">
        <v>0</v>
      </c>
      <c r="I129" s="30">
        <v>1</v>
      </c>
      <c r="J129" s="30">
        <v>1</v>
      </c>
      <c r="K129" s="30">
        <v>1</v>
      </c>
      <c r="L129" s="30">
        <v>1</v>
      </c>
      <c r="M129" s="30">
        <v>1</v>
      </c>
      <c r="N129" s="30">
        <v>1</v>
      </c>
      <c r="O129" s="30">
        <v>1</v>
      </c>
      <c r="P129" s="30">
        <v>1</v>
      </c>
      <c r="Q129" s="30">
        <v>1</v>
      </c>
      <c r="R129" s="30">
        <v>1</v>
      </c>
      <c r="S129" s="30">
        <v>1</v>
      </c>
      <c r="T129" s="30">
        <v>1</v>
      </c>
      <c r="U129" s="30">
        <v>1</v>
      </c>
      <c r="V129" s="30">
        <v>1</v>
      </c>
      <c r="W129" s="30">
        <v>1</v>
      </c>
      <c r="X129" s="30">
        <v>1</v>
      </c>
      <c r="Y129" s="30">
        <v>1</v>
      </c>
      <c r="Z129" s="30">
        <v>1</v>
      </c>
      <c r="AA129" s="30">
        <v>1</v>
      </c>
      <c r="AB129" s="30">
        <v>1</v>
      </c>
      <c r="AC129" s="30">
        <v>1</v>
      </c>
      <c r="AD129" s="30">
        <v>1</v>
      </c>
      <c r="AE129" s="30">
        <v>1</v>
      </c>
      <c r="AF129" s="30">
        <v>1</v>
      </c>
      <c r="AG129" s="30">
        <v>1</v>
      </c>
      <c r="AH129" s="31">
        <v>1</v>
      </c>
    </row>
    <row r="130" spans="1:34" x14ac:dyDescent="0.35">
      <c r="A130" s="2">
        <f t="shared" ref="A130:A141" si="5">+A126+1</f>
        <v>29</v>
      </c>
      <c r="B130" s="72" t="s">
        <v>280</v>
      </c>
      <c r="C130" s="3" t="s">
        <v>282</v>
      </c>
      <c r="D130" s="3">
        <v>1</v>
      </c>
      <c r="E130" s="51" t="s">
        <v>216</v>
      </c>
      <c r="F130" s="3"/>
      <c r="G130" s="3" t="s">
        <v>238</v>
      </c>
      <c r="H130" s="3">
        <v>0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4"/>
    </row>
    <row r="131" spans="1:34" x14ac:dyDescent="0.35">
      <c r="A131" s="5">
        <f t="shared" si="5"/>
        <v>29</v>
      </c>
      <c r="B131" s="73" t="s">
        <v>280</v>
      </c>
      <c r="C131" s="1" t="s">
        <v>282</v>
      </c>
      <c r="D131" s="1">
        <v>2</v>
      </c>
      <c r="E131" s="51" t="s">
        <v>217</v>
      </c>
      <c r="F131" s="1"/>
      <c r="G131" s="1" t="s">
        <v>238</v>
      </c>
      <c r="H131" s="1">
        <v>0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6"/>
    </row>
    <row r="132" spans="1:34" ht="15" thickBot="1" x14ac:dyDescent="0.4">
      <c r="A132" s="7">
        <f t="shared" si="5"/>
        <v>29</v>
      </c>
      <c r="B132" s="74" t="s">
        <v>280</v>
      </c>
      <c r="C132" s="8" t="s">
        <v>282</v>
      </c>
      <c r="D132" s="8">
        <v>3</v>
      </c>
      <c r="E132" s="51" t="s">
        <v>219</v>
      </c>
      <c r="F132" s="8"/>
      <c r="G132" s="8" t="s">
        <v>238</v>
      </c>
      <c r="H132" s="8">
        <v>0</v>
      </c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9"/>
    </row>
    <row r="133" spans="1:34" ht="15" thickBot="1" x14ac:dyDescent="0.4">
      <c r="A133" s="48">
        <f t="shared" si="5"/>
        <v>29</v>
      </c>
      <c r="B133" s="81" t="str">
        <f>B132</f>
        <v>T5PATGAN</v>
      </c>
      <c r="C133" s="49" t="str">
        <f>C132</f>
        <v>Demand Patos for Livestock</v>
      </c>
      <c r="D133" s="30">
        <v>4</v>
      </c>
      <c r="E133" s="51" t="s">
        <v>218</v>
      </c>
      <c r="F133" s="30"/>
      <c r="G133" s="30" t="s">
        <v>250</v>
      </c>
      <c r="H133" s="30">
        <v>0</v>
      </c>
      <c r="I133" s="30">
        <v>1</v>
      </c>
      <c r="J133" s="30">
        <v>1</v>
      </c>
      <c r="K133" s="30">
        <v>1</v>
      </c>
      <c r="L133" s="30">
        <v>1</v>
      </c>
      <c r="M133" s="30">
        <v>1</v>
      </c>
      <c r="N133" s="30">
        <v>1</v>
      </c>
      <c r="O133" s="30">
        <v>1</v>
      </c>
      <c r="P133" s="30">
        <v>1</v>
      </c>
      <c r="Q133" s="30">
        <v>1</v>
      </c>
      <c r="R133" s="30">
        <v>1</v>
      </c>
      <c r="S133" s="30">
        <v>1</v>
      </c>
      <c r="T133" s="30">
        <v>1</v>
      </c>
      <c r="U133" s="30">
        <v>1</v>
      </c>
      <c r="V133" s="30">
        <v>1</v>
      </c>
      <c r="W133" s="30">
        <v>1</v>
      </c>
      <c r="X133" s="30">
        <v>1</v>
      </c>
      <c r="Y133" s="30">
        <v>1</v>
      </c>
      <c r="Z133" s="30">
        <v>1</v>
      </c>
      <c r="AA133" s="30">
        <v>1</v>
      </c>
      <c r="AB133" s="30">
        <v>1</v>
      </c>
      <c r="AC133" s="30">
        <v>1</v>
      </c>
      <c r="AD133" s="30">
        <v>1</v>
      </c>
      <c r="AE133" s="30">
        <v>1</v>
      </c>
      <c r="AF133" s="30">
        <v>1</v>
      </c>
      <c r="AG133" s="30">
        <v>1</v>
      </c>
      <c r="AH133" s="31">
        <v>1</v>
      </c>
    </row>
    <row r="134" spans="1:34" x14ac:dyDescent="0.35">
      <c r="A134" s="2">
        <f t="shared" si="5"/>
        <v>30</v>
      </c>
      <c r="B134" s="72" t="s">
        <v>281</v>
      </c>
      <c r="C134" s="3" t="s">
        <v>283</v>
      </c>
      <c r="D134" s="3">
        <v>1</v>
      </c>
      <c r="E134" s="51" t="s">
        <v>216</v>
      </c>
      <c r="F134" s="3"/>
      <c r="G134" s="3" t="s">
        <v>238</v>
      </c>
      <c r="H134" s="3">
        <v>0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4"/>
    </row>
    <row r="135" spans="1:34" x14ac:dyDescent="0.35">
      <c r="A135" s="5">
        <f t="shared" si="5"/>
        <v>30</v>
      </c>
      <c r="B135" s="73" t="s">
        <v>281</v>
      </c>
      <c r="C135" s="1" t="s">
        <v>283</v>
      </c>
      <c r="D135" s="1">
        <v>2</v>
      </c>
      <c r="E135" s="51" t="s">
        <v>217</v>
      </c>
      <c r="F135" s="1"/>
      <c r="G135" s="1" t="s">
        <v>238</v>
      </c>
      <c r="H135" s="1">
        <v>0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6"/>
    </row>
    <row r="136" spans="1:34" ht="15" thickBot="1" x14ac:dyDescent="0.4">
      <c r="A136" s="7">
        <f t="shared" si="5"/>
        <v>30</v>
      </c>
      <c r="B136" s="74" t="s">
        <v>281</v>
      </c>
      <c r="C136" s="8" t="s">
        <v>283</v>
      </c>
      <c r="D136" s="8">
        <v>3</v>
      </c>
      <c r="E136" s="51" t="s">
        <v>219</v>
      </c>
      <c r="F136" s="8"/>
      <c r="G136" s="8" t="s">
        <v>238</v>
      </c>
      <c r="H136" s="8">
        <v>0</v>
      </c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9"/>
    </row>
    <row r="137" spans="1:34" ht="15" thickBot="1" x14ac:dyDescent="0.4">
      <c r="A137" s="48">
        <f t="shared" si="5"/>
        <v>30</v>
      </c>
      <c r="B137" s="81" t="str">
        <f>B136</f>
        <v>T5PAVGAN</v>
      </c>
      <c r="C137" s="49" t="str">
        <f>C136</f>
        <v>Demand Pavos for Livestock</v>
      </c>
      <c r="D137" s="30">
        <v>4</v>
      </c>
      <c r="E137" s="51" t="s">
        <v>218</v>
      </c>
      <c r="F137" s="30"/>
      <c r="G137" s="30" t="s">
        <v>250</v>
      </c>
      <c r="H137" s="30">
        <v>0</v>
      </c>
      <c r="I137" s="30">
        <v>1</v>
      </c>
      <c r="J137" s="30">
        <v>1</v>
      </c>
      <c r="K137" s="30">
        <v>1</v>
      </c>
      <c r="L137" s="30">
        <v>1</v>
      </c>
      <c r="M137" s="30">
        <v>1</v>
      </c>
      <c r="N137" s="30">
        <v>1</v>
      </c>
      <c r="O137" s="30">
        <v>1</v>
      </c>
      <c r="P137" s="30">
        <v>1</v>
      </c>
      <c r="Q137" s="30">
        <v>1</v>
      </c>
      <c r="R137" s="30">
        <v>1</v>
      </c>
      <c r="S137" s="30">
        <v>1</v>
      </c>
      <c r="T137" s="30">
        <v>1</v>
      </c>
      <c r="U137" s="30">
        <v>1</v>
      </c>
      <c r="V137" s="30">
        <v>1</v>
      </c>
      <c r="W137" s="30">
        <v>1</v>
      </c>
      <c r="X137" s="30">
        <v>1</v>
      </c>
      <c r="Y137" s="30">
        <v>1</v>
      </c>
      <c r="Z137" s="30">
        <v>1</v>
      </c>
      <c r="AA137" s="30">
        <v>1</v>
      </c>
      <c r="AB137" s="30">
        <v>1</v>
      </c>
      <c r="AC137" s="30">
        <v>1</v>
      </c>
      <c r="AD137" s="30">
        <v>1</v>
      </c>
      <c r="AE137" s="30">
        <v>1</v>
      </c>
      <c r="AF137" s="30">
        <v>1</v>
      </c>
      <c r="AG137" s="30">
        <v>1</v>
      </c>
      <c r="AH137" s="31">
        <v>1</v>
      </c>
    </row>
    <row r="138" spans="1:34" x14ac:dyDescent="0.35">
      <c r="A138" s="2">
        <f t="shared" si="5"/>
        <v>31</v>
      </c>
      <c r="B138" s="72" t="s">
        <v>284</v>
      </c>
      <c r="C138" s="3" t="s">
        <v>285</v>
      </c>
      <c r="D138" s="3">
        <v>1</v>
      </c>
      <c r="E138" s="51" t="s">
        <v>216</v>
      </c>
      <c r="F138" s="3"/>
      <c r="G138" s="3" t="s">
        <v>238</v>
      </c>
      <c r="H138" s="3">
        <v>0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4"/>
    </row>
    <row r="139" spans="1:34" x14ac:dyDescent="0.35">
      <c r="A139" s="5">
        <f t="shared" si="5"/>
        <v>31</v>
      </c>
      <c r="B139" s="73" t="s">
        <v>284</v>
      </c>
      <c r="C139" s="1" t="s">
        <v>285</v>
      </c>
      <c r="D139" s="1">
        <v>2</v>
      </c>
      <c r="E139" s="51" t="s">
        <v>217</v>
      </c>
      <c r="F139" s="1"/>
      <c r="G139" s="1" t="s">
        <v>238</v>
      </c>
      <c r="H139" s="1">
        <v>0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6"/>
    </row>
    <row r="140" spans="1:34" ht="15" thickBot="1" x14ac:dyDescent="0.4">
      <c r="A140" s="7">
        <f t="shared" si="5"/>
        <v>31</v>
      </c>
      <c r="B140" s="74" t="s">
        <v>284</v>
      </c>
      <c r="C140" s="8" t="s">
        <v>285</v>
      </c>
      <c r="D140" s="8">
        <v>3</v>
      </c>
      <c r="E140" s="51" t="s">
        <v>219</v>
      </c>
      <c r="F140" s="8"/>
      <c r="G140" s="8" t="s">
        <v>238</v>
      </c>
      <c r="H140" s="8">
        <v>0</v>
      </c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9"/>
    </row>
    <row r="141" spans="1:34" ht="15" thickBot="1" x14ac:dyDescent="0.4">
      <c r="A141" s="48">
        <f t="shared" si="5"/>
        <v>31</v>
      </c>
      <c r="B141" s="81" t="str">
        <f>B140</f>
        <v>T5PONGAN</v>
      </c>
      <c r="C141" s="49" t="str">
        <f>C140</f>
        <v>Demand Ponedoras for Livestock</v>
      </c>
      <c r="D141" s="30">
        <v>4</v>
      </c>
      <c r="E141" s="51" t="s">
        <v>218</v>
      </c>
      <c r="F141" s="30"/>
      <c r="G141" s="30" t="s">
        <v>250</v>
      </c>
      <c r="H141" s="30">
        <v>0</v>
      </c>
      <c r="I141" s="30">
        <v>1</v>
      </c>
      <c r="J141" s="30">
        <v>1</v>
      </c>
      <c r="K141" s="30">
        <v>1</v>
      </c>
      <c r="L141" s="30">
        <v>1</v>
      </c>
      <c r="M141" s="30">
        <v>1</v>
      </c>
      <c r="N141" s="30">
        <v>1</v>
      </c>
      <c r="O141" s="30">
        <v>1</v>
      </c>
      <c r="P141" s="30">
        <v>1</v>
      </c>
      <c r="Q141" s="30">
        <v>1</v>
      </c>
      <c r="R141" s="30">
        <v>1</v>
      </c>
      <c r="S141" s="30">
        <v>1</v>
      </c>
      <c r="T141" s="30">
        <v>1</v>
      </c>
      <c r="U141" s="30">
        <v>1</v>
      </c>
      <c r="V141" s="30">
        <v>1</v>
      </c>
      <c r="W141" s="30">
        <v>1</v>
      </c>
      <c r="X141" s="30">
        <v>1</v>
      </c>
      <c r="Y141" s="30">
        <v>1</v>
      </c>
      <c r="Z141" s="30">
        <v>1</v>
      </c>
      <c r="AA141" s="30">
        <v>1</v>
      </c>
      <c r="AB141" s="30">
        <v>1</v>
      </c>
      <c r="AC141" s="30">
        <v>1</v>
      </c>
      <c r="AD141" s="30">
        <v>1</v>
      </c>
      <c r="AE141" s="30">
        <v>1</v>
      </c>
      <c r="AF141" s="30">
        <v>1</v>
      </c>
      <c r="AG141" s="30">
        <v>1</v>
      </c>
      <c r="AH141" s="31">
        <v>1</v>
      </c>
    </row>
    <row r="142" spans="1:34" x14ac:dyDescent="0.35">
      <c r="A142" s="2">
        <f>+A126+1</f>
        <v>29</v>
      </c>
      <c r="B142" s="3" t="s">
        <v>86</v>
      </c>
      <c r="C142" s="3" t="s">
        <v>186</v>
      </c>
      <c r="D142" s="3">
        <v>1</v>
      </c>
      <c r="E142" s="50" t="s">
        <v>216</v>
      </c>
      <c r="F142" s="3"/>
      <c r="G142" s="3" t="s">
        <v>238</v>
      </c>
      <c r="H142" s="3">
        <v>0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4"/>
    </row>
    <row r="143" spans="1:34" x14ac:dyDescent="0.35">
      <c r="A143" s="5">
        <f>+A127+1</f>
        <v>29</v>
      </c>
      <c r="B143" s="1" t="s">
        <v>86</v>
      </c>
      <c r="C143" s="1" t="s">
        <v>186</v>
      </c>
      <c r="D143" s="1">
        <v>2</v>
      </c>
      <c r="E143" s="50" t="s">
        <v>217</v>
      </c>
      <c r="F143" s="1"/>
      <c r="G143" s="1" t="s">
        <v>238</v>
      </c>
      <c r="H143" s="1">
        <v>0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6"/>
    </row>
    <row r="144" spans="1:34" ht="15" thickBot="1" x14ac:dyDescent="0.4">
      <c r="A144" s="7">
        <f>+A128+1</f>
        <v>29</v>
      </c>
      <c r="B144" s="8" t="s">
        <v>86</v>
      </c>
      <c r="C144" s="8" t="s">
        <v>186</v>
      </c>
      <c r="D144" s="8">
        <v>3</v>
      </c>
      <c r="E144" s="50" t="s">
        <v>219</v>
      </c>
      <c r="F144" s="8"/>
      <c r="G144" s="8" t="s">
        <v>238</v>
      </c>
      <c r="H144" s="8">
        <v>0</v>
      </c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9"/>
    </row>
    <row r="145" spans="1:34" ht="15" thickBot="1" x14ac:dyDescent="0.4">
      <c r="A145" s="48">
        <f>+A129+1</f>
        <v>29</v>
      </c>
      <c r="B145" s="49" t="str">
        <f>B144</f>
        <v>T5ARRAGREXP</v>
      </c>
      <c r="C145" s="49" t="str">
        <f>C144</f>
        <v>Demand Rice for Agricultural Exports</v>
      </c>
      <c r="D145" s="30">
        <v>4</v>
      </c>
      <c r="E145" s="50" t="s">
        <v>218</v>
      </c>
      <c r="F145" s="30"/>
      <c r="G145" s="30" t="s">
        <v>250</v>
      </c>
      <c r="H145" s="30">
        <v>0</v>
      </c>
      <c r="I145" s="30">
        <v>1</v>
      </c>
      <c r="J145" s="30">
        <v>1</v>
      </c>
      <c r="K145" s="30">
        <v>1</v>
      </c>
      <c r="L145" s="30">
        <v>1</v>
      </c>
      <c r="M145" s="30">
        <v>1</v>
      </c>
      <c r="N145" s="30">
        <v>1</v>
      </c>
      <c r="O145" s="30">
        <v>1</v>
      </c>
      <c r="P145" s="30">
        <v>1</v>
      </c>
      <c r="Q145" s="30">
        <v>1</v>
      </c>
      <c r="R145" s="30">
        <v>1</v>
      </c>
      <c r="S145" s="30">
        <v>1</v>
      </c>
      <c r="T145" s="30">
        <v>1</v>
      </c>
      <c r="U145" s="30">
        <v>1</v>
      </c>
      <c r="V145" s="30">
        <v>1</v>
      </c>
      <c r="W145" s="30">
        <v>1</v>
      </c>
      <c r="X145" s="30">
        <v>1</v>
      </c>
      <c r="Y145" s="30">
        <v>1</v>
      </c>
      <c r="Z145" s="30">
        <v>1</v>
      </c>
      <c r="AA145" s="30">
        <v>1</v>
      </c>
      <c r="AB145" s="30">
        <v>1</v>
      </c>
      <c r="AC145" s="30">
        <v>1</v>
      </c>
      <c r="AD145" s="30">
        <v>1</v>
      </c>
      <c r="AE145" s="30">
        <v>1</v>
      </c>
      <c r="AF145" s="30">
        <v>1</v>
      </c>
      <c r="AG145" s="30">
        <v>1</v>
      </c>
      <c r="AH145" s="31">
        <v>1</v>
      </c>
    </row>
    <row r="146" spans="1:34" x14ac:dyDescent="0.35">
      <c r="A146" s="2">
        <f t="shared" si="4"/>
        <v>30</v>
      </c>
      <c r="B146" s="3" t="s">
        <v>87</v>
      </c>
      <c r="C146" s="3" t="s">
        <v>187</v>
      </c>
      <c r="D146" s="3">
        <v>1</v>
      </c>
      <c r="E146" s="51" t="s">
        <v>216</v>
      </c>
      <c r="F146" s="3"/>
      <c r="G146" s="3" t="s">
        <v>238</v>
      </c>
      <c r="H146" s="3">
        <v>0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4"/>
    </row>
    <row r="147" spans="1:34" x14ac:dyDescent="0.35">
      <c r="A147" s="5">
        <f t="shared" si="4"/>
        <v>30</v>
      </c>
      <c r="B147" s="1" t="s">
        <v>87</v>
      </c>
      <c r="C147" s="1" t="s">
        <v>187</v>
      </c>
      <c r="D147" s="1">
        <v>2</v>
      </c>
      <c r="E147" s="51" t="s">
        <v>217</v>
      </c>
      <c r="F147" s="1"/>
      <c r="G147" s="1" t="s">
        <v>238</v>
      </c>
      <c r="H147" s="1">
        <v>0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6"/>
    </row>
    <row r="148" spans="1:34" ht="15" thickBot="1" x14ac:dyDescent="0.4">
      <c r="A148" s="7">
        <f t="shared" si="4"/>
        <v>30</v>
      </c>
      <c r="B148" s="8" t="s">
        <v>87</v>
      </c>
      <c r="C148" s="8" t="s">
        <v>187</v>
      </c>
      <c r="D148" s="8">
        <v>3</v>
      </c>
      <c r="E148" s="51" t="s">
        <v>219</v>
      </c>
      <c r="F148" s="8"/>
      <c r="G148" s="8" t="s">
        <v>238</v>
      </c>
      <c r="H148" s="8">
        <v>0</v>
      </c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9"/>
    </row>
    <row r="149" spans="1:34" ht="15" thickBot="1" x14ac:dyDescent="0.4">
      <c r="A149" s="48">
        <f t="shared" si="4"/>
        <v>30</v>
      </c>
      <c r="B149" s="49" t="str">
        <f>B148</f>
        <v>T5BANAGREXP</v>
      </c>
      <c r="C149" s="49" t="str">
        <f>C148</f>
        <v>Demand Banana   for Agricultural Exports</v>
      </c>
      <c r="D149" s="30">
        <v>4</v>
      </c>
      <c r="E149" s="51" t="s">
        <v>218</v>
      </c>
      <c r="F149" s="30"/>
      <c r="G149" s="30" t="s">
        <v>250</v>
      </c>
      <c r="H149" s="30">
        <v>0</v>
      </c>
      <c r="I149" s="30">
        <v>1</v>
      </c>
      <c r="J149" s="30">
        <v>1</v>
      </c>
      <c r="K149" s="30">
        <v>1</v>
      </c>
      <c r="L149" s="30">
        <v>1</v>
      </c>
      <c r="M149" s="30">
        <v>1</v>
      </c>
      <c r="N149" s="30">
        <v>1</v>
      </c>
      <c r="O149" s="30">
        <v>1</v>
      </c>
      <c r="P149" s="30">
        <v>1</v>
      </c>
      <c r="Q149" s="30">
        <v>1</v>
      </c>
      <c r="R149" s="30">
        <v>1</v>
      </c>
      <c r="S149" s="30">
        <v>1</v>
      </c>
      <c r="T149" s="30">
        <v>1</v>
      </c>
      <c r="U149" s="30">
        <v>1</v>
      </c>
      <c r="V149" s="30">
        <v>1</v>
      </c>
      <c r="W149" s="30">
        <v>1</v>
      </c>
      <c r="X149" s="30">
        <v>1</v>
      </c>
      <c r="Y149" s="30">
        <v>1</v>
      </c>
      <c r="Z149" s="30">
        <v>1</v>
      </c>
      <c r="AA149" s="30">
        <v>1</v>
      </c>
      <c r="AB149" s="30">
        <v>1</v>
      </c>
      <c r="AC149" s="30">
        <v>1</v>
      </c>
      <c r="AD149" s="30">
        <v>1</v>
      </c>
      <c r="AE149" s="30">
        <v>1</v>
      </c>
      <c r="AF149" s="30">
        <v>1</v>
      </c>
      <c r="AG149" s="30">
        <v>1</v>
      </c>
      <c r="AH149" s="31">
        <v>1</v>
      </c>
    </row>
    <row r="150" spans="1:34" x14ac:dyDescent="0.35">
      <c r="A150" s="2">
        <f t="shared" si="4"/>
        <v>31</v>
      </c>
      <c r="B150" s="3" t="s">
        <v>88</v>
      </c>
      <c r="C150" s="3" t="s">
        <v>188</v>
      </c>
      <c r="D150" s="3">
        <v>1</v>
      </c>
      <c r="E150" s="50" t="s">
        <v>216</v>
      </c>
      <c r="F150" s="3"/>
      <c r="G150" s="3" t="s">
        <v>238</v>
      </c>
      <c r="H150" s="3">
        <v>0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4"/>
    </row>
    <row r="151" spans="1:34" x14ac:dyDescent="0.35">
      <c r="A151" s="5">
        <f t="shared" si="4"/>
        <v>31</v>
      </c>
      <c r="B151" s="1" t="s">
        <v>88</v>
      </c>
      <c r="C151" s="1" t="s">
        <v>188</v>
      </c>
      <c r="D151" s="1">
        <v>2</v>
      </c>
      <c r="E151" s="50" t="s">
        <v>217</v>
      </c>
      <c r="F151" s="1"/>
      <c r="G151" s="1" t="s">
        <v>238</v>
      </c>
      <c r="H151" s="1">
        <v>0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6"/>
    </row>
    <row r="152" spans="1:34" ht="15" thickBot="1" x14ac:dyDescent="0.4">
      <c r="A152" s="7">
        <f t="shared" si="4"/>
        <v>31</v>
      </c>
      <c r="B152" s="8" t="s">
        <v>88</v>
      </c>
      <c r="C152" s="8" t="s">
        <v>188</v>
      </c>
      <c r="D152" s="8">
        <v>3</v>
      </c>
      <c r="E152" s="50" t="s">
        <v>219</v>
      </c>
      <c r="F152" s="8"/>
      <c r="G152" s="8" t="s">
        <v>238</v>
      </c>
      <c r="H152" s="8">
        <v>0</v>
      </c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9"/>
    </row>
    <row r="153" spans="1:34" ht="15" thickBot="1" x14ac:dyDescent="0.4">
      <c r="A153" s="48">
        <f t="shared" si="4"/>
        <v>31</v>
      </c>
      <c r="B153" s="49" t="str">
        <f>B152</f>
        <v>T5COCAGREXP</v>
      </c>
      <c r="C153" s="49" t="str">
        <f>C152</f>
        <v>Demand Cocoa   for Agricultural Exports</v>
      </c>
      <c r="D153" s="30">
        <v>4</v>
      </c>
      <c r="E153" s="50" t="s">
        <v>218</v>
      </c>
      <c r="F153" s="30"/>
      <c r="G153" s="30" t="s">
        <v>250</v>
      </c>
      <c r="H153" s="30">
        <v>0</v>
      </c>
      <c r="I153" s="30">
        <v>1</v>
      </c>
      <c r="J153" s="30">
        <v>1</v>
      </c>
      <c r="K153" s="30">
        <v>1</v>
      </c>
      <c r="L153" s="30">
        <v>1</v>
      </c>
      <c r="M153" s="30">
        <v>1</v>
      </c>
      <c r="N153" s="30">
        <v>1</v>
      </c>
      <c r="O153" s="30">
        <v>1</v>
      </c>
      <c r="P153" s="30">
        <v>1</v>
      </c>
      <c r="Q153" s="30">
        <v>1</v>
      </c>
      <c r="R153" s="30">
        <v>1</v>
      </c>
      <c r="S153" s="30">
        <v>1</v>
      </c>
      <c r="T153" s="30">
        <v>1</v>
      </c>
      <c r="U153" s="30">
        <v>1</v>
      </c>
      <c r="V153" s="30">
        <v>1</v>
      </c>
      <c r="W153" s="30">
        <v>1</v>
      </c>
      <c r="X153" s="30">
        <v>1</v>
      </c>
      <c r="Y153" s="30">
        <v>1</v>
      </c>
      <c r="Z153" s="30">
        <v>1</v>
      </c>
      <c r="AA153" s="30">
        <v>1</v>
      </c>
      <c r="AB153" s="30">
        <v>1</v>
      </c>
      <c r="AC153" s="30">
        <v>1</v>
      </c>
      <c r="AD153" s="30">
        <v>1</v>
      </c>
      <c r="AE153" s="30">
        <v>1</v>
      </c>
      <c r="AF153" s="30">
        <v>1</v>
      </c>
      <c r="AG153" s="30">
        <v>1</v>
      </c>
      <c r="AH153" s="31">
        <v>1</v>
      </c>
    </row>
    <row r="154" spans="1:34" x14ac:dyDescent="0.35">
      <c r="A154" s="2">
        <f t="shared" si="4"/>
        <v>32</v>
      </c>
      <c r="B154" s="3" t="s">
        <v>89</v>
      </c>
      <c r="C154" s="3" t="s">
        <v>189</v>
      </c>
      <c r="D154" s="3">
        <v>1</v>
      </c>
      <c r="E154" s="51" t="s">
        <v>216</v>
      </c>
      <c r="F154" s="3"/>
      <c r="G154" s="3" t="s">
        <v>238</v>
      </c>
      <c r="H154" s="3">
        <v>0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4"/>
    </row>
    <row r="155" spans="1:34" x14ac:dyDescent="0.35">
      <c r="A155" s="5">
        <f t="shared" si="4"/>
        <v>32</v>
      </c>
      <c r="B155" s="1" t="s">
        <v>89</v>
      </c>
      <c r="C155" s="1" t="s">
        <v>189</v>
      </c>
      <c r="D155" s="1">
        <v>2</v>
      </c>
      <c r="E155" s="51" t="s">
        <v>217</v>
      </c>
      <c r="F155" s="1"/>
      <c r="G155" s="1" t="s">
        <v>238</v>
      </c>
      <c r="H155" s="1">
        <v>0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6"/>
    </row>
    <row r="156" spans="1:34" ht="15" thickBot="1" x14ac:dyDescent="0.4">
      <c r="A156" s="7">
        <f t="shared" si="4"/>
        <v>32</v>
      </c>
      <c r="B156" s="8" t="s">
        <v>89</v>
      </c>
      <c r="C156" s="8" t="s">
        <v>189</v>
      </c>
      <c r="D156" s="8">
        <v>3</v>
      </c>
      <c r="E156" s="51" t="s">
        <v>219</v>
      </c>
      <c r="F156" s="8"/>
      <c r="G156" s="8" t="s">
        <v>238</v>
      </c>
      <c r="H156" s="8">
        <v>0</v>
      </c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9"/>
    </row>
    <row r="157" spans="1:34" ht="15" thickBot="1" x14ac:dyDescent="0.4">
      <c r="A157" s="48">
        <f t="shared" si="4"/>
        <v>32</v>
      </c>
      <c r="B157" s="49" t="str">
        <f>B156</f>
        <v>T5COFAGREXP</v>
      </c>
      <c r="C157" s="49" t="str">
        <f>C156</f>
        <v>Demand Coffee   for Agricultural Exports</v>
      </c>
      <c r="D157" s="30">
        <v>4</v>
      </c>
      <c r="E157" s="51" t="s">
        <v>218</v>
      </c>
      <c r="F157" s="30"/>
      <c r="G157" s="30" t="s">
        <v>250</v>
      </c>
      <c r="H157" s="30">
        <v>0</v>
      </c>
      <c r="I157" s="30">
        <v>1</v>
      </c>
      <c r="J157" s="30">
        <v>1</v>
      </c>
      <c r="K157" s="30">
        <v>1</v>
      </c>
      <c r="L157" s="30">
        <v>1</v>
      </c>
      <c r="M157" s="30">
        <v>1</v>
      </c>
      <c r="N157" s="30">
        <v>1</v>
      </c>
      <c r="O157" s="30">
        <v>1</v>
      </c>
      <c r="P157" s="30">
        <v>1</v>
      </c>
      <c r="Q157" s="30">
        <v>1</v>
      </c>
      <c r="R157" s="30">
        <v>1</v>
      </c>
      <c r="S157" s="30">
        <v>1</v>
      </c>
      <c r="T157" s="30">
        <v>1</v>
      </c>
      <c r="U157" s="30">
        <v>1</v>
      </c>
      <c r="V157" s="30">
        <v>1</v>
      </c>
      <c r="W157" s="30">
        <v>1</v>
      </c>
      <c r="X157" s="30">
        <v>1</v>
      </c>
      <c r="Y157" s="30">
        <v>1</v>
      </c>
      <c r="Z157" s="30">
        <v>1</v>
      </c>
      <c r="AA157" s="30">
        <v>1</v>
      </c>
      <c r="AB157" s="30">
        <v>1</v>
      </c>
      <c r="AC157" s="30">
        <v>1</v>
      </c>
      <c r="AD157" s="30">
        <v>1</v>
      </c>
      <c r="AE157" s="30">
        <v>1</v>
      </c>
      <c r="AF157" s="30">
        <v>1</v>
      </c>
      <c r="AG157" s="30">
        <v>1</v>
      </c>
      <c r="AH157" s="31">
        <v>1</v>
      </c>
    </row>
    <row r="158" spans="1:34" x14ac:dyDescent="0.35">
      <c r="A158" s="2">
        <f t="shared" si="4"/>
        <v>33</v>
      </c>
      <c r="B158" s="3" t="s">
        <v>90</v>
      </c>
      <c r="C158" s="3" t="s">
        <v>190</v>
      </c>
      <c r="D158" s="3">
        <v>1</v>
      </c>
      <c r="E158" s="50" t="s">
        <v>216</v>
      </c>
      <c r="F158" s="3"/>
      <c r="G158" s="3" t="s">
        <v>238</v>
      </c>
      <c r="H158" s="3">
        <v>0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4"/>
    </row>
    <row r="159" spans="1:34" x14ac:dyDescent="0.35">
      <c r="A159" s="5">
        <f t="shared" si="4"/>
        <v>33</v>
      </c>
      <c r="B159" s="1" t="s">
        <v>90</v>
      </c>
      <c r="C159" s="1" t="s">
        <v>190</v>
      </c>
      <c r="D159" s="1">
        <v>2</v>
      </c>
      <c r="E159" s="50" t="s">
        <v>217</v>
      </c>
      <c r="F159" s="1"/>
      <c r="G159" s="1" t="s">
        <v>238</v>
      </c>
      <c r="H159" s="1">
        <v>0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6"/>
    </row>
    <row r="160" spans="1:34" ht="15" thickBot="1" x14ac:dyDescent="0.4">
      <c r="A160" s="7">
        <f t="shared" si="4"/>
        <v>33</v>
      </c>
      <c r="B160" s="8" t="s">
        <v>90</v>
      </c>
      <c r="C160" s="8" t="s">
        <v>190</v>
      </c>
      <c r="D160" s="8">
        <v>3</v>
      </c>
      <c r="E160" s="50" t="s">
        <v>219</v>
      </c>
      <c r="F160" s="8"/>
      <c r="G160" s="8" t="s">
        <v>238</v>
      </c>
      <c r="H160" s="8">
        <v>0</v>
      </c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9"/>
    </row>
    <row r="161" spans="1:34" ht="15" thickBot="1" x14ac:dyDescent="0.4">
      <c r="A161" s="48">
        <f t="shared" si="4"/>
        <v>33</v>
      </c>
      <c r="B161" s="49" t="str">
        <f>B160</f>
        <v>T5SUGAGREXP</v>
      </c>
      <c r="C161" s="49" t="str">
        <f>C160</f>
        <v>Demand Sugarcane for Agricultural Exports</v>
      </c>
      <c r="D161" s="30">
        <v>4</v>
      </c>
      <c r="E161" s="50" t="s">
        <v>218</v>
      </c>
      <c r="F161" s="30"/>
      <c r="G161" s="30" t="s">
        <v>250</v>
      </c>
      <c r="H161" s="30">
        <v>0</v>
      </c>
      <c r="I161" s="30">
        <v>1</v>
      </c>
      <c r="J161" s="30">
        <v>1</v>
      </c>
      <c r="K161" s="30">
        <v>1</v>
      </c>
      <c r="L161" s="30">
        <v>1</v>
      </c>
      <c r="M161" s="30">
        <v>1</v>
      </c>
      <c r="N161" s="30">
        <v>1</v>
      </c>
      <c r="O161" s="30">
        <v>1</v>
      </c>
      <c r="P161" s="30">
        <v>1</v>
      </c>
      <c r="Q161" s="30">
        <v>1</v>
      </c>
      <c r="R161" s="30">
        <v>1</v>
      </c>
      <c r="S161" s="30">
        <v>1</v>
      </c>
      <c r="T161" s="30">
        <v>1</v>
      </c>
      <c r="U161" s="30">
        <v>1</v>
      </c>
      <c r="V161" s="30">
        <v>1</v>
      </c>
      <c r="W161" s="30">
        <v>1</v>
      </c>
      <c r="X161" s="30">
        <v>1</v>
      </c>
      <c r="Y161" s="30">
        <v>1</v>
      </c>
      <c r="Z161" s="30">
        <v>1</v>
      </c>
      <c r="AA161" s="30">
        <v>1</v>
      </c>
      <c r="AB161" s="30">
        <v>1</v>
      </c>
      <c r="AC161" s="30">
        <v>1</v>
      </c>
      <c r="AD161" s="30">
        <v>1</v>
      </c>
      <c r="AE161" s="30">
        <v>1</v>
      </c>
      <c r="AF161" s="30">
        <v>1</v>
      </c>
      <c r="AG161" s="30">
        <v>1</v>
      </c>
      <c r="AH161" s="31">
        <v>1</v>
      </c>
    </row>
    <row r="162" spans="1:34" x14ac:dyDescent="0.35">
      <c r="A162" s="2">
        <f t="shared" si="4"/>
        <v>34</v>
      </c>
      <c r="B162" s="3" t="s">
        <v>91</v>
      </c>
      <c r="C162" s="3" t="s">
        <v>191</v>
      </c>
      <c r="D162" s="3">
        <v>1</v>
      </c>
      <c r="E162" s="51" t="s">
        <v>216</v>
      </c>
      <c r="F162" s="3"/>
      <c r="G162" s="3" t="s">
        <v>238</v>
      </c>
      <c r="H162" s="3">
        <v>0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4"/>
    </row>
    <row r="163" spans="1:34" x14ac:dyDescent="0.35">
      <c r="A163" s="5">
        <f t="shared" si="4"/>
        <v>34</v>
      </c>
      <c r="B163" s="1" t="s">
        <v>91</v>
      </c>
      <c r="C163" s="1" t="s">
        <v>191</v>
      </c>
      <c r="D163" s="1">
        <v>2</v>
      </c>
      <c r="E163" s="51" t="s">
        <v>217</v>
      </c>
      <c r="F163" s="1"/>
      <c r="G163" s="1" t="s">
        <v>238</v>
      </c>
      <c r="H163" s="1">
        <v>0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6"/>
    </row>
    <row r="164" spans="1:34" ht="15" thickBot="1" x14ac:dyDescent="0.4">
      <c r="A164" s="7">
        <f t="shared" si="4"/>
        <v>34</v>
      </c>
      <c r="B164" s="8" t="s">
        <v>91</v>
      </c>
      <c r="C164" s="8" t="s">
        <v>191</v>
      </c>
      <c r="D164" s="8">
        <v>3</v>
      </c>
      <c r="E164" s="51" t="s">
        <v>219</v>
      </c>
      <c r="F164" s="8"/>
      <c r="G164" s="8" t="s">
        <v>238</v>
      </c>
      <c r="H164" s="8">
        <v>0</v>
      </c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9"/>
    </row>
    <row r="165" spans="1:34" ht="15" thickBot="1" x14ac:dyDescent="0.4">
      <c r="A165" s="48">
        <f t="shared" si="4"/>
        <v>34</v>
      </c>
      <c r="B165" s="49" t="str">
        <f>B164</f>
        <v>T5MAIAGREXP</v>
      </c>
      <c r="C165" s="49" t="str">
        <f>C164</f>
        <v>Demand Maize for Agricultural Exports</v>
      </c>
      <c r="D165" s="30">
        <v>4</v>
      </c>
      <c r="E165" s="51" t="s">
        <v>218</v>
      </c>
      <c r="F165" s="30"/>
      <c r="G165" s="30" t="s">
        <v>250</v>
      </c>
      <c r="H165" s="30">
        <v>0</v>
      </c>
      <c r="I165" s="30">
        <v>1</v>
      </c>
      <c r="J165" s="30">
        <v>1</v>
      </c>
      <c r="K165" s="30">
        <v>1</v>
      </c>
      <c r="L165" s="30">
        <v>1</v>
      </c>
      <c r="M165" s="30">
        <v>1</v>
      </c>
      <c r="N165" s="30">
        <v>1</v>
      </c>
      <c r="O165" s="30">
        <v>1</v>
      </c>
      <c r="P165" s="30">
        <v>1</v>
      </c>
      <c r="Q165" s="30">
        <v>1</v>
      </c>
      <c r="R165" s="30">
        <v>1</v>
      </c>
      <c r="S165" s="30">
        <v>1</v>
      </c>
      <c r="T165" s="30">
        <v>1</v>
      </c>
      <c r="U165" s="30">
        <v>1</v>
      </c>
      <c r="V165" s="30">
        <v>1</v>
      </c>
      <c r="W165" s="30">
        <v>1</v>
      </c>
      <c r="X165" s="30">
        <v>1</v>
      </c>
      <c r="Y165" s="30">
        <v>1</v>
      </c>
      <c r="Z165" s="30">
        <v>1</v>
      </c>
      <c r="AA165" s="30">
        <v>1</v>
      </c>
      <c r="AB165" s="30">
        <v>1</v>
      </c>
      <c r="AC165" s="30">
        <v>1</v>
      </c>
      <c r="AD165" s="30">
        <v>1</v>
      </c>
      <c r="AE165" s="30">
        <v>1</v>
      </c>
      <c r="AF165" s="30">
        <v>1</v>
      </c>
      <c r="AG165" s="30">
        <v>1</v>
      </c>
      <c r="AH165" s="31">
        <v>1</v>
      </c>
    </row>
    <row r="166" spans="1:34" x14ac:dyDescent="0.35">
      <c r="A166" s="2">
        <f t="shared" si="4"/>
        <v>35</v>
      </c>
      <c r="B166" s="3" t="s">
        <v>92</v>
      </c>
      <c r="C166" s="3" t="s">
        <v>192</v>
      </c>
      <c r="D166" s="3">
        <v>1</v>
      </c>
      <c r="E166" s="50" t="s">
        <v>216</v>
      </c>
      <c r="F166" s="3"/>
      <c r="G166" s="3" t="s">
        <v>238</v>
      </c>
      <c r="H166" s="3">
        <v>0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4"/>
    </row>
    <row r="167" spans="1:34" x14ac:dyDescent="0.35">
      <c r="A167" s="5">
        <f t="shared" si="4"/>
        <v>35</v>
      </c>
      <c r="B167" s="1" t="s">
        <v>92</v>
      </c>
      <c r="C167" s="1" t="s">
        <v>192</v>
      </c>
      <c r="D167" s="1">
        <v>2</v>
      </c>
      <c r="E167" s="50" t="s">
        <v>217</v>
      </c>
      <c r="F167" s="1"/>
      <c r="G167" s="1" t="s">
        <v>238</v>
      </c>
      <c r="H167" s="1">
        <v>0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6"/>
    </row>
    <row r="168" spans="1:34" ht="15" thickBot="1" x14ac:dyDescent="0.4">
      <c r="A168" s="7">
        <f t="shared" si="4"/>
        <v>35</v>
      </c>
      <c r="B168" s="8" t="s">
        <v>92</v>
      </c>
      <c r="C168" s="8" t="s">
        <v>192</v>
      </c>
      <c r="D168" s="8">
        <v>3</v>
      </c>
      <c r="E168" s="50" t="s">
        <v>219</v>
      </c>
      <c r="F168" s="8"/>
      <c r="G168" s="8" t="s">
        <v>238</v>
      </c>
      <c r="H168" s="8">
        <v>0</v>
      </c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9"/>
    </row>
    <row r="169" spans="1:34" ht="15" thickBot="1" x14ac:dyDescent="0.4">
      <c r="A169" s="48">
        <f t="shared" si="4"/>
        <v>35</v>
      </c>
      <c r="B169" s="49" t="str">
        <f>B168</f>
        <v>T5PAFAGREXP</v>
      </c>
      <c r="C169" s="49" t="str">
        <f>C168</f>
        <v>Demand African_palm for Agricultural Exports</v>
      </c>
      <c r="D169" s="30">
        <v>4</v>
      </c>
      <c r="E169" s="50" t="s">
        <v>218</v>
      </c>
      <c r="F169" s="30"/>
      <c r="G169" s="30" t="s">
        <v>250</v>
      </c>
      <c r="H169" s="30">
        <v>0</v>
      </c>
      <c r="I169" s="30">
        <v>1</v>
      </c>
      <c r="J169" s="30">
        <v>1</v>
      </c>
      <c r="K169" s="30">
        <v>1</v>
      </c>
      <c r="L169" s="30">
        <v>1</v>
      </c>
      <c r="M169" s="30">
        <v>1</v>
      </c>
      <c r="N169" s="30">
        <v>1</v>
      </c>
      <c r="O169" s="30">
        <v>1</v>
      </c>
      <c r="P169" s="30">
        <v>1</v>
      </c>
      <c r="Q169" s="30">
        <v>1</v>
      </c>
      <c r="R169" s="30">
        <v>1</v>
      </c>
      <c r="S169" s="30">
        <v>1</v>
      </c>
      <c r="T169" s="30">
        <v>1</v>
      </c>
      <c r="U169" s="30">
        <v>1</v>
      </c>
      <c r="V169" s="30">
        <v>1</v>
      </c>
      <c r="W169" s="30">
        <v>1</v>
      </c>
      <c r="X169" s="30">
        <v>1</v>
      </c>
      <c r="Y169" s="30">
        <v>1</v>
      </c>
      <c r="Z169" s="30">
        <v>1</v>
      </c>
      <c r="AA169" s="30">
        <v>1</v>
      </c>
      <c r="AB169" s="30">
        <v>1</v>
      </c>
      <c r="AC169" s="30">
        <v>1</v>
      </c>
      <c r="AD169" s="30">
        <v>1</v>
      </c>
      <c r="AE169" s="30">
        <v>1</v>
      </c>
      <c r="AF169" s="30">
        <v>1</v>
      </c>
      <c r="AG169" s="30">
        <v>1</v>
      </c>
      <c r="AH169" s="31">
        <v>1</v>
      </c>
    </row>
    <row r="170" spans="1:34" x14ac:dyDescent="0.35">
      <c r="A170" s="2">
        <f t="shared" ref="A170:A233" si="6">+A166+1</f>
        <v>36</v>
      </c>
      <c r="B170" s="52" t="s">
        <v>263</v>
      </c>
      <c r="C170" s="52" t="s">
        <v>264</v>
      </c>
      <c r="D170" s="3">
        <v>1</v>
      </c>
      <c r="E170" s="51" t="s">
        <v>216</v>
      </c>
      <c r="F170" s="3"/>
      <c r="G170" s="3" t="s">
        <v>238</v>
      </c>
      <c r="H170" s="3">
        <v>0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4"/>
    </row>
    <row r="171" spans="1:34" x14ac:dyDescent="0.35">
      <c r="A171" s="5">
        <f t="shared" si="6"/>
        <v>36</v>
      </c>
      <c r="B171" s="52" t="s">
        <v>263</v>
      </c>
      <c r="C171" s="52" t="s">
        <v>264</v>
      </c>
      <c r="D171" s="1">
        <v>2</v>
      </c>
      <c r="E171" s="51" t="s">
        <v>217</v>
      </c>
      <c r="F171" s="1"/>
      <c r="G171" s="1" t="s">
        <v>238</v>
      </c>
      <c r="H171" s="1">
        <v>0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6"/>
    </row>
    <row r="172" spans="1:34" ht="15" thickBot="1" x14ac:dyDescent="0.4">
      <c r="A172" s="7">
        <f t="shared" si="6"/>
        <v>36</v>
      </c>
      <c r="B172" s="52" t="s">
        <v>263</v>
      </c>
      <c r="C172" s="52" t="s">
        <v>264</v>
      </c>
      <c r="D172" s="8">
        <v>3</v>
      </c>
      <c r="E172" s="51" t="s">
        <v>219</v>
      </c>
      <c r="F172" s="8"/>
      <c r="G172" s="8" t="s">
        <v>238</v>
      </c>
      <c r="H172" s="8">
        <v>0</v>
      </c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9"/>
    </row>
    <row r="173" spans="1:34" ht="15" thickBot="1" x14ac:dyDescent="0.4">
      <c r="A173" s="48">
        <f t="shared" si="6"/>
        <v>36</v>
      </c>
      <c r="B173" s="52" t="s">
        <v>263</v>
      </c>
      <c r="C173" s="52" t="s">
        <v>264</v>
      </c>
      <c r="D173" s="30">
        <v>4</v>
      </c>
      <c r="E173" s="51" t="s">
        <v>218</v>
      </c>
      <c r="F173" s="30"/>
      <c r="G173" s="30" t="s">
        <v>250</v>
      </c>
      <c r="H173" s="30">
        <v>0</v>
      </c>
      <c r="I173" s="30">
        <v>1</v>
      </c>
      <c r="J173" s="30">
        <v>1</v>
      </c>
      <c r="K173" s="30">
        <v>1</v>
      </c>
      <c r="L173" s="30">
        <v>1</v>
      </c>
      <c r="M173" s="30">
        <v>1</v>
      </c>
      <c r="N173" s="30">
        <v>1</v>
      </c>
      <c r="O173" s="30">
        <v>1</v>
      </c>
      <c r="P173" s="30">
        <v>1</v>
      </c>
      <c r="Q173" s="30">
        <v>1</v>
      </c>
      <c r="R173" s="30">
        <v>1</v>
      </c>
      <c r="S173" s="30">
        <v>1</v>
      </c>
      <c r="T173" s="30">
        <v>1</v>
      </c>
      <c r="U173" s="30">
        <v>1</v>
      </c>
      <c r="V173" s="30">
        <v>1</v>
      </c>
      <c r="W173" s="30">
        <v>1</v>
      </c>
      <c r="X173" s="30">
        <v>1</v>
      </c>
      <c r="Y173" s="30">
        <v>1</v>
      </c>
      <c r="Z173" s="30">
        <v>1</v>
      </c>
      <c r="AA173" s="30">
        <v>1</v>
      </c>
      <c r="AB173" s="30">
        <v>1</v>
      </c>
      <c r="AC173" s="30">
        <v>1</v>
      </c>
      <c r="AD173" s="30">
        <v>1</v>
      </c>
      <c r="AE173" s="30">
        <v>1</v>
      </c>
      <c r="AF173" s="30">
        <v>1</v>
      </c>
      <c r="AG173" s="30">
        <v>1</v>
      </c>
      <c r="AH173" s="31">
        <v>1</v>
      </c>
    </row>
    <row r="174" spans="1:34" x14ac:dyDescent="0.35">
      <c r="A174" s="2">
        <f t="shared" si="6"/>
        <v>37</v>
      </c>
      <c r="B174" s="3" t="s">
        <v>93</v>
      </c>
      <c r="C174" s="3" t="s">
        <v>193</v>
      </c>
      <c r="D174" s="3">
        <v>1</v>
      </c>
      <c r="E174" s="51" t="s">
        <v>216</v>
      </c>
      <c r="F174" s="3"/>
      <c r="G174" s="3" t="s">
        <v>238</v>
      </c>
      <c r="H174" s="3">
        <v>0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4"/>
    </row>
    <row r="175" spans="1:34" x14ac:dyDescent="0.35">
      <c r="A175" s="5">
        <f t="shared" si="6"/>
        <v>37</v>
      </c>
      <c r="B175" s="1" t="s">
        <v>93</v>
      </c>
      <c r="C175" s="1" t="s">
        <v>193</v>
      </c>
      <c r="D175" s="1">
        <v>2</v>
      </c>
      <c r="E175" s="51" t="s">
        <v>217</v>
      </c>
      <c r="F175" s="1"/>
      <c r="G175" s="1" t="s">
        <v>238</v>
      </c>
      <c r="H175" s="1">
        <v>0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6"/>
    </row>
    <row r="176" spans="1:34" ht="15" thickBot="1" x14ac:dyDescent="0.4">
      <c r="A176" s="7">
        <f t="shared" si="6"/>
        <v>37</v>
      </c>
      <c r="B176" s="8" t="s">
        <v>93</v>
      </c>
      <c r="C176" s="8" t="s">
        <v>193</v>
      </c>
      <c r="D176" s="8">
        <v>3</v>
      </c>
      <c r="E176" s="51" t="s">
        <v>219</v>
      </c>
      <c r="F176" s="8"/>
      <c r="G176" s="8" t="s">
        <v>238</v>
      </c>
      <c r="H176" s="8">
        <v>0</v>
      </c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9"/>
    </row>
    <row r="177" spans="1:34" ht="15" thickBot="1" x14ac:dyDescent="0.4">
      <c r="A177" s="48">
        <f t="shared" si="6"/>
        <v>37</v>
      </c>
      <c r="B177" s="49" t="str">
        <f>B176</f>
        <v>T5PALAGREXP</v>
      </c>
      <c r="C177" s="49" t="str">
        <f>C176</f>
        <v>Demand Palmito for Agricultural Exports</v>
      </c>
      <c r="D177" s="30">
        <v>4</v>
      </c>
      <c r="E177" s="51" t="s">
        <v>218</v>
      </c>
      <c r="F177" s="30"/>
      <c r="G177" s="30" t="s">
        <v>250</v>
      </c>
      <c r="H177" s="30">
        <v>0</v>
      </c>
      <c r="I177" s="30">
        <v>1</v>
      </c>
      <c r="J177" s="30">
        <v>1</v>
      </c>
      <c r="K177" s="30">
        <v>1</v>
      </c>
      <c r="L177" s="30">
        <v>1</v>
      </c>
      <c r="M177" s="30">
        <v>1</v>
      </c>
      <c r="N177" s="30">
        <v>1</v>
      </c>
      <c r="O177" s="30">
        <v>1</v>
      </c>
      <c r="P177" s="30">
        <v>1</v>
      </c>
      <c r="Q177" s="30">
        <v>1</v>
      </c>
      <c r="R177" s="30">
        <v>1</v>
      </c>
      <c r="S177" s="30">
        <v>1</v>
      </c>
      <c r="T177" s="30">
        <v>1</v>
      </c>
      <c r="U177" s="30">
        <v>1</v>
      </c>
      <c r="V177" s="30">
        <v>1</v>
      </c>
      <c r="W177" s="30">
        <v>1</v>
      </c>
      <c r="X177" s="30">
        <v>1</v>
      </c>
      <c r="Y177" s="30">
        <v>1</v>
      </c>
      <c r="Z177" s="30">
        <v>1</v>
      </c>
      <c r="AA177" s="30">
        <v>1</v>
      </c>
      <c r="AB177" s="30">
        <v>1</v>
      </c>
      <c r="AC177" s="30">
        <v>1</v>
      </c>
      <c r="AD177" s="30">
        <v>1</v>
      </c>
      <c r="AE177" s="30">
        <v>1</v>
      </c>
      <c r="AF177" s="30">
        <v>1</v>
      </c>
      <c r="AG177" s="30">
        <v>1</v>
      </c>
      <c r="AH177" s="31">
        <v>1</v>
      </c>
    </row>
    <row r="178" spans="1:34" x14ac:dyDescent="0.35">
      <c r="A178" s="2">
        <f t="shared" si="6"/>
        <v>38</v>
      </c>
      <c r="B178" s="3" t="s">
        <v>94</v>
      </c>
      <c r="C178" s="3" t="s">
        <v>194</v>
      </c>
      <c r="D178" s="3">
        <v>1</v>
      </c>
      <c r="E178" s="50" t="s">
        <v>216</v>
      </c>
      <c r="F178" s="3"/>
      <c r="G178" s="3" t="s">
        <v>238</v>
      </c>
      <c r="H178" s="3">
        <v>0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4"/>
    </row>
    <row r="179" spans="1:34" x14ac:dyDescent="0.35">
      <c r="A179" s="5">
        <f t="shared" si="6"/>
        <v>38</v>
      </c>
      <c r="B179" s="1" t="s">
        <v>94</v>
      </c>
      <c r="C179" s="1" t="s">
        <v>194</v>
      </c>
      <c r="D179" s="1">
        <v>2</v>
      </c>
      <c r="E179" s="50" t="s">
        <v>217</v>
      </c>
      <c r="F179" s="1"/>
      <c r="G179" s="1" t="s">
        <v>238</v>
      </c>
      <c r="H179" s="1">
        <v>0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6"/>
    </row>
    <row r="180" spans="1:34" ht="15" thickBot="1" x14ac:dyDescent="0.4">
      <c r="A180" s="7">
        <f t="shared" si="6"/>
        <v>38</v>
      </c>
      <c r="B180" s="8" t="s">
        <v>94</v>
      </c>
      <c r="C180" s="8" t="s">
        <v>194</v>
      </c>
      <c r="D180" s="8">
        <v>3</v>
      </c>
      <c r="E180" s="50" t="s">
        <v>219</v>
      </c>
      <c r="F180" s="8"/>
      <c r="G180" s="8" t="s">
        <v>238</v>
      </c>
      <c r="H180" s="8">
        <v>0</v>
      </c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9"/>
    </row>
    <row r="181" spans="1:34" ht="15" thickBot="1" x14ac:dyDescent="0.4">
      <c r="A181" s="48">
        <f t="shared" si="6"/>
        <v>38</v>
      </c>
      <c r="B181" s="49" t="str">
        <f>B180</f>
        <v>T5LEGAGREXP</v>
      </c>
      <c r="C181" s="49" t="str">
        <f>C180</f>
        <v>Demand Legumes   for Agricultural Exports</v>
      </c>
      <c r="D181" s="30">
        <v>4</v>
      </c>
      <c r="E181" s="50" t="s">
        <v>218</v>
      </c>
      <c r="F181" s="30"/>
      <c r="G181" s="30" t="s">
        <v>250</v>
      </c>
      <c r="H181" s="30">
        <v>0</v>
      </c>
      <c r="I181" s="30">
        <v>1</v>
      </c>
      <c r="J181" s="30">
        <v>1</v>
      </c>
      <c r="K181" s="30">
        <v>1</v>
      </c>
      <c r="L181" s="30">
        <v>1</v>
      </c>
      <c r="M181" s="30">
        <v>1</v>
      </c>
      <c r="N181" s="30">
        <v>1</v>
      </c>
      <c r="O181" s="30">
        <v>1</v>
      </c>
      <c r="P181" s="30">
        <v>1</v>
      </c>
      <c r="Q181" s="30">
        <v>1</v>
      </c>
      <c r="R181" s="30">
        <v>1</v>
      </c>
      <c r="S181" s="30">
        <v>1</v>
      </c>
      <c r="T181" s="30">
        <v>1</v>
      </c>
      <c r="U181" s="30">
        <v>1</v>
      </c>
      <c r="V181" s="30">
        <v>1</v>
      </c>
      <c r="W181" s="30">
        <v>1</v>
      </c>
      <c r="X181" s="30">
        <v>1</v>
      </c>
      <c r="Y181" s="30">
        <v>1</v>
      </c>
      <c r="Z181" s="30">
        <v>1</v>
      </c>
      <c r="AA181" s="30">
        <v>1</v>
      </c>
      <c r="AB181" s="30">
        <v>1</v>
      </c>
      <c r="AC181" s="30">
        <v>1</v>
      </c>
      <c r="AD181" s="30">
        <v>1</v>
      </c>
      <c r="AE181" s="30">
        <v>1</v>
      </c>
      <c r="AF181" s="30">
        <v>1</v>
      </c>
      <c r="AG181" s="30">
        <v>1</v>
      </c>
      <c r="AH181" s="31">
        <v>1</v>
      </c>
    </row>
    <row r="182" spans="1:34" x14ac:dyDescent="0.35">
      <c r="A182" s="2">
        <f t="shared" si="6"/>
        <v>39</v>
      </c>
      <c r="B182" s="3" t="s">
        <v>95</v>
      </c>
      <c r="C182" s="3" t="s">
        <v>195</v>
      </c>
      <c r="D182" s="3">
        <v>1</v>
      </c>
      <c r="E182" s="51" t="s">
        <v>216</v>
      </c>
      <c r="F182" s="3"/>
      <c r="G182" s="3" t="s">
        <v>238</v>
      </c>
      <c r="H182" s="3">
        <v>0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4"/>
    </row>
    <row r="183" spans="1:34" x14ac:dyDescent="0.35">
      <c r="A183" s="5">
        <f t="shared" si="6"/>
        <v>39</v>
      </c>
      <c r="B183" s="1" t="s">
        <v>95</v>
      </c>
      <c r="C183" s="1" t="s">
        <v>195</v>
      </c>
      <c r="D183" s="1">
        <v>2</v>
      </c>
      <c r="E183" s="51" t="s">
        <v>217</v>
      </c>
      <c r="F183" s="1"/>
      <c r="G183" s="1" t="s">
        <v>238</v>
      </c>
      <c r="H183" s="1">
        <v>0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6"/>
    </row>
    <row r="184" spans="1:34" ht="15" thickBot="1" x14ac:dyDescent="0.4">
      <c r="A184" s="7">
        <f t="shared" si="6"/>
        <v>39</v>
      </c>
      <c r="B184" s="8" t="s">
        <v>95</v>
      </c>
      <c r="C184" s="8" t="s">
        <v>195</v>
      </c>
      <c r="D184" s="8">
        <v>3</v>
      </c>
      <c r="E184" s="51" t="s">
        <v>219</v>
      </c>
      <c r="F184" s="8"/>
      <c r="G184" s="8" t="s">
        <v>238</v>
      </c>
      <c r="H184" s="8">
        <v>0</v>
      </c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9"/>
    </row>
    <row r="185" spans="1:34" ht="15" thickBot="1" x14ac:dyDescent="0.4">
      <c r="A185" s="48">
        <f t="shared" si="6"/>
        <v>39</v>
      </c>
      <c r="B185" s="49" t="str">
        <f>B184</f>
        <v>T5CERAGREXP</v>
      </c>
      <c r="C185" s="49" t="str">
        <f>C184</f>
        <v>Demand Cereals for Agricultural Exports</v>
      </c>
      <c r="D185" s="30">
        <v>4</v>
      </c>
      <c r="E185" s="51" t="s">
        <v>218</v>
      </c>
      <c r="F185" s="30"/>
      <c r="G185" s="30" t="s">
        <v>250</v>
      </c>
      <c r="H185" s="30">
        <v>0</v>
      </c>
      <c r="I185" s="30">
        <v>1</v>
      </c>
      <c r="J185" s="30">
        <v>1</v>
      </c>
      <c r="K185" s="30">
        <v>1</v>
      </c>
      <c r="L185" s="30">
        <v>1</v>
      </c>
      <c r="M185" s="30">
        <v>1</v>
      </c>
      <c r="N185" s="30">
        <v>1</v>
      </c>
      <c r="O185" s="30">
        <v>1</v>
      </c>
      <c r="P185" s="30">
        <v>1</v>
      </c>
      <c r="Q185" s="30">
        <v>1</v>
      </c>
      <c r="R185" s="30">
        <v>1</v>
      </c>
      <c r="S185" s="30">
        <v>1</v>
      </c>
      <c r="T185" s="30">
        <v>1</v>
      </c>
      <c r="U185" s="30">
        <v>1</v>
      </c>
      <c r="V185" s="30">
        <v>1</v>
      </c>
      <c r="W185" s="30">
        <v>1</v>
      </c>
      <c r="X185" s="30">
        <v>1</v>
      </c>
      <c r="Y185" s="30">
        <v>1</v>
      </c>
      <c r="Z185" s="30">
        <v>1</v>
      </c>
      <c r="AA185" s="30">
        <v>1</v>
      </c>
      <c r="AB185" s="30">
        <v>1</v>
      </c>
      <c r="AC185" s="30">
        <v>1</v>
      </c>
      <c r="AD185" s="30">
        <v>1</v>
      </c>
      <c r="AE185" s="30">
        <v>1</v>
      </c>
      <c r="AF185" s="30">
        <v>1</v>
      </c>
      <c r="AG185" s="30">
        <v>1</v>
      </c>
      <c r="AH185" s="31">
        <v>1</v>
      </c>
    </row>
    <row r="186" spans="1:34" x14ac:dyDescent="0.35">
      <c r="A186" s="2">
        <f t="shared" si="6"/>
        <v>40</v>
      </c>
      <c r="B186" s="3" t="s">
        <v>96</v>
      </c>
      <c r="C186" s="3" t="s">
        <v>196</v>
      </c>
      <c r="D186" s="3">
        <v>1</v>
      </c>
      <c r="E186" s="50" t="s">
        <v>216</v>
      </c>
      <c r="F186" s="3"/>
      <c r="G186" s="3" t="s">
        <v>238</v>
      </c>
      <c r="H186" s="3">
        <v>0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4"/>
    </row>
    <row r="187" spans="1:34" x14ac:dyDescent="0.35">
      <c r="A187" s="5">
        <f t="shared" si="6"/>
        <v>40</v>
      </c>
      <c r="B187" s="1" t="s">
        <v>96</v>
      </c>
      <c r="C187" s="1" t="s">
        <v>196</v>
      </c>
      <c r="D187" s="1">
        <v>2</v>
      </c>
      <c r="E187" s="50" t="s">
        <v>217</v>
      </c>
      <c r="F187" s="1"/>
      <c r="G187" s="1" t="s">
        <v>238</v>
      </c>
      <c r="H187" s="1">
        <v>0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6"/>
    </row>
    <row r="188" spans="1:34" ht="15" thickBot="1" x14ac:dyDescent="0.4">
      <c r="A188" s="7">
        <f t="shared" si="6"/>
        <v>40</v>
      </c>
      <c r="B188" s="8" t="s">
        <v>96</v>
      </c>
      <c r="C188" s="8" t="s">
        <v>196</v>
      </c>
      <c r="D188" s="8">
        <v>3</v>
      </c>
      <c r="E188" s="50" t="s">
        <v>219</v>
      </c>
      <c r="F188" s="8"/>
      <c r="G188" s="8" t="s">
        <v>238</v>
      </c>
      <c r="H188" s="8">
        <v>0</v>
      </c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9"/>
    </row>
    <row r="189" spans="1:34" ht="15" thickBot="1" x14ac:dyDescent="0.4">
      <c r="A189" s="48">
        <f t="shared" si="6"/>
        <v>40</v>
      </c>
      <c r="B189" s="49" t="str">
        <f>B188</f>
        <v>T5TUBAGREXP</v>
      </c>
      <c r="C189" s="49" t="str">
        <f>C188</f>
        <v>Demand Tubers   for Agricultural Exports</v>
      </c>
      <c r="D189" s="30">
        <v>4</v>
      </c>
      <c r="E189" s="50" t="s">
        <v>218</v>
      </c>
      <c r="F189" s="30"/>
      <c r="G189" s="30" t="s">
        <v>250</v>
      </c>
      <c r="H189" s="30">
        <v>0</v>
      </c>
      <c r="I189" s="30">
        <v>1</v>
      </c>
      <c r="J189" s="30">
        <v>1</v>
      </c>
      <c r="K189" s="30">
        <v>1</v>
      </c>
      <c r="L189" s="30">
        <v>1</v>
      </c>
      <c r="M189" s="30">
        <v>1</v>
      </c>
      <c r="N189" s="30">
        <v>1</v>
      </c>
      <c r="O189" s="30">
        <v>1</v>
      </c>
      <c r="P189" s="30">
        <v>1</v>
      </c>
      <c r="Q189" s="30">
        <v>1</v>
      </c>
      <c r="R189" s="30">
        <v>1</v>
      </c>
      <c r="S189" s="30">
        <v>1</v>
      </c>
      <c r="T189" s="30">
        <v>1</v>
      </c>
      <c r="U189" s="30">
        <v>1</v>
      </c>
      <c r="V189" s="30">
        <v>1</v>
      </c>
      <c r="W189" s="30">
        <v>1</v>
      </c>
      <c r="X189" s="30">
        <v>1</v>
      </c>
      <c r="Y189" s="30">
        <v>1</v>
      </c>
      <c r="Z189" s="30">
        <v>1</v>
      </c>
      <c r="AA189" s="30">
        <v>1</v>
      </c>
      <c r="AB189" s="30">
        <v>1</v>
      </c>
      <c r="AC189" s="30">
        <v>1</v>
      </c>
      <c r="AD189" s="30">
        <v>1</v>
      </c>
      <c r="AE189" s="30">
        <v>1</v>
      </c>
      <c r="AF189" s="30">
        <v>1</v>
      </c>
      <c r="AG189" s="30">
        <v>1</v>
      </c>
      <c r="AH189" s="31">
        <v>1</v>
      </c>
    </row>
    <row r="190" spans="1:34" x14ac:dyDescent="0.35">
      <c r="A190" s="2">
        <f t="shared" si="6"/>
        <v>41</v>
      </c>
      <c r="B190" s="3" t="s">
        <v>97</v>
      </c>
      <c r="C190" s="3" t="s">
        <v>197</v>
      </c>
      <c r="D190" s="3">
        <v>1</v>
      </c>
      <c r="E190" s="51" t="s">
        <v>216</v>
      </c>
      <c r="F190" s="3"/>
      <c r="G190" s="3" t="s">
        <v>238</v>
      </c>
      <c r="H190" s="3">
        <v>0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4"/>
    </row>
    <row r="191" spans="1:34" x14ac:dyDescent="0.35">
      <c r="A191" s="5">
        <f t="shared" si="6"/>
        <v>41</v>
      </c>
      <c r="B191" s="1" t="s">
        <v>97</v>
      </c>
      <c r="C191" s="1" t="s">
        <v>197</v>
      </c>
      <c r="D191" s="1">
        <v>2</v>
      </c>
      <c r="E191" s="51" t="s">
        <v>217</v>
      </c>
      <c r="F191" s="1"/>
      <c r="G191" s="1" t="s">
        <v>238</v>
      </c>
      <c r="H191" s="1">
        <v>0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6"/>
    </row>
    <row r="192" spans="1:34" ht="15" thickBot="1" x14ac:dyDescent="0.4">
      <c r="A192" s="7">
        <f t="shared" si="6"/>
        <v>41</v>
      </c>
      <c r="B192" s="8" t="s">
        <v>97</v>
      </c>
      <c r="C192" s="8" t="s">
        <v>197</v>
      </c>
      <c r="D192" s="8">
        <v>3</v>
      </c>
      <c r="E192" s="51" t="s">
        <v>219</v>
      </c>
      <c r="F192" s="8"/>
      <c r="G192" s="8" t="s">
        <v>238</v>
      </c>
      <c r="H192" s="8">
        <v>0</v>
      </c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9"/>
    </row>
    <row r="193" spans="1:34" ht="15" thickBot="1" x14ac:dyDescent="0.4">
      <c r="A193" s="48">
        <f t="shared" si="6"/>
        <v>41</v>
      </c>
      <c r="B193" s="49" t="str">
        <f>B192</f>
        <v>T5FRTAGREXP</v>
      </c>
      <c r="C193" s="49" t="str">
        <f>C192</f>
        <v>Demand Fruits   for Agricultural Exports</v>
      </c>
      <c r="D193" s="30">
        <v>4</v>
      </c>
      <c r="E193" s="51" t="s">
        <v>218</v>
      </c>
      <c r="F193" s="30"/>
      <c r="G193" s="30" t="s">
        <v>250</v>
      </c>
      <c r="H193" s="30">
        <v>0</v>
      </c>
      <c r="I193" s="30">
        <v>1</v>
      </c>
      <c r="J193" s="30">
        <v>1</v>
      </c>
      <c r="K193" s="30">
        <v>1</v>
      </c>
      <c r="L193" s="30">
        <v>1</v>
      </c>
      <c r="M193" s="30">
        <v>1</v>
      </c>
      <c r="N193" s="30">
        <v>1</v>
      </c>
      <c r="O193" s="30">
        <v>1</v>
      </c>
      <c r="P193" s="30">
        <v>1</v>
      </c>
      <c r="Q193" s="30">
        <v>1</v>
      </c>
      <c r="R193" s="30">
        <v>1</v>
      </c>
      <c r="S193" s="30">
        <v>1</v>
      </c>
      <c r="T193" s="30">
        <v>1</v>
      </c>
      <c r="U193" s="30">
        <v>1</v>
      </c>
      <c r="V193" s="30">
        <v>1</v>
      </c>
      <c r="W193" s="30">
        <v>1</v>
      </c>
      <c r="X193" s="30">
        <v>1</v>
      </c>
      <c r="Y193" s="30">
        <v>1</v>
      </c>
      <c r="Z193" s="30">
        <v>1</v>
      </c>
      <c r="AA193" s="30">
        <v>1</v>
      </c>
      <c r="AB193" s="30">
        <v>1</v>
      </c>
      <c r="AC193" s="30">
        <v>1</v>
      </c>
      <c r="AD193" s="30">
        <v>1</v>
      </c>
      <c r="AE193" s="30">
        <v>1</v>
      </c>
      <c r="AF193" s="30">
        <v>1</v>
      </c>
      <c r="AG193" s="30">
        <v>1</v>
      </c>
      <c r="AH193" s="31">
        <v>1</v>
      </c>
    </row>
    <row r="194" spans="1:34" x14ac:dyDescent="0.35">
      <c r="A194" s="2">
        <f t="shared" si="6"/>
        <v>42</v>
      </c>
      <c r="B194" s="3" t="s">
        <v>98</v>
      </c>
      <c r="C194" s="3" t="s">
        <v>198</v>
      </c>
      <c r="D194" s="3">
        <v>1</v>
      </c>
      <c r="E194" s="50" t="s">
        <v>216</v>
      </c>
      <c r="F194" s="3"/>
      <c r="G194" s="3" t="s">
        <v>238</v>
      </c>
      <c r="H194" s="3">
        <v>0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4"/>
    </row>
    <row r="195" spans="1:34" x14ac:dyDescent="0.35">
      <c r="A195" s="5">
        <f t="shared" si="6"/>
        <v>42</v>
      </c>
      <c r="B195" s="1" t="s">
        <v>98</v>
      </c>
      <c r="C195" s="1" t="s">
        <v>198</v>
      </c>
      <c r="D195" s="1">
        <v>2</v>
      </c>
      <c r="E195" s="50" t="s">
        <v>217</v>
      </c>
      <c r="F195" s="1"/>
      <c r="G195" s="1" t="s">
        <v>238</v>
      </c>
      <c r="H195" s="1">
        <v>0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6"/>
    </row>
    <row r="196" spans="1:34" ht="15" thickBot="1" x14ac:dyDescent="0.4">
      <c r="A196" s="7">
        <f t="shared" si="6"/>
        <v>42</v>
      </c>
      <c r="B196" s="8" t="s">
        <v>98</v>
      </c>
      <c r="C196" s="8" t="s">
        <v>198</v>
      </c>
      <c r="D196" s="8">
        <v>3</v>
      </c>
      <c r="E196" s="50" t="s">
        <v>219</v>
      </c>
      <c r="F196" s="8"/>
      <c r="G196" s="8" t="s">
        <v>238</v>
      </c>
      <c r="H196" s="8">
        <v>0</v>
      </c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9"/>
    </row>
    <row r="197" spans="1:34" ht="15" thickBot="1" x14ac:dyDescent="0.4">
      <c r="A197" s="48">
        <f t="shared" si="6"/>
        <v>42</v>
      </c>
      <c r="B197" s="49" t="str">
        <f>B196</f>
        <v>T5VEGAGREXP</v>
      </c>
      <c r="C197" s="49" t="str">
        <f>C196</f>
        <v>Demand Vegetables   for Agricultural Exports</v>
      </c>
      <c r="D197" s="30">
        <v>4</v>
      </c>
      <c r="E197" s="50" t="s">
        <v>218</v>
      </c>
      <c r="F197" s="30"/>
      <c r="G197" s="30" t="s">
        <v>250</v>
      </c>
      <c r="H197" s="30">
        <v>0</v>
      </c>
      <c r="I197" s="30">
        <v>1</v>
      </c>
      <c r="J197" s="30">
        <v>1</v>
      </c>
      <c r="K197" s="30">
        <v>1</v>
      </c>
      <c r="L197" s="30">
        <v>1</v>
      </c>
      <c r="M197" s="30">
        <v>1</v>
      </c>
      <c r="N197" s="30">
        <v>1</v>
      </c>
      <c r="O197" s="30">
        <v>1</v>
      </c>
      <c r="P197" s="30">
        <v>1</v>
      </c>
      <c r="Q197" s="30">
        <v>1</v>
      </c>
      <c r="R197" s="30">
        <v>1</v>
      </c>
      <c r="S197" s="30">
        <v>1</v>
      </c>
      <c r="T197" s="30">
        <v>1</v>
      </c>
      <c r="U197" s="30">
        <v>1</v>
      </c>
      <c r="V197" s="30">
        <v>1</v>
      </c>
      <c r="W197" s="30">
        <v>1</v>
      </c>
      <c r="X197" s="30">
        <v>1</v>
      </c>
      <c r="Y197" s="30">
        <v>1</v>
      </c>
      <c r="Z197" s="30">
        <v>1</v>
      </c>
      <c r="AA197" s="30">
        <v>1</v>
      </c>
      <c r="AB197" s="30">
        <v>1</v>
      </c>
      <c r="AC197" s="30">
        <v>1</v>
      </c>
      <c r="AD197" s="30">
        <v>1</v>
      </c>
      <c r="AE197" s="30">
        <v>1</v>
      </c>
      <c r="AF197" s="30">
        <v>1</v>
      </c>
      <c r="AG197" s="30">
        <v>1</v>
      </c>
      <c r="AH197" s="31">
        <v>1</v>
      </c>
    </row>
    <row r="198" spans="1:34" x14ac:dyDescent="0.35">
      <c r="A198" s="2">
        <f t="shared" si="6"/>
        <v>43</v>
      </c>
      <c r="B198" s="3" t="s">
        <v>99</v>
      </c>
      <c r="C198" s="3" t="s">
        <v>199</v>
      </c>
      <c r="D198" s="3">
        <v>1</v>
      </c>
      <c r="E198" s="51" t="s">
        <v>216</v>
      </c>
      <c r="F198" s="3"/>
      <c r="G198" s="3" t="s">
        <v>238</v>
      </c>
      <c r="H198" s="3">
        <v>0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4"/>
    </row>
    <row r="199" spans="1:34" x14ac:dyDescent="0.35">
      <c r="A199" s="5">
        <f t="shared" si="6"/>
        <v>43</v>
      </c>
      <c r="B199" s="1" t="s">
        <v>99</v>
      </c>
      <c r="C199" s="1" t="s">
        <v>199</v>
      </c>
      <c r="D199" s="1">
        <v>2</v>
      </c>
      <c r="E199" s="51" t="s">
        <v>217</v>
      </c>
      <c r="F199" s="1"/>
      <c r="G199" s="1" t="s">
        <v>238</v>
      </c>
      <c r="H199" s="1">
        <v>0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6"/>
    </row>
    <row r="200" spans="1:34" ht="15" thickBot="1" x14ac:dyDescent="0.4">
      <c r="A200" s="7">
        <f t="shared" si="6"/>
        <v>43</v>
      </c>
      <c r="B200" s="8" t="s">
        <v>99</v>
      </c>
      <c r="C200" s="8" t="s">
        <v>199</v>
      </c>
      <c r="D200" s="8">
        <v>3</v>
      </c>
      <c r="E200" s="51" t="s">
        <v>219</v>
      </c>
      <c r="F200" s="8"/>
      <c r="G200" s="8" t="s">
        <v>238</v>
      </c>
      <c r="H200" s="8">
        <v>0</v>
      </c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9"/>
    </row>
    <row r="201" spans="1:34" ht="15" thickBot="1" x14ac:dyDescent="0.4">
      <c r="A201" s="48">
        <f t="shared" si="6"/>
        <v>43</v>
      </c>
      <c r="B201" s="49" t="str">
        <f>B200</f>
        <v>T5FLOAGREXP</v>
      </c>
      <c r="C201" s="49" t="str">
        <f>C200</f>
        <v>Demand Flowers for Agricultural Exports</v>
      </c>
      <c r="D201" s="30">
        <v>4</v>
      </c>
      <c r="E201" s="51" t="s">
        <v>218</v>
      </c>
      <c r="F201" s="30"/>
      <c r="G201" s="30" t="s">
        <v>250</v>
      </c>
      <c r="H201" s="30">
        <v>0</v>
      </c>
      <c r="I201" s="30">
        <v>1</v>
      </c>
      <c r="J201" s="30">
        <v>1</v>
      </c>
      <c r="K201" s="30">
        <v>1</v>
      </c>
      <c r="L201" s="30">
        <v>1</v>
      </c>
      <c r="M201" s="30">
        <v>1</v>
      </c>
      <c r="N201" s="30">
        <v>1</v>
      </c>
      <c r="O201" s="30">
        <v>1</v>
      </c>
      <c r="P201" s="30">
        <v>1</v>
      </c>
      <c r="Q201" s="30">
        <v>1</v>
      </c>
      <c r="R201" s="30">
        <v>1</v>
      </c>
      <c r="S201" s="30">
        <v>1</v>
      </c>
      <c r="T201" s="30">
        <v>1</v>
      </c>
      <c r="U201" s="30">
        <v>1</v>
      </c>
      <c r="V201" s="30">
        <v>1</v>
      </c>
      <c r="W201" s="30">
        <v>1</v>
      </c>
      <c r="X201" s="30">
        <v>1</v>
      </c>
      <c r="Y201" s="30">
        <v>1</v>
      </c>
      <c r="Z201" s="30">
        <v>1</v>
      </c>
      <c r="AA201" s="30">
        <v>1</v>
      </c>
      <c r="AB201" s="30">
        <v>1</v>
      </c>
      <c r="AC201" s="30">
        <v>1</v>
      </c>
      <c r="AD201" s="30">
        <v>1</v>
      </c>
      <c r="AE201" s="30">
        <v>1</v>
      </c>
      <c r="AF201" s="30">
        <v>1</v>
      </c>
      <c r="AG201" s="30">
        <v>1</v>
      </c>
      <c r="AH201" s="31">
        <v>1</v>
      </c>
    </row>
    <row r="202" spans="1:34" x14ac:dyDescent="0.35">
      <c r="A202" s="2">
        <f t="shared" si="6"/>
        <v>44</v>
      </c>
      <c r="B202" s="3" t="s">
        <v>100</v>
      </c>
      <c r="C202" s="3" t="s">
        <v>200</v>
      </c>
      <c r="D202" s="3">
        <v>1</v>
      </c>
      <c r="E202" s="50" t="s">
        <v>216</v>
      </c>
      <c r="F202" s="3"/>
      <c r="G202" s="3" t="s">
        <v>238</v>
      </c>
      <c r="H202" s="3">
        <v>0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4"/>
    </row>
    <row r="203" spans="1:34" x14ac:dyDescent="0.35">
      <c r="A203" s="5">
        <f t="shared" si="6"/>
        <v>44</v>
      </c>
      <c r="B203" s="1" t="s">
        <v>100</v>
      </c>
      <c r="C203" s="1" t="s">
        <v>200</v>
      </c>
      <c r="D203" s="1">
        <v>2</v>
      </c>
      <c r="E203" s="50" t="s">
        <v>217</v>
      </c>
      <c r="F203" s="1"/>
      <c r="G203" s="1" t="s">
        <v>238</v>
      </c>
      <c r="H203" s="1">
        <v>0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6"/>
    </row>
    <row r="204" spans="1:34" ht="15" thickBot="1" x14ac:dyDescent="0.4">
      <c r="A204" s="7">
        <f t="shared" si="6"/>
        <v>44</v>
      </c>
      <c r="B204" s="8" t="s">
        <v>100</v>
      </c>
      <c r="C204" s="8" t="s">
        <v>200</v>
      </c>
      <c r="D204" s="8">
        <v>3</v>
      </c>
      <c r="E204" s="50" t="s">
        <v>219</v>
      </c>
      <c r="F204" s="8"/>
      <c r="G204" s="8" t="s">
        <v>238</v>
      </c>
      <c r="H204" s="8">
        <v>0</v>
      </c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9"/>
    </row>
    <row r="205" spans="1:34" ht="15" thickBot="1" x14ac:dyDescent="0.4">
      <c r="A205" s="48">
        <f t="shared" si="6"/>
        <v>44</v>
      </c>
      <c r="B205" s="49" t="str">
        <f>B204</f>
        <v>T5BOVGANEXP</v>
      </c>
      <c r="C205" s="49" t="str">
        <f>C204</f>
        <v>Demand Bovinos for Livestock Exports</v>
      </c>
      <c r="D205" s="30">
        <v>4</v>
      </c>
      <c r="E205" s="50" t="s">
        <v>218</v>
      </c>
      <c r="F205" s="30"/>
      <c r="G205" s="30" t="s">
        <v>250</v>
      </c>
      <c r="H205" s="30">
        <v>0</v>
      </c>
      <c r="I205" s="30">
        <v>1</v>
      </c>
      <c r="J205" s="30">
        <v>1</v>
      </c>
      <c r="K205" s="30">
        <v>1</v>
      </c>
      <c r="L205" s="30">
        <v>1</v>
      </c>
      <c r="M205" s="30">
        <v>1</v>
      </c>
      <c r="N205" s="30">
        <v>1</v>
      </c>
      <c r="O205" s="30">
        <v>1</v>
      </c>
      <c r="P205" s="30">
        <v>1</v>
      </c>
      <c r="Q205" s="30">
        <v>1</v>
      </c>
      <c r="R205" s="30">
        <v>1</v>
      </c>
      <c r="S205" s="30">
        <v>1</v>
      </c>
      <c r="T205" s="30">
        <v>1</v>
      </c>
      <c r="U205" s="30">
        <v>1</v>
      </c>
      <c r="V205" s="30">
        <v>1</v>
      </c>
      <c r="W205" s="30">
        <v>1</v>
      </c>
      <c r="X205" s="30">
        <v>1</v>
      </c>
      <c r="Y205" s="30">
        <v>1</v>
      </c>
      <c r="Z205" s="30">
        <v>1</v>
      </c>
      <c r="AA205" s="30">
        <v>1</v>
      </c>
      <c r="AB205" s="30">
        <v>1</v>
      </c>
      <c r="AC205" s="30">
        <v>1</v>
      </c>
      <c r="AD205" s="30">
        <v>1</v>
      </c>
      <c r="AE205" s="30">
        <v>1</v>
      </c>
      <c r="AF205" s="30">
        <v>1</v>
      </c>
      <c r="AG205" s="30">
        <v>1</v>
      </c>
      <c r="AH205" s="31">
        <v>1</v>
      </c>
    </row>
    <row r="206" spans="1:34" x14ac:dyDescent="0.35">
      <c r="A206" s="2">
        <f t="shared" si="6"/>
        <v>45</v>
      </c>
      <c r="B206" s="52" t="s">
        <v>265</v>
      </c>
      <c r="C206" s="52" t="s">
        <v>266</v>
      </c>
      <c r="D206" s="3">
        <v>1</v>
      </c>
      <c r="E206" s="51" t="s">
        <v>216</v>
      </c>
      <c r="F206" s="3"/>
      <c r="G206" s="3" t="s">
        <v>238</v>
      </c>
      <c r="H206" s="3">
        <v>0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4"/>
    </row>
    <row r="207" spans="1:34" x14ac:dyDescent="0.35">
      <c r="A207" s="5">
        <f t="shared" si="6"/>
        <v>45</v>
      </c>
      <c r="B207" s="52" t="s">
        <v>265</v>
      </c>
      <c r="C207" s="52" t="s">
        <v>266</v>
      </c>
      <c r="D207" s="1">
        <v>2</v>
      </c>
      <c r="E207" s="51" t="s">
        <v>217</v>
      </c>
      <c r="F207" s="1"/>
      <c r="G207" s="1" t="s">
        <v>238</v>
      </c>
      <c r="H207" s="1">
        <v>0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6"/>
    </row>
    <row r="208" spans="1:34" ht="15" thickBot="1" x14ac:dyDescent="0.4">
      <c r="A208" s="7">
        <f t="shared" si="6"/>
        <v>45</v>
      </c>
      <c r="B208" s="52" t="s">
        <v>265</v>
      </c>
      <c r="C208" s="52" t="s">
        <v>266</v>
      </c>
      <c r="D208" s="8">
        <v>3</v>
      </c>
      <c r="E208" s="51" t="s">
        <v>219</v>
      </c>
      <c r="F208" s="8"/>
      <c r="G208" s="8" t="s">
        <v>238</v>
      </c>
      <c r="H208" s="8">
        <v>0</v>
      </c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9"/>
    </row>
    <row r="209" spans="1:34" ht="15" thickBot="1" x14ac:dyDescent="0.4">
      <c r="A209" s="48">
        <f t="shared" si="6"/>
        <v>45</v>
      </c>
      <c r="B209" s="52" t="s">
        <v>265</v>
      </c>
      <c r="C209" s="52" t="s">
        <v>266</v>
      </c>
      <c r="D209" s="30">
        <v>4</v>
      </c>
      <c r="E209" s="51" t="s">
        <v>218</v>
      </c>
      <c r="F209" s="30"/>
      <c r="G209" s="30" t="s">
        <v>250</v>
      </c>
      <c r="H209" s="30">
        <v>0</v>
      </c>
      <c r="I209" s="30">
        <v>1</v>
      </c>
      <c r="J209" s="30">
        <v>1</v>
      </c>
      <c r="K209" s="30">
        <v>1</v>
      </c>
      <c r="L209" s="30">
        <v>1</v>
      </c>
      <c r="M209" s="30">
        <v>1</v>
      </c>
      <c r="N209" s="30">
        <v>1</v>
      </c>
      <c r="O209" s="30">
        <v>1</v>
      </c>
      <c r="P209" s="30">
        <v>1</v>
      </c>
      <c r="Q209" s="30">
        <v>1</v>
      </c>
      <c r="R209" s="30">
        <v>1</v>
      </c>
      <c r="S209" s="30">
        <v>1</v>
      </c>
      <c r="T209" s="30">
        <v>1</v>
      </c>
      <c r="U209" s="30">
        <v>1</v>
      </c>
      <c r="V209" s="30">
        <v>1</v>
      </c>
      <c r="W209" s="30">
        <v>1</v>
      </c>
      <c r="X209" s="30">
        <v>1</v>
      </c>
      <c r="Y209" s="30">
        <v>1</v>
      </c>
      <c r="Z209" s="30">
        <v>1</v>
      </c>
      <c r="AA209" s="30">
        <v>1</v>
      </c>
      <c r="AB209" s="30">
        <v>1</v>
      </c>
      <c r="AC209" s="30">
        <v>1</v>
      </c>
      <c r="AD209" s="30">
        <v>1</v>
      </c>
      <c r="AE209" s="30">
        <v>1</v>
      </c>
      <c r="AF209" s="30">
        <v>1</v>
      </c>
      <c r="AG209" s="30">
        <v>1</v>
      </c>
      <c r="AH209" s="31">
        <v>1</v>
      </c>
    </row>
    <row r="210" spans="1:34" x14ac:dyDescent="0.35">
      <c r="A210" s="2">
        <f t="shared" si="6"/>
        <v>46</v>
      </c>
      <c r="B210" s="3" t="s">
        <v>101</v>
      </c>
      <c r="C210" s="3" t="s">
        <v>201</v>
      </c>
      <c r="D210" s="3">
        <v>1</v>
      </c>
      <c r="E210" s="51" t="s">
        <v>216</v>
      </c>
      <c r="F210" s="3"/>
      <c r="G210" s="3" t="s">
        <v>238</v>
      </c>
      <c r="H210" s="3">
        <v>0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4"/>
    </row>
    <row r="211" spans="1:34" x14ac:dyDescent="0.35">
      <c r="A211" s="5">
        <f t="shared" si="6"/>
        <v>46</v>
      </c>
      <c r="B211" s="1" t="s">
        <v>101</v>
      </c>
      <c r="C211" s="1" t="s">
        <v>201</v>
      </c>
      <c r="D211" s="1">
        <v>2</v>
      </c>
      <c r="E211" s="51" t="s">
        <v>217</v>
      </c>
      <c r="F211" s="1"/>
      <c r="G211" s="1" t="s">
        <v>238</v>
      </c>
      <c r="H211" s="1">
        <v>0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6"/>
    </row>
    <row r="212" spans="1:34" ht="15" thickBot="1" x14ac:dyDescent="0.4">
      <c r="A212" s="7">
        <f t="shared" si="6"/>
        <v>46</v>
      </c>
      <c r="B212" s="8" t="s">
        <v>101</v>
      </c>
      <c r="C212" s="8" t="s">
        <v>201</v>
      </c>
      <c r="D212" s="8">
        <v>3</v>
      </c>
      <c r="E212" s="51" t="s">
        <v>219</v>
      </c>
      <c r="F212" s="8"/>
      <c r="G212" s="8" t="s">
        <v>238</v>
      </c>
      <c r="H212" s="8">
        <v>0</v>
      </c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9"/>
    </row>
    <row r="213" spans="1:34" ht="15" thickBot="1" x14ac:dyDescent="0.4">
      <c r="A213" s="48">
        <f t="shared" si="6"/>
        <v>46</v>
      </c>
      <c r="B213" s="49" t="str">
        <f>B212</f>
        <v>T5BUFGANEXP</v>
      </c>
      <c r="C213" s="49" t="str">
        <f>C212</f>
        <v>Demand Bufalos for Livestock Exports</v>
      </c>
      <c r="D213" s="30">
        <v>4</v>
      </c>
      <c r="E213" s="51" t="s">
        <v>218</v>
      </c>
      <c r="F213" s="30"/>
      <c r="G213" s="30" t="s">
        <v>250</v>
      </c>
      <c r="H213" s="30">
        <v>0</v>
      </c>
      <c r="I213" s="30">
        <v>1</v>
      </c>
      <c r="J213" s="30">
        <v>1</v>
      </c>
      <c r="K213" s="30">
        <v>1</v>
      </c>
      <c r="L213" s="30">
        <v>1</v>
      </c>
      <c r="M213" s="30">
        <v>1</v>
      </c>
      <c r="N213" s="30">
        <v>1</v>
      </c>
      <c r="O213" s="30">
        <v>1</v>
      </c>
      <c r="P213" s="30">
        <v>1</v>
      </c>
      <c r="Q213" s="30">
        <v>1</v>
      </c>
      <c r="R213" s="30">
        <v>1</v>
      </c>
      <c r="S213" s="30">
        <v>1</v>
      </c>
      <c r="T213" s="30">
        <v>1</v>
      </c>
      <c r="U213" s="30">
        <v>1</v>
      </c>
      <c r="V213" s="30">
        <v>1</v>
      </c>
      <c r="W213" s="30">
        <v>1</v>
      </c>
      <c r="X213" s="30">
        <v>1</v>
      </c>
      <c r="Y213" s="30">
        <v>1</v>
      </c>
      <c r="Z213" s="30">
        <v>1</v>
      </c>
      <c r="AA213" s="30">
        <v>1</v>
      </c>
      <c r="AB213" s="30">
        <v>1</v>
      </c>
      <c r="AC213" s="30">
        <v>1</v>
      </c>
      <c r="AD213" s="30">
        <v>1</v>
      </c>
      <c r="AE213" s="30">
        <v>1</v>
      </c>
      <c r="AF213" s="30">
        <v>1</v>
      </c>
      <c r="AG213" s="30">
        <v>1</v>
      </c>
      <c r="AH213" s="31">
        <v>1</v>
      </c>
    </row>
    <row r="214" spans="1:34" x14ac:dyDescent="0.35">
      <c r="A214" s="2">
        <f t="shared" si="6"/>
        <v>47</v>
      </c>
      <c r="B214" s="3" t="s">
        <v>102</v>
      </c>
      <c r="C214" s="3" t="s">
        <v>202</v>
      </c>
      <c r="D214" s="3">
        <v>1</v>
      </c>
      <c r="E214" s="50" t="s">
        <v>216</v>
      </c>
      <c r="F214" s="3"/>
      <c r="G214" s="3" t="s">
        <v>238</v>
      </c>
      <c r="H214" s="3">
        <v>0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4"/>
    </row>
    <row r="215" spans="1:34" x14ac:dyDescent="0.35">
      <c r="A215" s="5">
        <f t="shared" si="6"/>
        <v>47</v>
      </c>
      <c r="B215" s="1" t="s">
        <v>102</v>
      </c>
      <c r="C215" s="1" t="s">
        <v>202</v>
      </c>
      <c r="D215" s="1">
        <v>2</v>
      </c>
      <c r="E215" s="50" t="s">
        <v>217</v>
      </c>
      <c r="F215" s="1"/>
      <c r="G215" s="1" t="s">
        <v>238</v>
      </c>
      <c r="H215" s="1">
        <v>0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6"/>
    </row>
    <row r="216" spans="1:34" ht="15" thickBot="1" x14ac:dyDescent="0.4">
      <c r="A216" s="7">
        <f t="shared" si="6"/>
        <v>47</v>
      </c>
      <c r="B216" s="8" t="s">
        <v>102</v>
      </c>
      <c r="C216" s="8" t="s">
        <v>202</v>
      </c>
      <c r="D216" s="8">
        <v>3</v>
      </c>
      <c r="E216" s="50" t="s">
        <v>219</v>
      </c>
      <c r="F216" s="8"/>
      <c r="G216" s="8" t="s">
        <v>238</v>
      </c>
      <c r="H216" s="8">
        <v>0</v>
      </c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9"/>
    </row>
    <row r="217" spans="1:34" ht="15" thickBot="1" x14ac:dyDescent="0.4">
      <c r="A217" s="48">
        <f t="shared" si="6"/>
        <v>47</v>
      </c>
      <c r="B217" s="49" t="str">
        <f>B216</f>
        <v>T5OVEGANEXP</v>
      </c>
      <c r="C217" s="49" t="str">
        <f>C216</f>
        <v>Demand Ovejas for Livestock Exports</v>
      </c>
      <c r="D217" s="30">
        <v>4</v>
      </c>
      <c r="E217" s="50" t="s">
        <v>218</v>
      </c>
      <c r="F217" s="30"/>
      <c r="G217" s="30" t="s">
        <v>250</v>
      </c>
      <c r="H217" s="30">
        <v>0</v>
      </c>
      <c r="I217" s="30">
        <v>1</v>
      </c>
      <c r="J217" s="30">
        <v>1</v>
      </c>
      <c r="K217" s="30">
        <v>1</v>
      </c>
      <c r="L217" s="30">
        <v>1</v>
      </c>
      <c r="M217" s="30">
        <v>1</v>
      </c>
      <c r="N217" s="30">
        <v>1</v>
      </c>
      <c r="O217" s="30">
        <v>1</v>
      </c>
      <c r="P217" s="30">
        <v>1</v>
      </c>
      <c r="Q217" s="30">
        <v>1</v>
      </c>
      <c r="R217" s="30">
        <v>1</v>
      </c>
      <c r="S217" s="30">
        <v>1</v>
      </c>
      <c r="T217" s="30">
        <v>1</v>
      </c>
      <c r="U217" s="30">
        <v>1</v>
      </c>
      <c r="V217" s="30">
        <v>1</v>
      </c>
      <c r="W217" s="30">
        <v>1</v>
      </c>
      <c r="X217" s="30">
        <v>1</v>
      </c>
      <c r="Y217" s="30">
        <v>1</v>
      </c>
      <c r="Z217" s="30">
        <v>1</v>
      </c>
      <c r="AA217" s="30">
        <v>1</v>
      </c>
      <c r="AB217" s="30">
        <v>1</v>
      </c>
      <c r="AC217" s="30">
        <v>1</v>
      </c>
      <c r="AD217" s="30">
        <v>1</v>
      </c>
      <c r="AE217" s="30">
        <v>1</v>
      </c>
      <c r="AF217" s="30">
        <v>1</v>
      </c>
      <c r="AG217" s="30">
        <v>1</v>
      </c>
      <c r="AH217" s="31">
        <v>1</v>
      </c>
    </row>
    <row r="218" spans="1:34" x14ac:dyDescent="0.35">
      <c r="A218" s="2">
        <f t="shared" si="6"/>
        <v>48</v>
      </c>
      <c r="B218" s="3" t="s">
        <v>103</v>
      </c>
      <c r="C218" s="3" t="s">
        <v>203</v>
      </c>
      <c r="D218" s="3">
        <v>1</v>
      </c>
      <c r="E218" s="51" t="s">
        <v>216</v>
      </c>
      <c r="F218" s="3"/>
      <c r="G218" s="3" t="s">
        <v>238</v>
      </c>
      <c r="H218" s="3">
        <v>0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4"/>
    </row>
    <row r="219" spans="1:34" x14ac:dyDescent="0.35">
      <c r="A219" s="5">
        <f t="shared" si="6"/>
        <v>48</v>
      </c>
      <c r="B219" s="1" t="s">
        <v>103</v>
      </c>
      <c r="C219" s="1" t="s">
        <v>203</v>
      </c>
      <c r="D219" s="1">
        <v>2</v>
      </c>
      <c r="E219" s="51" t="s">
        <v>217</v>
      </c>
      <c r="F219" s="1"/>
      <c r="G219" s="1" t="s">
        <v>238</v>
      </c>
      <c r="H219" s="1">
        <v>0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6"/>
    </row>
    <row r="220" spans="1:34" ht="15" thickBot="1" x14ac:dyDescent="0.4">
      <c r="A220" s="7">
        <f t="shared" si="6"/>
        <v>48</v>
      </c>
      <c r="B220" s="8" t="s">
        <v>103</v>
      </c>
      <c r="C220" s="8" t="s">
        <v>203</v>
      </c>
      <c r="D220" s="8">
        <v>3</v>
      </c>
      <c r="E220" s="51" t="s">
        <v>219</v>
      </c>
      <c r="F220" s="8"/>
      <c r="G220" s="8" t="s">
        <v>238</v>
      </c>
      <c r="H220" s="8">
        <v>0</v>
      </c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9"/>
    </row>
    <row r="221" spans="1:34" ht="15" thickBot="1" x14ac:dyDescent="0.4">
      <c r="A221" s="48">
        <f t="shared" si="6"/>
        <v>48</v>
      </c>
      <c r="B221" s="49" t="str">
        <f>B220</f>
        <v>T5CBRGANEXP</v>
      </c>
      <c r="C221" s="49" t="str">
        <f>C220</f>
        <v>Demand Cabras for Livestock Exports</v>
      </c>
      <c r="D221" s="30">
        <v>4</v>
      </c>
      <c r="E221" s="51" t="s">
        <v>218</v>
      </c>
      <c r="F221" s="30"/>
      <c r="G221" s="30" t="s">
        <v>250</v>
      </c>
      <c r="H221" s="30">
        <v>0</v>
      </c>
      <c r="I221" s="30">
        <v>1</v>
      </c>
      <c r="J221" s="30">
        <v>1</v>
      </c>
      <c r="K221" s="30">
        <v>1</v>
      </c>
      <c r="L221" s="30">
        <v>1</v>
      </c>
      <c r="M221" s="30">
        <v>1</v>
      </c>
      <c r="N221" s="30">
        <v>1</v>
      </c>
      <c r="O221" s="30">
        <v>1</v>
      </c>
      <c r="P221" s="30">
        <v>1</v>
      </c>
      <c r="Q221" s="30">
        <v>1</v>
      </c>
      <c r="R221" s="30">
        <v>1</v>
      </c>
      <c r="S221" s="30">
        <v>1</v>
      </c>
      <c r="T221" s="30">
        <v>1</v>
      </c>
      <c r="U221" s="30">
        <v>1</v>
      </c>
      <c r="V221" s="30">
        <v>1</v>
      </c>
      <c r="W221" s="30">
        <v>1</v>
      </c>
      <c r="X221" s="30">
        <v>1</v>
      </c>
      <c r="Y221" s="30">
        <v>1</v>
      </c>
      <c r="Z221" s="30">
        <v>1</v>
      </c>
      <c r="AA221" s="30">
        <v>1</v>
      </c>
      <c r="AB221" s="30">
        <v>1</v>
      </c>
      <c r="AC221" s="30">
        <v>1</v>
      </c>
      <c r="AD221" s="30">
        <v>1</v>
      </c>
      <c r="AE221" s="30">
        <v>1</v>
      </c>
      <c r="AF221" s="30">
        <v>1</v>
      </c>
      <c r="AG221" s="30">
        <v>1</v>
      </c>
      <c r="AH221" s="31">
        <v>1</v>
      </c>
    </row>
    <row r="222" spans="1:34" x14ac:dyDescent="0.35">
      <c r="A222" s="2">
        <f t="shared" si="6"/>
        <v>49</v>
      </c>
      <c r="B222" s="3" t="s">
        <v>104</v>
      </c>
      <c r="C222" s="3" t="s">
        <v>204</v>
      </c>
      <c r="D222" s="3">
        <v>1</v>
      </c>
      <c r="E222" s="50" t="s">
        <v>216</v>
      </c>
      <c r="F222" s="3"/>
      <c r="G222" s="3" t="s">
        <v>238</v>
      </c>
      <c r="H222" s="3">
        <v>0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4"/>
    </row>
    <row r="223" spans="1:34" x14ac:dyDescent="0.35">
      <c r="A223" s="5">
        <f t="shared" si="6"/>
        <v>49</v>
      </c>
      <c r="B223" s="1" t="s">
        <v>104</v>
      </c>
      <c r="C223" s="1" t="s">
        <v>204</v>
      </c>
      <c r="D223" s="1">
        <v>2</v>
      </c>
      <c r="E223" s="50" t="s">
        <v>217</v>
      </c>
      <c r="F223" s="1"/>
      <c r="G223" s="1" t="s">
        <v>238</v>
      </c>
      <c r="H223" s="1">
        <v>0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6"/>
    </row>
    <row r="224" spans="1:34" ht="15" thickBot="1" x14ac:dyDescent="0.4">
      <c r="A224" s="7">
        <f t="shared" si="6"/>
        <v>49</v>
      </c>
      <c r="B224" s="8" t="s">
        <v>104</v>
      </c>
      <c r="C224" s="8" t="s">
        <v>204</v>
      </c>
      <c r="D224" s="8">
        <v>3</v>
      </c>
      <c r="E224" s="50" t="s">
        <v>219</v>
      </c>
      <c r="F224" s="8"/>
      <c r="G224" s="8" t="s">
        <v>238</v>
      </c>
      <c r="H224" s="8">
        <v>0</v>
      </c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9"/>
    </row>
    <row r="225" spans="1:34" ht="15" thickBot="1" x14ac:dyDescent="0.4">
      <c r="A225" s="48">
        <f t="shared" si="6"/>
        <v>49</v>
      </c>
      <c r="B225" s="49" t="str">
        <f>B224</f>
        <v>T5CAMGANEXP</v>
      </c>
      <c r="C225" s="49" t="str">
        <f>C224</f>
        <v>Demand Camelidos_sud for Livestock Exports</v>
      </c>
      <c r="D225" s="30">
        <v>4</v>
      </c>
      <c r="E225" s="50" t="s">
        <v>218</v>
      </c>
      <c r="F225" s="30"/>
      <c r="G225" s="30" t="s">
        <v>250</v>
      </c>
      <c r="H225" s="30">
        <v>0</v>
      </c>
      <c r="I225" s="30">
        <v>1</v>
      </c>
      <c r="J225" s="30">
        <v>1</v>
      </c>
      <c r="K225" s="30">
        <v>1</v>
      </c>
      <c r="L225" s="30">
        <v>1</v>
      </c>
      <c r="M225" s="30">
        <v>1</v>
      </c>
      <c r="N225" s="30">
        <v>1</v>
      </c>
      <c r="O225" s="30">
        <v>1</v>
      </c>
      <c r="P225" s="30">
        <v>1</v>
      </c>
      <c r="Q225" s="30">
        <v>1</v>
      </c>
      <c r="R225" s="30">
        <v>1</v>
      </c>
      <c r="S225" s="30">
        <v>1</v>
      </c>
      <c r="T225" s="30">
        <v>1</v>
      </c>
      <c r="U225" s="30">
        <v>1</v>
      </c>
      <c r="V225" s="30">
        <v>1</v>
      </c>
      <c r="W225" s="30">
        <v>1</v>
      </c>
      <c r="X225" s="30">
        <v>1</v>
      </c>
      <c r="Y225" s="30">
        <v>1</v>
      </c>
      <c r="Z225" s="30">
        <v>1</v>
      </c>
      <c r="AA225" s="30">
        <v>1</v>
      </c>
      <c r="AB225" s="30">
        <v>1</v>
      </c>
      <c r="AC225" s="30">
        <v>1</v>
      </c>
      <c r="AD225" s="30">
        <v>1</v>
      </c>
      <c r="AE225" s="30">
        <v>1</v>
      </c>
      <c r="AF225" s="30">
        <v>1</v>
      </c>
      <c r="AG225" s="30">
        <v>1</v>
      </c>
      <c r="AH225" s="31">
        <v>1</v>
      </c>
    </row>
    <row r="226" spans="1:34" x14ac:dyDescent="0.35">
      <c r="A226" s="2">
        <f t="shared" si="6"/>
        <v>50</v>
      </c>
      <c r="B226" s="3" t="s">
        <v>105</v>
      </c>
      <c r="C226" s="3" t="s">
        <v>205</v>
      </c>
      <c r="D226" s="3">
        <v>1</v>
      </c>
      <c r="E226" s="51" t="s">
        <v>216</v>
      </c>
      <c r="F226" s="3"/>
      <c r="G226" s="3" t="s">
        <v>238</v>
      </c>
      <c r="H226" s="3">
        <v>0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4"/>
    </row>
    <row r="227" spans="1:34" x14ac:dyDescent="0.35">
      <c r="A227" s="5">
        <f t="shared" si="6"/>
        <v>50</v>
      </c>
      <c r="B227" s="1" t="s">
        <v>105</v>
      </c>
      <c r="C227" s="1" t="s">
        <v>205</v>
      </c>
      <c r="D227" s="1">
        <v>2</v>
      </c>
      <c r="E227" s="51" t="s">
        <v>217</v>
      </c>
      <c r="F227" s="1"/>
      <c r="G227" s="1" t="s">
        <v>238</v>
      </c>
      <c r="H227" s="1">
        <v>0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6"/>
    </row>
    <row r="228" spans="1:34" ht="15" thickBot="1" x14ac:dyDescent="0.4">
      <c r="A228" s="7">
        <f t="shared" si="6"/>
        <v>50</v>
      </c>
      <c r="B228" s="8" t="s">
        <v>105</v>
      </c>
      <c r="C228" s="8" t="s">
        <v>205</v>
      </c>
      <c r="D228" s="8">
        <v>3</v>
      </c>
      <c r="E228" s="51" t="s">
        <v>219</v>
      </c>
      <c r="F228" s="8"/>
      <c r="G228" s="8" t="s">
        <v>238</v>
      </c>
      <c r="H228" s="8">
        <v>0</v>
      </c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9"/>
    </row>
    <row r="229" spans="1:34" ht="15" thickBot="1" x14ac:dyDescent="0.4">
      <c r="A229" s="48">
        <f t="shared" si="6"/>
        <v>50</v>
      </c>
      <c r="B229" s="49" t="str">
        <f>B228</f>
        <v>T5CABGANEXP</v>
      </c>
      <c r="C229" s="49" t="str">
        <f>C228</f>
        <v>Demand Caballos for Livestock Exports</v>
      </c>
      <c r="D229" s="30">
        <v>4</v>
      </c>
      <c r="E229" s="51" t="s">
        <v>218</v>
      </c>
      <c r="F229" s="30"/>
      <c r="G229" s="30" t="s">
        <v>250</v>
      </c>
      <c r="H229" s="30">
        <v>0</v>
      </c>
      <c r="I229" s="30">
        <v>1</v>
      </c>
      <c r="J229" s="30">
        <v>1</v>
      </c>
      <c r="K229" s="30">
        <v>1</v>
      </c>
      <c r="L229" s="30">
        <v>1</v>
      </c>
      <c r="M229" s="30">
        <v>1</v>
      </c>
      <c r="N229" s="30">
        <v>1</v>
      </c>
      <c r="O229" s="30">
        <v>1</v>
      </c>
      <c r="P229" s="30">
        <v>1</v>
      </c>
      <c r="Q229" s="30">
        <v>1</v>
      </c>
      <c r="R229" s="30">
        <v>1</v>
      </c>
      <c r="S229" s="30">
        <v>1</v>
      </c>
      <c r="T229" s="30">
        <v>1</v>
      </c>
      <c r="U229" s="30">
        <v>1</v>
      </c>
      <c r="V229" s="30">
        <v>1</v>
      </c>
      <c r="W229" s="30">
        <v>1</v>
      </c>
      <c r="X229" s="30">
        <v>1</v>
      </c>
      <c r="Y229" s="30">
        <v>1</v>
      </c>
      <c r="Z229" s="30">
        <v>1</v>
      </c>
      <c r="AA229" s="30">
        <v>1</v>
      </c>
      <c r="AB229" s="30">
        <v>1</v>
      </c>
      <c r="AC229" s="30">
        <v>1</v>
      </c>
      <c r="AD229" s="30">
        <v>1</v>
      </c>
      <c r="AE229" s="30">
        <v>1</v>
      </c>
      <c r="AF229" s="30">
        <v>1</v>
      </c>
      <c r="AG229" s="30">
        <v>1</v>
      </c>
      <c r="AH229" s="31">
        <v>1</v>
      </c>
    </row>
    <row r="230" spans="1:34" x14ac:dyDescent="0.35">
      <c r="A230" s="2">
        <f t="shared" si="6"/>
        <v>51</v>
      </c>
      <c r="B230" s="3" t="s">
        <v>106</v>
      </c>
      <c r="C230" s="3" t="s">
        <v>206</v>
      </c>
      <c r="D230" s="3">
        <v>1</v>
      </c>
      <c r="E230" s="50" t="s">
        <v>216</v>
      </c>
      <c r="F230" s="3"/>
      <c r="G230" s="3" t="s">
        <v>238</v>
      </c>
      <c r="H230" s="3">
        <v>0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4"/>
    </row>
    <row r="231" spans="1:34" x14ac:dyDescent="0.35">
      <c r="A231" s="5">
        <f t="shared" si="6"/>
        <v>51</v>
      </c>
      <c r="B231" s="1" t="s">
        <v>106</v>
      </c>
      <c r="C231" s="1" t="s">
        <v>206</v>
      </c>
      <c r="D231" s="1">
        <v>2</v>
      </c>
      <c r="E231" s="50" t="s">
        <v>217</v>
      </c>
      <c r="F231" s="1"/>
      <c r="G231" s="1" t="s">
        <v>238</v>
      </c>
      <c r="H231" s="1">
        <v>0</v>
      </c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6"/>
    </row>
    <row r="232" spans="1:34" ht="15" thickBot="1" x14ac:dyDescent="0.4">
      <c r="A232" s="7">
        <f t="shared" si="6"/>
        <v>51</v>
      </c>
      <c r="B232" s="8" t="s">
        <v>106</v>
      </c>
      <c r="C232" s="8" t="s">
        <v>206</v>
      </c>
      <c r="D232" s="8">
        <v>3</v>
      </c>
      <c r="E232" s="50" t="s">
        <v>219</v>
      </c>
      <c r="F232" s="8"/>
      <c r="G232" s="8" t="s">
        <v>238</v>
      </c>
      <c r="H232" s="8">
        <v>0</v>
      </c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9"/>
    </row>
    <row r="233" spans="1:34" ht="15" thickBot="1" x14ac:dyDescent="0.4">
      <c r="A233" s="48">
        <f t="shared" si="6"/>
        <v>51</v>
      </c>
      <c r="B233" s="49" t="str">
        <f>B232</f>
        <v>T5MULGANEXP</v>
      </c>
      <c r="C233" s="49" t="str">
        <f>C232</f>
        <v>Demand Mulas for Livestock Exports</v>
      </c>
      <c r="D233" s="30">
        <v>4</v>
      </c>
      <c r="E233" s="50" t="s">
        <v>218</v>
      </c>
      <c r="F233" s="30"/>
      <c r="G233" s="30" t="s">
        <v>250</v>
      </c>
      <c r="H233" s="30">
        <v>0</v>
      </c>
      <c r="I233" s="30">
        <v>1</v>
      </c>
      <c r="J233" s="30">
        <v>1</v>
      </c>
      <c r="K233" s="30">
        <v>1</v>
      </c>
      <c r="L233" s="30">
        <v>1</v>
      </c>
      <c r="M233" s="30">
        <v>1</v>
      </c>
      <c r="N233" s="30">
        <v>1</v>
      </c>
      <c r="O233" s="30">
        <v>1</v>
      </c>
      <c r="P233" s="30">
        <v>1</v>
      </c>
      <c r="Q233" s="30">
        <v>1</v>
      </c>
      <c r="R233" s="30">
        <v>1</v>
      </c>
      <c r="S233" s="30">
        <v>1</v>
      </c>
      <c r="T233" s="30">
        <v>1</v>
      </c>
      <c r="U233" s="30">
        <v>1</v>
      </c>
      <c r="V233" s="30">
        <v>1</v>
      </c>
      <c r="W233" s="30">
        <v>1</v>
      </c>
      <c r="X233" s="30">
        <v>1</v>
      </c>
      <c r="Y233" s="30">
        <v>1</v>
      </c>
      <c r="Z233" s="30">
        <v>1</v>
      </c>
      <c r="AA233" s="30">
        <v>1</v>
      </c>
      <c r="AB233" s="30">
        <v>1</v>
      </c>
      <c r="AC233" s="30">
        <v>1</v>
      </c>
      <c r="AD233" s="30">
        <v>1</v>
      </c>
      <c r="AE233" s="30">
        <v>1</v>
      </c>
      <c r="AF233" s="30">
        <v>1</v>
      </c>
      <c r="AG233" s="30">
        <v>1</v>
      </c>
      <c r="AH233" s="31">
        <v>1</v>
      </c>
    </row>
    <row r="234" spans="1:34" x14ac:dyDescent="0.35">
      <c r="A234" s="2">
        <f t="shared" ref="A234:A241" si="7">+A230+1</f>
        <v>52</v>
      </c>
      <c r="B234" s="3" t="s">
        <v>107</v>
      </c>
      <c r="C234" s="3" t="s">
        <v>207</v>
      </c>
      <c r="D234" s="3">
        <v>1</v>
      </c>
      <c r="E234" s="51" t="s">
        <v>216</v>
      </c>
      <c r="F234" s="3"/>
      <c r="G234" s="3" t="s">
        <v>238</v>
      </c>
      <c r="H234" s="3">
        <v>0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4"/>
    </row>
    <row r="235" spans="1:34" x14ac:dyDescent="0.35">
      <c r="A235" s="5">
        <f t="shared" si="7"/>
        <v>52</v>
      </c>
      <c r="B235" s="1" t="s">
        <v>107</v>
      </c>
      <c r="C235" s="1" t="s">
        <v>207</v>
      </c>
      <c r="D235" s="1">
        <v>2</v>
      </c>
      <c r="E235" s="51" t="s">
        <v>217</v>
      </c>
      <c r="F235" s="1"/>
      <c r="G235" s="1" t="s">
        <v>238</v>
      </c>
      <c r="H235" s="1">
        <v>0</v>
      </c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6"/>
    </row>
    <row r="236" spans="1:34" ht="15" thickBot="1" x14ac:dyDescent="0.4">
      <c r="A236" s="7">
        <f t="shared" si="7"/>
        <v>52</v>
      </c>
      <c r="B236" s="8" t="s">
        <v>107</v>
      </c>
      <c r="C236" s="8" t="s">
        <v>207</v>
      </c>
      <c r="D236" s="8">
        <v>3</v>
      </c>
      <c r="E236" s="51" t="s">
        <v>219</v>
      </c>
      <c r="F236" s="8"/>
      <c r="G236" s="8" t="s">
        <v>238</v>
      </c>
      <c r="H236" s="8">
        <v>0</v>
      </c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9"/>
    </row>
    <row r="237" spans="1:34" ht="15" thickBot="1" x14ac:dyDescent="0.4">
      <c r="A237" s="48">
        <f t="shared" si="7"/>
        <v>52</v>
      </c>
      <c r="B237" s="49" t="str">
        <f>B236</f>
        <v>T5CERGANEXP</v>
      </c>
      <c r="C237" s="49" t="str">
        <f>C236</f>
        <v>Demand Cerdos for Livestock Exports</v>
      </c>
      <c r="D237" s="30">
        <v>4</v>
      </c>
      <c r="E237" s="51" t="s">
        <v>218</v>
      </c>
      <c r="F237" s="30"/>
      <c r="G237" s="30" t="s">
        <v>250</v>
      </c>
      <c r="H237" s="30">
        <v>0</v>
      </c>
      <c r="I237" s="30">
        <v>1</v>
      </c>
      <c r="J237" s="30">
        <v>1</v>
      </c>
      <c r="K237" s="30">
        <v>1</v>
      </c>
      <c r="L237" s="30">
        <v>1</v>
      </c>
      <c r="M237" s="30">
        <v>1</v>
      </c>
      <c r="N237" s="30">
        <v>1</v>
      </c>
      <c r="O237" s="30">
        <v>1</v>
      </c>
      <c r="P237" s="30">
        <v>1</v>
      </c>
      <c r="Q237" s="30">
        <v>1</v>
      </c>
      <c r="R237" s="30">
        <v>1</v>
      </c>
      <c r="S237" s="30">
        <v>1</v>
      </c>
      <c r="T237" s="30">
        <v>1</v>
      </c>
      <c r="U237" s="30">
        <v>1</v>
      </c>
      <c r="V237" s="30">
        <v>1</v>
      </c>
      <c r="W237" s="30">
        <v>1</v>
      </c>
      <c r="X237" s="30">
        <v>1</v>
      </c>
      <c r="Y237" s="30">
        <v>1</v>
      </c>
      <c r="Z237" s="30">
        <v>1</v>
      </c>
      <c r="AA237" s="30">
        <v>1</v>
      </c>
      <c r="AB237" s="30">
        <v>1</v>
      </c>
      <c r="AC237" s="30">
        <v>1</v>
      </c>
      <c r="AD237" s="30">
        <v>1</v>
      </c>
      <c r="AE237" s="30">
        <v>1</v>
      </c>
      <c r="AF237" s="30">
        <v>1</v>
      </c>
      <c r="AG237" s="30">
        <v>1</v>
      </c>
      <c r="AH237" s="31">
        <v>1</v>
      </c>
    </row>
    <row r="238" spans="1:34" x14ac:dyDescent="0.35">
      <c r="A238" s="2">
        <f t="shared" si="7"/>
        <v>53</v>
      </c>
      <c r="B238" s="3" t="s">
        <v>108</v>
      </c>
      <c r="C238" s="3" t="s">
        <v>208</v>
      </c>
      <c r="D238" s="3">
        <v>1</v>
      </c>
      <c r="E238" s="50" t="s">
        <v>216</v>
      </c>
      <c r="F238" s="3"/>
      <c r="G238" s="3" t="s">
        <v>238</v>
      </c>
      <c r="H238" s="3">
        <v>0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4"/>
    </row>
    <row r="239" spans="1:34" x14ac:dyDescent="0.35">
      <c r="A239" s="5">
        <f t="shared" si="7"/>
        <v>53</v>
      </c>
      <c r="B239" s="1" t="s">
        <v>108</v>
      </c>
      <c r="C239" s="1" t="s">
        <v>208</v>
      </c>
      <c r="D239" s="1">
        <v>2</v>
      </c>
      <c r="E239" s="50" t="s">
        <v>217</v>
      </c>
      <c r="F239" s="1"/>
      <c r="G239" s="1" t="s">
        <v>238</v>
      </c>
      <c r="H239" s="1">
        <v>0</v>
      </c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6"/>
    </row>
    <row r="240" spans="1:34" ht="15" thickBot="1" x14ac:dyDescent="0.4">
      <c r="A240" s="7">
        <f t="shared" si="7"/>
        <v>53</v>
      </c>
      <c r="B240" s="8" t="s">
        <v>108</v>
      </c>
      <c r="C240" s="8" t="s">
        <v>208</v>
      </c>
      <c r="D240" s="8">
        <v>3</v>
      </c>
      <c r="E240" s="50" t="s">
        <v>219</v>
      </c>
      <c r="F240" s="8"/>
      <c r="G240" s="8" t="s">
        <v>238</v>
      </c>
      <c r="H240" s="8">
        <v>0</v>
      </c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9"/>
    </row>
    <row r="241" spans="1:34" ht="15" thickBot="1" x14ac:dyDescent="0.4">
      <c r="A241" s="48">
        <f t="shared" si="7"/>
        <v>53</v>
      </c>
      <c r="B241" s="49" t="str">
        <f>B240</f>
        <v>T5AVEGANEXP</v>
      </c>
      <c r="C241" s="49" t="str">
        <f>C240</f>
        <v>Demand Aves for Livestock Exports</v>
      </c>
      <c r="D241" s="30">
        <v>4</v>
      </c>
      <c r="E241" s="50" t="s">
        <v>218</v>
      </c>
      <c r="F241" s="30"/>
      <c r="G241" s="30" t="s">
        <v>250</v>
      </c>
      <c r="H241" s="30">
        <v>0</v>
      </c>
      <c r="I241" s="30">
        <v>1</v>
      </c>
      <c r="J241" s="30">
        <v>1</v>
      </c>
      <c r="K241" s="30">
        <v>1</v>
      </c>
      <c r="L241" s="30">
        <v>1</v>
      </c>
      <c r="M241" s="30">
        <v>1</v>
      </c>
      <c r="N241" s="30">
        <v>1</v>
      </c>
      <c r="O241" s="30">
        <v>1</v>
      </c>
      <c r="P241" s="30">
        <v>1</v>
      </c>
      <c r="Q241" s="30">
        <v>1</v>
      </c>
      <c r="R241" s="30">
        <v>1</v>
      </c>
      <c r="S241" s="30">
        <v>1</v>
      </c>
      <c r="T241" s="30">
        <v>1</v>
      </c>
      <c r="U241" s="30">
        <v>1</v>
      </c>
      <c r="V241" s="30">
        <v>1</v>
      </c>
      <c r="W241" s="30">
        <v>1</v>
      </c>
      <c r="X241" s="30">
        <v>1</v>
      </c>
      <c r="Y241" s="30">
        <v>1</v>
      </c>
      <c r="Z241" s="30">
        <v>1</v>
      </c>
      <c r="AA241" s="30">
        <v>1</v>
      </c>
      <c r="AB241" s="30">
        <v>1</v>
      </c>
      <c r="AC241" s="30">
        <v>1</v>
      </c>
      <c r="AD241" s="30">
        <v>1</v>
      </c>
      <c r="AE241" s="30">
        <v>1</v>
      </c>
      <c r="AF241" s="30">
        <v>1</v>
      </c>
      <c r="AG241" s="30">
        <v>1</v>
      </c>
      <c r="AH241" s="3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AH4"/>
  <sheetViews>
    <sheetView workbookViewId="0"/>
  </sheetViews>
  <sheetFormatPr defaultRowHeight="14.5" x14ac:dyDescent="0.35"/>
  <cols>
    <col min="1" max="1" width="7.1796875" bestFit="1" customWidth="1"/>
    <col min="2" max="2" width="10.08984375" bestFit="1" customWidth="1"/>
    <col min="3" max="3" width="31.453125" bestFit="1" customWidth="1"/>
    <col min="4" max="4" width="12.08984375" bestFit="1" customWidth="1"/>
    <col min="5" max="5" width="15.36328125" bestFit="1" customWidth="1"/>
    <col min="6" max="6" width="4.6328125" bestFit="1" customWidth="1"/>
    <col min="7" max="7" width="15.36328125" bestFit="1" customWidth="1"/>
    <col min="8" max="8" width="19.36328125" bestFit="1" customWidth="1"/>
    <col min="9" max="34" width="4.81640625" bestFit="1" customWidth="1"/>
  </cols>
  <sheetData>
    <row r="1" spans="1:34" ht="15" thickBot="1" x14ac:dyDescent="0.4">
      <c r="A1" s="10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214</v>
      </c>
      <c r="H1" s="11" t="s">
        <v>215</v>
      </c>
      <c r="I1" s="11">
        <v>2010</v>
      </c>
      <c r="J1" s="11">
        <v>2011</v>
      </c>
      <c r="K1" s="11">
        <v>2012</v>
      </c>
      <c r="L1" s="11">
        <v>2013</v>
      </c>
      <c r="M1" s="11">
        <v>2014</v>
      </c>
      <c r="N1" s="11">
        <v>2015</v>
      </c>
      <c r="O1" s="11">
        <v>2016</v>
      </c>
      <c r="P1" s="11">
        <v>2017</v>
      </c>
      <c r="Q1" s="11">
        <v>2018</v>
      </c>
      <c r="R1" s="11">
        <v>2019</v>
      </c>
      <c r="S1" s="11">
        <v>2020</v>
      </c>
      <c r="T1" s="11">
        <v>2021</v>
      </c>
      <c r="U1" s="11">
        <v>2022</v>
      </c>
      <c r="V1" s="11">
        <v>2023</v>
      </c>
      <c r="W1" s="11">
        <v>2024</v>
      </c>
      <c r="X1" s="11">
        <v>2025</v>
      </c>
      <c r="Y1" s="11">
        <v>2026</v>
      </c>
      <c r="Z1" s="11">
        <v>2027</v>
      </c>
      <c r="AA1" s="11">
        <v>2028</v>
      </c>
      <c r="AB1" s="11">
        <v>2029</v>
      </c>
      <c r="AC1" s="11">
        <v>2030</v>
      </c>
      <c r="AD1" s="11">
        <v>2031</v>
      </c>
      <c r="AE1" s="11">
        <v>2032</v>
      </c>
      <c r="AF1" s="11">
        <v>2033</v>
      </c>
      <c r="AG1" s="11">
        <v>2034</v>
      </c>
      <c r="AH1" s="12">
        <v>2035</v>
      </c>
    </row>
    <row r="2" spans="1:34" x14ac:dyDescent="0.35">
      <c r="A2" s="13">
        <v>1</v>
      </c>
      <c r="B2" s="14" t="s">
        <v>109</v>
      </c>
      <c r="C2" s="14" t="s">
        <v>209</v>
      </c>
      <c r="D2" s="14">
        <v>1</v>
      </c>
      <c r="E2" s="14" t="s">
        <v>216</v>
      </c>
      <c r="F2" s="14"/>
      <c r="G2" s="14" t="s">
        <v>238</v>
      </c>
      <c r="H2" s="14">
        <v>0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5"/>
    </row>
    <row r="3" spans="1:34" x14ac:dyDescent="0.35">
      <c r="A3" s="5">
        <v>1</v>
      </c>
      <c r="B3" s="1" t="s">
        <v>109</v>
      </c>
      <c r="C3" s="1" t="s">
        <v>209</v>
      </c>
      <c r="D3" s="1">
        <v>2</v>
      </c>
      <c r="E3" s="1" t="s">
        <v>217</v>
      </c>
      <c r="F3" s="1"/>
      <c r="G3" s="1" t="s">
        <v>238</v>
      </c>
      <c r="H3" s="1">
        <v>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6"/>
    </row>
    <row r="4" spans="1:34" ht="15" thickBot="1" x14ac:dyDescent="0.4">
      <c r="A4" s="7">
        <v>1</v>
      </c>
      <c r="B4" s="8" t="s">
        <v>109</v>
      </c>
      <c r="C4" s="8" t="s">
        <v>209</v>
      </c>
      <c r="D4" s="8">
        <v>3</v>
      </c>
      <c r="E4" s="8" t="s">
        <v>219</v>
      </c>
      <c r="F4" s="8"/>
      <c r="G4" s="8" t="s">
        <v>238</v>
      </c>
      <c r="H4" s="8">
        <v>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AI6"/>
  <sheetViews>
    <sheetView workbookViewId="0"/>
  </sheetViews>
  <sheetFormatPr defaultRowHeight="14.5" x14ac:dyDescent="0.35"/>
  <cols>
    <col min="1" max="1" width="7.1796875" bestFit="1" customWidth="1"/>
    <col min="2" max="2" width="10.6328125" bestFit="1" customWidth="1"/>
    <col min="3" max="3" width="24.6328125" bestFit="1" customWidth="1"/>
    <col min="4" max="4" width="12.08984375" bestFit="1" customWidth="1"/>
    <col min="5" max="5" width="37.6328125" bestFit="1" customWidth="1"/>
    <col min="6" max="6" width="37.6328125" customWidth="1"/>
    <col min="7" max="7" width="4.6328125" bestFit="1" customWidth="1"/>
    <col min="8" max="8" width="15.36328125" bestFit="1" customWidth="1"/>
    <col min="9" max="9" width="19.36328125" bestFit="1" customWidth="1"/>
    <col min="10" max="35" width="4.81640625" bestFit="1" customWidth="1"/>
  </cols>
  <sheetData>
    <row r="1" spans="1:35" ht="15" thickBot="1" x14ac:dyDescent="0.4">
      <c r="A1" s="10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6" t="s">
        <v>226</v>
      </c>
      <c r="G1" s="11" t="s">
        <v>6</v>
      </c>
      <c r="H1" s="11" t="s">
        <v>214</v>
      </c>
      <c r="I1" s="11" t="s">
        <v>215</v>
      </c>
      <c r="J1" s="11">
        <v>2010</v>
      </c>
      <c r="K1" s="11">
        <v>2011</v>
      </c>
      <c r="L1" s="11">
        <v>2012</v>
      </c>
      <c r="M1" s="11">
        <v>2013</v>
      </c>
      <c r="N1" s="11">
        <v>2014</v>
      </c>
      <c r="O1" s="11">
        <v>2015</v>
      </c>
      <c r="P1" s="11">
        <v>2016</v>
      </c>
      <c r="Q1" s="11">
        <v>2017</v>
      </c>
      <c r="R1" s="11">
        <v>2018</v>
      </c>
      <c r="S1" s="11">
        <v>2019</v>
      </c>
      <c r="T1" s="11">
        <v>2020</v>
      </c>
      <c r="U1" s="11">
        <v>2021</v>
      </c>
      <c r="V1" s="11">
        <v>2022</v>
      </c>
      <c r="W1" s="11">
        <v>2023</v>
      </c>
      <c r="X1" s="11">
        <v>2024</v>
      </c>
      <c r="Y1" s="11">
        <v>2025</v>
      </c>
      <c r="Z1" s="11">
        <v>2026</v>
      </c>
      <c r="AA1" s="11">
        <v>2027</v>
      </c>
      <c r="AB1" s="11">
        <v>2028</v>
      </c>
      <c r="AC1" s="11">
        <v>2029</v>
      </c>
      <c r="AD1" s="11">
        <v>2030</v>
      </c>
      <c r="AE1" s="11">
        <v>2031</v>
      </c>
      <c r="AF1" s="11">
        <v>2032</v>
      </c>
      <c r="AG1" s="11">
        <v>2033</v>
      </c>
      <c r="AH1" s="11">
        <v>2034</v>
      </c>
      <c r="AI1" s="12">
        <v>2035</v>
      </c>
    </row>
    <row r="2" spans="1:35" x14ac:dyDescent="0.35">
      <c r="A2" s="13">
        <v>1</v>
      </c>
      <c r="B2" s="14" t="s">
        <v>110</v>
      </c>
      <c r="C2" s="14" t="s">
        <v>210</v>
      </c>
      <c r="D2" s="14">
        <v>1</v>
      </c>
      <c r="E2" s="14" t="s">
        <v>216</v>
      </c>
      <c r="F2" s="14" t="s">
        <v>235</v>
      </c>
      <c r="G2" s="14"/>
      <c r="H2" s="14" t="s">
        <v>238</v>
      </c>
      <c r="I2" s="14">
        <v>0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5"/>
    </row>
    <row r="3" spans="1:35" x14ac:dyDescent="0.35">
      <c r="A3" s="5">
        <v>1</v>
      </c>
      <c r="B3" s="1" t="s">
        <v>110</v>
      </c>
      <c r="C3" s="1" t="s">
        <v>210</v>
      </c>
      <c r="D3" s="1">
        <v>2</v>
      </c>
      <c r="E3" s="1" t="s">
        <v>217</v>
      </c>
      <c r="F3" s="1" t="s">
        <v>235</v>
      </c>
      <c r="G3" s="1"/>
      <c r="H3" s="1" t="s">
        <v>238</v>
      </c>
      <c r="I3" s="1">
        <v>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6"/>
    </row>
    <row r="4" spans="1:35" x14ac:dyDescent="0.35">
      <c r="A4" s="5">
        <v>1</v>
      </c>
      <c r="B4" s="1" t="s">
        <v>110</v>
      </c>
      <c r="C4" s="1" t="s">
        <v>210</v>
      </c>
      <c r="D4" s="1">
        <v>3</v>
      </c>
      <c r="E4" s="1" t="s">
        <v>219</v>
      </c>
      <c r="F4" s="1" t="s">
        <v>236</v>
      </c>
      <c r="G4" s="1"/>
      <c r="H4" s="1" t="s">
        <v>238</v>
      </c>
      <c r="I4" s="1">
        <v>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6"/>
    </row>
    <row r="5" spans="1:35" x14ac:dyDescent="0.35">
      <c r="A5" s="5">
        <v>1</v>
      </c>
      <c r="B5" s="1" t="s">
        <v>110</v>
      </c>
      <c r="C5" s="1" t="s">
        <v>210</v>
      </c>
      <c r="D5" s="1">
        <v>4</v>
      </c>
      <c r="E5" s="1" t="s">
        <v>220</v>
      </c>
      <c r="F5" s="1" t="s">
        <v>236</v>
      </c>
      <c r="G5" s="1"/>
      <c r="H5" s="1" t="s">
        <v>238</v>
      </c>
      <c r="I5" s="1">
        <v>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6"/>
    </row>
    <row r="6" spans="1:35" ht="15" thickBot="1" x14ac:dyDescent="0.4">
      <c r="A6" s="7">
        <v>1</v>
      </c>
      <c r="B6" s="8" t="s">
        <v>110</v>
      </c>
      <c r="C6" s="8" t="s">
        <v>210</v>
      </c>
      <c r="D6" s="8">
        <v>5</v>
      </c>
      <c r="E6" s="8" t="s">
        <v>222</v>
      </c>
      <c r="F6" s="8" t="s">
        <v>236</v>
      </c>
      <c r="G6" s="8"/>
      <c r="H6" s="8" t="s">
        <v>238</v>
      </c>
      <c r="I6" s="8">
        <v>0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AH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.1796875" bestFit="1" customWidth="1"/>
    <col min="2" max="2" width="9.81640625" bestFit="1" customWidth="1"/>
    <col min="3" max="3" width="17.81640625" bestFit="1" customWidth="1"/>
    <col min="4" max="4" width="12.08984375" bestFit="1" customWidth="1"/>
    <col min="5" max="5" width="37.6328125" bestFit="1" customWidth="1"/>
    <col min="6" max="6" width="4.6328125" bestFit="1" customWidth="1"/>
    <col min="7" max="7" width="23.81640625" customWidth="1"/>
    <col min="8" max="8" width="19.36328125" bestFit="1" customWidth="1"/>
    <col min="9" max="34" width="4.81640625" bestFit="1" customWidth="1"/>
  </cols>
  <sheetData>
    <row r="1" spans="1:34" ht="15" thickBot="1" x14ac:dyDescent="0.4">
      <c r="A1" s="10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214</v>
      </c>
      <c r="H1" s="11" t="s">
        <v>215</v>
      </c>
      <c r="I1" s="11">
        <v>2010</v>
      </c>
      <c r="J1" s="11">
        <v>2011</v>
      </c>
      <c r="K1" s="11">
        <v>2012</v>
      </c>
      <c r="L1" s="11">
        <v>2013</v>
      </c>
      <c r="M1" s="11">
        <v>2014</v>
      </c>
      <c r="N1" s="11">
        <v>2015</v>
      </c>
      <c r="O1" s="11">
        <v>2016</v>
      </c>
      <c r="P1" s="11">
        <v>2017</v>
      </c>
      <c r="Q1" s="11">
        <v>2018</v>
      </c>
      <c r="R1" s="11">
        <v>2019</v>
      </c>
      <c r="S1" s="11">
        <v>2020</v>
      </c>
      <c r="T1" s="11">
        <v>2021</v>
      </c>
      <c r="U1" s="11">
        <v>2022</v>
      </c>
      <c r="V1" s="11">
        <v>2023</v>
      </c>
      <c r="W1" s="11">
        <v>2024</v>
      </c>
      <c r="X1" s="11">
        <v>2025</v>
      </c>
      <c r="Y1" s="11">
        <v>2026</v>
      </c>
      <c r="Z1" s="11">
        <v>2027</v>
      </c>
      <c r="AA1" s="11">
        <v>2028</v>
      </c>
      <c r="AB1" s="11">
        <v>2029</v>
      </c>
      <c r="AC1" s="11">
        <v>2030</v>
      </c>
      <c r="AD1" s="11">
        <v>2031</v>
      </c>
      <c r="AE1" s="11">
        <v>2032</v>
      </c>
      <c r="AF1" s="11">
        <v>2033</v>
      </c>
      <c r="AG1" s="11">
        <v>2034</v>
      </c>
      <c r="AH1" s="12">
        <v>2035</v>
      </c>
    </row>
    <row r="2" spans="1:34" x14ac:dyDescent="0.35">
      <c r="A2" s="13">
        <v>1</v>
      </c>
      <c r="B2" s="14" t="s">
        <v>111</v>
      </c>
      <c r="C2" s="14" t="s">
        <v>211</v>
      </c>
      <c r="D2" s="14">
        <v>1</v>
      </c>
      <c r="E2" s="14" t="s">
        <v>220</v>
      </c>
      <c r="F2" s="14"/>
      <c r="G2" s="14" t="s">
        <v>237</v>
      </c>
      <c r="H2" s="14">
        <v>0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5"/>
    </row>
    <row r="3" spans="1:34" ht="15" thickBot="1" x14ac:dyDescent="0.4">
      <c r="A3" s="7">
        <v>1</v>
      </c>
      <c r="B3" s="8" t="s">
        <v>111</v>
      </c>
      <c r="C3" s="8" t="s">
        <v>211</v>
      </c>
      <c r="D3" s="8">
        <v>2</v>
      </c>
      <c r="E3" s="8" t="s">
        <v>222</v>
      </c>
      <c r="F3" s="8"/>
      <c r="G3" s="8" t="s">
        <v>237</v>
      </c>
      <c r="H3" s="8">
        <v>0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3F4A6-B07F-4D1D-83CF-569AF8604B47}">
  <sheetPr>
    <tabColor rgb="FFFFC000"/>
  </sheetPr>
  <dimension ref="A1:AG2"/>
  <sheetViews>
    <sheetView workbookViewId="0">
      <pane ySplit="1" topLeftCell="A2" activePane="bottomLeft" state="frozen"/>
      <selection pane="bottomLeft" activeCell="I2" sqref="I2"/>
    </sheetView>
  </sheetViews>
  <sheetFormatPr defaultRowHeight="14.5" x14ac:dyDescent="0.35"/>
  <cols>
    <col min="1" max="1" width="13.08984375" bestFit="1" customWidth="1"/>
    <col min="2" max="2" width="14.26953125" bestFit="1" customWidth="1"/>
    <col min="3" max="3" width="48.81640625" bestFit="1" customWidth="1"/>
    <col min="4" max="4" width="11.6328125" bestFit="1" customWidth="1"/>
    <col min="5" max="5" width="18" bestFit="1" customWidth="1"/>
    <col min="6" max="6" width="4.6328125" bestFit="1" customWidth="1"/>
    <col min="7" max="7" width="15.36328125" bestFit="1" customWidth="1"/>
    <col min="8" max="33" width="4.81640625" bestFit="1" customWidth="1"/>
  </cols>
  <sheetData>
    <row r="1" spans="1:33" x14ac:dyDescent="0.35">
      <c r="A1" s="17" t="s">
        <v>227</v>
      </c>
      <c r="B1" s="17" t="s">
        <v>2</v>
      </c>
      <c r="C1" s="17" t="s">
        <v>3</v>
      </c>
      <c r="D1" s="17" t="s">
        <v>228</v>
      </c>
      <c r="E1" s="17" t="s">
        <v>5</v>
      </c>
      <c r="F1" s="17" t="s">
        <v>6</v>
      </c>
      <c r="G1" s="16" t="s">
        <v>214</v>
      </c>
      <c r="H1" s="17">
        <v>2010</v>
      </c>
      <c r="I1" s="17">
        <v>2011</v>
      </c>
      <c r="J1" s="17">
        <v>2012</v>
      </c>
      <c r="K1" s="17">
        <v>2013</v>
      </c>
      <c r="L1" s="17">
        <v>2014</v>
      </c>
      <c r="M1" s="17">
        <v>2015</v>
      </c>
      <c r="N1" s="17">
        <v>2016</v>
      </c>
      <c r="O1" s="17">
        <v>2017</v>
      </c>
      <c r="P1" s="17">
        <v>2018</v>
      </c>
      <c r="Q1" s="17">
        <v>2019</v>
      </c>
      <c r="R1" s="17">
        <v>2020</v>
      </c>
      <c r="S1" s="17">
        <v>2021</v>
      </c>
      <c r="T1" s="17">
        <v>2022</v>
      </c>
      <c r="U1" s="17">
        <v>2023</v>
      </c>
      <c r="V1" s="17">
        <v>2024</v>
      </c>
      <c r="W1" s="17">
        <v>2025</v>
      </c>
      <c r="X1" s="17">
        <v>2026</v>
      </c>
      <c r="Y1" s="17">
        <v>2027</v>
      </c>
      <c r="Z1" s="17">
        <v>2028</v>
      </c>
      <c r="AA1" s="17">
        <v>2029</v>
      </c>
      <c r="AB1" s="17">
        <v>2030</v>
      </c>
      <c r="AC1" s="17">
        <v>2031</v>
      </c>
      <c r="AD1" s="17">
        <v>2032</v>
      </c>
      <c r="AE1" s="17">
        <v>2033</v>
      </c>
      <c r="AF1" s="17">
        <v>2034</v>
      </c>
      <c r="AG1" s="17">
        <v>2035</v>
      </c>
    </row>
    <row r="2" spans="1:33" x14ac:dyDescent="0.35">
      <c r="A2" s="1" t="s">
        <v>234</v>
      </c>
      <c r="B2" s="1" t="s">
        <v>229</v>
      </c>
      <c r="C2" s="1" t="s">
        <v>230</v>
      </c>
      <c r="D2" s="1" t="s">
        <v>231</v>
      </c>
      <c r="E2" s="1" t="s">
        <v>232</v>
      </c>
      <c r="F2" s="1"/>
      <c r="G2" s="1" t="s">
        <v>233</v>
      </c>
      <c r="H2" s="1">
        <v>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EB3C6E-4768-4250-A50A-2A5B9B769A2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DD4B606-EBF8-4BFA-9606-CAFE753FE2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50AC6A-6FA6-4ECA-8428-0DFCD74D41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Fixed Horizon Parameters</vt:lpstr>
      <vt:lpstr>Primary Techs</vt:lpstr>
      <vt:lpstr>Secondary Techs</vt:lpstr>
      <vt:lpstr>Demand Techs</vt:lpstr>
      <vt:lpstr>Transport Fuel Distribution</vt:lpstr>
      <vt:lpstr>Vehicle Techs</vt:lpstr>
      <vt:lpstr>Vehicle Groups</vt:lpstr>
      <vt:lpstr>Other_Techs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Victor Gallardo</cp:lastModifiedBy>
  <dcterms:created xsi:type="dcterms:W3CDTF">2024-09-24T19:14:16Z</dcterms:created>
  <dcterms:modified xsi:type="dcterms:W3CDTF">2024-11-30T23:27:44Z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