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openmodels_lac\ECU\Energy\"/>
    </mc:Choice>
  </mc:AlternateContent>
  <xr:revisionPtr revIDLastSave="0" documentId="13_ncr:1_{36E00C77-DCA9-41F7-B1B8-E485CF46016F}" xr6:coauthVersionLast="47" xr6:coauthVersionMax="47" xr10:uidLastSave="{00000000-0000-0000-0000-000000000000}"/>
  <bookViews>
    <workbookView xWindow="-120" yWindow="-120" windowWidth="29040" windowHeight="15720" tabRatio="705" activeTab="10" xr2:uid="{00000000-000D-0000-FFFF-FFFF00000000}"/>
  </bookViews>
  <sheets>
    <sheet name="Scenarios" sheetId="7" r:id="rId1"/>
    <sheet name="Overall_Parameters" sheetId="4" r:id="rId2"/>
    <sheet name="Distance_Levers" sheetId="3" r:id="rId3"/>
    <sheet name="Mode_Shift" sheetId="5" r:id="rId4"/>
    <sheet name="Electrical" sheetId="13" r:id="rId5"/>
    <sheet name="Occupancy_Rate" sheetId="6" r:id="rId6"/>
    <sheet name="T_Elasticity" sheetId="15" r:id="rId7"/>
    <sheet name="SmartGrid" sheetId="14" r:id="rId8"/>
    <sheet name="Efficiency" sheetId="9" r:id="rId9"/>
    <sheet name="Tech_Adoption" sheetId="2" r:id="rId10"/>
    <sheet name="IPPU" sheetId="16" r:id="rId11"/>
  </sheets>
  <definedNames>
    <definedName name="_xlnm._FilterDatabase" localSheetId="8" hidden="1">Efficiency!$A$1:$AL$5</definedName>
    <definedName name="_xlnm._FilterDatabase" localSheetId="4" hidden="1">Electrical!$A$1:$N$19</definedName>
    <definedName name="_xlnm._FilterDatabase" localSheetId="9" hidden="1">Tech_Adoption!$A$1:$Q$1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7" i="14" l="1"/>
  <c r="U27" i="14" s="1"/>
  <c r="V27" i="14" s="1"/>
  <c r="W27" i="14" s="1"/>
  <c r="X27" i="14" s="1"/>
  <c r="Y27" i="14" s="1"/>
  <c r="Z27" i="14" s="1"/>
  <c r="AA27" i="14" s="1"/>
  <c r="AB27" i="14" s="1"/>
  <c r="AC27" i="14" s="1"/>
  <c r="AD27" i="14" s="1"/>
  <c r="AE27" i="14" s="1"/>
  <c r="AF27" i="14" s="1"/>
  <c r="AG27" i="14" s="1"/>
  <c r="AH27" i="14" s="1"/>
  <c r="AI27" i="14" s="1"/>
  <c r="AJ27" i="14" s="1"/>
  <c r="T28" i="14"/>
  <c r="U28" i="14" s="1"/>
  <c r="V28" i="14" s="1"/>
  <c r="W28" i="14" s="1"/>
  <c r="X28" i="14" s="1"/>
  <c r="Y28" i="14" s="1"/>
  <c r="Z28" i="14" s="1"/>
  <c r="AA28" i="14" s="1"/>
  <c r="AB28" i="14" s="1"/>
  <c r="AC28" i="14" s="1"/>
  <c r="AD28" i="14" s="1"/>
  <c r="AE28" i="14" s="1"/>
  <c r="AF28" i="14" s="1"/>
  <c r="AG28" i="14" s="1"/>
  <c r="AH28" i="14" s="1"/>
  <c r="AI28" i="14" s="1"/>
  <c r="AJ28" i="14" s="1"/>
  <c r="T26" i="14"/>
  <c r="U26" i="14" s="1"/>
  <c r="V26" i="14" s="1"/>
  <c r="W26" i="14" s="1"/>
  <c r="X26" i="14" s="1"/>
  <c r="Y26" i="14" s="1"/>
  <c r="Z26" i="14" s="1"/>
  <c r="AA26" i="14" s="1"/>
  <c r="AB26" i="14" s="1"/>
  <c r="AC26" i="14" s="1"/>
  <c r="AD26" i="14" s="1"/>
  <c r="AE26" i="14" s="1"/>
  <c r="AF26" i="14" s="1"/>
  <c r="AG26" i="14" s="1"/>
  <c r="AH26" i="14" s="1"/>
  <c r="AI26" i="14" s="1"/>
  <c r="AJ26" i="14" s="1"/>
  <c r="T25" i="14"/>
  <c r="U25" i="14" s="1"/>
  <c r="V25" i="14" s="1"/>
  <c r="W25" i="14" s="1"/>
  <c r="X25" i="14" s="1"/>
  <c r="Y25" i="14" s="1"/>
  <c r="Z25" i="14" s="1"/>
  <c r="AA25" i="14" s="1"/>
  <c r="AB25" i="14" s="1"/>
  <c r="AC25" i="14" s="1"/>
  <c r="AD25" i="14" s="1"/>
  <c r="AE25" i="14" s="1"/>
  <c r="AF25" i="14" s="1"/>
  <c r="AG25" i="14" s="1"/>
  <c r="AH25" i="14" s="1"/>
  <c r="AI25" i="14" s="1"/>
  <c r="AJ25" i="14" s="1"/>
  <c r="T29" i="14"/>
  <c r="U29" i="14" s="1"/>
  <c r="V29" i="14" s="1"/>
  <c r="W29" i="14" s="1"/>
  <c r="X29" i="14" s="1"/>
  <c r="Y29" i="14" s="1"/>
  <c r="Z29" i="14" s="1"/>
  <c r="AA29" i="14" s="1"/>
  <c r="AB29" i="14" s="1"/>
  <c r="AC29" i="14" s="1"/>
  <c r="AD29" i="14" s="1"/>
  <c r="AE29" i="14" s="1"/>
  <c r="AF29" i="14" s="1"/>
  <c r="AG29" i="14" s="1"/>
  <c r="AH29" i="14" s="1"/>
  <c r="AI29" i="14" s="1"/>
  <c r="AJ29" i="14" s="1"/>
  <c r="T24" i="14"/>
  <c r="U24" i="14" s="1"/>
  <c r="V24" i="14" s="1"/>
  <c r="W24" i="14" s="1"/>
  <c r="X24" i="14" s="1"/>
  <c r="Y24" i="14" s="1"/>
  <c r="Z24" i="14" s="1"/>
  <c r="AA24" i="14" s="1"/>
  <c r="AB24" i="14" s="1"/>
  <c r="AC24" i="14" s="1"/>
  <c r="AD24" i="14" s="1"/>
  <c r="AE24" i="14" s="1"/>
  <c r="AF24" i="14" s="1"/>
  <c r="AG24" i="14" s="1"/>
  <c r="AH24" i="14" s="1"/>
  <c r="AI24" i="14" s="1"/>
  <c r="AJ24" i="14" s="1"/>
  <c r="T21" i="14"/>
  <c r="U21" i="14" s="1"/>
  <c r="V21" i="14" s="1"/>
  <c r="W21" i="14" s="1"/>
  <c r="X21" i="14" s="1"/>
  <c r="Y21" i="14" s="1"/>
  <c r="Z21" i="14" s="1"/>
  <c r="AA21" i="14" s="1"/>
  <c r="AB21" i="14" s="1"/>
  <c r="AC21" i="14" s="1"/>
  <c r="AD21" i="14" s="1"/>
  <c r="AE21" i="14" s="1"/>
  <c r="AF21" i="14" s="1"/>
  <c r="AG21" i="14" s="1"/>
  <c r="AH21" i="14" s="1"/>
  <c r="AI21" i="14" s="1"/>
  <c r="AJ21" i="14" s="1"/>
  <c r="T22" i="14"/>
  <c r="U22" i="14" s="1"/>
  <c r="V22" i="14" s="1"/>
  <c r="W22" i="14" s="1"/>
  <c r="X22" i="14" s="1"/>
  <c r="Y22" i="14" s="1"/>
  <c r="Z22" i="14" s="1"/>
  <c r="AA22" i="14" s="1"/>
  <c r="AB22" i="14" s="1"/>
  <c r="AC22" i="14" s="1"/>
  <c r="AD22" i="14" s="1"/>
  <c r="AE22" i="14" s="1"/>
  <c r="AF22" i="14" s="1"/>
  <c r="AG22" i="14" s="1"/>
  <c r="AH22" i="14" s="1"/>
  <c r="AI22" i="14" s="1"/>
  <c r="AJ22" i="14" s="1"/>
  <c r="T20" i="14"/>
  <c r="U20" i="14" s="1"/>
  <c r="V20" i="14" s="1"/>
  <c r="W20" i="14" s="1"/>
  <c r="X20" i="14" s="1"/>
  <c r="Y20" i="14" s="1"/>
  <c r="Z20" i="14" s="1"/>
  <c r="AA20" i="14" s="1"/>
  <c r="AB20" i="14" s="1"/>
  <c r="AC20" i="14" s="1"/>
  <c r="AD20" i="14" s="1"/>
  <c r="AE20" i="14" s="1"/>
  <c r="AF20" i="14" s="1"/>
  <c r="AG20" i="14" s="1"/>
  <c r="AH20" i="14" s="1"/>
  <c r="AI20" i="14" s="1"/>
  <c r="AJ20" i="14" s="1"/>
  <c r="T19" i="14"/>
  <c r="U19" i="14" s="1"/>
  <c r="V19" i="14" s="1"/>
  <c r="W19" i="14" s="1"/>
  <c r="X19" i="14" s="1"/>
  <c r="Y19" i="14" s="1"/>
  <c r="Z19" i="14" s="1"/>
  <c r="AA19" i="14" s="1"/>
  <c r="AB19" i="14" s="1"/>
  <c r="AC19" i="14" s="1"/>
  <c r="AD19" i="14" s="1"/>
  <c r="AE19" i="14" s="1"/>
  <c r="AF19" i="14" s="1"/>
  <c r="AG19" i="14" s="1"/>
  <c r="AH19" i="14" s="1"/>
  <c r="AI19" i="14" s="1"/>
  <c r="AJ19" i="14" s="1"/>
  <c r="T23" i="14"/>
  <c r="U23" i="14" s="1"/>
  <c r="V23" i="14" s="1"/>
  <c r="W23" i="14" s="1"/>
  <c r="X23" i="14" s="1"/>
  <c r="Y23" i="14" s="1"/>
  <c r="Z23" i="14" s="1"/>
  <c r="AA23" i="14" s="1"/>
  <c r="AB23" i="14" s="1"/>
  <c r="AC23" i="14" s="1"/>
  <c r="AD23" i="14" s="1"/>
  <c r="AE23" i="14" s="1"/>
  <c r="AF23" i="14" s="1"/>
  <c r="AG23" i="14" s="1"/>
  <c r="AH23" i="14" s="1"/>
  <c r="AI23" i="14" s="1"/>
  <c r="AJ23" i="14" s="1"/>
  <c r="T18" i="14"/>
  <c r="U18" i="14" s="1"/>
  <c r="V18" i="14" s="1"/>
  <c r="W18" i="14" s="1"/>
  <c r="X18" i="14" s="1"/>
  <c r="Y18" i="14" s="1"/>
  <c r="Z18" i="14" s="1"/>
  <c r="AA18" i="14" s="1"/>
  <c r="AB18" i="14" s="1"/>
  <c r="AC18" i="14" s="1"/>
  <c r="AD18" i="14" s="1"/>
  <c r="AE18" i="14" s="1"/>
  <c r="AF18" i="14" s="1"/>
  <c r="AG18" i="14" s="1"/>
  <c r="AH18" i="14" s="1"/>
  <c r="AI18" i="14" s="1"/>
  <c r="AJ18" i="14" s="1"/>
  <c r="T15" i="14"/>
  <c r="U15" i="14" s="1"/>
  <c r="V15" i="14" s="1"/>
  <c r="W15" i="14" s="1"/>
  <c r="X15" i="14" s="1"/>
  <c r="Y15" i="14" s="1"/>
  <c r="Z15" i="14" s="1"/>
  <c r="AA15" i="14" s="1"/>
  <c r="AB15" i="14" s="1"/>
  <c r="AC15" i="14" s="1"/>
  <c r="AD15" i="14" s="1"/>
  <c r="AE15" i="14" s="1"/>
  <c r="AF15" i="14" s="1"/>
  <c r="AG15" i="14" s="1"/>
  <c r="AH15" i="14" s="1"/>
  <c r="AI15" i="14" s="1"/>
  <c r="AJ15" i="14" s="1"/>
  <c r="T16" i="14"/>
  <c r="U16" i="14" s="1"/>
  <c r="V16" i="14" s="1"/>
  <c r="W16" i="14" s="1"/>
  <c r="X16" i="14" s="1"/>
  <c r="Y16" i="14" s="1"/>
  <c r="Z16" i="14" s="1"/>
  <c r="AA16" i="14" s="1"/>
  <c r="AB16" i="14" s="1"/>
  <c r="AC16" i="14" s="1"/>
  <c r="AD16" i="14" s="1"/>
  <c r="AE16" i="14" s="1"/>
  <c r="AF16" i="14" s="1"/>
  <c r="AG16" i="14" s="1"/>
  <c r="AH16" i="14" s="1"/>
  <c r="AI16" i="14" s="1"/>
  <c r="AJ16" i="14" s="1"/>
  <c r="T14" i="14"/>
  <c r="U14" i="14" s="1"/>
  <c r="V14" i="14" s="1"/>
  <c r="W14" i="14" s="1"/>
  <c r="X14" i="14" s="1"/>
  <c r="Y14" i="14" s="1"/>
  <c r="Z14" i="14" s="1"/>
  <c r="AA14" i="14" s="1"/>
  <c r="AB14" i="14" s="1"/>
  <c r="AC14" i="14" s="1"/>
  <c r="AD14" i="14" s="1"/>
  <c r="AE14" i="14" s="1"/>
  <c r="AF14" i="14" s="1"/>
  <c r="AG14" i="14" s="1"/>
  <c r="AH14" i="14" s="1"/>
  <c r="AI14" i="14" s="1"/>
  <c r="AJ14" i="14" s="1"/>
  <c r="T13" i="14"/>
  <c r="U13" i="14" s="1"/>
  <c r="V13" i="14" s="1"/>
  <c r="W13" i="14" s="1"/>
  <c r="X13" i="14" s="1"/>
  <c r="Y13" i="14" s="1"/>
  <c r="Z13" i="14" s="1"/>
  <c r="AA13" i="14" s="1"/>
  <c r="AB13" i="14" s="1"/>
  <c r="AC13" i="14" s="1"/>
  <c r="AD13" i="14" s="1"/>
  <c r="AE13" i="14" s="1"/>
  <c r="AF13" i="14" s="1"/>
  <c r="AG13" i="14" s="1"/>
  <c r="AH13" i="14" s="1"/>
  <c r="AI13" i="14" s="1"/>
  <c r="AJ13" i="14" s="1"/>
  <c r="T17" i="14"/>
  <c r="U17" i="14" s="1"/>
  <c r="V17" i="14" s="1"/>
  <c r="W17" i="14" s="1"/>
  <c r="X17" i="14" s="1"/>
  <c r="Y17" i="14" s="1"/>
  <c r="Z17" i="14" s="1"/>
  <c r="AA17" i="14" s="1"/>
  <c r="AB17" i="14" s="1"/>
  <c r="AC17" i="14" s="1"/>
  <c r="AD17" i="14" s="1"/>
  <c r="AE17" i="14" s="1"/>
  <c r="AF17" i="14" s="1"/>
  <c r="AG17" i="14" s="1"/>
  <c r="AH17" i="14" s="1"/>
  <c r="AI17" i="14" s="1"/>
  <c r="AJ17" i="14" s="1"/>
  <c r="T12" i="14"/>
  <c r="U12" i="14" s="1"/>
  <c r="V12" i="14" s="1"/>
  <c r="W12" i="14" s="1"/>
  <c r="X12" i="14" s="1"/>
  <c r="Y12" i="14" s="1"/>
  <c r="Z12" i="14" s="1"/>
  <c r="AA12" i="14" s="1"/>
  <c r="AB12" i="14" s="1"/>
  <c r="AC12" i="14" s="1"/>
  <c r="AD12" i="14" s="1"/>
  <c r="AE12" i="14" s="1"/>
  <c r="AF12" i="14" s="1"/>
  <c r="AG12" i="14" s="1"/>
  <c r="AH12" i="14" s="1"/>
  <c r="AI12" i="14" s="1"/>
  <c r="AJ12" i="14" s="1"/>
  <c r="T11" i="14"/>
  <c r="U11" i="14" s="1"/>
  <c r="V11" i="14" s="1"/>
  <c r="W11" i="14" s="1"/>
  <c r="X11" i="14" s="1"/>
  <c r="Y11" i="14" s="1"/>
  <c r="Z11" i="14" s="1"/>
  <c r="AA11" i="14" s="1"/>
  <c r="AB11" i="14" s="1"/>
  <c r="AC11" i="14" s="1"/>
  <c r="AD11" i="14" s="1"/>
  <c r="AE11" i="14" s="1"/>
  <c r="AF11" i="14" s="1"/>
  <c r="AG11" i="14" s="1"/>
  <c r="AH11" i="14" s="1"/>
  <c r="AI11" i="14" s="1"/>
  <c r="AJ11" i="14" s="1"/>
  <c r="T10" i="14"/>
  <c r="U10" i="14" s="1"/>
  <c r="V10" i="14" s="1"/>
  <c r="W10" i="14" s="1"/>
  <c r="X10" i="14" s="1"/>
  <c r="Y10" i="14" s="1"/>
  <c r="Z10" i="14" s="1"/>
  <c r="AA10" i="14" s="1"/>
  <c r="AB10" i="14" s="1"/>
  <c r="AC10" i="14" s="1"/>
  <c r="AD10" i="14" s="1"/>
  <c r="AE10" i="14" s="1"/>
  <c r="AF10" i="14" s="1"/>
  <c r="AG10" i="14" s="1"/>
  <c r="AH10" i="14" s="1"/>
  <c r="AI10" i="14" s="1"/>
  <c r="AJ10" i="14" s="1"/>
  <c r="T9" i="14"/>
  <c r="U9" i="14" s="1"/>
  <c r="V9" i="14" s="1"/>
  <c r="W9" i="14" s="1"/>
  <c r="X9" i="14" s="1"/>
  <c r="Y9" i="14" s="1"/>
  <c r="Z9" i="14" s="1"/>
  <c r="AA9" i="14" s="1"/>
  <c r="AB9" i="14" s="1"/>
  <c r="AC9" i="14" s="1"/>
  <c r="AD9" i="14" s="1"/>
  <c r="AE9" i="14" s="1"/>
  <c r="AF9" i="14" s="1"/>
  <c r="AG9" i="14" s="1"/>
  <c r="AH9" i="14" s="1"/>
  <c r="AI9" i="14" s="1"/>
  <c r="AJ9" i="14" s="1"/>
  <c r="T8" i="14" l="1"/>
  <c r="U8" i="14" s="1"/>
  <c r="V8" i="14" s="1"/>
  <c r="W8" i="14" s="1"/>
  <c r="X8" i="14" s="1"/>
  <c r="Y8" i="14" s="1"/>
  <c r="Z8" i="14" s="1"/>
  <c r="AA8" i="14" s="1"/>
  <c r="AB8" i="14" s="1"/>
  <c r="AC8" i="14" s="1"/>
  <c r="AD8" i="14" s="1"/>
  <c r="AE8" i="14" s="1"/>
  <c r="AF8" i="14" s="1"/>
  <c r="AG8" i="14" s="1"/>
  <c r="AH8" i="14" s="1"/>
  <c r="AI8" i="14" s="1"/>
  <c r="AJ8" i="14" s="1"/>
  <c r="R3" i="14" l="1"/>
  <c r="R4" i="14"/>
  <c r="R5" i="14"/>
  <c r="R6" i="14"/>
  <c r="R7" i="14"/>
  <c r="R2" i="14"/>
  <c r="L5" i="14"/>
  <c r="L6" i="14"/>
  <c r="L7" i="14"/>
  <c r="L4" i="14"/>
  <c r="L3" i="14"/>
  <c r="L2" i="14"/>
  <c r="T3" i="14" l="1"/>
  <c r="U3" i="14" s="1"/>
  <c r="V3" i="14" s="1"/>
  <c r="W3" i="14" s="1"/>
  <c r="X3" i="14" s="1"/>
  <c r="Y3" i="14" s="1"/>
  <c r="Z3" i="14" s="1"/>
  <c r="AA3" i="14" s="1"/>
  <c r="AB3" i="14" s="1"/>
  <c r="AC3" i="14" s="1"/>
  <c r="AD3" i="14" s="1"/>
  <c r="AE3" i="14" s="1"/>
  <c r="AF3" i="14" s="1"/>
  <c r="AG3" i="14" s="1"/>
  <c r="AH3" i="14" s="1"/>
  <c r="AI3" i="14" s="1"/>
  <c r="AJ3" i="14" s="1"/>
  <c r="T4" i="14"/>
  <c r="U4" i="14" s="1"/>
  <c r="V4" i="14" s="1"/>
  <c r="W4" i="14" s="1"/>
  <c r="X4" i="14" s="1"/>
  <c r="Y4" i="14" s="1"/>
  <c r="Z4" i="14" s="1"/>
  <c r="AA4" i="14" s="1"/>
  <c r="AB4" i="14" s="1"/>
  <c r="AC4" i="14" s="1"/>
  <c r="AD4" i="14" s="1"/>
  <c r="AE4" i="14" s="1"/>
  <c r="AF4" i="14" s="1"/>
  <c r="AG4" i="14" s="1"/>
  <c r="AH4" i="14" s="1"/>
  <c r="AI4" i="14" s="1"/>
  <c r="AJ4" i="14" s="1"/>
  <c r="T5" i="14"/>
  <c r="U5" i="14" s="1"/>
  <c r="V5" i="14" s="1"/>
  <c r="W5" i="14" s="1"/>
  <c r="X5" i="14" s="1"/>
  <c r="Y5" i="14" s="1"/>
  <c r="Z5" i="14" s="1"/>
  <c r="AA5" i="14" s="1"/>
  <c r="AB5" i="14" s="1"/>
  <c r="AC5" i="14" s="1"/>
  <c r="AD5" i="14" s="1"/>
  <c r="AE5" i="14" s="1"/>
  <c r="AF5" i="14" s="1"/>
  <c r="AG5" i="14" s="1"/>
  <c r="AH5" i="14" s="1"/>
  <c r="AI5" i="14" s="1"/>
  <c r="AJ5" i="14" s="1"/>
  <c r="T6" i="14"/>
  <c r="U6" i="14" s="1"/>
  <c r="V6" i="14" s="1"/>
  <c r="W6" i="14" s="1"/>
  <c r="X6" i="14" s="1"/>
  <c r="Y6" i="14" s="1"/>
  <c r="Z6" i="14" s="1"/>
  <c r="AA6" i="14" s="1"/>
  <c r="AB6" i="14" s="1"/>
  <c r="AC6" i="14" s="1"/>
  <c r="AD6" i="14" s="1"/>
  <c r="AE6" i="14" s="1"/>
  <c r="AF6" i="14" s="1"/>
  <c r="AG6" i="14" s="1"/>
  <c r="AH6" i="14" s="1"/>
  <c r="AI6" i="14" s="1"/>
  <c r="AJ6" i="14" s="1"/>
  <c r="T7" i="14"/>
  <c r="U7" i="14" s="1"/>
  <c r="V7" i="14" s="1"/>
  <c r="W7" i="14" s="1"/>
  <c r="X7" i="14" s="1"/>
  <c r="Y7" i="14" s="1"/>
  <c r="Z7" i="14" s="1"/>
  <c r="AA7" i="14" s="1"/>
  <c r="AB7" i="14" s="1"/>
  <c r="AC7" i="14" s="1"/>
  <c r="AD7" i="14" s="1"/>
  <c r="AE7" i="14" s="1"/>
  <c r="AF7" i="14" s="1"/>
  <c r="AG7" i="14" s="1"/>
  <c r="AH7" i="14" s="1"/>
  <c r="AI7" i="14" s="1"/>
  <c r="AJ7" i="14" s="1"/>
  <c r="T2" i="14"/>
  <c r="U2" i="14" s="1"/>
  <c r="V2" i="14" s="1"/>
  <c r="W2" i="14" s="1"/>
  <c r="X2" i="14" s="1"/>
  <c r="Y2" i="14" s="1"/>
  <c r="Z2" i="14" s="1"/>
  <c r="AA2" i="14" s="1"/>
  <c r="AB2" i="14" s="1"/>
  <c r="AC2" i="14" s="1"/>
  <c r="AD2" i="14" s="1"/>
  <c r="AE2" i="14" s="1"/>
  <c r="AF2" i="14" s="1"/>
  <c r="AG2" i="14" s="1"/>
  <c r="AH2" i="14" s="1"/>
  <c r="AI2" i="14" s="1"/>
  <c r="AJ2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</authors>
  <commentList>
    <comment ref="E1" authorId="0" shapeId="0" xr:uid="{715B7105-9237-47CC-8C11-0981D248034A}">
      <text>
        <r>
          <rPr>
            <b/>
            <sz val="9"/>
            <color indexed="81"/>
            <rFont val="Tahoma"/>
            <family val="2"/>
          </rPr>
          <t xml:space="preserve">YES: the indices can be called from the stable_scenario dictionary.
NO: the system must generate the fields.
</t>
        </r>
      </text>
    </comment>
    <comment ref="G1" authorId="0" shapeId="0" xr:uid="{73AA5241-3262-49C7-89CE-CFCC2167EA78}">
      <text>
        <r>
          <rPr>
            <b/>
            <sz val="9"/>
            <color indexed="81"/>
            <rFont val="Tahoma"/>
            <family val="2"/>
          </rPr>
          <t xml:space="preserve">Used for exact values before y_ini
</t>
        </r>
      </text>
    </comment>
    <comment ref="I1" authorId="0" shapeId="0" xr:uid="{0775AA7D-2E52-4493-8CAD-C1F88D748161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luisf</author>
    <author>Susana Solorzano Jiménez</author>
  </authors>
  <commentList>
    <comment ref="H1" authorId="0" shapeId="0" xr:uid="{262E4C9E-7D42-4756-ACA1-6FF5F58F1949}">
      <text>
        <r>
          <rPr>
            <b/>
            <sz val="9"/>
            <color indexed="81"/>
            <rFont val="Tahoma"/>
            <family val="2"/>
          </rPr>
          <t>Preceding year of initial year of separation between values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1" shapeId="0" xr:uid="{BE6E601B-AAAF-4367-BD3A-D7D0FF7A8BFE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3" authorId="1" shapeId="0" xr:uid="{5B2478EB-7ED2-47D1-A67A-E38357FA889A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  <comment ref="J5" authorId="1" shapeId="0" xr:uid="{23942837-5A9F-47B6-8BCC-BEB9F8E76F2C}">
      <text>
        <r>
          <rPr>
            <b/>
            <sz val="9"/>
            <color indexed="81"/>
            <rFont val="Tahoma"/>
            <family val="2"/>
          </rPr>
          <t>Susana Solorzano Jiménez:</t>
        </r>
        <r>
          <rPr>
            <sz val="9"/>
            <color indexed="81"/>
            <rFont val="Tahoma"/>
            <family val="2"/>
          </rPr>
          <t xml:space="preserve">
limite superior de países de la OCDE, en pérdidas técnicas [Dimensionando las pérdidas de electricidad
en los sistemas de transmisión y distribución
en América Latina y el Caribe]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Luis Fernando Victor</author>
  </authors>
  <commentList>
    <comment ref="E1" authorId="0" shapeId="0" xr:uid="{A40C4BCD-3449-437A-9EBA-EEDB994DDF14}">
      <text>
        <r>
          <rPr>
            <b/>
            <sz val="9"/>
            <color indexed="81"/>
            <rFont val="Tahoma"/>
            <family val="2"/>
          </rPr>
          <t>No es necesario porque el cambio es muy simple</t>
        </r>
      </text>
    </comment>
    <comment ref="F1" authorId="0" shapeId="0" xr:uid="{2CB999BE-10E9-4ADC-B696-AED9AD9BF1B4}">
      <text>
        <r>
          <rPr>
            <b/>
            <sz val="9"/>
            <color indexed="81"/>
            <rFont val="Tahoma"/>
            <family val="2"/>
          </rPr>
          <t>Llenar YES si ya existe el parámetro.
Si el parámetro no existe, no funciona. Por favor hacer la estructura completa desde el inicio.</t>
        </r>
      </text>
    </comment>
  </commentList>
</comments>
</file>

<file path=xl/sharedStrings.xml><?xml version="1.0" encoding="utf-8"?>
<sst xmlns="http://schemas.openxmlformats.org/spreadsheetml/2006/main" count="313" uniqueCount="79">
  <si>
    <t>Name</t>
  </si>
  <si>
    <t>Activated</t>
  </si>
  <si>
    <t>Base</t>
  </si>
  <si>
    <t>Reference</t>
  </si>
  <si>
    <t>Based_On</t>
  </si>
  <si>
    <t>Description</t>
  </si>
  <si>
    <t>BAU</t>
  </si>
  <si>
    <t>YES</t>
  </si>
  <si>
    <t>ref</t>
  </si>
  <si>
    <t>Parameter</t>
  </si>
  <si>
    <t>Value</t>
  </si>
  <si>
    <t>Initial_Year_of_Uncertainty</t>
  </si>
  <si>
    <t>Scenario</t>
  </si>
  <si>
    <t>Group_Description</t>
  </si>
  <si>
    <t>Group_Set</t>
  </si>
  <si>
    <t>Relative reduction to BAU - distance</t>
  </si>
  <si>
    <t>Transport_Category</t>
  </si>
  <si>
    <t>Description_Set</t>
  </si>
  <si>
    <t>Tech_Set</t>
  </si>
  <si>
    <t>Context</t>
  </si>
  <si>
    <t>Built-in</t>
  </si>
  <si>
    <t>Logistic</t>
  </si>
  <si>
    <t>Linear</t>
  </si>
  <si>
    <t>R2021</t>
  </si>
  <si>
    <t>R2050</t>
  </si>
  <si>
    <t>L</t>
  </si>
  <si>
    <t>C</t>
  </si>
  <si>
    <t>M</t>
  </si>
  <si>
    <t>y_ini</t>
  </si>
  <si>
    <t>v_2030</t>
  </si>
  <si>
    <t>v_2040</t>
  </si>
  <si>
    <t>v_2050</t>
  </si>
  <si>
    <t>Relative increase to BAU - occupancy rate</t>
  </si>
  <si>
    <t>Description Parameter-Set</t>
  </si>
  <si>
    <t>Built-in Parameter-Set</t>
  </si>
  <si>
    <t>Exact_Years</t>
  </si>
  <si>
    <t>Exact_Values</t>
  </si>
  <si>
    <t>Milestone_Years</t>
  </si>
  <si>
    <t>Milestone_Value</t>
  </si>
  <si>
    <t>Unit</t>
  </si>
  <si>
    <t>Security_Multiplier</t>
  </si>
  <si>
    <t>Method</t>
  </si>
  <si>
    <t>Sector</t>
  </si>
  <si>
    <t>Restriction_Type</t>
  </si>
  <si>
    <t>Set</t>
  </si>
  <si>
    <t>Set_Index</t>
  </si>
  <si>
    <t>None</t>
  </si>
  <si>
    <t>Exact</t>
  </si>
  <si>
    <t>Escenario Tendencial</t>
  </si>
  <si>
    <t>EmissionActivityRatio</t>
  </si>
  <si>
    <t>Emission factor variability</t>
  </si>
  <si>
    <t>PPDSL ; CO2e_PP</t>
  </si>
  <si>
    <t>PPFOI ; CO2e_PP</t>
  </si>
  <si>
    <t>PPNGS ; CO2e_PP</t>
  </si>
  <si>
    <t>PPCRU ; CO2e_PP</t>
  </si>
  <si>
    <t>PPRNGS ; CO2e_PP</t>
  </si>
  <si>
    <t>PPRDSL ; CO2e_PP</t>
  </si>
  <si>
    <t>PROCRU ; CO2e_REF</t>
  </si>
  <si>
    <t>PROCRU ; CO2_REF</t>
  </si>
  <si>
    <t>PROCRU ; CH4_REF</t>
  </si>
  <si>
    <t>PROCRU ; N2O_REF</t>
  </si>
  <si>
    <t>PPDSL ; CO2_PP</t>
  </si>
  <si>
    <t>PPFOI ; CO2_PP</t>
  </si>
  <si>
    <t>PPNGS ; CO2_PP</t>
  </si>
  <si>
    <t>PPCRU ; CO2_PP</t>
  </si>
  <si>
    <t>PPRNGS ; CO2_PP</t>
  </si>
  <si>
    <t>PPRDSL ; CO2_PP</t>
  </si>
  <si>
    <t>PPDSL ; CH4_PP</t>
  </si>
  <si>
    <t>PPFOI ; CH4_PP</t>
  </si>
  <si>
    <t>PPNGS ; CH4_PP</t>
  </si>
  <si>
    <t>PPCRU ; CH4_PP</t>
  </si>
  <si>
    <t>PPRNGS ; CH4_PP</t>
  </si>
  <si>
    <t>PPRDSL ; CH4_PP</t>
  </si>
  <si>
    <t>PPDSL ; N2O_PP</t>
  </si>
  <si>
    <t>PPFOI ; N2O_PP</t>
  </si>
  <si>
    <t>PPNGS ; N2O_PP</t>
  </si>
  <si>
    <t>PPCRU ; N2O_PP</t>
  </si>
  <si>
    <t>PPRNGS ; N2O_PP</t>
  </si>
  <si>
    <t>PPRDSL ; N2O_PP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</si>
</sst>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6" xfId="0" applyFont="1" applyBorder="1"/>
    <xf numFmtId="0" fontId="1" fillId="0" borderId="3" xfId="0" applyFont="1" applyBorder="1"/>
    <xf numFmtId="0" fontId="1" fillId="0" borderId="7" xfId="0" applyFont="1" applyBorder="1"/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5" fillId="0" borderId="6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9" xfId="0" applyFont="1" applyBorder="1" applyAlignment="1">
      <alignment wrapText="1"/>
    </xf>
    <xf numFmtId="0" fontId="5" fillId="0" borderId="11" xfId="0" applyFont="1" applyBorder="1"/>
    <xf numFmtId="0" fontId="5" fillId="0" borderId="8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4" xfId="0" applyFont="1" applyBorder="1"/>
    <xf numFmtId="0" fontId="0" fillId="4" borderId="0" xfId="0" applyFill="1"/>
    <xf numFmtId="0" fontId="8" fillId="0" borderId="9" xfId="0" applyFont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8" fillId="3" borderId="9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6" xfId="0" applyBorder="1"/>
    <xf numFmtId="0" fontId="0" fillId="0" borderId="3" xfId="0" applyBorder="1"/>
    <xf numFmtId="0" fontId="0" fillId="0" borderId="7" xfId="0" applyBorder="1"/>
    <xf numFmtId="0" fontId="0" fillId="0" borderId="21" xfId="0" applyBorder="1"/>
    <xf numFmtId="0" fontId="0" fillId="0" borderId="19" xfId="0" applyBorder="1"/>
    <xf numFmtId="0" fontId="0" fillId="0" borderId="20" xfId="0" applyBorder="1"/>
    <xf numFmtId="0" fontId="8" fillId="0" borderId="10" xfId="0" applyFont="1" applyBorder="1" applyAlignment="1">
      <alignment horizontal="center"/>
    </xf>
    <xf numFmtId="0" fontId="7" fillId="5" borderId="3" xfId="0" applyFont="1" applyFill="1" applyBorder="1" applyAlignment="1">
      <alignment horizontal="center" wrapText="1"/>
    </xf>
    <xf numFmtId="0" fontId="7" fillId="5" borderId="7" xfId="0" applyFont="1" applyFill="1" applyBorder="1" applyAlignment="1">
      <alignment horizontal="center" wrapText="1"/>
    </xf>
    <xf numFmtId="0" fontId="8" fillId="0" borderId="10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17" xfId="0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7" fillId="0" borderId="5" xfId="0" applyFont="1" applyBorder="1"/>
    <xf numFmtId="0" fontId="0" fillId="0" borderId="5" xfId="0" applyBorder="1"/>
    <xf numFmtId="0" fontId="0" fillId="0" borderId="21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2" xfId="0" applyBorder="1"/>
    <xf numFmtId="0" fontId="0" fillId="0" borderId="25" xfId="0" applyBorder="1" applyAlignment="1">
      <alignment horizontal="center" vertical="center"/>
    </xf>
    <xf numFmtId="0" fontId="0" fillId="0" borderId="26" xfId="0" applyBorder="1"/>
    <xf numFmtId="0" fontId="7" fillId="2" borderId="17" xfId="0" applyFont="1" applyFill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8" borderId="5" xfId="0" applyFont="1" applyFill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/>
    <xf numFmtId="0" fontId="7" fillId="0" borderId="4" xfId="0" applyFont="1" applyBorder="1" applyAlignment="1">
      <alignment horizontal="center"/>
    </xf>
    <xf numFmtId="0" fontId="7" fillId="0" borderId="2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/>
    <xf numFmtId="0" fontId="7" fillId="0" borderId="17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/>
    </xf>
    <xf numFmtId="0" fontId="7" fillId="0" borderId="22" xfId="0" applyFont="1" applyBorder="1"/>
    <xf numFmtId="0" fontId="9" fillId="0" borderId="6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7" fillId="8" borderId="4" xfId="0" applyFont="1" applyFill="1" applyBorder="1" applyAlignment="1">
      <alignment horizontal="left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wrapText="1"/>
    </xf>
    <xf numFmtId="0" fontId="7" fillId="5" borderId="20" xfId="0" applyFont="1" applyFill="1" applyBorder="1" applyAlignment="1">
      <alignment horizontal="center" wrapText="1"/>
    </xf>
    <xf numFmtId="0" fontId="7" fillId="0" borderId="15" xfId="0" applyFont="1" applyBorder="1" applyAlignment="1">
      <alignment horizontal="center" vertical="center" wrapText="1"/>
    </xf>
    <xf numFmtId="0" fontId="7" fillId="5" borderId="29" xfId="0" applyFont="1" applyFill="1" applyBorder="1" applyAlignment="1">
      <alignment horizontal="center" wrapText="1"/>
    </xf>
    <xf numFmtId="0" fontId="7" fillId="5" borderId="9" xfId="0" applyFont="1" applyFill="1" applyBorder="1" applyAlignment="1">
      <alignment horizontal="center" wrapText="1"/>
    </xf>
    <xf numFmtId="0" fontId="8" fillId="0" borderId="13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2" fontId="7" fillId="0" borderId="19" xfId="0" applyNumberFormat="1" applyFont="1" applyBorder="1" applyAlignment="1">
      <alignment horizontal="center" wrapText="1"/>
    </xf>
    <xf numFmtId="2" fontId="7" fillId="0" borderId="3" xfId="0" applyNumberFormat="1" applyFont="1" applyBorder="1" applyAlignment="1">
      <alignment horizont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  <xf numFmtId="2" fontId="9" fillId="0" borderId="17" xfId="0" applyNumberFormat="1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7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165" fontId="9" fillId="0" borderId="5" xfId="0" applyNumberFormat="1" applyFont="1" applyBorder="1" applyAlignment="1">
      <alignment horizontal="center"/>
    </xf>
    <xf numFmtId="165" fontId="9" fillId="5" borderId="5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0" borderId="3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 wrapText="1"/>
    </xf>
    <xf numFmtId="0" fontId="9" fillId="0" borderId="33" xfId="0" applyFont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7" borderId="22" xfId="0" applyFont="1" applyFill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164" fontId="9" fillId="0" borderId="5" xfId="0" applyNumberFormat="1" applyFont="1" applyBorder="1" applyAlignment="1">
      <alignment horizontal="center" vertical="center" wrapText="1"/>
    </xf>
    <xf numFmtId="2" fontId="9" fillId="0" borderId="5" xfId="0" applyNumberFormat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2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left"/>
    </xf>
    <xf numFmtId="0" fontId="7" fillId="9" borderId="5" xfId="0" applyFont="1" applyFill="1" applyBorder="1" applyAlignment="1">
      <alignment horizontal="left"/>
    </xf>
    <xf numFmtId="0" fontId="0" fillId="9" borderId="17" xfId="0" applyFill="1" applyBorder="1" applyAlignment="1">
      <alignment horizontal="left"/>
    </xf>
    <xf numFmtId="0" fontId="7" fillId="9" borderId="25" xfId="0" applyFont="1" applyFill="1" applyBorder="1" applyAlignment="1">
      <alignment horizontal="center" vertical="center"/>
    </xf>
    <xf numFmtId="0" fontId="7" fillId="9" borderId="5" xfId="0" applyFont="1" applyFill="1" applyBorder="1" applyAlignment="1">
      <alignment horizontal="center" vertical="center"/>
    </xf>
    <xf numFmtId="0" fontId="7" fillId="9" borderId="16" xfId="0" applyFont="1" applyFill="1" applyBorder="1" applyAlignment="1">
      <alignment horizontal="center" vertical="center"/>
    </xf>
    <xf numFmtId="0" fontId="7" fillId="9" borderId="17" xfId="0" applyFont="1" applyFill="1" applyBorder="1" applyAlignment="1">
      <alignment horizontal="center" vertical="center"/>
    </xf>
    <xf numFmtId="165" fontId="7" fillId="0" borderId="5" xfId="0" applyNumberFormat="1" applyFont="1" applyBorder="1"/>
    <xf numFmtId="165" fontId="7" fillId="0" borderId="17" xfId="0" applyNumberFormat="1" applyFont="1" applyBorder="1"/>
    <xf numFmtId="165" fontId="7" fillId="9" borderId="5" xfId="0" applyNumberFormat="1" applyFont="1" applyFill="1" applyBorder="1"/>
    <xf numFmtId="2" fontId="7" fillId="9" borderId="26" xfId="0" applyNumberFormat="1" applyFont="1" applyFill="1" applyBorder="1"/>
    <xf numFmtId="0" fontId="0" fillId="0" borderId="5" xfId="0" applyBorder="1" applyAlignment="1">
      <alignment horizontal="left"/>
    </xf>
    <xf numFmtId="0" fontId="7" fillId="0" borderId="5" xfId="0" applyFont="1" applyBorder="1" applyAlignment="1">
      <alignment horizontal="left"/>
    </xf>
    <xf numFmtId="2" fontId="7" fillId="5" borderId="4" xfId="0" applyNumberFormat="1" applyFont="1" applyFill="1" applyBorder="1"/>
    <xf numFmtId="2" fontId="7" fillId="5" borderId="5" xfId="0" applyNumberFormat="1" applyFont="1" applyFill="1" applyBorder="1"/>
    <xf numFmtId="165" fontId="7" fillId="5" borderId="5" xfId="0" applyNumberFormat="1" applyFont="1" applyFill="1" applyBorder="1"/>
    <xf numFmtId="2" fontId="7" fillId="9" borderId="5" xfId="0" applyNumberFormat="1" applyFont="1" applyFill="1" applyBorder="1"/>
    <xf numFmtId="2" fontId="7" fillId="9" borderId="15" xfId="0" applyNumberFormat="1" applyFont="1" applyFill="1" applyBorder="1"/>
    <xf numFmtId="2" fontId="7" fillId="9" borderId="17" xfId="0" applyNumberFormat="1" applyFont="1" applyFill="1" applyBorder="1"/>
    <xf numFmtId="2" fontId="7" fillId="9" borderId="18" xfId="0" applyNumberFormat="1" applyFont="1" applyFill="1" applyBorder="1"/>
    <xf numFmtId="165" fontId="10" fillId="0" borderId="5" xfId="0" applyNumberFormat="1" applyFont="1" applyBorder="1" applyAlignment="1">
      <alignment horizontal="center"/>
    </xf>
    <xf numFmtId="165" fontId="10" fillId="5" borderId="5" xfId="0" applyNumberFormat="1" applyFont="1" applyFill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65" fontId="10" fillId="5" borderId="17" xfId="0" applyNumberFormat="1" applyFont="1" applyFill="1" applyBorder="1" applyAlignment="1">
      <alignment horizontal="center"/>
    </xf>
    <xf numFmtId="2" fontId="7" fillId="10" borderId="4" xfId="0" applyNumberFormat="1" applyFont="1" applyFill="1" applyBorder="1"/>
    <xf numFmtId="2" fontId="7" fillId="10" borderId="2" xfId="0" applyNumberFormat="1" applyFont="1" applyFill="1" applyBorder="1"/>
    <xf numFmtId="2" fontId="7" fillId="10" borderId="5" xfId="0" applyNumberFormat="1" applyFont="1" applyFill="1" applyBorder="1"/>
    <xf numFmtId="2" fontId="7" fillId="10" borderId="26" xfId="0" applyNumberFormat="1" applyFont="1" applyFill="1" applyBorder="1"/>
    <xf numFmtId="165" fontId="7" fillId="9" borderId="17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CE2FD-6781-40FC-9DD3-A79D8FD71BA2}">
  <dimension ref="A1:F5"/>
  <sheetViews>
    <sheetView zoomScale="85" zoomScaleNormal="85" workbookViewId="0">
      <selection activeCell="A3" sqref="A3:F5"/>
    </sheetView>
  </sheetViews>
  <sheetFormatPr defaultColWidth="8.85546875" defaultRowHeight="15" x14ac:dyDescent="0.25"/>
  <cols>
    <col min="1" max="1" width="18.140625" bestFit="1" customWidth="1"/>
    <col min="2" max="2" width="9.140625" bestFit="1" customWidth="1"/>
    <col min="3" max="3" width="9.140625" customWidth="1"/>
    <col min="4" max="4" width="9.85546875" bestFit="1" customWidth="1"/>
    <col min="5" max="5" width="9.7109375" bestFit="1" customWidth="1"/>
    <col min="6" max="6" width="93" bestFit="1" customWidth="1"/>
  </cols>
  <sheetData>
    <row r="1" spans="1:6" ht="15.7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15.75" thickBot="1" x14ac:dyDescent="0.3">
      <c r="A2" s="34" t="s">
        <v>6</v>
      </c>
      <c r="B2" s="35" t="s">
        <v>7</v>
      </c>
      <c r="C2" s="35" t="s">
        <v>7</v>
      </c>
      <c r="D2" s="35" t="s">
        <v>6</v>
      </c>
      <c r="E2" s="35" t="s">
        <v>8</v>
      </c>
      <c r="F2" s="36" t="s">
        <v>48</v>
      </c>
    </row>
    <row r="3" spans="1:6" ht="15.75" thickBot="1" x14ac:dyDescent="0.3">
      <c r="A3" s="37"/>
      <c r="B3" s="38"/>
      <c r="C3" s="38"/>
      <c r="D3" s="38"/>
      <c r="E3" s="38"/>
      <c r="F3" s="39"/>
    </row>
    <row r="4" spans="1:6" ht="15.75" thickBot="1" x14ac:dyDescent="0.3">
      <c r="A4" s="31"/>
      <c r="B4" s="32"/>
      <c r="C4" s="32"/>
      <c r="D4" s="32"/>
      <c r="E4" s="32"/>
      <c r="F4" s="33"/>
    </row>
    <row r="5" spans="1:6" ht="15.75" thickBot="1" x14ac:dyDescent="0.3">
      <c r="A5" s="34"/>
      <c r="B5" s="35"/>
      <c r="C5" s="35"/>
      <c r="D5" s="35"/>
      <c r="E5" s="35"/>
      <c r="F5" s="36"/>
    </row>
  </sheetData>
  <phoneticPr fontId="4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0214-6FED-4AAE-89F9-1D5B4098AAFA}">
  <dimension ref="A1:B2"/>
  <sheetViews>
    <sheetView workbookViewId="0">
      <selection activeCell="E37" sqref="E37"/>
    </sheetView>
  </sheetViews>
  <sheetFormatPr defaultColWidth="8.85546875" defaultRowHeight="15" x14ac:dyDescent="0.25"/>
  <cols>
    <col min="1" max="1" width="25" bestFit="1" customWidth="1"/>
  </cols>
  <sheetData>
    <row r="1" spans="1:2" x14ac:dyDescent="0.25">
      <c r="A1" s="2" t="s">
        <v>9</v>
      </c>
      <c r="B1" s="2" t="s">
        <v>10</v>
      </c>
    </row>
    <row r="2" spans="1:2" x14ac:dyDescent="0.25">
      <c r="A2" t="s">
        <v>11</v>
      </c>
      <c r="B2" s="20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E09ED-F67D-48C5-A45C-B5C1D3FFCA1B}">
  <sheetPr>
    <tabColor rgb="FFFF0000"/>
  </sheetPr>
  <dimension ref="A1:D4"/>
  <sheetViews>
    <sheetView workbookViewId="0">
      <selection activeCell="A2" sqref="A2:D4"/>
    </sheetView>
  </sheetViews>
  <sheetFormatPr defaultColWidth="8.85546875" defaultRowHeight="15" x14ac:dyDescent="0.25"/>
  <cols>
    <col min="2" max="2" width="41.5703125" bestFit="1" customWidth="1"/>
    <col min="3" max="3" width="16.85546875" customWidth="1"/>
    <col min="4" max="4" width="32.5703125" bestFit="1" customWidth="1"/>
    <col min="6" max="6" width="19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15</v>
      </c>
    </row>
    <row r="2" spans="1:4" x14ac:dyDescent="0.25">
      <c r="A2" s="49"/>
      <c r="B2" s="47"/>
      <c r="C2" s="48"/>
      <c r="D2" s="50"/>
    </row>
    <row r="3" spans="1:4" x14ac:dyDescent="0.25">
      <c r="A3" s="58"/>
      <c r="B3" s="58"/>
      <c r="C3" s="59"/>
      <c r="D3" s="54"/>
    </row>
    <row r="4" spans="1:4" ht="15.75" thickBot="1" x14ac:dyDescent="0.3">
      <c r="A4" s="55"/>
      <c r="B4" s="56"/>
      <c r="C4" s="57"/>
      <c r="D4" s="3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8169-816E-4A96-B7EF-FCE84B2F63AE}">
  <sheetPr>
    <tabColor rgb="FFFF0000"/>
  </sheetPr>
  <dimension ref="A1:Q1"/>
  <sheetViews>
    <sheetView zoomScale="130" zoomScaleNormal="130" workbookViewId="0">
      <selection activeCell="H18" sqref="H18"/>
    </sheetView>
  </sheetViews>
  <sheetFormatPr defaultColWidth="8.85546875" defaultRowHeight="15" x14ac:dyDescent="0.25"/>
  <cols>
    <col min="1" max="1" width="8.5703125" bestFit="1" customWidth="1"/>
    <col min="2" max="2" width="18.5703125" bestFit="1" customWidth="1"/>
    <col min="3" max="3" width="34.5703125" bestFit="1" customWidth="1"/>
    <col min="4" max="4" width="12.28515625" bestFit="1" customWidth="1"/>
    <col min="5" max="5" width="8.42578125" bestFit="1" customWidth="1"/>
    <col min="6" max="7" width="7.5703125" bestFit="1" customWidth="1"/>
    <col min="8" max="8" width="6.42578125" bestFit="1" customWidth="1"/>
    <col min="9" max="10" width="6.5703125" bestFit="1" customWidth="1"/>
    <col min="11" max="12" width="5.85546875" bestFit="1" customWidth="1"/>
    <col min="13" max="13" width="5.42578125" bestFit="1" customWidth="1"/>
    <col min="14" max="14" width="5.28515625" bestFit="1" customWidth="1"/>
    <col min="15" max="17" width="7.28515625" bestFit="1" customWidth="1"/>
  </cols>
  <sheetData>
    <row r="1" spans="1:17" ht="15.75" thickBot="1" x14ac:dyDescent="0.3">
      <c r="A1" s="3" t="s">
        <v>12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  <c r="P1" s="4" t="s">
        <v>30</v>
      </c>
      <c r="Q1" s="5" t="s">
        <v>31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D96C-4A4A-43AA-A25B-C3E8B3533E2E}">
  <sheetPr>
    <tabColor rgb="FF00B050"/>
  </sheetPr>
  <dimension ref="A1:N48"/>
  <sheetViews>
    <sheetView topLeftCell="C1" zoomScale="70" zoomScaleNormal="70" workbookViewId="0">
      <pane ySplit="1" topLeftCell="A9" activePane="bottomLeft" state="frozen"/>
      <selection activeCell="G1" sqref="G1"/>
      <selection pane="bottomLeft" activeCell="A2" sqref="A2:N48"/>
    </sheetView>
  </sheetViews>
  <sheetFormatPr defaultColWidth="8.85546875" defaultRowHeight="15" x14ac:dyDescent="0.25"/>
  <cols>
    <col min="1" max="1" width="14.140625" style="25" customWidth="1"/>
    <col min="2" max="2" width="39.5703125" style="25" customWidth="1"/>
    <col min="3" max="3" width="18.85546875" style="25" bestFit="1" customWidth="1"/>
    <col min="4" max="4" width="66.5703125" style="25" bestFit="1" customWidth="1"/>
    <col min="5" max="5" width="17.42578125" style="25" customWidth="1"/>
    <col min="6" max="6" width="15" style="25" customWidth="1"/>
    <col min="7" max="7" width="55.5703125" style="25" customWidth="1"/>
    <col min="8" max="8" width="59.5703125" style="25" customWidth="1"/>
    <col min="9" max="9" width="13.140625" style="25" bestFit="1" customWidth="1"/>
    <col min="10" max="10" width="16.140625" style="25" customWidth="1"/>
    <col min="11" max="11" width="23.7109375" style="25" customWidth="1"/>
    <col min="12" max="12" width="8.85546875" style="25" customWidth="1"/>
    <col min="13" max="13" width="18.7109375" style="25" customWidth="1"/>
    <col min="14" max="14" width="44.140625" style="25" customWidth="1"/>
    <col min="15" max="16384" width="8.85546875" style="25"/>
  </cols>
  <sheetData>
    <row r="1" spans="1:14" ht="30.75" thickBot="1" x14ac:dyDescent="0.3">
      <c r="A1" s="114" t="s">
        <v>12</v>
      </c>
      <c r="B1" s="115" t="s">
        <v>9</v>
      </c>
      <c r="C1" s="115" t="s">
        <v>18</v>
      </c>
      <c r="D1" s="115" t="s">
        <v>33</v>
      </c>
      <c r="E1" s="116" t="s">
        <v>34</v>
      </c>
      <c r="F1" s="115" t="s">
        <v>22</v>
      </c>
      <c r="G1" s="117" t="s">
        <v>35</v>
      </c>
      <c r="H1" s="117" t="s">
        <v>36</v>
      </c>
      <c r="I1" s="115" t="s">
        <v>28</v>
      </c>
      <c r="J1" s="116" t="s">
        <v>37</v>
      </c>
      <c r="K1" s="116" t="s">
        <v>38</v>
      </c>
      <c r="L1" s="118" t="s">
        <v>39</v>
      </c>
      <c r="M1" s="119" t="s">
        <v>40</v>
      </c>
      <c r="N1" s="120" t="s">
        <v>41</v>
      </c>
    </row>
    <row r="2" spans="1:14" x14ac:dyDescent="0.25">
      <c r="A2" s="128"/>
      <c r="B2" s="129"/>
      <c r="C2" s="129"/>
      <c r="D2" s="129"/>
      <c r="E2" s="129"/>
      <c r="F2" s="129"/>
      <c r="G2" s="108"/>
      <c r="H2" s="108"/>
      <c r="I2" s="109"/>
      <c r="J2" s="109"/>
      <c r="K2" s="109"/>
      <c r="L2" s="109"/>
      <c r="M2" s="109"/>
      <c r="N2" s="110"/>
    </row>
    <row r="3" spans="1:14" x14ac:dyDescent="0.25">
      <c r="A3" s="130"/>
      <c r="B3" s="125"/>
      <c r="C3" s="125"/>
      <c r="D3" s="125"/>
      <c r="E3" s="125"/>
      <c r="F3" s="125"/>
      <c r="G3" s="102"/>
      <c r="H3" s="102"/>
      <c r="I3" s="103"/>
      <c r="J3" s="103"/>
      <c r="K3" s="126"/>
      <c r="L3" s="103"/>
      <c r="M3" s="103"/>
      <c r="N3" s="111"/>
    </row>
    <row r="4" spans="1:14" x14ac:dyDescent="0.25">
      <c r="A4" s="130"/>
      <c r="B4" s="125"/>
      <c r="C4" s="125"/>
      <c r="D4" s="125"/>
      <c r="E4" s="125"/>
      <c r="F4" s="125"/>
      <c r="G4" s="102"/>
      <c r="H4" s="102"/>
      <c r="I4" s="103"/>
      <c r="J4" s="103"/>
      <c r="K4" s="103"/>
      <c r="L4" s="103"/>
      <c r="M4" s="103"/>
      <c r="N4" s="111"/>
    </row>
    <row r="5" spans="1:14" x14ac:dyDescent="0.25">
      <c r="A5" s="130"/>
      <c r="B5" s="125"/>
      <c r="C5" s="125"/>
      <c r="D5" s="125"/>
      <c r="E5" s="125"/>
      <c r="F5" s="125"/>
      <c r="G5" s="102"/>
      <c r="H5" s="102"/>
      <c r="I5" s="103"/>
      <c r="J5" s="103"/>
      <c r="K5" s="126"/>
      <c r="L5" s="103"/>
      <c r="M5" s="103"/>
      <c r="N5" s="111"/>
    </row>
    <row r="6" spans="1:14" x14ac:dyDescent="0.25">
      <c r="A6" s="130"/>
      <c r="B6" s="125"/>
      <c r="C6" s="125"/>
      <c r="D6" s="125"/>
      <c r="E6" s="125"/>
      <c r="F6" s="125"/>
      <c r="G6" s="102"/>
      <c r="H6" s="102"/>
      <c r="I6" s="103"/>
      <c r="J6" s="103"/>
      <c r="K6" s="126"/>
      <c r="L6" s="103"/>
      <c r="M6" s="103"/>
      <c r="N6" s="111"/>
    </row>
    <row r="7" spans="1:14" x14ac:dyDescent="0.25">
      <c r="A7" s="130"/>
      <c r="B7" s="125"/>
      <c r="C7" s="125"/>
      <c r="D7" s="125"/>
      <c r="E7" s="125"/>
      <c r="F7" s="125"/>
      <c r="G7" s="102"/>
      <c r="H7" s="102"/>
      <c r="I7" s="103"/>
      <c r="J7" s="103"/>
      <c r="K7" s="103"/>
      <c r="L7" s="103"/>
      <c r="M7" s="103"/>
      <c r="N7" s="111"/>
    </row>
    <row r="8" spans="1:14" x14ac:dyDescent="0.25">
      <c r="A8" s="130"/>
      <c r="B8" s="125"/>
      <c r="C8" s="125"/>
      <c r="D8" s="125"/>
      <c r="E8" s="125"/>
      <c r="F8" s="125"/>
      <c r="G8" s="102"/>
      <c r="H8" s="102"/>
      <c r="I8" s="103"/>
      <c r="J8" s="103"/>
      <c r="K8" s="103"/>
      <c r="L8" s="103"/>
      <c r="M8" s="103"/>
      <c r="N8" s="111"/>
    </row>
    <row r="9" spans="1:14" x14ac:dyDescent="0.25">
      <c r="A9" s="130"/>
      <c r="B9" s="125"/>
      <c r="C9" s="125"/>
      <c r="D9" s="125"/>
      <c r="E9" s="125"/>
      <c r="F9" s="125"/>
      <c r="G9" s="102"/>
      <c r="H9" s="102"/>
      <c r="I9" s="103"/>
      <c r="J9" s="103"/>
      <c r="K9" s="103"/>
      <c r="L9" s="103"/>
      <c r="M9" s="103"/>
      <c r="N9" s="111"/>
    </row>
    <row r="10" spans="1:14" x14ac:dyDescent="0.25">
      <c r="A10" s="130"/>
      <c r="B10" s="125"/>
      <c r="C10" s="125"/>
      <c r="D10" s="125"/>
      <c r="E10" s="125"/>
      <c r="F10" s="125"/>
      <c r="G10" s="102"/>
      <c r="H10" s="102"/>
      <c r="I10" s="103"/>
      <c r="J10" s="103"/>
      <c r="K10" s="103"/>
      <c r="L10" s="103"/>
      <c r="M10" s="103"/>
      <c r="N10" s="111"/>
    </row>
    <row r="11" spans="1:14" x14ac:dyDescent="0.25">
      <c r="A11" s="130"/>
      <c r="B11" s="125"/>
      <c r="C11" s="125"/>
      <c r="D11" s="125"/>
      <c r="E11" s="125"/>
      <c r="F11" s="125"/>
      <c r="G11" s="102"/>
      <c r="H11" s="102"/>
      <c r="I11" s="103"/>
      <c r="J11" s="103"/>
      <c r="K11" s="103"/>
      <c r="L11" s="103"/>
      <c r="M11" s="103"/>
      <c r="N11" s="111"/>
    </row>
    <row r="12" spans="1:14" x14ac:dyDescent="0.25">
      <c r="A12" s="130"/>
      <c r="B12" s="125"/>
      <c r="C12" s="125"/>
      <c r="D12" s="125"/>
      <c r="E12" s="125"/>
      <c r="F12" s="125"/>
      <c r="G12" s="102"/>
      <c r="H12" s="102"/>
      <c r="I12" s="103"/>
      <c r="J12" s="103"/>
      <c r="K12" s="127"/>
      <c r="L12" s="103"/>
      <c r="M12" s="103"/>
      <c r="N12" s="111"/>
    </row>
    <row r="13" spans="1:14" x14ac:dyDescent="0.25">
      <c r="A13" s="130"/>
      <c r="B13" s="125"/>
      <c r="C13" s="125"/>
      <c r="D13" s="125"/>
      <c r="E13" s="125"/>
      <c r="F13" s="125"/>
      <c r="G13" s="102"/>
      <c r="H13" s="102"/>
      <c r="I13" s="103"/>
      <c r="J13" s="103"/>
      <c r="K13" s="127"/>
      <c r="L13" s="103"/>
      <c r="M13" s="103"/>
      <c r="N13" s="111"/>
    </row>
    <row r="14" spans="1:14" x14ac:dyDescent="0.25">
      <c r="A14" s="130"/>
      <c r="B14" s="125"/>
      <c r="C14" s="125"/>
      <c r="D14" s="125"/>
      <c r="E14" s="125"/>
      <c r="F14" s="125"/>
      <c r="G14" s="102"/>
      <c r="H14" s="102"/>
      <c r="I14" s="103"/>
      <c r="J14" s="103"/>
      <c r="K14" s="127"/>
      <c r="L14" s="103"/>
      <c r="M14" s="103"/>
      <c r="N14" s="111"/>
    </row>
    <row r="15" spans="1:14" ht="15.75" thickBot="1" x14ac:dyDescent="0.3">
      <c r="A15" s="99"/>
      <c r="B15" s="100"/>
      <c r="C15" s="100"/>
      <c r="D15" s="100"/>
      <c r="E15" s="100"/>
      <c r="F15" s="100"/>
      <c r="G15" s="66"/>
      <c r="H15" s="66"/>
      <c r="I15" s="67"/>
      <c r="J15" s="67"/>
      <c r="K15" s="101"/>
      <c r="L15" s="67"/>
      <c r="M15" s="67"/>
      <c r="N15" s="68"/>
    </row>
    <row r="16" spans="1:14" x14ac:dyDescent="0.25">
      <c r="A16" s="79"/>
      <c r="B16" s="89"/>
      <c r="C16" s="89"/>
      <c r="D16" s="89"/>
      <c r="E16" s="89"/>
      <c r="F16" s="89"/>
      <c r="G16" s="121"/>
      <c r="H16" s="121"/>
      <c r="I16" s="122"/>
      <c r="J16" s="122"/>
      <c r="K16" s="123"/>
      <c r="L16" s="122"/>
      <c r="M16" s="122"/>
      <c r="N16" s="124"/>
    </row>
    <row r="17" spans="1:14" x14ac:dyDescent="0.25">
      <c r="A17" s="75"/>
      <c r="B17" s="88"/>
      <c r="C17" s="88"/>
      <c r="D17" s="88"/>
      <c r="E17" s="88"/>
      <c r="F17" s="88"/>
      <c r="G17" s="102"/>
      <c r="H17" s="102"/>
      <c r="I17" s="103"/>
      <c r="J17" s="103"/>
      <c r="K17" s="103"/>
      <c r="L17" s="103"/>
      <c r="M17" s="103"/>
      <c r="N17" s="111"/>
    </row>
    <row r="18" spans="1:14" x14ac:dyDescent="0.25">
      <c r="A18" s="75"/>
      <c r="B18" s="88"/>
      <c r="C18" s="88"/>
      <c r="D18" s="88"/>
      <c r="E18" s="88"/>
      <c r="F18" s="88"/>
      <c r="G18" s="102"/>
      <c r="H18" s="102"/>
      <c r="I18" s="103"/>
      <c r="J18" s="103"/>
      <c r="K18" s="103"/>
      <c r="L18" s="103"/>
      <c r="M18" s="103"/>
      <c r="N18" s="111"/>
    </row>
    <row r="19" spans="1:14" x14ac:dyDescent="0.25">
      <c r="A19" s="75"/>
      <c r="B19" s="88"/>
      <c r="C19" s="88"/>
      <c r="D19" s="88"/>
      <c r="E19" s="88"/>
      <c r="F19" s="88"/>
      <c r="G19" s="102"/>
      <c r="H19" s="102"/>
      <c r="I19" s="103"/>
      <c r="J19" s="103"/>
      <c r="K19" s="104"/>
      <c r="L19" s="103"/>
      <c r="M19" s="103"/>
      <c r="N19" s="111"/>
    </row>
    <row r="20" spans="1:14" x14ac:dyDescent="0.25">
      <c r="A20" s="75"/>
      <c r="B20" s="88"/>
      <c r="C20" s="88"/>
      <c r="D20" s="88"/>
      <c r="E20" s="88"/>
      <c r="F20" s="88"/>
      <c r="G20" s="102"/>
      <c r="H20" s="102"/>
      <c r="I20" s="103"/>
      <c r="J20" s="103"/>
      <c r="K20" s="103"/>
      <c r="L20" s="103"/>
      <c r="M20" s="103"/>
      <c r="N20" s="111"/>
    </row>
    <row r="21" spans="1:14" x14ac:dyDescent="0.25">
      <c r="A21" s="75"/>
      <c r="B21" s="88"/>
      <c r="C21" s="88"/>
      <c r="D21" s="88"/>
      <c r="E21" s="88"/>
      <c r="F21" s="88"/>
      <c r="G21" s="102"/>
      <c r="H21" s="102"/>
      <c r="I21" s="103"/>
      <c r="J21" s="103"/>
      <c r="K21" s="103"/>
      <c r="L21" s="103"/>
      <c r="M21" s="103"/>
      <c r="N21" s="111"/>
    </row>
    <row r="22" spans="1:14" x14ac:dyDescent="0.25">
      <c r="A22" s="75"/>
      <c r="B22" s="88"/>
      <c r="C22" s="88"/>
      <c r="D22" s="88"/>
      <c r="E22" s="88"/>
      <c r="F22" s="88"/>
      <c r="G22" s="102"/>
      <c r="H22" s="102"/>
      <c r="I22" s="103"/>
      <c r="J22" s="103"/>
      <c r="K22" s="127"/>
      <c r="L22" s="103"/>
      <c r="M22" s="103"/>
      <c r="N22" s="111"/>
    </row>
    <row r="23" spans="1:14" x14ac:dyDescent="0.25">
      <c r="A23" s="75"/>
      <c r="B23" s="88"/>
      <c r="C23" s="88"/>
      <c r="D23" s="88"/>
      <c r="E23" s="88"/>
      <c r="F23" s="88"/>
      <c r="G23" s="102"/>
      <c r="H23" s="102"/>
      <c r="I23" s="103"/>
      <c r="J23" s="103"/>
      <c r="K23" s="127"/>
      <c r="L23" s="103"/>
      <c r="M23" s="103"/>
      <c r="N23" s="111"/>
    </row>
    <row r="24" spans="1:14" x14ac:dyDescent="0.25">
      <c r="A24" s="75"/>
      <c r="B24" s="88"/>
      <c r="C24" s="88"/>
      <c r="D24" s="88"/>
      <c r="E24" s="88"/>
      <c r="F24" s="88"/>
      <c r="G24" s="102"/>
      <c r="H24" s="102"/>
      <c r="I24" s="103"/>
      <c r="J24" s="103"/>
      <c r="K24" s="127"/>
      <c r="L24" s="103"/>
      <c r="M24" s="103"/>
      <c r="N24" s="111"/>
    </row>
    <row r="25" spans="1:14" x14ac:dyDescent="0.25">
      <c r="A25" s="75"/>
      <c r="B25" s="88"/>
      <c r="C25" s="88"/>
      <c r="D25" s="88"/>
      <c r="E25" s="88"/>
      <c r="F25" s="88"/>
      <c r="G25" s="102"/>
      <c r="H25" s="102"/>
      <c r="I25" s="103"/>
      <c r="J25" s="103"/>
      <c r="K25" s="127"/>
      <c r="L25" s="103"/>
      <c r="M25" s="103"/>
      <c r="N25" s="111"/>
    </row>
    <row r="26" spans="1:14" x14ac:dyDescent="0.25">
      <c r="A26" s="75"/>
      <c r="B26" s="88"/>
      <c r="C26" s="88"/>
      <c r="D26" s="88"/>
      <c r="E26" s="88"/>
      <c r="F26" s="88"/>
      <c r="G26" s="102"/>
      <c r="H26" s="102"/>
      <c r="I26" s="103"/>
      <c r="J26" s="103"/>
      <c r="K26" s="103"/>
      <c r="L26" s="103"/>
      <c r="M26" s="103"/>
      <c r="N26" s="111"/>
    </row>
    <row r="27" spans="1:14" x14ac:dyDescent="0.25">
      <c r="A27" s="75"/>
      <c r="B27" s="88"/>
      <c r="C27" s="88"/>
      <c r="D27" s="88"/>
      <c r="E27" s="88"/>
      <c r="F27" s="88"/>
      <c r="G27" s="102"/>
      <c r="H27" s="102"/>
      <c r="I27" s="103"/>
      <c r="J27" s="103"/>
      <c r="K27" s="127"/>
      <c r="L27" s="103"/>
      <c r="M27" s="103"/>
      <c r="N27" s="111"/>
    </row>
    <row r="28" spans="1:14" x14ac:dyDescent="0.25">
      <c r="A28" s="75"/>
      <c r="B28" s="88"/>
      <c r="C28" s="88"/>
      <c r="D28" s="88"/>
      <c r="E28" s="88"/>
      <c r="F28" s="88"/>
      <c r="G28" s="102"/>
      <c r="H28" s="102"/>
      <c r="I28" s="103"/>
      <c r="J28" s="103"/>
      <c r="K28" s="127"/>
      <c r="L28" s="103"/>
      <c r="M28" s="103"/>
      <c r="N28" s="111"/>
    </row>
    <row r="29" spans="1:14" x14ac:dyDescent="0.25">
      <c r="A29" s="75"/>
      <c r="B29" s="27"/>
      <c r="C29" s="27"/>
      <c r="D29" s="88"/>
      <c r="E29" s="88"/>
      <c r="F29" s="88"/>
      <c r="G29" s="102"/>
      <c r="H29" s="102"/>
      <c r="I29" s="105"/>
      <c r="J29" s="105"/>
      <c r="K29" s="151"/>
      <c r="L29" s="105"/>
      <c r="M29" s="105"/>
      <c r="N29" s="111"/>
    </row>
    <row r="30" spans="1:14" x14ac:dyDescent="0.25">
      <c r="A30" s="75"/>
      <c r="B30" s="27"/>
      <c r="C30" s="27"/>
      <c r="D30" s="88"/>
      <c r="E30" s="88"/>
      <c r="F30" s="88"/>
      <c r="G30" s="102"/>
      <c r="H30" s="102"/>
      <c r="I30" s="105"/>
      <c r="J30" s="105"/>
      <c r="K30" s="152"/>
      <c r="L30" s="105"/>
      <c r="M30" s="105"/>
      <c r="N30" s="111"/>
    </row>
    <row r="31" spans="1:14" x14ac:dyDescent="0.25">
      <c r="A31" s="75"/>
      <c r="B31" s="27"/>
      <c r="C31" s="27"/>
      <c r="D31" s="88"/>
      <c r="E31" s="88"/>
      <c r="F31" s="88"/>
      <c r="G31" s="102"/>
      <c r="H31" s="102"/>
      <c r="I31" s="105"/>
      <c r="J31" s="105"/>
      <c r="K31" s="106"/>
      <c r="L31" s="105"/>
      <c r="M31" s="105"/>
      <c r="N31" s="111"/>
    </row>
    <row r="32" spans="1:14" x14ac:dyDescent="0.25">
      <c r="A32" s="75"/>
      <c r="B32" s="27"/>
      <c r="C32" s="27"/>
      <c r="D32" s="88"/>
      <c r="E32" s="88"/>
      <c r="F32" s="88"/>
      <c r="G32" s="102"/>
      <c r="H32" s="102"/>
      <c r="I32" s="105"/>
      <c r="J32" s="105"/>
      <c r="K32" s="107"/>
      <c r="L32" s="105"/>
      <c r="M32" s="105"/>
      <c r="N32" s="111"/>
    </row>
    <row r="33" spans="1:14" x14ac:dyDescent="0.25">
      <c r="A33" s="75"/>
      <c r="B33" s="27"/>
      <c r="C33" s="27"/>
      <c r="D33" s="88"/>
      <c r="E33" s="88"/>
      <c r="F33" s="88"/>
      <c r="G33" s="102"/>
      <c r="H33" s="102"/>
      <c r="I33" s="105"/>
      <c r="J33" s="105"/>
      <c r="K33" s="105"/>
      <c r="L33" s="105"/>
      <c r="M33" s="105"/>
      <c r="N33" s="111"/>
    </row>
    <row r="34" spans="1:14" x14ac:dyDescent="0.25">
      <c r="A34" s="75"/>
      <c r="B34" s="27"/>
      <c r="C34" s="27"/>
      <c r="D34" s="88"/>
      <c r="E34" s="88"/>
      <c r="F34" s="88"/>
      <c r="G34" s="102"/>
      <c r="H34" s="102"/>
      <c r="I34" s="105"/>
      <c r="J34" s="105"/>
      <c r="K34" s="107"/>
      <c r="L34" s="105"/>
      <c r="M34" s="105"/>
      <c r="N34" s="111"/>
    </row>
    <row r="35" spans="1:14" x14ac:dyDescent="0.25">
      <c r="A35" s="75"/>
      <c r="B35" s="27"/>
      <c r="C35" s="27"/>
      <c r="D35" s="88"/>
      <c r="E35" s="88"/>
      <c r="F35" s="88"/>
      <c r="G35" s="102"/>
      <c r="H35" s="102"/>
      <c r="I35" s="105"/>
      <c r="J35" s="105"/>
      <c r="K35" s="106"/>
      <c r="L35" s="105"/>
      <c r="M35" s="105"/>
      <c r="N35" s="111"/>
    </row>
    <row r="36" spans="1:14" x14ac:dyDescent="0.25">
      <c r="A36" s="75"/>
      <c r="B36" s="27"/>
      <c r="C36" s="27"/>
      <c r="D36" s="88"/>
      <c r="E36" s="88"/>
      <c r="F36" s="88"/>
      <c r="G36" s="102"/>
      <c r="H36" s="102"/>
      <c r="I36" s="105"/>
      <c r="J36" s="105"/>
      <c r="K36" s="107"/>
      <c r="L36" s="105"/>
      <c r="M36" s="105"/>
      <c r="N36" s="111"/>
    </row>
    <row r="37" spans="1:14" x14ac:dyDescent="0.25">
      <c r="A37" s="75"/>
      <c r="B37" s="27"/>
      <c r="C37" s="27"/>
      <c r="D37" s="88"/>
      <c r="E37" s="88"/>
      <c r="F37" s="88"/>
      <c r="G37" s="102"/>
      <c r="H37" s="102"/>
      <c r="I37" s="105"/>
      <c r="J37" s="105"/>
      <c r="K37" s="105"/>
      <c r="L37" s="105"/>
      <c r="M37" s="105"/>
      <c r="N37" s="111"/>
    </row>
    <row r="38" spans="1:14" x14ac:dyDescent="0.25">
      <c r="A38" s="75"/>
      <c r="B38" s="27"/>
      <c r="C38" s="27"/>
      <c r="D38" s="88"/>
      <c r="E38" s="88"/>
      <c r="F38" s="88"/>
      <c r="G38" s="102"/>
      <c r="H38" s="102"/>
      <c r="I38" s="105"/>
      <c r="J38" s="105"/>
      <c r="K38" s="107"/>
      <c r="L38" s="105"/>
      <c r="M38" s="105"/>
      <c r="N38" s="111"/>
    </row>
    <row r="39" spans="1:14" x14ac:dyDescent="0.25">
      <c r="A39" s="75"/>
      <c r="B39" s="27"/>
      <c r="C39" s="27"/>
      <c r="D39" s="88"/>
      <c r="E39" s="88"/>
      <c r="F39" s="88"/>
      <c r="G39" s="102"/>
      <c r="H39" s="102"/>
      <c r="I39" s="105"/>
      <c r="J39" s="105"/>
      <c r="K39" s="105"/>
      <c r="L39" s="105"/>
      <c r="M39" s="105"/>
      <c r="N39" s="111"/>
    </row>
    <row r="40" spans="1:14" x14ac:dyDescent="0.25">
      <c r="A40" s="75"/>
      <c r="B40" s="27"/>
      <c r="C40" s="27"/>
      <c r="D40" s="88"/>
      <c r="E40" s="88"/>
      <c r="F40" s="88"/>
      <c r="G40" s="102"/>
      <c r="H40" s="102"/>
      <c r="I40" s="105"/>
      <c r="J40" s="105"/>
      <c r="K40" s="107"/>
      <c r="L40" s="105"/>
      <c r="M40" s="105"/>
      <c r="N40" s="111"/>
    </row>
    <row r="41" spans="1:14" x14ac:dyDescent="0.25">
      <c r="A41" s="75"/>
      <c r="B41" s="27"/>
      <c r="C41" s="27"/>
      <c r="D41" s="88"/>
      <c r="E41" s="88"/>
      <c r="F41" s="88"/>
      <c r="G41" s="102"/>
      <c r="H41" s="102"/>
      <c r="I41" s="105"/>
      <c r="J41" s="105"/>
      <c r="K41" s="105"/>
      <c r="L41" s="105"/>
      <c r="M41" s="105"/>
      <c r="N41" s="111"/>
    </row>
    <row r="42" spans="1:14" x14ac:dyDescent="0.25">
      <c r="A42" s="75"/>
      <c r="B42" s="27"/>
      <c r="C42" s="27"/>
      <c r="D42" s="88"/>
      <c r="E42" s="88"/>
      <c r="F42" s="88"/>
      <c r="G42" s="102"/>
      <c r="H42" s="102"/>
      <c r="I42" s="105"/>
      <c r="J42" s="105"/>
      <c r="K42" s="107"/>
      <c r="L42" s="105"/>
      <c r="M42" s="105"/>
      <c r="N42" s="111"/>
    </row>
    <row r="43" spans="1:14" x14ac:dyDescent="0.25">
      <c r="A43" s="75"/>
      <c r="B43" s="27"/>
      <c r="C43" s="27"/>
      <c r="D43" s="88"/>
      <c r="E43" s="88"/>
      <c r="F43" s="88"/>
      <c r="G43" s="102"/>
      <c r="H43" s="102"/>
      <c r="I43" s="105"/>
      <c r="J43" s="105"/>
      <c r="K43" s="153"/>
      <c r="L43" s="105"/>
      <c r="M43" s="105"/>
      <c r="N43" s="111"/>
    </row>
    <row r="44" spans="1:14" x14ac:dyDescent="0.25">
      <c r="A44" s="75"/>
      <c r="B44" s="27"/>
      <c r="C44" s="27"/>
      <c r="D44" s="88"/>
      <c r="E44" s="88"/>
      <c r="F44" s="88"/>
      <c r="G44" s="102"/>
      <c r="H44" s="102"/>
      <c r="I44" s="105"/>
      <c r="J44" s="105"/>
      <c r="K44" s="152"/>
      <c r="L44" s="105"/>
      <c r="M44" s="105"/>
      <c r="N44" s="111"/>
    </row>
    <row r="45" spans="1:14" x14ac:dyDescent="0.25">
      <c r="A45" s="75"/>
      <c r="B45" s="27"/>
      <c r="C45" s="27"/>
      <c r="D45" s="88"/>
      <c r="E45" s="88"/>
      <c r="F45" s="88"/>
      <c r="G45" s="102"/>
      <c r="H45" s="102"/>
      <c r="I45" s="105"/>
      <c r="J45" s="105"/>
      <c r="K45" s="153"/>
      <c r="L45" s="105"/>
      <c r="M45" s="105"/>
      <c r="N45" s="111"/>
    </row>
    <row r="46" spans="1:14" x14ac:dyDescent="0.25">
      <c r="A46" s="75"/>
      <c r="B46" s="27"/>
      <c r="C46" s="27"/>
      <c r="D46" s="88"/>
      <c r="E46" s="88"/>
      <c r="F46" s="88"/>
      <c r="G46" s="102"/>
      <c r="H46" s="102"/>
      <c r="I46" s="105"/>
      <c r="J46" s="105"/>
      <c r="K46" s="152"/>
      <c r="L46" s="105"/>
      <c r="M46" s="105"/>
      <c r="N46" s="111"/>
    </row>
    <row r="47" spans="1:14" x14ac:dyDescent="0.25">
      <c r="A47" s="75"/>
      <c r="B47" s="27"/>
      <c r="C47" s="27"/>
      <c r="D47" s="88"/>
      <c r="E47" s="88"/>
      <c r="F47" s="88"/>
      <c r="G47" s="102"/>
      <c r="H47" s="102"/>
      <c r="I47" s="105"/>
      <c r="J47" s="105"/>
      <c r="K47" s="153"/>
      <c r="L47" s="105"/>
      <c r="M47" s="105"/>
      <c r="N47" s="111"/>
    </row>
    <row r="48" spans="1:14" ht="15.75" thickBot="1" x14ac:dyDescent="0.3">
      <c r="A48" s="76"/>
      <c r="B48" s="78"/>
      <c r="C48" s="78"/>
      <c r="D48" s="112"/>
      <c r="E48" s="112"/>
      <c r="F48" s="112"/>
      <c r="G48" s="66"/>
      <c r="H48" s="66"/>
      <c r="I48" s="105"/>
      <c r="J48" s="113"/>
      <c r="K48" s="154"/>
      <c r="L48" s="113"/>
      <c r="M48" s="113"/>
      <c r="N48" s="68"/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DEA80-95B5-46B7-8877-6E7973A698EF}">
  <sheetPr>
    <tabColor rgb="FFFF0000"/>
  </sheetPr>
  <dimension ref="A1:D4"/>
  <sheetViews>
    <sheetView workbookViewId="0">
      <selection activeCell="A2" sqref="A2:D4"/>
    </sheetView>
  </sheetViews>
  <sheetFormatPr defaultColWidth="8.85546875" defaultRowHeight="15" x14ac:dyDescent="0.25"/>
  <cols>
    <col min="1" max="1" width="8.42578125" bestFit="1" customWidth="1"/>
    <col min="2" max="2" width="34.42578125" bestFit="1" customWidth="1"/>
    <col min="3" max="3" width="18.5703125" bestFit="1" customWidth="1"/>
    <col min="4" max="4" width="37.42578125" bestFit="1" customWidth="1"/>
  </cols>
  <sheetData>
    <row r="1" spans="1:4" ht="15.75" thickBot="1" x14ac:dyDescent="0.3">
      <c r="A1" s="3" t="s">
        <v>12</v>
      </c>
      <c r="B1" s="4" t="s">
        <v>13</v>
      </c>
      <c r="C1" s="4" t="s">
        <v>14</v>
      </c>
      <c r="D1" s="5" t="s">
        <v>32</v>
      </c>
    </row>
    <row r="2" spans="1:4" x14ac:dyDescent="0.25">
      <c r="A2" s="60"/>
      <c r="B2" s="61"/>
      <c r="C2" s="62"/>
      <c r="D2" s="63"/>
    </row>
    <row r="3" spans="1:4" x14ac:dyDescent="0.25">
      <c r="A3" s="64"/>
      <c r="B3" s="58"/>
      <c r="C3" s="59"/>
      <c r="D3" s="65"/>
    </row>
    <row r="4" spans="1:4" ht="15.75" thickBot="1" x14ac:dyDescent="0.3">
      <c r="A4" s="31"/>
      <c r="B4" s="51"/>
      <c r="C4" s="52"/>
      <c r="D4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273D3-03DD-492F-9A04-FE201DBE063D}">
  <dimension ref="A1:AU1"/>
  <sheetViews>
    <sheetView workbookViewId="0"/>
  </sheetViews>
  <sheetFormatPr defaultColWidth="10.85546875" defaultRowHeight="15" x14ac:dyDescent="0.25"/>
  <cols>
    <col min="2" max="2" width="20.85546875" bestFit="1" customWidth="1"/>
  </cols>
  <sheetData>
    <row r="1" spans="1:47" ht="45.75" thickBot="1" x14ac:dyDescent="0.3">
      <c r="A1" s="11" t="s">
        <v>12</v>
      </c>
      <c r="B1" s="12" t="s">
        <v>9</v>
      </c>
      <c r="C1" s="12" t="s">
        <v>44</v>
      </c>
      <c r="D1" s="12" t="s">
        <v>45</v>
      </c>
      <c r="E1" s="12" t="s">
        <v>17</v>
      </c>
      <c r="F1" s="14" t="s">
        <v>34</v>
      </c>
      <c r="G1" s="15" t="s">
        <v>3</v>
      </c>
      <c r="H1" s="16" t="s">
        <v>41</v>
      </c>
      <c r="I1" s="11" t="s">
        <v>28</v>
      </c>
      <c r="J1" s="12" t="s">
        <v>29</v>
      </c>
      <c r="K1" s="12" t="s">
        <v>30</v>
      </c>
      <c r="L1" s="13" t="s">
        <v>31</v>
      </c>
      <c r="M1" s="12">
        <v>2021</v>
      </c>
      <c r="N1" s="12">
        <v>2022</v>
      </c>
      <c r="O1" s="12">
        <v>2023</v>
      </c>
      <c r="P1" s="12">
        <v>2024</v>
      </c>
      <c r="Q1" s="12">
        <v>2025</v>
      </c>
      <c r="R1" s="12">
        <v>2026</v>
      </c>
      <c r="S1" s="12">
        <v>2027</v>
      </c>
      <c r="T1" s="12">
        <v>2028</v>
      </c>
      <c r="U1" s="12">
        <v>2029</v>
      </c>
      <c r="V1" s="12">
        <v>2030</v>
      </c>
      <c r="W1" s="12">
        <v>2031</v>
      </c>
      <c r="X1" s="12">
        <v>2032</v>
      </c>
      <c r="Y1" s="12">
        <v>2033</v>
      </c>
      <c r="Z1" s="12">
        <v>2034</v>
      </c>
      <c r="AA1" s="12">
        <v>2035</v>
      </c>
      <c r="AB1" s="12">
        <v>2036</v>
      </c>
      <c r="AC1" s="12">
        <v>2037</v>
      </c>
      <c r="AD1" s="12">
        <v>2038</v>
      </c>
      <c r="AE1" s="12">
        <v>2039</v>
      </c>
      <c r="AF1" s="12">
        <v>2040</v>
      </c>
      <c r="AG1" s="12">
        <v>2041</v>
      </c>
      <c r="AH1" s="12">
        <v>2042</v>
      </c>
      <c r="AI1" s="12">
        <v>2043</v>
      </c>
      <c r="AJ1" s="12">
        <v>2044</v>
      </c>
      <c r="AK1" s="12">
        <v>2045</v>
      </c>
      <c r="AL1" s="12">
        <v>2046</v>
      </c>
      <c r="AM1" s="12">
        <v>2047</v>
      </c>
      <c r="AN1" s="12">
        <v>2048</v>
      </c>
      <c r="AO1" s="12">
        <v>2049</v>
      </c>
      <c r="AP1" s="12">
        <v>2050</v>
      </c>
      <c r="AQ1" s="12">
        <v>2051</v>
      </c>
      <c r="AR1" s="12">
        <v>2052</v>
      </c>
      <c r="AS1" s="12">
        <v>2053</v>
      </c>
      <c r="AT1" s="12">
        <v>2054</v>
      </c>
      <c r="AU1" s="12">
        <v>2055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60582-8E84-4795-90E6-91E6C5CD9C07}">
  <sheetPr>
    <tabColor rgb="FF00B050"/>
  </sheetPr>
  <dimension ref="A1:AJ29"/>
  <sheetViews>
    <sheetView zoomScale="55" zoomScaleNormal="55" workbookViewId="0">
      <pane ySplit="1" topLeftCell="A2" activePane="bottomLeft" state="frozen"/>
      <selection pane="bottomLeft" activeCell="A30" sqref="A30:XFD83"/>
    </sheetView>
  </sheetViews>
  <sheetFormatPr defaultColWidth="8.85546875" defaultRowHeight="15" x14ac:dyDescent="0.25"/>
  <cols>
    <col min="1" max="1" width="11.85546875" style="26" customWidth="1"/>
    <col min="2" max="2" width="40.28515625" style="25" bestFit="1" customWidth="1"/>
    <col min="3" max="3" width="31.42578125" style="25" bestFit="1" customWidth="1"/>
    <col min="4" max="4" width="46.7109375" style="25" customWidth="1"/>
    <col min="5" max="5" width="28.28515625" style="25" customWidth="1"/>
    <col min="6" max="6" width="14.5703125" style="25" customWidth="1"/>
    <col min="7" max="7" width="16.140625" style="25" bestFit="1" customWidth="1"/>
    <col min="8" max="8" width="10.5703125" style="25" customWidth="1"/>
    <col min="9" max="9" width="22.28515625" style="25" customWidth="1"/>
    <col min="10" max="10" width="22" style="25" customWidth="1"/>
    <col min="11" max="36" width="12" style="25" bestFit="1" customWidth="1"/>
    <col min="37" max="16384" width="8.85546875" style="25"/>
  </cols>
  <sheetData>
    <row r="1" spans="1:36" ht="15.75" thickBot="1" x14ac:dyDescent="0.3">
      <c r="A1" s="44" t="s">
        <v>12</v>
      </c>
      <c r="B1" s="45" t="s">
        <v>9</v>
      </c>
      <c r="C1" s="43" t="s">
        <v>18</v>
      </c>
      <c r="D1" s="46" t="s">
        <v>33</v>
      </c>
      <c r="E1" s="46" t="s">
        <v>34</v>
      </c>
      <c r="F1" s="95" t="s">
        <v>3</v>
      </c>
      <c r="G1" s="96" t="s">
        <v>41</v>
      </c>
      <c r="H1" s="22" t="s">
        <v>28</v>
      </c>
      <c r="I1" s="23" t="s">
        <v>37</v>
      </c>
      <c r="J1" s="24" t="s">
        <v>38</v>
      </c>
      <c r="K1" s="21">
        <v>2010</v>
      </c>
      <c r="L1" s="21">
        <v>2011</v>
      </c>
      <c r="M1" s="21">
        <v>2012</v>
      </c>
      <c r="N1" s="21">
        <v>2013</v>
      </c>
      <c r="O1" s="21">
        <v>2014</v>
      </c>
      <c r="P1" s="21">
        <v>2015</v>
      </c>
      <c r="Q1" s="21">
        <v>2016</v>
      </c>
      <c r="R1" s="21">
        <v>2017</v>
      </c>
      <c r="S1" s="21">
        <v>2018</v>
      </c>
      <c r="T1" s="21">
        <v>2019</v>
      </c>
      <c r="U1" s="21">
        <v>2020</v>
      </c>
      <c r="V1" s="21">
        <v>2021</v>
      </c>
      <c r="W1" s="21">
        <v>2022</v>
      </c>
      <c r="X1" s="21">
        <v>2023</v>
      </c>
      <c r="Y1" s="21">
        <v>2024</v>
      </c>
      <c r="Z1" s="21">
        <v>2025</v>
      </c>
      <c r="AA1" s="21">
        <v>2026</v>
      </c>
      <c r="AB1" s="21">
        <v>2027</v>
      </c>
      <c r="AC1" s="21">
        <v>2028</v>
      </c>
      <c r="AD1" s="21">
        <v>2029</v>
      </c>
      <c r="AE1" s="21">
        <v>2030</v>
      </c>
      <c r="AF1" s="21">
        <v>2031</v>
      </c>
      <c r="AG1" s="21">
        <v>2032</v>
      </c>
      <c r="AH1" s="21">
        <v>2033</v>
      </c>
      <c r="AI1" s="21">
        <v>2034</v>
      </c>
      <c r="AJ1" s="40">
        <v>2035</v>
      </c>
    </row>
    <row r="2" spans="1:36" ht="15.75" thickBot="1" x14ac:dyDescent="0.3">
      <c r="A2" s="86" t="s">
        <v>6</v>
      </c>
      <c r="B2" s="87" t="s">
        <v>49</v>
      </c>
      <c r="C2" s="80" t="s">
        <v>51</v>
      </c>
      <c r="D2" s="89" t="s">
        <v>50</v>
      </c>
      <c r="E2" s="87" t="s">
        <v>7</v>
      </c>
      <c r="F2" s="88" t="s">
        <v>46</v>
      </c>
      <c r="G2" s="88" t="s">
        <v>47</v>
      </c>
      <c r="H2" s="93"/>
      <c r="I2" s="90"/>
      <c r="J2" s="91"/>
      <c r="K2" s="97">
        <v>0.47</v>
      </c>
      <c r="L2" s="97">
        <f>K2</f>
        <v>0.47</v>
      </c>
      <c r="M2" s="97">
        <v>0.20677544177206184</v>
      </c>
      <c r="N2" s="97">
        <v>0.18847804044522798</v>
      </c>
      <c r="O2" s="97">
        <v>0.18847804044522798</v>
      </c>
      <c r="P2" s="97">
        <v>0.19856163652535005</v>
      </c>
      <c r="Q2" s="97">
        <v>0.19856163652535005</v>
      </c>
      <c r="R2" s="97">
        <f>Q2</f>
        <v>0.19856163652535005</v>
      </c>
      <c r="S2" s="97">
        <v>0.15474833031148547</v>
      </c>
      <c r="T2" s="97">
        <f>S2</f>
        <v>0.15474833031148547</v>
      </c>
      <c r="U2" s="97">
        <f t="shared" ref="U2:AJ7" si="0">T2</f>
        <v>0.15474833031148547</v>
      </c>
      <c r="V2" s="97">
        <f t="shared" si="0"/>
        <v>0.15474833031148547</v>
      </c>
      <c r="W2" s="97">
        <f t="shared" si="0"/>
        <v>0.15474833031148547</v>
      </c>
      <c r="X2" s="97">
        <f t="shared" si="0"/>
        <v>0.15474833031148547</v>
      </c>
      <c r="Y2" s="97">
        <f t="shared" si="0"/>
        <v>0.15474833031148547</v>
      </c>
      <c r="Z2" s="97">
        <f t="shared" si="0"/>
        <v>0.15474833031148547</v>
      </c>
      <c r="AA2" s="97">
        <f t="shared" si="0"/>
        <v>0.15474833031148547</v>
      </c>
      <c r="AB2" s="97">
        <f t="shared" si="0"/>
        <v>0.15474833031148547</v>
      </c>
      <c r="AC2" s="97">
        <f t="shared" si="0"/>
        <v>0.15474833031148547</v>
      </c>
      <c r="AD2" s="97">
        <f t="shared" si="0"/>
        <v>0.15474833031148547</v>
      </c>
      <c r="AE2" s="97">
        <f t="shared" si="0"/>
        <v>0.15474833031148547</v>
      </c>
      <c r="AF2" s="97">
        <f t="shared" si="0"/>
        <v>0.15474833031148547</v>
      </c>
      <c r="AG2" s="97">
        <f t="shared" si="0"/>
        <v>0.15474833031148547</v>
      </c>
      <c r="AH2" s="97">
        <f t="shared" si="0"/>
        <v>0.15474833031148547</v>
      </c>
      <c r="AI2" s="97">
        <f t="shared" si="0"/>
        <v>0.15474833031148547</v>
      </c>
      <c r="AJ2" s="97">
        <f t="shared" si="0"/>
        <v>0.15474833031148547</v>
      </c>
    </row>
    <row r="3" spans="1:36" ht="15.75" thickBot="1" x14ac:dyDescent="0.3">
      <c r="A3" s="86" t="s">
        <v>6</v>
      </c>
      <c r="B3" s="88" t="s">
        <v>49</v>
      </c>
      <c r="C3" s="53" t="s">
        <v>52</v>
      </c>
      <c r="D3" s="92" t="s">
        <v>50</v>
      </c>
      <c r="E3" s="88" t="s">
        <v>7</v>
      </c>
      <c r="F3" s="88" t="s">
        <v>46</v>
      </c>
      <c r="G3" s="88" t="s">
        <v>47</v>
      </c>
      <c r="H3" s="94"/>
      <c r="I3" s="41"/>
      <c r="J3" s="42"/>
      <c r="K3" s="98">
        <v>0.14000000000000001</v>
      </c>
      <c r="L3" s="98">
        <f>K3</f>
        <v>0.14000000000000001</v>
      </c>
      <c r="M3" s="98">
        <v>0.21227672353036589</v>
      </c>
      <c r="N3" s="98">
        <v>0.2057628041354688</v>
      </c>
      <c r="O3" s="98">
        <v>0.2057628041354688</v>
      </c>
      <c r="P3" s="98">
        <v>0.203553876289956</v>
      </c>
      <c r="Q3" s="98">
        <v>0.203553876289956</v>
      </c>
      <c r="R3" s="97">
        <f t="shared" ref="R3:R7" si="1">Q3</f>
        <v>0.203553876289956</v>
      </c>
      <c r="S3" s="98">
        <v>0.22598011104673138</v>
      </c>
      <c r="T3" s="97">
        <f t="shared" ref="T3:AI7" si="2">S3</f>
        <v>0.22598011104673138</v>
      </c>
      <c r="U3" s="97">
        <f t="shared" si="2"/>
        <v>0.22598011104673138</v>
      </c>
      <c r="V3" s="97">
        <f t="shared" si="2"/>
        <v>0.22598011104673138</v>
      </c>
      <c r="W3" s="97">
        <f t="shared" si="2"/>
        <v>0.22598011104673138</v>
      </c>
      <c r="X3" s="97">
        <f t="shared" si="2"/>
        <v>0.22598011104673138</v>
      </c>
      <c r="Y3" s="97">
        <f t="shared" si="2"/>
        <v>0.22598011104673138</v>
      </c>
      <c r="Z3" s="97">
        <f t="shared" si="2"/>
        <v>0.22598011104673138</v>
      </c>
      <c r="AA3" s="97">
        <f t="shared" si="2"/>
        <v>0.22598011104673138</v>
      </c>
      <c r="AB3" s="97">
        <f t="shared" si="2"/>
        <v>0.22598011104673138</v>
      </c>
      <c r="AC3" s="97">
        <f t="shared" si="2"/>
        <v>0.22598011104673138</v>
      </c>
      <c r="AD3" s="97">
        <f t="shared" si="2"/>
        <v>0.22598011104673138</v>
      </c>
      <c r="AE3" s="97">
        <f t="shared" si="2"/>
        <v>0.22598011104673138</v>
      </c>
      <c r="AF3" s="97">
        <f t="shared" si="2"/>
        <v>0.22598011104673138</v>
      </c>
      <c r="AG3" s="97">
        <f t="shared" si="2"/>
        <v>0.22598011104673138</v>
      </c>
      <c r="AH3" s="97">
        <f t="shared" si="2"/>
        <v>0.22598011104673138</v>
      </c>
      <c r="AI3" s="97">
        <f t="shared" si="2"/>
        <v>0.22598011104673138</v>
      </c>
      <c r="AJ3" s="97">
        <f t="shared" si="0"/>
        <v>0.22598011104673138</v>
      </c>
    </row>
    <row r="4" spans="1:36" ht="15.75" thickBot="1" x14ac:dyDescent="0.3">
      <c r="A4" s="86" t="s">
        <v>6</v>
      </c>
      <c r="B4" s="88" t="s">
        <v>49</v>
      </c>
      <c r="C4" s="53" t="s">
        <v>53</v>
      </c>
      <c r="D4" s="88" t="s">
        <v>50</v>
      </c>
      <c r="E4" s="88" t="s">
        <v>7</v>
      </c>
      <c r="F4" s="88" t="s">
        <v>46</v>
      </c>
      <c r="G4" s="88" t="s">
        <v>47</v>
      </c>
      <c r="H4" s="94"/>
      <c r="I4" s="41"/>
      <c r="J4" s="42"/>
      <c r="K4" s="98">
        <v>0.2</v>
      </c>
      <c r="L4" s="98">
        <f>K4</f>
        <v>0.2</v>
      </c>
      <c r="M4" s="98">
        <v>0.24508862697687936</v>
      </c>
      <c r="N4" s="98">
        <v>0.22800510538799665</v>
      </c>
      <c r="O4" s="98">
        <v>0.22800510538799665</v>
      </c>
      <c r="P4" s="98">
        <v>0.23373129530356007</v>
      </c>
      <c r="Q4" s="98">
        <v>0.23373129530356007</v>
      </c>
      <c r="R4" s="97">
        <f t="shared" si="1"/>
        <v>0.23373129530356007</v>
      </c>
      <c r="S4" s="98">
        <v>0.28132346446506262</v>
      </c>
      <c r="T4" s="97">
        <f t="shared" si="2"/>
        <v>0.28132346446506262</v>
      </c>
      <c r="U4" s="97">
        <f t="shared" si="0"/>
        <v>0.28132346446506262</v>
      </c>
      <c r="V4" s="97">
        <f t="shared" si="0"/>
        <v>0.28132346446506262</v>
      </c>
      <c r="W4" s="97">
        <f t="shared" si="0"/>
        <v>0.28132346446506262</v>
      </c>
      <c r="X4" s="97">
        <f t="shared" si="0"/>
        <v>0.28132346446506262</v>
      </c>
      <c r="Y4" s="97">
        <f t="shared" si="0"/>
        <v>0.28132346446506262</v>
      </c>
      <c r="Z4" s="97">
        <f t="shared" si="0"/>
        <v>0.28132346446506262</v>
      </c>
      <c r="AA4" s="97">
        <f t="shared" si="0"/>
        <v>0.28132346446506262</v>
      </c>
      <c r="AB4" s="97">
        <f t="shared" si="0"/>
        <v>0.28132346446506262</v>
      </c>
      <c r="AC4" s="97">
        <f t="shared" si="0"/>
        <v>0.28132346446506262</v>
      </c>
      <c r="AD4" s="97">
        <f t="shared" si="0"/>
        <v>0.28132346446506262</v>
      </c>
      <c r="AE4" s="97">
        <f t="shared" si="0"/>
        <v>0.28132346446506262</v>
      </c>
      <c r="AF4" s="97">
        <f t="shared" si="0"/>
        <v>0.28132346446506262</v>
      </c>
      <c r="AG4" s="97">
        <f t="shared" si="0"/>
        <v>0.28132346446506262</v>
      </c>
      <c r="AH4" s="97">
        <f t="shared" si="0"/>
        <v>0.28132346446506262</v>
      </c>
      <c r="AI4" s="97">
        <f t="shared" si="0"/>
        <v>0.28132346446506262</v>
      </c>
      <c r="AJ4" s="97">
        <f t="shared" si="0"/>
        <v>0.28132346446506262</v>
      </c>
    </row>
    <row r="5" spans="1:36" ht="15.75" thickBot="1" x14ac:dyDescent="0.3">
      <c r="A5" s="86" t="s">
        <v>6</v>
      </c>
      <c r="B5" s="88" t="s">
        <v>49</v>
      </c>
      <c r="C5" s="53" t="s">
        <v>54</v>
      </c>
      <c r="D5" s="88" t="s">
        <v>50</v>
      </c>
      <c r="E5" s="88" t="s">
        <v>7</v>
      </c>
      <c r="F5" s="88" t="s">
        <v>46</v>
      </c>
      <c r="G5" s="88" t="s">
        <v>47</v>
      </c>
      <c r="H5" s="94"/>
      <c r="I5" s="41"/>
      <c r="J5" s="42"/>
      <c r="K5" s="98">
        <v>0.16</v>
      </c>
      <c r="L5" s="98">
        <f t="shared" ref="L5:L7" si="3">K5</f>
        <v>0.16</v>
      </c>
      <c r="M5" s="98">
        <v>0.15623044174909703</v>
      </c>
      <c r="N5" s="98">
        <v>0.25601076340738121</v>
      </c>
      <c r="O5" s="98">
        <v>0.25601076340738121</v>
      </c>
      <c r="P5" s="98">
        <v>0.25582688404206855</v>
      </c>
      <c r="Q5" s="98">
        <v>0.25582688404206855</v>
      </c>
      <c r="R5" s="97">
        <f t="shared" si="1"/>
        <v>0.25582688404206855</v>
      </c>
      <c r="S5" s="98">
        <v>0.28939516386025393</v>
      </c>
      <c r="T5" s="97">
        <f t="shared" si="2"/>
        <v>0.28939516386025393</v>
      </c>
      <c r="U5" s="97">
        <f t="shared" si="0"/>
        <v>0.28939516386025393</v>
      </c>
      <c r="V5" s="97">
        <f t="shared" si="0"/>
        <v>0.28939516386025393</v>
      </c>
      <c r="W5" s="97">
        <f t="shared" si="0"/>
        <v>0.28939516386025393</v>
      </c>
      <c r="X5" s="97">
        <f t="shared" si="0"/>
        <v>0.28939516386025393</v>
      </c>
      <c r="Y5" s="97">
        <f t="shared" si="0"/>
        <v>0.28939516386025393</v>
      </c>
      <c r="Z5" s="97">
        <f t="shared" si="0"/>
        <v>0.28939516386025393</v>
      </c>
      <c r="AA5" s="97">
        <f t="shared" si="0"/>
        <v>0.28939516386025393</v>
      </c>
      <c r="AB5" s="97">
        <f t="shared" si="0"/>
        <v>0.28939516386025393</v>
      </c>
      <c r="AC5" s="97">
        <f t="shared" si="0"/>
        <v>0.28939516386025393</v>
      </c>
      <c r="AD5" s="97">
        <f t="shared" si="0"/>
        <v>0.28939516386025393</v>
      </c>
      <c r="AE5" s="97">
        <f t="shared" si="0"/>
        <v>0.28939516386025393</v>
      </c>
      <c r="AF5" s="97">
        <f t="shared" si="0"/>
        <v>0.28939516386025393</v>
      </c>
      <c r="AG5" s="97">
        <f t="shared" si="0"/>
        <v>0.28939516386025393</v>
      </c>
      <c r="AH5" s="97">
        <f t="shared" si="0"/>
        <v>0.28939516386025393</v>
      </c>
      <c r="AI5" s="97">
        <f t="shared" si="0"/>
        <v>0.28939516386025393</v>
      </c>
      <c r="AJ5" s="97">
        <f t="shared" si="0"/>
        <v>0.28939516386025393</v>
      </c>
    </row>
    <row r="6" spans="1:36" ht="15.75" thickBot="1" x14ac:dyDescent="0.3">
      <c r="A6" s="86" t="s">
        <v>6</v>
      </c>
      <c r="B6" s="88" t="s">
        <v>49</v>
      </c>
      <c r="C6" s="53" t="s">
        <v>55</v>
      </c>
      <c r="D6" s="88" t="s">
        <v>50</v>
      </c>
      <c r="E6" s="88" t="s">
        <v>7</v>
      </c>
      <c r="F6" s="88" t="s">
        <v>46</v>
      </c>
      <c r="G6" s="88" t="s">
        <v>47</v>
      </c>
      <c r="H6" s="94"/>
      <c r="I6" s="41"/>
      <c r="J6" s="42"/>
      <c r="K6" s="98">
        <v>0.2</v>
      </c>
      <c r="L6" s="98">
        <f t="shared" si="3"/>
        <v>0.2</v>
      </c>
      <c r="M6" s="98">
        <v>0.24508862697687936</v>
      </c>
      <c r="N6" s="98">
        <v>0.22800510538799665</v>
      </c>
      <c r="O6" s="98">
        <v>0.22800510538799665</v>
      </c>
      <c r="P6" s="98">
        <v>0.23373129530356007</v>
      </c>
      <c r="Q6" s="98">
        <v>0.23373129530356007</v>
      </c>
      <c r="R6" s="97">
        <f t="shared" si="1"/>
        <v>0.23373129530356007</v>
      </c>
      <c r="S6" s="98">
        <v>0.28132346446506262</v>
      </c>
      <c r="T6" s="97">
        <f t="shared" si="2"/>
        <v>0.28132346446506262</v>
      </c>
      <c r="U6" s="97">
        <f t="shared" si="0"/>
        <v>0.28132346446506262</v>
      </c>
      <c r="V6" s="97">
        <f t="shared" si="0"/>
        <v>0.28132346446506262</v>
      </c>
      <c r="W6" s="97">
        <f t="shared" si="0"/>
        <v>0.28132346446506262</v>
      </c>
      <c r="X6" s="97">
        <f t="shared" si="0"/>
        <v>0.28132346446506262</v>
      </c>
      <c r="Y6" s="97">
        <f t="shared" si="0"/>
        <v>0.28132346446506262</v>
      </c>
      <c r="Z6" s="97">
        <f t="shared" si="0"/>
        <v>0.28132346446506262</v>
      </c>
      <c r="AA6" s="97">
        <f t="shared" si="0"/>
        <v>0.28132346446506262</v>
      </c>
      <c r="AB6" s="97">
        <f t="shared" si="0"/>
        <v>0.28132346446506262</v>
      </c>
      <c r="AC6" s="97">
        <f t="shared" si="0"/>
        <v>0.28132346446506262</v>
      </c>
      <c r="AD6" s="97">
        <f t="shared" si="0"/>
        <v>0.28132346446506262</v>
      </c>
      <c r="AE6" s="97">
        <f t="shared" si="0"/>
        <v>0.28132346446506262</v>
      </c>
      <c r="AF6" s="97">
        <f t="shared" si="0"/>
        <v>0.28132346446506262</v>
      </c>
      <c r="AG6" s="97">
        <f t="shared" si="0"/>
        <v>0.28132346446506262</v>
      </c>
      <c r="AH6" s="97">
        <f t="shared" si="0"/>
        <v>0.28132346446506262</v>
      </c>
      <c r="AI6" s="97">
        <f t="shared" si="0"/>
        <v>0.28132346446506262</v>
      </c>
      <c r="AJ6" s="97">
        <f t="shared" si="0"/>
        <v>0.28132346446506262</v>
      </c>
    </row>
    <row r="7" spans="1:36" ht="15.75" thickBot="1" x14ac:dyDescent="0.3">
      <c r="A7" s="86" t="s">
        <v>6</v>
      </c>
      <c r="B7" s="88" t="s">
        <v>49</v>
      </c>
      <c r="C7" s="53" t="s">
        <v>56</v>
      </c>
      <c r="D7" s="88" t="s">
        <v>50</v>
      </c>
      <c r="E7" s="88" t="s">
        <v>7</v>
      </c>
      <c r="F7" s="88" t="s">
        <v>46</v>
      </c>
      <c r="G7" s="88" t="s">
        <v>47</v>
      </c>
      <c r="H7" s="94"/>
      <c r="I7" s="41"/>
      <c r="J7" s="42"/>
      <c r="K7" s="98">
        <v>0.47</v>
      </c>
      <c r="L7" s="98">
        <f t="shared" si="3"/>
        <v>0.47</v>
      </c>
      <c r="M7" s="98">
        <v>0.20677544177206184</v>
      </c>
      <c r="N7" s="98">
        <v>0.18847804044522798</v>
      </c>
      <c r="O7" s="98">
        <v>0.18847804044522798</v>
      </c>
      <c r="P7" s="98">
        <v>0.19856163652535005</v>
      </c>
      <c r="Q7" s="98">
        <v>0.19856163652535005</v>
      </c>
      <c r="R7" s="97">
        <f t="shared" si="1"/>
        <v>0.19856163652535005</v>
      </c>
      <c r="S7" s="98">
        <v>0.15474833031148547</v>
      </c>
      <c r="T7" s="97">
        <f t="shared" si="2"/>
        <v>0.15474833031148547</v>
      </c>
      <c r="U7" s="97">
        <f t="shared" si="0"/>
        <v>0.15474833031148547</v>
      </c>
      <c r="V7" s="97">
        <f t="shared" si="0"/>
        <v>0.15474833031148547</v>
      </c>
      <c r="W7" s="97">
        <f t="shared" si="0"/>
        <v>0.15474833031148547</v>
      </c>
      <c r="X7" s="97">
        <f t="shared" si="0"/>
        <v>0.15474833031148547</v>
      </c>
      <c r="Y7" s="97">
        <f t="shared" si="0"/>
        <v>0.15474833031148547</v>
      </c>
      <c r="Z7" s="97">
        <f t="shared" si="0"/>
        <v>0.15474833031148547</v>
      </c>
      <c r="AA7" s="97">
        <f t="shared" si="0"/>
        <v>0.15474833031148547</v>
      </c>
      <c r="AB7" s="97">
        <f t="shared" si="0"/>
        <v>0.15474833031148547</v>
      </c>
      <c r="AC7" s="97">
        <f t="shared" si="0"/>
        <v>0.15474833031148547</v>
      </c>
      <c r="AD7" s="97">
        <f t="shared" si="0"/>
        <v>0.15474833031148547</v>
      </c>
      <c r="AE7" s="97">
        <f t="shared" si="0"/>
        <v>0.15474833031148547</v>
      </c>
      <c r="AF7" s="97">
        <f t="shared" si="0"/>
        <v>0.15474833031148547</v>
      </c>
      <c r="AG7" s="97">
        <f t="shared" si="0"/>
        <v>0.15474833031148547</v>
      </c>
      <c r="AH7" s="97">
        <f t="shared" si="0"/>
        <v>0.15474833031148547</v>
      </c>
      <c r="AI7" s="97">
        <f t="shared" si="0"/>
        <v>0.15474833031148547</v>
      </c>
      <c r="AJ7" s="97">
        <f t="shared" si="0"/>
        <v>0.15474833031148547</v>
      </c>
    </row>
    <row r="8" spans="1:36" ht="15.75" thickBot="1" x14ac:dyDescent="0.3">
      <c r="A8" s="26" t="s">
        <v>6</v>
      </c>
      <c r="B8" s="88" t="s">
        <v>49</v>
      </c>
      <c r="C8" s="53" t="s">
        <v>57</v>
      </c>
      <c r="D8" s="92" t="s">
        <v>50</v>
      </c>
      <c r="E8" s="88" t="s">
        <v>7</v>
      </c>
      <c r="F8" s="88" t="s">
        <v>46</v>
      </c>
      <c r="G8" s="88" t="s">
        <v>47</v>
      </c>
      <c r="H8" s="94"/>
      <c r="I8" s="41"/>
      <c r="J8" s="42"/>
      <c r="K8" s="98">
        <v>4.1350244285265824E-3</v>
      </c>
      <c r="L8" s="98">
        <v>4.3414082468311507E-3</v>
      </c>
      <c r="M8" s="98">
        <v>4.3414082468311507E-3</v>
      </c>
      <c r="N8" s="98">
        <v>4.7219279271729728E-3</v>
      </c>
      <c r="O8" s="98">
        <v>5.1024476075147941E-3</v>
      </c>
      <c r="P8" s="98">
        <v>5.1024476075147941E-3</v>
      </c>
      <c r="Q8" s="98">
        <v>3.9865853125618739E-3</v>
      </c>
      <c r="R8" s="97">
        <v>3.8103088438989473E-3</v>
      </c>
      <c r="S8" s="98">
        <v>3.6340323752360212E-3</v>
      </c>
      <c r="T8" s="97">
        <f>S8</f>
        <v>3.6340323752360212E-3</v>
      </c>
      <c r="U8" s="97">
        <f t="shared" ref="U8:AJ8" si="4">T8</f>
        <v>3.6340323752360212E-3</v>
      </c>
      <c r="V8" s="97">
        <f t="shared" si="4"/>
        <v>3.6340323752360212E-3</v>
      </c>
      <c r="W8" s="97">
        <f t="shared" si="4"/>
        <v>3.6340323752360212E-3</v>
      </c>
      <c r="X8" s="97">
        <f t="shared" si="4"/>
        <v>3.6340323752360212E-3</v>
      </c>
      <c r="Y8" s="97">
        <f t="shared" si="4"/>
        <v>3.6340323752360212E-3</v>
      </c>
      <c r="Z8" s="97">
        <f t="shared" si="4"/>
        <v>3.6340323752360212E-3</v>
      </c>
      <c r="AA8" s="97">
        <f t="shared" si="4"/>
        <v>3.6340323752360212E-3</v>
      </c>
      <c r="AB8" s="97">
        <f t="shared" si="4"/>
        <v>3.6340323752360212E-3</v>
      </c>
      <c r="AC8" s="97">
        <f t="shared" si="4"/>
        <v>3.6340323752360212E-3</v>
      </c>
      <c r="AD8" s="97">
        <f t="shared" si="4"/>
        <v>3.6340323752360212E-3</v>
      </c>
      <c r="AE8" s="97">
        <f t="shared" si="4"/>
        <v>3.6340323752360212E-3</v>
      </c>
      <c r="AF8" s="97">
        <f t="shared" si="4"/>
        <v>3.6340323752360212E-3</v>
      </c>
      <c r="AG8" s="97">
        <f t="shared" si="4"/>
        <v>3.6340323752360212E-3</v>
      </c>
      <c r="AH8" s="97">
        <f t="shared" si="4"/>
        <v>3.6340323752360212E-3</v>
      </c>
      <c r="AI8" s="97">
        <f t="shared" si="4"/>
        <v>3.6340323752360212E-3</v>
      </c>
      <c r="AJ8" s="97">
        <f t="shared" si="4"/>
        <v>3.6340323752360212E-3</v>
      </c>
    </row>
    <row r="9" spans="1:36" ht="15.75" thickBot="1" x14ac:dyDescent="0.3">
      <c r="A9" s="26" t="s">
        <v>6</v>
      </c>
      <c r="B9" s="88" t="s">
        <v>49</v>
      </c>
      <c r="C9" s="53" t="s">
        <v>58</v>
      </c>
      <c r="D9" s="92" t="s">
        <v>50</v>
      </c>
      <c r="E9" s="88" t="s">
        <v>7</v>
      </c>
      <c r="F9" s="88" t="s">
        <v>46</v>
      </c>
      <c r="G9" s="88" t="s">
        <v>47</v>
      </c>
      <c r="H9" s="94"/>
      <c r="I9" s="41"/>
      <c r="J9" s="42"/>
      <c r="K9" s="98">
        <v>4.2869442636878858E-3</v>
      </c>
      <c r="L9" s="98">
        <v>4.538069334021331E-3</v>
      </c>
      <c r="M9" s="98">
        <v>4.538069334021331E-3</v>
      </c>
      <c r="N9" s="98">
        <v>4.9170740336752011E-3</v>
      </c>
      <c r="O9" s="98">
        <v>5.2960787333290711E-3</v>
      </c>
      <c r="P9" s="98">
        <v>5.2960787333290711E-3</v>
      </c>
      <c r="Q9" s="98">
        <v>4.1422071707002935E-3</v>
      </c>
      <c r="R9" s="97">
        <v>3.9474970483224748E-3</v>
      </c>
      <c r="S9" s="98">
        <v>3.7527869259446566E-3</v>
      </c>
      <c r="T9" s="97">
        <f t="shared" ref="T9" si="5">S9</f>
        <v>3.7527869259446566E-3</v>
      </c>
      <c r="U9" s="97">
        <f t="shared" ref="U9" si="6">T9</f>
        <v>3.7527869259446566E-3</v>
      </c>
      <c r="V9" s="97">
        <f t="shared" ref="V9" si="7">U9</f>
        <v>3.7527869259446566E-3</v>
      </c>
      <c r="W9" s="97">
        <f t="shared" ref="W9" si="8">V9</f>
        <v>3.7527869259446566E-3</v>
      </c>
      <c r="X9" s="97">
        <f t="shared" ref="X9" si="9">W9</f>
        <v>3.7527869259446566E-3</v>
      </c>
      <c r="Y9" s="97">
        <f t="shared" ref="Y9" si="10">X9</f>
        <v>3.7527869259446566E-3</v>
      </c>
      <c r="Z9" s="97">
        <f t="shared" ref="Z9" si="11">Y9</f>
        <v>3.7527869259446566E-3</v>
      </c>
      <c r="AA9" s="97">
        <f t="shared" ref="AA9" si="12">Z9</f>
        <v>3.7527869259446566E-3</v>
      </c>
      <c r="AB9" s="97">
        <f t="shared" ref="AB9" si="13">AA9</f>
        <v>3.7527869259446566E-3</v>
      </c>
      <c r="AC9" s="97">
        <f t="shared" ref="AC9" si="14">AB9</f>
        <v>3.7527869259446566E-3</v>
      </c>
      <c r="AD9" s="97">
        <f t="shared" ref="AD9" si="15">AC9</f>
        <v>3.7527869259446566E-3</v>
      </c>
      <c r="AE9" s="97">
        <f t="shared" ref="AE9" si="16">AD9</f>
        <v>3.7527869259446566E-3</v>
      </c>
      <c r="AF9" s="97">
        <f t="shared" ref="AF9" si="17">AE9</f>
        <v>3.7527869259446566E-3</v>
      </c>
      <c r="AG9" s="97">
        <f t="shared" ref="AG9" si="18">AF9</f>
        <v>3.7527869259446566E-3</v>
      </c>
      <c r="AH9" s="97">
        <f t="shared" ref="AH9" si="19">AG9</f>
        <v>3.7527869259446566E-3</v>
      </c>
      <c r="AI9" s="97">
        <f t="shared" ref="AI9" si="20">AH9</f>
        <v>3.7527869259446566E-3</v>
      </c>
      <c r="AJ9" s="97">
        <f t="shared" ref="AJ9" si="21">AI9</f>
        <v>3.7527869259446566E-3</v>
      </c>
    </row>
    <row r="10" spans="1:36" ht="15.75" thickBot="1" x14ac:dyDescent="0.3">
      <c r="A10" s="26" t="s">
        <v>6</v>
      </c>
      <c r="B10" s="88" t="s">
        <v>49</v>
      </c>
      <c r="C10" s="53" t="s">
        <v>59</v>
      </c>
      <c r="D10" s="92" t="s">
        <v>50</v>
      </c>
      <c r="E10" s="88" t="s">
        <v>7</v>
      </c>
      <c r="F10" s="88" t="s">
        <v>46</v>
      </c>
      <c r="G10" s="88" t="s">
        <v>47</v>
      </c>
      <c r="H10" s="94"/>
      <c r="I10" s="41"/>
      <c r="J10" s="42"/>
      <c r="K10" s="98">
        <v>1.5024825544433081E-7</v>
      </c>
      <c r="L10" s="98">
        <v>1.5900071250918226E-7</v>
      </c>
      <c r="M10" s="98">
        <v>1.5900071250918226E-7</v>
      </c>
      <c r="N10" s="98">
        <v>1.7233516742839759E-7</v>
      </c>
      <c r="O10" s="98">
        <v>1.8566962234761292E-7</v>
      </c>
      <c r="P10" s="98">
        <v>1.8566962234761292E-7</v>
      </c>
      <c r="Q10" s="98">
        <v>1.4582465093900961E-7</v>
      </c>
      <c r="R10" s="97">
        <v>1.378931467886822E-7</v>
      </c>
      <c r="S10" s="98">
        <v>1.2996164263835479E-7</v>
      </c>
      <c r="T10" s="97">
        <f t="shared" ref="T10" si="22">S10</f>
        <v>1.2996164263835479E-7</v>
      </c>
      <c r="U10" s="97">
        <f t="shared" ref="U10:U15" si="23">T10</f>
        <v>1.2996164263835479E-7</v>
      </c>
      <c r="V10" s="97">
        <f t="shared" ref="V10:V15" si="24">U10</f>
        <v>1.2996164263835479E-7</v>
      </c>
      <c r="W10" s="97">
        <f t="shared" ref="W10:W15" si="25">V10</f>
        <v>1.2996164263835479E-7</v>
      </c>
      <c r="X10" s="97">
        <f t="shared" ref="X10:X15" si="26">W10</f>
        <v>1.2996164263835479E-7</v>
      </c>
      <c r="Y10" s="97">
        <f t="shared" ref="Y10:Y15" si="27">X10</f>
        <v>1.2996164263835479E-7</v>
      </c>
      <c r="Z10" s="97">
        <f t="shared" ref="Z10:Z15" si="28">Y10</f>
        <v>1.2996164263835479E-7</v>
      </c>
      <c r="AA10" s="97">
        <f t="shared" ref="AA10:AA15" si="29">Z10</f>
        <v>1.2996164263835479E-7</v>
      </c>
      <c r="AB10" s="97">
        <f t="shared" ref="AB10:AB15" si="30">AA10</f>
        <v>1.2996164263835479E-7</v>
      </c>
      <c r="AC10" s="97">
        <f t="shared" ref="AC10:AC15" si="31">AB10</f>
        <v>1.2996164263835479E-7</v>
      </c>
      <c r="AD10" s="97">
        <f t="shared" ref="AD10:AD15" si="32">AC10</f>
        <v>1.2996164263835479E-7</v>
      </c>
      <c r="AE10" s="97">
        <f t="shared" ref="AE10:AE15" si="33">AD10</f>
        <v>1.2996164263835479E-7</v>
      </c>
      <c r="AF10" s="97">
        <f t="shared" ref="AF10:AF15" si="34">AE10</f>
        <v>1.2996164263835479E-7</v>
      </c>
      <c r="AG10" s="97">
        <f t="shared" ref="AG10:AG15" si="35">AF10</f>
        <v>1.2996164263835479E-7</v>
      </c>
      <c r="AH10" s="97">
        <f t="shared" ref="AH10:AH15" si="36">AG10</f>
        <v>1.2996164263835479E-7</v>
      </c>
      <c r="AI10" s="97">
        <f t="shared" ref="AI10:AI15" si="37">AH10</f>
        <v>1.2996164263835479E-7</v>
      </c>
      <c r="AJ10" s="97">
        <f t="shared" ref="AJ10:AJ15" si="38">AI10</f>
        <v>1.2996164263835479E-7</v>
      </c>
    </row>
    <row r="11" spans="1:36" ht="15.75" thickBot="1" x14ac:dyDescent="0.3">
      <c r="A11" s="26" t="s">
        <v>6</v>
      </c>
      <c r="B11" s="88" t="s">
        <v>49</v>
      </c>
      <c r="C11" s="53" t="s">
        <v>60</v>
      </c>
      <c r="D11" s="92" t="s">
        <v>50</v>
      </c>
      <c r="E11" s="88" t="s">
        <v>7</v>
      </c>
      <c r="F11" s="88" t="s">
        <v>46</v>
      </c>
      <c r="G11" s="88" t="s">
        <v>47</v>
      </c>
      <c r="H11" s="94"/>
      <c r="I11" s="41"/>
      <c r="J11" s="42"/>
      <c r="K11" s="98">
        <v>2.8562534794641696E-8</v>
      </c>
      <c r="L11" s="98">
        <v>3.0226172150638123E-8</v>
      </c>
      <c r="M11" s="98">
        <v>3.0226172150638123E-8</v>
      </c>
      <c r="N11" s="98">
        <v>3.2750274951960173E-8</v>
      </c>
      <c r="O11" s="98">
        <v>3.5274377753282229E-8</v>
      </c>
      <c r="P11" s="98">
        <v>3.5274377753282229E-8</v>
      </c>
      <c r="Q11" s="98">
        <v>2.7766481236362095E-8</v>
      </c>
      <c r="R11" s="97">
        <v>2.617385115744106E-8</v>
      </c>
      <c r="S11" s="98">
        <v>2.4581221078520022E-8</v>
      </c>
      <c r="T11" s="97">
        <f t="shared" ref="T11" si="39">S11</f>
        <v>2.4581221078520022E-8</v>
      </c>
      <c r="U11" s="97">
        <f t="shared" si="23"/>
        <v>2.4581221078520022E-8</v>
      </c>
      <c r="V11" s="97">
        <f t="shared" si="24"/>
        <v>2.4581221078520022E-8</v>
      </c>
      <c r="W11" s="97">
        <f t="shared" si="25"/>
        <v>2.4581221078520022E-8</v>
      </c>
      <c r="X11" s="97">
        <f t="shared" si="26"/>
        <v>2.4581221078520022E-8</v>
      </c>
      <c r="Y11" s="97">
        <f t="shared" si="27"/>
        <v>2.4581221078520022E-8</v>
      </c>
      <c r="Z11" s="97">
        <f t="shared" si="28"/>
        <v>2.4581221078520022E-8</v>
      </c>
      <c r="AA11" s="97">
        <f t="shared" si="29"/>
        <v>2.4581221078520022E-8</v>
      </c>
      <c r="AB11" s="97">
        <f t="shared" si="30"/>
        <v>2.4581221078520022E-8</v>
      </c>
      <c r="AC11" s="97">
        <f t="shared" si="31"/>
        <v>2.4581221078520022E-8</v>
      </c>
      <c r="AD11" s="97">
        <f t="shared" si="32"/>
        <v>2.4581221078520022E-8</v>
      </c>
      <c r="AE11" s="97">
        <f t="shared" si="33"/>
        <v>2.4581221078520022E-8</v>
      </c>
      <c r="AF11" s="97">
        <f t="shared" si="34"/>
        <v>2.4581221078520022E-8</v>
      </c>
      <c r="AG11" s="97">
        <f t="shared" si="35"/>
        <v>2.4581221078520022E-8</v>
      </c>
      <c r="AH11" s="97">
        <f t="shared" si="36"/>
        <v>2.4581221078520022E-8</v>
      </c>
      <c r="AI11" s="97">
        <f t="shared" si="37"/>
        <v>2.4581221078520022E-8</v>
      </c>
      <c r="AJ11" s="97">
        <f t="shared" si="38"/>
        <v>2.4581221078520022E-8</v>
      </c>
    </row>
    <row r="12" spans="1:36" ht="15.75" thickBot="1" x14ac:dyDescent="0.3">
      <c r="A12" s="26" t="s">
        <v>6</v>
      </c>
      <c r="B12" s="88" t="s">
        <v>49</v>
      </c>
      <c r="C12" s="53" t="s">
        <v>61</v>
      </c>
      <c r="D12" s="92" t="s">
        <v>50</v>
      </c>
      <c r="E12" s="88" t="s">
        <v>7</v>
      </c>
      <c r="F12" s="88" t="s">
        <v>46</v>
      </c>
      <c r="G12" s="88" t="s">
        <v>47</v>
      </c>
      <c r="H12" s="94"/>
      <c r="I12" s="41"/>
      <c r="J12" s="42"/>
      <c r="K12" s="98">
        <v>0.47508782099552471</v>
      </c>
      <c r="L12" s="98">
        <v>0.2060696324237602</v>
      </c>
      <c r="M12" s="98">
        <v>0.2060696324237602</v>
      </c>
      <c r="N12" s="98">
        <v>0.18783468762849229</v>
      </c>
      <c r="O12" s="98">
        <v>0.18783468762849229</v>
      </c>
      <c r="P12" s="98">
        <v>0.19788386426152313</v>
      </c>
      <c r="Q12" s="98">
        <v>0.19788386426152313</v>
      </c>
      <c r="R12" s="97">
        <v>0.1542201108225951</v>
      </c>
      <c r="S12" s="98">
        <v>0.1542201108225951</v>
      </c>
      <c r="T12" s="97">
        <f t="shared" ref="T12:T29" si="40">S12</f>
        <v>0.1542201108225951</v>
      </c>
      <c r="U12" s="97">
        <f t="shared" si="23"/>
        <v>0.1542201108225951</v>
      </c>
      <c r="V12" s="97">
        <f t="shared" si="24"/>
        <v>0.1542201108225951</v>
      </c>
      <c r="W12" s="97">
        <f t="shared" si="25"/>
        <v>0.1542201108225951</v>
      </c>
      <c r="X12" s="97">
        <f t="shared" si="26"/>
        <v>0.1542201108225951</v>
      </c>
      <c r="Y12" s="97">
        <f t="shared" si="27"/>
        <v>0.1542201108225951</v>
      </c>
      <c r="Z12" s="97">
        <f t="shared" si="28"/>
        <v>0.1542201108225951</v>
      </c>
      <c r="AA12" s="97">
        <f t="shared" si="29"/>
        <v>0.1542201108225951</v>
      </c>
      <c r="AB12" s="97">
        <f t="shared" si="30"/>
        <v>0.1542201108225951</v>
      </c>
      <c r="AC12" s="97">
        <f t="shared" si="31"/>
        <v>0.1542201108225951</v>
      </c>
      <c r="AD12" s="97">
        <f t="shared" si="32"/>
        <v>0.1542201108225951</v>
      </c>
      <c r="AE12" s="97">
        <f t="shared" si="33"/>
        <v>0.1542201108225951</v>
      </c>
      <c r="AF12" s="97">
        <f t="shared" si="34"/>
        <v>0.1542201108225951</v>
      </c>
      <c r="AG12" s="97">
        <f t="shared" si="35"/>
        <v>0.1542201108225951</v>
      </c>
      <c r="AH12" s="97">
        <f t="shared" si="36"/>
        <v>0.1542201108225951</v>
      </c>
      <c r="AI12" s="97">
        <f t="shared" si="37"/>
        <v>0.1542201108225951</v>
      </c>
      <c r="AJ12" s="97">
        <f t="shared" si="38"/>
        <v>0.1542201108225951</v>
      </c>
    </row>
    <row r="13" spans="1:36" ht="15.75" thickBot="1" x14ac:dyDescent="0.3">
      <c r="A13" s="26" t="s">
        <v>6</v>
      </c>
      <c r="B13" s="88" t="s">
        <v>49</v>
      </c>
      <c r="C13" s="53" t="s">
        <v>62</v>
      </c>
      <c r="D13" s="92" t="s">
        <v>50</v>
      </c>
      <c r="E13" s="88" t="s">
        <v>7</v>
      </c>
      <c r="F13" s="88" t="s">
        <v>46</v>
      </c>
      <c r="G13" s="88" t="s">
        <v>47</v>
      </c>
      <c r="H13" s="94"/>
      <c r="I13" s="41"/>
      <c r="J13" s="42"/>
      <c r="K13" s="98">
        <v>0.14884055311779898</v>
      </c>
      <c r="L13" s="98">
        <v>0.21227672353036589</v>
      </c>
      <c r="M13" s="98">
        <v>0.21227672353036589</v>
      </c>
      <c r="N13" s="98">
        <v>0.2057628041354688</v>
      </c>
      <c r="O13" s="98">
        <v>0.2057628041354688</v>
      </c>
      <c r="P13" s="98">
        <v>0.203553876289956</v>
      </c>
      <c r="Q13" s="98">
        <v>0.203553876289956</v>
      </c>
      <c r="R13" s="97">
        <v>0.22598011104673138</v>
      </c>
      <c r="S13" s="98">
        <v>0.22598011104673138</v>
      </c>
      <c r="T13" s="97">
        <f t="shared" si="40"/>
        <v>0.22598011104673138</v>
      </c>
      <c r="U13" s="97">
        <f t="shared" si="23"/>
        <v>0.22598011104673138</v>
      </c>
      <c r="V13" s="97">
        <f t="shared" si="24"/>
        <v>0.22598011104673138</v>
      </c>
      <c r="W13" s="97">
        <f t="shared" si="25"/>
        <v>0.22598011104673138</v>
      </c>
      <c r="X13" s="97">
        <f t="shared" si="26"/>
        <v>0.22598011104673138</v>
      </c>
      <c r="Y13" s="97">
        <f t="shared" si="27"/>
        <v>0.22598011104673138</v>
      </c>
      <c r="Z13" s="97">
        <f t="shared" si="28"/>
        <v>0.22598011104673138</v>
      </c>
      <c r="AA13" s="97">
        <f t="shared" si="29"/>
        <v>0.22598011104673138</v>
      </c>
      <c r="AB13" s="97">
        <f t="shared" si="30"/>
        <v>0.22598011104673138</v>
      </c>
      <c r="AC13" s="97">
        <f t="shared" si="31"/>
        <v>0.22598011104673138</v>
      </c>
      <c r="AD13" s="97">
        <f t="shared" si="32"/>
        <v>0.22598011104673138</v>
      </c>
      <c r="AE13" s="97">
        <f t="shared" si="33"/>
        <v>0.22598011104673138</v>
      </c>
      <c r="AF13" s="97">
        <f t="shared" si="34"/>
        <v>0.22598011104673138</v>
      </c>
      <c r="AG13" s="97">
        <f t="shared" si="35"/>
        <v>0.22598011104673138</v>
      </c>
      <c r="AH13" s="97">
        <f t="shared" si="36"/>
        <v>0.22598011104673138</v>
      </c>
      <c r="AI13" s="97">
        <f t="shared" si="37"/>
        <v>0.22598011104673138</v>
      </c>
      <c r="AJ13" s="97">
        <f t="shared" si="38"/>
        <v>0.22598011104673138</v>
      </c>
    </row>
    <row r="14" spans="1:36" ht="15.75" thickBot="1" x14ac:dyDescent="0.3">
      <c r="A14" s="26" t="s">
        <v>6</v>
      </c>
      <c r="B14" s="88" t="s">
        <v>49</v>
      </c>
      <c r="C14" s="53" t="s">
        <v>63</v>
      </c>
      <c r="D14" s="92" t="s">
        <v>50</v>
      </c>
      <c r="E14" s="88" t="s">
        <v>7</v>
      </c>
      <c r="F14" s="88" t="s">
        <v>46</v>
      </c>
      <c r="G14" s="88" t="s">
        <v>47</v>
      </c>
      <c r="H14" s="94"/>
      <c r="I14" s="41"/>
      <c r="J14" s="42"/>
      <c r="K14" s="98">
        <v>0.20085444893596174</v>
      </c>
      <c r="L14" s="98">
        <v>0.24508862697687936</v>
      </c>
      <c r="M14" s="98">
        <v>0.24508862697687936</v>
      </c>
      <c r="N14" s="98">
        <v>0.22800510538799665</v>
      </c>
      <c r="O14" s="98">
        <v>0.22800510538799665</v>
      </c>
      <c r="P14" s="98">
        <v>0.23373129530356007</v>
      </c>
      <c r="Q14" s="98">
        <v>0.23373129530356007</v>
      </c>
      <c r="R14" s="97">
        <v>0.28132346446506262</v>
      </c>
      <c r="S14" s="98">
        <v>0.28132346446506262</v>
      </c>
      <c r="T14" s="97">
        <f t="shared" si="40"/>
        <v>0.28132346446506262</v>
      </c>
      <c r="U14" s="97">
        <f t="shared" si="23"/>
        <v>0.28132346446506262</v>
      </c>
      <c r="V14" s="97">
        <f t="shared" si="24"/>
        <v>0.28132346446506262</v>
      </c>
      <c r="W14" s="97">
        <f t="shared" si="25"/>
        <v>0.28132346446506262</v>
      </c>
      <c r="X14" s="97">
        <f t="shared" si="26"/>
        <v>0.28132346446506262</v>
      </c>
      <c r="Y14" s="97">
        <f t="shared" si="27"/>
        <v>0.28132346446506262</v>
      </c>
      <c r="Z14" s="97">
        <f t="shared" si="28"/>
        <v>0.28132346446506262</v>
      </c>
      <c r="AA14" s="97">
        <f t="shared" si="29"/>
        <v>0.28132346446506262</v>
      </c>
      <c r="AB14" s="97">
        <f t="shared" si="30"/>
        <v>0.28132346446506262</v>
      </c>
      <c r="AC14" s="97">
        <f t="shared" si="31"/>
        <v>0.28132346446506262</v>
      </c>
      <c r="AD14" s="97">
        <f t="shared" si="32"/>
        <v>0.28132346446506262</v>
      </c>
      <c r="AE14" s="97">
        <f t="shared" si="33"/>
        <v>0.28132346446506262</v>
      </c>
      <c r="AF14" s="97">
        <f t="shared" si="34"/>
        <v>0.28132346446506262</v>
      </c>
      <c r="AG14" s="97">
        <f t="shared" si="35"/>
        <v>0.28132346446506262</v>
      </c>
      <c r="AH14" s="97">
        <f t="shared" si="36"/>
        <v>0.28132346446506262</v>
      </c>
      <c r="AI14" s="97">
        <f t="shared" si="37"/>
        <v>0.28132346446506262</v>
      </c>
      <c r="AJ14" s="97">
        <f t="shared" si="38"/>
        <v>0.28132346446506262</v>
      </c>
    </row>
    <row r="15" spans="1:36" ht="15.75" thickBot="1" x14ac:dyDescent="0.3">
      <c r="A15" s="26" t="s">
        <v>6</v>
      </c>
      <c r="B15" s="88" t="s">
        <v>49</v>
      </c>
      <c r="C15" s="53" t="s">
        <v>64</v>
      </c>
      <c r="D15" s="92" t="s">
        <v>50</v>
      </c>
      <c r="E15" s="88" t="s">
        <v>7</v>
      </c>
      <c r="F15" s="88" t="s">
        <v>46</v>
      </c>
      <c r="G15" s="88" t="s">
        <v>47</v>
      </c>
      <c r="H15" s="94"/>
      <c r="I15" s="41"/>
      <c r="J15" s="42"/>
      <c r="K15" s="98">
        <v>0.1637350076132231</v>
      </c>
      <c r="L15" s="98">
        <v>0.15623044174909703</v>
      </c>
      <c r="M15" s="98">
        <v>0.15623044174909703</v>
      </c>
      <c r="N15" s="98">
        <v>0.25601076340738121</v>
      </c>
      <c r="O15" s="98">
        <v>0.25601076340738121</v>
      </c>
      <c r="P15" s="98">
        <v>0.25582688404206855</v>
      </c>
      <c r="Q15" s="98">
        <v>0.25582688404206855</v>
      </c>
      <c r="R15" s="97">
        <v>0.28939516386025393</v>
      </c>
      <c r="S15" s="98">
        <v>0.28939516386025393</v>
      </c>
      <c r="T15" s="97">
        <f t="shared" si="40"/>
        <v>0.28939516386025393</v>
      </c>
      <c r="U15" s="97">
        <f t="shared" si="23"/>
        <v>0.28939516386025393</v>
      </c>
      <c r="V15" s="97">
        <f t="shared" si="24"/>
        <v>0.28939516386025393</v>
      </c>
      <c r="W15" s="97">
        <f t="shared" si="25"/>
        <v>0.28939516386025393</v>
      </c>
      <c r="X15" s="97">
        <f t="shared" si="26"/>
        <v>0.28939516386025393</v>
      </c>
      <c r="Y15" s="97">
        <f t="shared" si="27"/>
        <v>0.28939516386025393</v>
      </c>
      <c r="Z15" s="97">
        <f t="shared" si="28"/>
        <v>0.28939516386025393</v>
      </c>
      <c r="AA15" s="97">
        <f t="shared" si="29"/>
        <v>0.28939516386025393</v>
      </c>
      <c r="AB15" s="97">
        <f t="shared" si="30"/>
        <v>0.28939516386025393</v>
      </c>
      <c r="AC15" s="97">
        <f t="shared" si="31"/>
        <v>0.28939516386025393</v>
      </c>
      <c r="AD15" s="97">
        <f t="shared" si="32"/>
        <v>0.28939516386025393</v>
      </c>
      <c r="AE15" s="97">
        <f t="shared" si="33"/>
        <v>0.28939516386025393</v>
      </c>
      <c r="AF15" s="97">
        <f t="shared" si="34"/>
        <v>0.28939516386025393</v>
      </c>
      <c r="AG15" s="97">
        <f t="shared" si="35"/>
        <v>0.28939516386025393</v>
      </c>
      <c r="AH15" s="97">
        <f t="shared" si="36"/>
        <v>0.28939516386025393</v>
      </c>
      <c r="AI15" s="97">
        <f t="shared" si="37"/>
        <v>0.28939516386025393</v>
      </c>
      <c r="AJ15" s="97">
        <f t="shared" si="38"/>
        <v>0.28939516386025393</v>
      </c>
    </row>
    <row r="16" spans="1:36" ht="15.75" thickBot="1" x14ac:dyDescent="0.3">
      <c r="A16" s="26" t="s">
        <v>6</v>
      </c>
      <c r="B16" s="88" t="s">
        <v>49</v>
      </c>
      <c r="C16" s="53" t="s">
        <v>65</v>
      </c>
      <c r="D16" s="92" t="s">
        <v>50</v>
      </c>
      <c r="E16" s="88" t="s">
        <v>7</v>
      </c>
      <c r="F16" s="88" t="s">
        <v>46</v>
      </c>
      <c r="G16" s="88" t="s">
        <v>47</v>
      </c>
      <c r="H16" s="94"/>
      <c r="I16" s="41"/>
      <c r="J16" s="42"/>
      <c r="K16" s="98">
        <v>0.20085444893596174</v>
      </c>
      <c r="L16" s="98">
        <v>0.24508862697687936</v>
      </c>
      <c r="M16" s="98">
        <v>0.24508862697687936</v>
      </c>
      <c r="N16" s="98">
        <v>0.22800510538799665</v>
      </c>
      <c r="O16" s="98">
        <v>0.22800510538799665</v>
      </c>
      <c r="P16" s="98">
        <v>0.23373129530356007</v>
      </c>
      <c r="Q16" s="98">
        <v>0.23373129530356007</v>
      </c>
      <c r="R16" s="97">
        <v>0.28132346446506262</v>
      </c>
      <c r="S16" s="98">
        <v>0.28132346446506262</v>
      </c>
      <c r="T16" s="97">
        <f t="shared" si="40"/>
        <v>0.28132346446506262</v>
      </c>
      <c r="U16" s="97">
        <f t="shared" ref="U16" si="41">T16</f>
        <v>0.28132346446506262</v>
      </c>
      <c r="V16" s="97">
        <f t="shared" ref="V16" si="42">U16</f>
        <v>0.28132346446506262</v>
      </c>
      <c r="W16" s="97">
        <f t="shared" ref="W16" si="43">V16</f>
        <v>0.28132346446506262</v>
      </c>
      <c r="X16" s="97">
        <f t="shared" ref="X16" si="44">W16</f>
        <v>0.28132346446506262</v>
      </c>
      <c r="Y16" s="97">
        <f t="shared" ref="Y16" si="45">X16</f>
        <v>0.28132346446506262</v>
      </c>
      <c r="Z16" s="97">
        <f t="shared" ref="Z16" si="46">Y16</f>
        <v>0.28132346446506262</v>
      </c>
      <c r="AA16" s="97">
        <f t="shared" ref="AA16" si="47">Z16</f>
        <v>0.28132346446506262</v>
      </c>
      <c r="AB16" s="97">
        <f t="shared" ref="AB16" si="48">AA16</f>
        <v>0.28132346446506262</v>
      </c>
      <c r="AC16" s="97">
        <f t="shared" ref="AC16" si="49">AB16</f>
        <v>0.28132346446506262</v>
      </c>
      <c r="AD16" s="97">
        <f t="shared" ref="AD16" si="50">AC16</f>
        <v>0.28132346446506262</v>
      </c>
      <c r="AE16" s="97">
        <f t="shared" ref="AE16" si="51">AD16</f>
        <v>0.28132346446506262</v>
      </c>
      <c r="AF16" s="97">
        <f t="shared" ref="AF16" si="52">AE16</f>
        <v>0.28132346446506262</v>
      </c>
      <c r="AG16" s="97">
        <f t="shared" ref="AG16" si="53">AF16</f>
        <v>0.28132346446506262</v>
      </c>
      <c r="AH16" s="97">
        <f t="shared" ref="AH16" si="54">AG16</f>
        <v>0.28132346446506262</v>
      </c>
      <c r="AI16" s="97">
        <f t="shared" ref="AI16" si="55">AH16</f>
        <v>0.28132346446506262</v>
      </c>
      <c r="AJ16" s="97">
        <f t="shared" ref="AJ16" si="56">AI16</f>
        <v>0.28132346446506262</v>
      </c>
    </row>
    <row r="17" spans="1:36" ht="15.75" thickBot="1" x14ac:dyDescent="0.3">
      <c r="A17" s="26" t="s">
        <v>6</v>
      </c>
      <c r="B17" s="88" t="s">
        <v>49</v>
      </c>
      <c r="C17" s="53" t="s">
        <v>66</v>
      </c>
      <c r="D17" s="92" t="s">
        <v>50</v>
      </c>
      <c r="E17" s="88" t="s">
        <v>7</v>
      </c>
      <c r="F17" s="88" t="s">
        <v>46</v>
      </c>
      <c r="G17" s="88" t="s">
        <v>47</v>
      </c>
      <c r="H17" s="94"/>
      <c r="I17" s="41"/>
      <c r="J17" s="42"/>
      <c r="K17" s="98">
        <v>0.47508782099552471</v>
      </c>
      <c r="L17" s="98">
        <v>0.2060696324237602</v>
      </c>
      <c r="M17" s="98">
        <v>0.2060696324237602</v>
      </c>
      <c r="N17" s="98">
        <v>0.18783468762849229</v>
      </c>
      <c r="O17" s="98">
        <v>0.18783468762849229</v>
      </c>
      <c r="P17" s="98">
        <v>0.19788386426152313</v>
      </c>
      <c r="Q17" s="98">
        <v>0.19788386426152313</v>
      </c>
      <c r="R17" s="97">
        <v>0.1542201108225951</v>
      </c>
      <c r="S17" s="98">
        <v>0.1542201108225951</v>
      </c>
      <c r="T17" s="97">
        <f t="shared" si="40"/>
        <v>0.1542201108225951</v>
      </c>
      <c r="U17" s="97">
        <f t="shared" ref="U17:U21" si="57">T17</f>
        <v>0.1542201108225951</v>
      </c>
      <c r="V17" s="97">
        <f t="shared" ref="V17:V21" si="58">U17</f>
        <v>0.1542201108225951</v>
      </c>
      <c r="W17" s="97">
        <f t="shared" ref="W17:W21" si="59">V17</f>
        <v>0.1542201108225951</v>
      </c>
      <c r="X17" s="97">
        <f t="shared" ref="X17:X21" si="60">W17</f>
        <v>0.1542201108225951</v>
      </c>
      <c r="Y17" s="97">
        <f t="shared" ref="Y17:Y21" si="61">X17</f>
        <v>0.1542201108225951</v>
      </c>
      <c r="Z17" s="97">
        <f t="shared" ref="Z17:Z21" si="62">Y17</f>
        <v>0.1542201108225951</v>
      </c>
      <c r="AA17" s="97">
        <f t="shared" ref="AA17:AA21" si="63">Z17</f>
        <v>0.1542201108225951</v>
      </c>
      <c r="AB17" s="97">
        <f t="shared" ref="AB17:AB21" si="64">AA17</f>
        <v>0.1542201108225951</v>
      </c>
      <c r="AC17" s="97">
        <f t="shared" ref="AC17:AC21" si="65">AB17</f>
        <v>0.1542201108225951</v>
      </c>
      <c r="AD17" s="97">
        <f t="shared" ref="AD17:AD21" si="66">AC17</f>
        <v>0.1542201108225951</v>
      </c>
      <c r="AE17" s="97">
        <f t="shared" ref="AE17:AE21" si="67">AD17</f>
        <v>0.1542201108225951</v>
      </c>
      <c r="AF17" s="97">
        <f t="shared" ref="AF17:AF21" si="68">AE17</f>
        <v>0.1542201108225951</v>
      </c>
      <c r="AG17" s="97">
        <f t="shared" ref="AG17:AG21" si="69">AF17</f>
        <v>0.1542201108225951</v>
      </c>
      <c r="AH17" s="97">
        <f t="shared" ref="AH17:AH21" si="70">AG17</f>
        <v>0.1542201108225951</v>
      </c>
      <c r="AI17" s="97">
        <f t="shared" ref="AI17:AI21" si="71">AH17</f>
        <v>0.1542201108225951</v>
      </c>
      <c r="AJ17" s="97">
        <f t="shared" ref="AJ17:AJ21" si="72">AI17</f>
        <v>0.1542201108225951</v>
      </c>
    </row>
    <row r="18" spans="1:36" ht="15.75" thickBot="1" x14ac:dyDescent="0.3">
      <c r="A18" s="26" t="s">
        <v>6</v>
      </c>
      <c r="B18" s="88" t="s">
        <v>49</v>
      </c>
      <c r="C18" s="53" t="s">
        <v>67</v>
      </c>
      <c r="D18" s="92" t="s">
        <v>50</v>
      </c>
      <c r="E18" s="88" t="s">
        <v>7</v>
      </c>
      <c r="F18" s="88" t="s">
        <v>46</v>
      </c>
      <c r="G18" s="88" t="s">
        <v>47</v>
      </c>
      <c r="H18" s="94"/>
      <c r="I18" s="41"/>
      <c r="J18" s="42"/>
      <c r="K18" s="98">
        <v>1.9234324736660921E-5</v>
      </c>
      <c r="L18" s="98">
        <v>8.342900098127943E-6</v>
      </c>
      <c r="M18" s="98">
        <v>8.342900098127943E-6</v>
      </c>
      <c r="N18" s="98">
        <v>7.6046432238255994E-6</v>
      </c>
      <c r="O18" s="98">
        <v>7.6046432238255994E-6</v>
      </c>
      <c r="P18" s="98">
        <v>8.0114924802236075E-6</v>
      </c>
      <c r="Q18" s="98">
        <v>8.0114924802236075E-6</v>
      </c>
      <c r="R18" s="97">
        <v>6.243729183101016E-6</v>
      </c>
      <c r="S18" s="98">
        <v>6.243729183101016E-6</v>
      </c>
      <c r="T18" s="97">
        <f t="shared" si="40"/>
        <v>6.243729183101016E-6</v>
      </c>
      <c r="U18" s="97">
        <f t="shared" si="57"/>
        <v>6.243729183101016E-6</v>
      </c>
      <c r="V18" s="97">
        <f t="shared" si="58"/>
        <v>6.243729183101016E-6</v>
      </c>
      <c r="W18" s="97">
        <f t="shared" si="59"/>
        <v>6.243729183101016E-6</v>
      </c>
      <c r="X18" s="97">
        <f t="shared" si="60"/>
        <v>6.243729183101016E-6</v>
      </c>
      <c r="Y18" s="97">
        <f t="shared" si="61"/>
        <v>6.243729183101016E-6</v>
      </c>
      <c r="Z18" s="97">
        <f t="shared" si="62"/>
        <v>6.243729183101016E-6</v>
      </c>
      <c r="AA18" s="97">
        <f t="shared" si="63"/>
        <v>6.243729183101016E-6</v>
      </c>
      <c r="AB18" s="97">
        <f t="shared" si="64"/>
        <v>6.243729183101016E-6</v>
      </c>
      <c r="AC18" s="97">
        <f t="shared" si="65"/>
        <v>6.243729183101016E-6</v>
      </c>
      <c r="AD18" s="97">
        <f t="shared" si="66"/>
        <v>6.243729183101016E-6</v>
      </c>
      <c r="AE18" s="97">
        <f t="shared" si="67"/>
        <v>6.243729183101016E-6</v>
      </c>
      <c r="AF18" s="97">
        <f t="shared" si="68"/>
        <v>6.243729183101016E-6</v>
      </c>
      <c r="AG18" s="97">
        <f t="shared" si="69"/>
        <v>6.243729183101016E-6</v>
      </c>
      <c r="AH18" s="97">
        <f t="shared" si="70"/>
        <v>6.243729183101016E-6</v>
      </c>
      <c r="AI18" s="97">
        <f t="shared" si="71"/>
        <v>6.243729183101016E-6</v>
      </c>
      <c r="AJ18" s="97">
        <f t="shared" si="72"/>
        <v>6.243729183101016E-6</v>
      </c>
    </row>
    <row r="19" spans="1:36" ht="15.75" thickBot="1" x14ac:dyDescent="0.3">
      <c r="A19" s="26" t="s">
        <v>6</v>
      </c>
      <c r="B19" s="88" t="s">
        <v>49</v>
      </c>
      <c r="C19" s="53" t="s">
        <v>68</v>
      </c>
      <c r="D19" s="92" t="s">
        <v>50</v>
      </c>
      <c r="E19" s="88" t="s">
        <v>7</v>
      </c>
      <c r="F19" s="88" t="s">
        <v>46</v>
      </c>
      <c r="G19" s="88" t="s">
        <v>47</v>
      </c>
      <c r="H19" s="94"/>
      <c r="I19" s="41"/>
      <c r="J19" s="42"/>
      <c r="K19" s="98">
        <v>5.7501585157892712E-6</v>
      </c>
      <c r="L19" s="98">
        <v>8.2008886956091995E-6</v>
      </c>
      <c r="M19" s="98">
        <v>8.2008886956091995E-6</v>
      </c>
      <c r="N19" s="98">
        <v>7.9492363851660356E-6</v>
      </c>
      <c r="O19" s="98">
        <v>7.9492363851660356E-6</v>
      </c>
      <c r="P19" s="98">
        <v>7.8638988545295655E-6</v>
      </c>
      <c r="Q19" s="98">
        <v>7.8638988545295655E-6</v>
      </c>
      <c r="R19" s="97">
        <v>8.7302917969267967E-6</v>
      </c>
      <c r="S19" s="98">
        <v>8.7302917969267967E-6</v>
      </c>
      <c r="T19" s="97">
        <f t="shared" si="40"/>
        <v>8.7302917969267967E-6</v>
      </c>
      <c r="U19" s="97">
        <f t="shared" si="57"/>
        <v>8.7302917969267967E-6</v>
      </c>
      <c r="V19" s="97">
        <f t="shared" si="58"/>
        <v>8.7302917969267967E-6</v>
      </c>
      <c r="W19" s="97">
        <f t="shared" si="59"/>
        <v>8.7302917969267967E-6</v>
      </c>
      <c r="X19" s="97">
        <f t="shared" si="60"/>
        <v>8.7302917969267967E-6</v>
      </c>
      <c r="Y19" s="97">
        <f t="shared" si="61"/>
        <v>8.7302917969267967E-6</v>
      </c>
      <c r="Z19" s="97">
        <f t="shared" si="62"/>
        <v>8.7302917969267967E-6</v>
      </c>
      <c r="AA19" s="97">
        <f t="shared" si="63"/>
        <v>8.7302917969267967E-6</v>
      </c>
      <c r="AB19" s="97">
        <f t="shared" si="64"/>
        <v>8.7302917969267967E-6</v>
      </c>
      <c r="AC19" s="97">
        <f t="shared" si="65"/>
        <v>8.7302917969267967E-6</v>
      </c>
      <c r="AD19" s="97">
        <f t="shared" si="66"/>
        <v>8.7302917969267967E-6</v>
      </c>
      <c r="AE19" s="97">
        <f t="shared" si="67"/>
        <v>8.7302917969267967E-6</v>
      </c>
      <c r="AF19" s="97">
        <f t="shared" si="68"/>
        <v>8.7302917969267967E-6</v>
      </c>
      <c r="AG19" s="97">
        <f t="shared" si="69"/>
        <v>8.7302917969267967E-6</v>
      </c>
      <c r="AH19" s="97">
        <f t="shared" si="70"/>
        <v>8.7302917969267967E-6</v>
      </c>
      <c r="AI19" s="97">
        <f t="shared" si="71"/>
        <v>8.7302917969267967E-6</v>
      </c>
      <c r="AJ19" s="97">
        <f t="shared" si="72"/>
        <v>8.7302917969267967E-6</v>
      </c>
    </row>
    <row r="20" spans="1:36" ht="15.75" thickBot="1" x14ac:dyDescent="0.3">
      <c r="A20" s="26" t="s">
        <v>6</v>
      </c>
      <c r="B20" s="88" t="s">
        <v>49</v>
      </c>
      <c r="C20" s="53" t="s">
        <v>69</v>
      </c>
      <c r="D20" s="92" t="s">
        <v>50</v>
      </c>
      <c r="E20" s="88" t="s">
        <v>7</v>
      </c>
      <c r="F20" s="88" t="s">
        <v>46</v>
      </c>
      <c r="G20" s="88" t="s">
        <v>47</v>
      </c>
      <c r="H20" s="94"/>
      <c r="I20" s="41"/>
      <c r="J20" s="42"/>
      <c r="K20" s="98">
        <v>3.5767992929537949E-6</v>
      </c>
      <c r="L20" s="98">
        <v>4.364517850243957E-6</v>
      </c>
      <c r="M20" s="98">
        <v>4.364517850243957E-6</v>
      </c>
      <c r="N20" s="98">
        <v>4.0602959210610065E-6</v>
      </c>
      <c r="O20" s="98">
        <v>4.0602959210610065E-6</v>
      </c>
      <c r="P20" s="98">
        <v>4.1622674340138348E-6</v>
      </c>
      <c r="Q20" s="98">
        <v>4.1622674340138348E-6</v>
      </c>
      <c r="R20" s="97">
        <v>5.0097848174165447E-6</v>
      </c>
      <c r="S20" s="98">
        <v>5.0097848174165447E-6</v>
      </c>
      <c r="T20" s="97">
        <f t="shared" si="40"/>
        <v>5.0097848174165447E-6</v>
      </c>
      <c r="U20" s="97">
        <f t="shared" si="57"/>
        <v>5.0097848174165447E-6</v>
      </c>
      <c r="V20" s="97">
        <f t="shared" si="58"/>
        <v>5.0097848174165447E-6</v>
      </c>
      <c r="W20" s="97">
        <f t="shared" si="59"/>
        <v>5.0097848174165447E-6</v>
      </c>
      <c r="X20" s="97">
        <f t="shared" si="60"/>
        <v>5.0097848174165447E-6</v>
      </c>
      <c r="Y20" s="97">
        <f t="shared" si="61"/>
        <v>5.0097848174165447E-6</v>
      </c>
      <c r="Z20" s="97">
        <f t="shared" si="62"/>
        <v>5.0097848174165447E-6</v>
      </c>
      <c r="AA20" s="97">
        <f t="shared" si="63"/>
        <v>5.0097848174165447E-6</v>
      </c>
      <c r="AB20" s="97">
        <f t="shared" si="64"/>
        <v>5.0097848174165447E-6</v>
      </c>
      <c r="AC20" s="97">
        <f t="shared" si="65"/>
        <v>5.0097848174165447E-6</v>
      </c>
      <c r="AD20" s="97">
        <f t="shared" si="66"/>
        <v>5.0097848174165447E-6</v>
      </c>
      <c r="AE20" s="97">
        <f t="shared" si="67"/>
        <v>5.0097848174165447E-6</v>
      </c>
      <c r="AF20" s="97">
        <f t="shared" si="68"/>
        <v>5.0097848174165447E-6</v>
      </c>
      <c r="AG20" s="97">
        <f t="shared" si="69"/>
        <v>5.0097848174165447E-6</v>
      </c>
      <c r="AH20" s="97">
        <f t="shared" si="70"/>
        <v>5.0097848174165447E-6</v>
      </c>
      <c r="AI20" s="97">
        <f t="shared" si="71"/>
        <v>5.0097848174165447E-6</v>
      </c>
      <c r="AJ20" s="97">
        <f t="shared" si="72"/>
        <v>5.0097848174165447E-6</v>
      </c>
    </row>
    <row r="21" spans="1:36" ht="15.75" thickBot="1" x14ac:dyDescent="0.3">
      <c r="A21" s="26" t="s">
        <v>6</v>
      </c>
      <c r="B21" s="88" t="s">
        <v>49</v>
      </c>
      <c r="C21" s="53" t="s">
        <v>70</v>
      </c>
      <c r="D21" s="92" t="s">
        <v>50</v>
      </c>
      <c r="E21" s="88" t="s">
        <v>7</v>
      </c>
      <c r="F21" s="88" t="s">
        <v>46</v>
      </c>
      <c r="G21" s="88" t="s">
        <v>47</v>
      </c>
      <c r="H21" s="94"/>
      <c r="I21" s="41"/>
      <c r="J21" s="42"/>
      <c r="K21" s="98">
        <v>6.6781732941013159E-6</v>
      </c>
      <c r="L21" s="98">
        <v>6.3720885290398475E-6</v>
      </c>
      <c r="M21" s="98">
        <v>6.3720885290398475E-6</v>
      </c>
      <c r="N21" s="98">
        <v>1.0441775818817569E-5</v>
      </c>
      <c r="O21" s="98">
        <v>1.0441775818817569E-5</v>
      </c>
      <c r="P21" s="98">
        <v>1.043427602824335E-5</v>
      </c>
      <c r="Q21" s="98">
        <v>1.043427602824335E-5</v>
      </c>
      <c r="R21" s="97">
        <v>1.180340773122207E-5</v>
      </c>
      <c r="S21" s="98">
        <v>1.180340773122207E-5</v>
      </c>
      <c r="T21" s="97">
        <f t="shared" si="40"/>
        <v>1.180340773122207E-5</v>
      </c>
      <c r="U21" s="97">
        <f t="shared" si="57"/>
        <v>1.180340773122207E-5</v>
      </c>
      <c r="V21" s="97">
        <f t="shared" si="58"/>
        <v>1.180340773122207E-5</v>
      </c>
      <c r="W21" s="97">
        <f t="shared" si="59"/>
        <v>1.180340773122207E-5</v>
      </c>
      <c r="X21" s="97">
        <f t="shared" si="60"/>
        <v>1.180340773122207E-5</v>
      </c>
      <c r="Y21" s="97">
        <f t="shared" si="61"/>
        <v>1.180340773122207E-5</v>
      </c>
      <c r="Z21" s="97">
        <f t="shared" si="62"/>
        <v>1.180340773122207E-5</v>
      </c>
      <c r="AA21" s="97">
        <f t="shared" si="63"/>
        <v>1.180340773122207E-5</v>
      </c>
      <c r="AB21" s="97">
        <f t="shared" si="64"/>
        <v>1.180340773122207E-5</v>
      </c>
      <c r="AC21" s="97">
        <f t="shared" si="65"/>
        <v>1.180340773122207E-5</v>
      </c>
      <c r="AD21" s="97">
        <f t="shared" si="66"/>
        <v>1.180340773122207E-5</v>
      </c>
      <c r="AE21" s="97">
        <f t="shared" si="67"/>
        <v>1.180340773122207E-5</v>
      </c>
      <c r="AF21" s="97">
        <f t="shared" si="68"/>
        <v>1.180340773122207E-5</v>
      </c>
      <c r="AG21" s="97">
        <f t="shared" si="69"/>
        <v>1.180340773122207E-5</v>
      </c>
      <c r="AH21" s="97">
        <f t="shared" si="70"/>
        <v>1.180340773122207E-5</v>
      </c>
      <c r="AI21" s="97">
        <f t="shared" si="71"/>
        <v>1.180340773122207E-5</v>
      </c>
      <c r="AJ21" s="97">
        <f t="shared" si="72"/>
        <v>1.180340773122207E-5</v>
      </c>
    </row>
    <row r="22" spans="1:36" ht="15.75" thickBot="1" x14ac:dyDescent="0.3">
      <c r="A22" s="26" t="s">
        <v>6</v>
      </c>
      <c r="B22" s="88" t="s">
        <v>49</v>
      </c>
      <c r="C22" s="53" t="s">
        <v>71</v>
      </c>
      <c r="D22" s="92" t="s">
        <v>50</v>
      </c>
      <c r="E22" s="88" t="s">
        <v>7</v>
      </c>
      <c r="F22" s="88" t="s">
        <v>46</v>
      </c>
      <c r="G22" s="88" t="s">
        <v>47</v>
      </c>
      <c r="H22" s="94"/>
      <c r="I22" s="41"/>
      <c r="J22" s="42"/>
      <c r="K22" s="98">
        <v>3.5767992929537949E-6</v>
      </c>
      <c r="L22" s="98">
        <v>4.364517850243957E-6</v>
      </c>
      <c r="M22" s="98">
        <v>4.364517850243957E-6</v>
      </c>
      <c r="N22" s="98">
        <v>4.0602959210610065E-6</v>
      </c>
      <c r="O22" s="98">
        <v>4.0602959210610065E-6</v>
      </c>
      <c r="P22" s="98">
        <v>4.1622674340138348E-6</v>
      </c>
      <c r="Q22" s="98">
        <v>4.1622674340138348E-6</v>
      </c>
      <c r="R22" s="97">
        <v>5.0097848174165447E-6</v>
      </c>
      <c r="S22" s="98">
        <v>5.0097848174165447E-6</v>
      </c>
      <c r="T22" s="97">
        <f t="shared" si="40"/>
        <v>5.0097848174165447E-6</v>
      </c>
      <c r="U22" s="97">
        <f t="shared" ref="U22" si="73">T22</f>
        <v>5.0097848174165447E-6</v>
      </c>
      <c r="V22" s="97">
        <f t="shared" ref="V22" si="74">U22</f>
        <v>5.0097848174165447E-6</v>
      </c>
      <c r="W22" s="97">
        <f t="shared" ref="W22" si="75">V22</f>
        <v>5.0097848174165447E-6</v>
      </c>
      <c r="X22" s="97">
        <f t="shared" ref="X22" si="76">W22</f>
        <v>5.0097848174165447E-6</v>
      </c>
      <c r="Y22" s="97">
        <f t="shared" ref="Y22" si="77">X22</f>
        <v>5.0097848174165447E-6</v>
      </c>
      <c r="Z22" s="97">
        <f t="shared" ref="Z22" si="78">Y22</f>
        <v>5.0097848174165447E-6</v>
      </c>
      <c r="AA22" s="97">
        <f t="shared" ref="AA22" si="79">Z22</f>
        <v>5.0097848174165447E-6</v>
      </c>
      <c r="AB22" s="97">
        <f t="shared" ref="AB22" si="80">AA22</f>
        <v>5.0097848174165447E-6</v>
      </c>
      <c r="AC22" s="97">
        <f t="shared" ref="AC22" si="81">AB22</f>
        <v>5.0097848174165447E-6</v>
      </c>
      <c r="AD22" s="97">
        <f t="shared" ref="AD22" si="82">AC22</f>
        <v>5.0097848174165447E-6</v>
      </c>
      <c r="AE22" s="97">
        <f t="shared" ref="AE22" si="83">AD22</f>
        <v>5.0097848174165447E-6</v>
      </c>
      <c r="AF22" s="97">
        <f t="shared" ref="AF22" si="84">AE22</f>
        <v>5.0097848174165447E-6</v>
      </c>
      <c r="AG22" s="97">
        <f t="shared" ref="AG22" si="85">AF22</f>
        <v>5.0097848174165447E-6</v>
      </c>
      <c r="AH22" s="97">
        <f t="shared" ref="AH22" si="86">AG22</f>
        <v>5.0097848174165447E-6</v>
      </c>
      <c r="AI22" s="97">
        <f t="shared" ref="AI22" si="87">AH22</f>
        <v>5.0097848174165447E-6</v>
      </c>
      <c r="AJ22" s="97">
        <f t="shared" ref="AJ22" si="88">AI22</f>
        <v>5.0097848174165447E-6</v>
      </c>
    </row>
    <row r="23" spans="1:36" ht="15.75" thickBot="1" x14ac:dyDescent="0.3">
      <c r="A23" s="26" t="s">
        <v>6</v>
      </c>
      <c r="B23" s="88" t="s">
        <v>49</v>
      </c>
      <c r="C23" s="53" t="s">
        <v>72</v>
      </c>
      <c r="D23" s="92" t="s">
        <v>50</v>
      </c>
      <c r="E23" s="88" t="s">
        <v>7</v>
      </c>
      <c r="F23" s="88" t="s">
        <v>46</v>
      </c>
      <c r="G23" s="88" t="s">
        <v>47</v>
      </c>
      <c r="H23" s="94"/>
      <c r="I23" s="41"/>
      <c r="J23" s="42"/>
      <c r="K23" s="98">
        <v>1.9234324736660921E-5</v>
      </c>
      <c r="L23" s="98">
        <v>8.342900098127943E-6</v>
      </c>
      <c r="M23" s="98">
        <v>8.342900098127943E-6</v>
      </c>
      <c r="N23" s="98">
        <v>7.6046432238255994E-6</v>
      </c>
      <c r="O23" s="98">
        <v>7.6046432238255994E-6</v>
      </c>
      <c r="P23" s="98">
        <v>8.0114924802236075E-6</v>
      </c>
      <c r="Q23" s="98">
        <v>8.0114924802236075E-6</v>
      </c>
      <c r="R23" s="97">
        <v>6.243729183101016E-6</v>
      </c>
      <c r="S23" s="98">
        <v>6.243729183101016E-6</v>
      </c>
      <c r="T23" s="97">
        <f t="shared" si="40"/>
        <v>6.243729183101016E-6</v>
      </c>
      <c r="U23" s="97">
        <f t="shared" ref="U23:U27" si="89">T23</f>
        <v>6.243729183101016E-6</v>
      </c>
      <c r="V23" s="97">
        <f t="shared" ref="V23:V27" si="90">U23</f>
        <v>6.243729183101016E-6</v>
      </c>
      <c r="W23" s="97">
        <f t="shared" ref="W23:W27" si="91">V23</f>
        <v>6.243729183101016E-6</v>
      </c>
      <c r="X23" s="97">
        <f t="shared" ref="X23:X27" si="92">W23</f>
        <v>6.243729183101016E-6</v>
      </c>
      <c r="Y23" s="97">
        <f t="shared" ref="Y23:Y27" si="93">X23</f>
        <v>6.243729183101016E-6</v>
      </c>
      <c r="Z23" s="97">
        <f t="shared" ref="Z23:Z27" si="94">Y23</f>
        <v>6.243729183101016E-6</v>
      </c>
      <c r="AA23" s="97">
        <f t="shared" ref="AA23:AA27" si="95">Z23</f>
        <v>6.243729183101016E-6</v>
      </c>
      <c r="AB23" s="97">
        <f t="shared" ref="AB23:AB27" si="96">AA23</f>
        <v>6.243729183101016E-6</v>
      </c>
      <c r="AC23" s="97">
        <f t="shared" ref="AC23:AC27" si="97">AB23</f>
        <v>6.243729183101016E-6</v>
      </c>
      <c r="AD23" s="97">
        <f t="shared" ref="AD23:AD27" si="98">AC23</f>
        <v>6.243729183101016E-6</v>
      </c>
      <c r="AE23" s="97">
        <f t="shared" ref="AE23:AE27" si="99">AD23</f>
        <v>6.243729183101016E-6</v>
      </c>
      <c r="AF23" s="97">
        <f t="shared" ref="AF23:AF27" si="100">AE23</f>
        <v>6.243729183101016E-6</v>
      </c>
      <c r="AG23" s="97">
        <f t="shared" ref="AG23:AG27" si="101">AF23</f>
        <v>6.243729183101016E-6</v>
      </c>
      <c r="AH23" s="97">
        <f t="shared" ref="AH23:AH27" si="102">AG23</f>
        <v>6.243729183101016E-6</v>
      </c>
      <c r="AI23" s="97">
        <f t="shared" ref="AI23:AI27" si="103">AH23</f>
        <v>6.243729183101016E-6</v>
      </c>
      <c r="AJ23" s="97">
        <f t="shared" ref="AJ23:AJ27" si="104">AI23</f>
        <v>6.243729183101016E-6</v>
      </c>
    </row>
    <row r="24" spans="1:36" ht="15.75" thickBot="1" x14ac:dyDescent="0.3">
      <c r="A24" s="26" t="s">
        <v>6</v>
      </c>
      <c r="B24" s="88" t="s">
        <v>49</v>
      </c>
      <c r="C24" s="53" t="s">
        <v>73</v>
      </c>
      <c r="D24" s="92" t="s">
        <v>50</v>
      </c>
      <c r="E24" s="88" t="s">
        <v>7</v>
      </c>
      <c r="F24" s="88" t="s">
        <v>46</v>
      </c>
      <c r="G24" s="88" t="s">
        <v>47</v>
      </c>
      <c r="H24" s="94"/>
      <c r="I24" s="41"/>
      <c r="J24" s="42"/>
      <c r="K24" s="98">
        <v>3.8468649473321838E-6</v>
      </c>
      <c r="L24" s="98">
        <v>1.6685800196255885E-6</v>
      </c>
      <c r="M24" s="98">
        <v>1.6685800196255885E-6</v>
      </c>
      <c r="N24" s="98">
        <v>1.5209286447651198E-6</v>
      </c>
      <c r="O24" s="98">
        <v>1.5209286447651198E-6</v>
      </c>
      <c r="P24" s="98">
        <v>1.6022984960447216E-6</v>
      </c>
      <c r="Q24" s="98">
        <v>1.6022984960447216E-6</v>
      </c>
      <c r="R24" s="97">
        <v>1.2487458366202033E-6</v>
      </c>
      <c r="S24" s="98">
        <v>1.2487458366202033E-6</v>
      </c>
      <c r="T24" s="97">
        <f t="shared" si="40"/>
        <v>1.2487458366202033E-6</v>
      </c>
      <c r="U24" s="97">
        <f t="shared" si="89"/>
        <v>1.2487458366202033E-6</v>
      </c>
      <c r="V24" s="97">
        <f t="shared" si="90"/>
        <v>1.2487458366202033E-6</v>
      </c>
      <c r="W24" s="97">
        <f t="shared" si="91"/>
        <v>1.2487458366202033E-6</v>
      </c>
      <c r="X24" s="97">
        <f t="shared" si="92"/>
        <v>1.2487458366202033E-6</v>
      </c>
      <c r="Y24" s="97">
        <f t="shared" si="93"/>
        <v>1.2487458366202033E-6</v>
      </c>
      <c r="Z24" s="97">
        <f t="shared" si="94"/>
        <v>1.2487458366202033E-6</v>
      </c>
      <c r="AA24" s="97">
        <f t="shared" si="95"/>
        <v>1.2487458366202033E-6</v>
      </c>
      <c r="AB24" s="97">
        <f t="shared" si="96"/>
        <v>1.2487458366202033E-6</v>
      </c>
      <c r="AC24" s="97">
        <f t="shared" si="97"/>
        <v>1.2487458366202033E-6</v>
      </c>
      <c r="AD24" s="97">
        <f t="shared" si="98"/>
        <v>1.2487458366202033E-6</v>
      </c>
      <c r="AE24" s="97">
        <f t="shared" si="99"/>
        <v>1.2487458366202033E-6</v>
      </c>
      <c r="AF24" s="97">
        <f t="shared" si="100"/>
        <v>1.2487458366202033E-6</v>
      </c>
      <c r="AG24" s="97">
        <f t="shared" si="101"/>
        <v>1.2487458366202033E-6</v>
      </c>
      <c r="AH24" s="97">
        <f t="shared" si="102"/>
        <v>1.2487458366202033E-6</v>
      </c>
      <c r="AI24" s="97">
        <f t="shared" si="103"/>
        <v>1.2487458366202033E-6</v>
      </c>
      <c r="AJ24" s="97">
        <f t="shared" si="104"/>
        <v>1.2487458366202033E-6</v>
      </c>
    </row>
    <row r="25" spans="1:36" ht="15.75" thickBot="1" x14ac:dyDescent="0.3">
      <c r="A25" s="26" t="s">
        <v>6</v>
      </c>
      <c r="B25" s="88" t="s">
        <v>49</v>
      </c>
      <c r="C25" s="53" t="s">
        <v>74</v>
      </c>
      <c r="D25" s="92" t="s">
        <v>50</v>
      </c>
      <c r="E25" s="88" t="s">
        <v>7</v>
      </c>
      <c r="F25" s="88" t="s">
        <v>46</v>
      </c>
      <c r="G25" s="88" t="s">
        <v>47</v>
      </c>
      <c r="H25" s="94"/>
      <c r="I25" s="41"/>
      <c r="J25" s="42"/>
      <c r="K25" s="98">
        <v>1.1500317031578542E-6</v>
      </c>
      <c r="L25" s="98">
        <v>1.64017773912184E-6</v>
      </c>
      <c r="M25" s="98">
        <v>1.64017773912184E-6</v>
      </c>
      <c r="N25" s="98">
        <v>1.5898472770332072E-6</v>
      </c>
      <c r="O25" s="98">
        <v>1.5898472770332072E-6</v>
      </c>
      <c r="P25" s="98">
        <v>1.5727797709059131E-6</v>
      </c>
      <c r="Q25" s="98">
        <v>1.5727797709059131E-6</v>
      </c>
      <c r="R25" s="97">
        <v>1.7460583593853593E-6</v>
      </c>
      <c r="S25" s="98">
        <v>1.7460583593853593E-6</v>
      </c>
      <c r="T25" s="97">
        <f t="shared" si="40"/>
        <v>1.7460583593853593E-6</v>
      </c>
      <c r="U25" s="97">
        <f t="shared" si="89"/>
        <v>1.7460583593853593E-6</v>
      </c>
      <c r="V25" s="97">
        <f t="shared" si="90"/>
        <v>1.7460583593853593E-6</v>
      </c>
      <c r="W25" s="97">
        <f t="shared" si="91"/>
        <v>1.7460583593853593E-6</v>
      </c>
      <c r="X25" s="97">
        <f t="shared" si="92"/>
        <v>1.7460583593853593E-6</v>
      </c>
      <c r="Y25" s="97">
        <f t="shared" si="93"/>
        <v>1.7460583593853593E-6</v>
      </c>
      <c r="Z25" s="97">
        <f t="shared" si="94"/>
        <v>1.7460583593853593E-6</v>
      </c>
      <c r="AA25" s="97">
        <f t="shared" si="95"/>
        <v>1.7460583593853593E-6</v>
      </c>
      <c r="AB25" s="97">
        <f t="shared" si="96"/>
        <v>1.7460583593853593E-6</v>
      </c>
      <c r="AC25" s="97">
        <f t="shared" si="97"/>
        <v>1.7460583593853593E-6</v>
      </c>
      <c r="AD25" s="97">
        <f t="shared" si="98"/>
        <v>1.7460583593853593E-6</v>
      </c>
      <c r="AE25" s="97">
        <f t="shared" si="99"/>
        <v>1.7460583593853593E-6</v>
      </c>
      <c r="AF25" s="97">
        <f t="shared" si="100"/>
        <v>1.7460583593853593E-6</v>
      </c>
      <c r="AG25" s="97">
        <f t="shared" si="101"/>
        <v>1.7460583593853593E-6</v>
      </c>
      <c r="AH25" s="97">
        <f t="shared" si="102"/>
        <v>1.7460583593853593E-6</v>
      </c>
      <c r="AI25" s="97">
        <f t="shared" si="103"/>
        <v>1.7460583593853593E-6</v>
      </c>
      <c r="AJ25" s="97">
        <f t="shared" si="104"/>
        <v>1.7460583593853593E-6</v>
      </c>
    </row>
    <row r="26" spans="1:36" ht="15.75" thickBot="1" x14ac:dyDescent="0.3">
      <c r="A26" s="26" t="s">
        <v>6</v>
      </c>
      <c r="B26" s="88" t="s">
        <v>49</v>
      </c>
      <c r="C26" s="53" t="s">
        <v>75</v>
      </c>
      <c r="D26" s="92" t="s">
        <v>50</v>
      </c>
      <c r="E26" s="88" t="s">
        <v>7</v>
      </c>
      <c r="F26" s="88" t="s">
        <v>46</v>
      </c>
      <c r="G26" s="88" t="s">
        <v>47</v>
      </c>
      <c r="H26" s="94"/>
      <c r="I26" s="41"/>
      <c r="J26" s="42"/>
      <c r="K26" s="98">
        <v>3.5767992929537952E-7</v>
      </c>
      <c r="L26" s="98">
        <v>4.3645178502439575E-7</v>
      </c>
      <c r="M26" s="98">
        <v>4.3645178502439575E-7</v>
      </c>
      <c r="N26" s="98">
        <v>4.0602959210610072E-7</v>
      </c>
      <c r="O26" s="98">
        <v>4.0602959210610072E-7</v>
      </c>
      <c r="P26" s="98">
        <v>4.1622674340138351E-7</v>
      </c>
      <c r="Q26" s="98">
        <v>4.1622674340138351E-7</v>
      </c>
      <c r="R26" s="97">
        <v>5.0097848174165456E-7</v>
      </c>
      <c r="S26" s="98">
        <v>5.0097848174165456E-7</v>
      </c>
      <c r="T26" s="97">
        <f t="shared" si="40"/>
        <v>5.0097848174165456E-7</v>
      </c>
      <c r="U26" s="97">
        <f t="shared" si="89"/>
        <v>5.0097848174165456E-7</v>
      </c>
      <c r="V26" s="97">
        <f t="shared" si="90"/>
        <v>5.0097848174165456E-7</v>
      </c>
      <c r="W26" s="97">
        <f t="shared" si="91"/>
        <v>5.0097848174165456E-7</v>
      </c>
      <c r="X26" s="97">
        <f t="shared" si="92"/>
        <v>5.0097848174165456E-7</v>
      </c>
      <c r="Y26" s="97">
        <f t="shared" si="93"/>
        <v>5.0097848174165456E-7</v>
      </c>
      <c r="Z26" s="97">
        <f t="shared" si="94"/>
        <v>5.0097848174165456E-7</v>
      </c>
      <c r="AA26" s="97">
        <f t="shared" si="95"/>
        <v>5.0097848174165456E-7</v>
      </c>
      <c r="AB26" s="97">
        <f t="shared" si="96"/>
        <v>5.0097848174165456E-7</v>
      </c>
      <c r="AC26" s="97">
        <f t="shared" si="97"/>
        <v>5.0097848174165456E-7</v>
      </c>
      <c r="AD26" s="97">
        <f t="shared" si="98"/>
        <v>5.0097848174165456E-7</v>
      </c>
      <c r="AE26" s="97">
        <f t="shared" si="99"/>
        <v>5.0097848174165456E-7</v>
      </c>
      <c r="AF26" s="97">
        <f t="shared" si="100"/>
        <v>5.0097848174165456E-7</v>
      </c>
      <c r="AG26" s="97">
        <f t="shared" si="101"/>
        <v>5.0097848174165456E-7</v>
      </c>
      <c r="AH26" s="97">
        <f t="shared" si="102"/>
        <v>5.0097848174165456E-7</v>
      </c>
      <c r="AI26" s="97">
        <f t="shared" si="103"/>
        <v>5.0097848174165456E-7</v>
      </c>
      <c r="AJ26" s="97">
        <f t="shared" si="104"/>
        <v>5.0097848174165456E-7</v>
      </c>
    </row>
    <row r="27" spans="1:36" ht="15.75" thickBot="1" x14ac:dyDescent="0.3">
      <c r="A27" s="26" t="s">
        <v>6</v>
      </c>
      <c r="B27" s="88" t="s">
        <v>49</v>
      </c>
      <c r="C27" s="53" t="s">
        <v>76</v>
      </c>
      <c r="D27" s="92" t="s">
        <v>50</v>
      </c>
      <c r="E27" s="88" t="s">
        <v>7</v>
      </c>
      <c r="F27" s="88" t="s">
        <v>46</v>
      </c>
      <c r="G27" s="88" t="s">
        <v>47</v>
      </c>
      <c r="H27" s="94"/>
      <c r="I27" s="41"/>
      <c r="J27" s="42"/>
      <c r="K27" s="98">
        <v>1.335634658820263E-6</v>
      </c>
      <c r="L27" s="98">
        <v>1.2744177058079695E-6</v>
      </c>
      <c r="M27" s="98">
        <v>1.2744177058079695E-6</v>
      </c>
      <c r="N27" s="98">
        <v>2.0883551637635137E-6</v>
      </c>
      <c r="O27" s="98">
        <v>2.0883551637635137E-6</v>
      </c>
      <c r="P27" s="98">
        <v>2.08685520564867E-6</v>
      </c>
      <c r="Q27" s="98">
        <v>2.08685520564867E-6</v>
      </c>
      <c r="R27" s="97">
        <v>2.3606815462444138E-6</v>
      </c>
      <c r="S27" s="98">
        <v>2.3606815462444138E-6</v>
      </c>
      <c r="T27" s="97">
        <f t="shared" si="40"/>
        <v>2.3606815462444138E-6</v>
      </c>
      <c r="U27" s="97">
        <f t="shared" si="89"/>
        <v>2.3606815462444138E-6</v>
      </c>
      <c r="V27" s="97">
        <f t="shared" si="90"/>
        <v>2.3606815462444138E-6</v>
      </c>
      <c r="W27" s="97">
        <f t="shared" si="91"/>
        <v>2.3606815462444138E-6</v>
      </c>
      <c r="X27" s="97">
        <f t="shared" si="92"/>
        <v>2.3606815462444138E-6</v>
      </c>
      <c r="Y27" s="97">
        <f t="shared" si="93"/>
        <v>2.3606815462444138E-6</v>
      </c>
      <c r="Z27" s="97">
        <f t="shared" si="94"/>
        <v>2.3606815462444138E-6</v>
      </c>
      <c r="AA27" s="97">
        <f t="shared" si="95"/>
        <v>2.3606815462444138E-6</v>
      </c>
      <c r="AB27" s="97">
        <f t="shared" si="96"/>
        <v>2.3606815462444138E-6</v>
      </c>
      <c r="AC27" s="97">
        <f t="shared" si="97"/>
        <v>2.3606815462444138E-6</v>
      </c>
      <c r="AD27" s="97">
        <f t="shared" si="98"/>
        <v>2.3606815462444138E-6</v>
      </c>
      <c r="AE27" s="97">
        <f t="shared" si="99"/>
        <v>2.3606815462444138E-6</v>
      </c>
      <c r="AF27" s="97">
        <f t="shared" si="100"/>
        <v>2.3606815462444138E-6</v>
      </c>
      <c r="AG27" s="97">
        <f t="shared" si="101"/>
        <v>2.3606815462444138E-6</v>
      </c>
      <c r="AH27" s="97">
        <f t="shared" si="102"/>
        <v>2.3606815462444138E-6</v>
      </c>
      <c r="AI27" s="97">
        <f t="shared" si="103"/>
        <v>2.3606815462444138E-6</v>
      </c>
      <c r="AJ27" s="97">
        <f t="shared" si="104"/>
        <v>2.3606815462444138E-6</v>
      </c>
    </row>
    <row r="28" spans="1:36" ht="15.75" thickBot="1" x14ac:dyDescent="0.3">
      <c r="A28" s="26" t="s">
        <v>6</v>
      </c>
      <c r="B28" s="88" t="s">
        <v>49</v>
      </c>
      <c r="C28" s="53" t="s">
        <v>77</v>
      </c>
      <c r="D28" s="92" t="s">
        <v>50</v>
      </c>
      <c r="E28" s="88" t="s">
        <v>7</v>
      </c>
      <c r="F28" s="88" t="s">
        <v>46</v>
      </c>
      <c r="G28" s="88" t="s">
        <v>47</v>
      </c>
      <c r="H28" s="94"/>
      <c r="I28" s="41"/>
      <c r="J28" s="42"/>
      <c r="K28" s="98">
        <v>3.5767992929537952E-7</v>
      </c>
      <c r="L28" s="98">
        <v>4.3645178502439575E-7</v>
      </c>
      <c r="M28" s="98">
        <v>4.3645178502439575E-7</v>
      </c>
      <c r="N28" s="98">
        <v>4.0602959210610072E-7</v>
      </c>
      <c r="O28" s="98">
        <v>4.0602959210610072E-7</v>
      </c>
      <c r="P28" s="98">
        <v>4.1622674340138351E-7</v>
      </c>
      <c r="Q28" s="98">
        <v>4.1622674340138351E-7</v>
      </c>
      <c r="R28" s="97">
        <v>5.0097848174165456E-7</v>
      </c>
      <c r="S28" s="98">
        <v>5.0097848174165456E-7</v>
      </c>
      <c r="T28" s="97">
        <f t="shared" si="40"/>
        <v>5.0097848174165456E-7</v>
      </c>
      <c r="U28" s="97">
        <f t="shared" ref="U28" si="105">T28</f>
        <v>5.0097848174165456E-7</v>
      </c>
      <c r="V28" s="97">
        <f t="shared" ref="V28" si="106">U28</f>
        <v>5.0097848174165456E-7</v>
      </c>
      <c r="W28" s="97">
        <f t="shared" ref="W28" si="107">V28</f>
        <v>5.0097848174165456E-7</v>
      </c>
      <c r="X28" s="97">
        <f t="shared" ref="X28" si="108">W28</f>
        <v>5.0097848174165456E-7</v>
      </c>
      <c r="Y28" s="97">
        <f t="shared" ref="Y28" si="109">X28</f>
        <v>5.0097848174165456E-7</v>
      </c>
      <c r="Z28" s="97">
        <f t="shared" ref="Z28" si="110">Y28</f>
        <v>5.0097848174165456E-7</v>
      </c>
      <c r="AA28" s="97">
        <f t="shared" ref="AA28" si="111">Z28</f>
        <v>5.0097848174165456E-7</v>
      </c>
      <c r="AB28" s="97">
        <f t="shared" ref="AB28" si="112">AA28</f>
        <v>5.0097848174165456E-7</v>
      </c>
      <c r="AC28" s="97">
        <f t="shared" ref="AC28" si="113">AB28</f>
        <v>5.0097848174165456E-7</v>
      </c>
      <c r="AD28" s="97">
        <f t="shared" ref="AD28" si="114">AC28</f>
        <v>5.0097848174165456E-7</v>
      </c>
      <c r="AE28" s="97">
        <f t="shared" ref="AE28" si="115">AD28</f>
        <v>5.0097848174165456E-7</v>
      </c>
      <c r="AF28" s="97">
        <f t="shared" ref="AF28" si="116">AE28</f>
        <v>5.0097848174165456E-7</v>
      </c>
      <c r="AG28" s="97">
        <f t="shared" ref="AG28" si="117">AF28</f>
        <v>5.0097848174165456E-7</v>
      </c>
      <c r="AH28" s="97">
        <f t="shared" ref="AH28" si="118">AG28</f>
        <v>5.0097848174165456E-7</v>
      </c>
      <c r="AI28" s="97">
        <f t="shared" ref="AI28" si="119">AH28</f>
        <v>5.0097848174165456E-7</v>
      </c>
      <c r="AJ28" s="97">
        <f t="shared" ref="AJ28" si="120">AI28</f>
        <v>5.0097848174165456E-7</v>
      </c>
    </row>
    <row r="29" spans="1:36" ht="15.75" thickBot="1" x14ac:dyDescent="0.3">
      <c r="A29" s="26" t="s">
        <v>6</v>
      </c>
      <c r="B29" s="88" t="s">
        <v>49</v>
      </c>
      <c r="C29" s="53" t="s">
        <v>78</v>
      </c>
      <c r="D29" s="92" t="s">
        <v>50</v>
      </c>
      <c r="E29" s="88" t="s">
        <v>7</v>
      </c>
      <c r="F29" s="88" t="s">
        <v>46</v>
      </c>
      <c r="G29" s="88" t="s">
        <v>47</v>
      </c>
      <c r="H29" s="94"/>
      <c r="I29" s="41"/>
      <c r="J29" s="42"/>
      <c r="K29" s="98">
        <v>3.8468649473321838E-6</v>
      </c>
      <c r="L29" s="98">
        <v>1.6685800196255885E-6</v>
      </c>
      <c r="M29" s="98">
        <v>1.6685800196255885E-6</v>
      </c>
      <c r="N29" s="98">
        <v>1.5209286447651198E-6</v>
      </c>
      <c r="O29" s="98">
        <v>1.5209286447651198E-6</v>
      </c>
      <c r="P29" s="98">
        <v>1.6022984960447216E-6</v>
      </c>
      <c r="Q29" s="98">
        <v>1.6022984960447216E-6</v>
      </c>
      <c r="R29" s="97">
        <v>1.2487458366202033E-6</v>
      </c>
      <c r="S29" s="98">
        <v>1.2487458366202033E-6</v>
      </c>
      <c r="T29" s="97">
        <f t="shared" si="40"/>
        <v>1.2487458366202033E-6</v>
      </c>
      <c r="U29" s="97">
        <f t="shared" ref="U29" si="121">T29</f>
        <v>1.2487458366202033E-6</v>
      </c>
      <c r="V29" s="97">
        <f t="shared" ref="V29" si="122">U29</f>
        <v>1.2487458366202033E-6</v>
      </c>
      <c r="W29" s="97">
        <f t="shared" ref="W29" si="123">V29</f>
        <v>1.2487458366202033E-6</v>
      </c>
      <c r="X29" s="97">
        <f t="shared" ref="X29" si="124">W29</f>
        <v>1.2487458366202033E-6</v>
      </c>
      <c r="Y29" s="97">
        <f t="shared" ref="Y29" si="125">X29</f>
        <v>1.2487458366202033E-6</v>
      </c>
      <c r="Z29" s="97">
        <f t="shared" ref="Z29" si="126">Y29</f>
        <v>1.2487458366202033E-6</v>
      </c>
      <c r="AA29" s="97">
        <f t="shared" ref="AA29" si="127">Z29</f>
        <v>1.2487458366202033E-6</v>
      </c>
      <c r="AB29" s="97">
        <f t="shared" ref="AB29" si="128">AA29</f>
        <v>1.2487458366202033E-6</v>
      </c>
      <c r="AC29" s="97">
        <f t="shared" ref="AC29" si="129">AB29</f>
        <v>1.2487458366202033E-6</v>
      </c>
      <c r="AD29" s="97">
        <f t="shared" ref="AD29" si="130">AC29</f>
        <v>1.2487458366202033E-6</v>
      </c>
      <c r="AE29" s="97">
        <f t="shared" ref="AE29" si="131">AD29</f>
        <v>1.2487458366202033E-6</v>
      </c>
      <c r="AF29" s="97">
        <f t="shared" ref="AF29" si="132">AE29</f>
        <v>1.2487458366202033E-6</v>
      </c>
      <c r="AG29" s="97">
        <f t="shared" ref="AG29" si="133">AF29</f>
        <v>1.2487458366202033E-6</v>
      </c>
      <c r="AH29" s="97">
        <f t="shared" ref="AH29" si="134">AG29</f>
        <v>1.2487458366202033E-6</v>
      </c>
      <c r="AI29" s="97">
        <f t="shared" ref="AI29" si="135">AH29</f>
        <v>1.2487458366202033E-6</v>
      </c>
      <c r="AJ29" s="97">
        <f t="shared" ref="AJ29" si="136">AI29</f>
        <v>1.2487458366202033E-6</v>
      </c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814E7-7771-4AA2-98CF-22F8526ED390}">
  <sheetPr>
    <tabColor rgb="FF00B050"/>
  </sheetPr>
  <dimension ref="A1:AL10"/>
  <sheetViews>
    <sheetView zoomScaleNormal="100" workbookViewId="0">
      <pane xSplit="5" ySplit="1" topLeftCell="U2" activePane="bottomRight" state="frozen"/>
      <selection pane="topRight" activeCell="F1" sqref="F1"/>
      <selection pane="bottomLeft" activeCell="A2" sqref="A2"/>
      <selection pane="bottomRight" activeCell="A2" sqref="A2:AL10"/>
    </sheetView>
  </sheetViews>
  <sheetFormatPr defaultColWidth="8.85546875" defaultRowHeight="15" x14ac:dyDescent="0.25"/>
  <cols>
    <col min="1" max="1" width="11" style="25" bestFit="1" customWidth="1"/>
    <col min="2" max="2" width="37.5703125" style="25" customWidth="1"/>
    <col min="3" max="3" width="16.85546875" style="25" bestFit="1" customWidth="1"/>
    <col min="4" max="4" width="10" style="25" customWidth="1"/>
    <col min="5" max="5" width="54.5703125" style="25" bestFit="1" customWidth="1"/>
    <col min="6" max="6" width="12.42578125" style="25" customWidth="1"/>
    <col min="7" max="11" width="8.85546875" style="25"/>
    <col min="12" max="12" width="9.7109375" style="25" bestFit="1" customWidth="1"/>
    <col min="13" max="16" width="7.140625" style="25" bestFit="1" customWidth="1"/>
    <col min="17" max="17" width="7.28515625" style="25" bestFit="1" customWidth="1"/>
    <col min="18" max="18" width="7.140625" style="25" bestFit="1" customWidth="1"/>
    <col min="19" max="19" width="7.28515625" style="25" bestFit="1" customWidth="1"/>
    <col min="20" max="20" width="7.140625" style="25" bestFit="1" customWidth="1"/>
    <col min="21" max="22" width="7.28515625" style="25" bestFit="1" customWidth="1"/>
    <col min="23" max="23" width="7.140625" style="25" bestFit="1" customWidth="1"/>
    <col min="24" max="27" width="7.28515625" style="25" bestFit="1" customWidth="1"/>
    <col min="28" max="28" width="7.140625" style="25" bestFit="1" customWidth="1"/>
    <col min="29" max="29" width="7.28515625" style="25" bestFit="1" customWidth="1"/>
    <col min="30" max="30" width="7.140625" style="25" bestFit="1" customWidth="1"/>
    <col min="31" max="31" width="7.28515625" style="25" bestFit="1" customWidth="1"/>
    <col min="32" max="32" width="7.140625" style="25" bestFit="1" customWidth="1"/>
    <col min="33" max="37" width="7.28515625" style="25" bestFit="1" customWidth="1"/>
    <col min="38" max="38" width="7.7109375" style="25" bestFit="1" customWidth="1"/>
    <col min="39" max="16384" width="8.85546875" style="25"/>
  </cols>
  <sheetData>
    <row r="1" spans="1:38" ht="45.75" thickBot="1" x14ac:dyDescent="0.3">
      <c r="A1" s="81" t="s">
        <v>12</v>
      </c>
      <c r="B1" s="82" t="s">
        <v>9</v>
      </c>
      <c r="C1" s="82" t="s">
        <v>44</v>
      </c>
      <c r="D1" s="82" t="s">
        <v>45</v>
      </c>
      <c r="E1" s="82" t="s">
        <v>17</v>
      </c>
      <c r="F1" s="83" t="s">
        <v>34</v>
      </c>
      <c r="G1" s="82" t="s">
        <v>3</v>
      </c>
      <c r="H1" s="82" t="s">
        <v>41</v>
      </c>
      <c r="I1" s="82" t="s">
        <v>28</v>
      </c>
      <c r="J1" s="82" t="s">
        <v>29</v>
      </c>
      <c r="K1" s="82" t="s">
        <v>30</v>
      </c>
      <c r="L1" s="82" t="s">
        <v>31</v>
      </c>
      <c r="M1" s="82">
        <v>2010</v>
      </c>
      <c r="N1" s="82">
        <v>2011</v>
      </c>
      <c r="O1" s="82">
        <v>2012</v>
      </c>
      <c r="P1" s="82">
        <v>2013</v>
      </c>
      <c r="Q1" s="82">
        <v>2014</v>
      </c>
      <c r="R1" s="82">
        <v>2015</v>
      </c>
      <c r="S1" s="82">
        <v>2016</v>
      </c>
      <c r="T1" s="82">
        <v>2017</v>
      </c>
      <c r="U1" s="82">
        <v>2018</v>
      </c>
      <c r="V1" s="82">
        <v>2019</v>
      </c>
      <c r="W1" s="82">
        <v>2020</v>
      </c>
      <c r="X1" s="82">
        <v>2021</v>
      </c>
      <c r="Y1" s="82">
        <v>2022</v>
      </c>
      <c r="Z1" s="82">
        <v>2023</v>
      </c>
      <c r="AA1" s="82">
        <v>2024</v>
      </c>
      <c r="AB1" s="82">
        <v>2025</v>
      </c>
      <c r="AC1" s="82">
        <v>2026</v>
      </c>
      <c r="AD1" s="82">
        <v>2027</v>
      </c>
      <c r="AE1" s="82">
        <v>2028</v>
      </c>
      <c r="AF1" s="82">
        <v>2029</v>
      </c>
      <c r="AG1" s="82">
        <v>2030</v>
      </c>
      <c r="AH1" s="82">
        <v>2031</v>
      </c>
      <c r="AI1" s="82">
        <v>2032</v>
      </c>
      <c r="AJ1" s="82">
        <v>2033</v>
      </c>
      <c r="AK1" s="82">
        <v>2034</v>
      </c>
      <c r="AL1" s="84">
        <v>2035</v>
      </c>
    </row>
    <row r="2" spans="1:38" x14ac:dyDescent="0.25">
      <c r="A2" s="71"/>
      <c r="B2" s="72"/>
      <c r="C2" s="85"/>
      <c r="D2" s="85"/>
      <c r="E2" s="85"/>
      <c r="F2" s="74"/>
      <c r="G2" s="74"/>
      <c r="H2" s="74"/>
      <c r="I2" s="73"/>
      <c r="J2" s="73"/>
      <c r="K2" s="73"/>
      <c r="L2" s="73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44"/>
      <c r="AA2" s="144"/>
      <c r="AB2" s="144"/>
      <c r="AC2" s="155"/>
      <c r="AD2" s="155"/>
      <c r="AE2" s="155"/>
      <c r="AF2" s="155"/>
      <c r="AG2" s="155"/>
      <c r="AH2" s="155"/>
      <c r="AI2" s="155"/>
      <c r="AJ2" s="155"/>
      <c r="AK2" s="155"/>
      <c r="AL2" s="156"/>
    </row>
    <row r="3" spans="1:38" x14ac:dyDescent="0.25">
      <c r="A3" s="75"/>
      <c r="B3" s="69"/>
      <c r="C3" s="70"/>
      <c r="D3" s="70"/>
      <c r="E3" s="70"/>
      <c r="F3" s="27"/>
      <c r="G3" s="27"/>
      <c r="H3" s="27"/>
      <c r="I3" s="53"/>
      <c r="J3" s="53"/>
      <c r="K3" s="53"/>
      <c r="L3" s="53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145"/>
      <c r="Y3" s="145"/>
      <c r="Z3" s="145"/>
      <c r="AA3" s="145"/>
      <c r="AB3" s="145"/>
      <c r="AC3" s="157"/>
      <c r="AD3" s="157"/>
      <c r="AE3" s="157"/>
      <c r="AF3" s="157"/>
      <c r="AG3" s="157"/>
      <c r="AH3" s="157"/>
      <c r="AI3" s="157"/>
      <c r="AJ3" s="157"/>
      <c r="AK3" s="157"/>
      <c r="AL3" s="158"/>
    </row>
    <row r="4" spans="1:38" x14ac:dyDescent="0.25">
      <c r="A4" s="75"/>
      <c r="B4" s="69"/>
      <c r="C4" s="142"/>
      <c r="D4" s="53"/>
      <c r="E4" s="53"/>
      <c r="F4" s="27"/>
      <c r="G4" s="27"/>
      <c r="H4" s="27"/>
      <c r="I4" s="53"/>
      <c r="J4" s="53"/>
      <c r="K4" s="53"/>
      <c r="L4" s="53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X4" s="146"/>
      <c r="Y4" s="146"/>
      <c r="Z4" s="146"/>
      <c r="AA4" s="146"/>
      <c r="AB4" s="146"/>
      <c r="AC4" s="146"/>
      <c r="AD4" s="146"/>
      <c r="AE4" s="146"/>
      <c r="AF4" s="146"/>
      <c r="AG4" s="146"/>
      <c r="AH4" s="146"/>
      <c r="AI4" s="146"/>
      <c r="AJ4" s="146"/>
      <c r="AK4" s="146"/>
      <c r="AL4" s="146"/>
    </row>
    <row r="5" spans="1:38" x14ac:dyDescent="0.25">
      <c r="A5" s="75"/>
      <c r="B5" s="69"/>
      <c r="C5" s="143"/>
      <c r="D5" s="53"/>
      <c r="E5" s="53"/>
      <c r="F5" s="27"/>
      <c r="G5" s="27"/>
      <c r="H5" s="27"/>
      <c r="I5" s="53"/>
      <c r="J5" s="53"/>
      <c r="K5" s="53"/>
      <c r="L5" s="53"/>
      <c r="M5" s="146"/>
      <c r="N5" s="146"/>
      <c r="O5" s="146"/>
      <c r="P5" s="146"/>
      <c r="Q5" s="146"/>
      <c r="R5" s="146"/>
      <c r="S5" s="146"/>
      <c r="T5" s="146"/>
      <c r="U5" s="146"/>
      <c r="V5" s="146"/>
      <c r="W5" s="146"/>
      <c r="X5" s="146"/>
      <c r="Y5" s="146"/>
      <c r="Z5" s="146"/>
      <c r="AA5" s="146"/>
      <c r="AB5" s="146"/>
      <c r="AC5" s="146"/>
      <c r="AD5" s="146"/>
      <c r="AE5" s="146"/>
      <c r="AF5" s="146"/>
      <c r="AG5" s="146"/>
      <c r="AH5" s="146"/>
      <c r="AI5" s="146"/>
      <c r="AJ5" s="146"/>
      <c r="AK5" s="146"/>
      <c r="AL5" s="145"/>
    </row>
    <row r="6" spans="1:38" x14ac:dyDescent="0.25">
      <c r="A6" s="75"/>
      <c r="B6" s="69"/>
      <c r="C6" s="143"/>
      <c r="D6" s="53"/>
      <c r="E6" s="53"/>
      <c r="F6" s="27"/>
      <c r="G6" s="27"/>
      <c r="H6" s="27"/>
      <c r="I6" s="53"/>
      <c r="J6" s="53"/>
      <c r="K6" s="53"/>
      <c r="L6" s="53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0"/>
      <c r="X6" s="140"/>
      <c r="Y6" s="140"/>
      <c r="Z6" s="140"/>
      <c r="AA6" s="140"/>
      <c r="AB6" s="140"/>
      <c r="AC6" s="140"/>
      <c r="AD6" s="140"/>
      <c r="AE6" s="140"/>
      <c r="AF6" s="140"/>
      <c r="AG6" s="140"/>
      <c r="AH6" s="140"/>
      <c r="AI6" s="140"/>
      <c r="AJ6" s="140"/>
      <c r="AK6" s="140"/>
      <c r="AL6" s="148"/>
    </row>
    <row r="7" spans="1:38" x14ac:dyDescent="0.25">
      <c r="A7" s="75"/>
      <c r="B7" s="69"/>
      <c r="C7" s="143"/>
      <c r="D7" s="53"/>
      <c r="E7" s="53"/>
      <c r="F7" s="27"/>
      <c r="G7" s="27"/>
      <c r="H7" s="27"/>
      <c r="I7" s="53"/>
      <c r="J7" s="53"/>
      <c r="K7" s="53"/>
      <c r="L7" s="53"/>
      <c r="M7" s="146"/>
      <c r="N7" s="146"/>
      <c r="O7" s="146"/>
      <c r="P7" s="146"/>
      <c r="Q7" s="146"/>
      <c r="R7" s="146"/>
      <c r="S7" s="146"/>
      <c r="T7" s="146"/>
      <c r="U7" s="146"/>
      <c r="V7" s="146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40"/>
      <c r="AL7" s="148"/>
    </row>
    <row r="8" spans="1:38" x14ac:dyDescent="0.25">
      <c r="A8" s="134"/>
      <c r="B8" s="135"/>
      <c r="C8" s="131"/>
      <c r="D8" s="53"/>
      <c r="E8" s="53"/>
      <c r="F8" s="27"/>
      <c r="G8" s="27"/>
      <c r="H8" s="27"/>
      <c r="I8" s="53"/>
      <c r="J8" s="53"/>
      <c r="K8" s="53"/>
      <c r="L8" s="53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40"/>
      <c r="AF8" s="140"/>
      <c r="AG8" s="140"/>
      <c r="AH8" s="140"/>
      <c r="AI8" s="140"/>
      <c r="AJ8" s="140"/>
      <c r="AK8" s="140"/>
      <c r="AL8" s="141"/>
    </row>
    <row r="9" spans="1:38" x14ac:dyDescent="0.25">
      <c r="A9" s="134"/>
      <c r="B9" s="135"/>
      <c r="C9" s="132"/>
      <c r="D9" s="53"/>
      <c r="E9" s="53"/>
      <c r="F9" s="27"/>
      <c r="G9" s="27"/>
      <c r="H9" s="27"/>
      <c r="I9" s="53"/>
      <c r="J9" s="53"/>
      <c r="K9" s="53"/>
      <c r="L9" s="53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40"/>
      <c r="AF9" s="140"/>
      <c r="AG9" s="140"/>
      <c r="AH9" s="140"/>
      <c r="AI9" s="147"/>
      <c r="AJ9" s="147"/>
      <c r="AK9" s="147"/>
      <c r="AL9" s="141"/>
    </row>
    <row r="10" spans="1:38" ht="15.75" thickBot="1" x14ac:dyDescent="0.3">
      <c r="A10" s="136"/>
      <c r="B10" s="137"/>
      <c r="C10" s="133"/>
      <c r="D10" s="77"/>
      <c r="E10" s="77"/>
      <c r="F10" s="78"/>
      <c r="G10" s="78"/>
      <c r="H10" s="78"/>
      <c r="I10" s="77"/>
      <c r="J10" s="77"/>
      <c r="K10" s="77"/>
      <c r="L10" s="77"/>
      <c r="M10" s="139"/>
      <c r="N10" s="139"/>
      <c r="O10" s="139"/>
      <c r="P10" s="139"/>
      <c r="Q10" s="139"/>
      <c r="R10" s="139"/>
      <c r="S10" s="139"/>
      <c r="T10" s="139"/>
      <c r="U10" s="139"/>
      <c r="V10" s="139"/>
      <c r="W10" s="139"/>
      <c r="X10" s="139"/>
      <c r="Y10" s="139"/>
      <c r="Z10" s="139"/>
      <c r="AA10" s="139"/>
      <c r="AB10" s="139"/>
      <c r="AC10" s="139"/>
      <c r="AD10" s="139"/>
      <c r="AE10" s="159"/>
      <c r="AF10" s="159"/>
      <c r="AG10" s="159"/>
      <c r="AH10" s="159"/>
      <c r="AI10" s="149"/>
      <c r="AJ10" s="149"/>
      <c r="AK10" s="149"/>
      <c r="AL10" s="15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EFB00-1289-4B8E-87A3-B856D2DE3F10}">
  <dimension ref="A1:Q1"/>
  <sheetViews>
    <sheetView zoomScale="85" zoomScaleNormal="85" workbookViewId="0">
      <pane ySplit="1" topLeftCell="A2" activePane="bottomLeft" state="frozen"/>
      <selection pane="bottomLeft"/>
    </sheetView>
  </sheetViews>
  <sheetFormatPr defaultColWidth="8.85546875" defaultRowHeight="15" x14ac:dyDescent="0.25"/>
  <cols>
    <col min="1" max="1" width="14.140625" style="1" bestFit="1" customWidth="1"/>
    <col min="2" max="2" width="12.140625" style="1" bestFit="1" customWidth="1"/>
    <col min="3" max="3" width="24" style="1" bestFit="1" customWidth="1"/>
    <col min="4" max="4" width="27" style="1" bestFit="1" customWidth="1"/>
    <col min="5" max="5" width="14.5703125" style="1" bestFit="1" customWidth="1"/>
    <col min="6" max="6" width="13.140625" style="1" bestFit="1" customWidth="1"/>
    <col min="7" max="7" width="12" style="1" bestFit="1" customWidth="1"/>
    <col min="8" max="9" width="12.140625" style="1" bestFit="1" customWidth="1"/>
    <col min="10" max="10" width="7.5703125" style="1" bestFit="1" customWidth="1"/>
    <col min="11" max="11" width="7.85546875" style="1" bestFit="1" customWidth="1"/>
    <col min="12" max="12" width="8.5703125" style="1" bestFit="1" customWidth="1"/>
    <col min="13" max="13" width="11" style="1" bestFit="1" customWidth="1"/>
    <col min="14" max="16" width="13" style="1" bestFit="1" customWidth="1"/>
    <col min="17" max="17" width="21.42578125" style="1" bestFit="1" customWidth="1"/>
    <col min="18" max="16384" width="8.85546875" style="1"/>
  </cols>
  <sheetData>
    <row r="1" spans="1:17" x14ac:dyDescent="0.25">
      <c r="A1" s="17" t="s">
        <v>12</v>
      </c>
      <c r="B1" s="18" t="s">
        <v>42</v>
      </c>
      <c r="C1" s="18" t="s">
        <v>16</v>
      </c>
      <c r="D1" s="18" t="s">
        <v>17</v>
      </c>
      <c r="E1" s="18" t="s">
        <v>18</v>
      </c>
      <c r="F1" s="18" t="s">
        <v>21</v>
      </c>
      <c r="G1" s="18" t="s">
        <v>22</v>
      </c>
      <c r="H1" s="18" t="s">
        <v>23</v>
      </c>
      <c r="I1" s="18" t="s">
        <v>24</v>
      </c>
      <c r="J1" s="18" t="s">
        <v>25</v>
      </c>
      <c r="K1" s="18" t="s">
        <v>26</v>
      </c>
      <c r="L1" s="18" t="s">
        <v>27</v>
      </c>
      <c r="M1" s="18" t="s">
        <v>28</v>
      </c>
      <c r="N1" s="18" t="s">
        <v>29</v>
      </c>
      <c r="O1" s="18" t="s">
        <v>30</v>
      </c>
      <c r="P1" s="18" t="s">
        <v>31</v>
      </c>
      <c r="Q1" s="19" t="s">
        <v>43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E9B9F-63F8-4089-A739-9E71A1EF83A2}">
  <sheetPr>
    <tabColor rgb="FF00B050"/>
  </sheetPr>
  <dimension ref="A1:BJ1"/>
  <sheetViews>
    <sheetView tabSelected="1" workbookViewId="0">
      <selection activeCell="B10" sqref="B10"/>
    </sheetView>
  </sheetViews>
  <sheetFormatPr defaultColWidth="8.85546875" defaultRowHeight="15" x14ac:dyDescent="0.25"/>
  <cols>
    <col min="1" max="1" width="8" bestFit="1" customWidth="1"/>
    <col min="2" max="2" width="79.7109375" bestFit="1" customWidth="1"/>
    <col min="3" max="3" width="16.5703125" customWidth="1"/>
    <col min="5" max="5" width="17.7109375" customWidth="1"/>
    <col min="6" max="6" width="11.140625" customWidth="1"/>
    <col min="7" max="7" width="9.5703125" customWidth="1"/>
    <col min="8" max="8" width="7.5703125" customWidth="1"/>
    <col min="9" max="9" width="4.85546875" customWidth="1"/>
    <col min="10" max="11" width="6.7109375" customWidth="1"/>
    <col min="12" max="12" width="8.5703125" bestFit="1" customWidth="1"/>
    <col min="48" max="48" width="7.85546875" bestFit="1" customWidth="1"/>
  </cols>
  <sheetData>
    <row r="1" spans="1:62" ht="45.75" thickBot="1" x14ac:dyDescent="0.3">
      <c r="A1" s="3" t="s">
        <v>12</v>
      </c>
      <c r="B1" s="28" t="s">
        <v>9</v>
      </c>
      <c r="C1" s="4" t="s">
        <v>44</v>
      </c>
      <c r="D1" s="4" t="s">
        <v>45</v>
      </c>
      <c r="E1" s="4" t="s">
        <v>17</v>
      </c>
      <c r="F1" s="10" t="s">
        <v>34</v>
      </c>
      <c r="G1" s="9" t="s">
        <v>3</v>
      </c>
      <c r="H1" s="9" t="s">
        <v>41</v>
      </c>
      <c r="I1" s="3" t="s">
        <v>28</v>
      </c>
      <c r="J1" s="4" t="s">
        <v>29</v>
      </c>
      <c r="K1" s="4" t="s">
        <v>30</v>
      </c>
      <c r="L1" s="5" t="s">
        <v>31</v>
      </c>
      <c r="M1" s="29">
        <v>2021</v>
      </c>
      <c r="N1" s="29">
        <v>2022</v>
      </c>
      <c r="O1" s="29">
        <v>2023</v>
      </c>
      <c r="P1" s="29">
        <v>2024</v>
      </c>
      <c r="Q1" s="29">
        <v>2025</v>
      </c>
      <c r="R1" s="29">
        <v>2026</v>
      </c>
      <c r="S1" s="29">
        <v>2027</v>
      </c>
      <c r="T1" s="29">
        <v>2028</v>
      </c>
      <c r="U1" s="29">
        <v>2029</v>
      </c>
      <c r="V1" s="29">
        <v>2030</v>
      </c>
      <c r="W1" s="29">
        <v>2031</v>
      </c>
      <c r="X1" s="29">
        <v>2032</v>
      </c>
      <c r="Y1" s="29">
        <v>2033</v>
      </c>
      <c r="Z1" s="29">
        <v>2034</v>
      </c>
      <c r="AA1" s="29">
        <v>2035</v>
      </c>
      <c r="AB1" s="29">
        <v>2036</v>
      </c>
      <c r="AC1" s="29">
        <v>2037</v>
      </c>
      <c r="AD1" s="29">
        <v>2038</v>
      </c>
      <c r="AE1" s="29">
        <v>2039</v>
      </c>
      <c r="AF1" s="29">
        <v>2040</v>
      </c>
      <c r="AG1" s="29">
        <v>2041</v>
      </c>
      <c r="AH1" s="29">
        <v>2042</v>
      </c>
      <c r="AI1" s="29">
        <v>2043</v>
      </c>
      <c r="AJ1" s="29">
        <v>2044</v>
      </c>
      <c r="AK1" s="29">
        <v>2045</v>
      </c>
      <c r="AL1" s="29">
        <v>2046</v>
      </c>
      <c r="AM1" s="29">
        <v>2047</v>
      </c>
      <c r="AN1" s="29">
        <v>2048</v>
      </c>
      <c r="AO1" s="29">
        <v>2049</v>
      </c>
      <c r="AP1" s="30">
        <v>2050</v>
      </c>
      <c r="AQ1" s="29">
        <v>2051</v>
      </c>
      <c r="AR1" s="29">
        <v>2052</v>
      </c>
      <c r="AS1" s="29">
        <v>2053</v>
      </c>
      <c r="AT1" s="29">
        <v>2054</v>
      </c>
      <c r="AU1" s="29">
        <v>2055</v>
      </c>
      <c r="AV1" s="29">
        <v>2056</v>
      </c>
      <c r="AW1" s="29">
        <v>2057</v>
      </c>
      <c r="AX1" s="29">
        <v>2058</v>
      </c>
      <c r="AY1" s="29">
        <v>2059</v>
      </c>
      <c r="AZ1" s="29">
        <v>2060</v>
      </c>
      <c r="BA1" s="29">
        <v>2061</v>
      </c>
      <c r="BB1" s="29">
        <v>2062</v>
      </c>
      <c r="BC1" s="29">
        <v>2063</v>
      </c>
      <c r="BD1" s="29">
        <v>2064</v>
      </c>
      <c r="BE1" s="29">
        <v>2065</v>
      </c>
      <c r="BF1" s="29">
        <v>2066</v>
      </c>
      <c r="BG1" s="29">
        <v>2067</v>
      </c>
      <c r="BH1" s="29">
        <v>2068</v>
      </c>
      <c r="BI1" s="29">
        <v>2069</v>
      </c>
      <c r="BJ1" s="29">
        <v>2070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F814574E960A4499025803604D4DF4" ma:contentTypeVersion="9" ma:contentTypeDescription="Create a new document." ma:contentTypeScope="" ma:versionID="314e7041d7d1561dbe33e80becf1c782">
  <xsd:schema xmlns:xsd="http://www.w3.org/2001/XMLSchema" xmlns:xs="http://www.w3.org/2001/XMLSchema" xmlns:p="http://schemas.microsoft.com/office/2006/metadata/properties" xmlns:ns2="4b2ff61d-e0c4-454b-ba72-44cf85c32a41" targetNamespace="http://schemas.microsoft.com/office/2006/metadata/properties" ma:root="true" ma:fieldsID="84c838da6aa04a0f137f8b0aba02cfe1" ns2:_="">
    <xsd:import namespace="4b2ff61d-e0c4-454b-ba72-44cf85c32a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2ff61d-e0c4-454b-ba72-44cf85c32a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C6DFED-A995-434B-BD0E-DE662695145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D6DB45-3CD0-49C0-ABD9-1D7EE66B996B}">
  <ds:schemaRefs>
    <ds:schemaRef ds:uri="http://schemas.microsoft.com/office/2006/metadata/properties"/>
    <ds:schemaRef ds:uri="http://schemas.microsoft.com/office/infopath/2007/PartnerControls"/>
    <ds:schemaRef ds:uri="0d55314f-45f1-40c9-9fce-63556e193d03"/>
  </ds:schemaRefs>
</ds:datastoreItem>
</file>

<file path=customXml/itemProps3.xml><?xml version="1.0" encoding="utf-8"?>
<ds:datastoreItem xmlns:ds="http://schemas.openxmlformats.org/officeDocument/2006/customXml" ds:itemID="{D9EDE9F9-05F9-4C60-A752-0CD3A1BBD6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2ff61d-e0c4-454b-ba72-44cf85c32a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Scenarios</vt:lpstr>
      <vt:lpstr>Overall_Parameters</vt:lpstr>
      <vt:lpstr>Distance_Levers</vt:lpstr>
      <vt:lpstr>Mode_Shift</vt:lpstr>
      <vt:lpstr>Electrical</vt:lpstr>
      <vt:lpstr>Occupancy_Rate</vt:lpstr>
      <vt:lpstr>T_Elasticity</vt:lpstr>
      <vt:lpstr>SmartGrid</vt:lpstr>
      <vt:lpstr>Efficiency</vt:lpstr>
      <vt:lpstr>Tech_Adoption</vt:lpstr>
      <vt:lpstr>IPPU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Fernando Victor</dc:creator>
  <cp:keywords/>
  <dc:description/>
  <cp:lastModifiedBy>Andrey Salazar-Vargas</cp:lastModifiedBy>
  <cp:revision/>
  <dcterms:created xsi:type="dcterms:W3CDTF">2015-06-05T18:17:20Z</dcterms:created>
  <dcterms:modified xsi:type="dcterms:W3CDTF">2025-08-06T21:51:58Z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0x010100B8F814574E960A4499025803604D4DF4</vt:lpwstr>
  </property>
  <property fmtid="{D5CDD505-2E9C-101B-9397-08002B2CF9AE}" pid="3" name="MediaServiceImageTags">
    <vt:lpwstr/>
  </property>
</Properties>
</file>