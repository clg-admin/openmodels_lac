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https://clgcr.sharepoint.com/sites/ClimateLeadGroup-NDC_Ecu/Documentos compartidos/02_Data/RtD/"/>
    </mc:Choice>
  </mc:AlternateContent>
  <xr:revisionPtr revIDLastSave="1195" documentId="8_{3D3F0D0D-7BB1-4A89-842E-1A46A5DF199F}" xr6:coauthVersionLast="47" xr6:coauthVersionMax="47" xr10:uidLastSave="{D0571CAA-243B-44A1-9440-F8F615C389B1}"/>
  <bookViews>
    <workbookView xWindow="-108" yWindow="-108" windowWidth="23256" windowHeight="12456" tabRatio="597" firstSheet="3" activeTab="9" xr2:uid="{CE6D9514-4688-41D0-B0F4-5D0D7B917043}"/>
  </bookViews>
  <sheets>
    <sheet name="Contenido" sheetId="1" r:id="rId1"/>
    <sheet name="Demandas_PJ" sheetId="2" r:id="rId2"/>
    <sheet name="Generación_PJ" sheetId="3" r:id="rId3"/>
    <sheet name="Proyectos_Plantas" sheetId="24" r:id="rId4"/>
    <sheet name="Capacidad_GW" sheetId="13" r:id="rId5"/>
    <sheet name="Producción_Fósil_PJ" sheetId="6" r:id="rId6"/>
    <sheet name="Refinerías_PJ" sheetId="9" r:id="rId7"/>
    <sheet name="FP" sheetId="8" r:id="rId8"/>
    <sheet name="FE" sheetId="21" r:id="rId9"/>
    <sheet name="PCG" sheetId="22" r:id="rId10"/>
  </sheets>
  <definedNames>
    <definedName name="_xlnm._FilterDatabase" localSheetId="1" hidden="1">Demandas_PJ!$B$3:$AE$164</definedName>
    <definedName name="_xlnm._FilterDatabase" localSheetId="8" hidden="1">FE!$C$3:$AE$47</definedName>
    <definedName name="_xlnm._FilterDatabase" localSheetId="2" hidden="1">Generación_PJ!$D$3:$AF$79</definedName>
    <definedName name="_xlnm._FilterDatabase" localSheetId="5" hidden="1">Producción_Fósil_PJ!$C$6:$AD$15</definedName>
    <definedName name="_xlnm._FilterDatabase" localSheetId="6" hidden="1">Refinerías_PJ!$B$5:$AC$23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24" l="1"/>
  <c r="L25" i="24"/>
  <c r="I25" i="24"/>
  <c r="L24" i="24"/>
  <c r="I24" i="24"/>
  <c r="I23" i="24"/>
  <c r="I22" i="24"/>
  <c r="I21" i="24"/>
  <c r="I20" i="24"/>
  <c r="I19" i="24"/>
  <c r="I18" i="24"/>
  <c r="I17" i="24"/>
  <c r="I16" i="24"/>
  <c r="I15" i="24"/>
  <c r="I14" i="24"/>
  <c r="L13" i="24"/>
  <c r="I13" i="24"/>
  <c r="L12" i="24"/>
  <c r="G12" i="24"/>
  <c r="I12" i="24" s="1"/>
  <c r="L11" i="24"/>
  <c r="I11" i="24"/>
  <c r="L10" i="24"/>
  <c r="L9" i="24"/>
  <c r="I9" i="24"/>
  <c r="L8" i="24"/>
  <c r="I8" i="24"/>
  <c r="L7" i="24"/>
  <c r="L6" i="24"/>
  <c r="I5" i="24"/>
  <c r="L4" i="24"/>
  <c r="I4" i="24"/>
  <c r="G85" i="3" l="1"/>
  <c r="G86" i="3" s="1"/>
  <c r="H85" i="3"/>
  <c r="H86" i="3" s="1"/>
  <c r="I85" i="3"/>
  <c r="J85" i="3"/>
  <c r="K85" i="3"/>
  <c r="K86" i="3" s="1"/>
  <c r="L85" i="3"/>
  <c r="L86" i="3" s="1"/>
  <c r="M85" i="3"/>
  <c r="M86" i="3" s="1"/>
  <c r="N85" i="3"/>
  <c r="N86" i="3" s="1"/>
  <c r="O85" i="3"/>
  <c r="O86" i="3" s="1"/>
  <c r="P85" i="3"/>
  <c r="Q85" i="3"/>
  <c r="R85" i="3"/>
  <c r="S85" i="3"/>
  <c r="S86" i="3" s="1"/>
  <c r="T85" i="3"/>
  <c r="T86" i="3" s="1"/>
  <c r="U85" i="3"/>
  <c r="V85" i="3"/>
  <c r="V86" i="3" s="1"/>
  <c r="W85" i="3"/>
  <c r="W86" i="3" s="1"/>
  <c r="X85" i="3"/>
  <c r="X86" i="3" s="1"/>
  <c r="Y85" i="3"/>
  <c r="Y86" i="3" s="1"/>
  <c r="Z85" i="3"/>
  <c r="Z86" i="3" s="1"/>
  <c r="AA85" i="3"/>
  <c r="AA86" i="3" s="1"/>
  <c r="AB85" i="3"/>
  <c r="AB86" i="3" s="1"/>
  <c r="AC85" i="3"/>
  <c r="AC86" i="3" s="1"/>
  <c r="AD85" i="3"/>
  <c r="AD86" i="3" s="1"/>
  <c r="AE85" i="3"/>
  <c r="AF85" i="3"/>
  <c r="AF86" i="3" s="1"/>
  <c r="I86" i="3"/>
  <c r="J86" i="3"/>
  <c r="P86" i="3"/>
  <c r="Q86" i="3"/>
  <c r="R86" i="3"/>
  <c r="U86" i="3"/>
  <c r="AE86" i="3"/>
  <c r="H73" i="3"/>
  <c r="I73" i="3"/>
  <c r="J73" i="3"/>
  <c r="K73" i="3"/>
  <c r="L73" i="3"/>
  <c r="M73" i="3"/>
  <c r="N73" i="3"/>
  <c r="O73" i="3"/>
  <c r="P73" i="3"/>
  <c r="Q73" i="3"/>
  <c r="R73" i="3"/>
  <c r="S73" i="3"/>
  <c r="T73" i="3"/>
  <c r="U73" i="3"/>
  <c r="V73" i="3"/>
  <c r="W73" i="3"/>
  <c r="X73" i="3"/>
  <c r="Y73" i="3"/>
  <c r="Z73" i="3"/>
  <c r="AA73" i="3"/>
  <c r="AB73" i="3"/>
  <c r="AC73" i="3"/>
  <c r="AD73" i="3"/>
  <c r="AE73" i="3"/>
  <c r="AF73" i="3"/>
  <c r="G73" i="3"/>
  <c r="H67" i="3"/>
  <c r="I67" i="3"/>
  <c r="J67" i="3"/>
  <c r="K67" i="3"/>
  <c r="L67" i="3"/>
  <c r="M67" i="3"/>
  <c r="N67" i="3"/>
  <c r="O67" i="3"/>
  <c r="P67" i="3"/>
  <c r="Q67" i="3"/>
  <c r="R67" i="3"/>
  <c r="S67" i="3"/>
  <c r="T67" i="3"/>
  <c r="U67" i="3"/>
  <c r="V67" i="3"/>
  <c r="W67" i="3"/>
  <c r="X67" i="3"/>
  <c r="Y67" i="3"/>
  <c r="Z67" i="3"/>
  <c r="AA67" i="3"/>
  <c r="AB67" i="3"/>
  <c r="AC67" i="3"/>
  <c r="AD67" i="3"/>
  <c r="AE67" i="3"/>
  <c r="AF67" i="3"/>
  <c r="G67" i="3"/>
  <c r="H62" i="3"/>
  <c r="I62" i="3"/>
  <c r="J62" i="3"/>
  <c r="K62" i="3"/>
  <c r="L62" i="3"/>
  <c r="M62" i="3"/>
  <c r="N62" i="3"/>
  <c r="O62" i="3"/>
  <c r="P62" i="3"/>
  <c r="Q62" i="3"/>
  <c r="R62" i="3"/>
  <c r="S62" i="3"/>
  <c r="T62" i="3"/>
  <c r="U62" i="3"/>
  <c r="V62" i="3"/>
  <c r="W62" i="3"/>
  <c r="X62" i="3"/>
  <c r="Y62" i="3"/>
  <c r="Z62" i="3"/>
  <c r="AA62" i="3"/>
  <c r="AB62" i="3"/>
  <c r="AC62" i="3"/>
  <c r="AD62" i="3"/>
  <c r="AE62" i="3"/>
  <c r="AF62" i="3"/>
  <c r="G62" i="3"/>
  <c r="H61" i="3"/>
  <c r="I61" i="3"/>
  <c r="J61" i="3"/>
  <c r="K61" i="3"/>
  <c r="L61" i="3"/>
  <c r="M61" i="3"/>
  <c r="N61" i="3"/>
  <c r="O61" i="3"/>
  <c r="P61" i="3"/>
  <c r="Q61" i="3"/>
  <c r="R61" i="3"/>
  <c r="S61" i="3"/>
  <c r="T61" i="3"/>
  <c r="U61" i="3"/>
  <c r="V61" i="3"/>
  <c r="W61" i="3"/>
  <c r="X61" i="3"/>
  <c r="Y61" i="3"/>
  <c r="Z61" i="3"/>
  <c r="AA61" i="3"/>
  <c r="AB61" i="3"/>
  <c r="AC61" i="3"/>
  <c r="AD61" i="3"/>
  <c r="AE61" i="3"/>
  <c r="AF61" i="3"/>
  <c r="G61" i="3"/>
  <c r="H44" i="3"/>
  <c r="I44" i="3"/>
  <c r="J44" i="3"/>
  <c r="K44" i="3"/>
  <c r="L44" i="3"/>
  <c r="M44" i="3"/>
  <c r="N44" i="3"/>
  <c r="O44" i="3"/>
  <c r="P44" i="3"/>
  <c r="Q44" i="3"/>
  <c r="R44" i="3"/>
  <c r="S44" i="3"/>
  <c r="T44" i="3"/>
  <c r="U44" i="3"/>
  <c r="V44" i="3"/>
  <c r="W44" i="3"/>
  <c r="X44" i="3"/>
  <c r="Y44" i="3"/>
  <c r="Z44" i="3"/>
  <c r="AA44" i="3"/>
  <c r="AB44" i="3"/>
  <c r="AC44" i="3"/>
  <c r="AD44" i="3"/>
  <c r="AE44" i="3"/>
  <c r="AF44" i="3"/>
  <c r="G44" i="3"/>
  <c r="H38" i="3"/>
  <c r="I38" i="3"/>
  <c r="J38" i="3"/>
  <c r="K38" i="3"/>
  <c r="L38" i="3"/>
  <c r="M38" i="3"/>
  <c r="N38" i="3"/>
  <c r="O38" i="3"/>
  <c r="P38" i="3"/>
  <c r="Q38" i="3"/>
  <c r="R38" i="3"/>
  <c r="S38" i="3"/>
  <c r="T38" i="3"/>
  <c r="U38" i="3"/>
  <c r="V38" i="3"/>
  <c r="W38" i="3"/>
  <c r="X38" i="3"/>
  <c r="Y38" i="3"/>
  <c r="Z38" i="3"/>
  <c r="AA38" i="3"/>
  <c r="AB38" i="3"/>
  <c r="AC38" i="3"/>
  <c r="AD38" i="3"/>
  <c r="AE38" i="3"/>
  <c r="AF38" i="3"/>
  <c r="G38" i="3"/>
  <c r="I33" i="3"/>
  <c r="J33" i="3"/>
  <c r="K33" i="3"/>
  <c r="L33" i="3"/>
  <c r="M33" i="3"/>
  <c r="N33" i="3"/>
  <c r="O33" i="3"/>
  <c r="P33" i="3"/>
  <c r="Q33" i="3"/>
  <c r="R33" i="3"/>
  <c r="S33" i="3"/>
  <c r="T33" i="3"/>
  <c r="U33" i="3"/>
  <c r="V33" i="3"/>
  <c r="W33" i="3"/>
  <c r="X33" i="3"/>
  <c r="Y33" i="3"/>
  <c r="Z33" i="3"/>
  <c r="AA33" i="3"/>
  <c r="AB33" i="3"/>
  <c r="AC33" i="3"/>
  <c r="AD33" i="3"/>
  <c r="AE33" i="3"/>
  <c r="AF33" i="3"/>
  <c r="H33" i="3"/>
  <c r="G33" i="3"/>
  <c r="H32" i="3"/>
  <c r="I32" i="3"/>
  <c r="J32" i="3"/>
  <c r="K32" i="3"/>
  <c r="L32" i="3"/>
  <c r="M32" i="3"/>
  <c r="N32" i="3"/>
  <c r="O32" i="3"/>
  <c r="P32" i="3"/>
  <c r="Q32" i="3"/>
  <c r="R32" i="3"/>
  <c r="S32" i="3"/>
  <c r="T32" i="3"/>
  <c r="U32" i="3"/>
  <c r="V32" i="3"/>
  <c r="W32" i="3"/>
  <c r="X32" i="3"/>
  <c r="Y32" i="3"/>
  <c r="Z32" i="3"/>
  <c r="AA32" i="3"/>
  <c r="AB32" i="3"/>
  <c r="AC32" i="3"/>
  <c r="AD32" i="3"/>
  <c r="AE32" i="3"/>
  <c r="AF32" i="3"/>
  <c r="G32" i="3"/>
  <c r="H14" i="3"/>
  <c r="I14" i="3"/>
  <c r="J14" i="3"/>
  <c r="K14" i="3"/>
  <c r="L14" i="3"/>
  <c r="M14" i="3"/>
  <c r="N14" i="3"/>
  <c r="O14" i="3"/>
  <c r="P14" i="3"/>
  <c r="Q14" i="3"/>
  <c r="R14" i="3"/>
  <c r="S14" i="3"/>
  <c r="T14" i="3"/>
  <c r="U14" i="3"/>
  <c r="V14" i="3"/>
  <c r="W14" i="3"/>
  <c r="X14" i="3"/>
  <c r="Y14" i="3"/>
  <c r="Z14" i="3"/>
  <c r="AA14" i="3"/>
  <c r="AB14" i="3"/>
  <c r="AC14" i="3"/>
  <c r="AD14" i="3"/>
  <c r="AE14" i="3"/>
  <c r="AF14" i="3"/>
  <c r="G14" i="3"/>
  <c r="H8" i="3"/>
  <c r="I8" i="3"/>
  <c r="J8" i="3"/>
  <c r="K8" i="3"/>
  <c r="L8" i="3"/>
  <c r="M8" i="3"/>
  <c r="N8" i="3"/>
  <c r="O8" i="3"/>
  <c r="P8" i="3"/>
  <c r="Q8" i="3"/>
  <c r="R8" i="3"/>
  <c r="S8" i="3"/>
  <c r="T8" i="3"/>
  <c r="U8" i="3"/>
  <c r="V8" i="3"/>
  <c r="W8" i="3"/>
  <c r="X8" i="3"/>
  <c r="Y8" i="3"/>
  <c r="Z8" i="3"/>
  <c r="AA8" i="3"/>
  <c r="AB8" i="3"/>
  <c r="AC8" i="3"/>
  <c r="AD8" i="3"/>
  <c r="AE8" i="3"/>
  <c r="AF8" i="3"/>
  <c r="G8" i="3"/>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F38"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34" i="21"/>
  <c r="F21" i="21"/>
  <c r="G13" i="21"/>
  <c r="H13" i="21" s="1"/>
  <c r="I13" i="21" s="1"/>
  <c r="J13" i="21" s="1"/>
  <c r="K13" i="21" s="1"/>
  <c r="L13" i="21" s="1"/>
  <c r="M13" i="21" s="1"/>
  <c r="N13" i="21" s="1"/>
  <c r="O13" i="21" s="1"/>
  <c r="P13" i="21" s="1"/>
  <c r="Q13" i="21" s="1"/>
  <c r="R13" i="21" s="1"/>
  <c r="S13" i="21" s="1"/>
  <c r="T13" i="21" s="1"/>
  <c r="U13" i="21" s="1"/>
  <c r="V13" i="21" s="1"/>
  <c r="W13" i="21" s="1"/>
  <c r="X13" i="21" s="1"/>
  <c r="Y13" i="21" s="1"/>
  <c r="Z13" i="21" s="1"/>
  <c r="AA13" i="21" s="1"/>
  <c r="AB13" i="21" s="1"/>
  <c r="AC13" i="21" s="1"/>
  <c r="AD13" i="21" s="1"/>
  <c r="AE13" i="21" s="1"/>
  <c r="G42" i="21"/>
  <c r="H42" i="21" s="1"/>
  <c r="I42" i="21" s="1"/>
  <c r="J42" i="21" s="1"/>
  <c r="K42" i="21" s="1"/>
  <c r="L42" i="21" s="1"/>
  <c r="M42" i="21" s="1"/>
  <c r="N42" i="21" s="1"/>
  <c r="O42" i="21" s="1"/>
  <c r="P42" i="21" s="1"/>
  <c r="Q42" i="21" s="1"/>
  <c r="R42" i="21" s="1"/>
  <c r="S42" i="21" s="1"/>
  <c r="T42" i="21" s="1"/>
  <c r="U42" i="21" s="1"/>
  <c r="V42" i="21" s="1"/>
  <c r="W42" i="21" s="1"/>
  <c r="X42" i="21" s="1"/>
  <c r="Y42" i="21" s="1"/>
  <c r="Z42" i="21" s="1"/>
  <c r="AA42" i="21" s="1"/>
  <c r="AB42" i="21" s="1"/>
  <c r="AC42" i="21" s="1"/>
  <c r="AD42" i="21" s="1"/>
  <c r="AE42" i="21" s="1"/>
  <c r="G35" i="21"/>
  <c r="H35" i="21" s="1"/>
  <c r="I35" i="21" s="1"/>
  <c r="J35" i="21" s="1"/>
  <c r="K35" i="21" s="1"/>
  <c r="L35" i="21" s="1"/>
  <c r="M35" i="21" s="1"/>
  <c r="N35" i="21" s="1"/>
  <c r="O35" i="21" s="1"/>
  <c r="P35" i="21" s="1"/>
  <c r="Q35" i="21" s="1"/>
  <c r="R35" i="21" s="1"/>
  <c r="S35" i="21" s="1"/>
  <c r="T35" i="21" s="1"/>
  <c r="U35" i="21" s="1"/>
  <c r="V35" i="21" s="1"/>
  <c r="W35" i="21" s="1"/>
  <c r="X35" i="21" s="1"/>
  <c r="Y35" i="21" s="1"/>
  <c r="Z35" i="21" s="1"/>
  <c r="AA35" i="21" s="1"/>
  <c r="AB35" i="21" s="1"/>
  <c r="AC35" i="21" s="1"/>
  <c r="AD35" i="21" s="1"/>
  <c r="AE35" i="21" s="1"/>
  <c r="G29" i="21"/>
  <c r="H29" i="21" s="1"/>
  <c r="I29" i="21" s="1"/>
  <c r="J29" i="21" s="1"/>
  <c r="K29" i="21" s="1"/>
  <c r="L29" i="21" s="1"/>
  <c r="M29" i="21" s="1"/>
  <c r="N29" i="21" s="1"/>
  <c r="O29" i="21" s="1"/>
  <c r="P29" i="21" s="1"/>
  <c r="Q29" i="21" s="1"/>
  <c r="R29" i="21" s="1"/>
  <c r="S29" i="21" s="1"/>
  <c r="T29" i="21" s="1"/>
  <c r="U29" i="21" s="1"/>
  <c r="V29" i="21" s="1"/>
  <c r="W29" i="21" s="1"/>
  <c r="X29" i="21" s="1"/>
  <c r="Y29" i="21" s="1"/>
  <c r="Z29" i="21" s="1"/>
  <c r="AA29" i="21" s="1"/>
  <c r="AB29" i="21" s="1"/>
  <c r="AC29" i="21" s="1"/>
  <c r="AD29" i="21" s="1"/>
  <c r="AE29" i="21" s="1"/>
  <c r="G22" i="21"/>
  <c r="H22" i="21" s="1"/>
  <c r="I22" i="21" s="1"/>
  <c r="J22" i="21" s="1"/>
  <c r="K22" i="21" s="1"/>
  <c r="L22" i="21" s="1"/>
  <c r="M22" i="21" s="1"/>
  <c r="N22" i="21" s="1"/>
  <c r="O22" i="21" s="1"/>
  <c r="P22" i="21" s="1"/>
  <c r="Q22" i="21" s="1"/>
  <c r="R22" i="21" s="1"/>
  <c r="S22" i="21" s="1"/>
  <c r="T22" i="21" s="1"/>
  <c r="U22" i="21" s="1"/>
  <c r="V22" i="21" s="1"/>
  <c r="W22" i="21" s="1"/>
  <c r="X22" i="21" s="1"/>
  <c r="Y22" i="21" s="1"/>
  <c r="Z22" i="21" s="1"/>
  <c r="AA22" i="21" s="1"/>
  <c r="AB22" i="21" s="1"/>
  <c r="AC22" i="21" s="1"/>
  <c r="AD22" i="21" s="1"/>
  <c r="AE22" i="21" s="1"/>
  <c r="G12" i="21"/>
  <c r="H12" i="21" s="1"/>
  <c r="I12" i="21" s="1"/>
  <c r="J12" i="21" s="1"/>
  <c r="K12" i="21" s="1"/>
  <c r="L12" i="21" s="1"/>
  <c r="M12" i="21" s="1"/>
  <c r="N12" i="21" s="1"/>
  <c r="O12" i="21" s="1"/>
  <c r="P12" i="21" s="1"/>
  <c r="Q12" i="21" s="1"/>
  <c r="R12" i="21" s="1"/>
  <c r="S12" i="21" s="1"/>
  <c r="T12" i="21" s="1"/>
  <c r="U12" i="21" s="1"/>
  <c r="V12" i="21" s="1"/>
  <c r="W12" i="21" s="1"/>
  <c r="X12" i="21" s="1"/>
  <c r="Y12" i="21" s="1"/>
  <c r="Z12" i="21" s="1"/>
  <c r="AA12" i="21" s="1"/>
  <c r="AB12" i="21" s="1"/>
  <c r="AC12" i="21" s="1"/>
  <c r="AD12" i="21" s="1"/>
  <c r="AE12" i="21" s="1"/>
  <c r="G6" i="21"/>
  <c r="H6" i="21" s="1"/>
  <c r="I6" i="21" s="1"/>
  <c r="J6" i="21" s="1"/>
  <c r="K6" i="21" s="1"/>
  <c r="L6" i="21" s="1"/>
  <c r="M6" i="21" s="1"/>
  <c r="N6" i="21" s="1"/>
  <c r="O6" i="21" s="1"/>
  <c r="P6" i="21" s="1"/>
  <c r="Q6" i="21" s="1"/>
  <c r="R6" i="21" s="1"/>
  <c r="S6" i="21" s="1"/>
  <c r="T6" i="21" s="1"/>
  <c r="U6" i="21" s="1"/>
  <c r="V6" i="21" s="1"/>
  <c r="W6" i="21" s="1"/>
  <c r="X6" i="21" s="1"/>
  <c r="Y6" i="21" s="1"/>
  <c r="Z6" i="21" s="1"/>
  <c r="AA6" i="21" s="1"/>
  <c r="AB6" i="21" s="1"/>
  <c r="AC6" i="21" s="1"/>
  <c r="AD6" i="21" s="1"/>
  <c r="AE6" i="21" s="1"/>
  <c r="G47" i="21"/>
  <c r="H47" i="21" s="1"/>
  <c r="I47" i="21" s="1"/>
  <c r="J47" i="21" s="1"/>
  <c r="K47" i="21" s="1"/>
  <c r="L47" i="21" s="1"/>
  <c r="M47" i="21" s="1"/>
  <c r="N47" i="21" s="1"/>
  <c r="O47" i="21" s="1"/>
  <c r="P47" i="21" s="1"/>
  <c r="Q47" i="21" s="1"/>
  <c r="R47" i="21" s="1"/>
  <c r="S47" i="21" s="1"/>
  <c r="T47" i="21" s="1"/>
  <c r="U47" i="21" s="1"/>
  <c r="V47" i="21" s="1"/>
  <c r="W47" i="21" s="1"/>
  <c r="X47" i="21" s="1"/>
  <c r="Y47" i="21" s="1"/>
  <c r="Z47" i="21" s="1"/>
  <c r="AA47" i="21" s="1"/>
  <c r="AB47" i="21" s="1"/>
  <c r="AC47" i="21" s="1"/>
  <c r="AD47" i="21" s="1"/>
  <c r="AE47" i="21" s="1"/>
  <c r="G44" i="21"/>
  <c r="H44" i="21" s="1"/>
  <c r="I44" i="21" s="1"/>
  <c r="J44" i="21" s="1"/>
  <c r="K44" i="21" s="1"/>
  <c r="L44" i="21" s="1"/>
  <c r="M44" i="21" s="1"/>
  <c r="N44" i="21" s="1"/>
  <c r="O44" i="21" s="1"/>
  <c r="P44" i="21" s="1"/>
  <c r="Q44" i="21" s="1"/>
  <c r="R44" i="21" s="1"/>
  <c r="S44" i="21" s="1"/>
  <c r="T44" i="21" s="1"/>
  <c r="U44" i="21" s="1"/>
  <c r="V44" i="21" s="1"/>
  <c r="W44" i="21" s="1"/>
  <c r="X44" i="21" s="1"/>
  <c r="Y44" i="21" s="1"/>
  <c r="Z44" i="21" s="1"/>
  <c r="AA44" i="21" s="1"/>
  <c r="AB44" i="21" s="1"/>
  <c r="AC44" i="21" s="1"/>
  <c r="AD44" i="21" s="1"/>
  <c r="AE44" i="21" s="1"/>
  <c r="G41" i="21"/>
  <c r="H41" i="21" s="1"/>
  <c r="I41" i="21" s="1"/>
  <c r="J41" i="21" s="1"/>
  <c r="K41" i="21" s="1"/>
  <c r="L41" i="21" s="1"/>
  <c r="M41" i="21" s="1"/>
  <c r="N41" i="21" s="1"/>
  <c r="O41" i="21" s="1"/>
  <c r="P41" i="21" s="1"/>
  <c r="Q41" i="21" s="1"/>
  <c r="R41" i="21" s="1"/>
  <c r="S41" i="21" s="1"/>
  <c r="T41" i="21" s="1"/>
  <c r="U41" i="21" s="1"/>
  <c r="V41" i="21" s="1"/>
  <c r="W41" i="21" s="1"/>
  <c r="X41" i="21" s="1"/>
  <c r="Y41" i="21" s="1"/>
  <c r="Z41" i="21" s="1"/>
  <c r="AA41" i="21" s="1"/>
  <c r="AB41" i="21" s="1"/>
  <c r="AC41" i="21" s="1"/>
  <c r="AD41" i="21" s="1"/>
  <c r="AE41" i="21" s="1"/>
  <c r="G36" i="21"/>
  <c r="H36" i="21" s="1"/>
  <c r="I36" i="21" s="1"/>
  <c r="J36" i="21" s="1"/>
  <c r="K36" i="21" s="1"/>
  <c r="L36" i="21" s="1"/>
  <c r="M36" i="21" s="1"/>
  <c r="N36" i="21" s="1"/>
  <c r="O36" i="21" s="1"/>
  <c r="P36" i="21" s="1"/>
  <c r="Q36" i="21" s="1"/>
  <c r="R36" i="21" s="1"/>
  <c r="S36" i="21" s="1"/>
  <c r="T36" i="21" s="1"/>
  <c r="U36" i="21" s="1"/>
  <c r="V36" i="21" s="1"/>
  <c r="W36" i="21" s="1"/>
  <c r="X36" i="21" s="1"/>
  <c r="Y36" i="21" s="1"/>
  <c r="Z36" i="21" s="1"/>
  <c r="AA36" i="21" s="1"/>
  <c r="AB36" i="21" s="1"/>
  <c r="AC36" i="21" s="1"/>
  <c r="AD36" i="21" s="1"/>
  <c r="AE36" i="21" s="1"/>
  <c r="G27" i="21"/>
  <c r="H27" i="21" s="1"/>
  <c r="I27" i="21" s="1"/>
  <c r="J27" i="21" s="1"/>
  <c r="K27" i="21" s="1"/>
  <c r="L27" i="21" s="1"/>
  <c r="M27" i="21" s="1"/>
  <c r="N27" i="21" s="1"/>
  <c r="O27" i="21" s="1"/>
  <c r="P27" i="21" s="1"/>
  <c r="Q27" i="21" s="1"/>
  <c r="R27" i="21" s="1"/>
  <c r="S27" i="21" s="1"/>
  <c r="T27" i="21" s="1"/>
  <c r="U27" i="21" s="1"/>
  <c r="V27" i="21" s="1"/>
  <c r="W27" i="21" s="1"/>
  <c r="X27" i="21" s="1"/>
  <c r="Y27" i="21" s="1"/>
  <c r="Z27" i="21" s="1"/>
  <c r="AA27" i="21" s="1"/>
  <c r="AB27" i="21" s="1"/>
  <c r="AC27" i="21" s="1"/>
  <c r="AD27" i="21" s="1"/>
  <c r="AE27" i="21" s="1"/>
  <c r="G20" i="21"/>
  <c r="H20" i="21" s="1"/>
  <c r="I20" i="21" s="1"/>
  <c r="J20" i="21" s="1"/>
  <c r="K20" i="21" s="1"/>
  <c r="L20" i="21" s="1"/>
  <c r="M20" i="21" s="1"/>
  <c r="N20" i="21" s="1"/>
  <c r="O20" i="21" s="1"/>
  <c r="P20" i="21" s="1"/>
  <c r="Q20" i="21" s="1"/>
  <c r="R20" i="21" s="1"/>
  <c r="S20" i="21" s="1"/>
  <c r="T20" i="21" s="1"/>
  <c r="U20" i="21" s="1"/>
  <c r="V20" i="21" s="1"/>
  <c r="W20" i="21" s="1"/>
  <c r="X20" i="21" s="1"/>
  <c r="Y20" i="21" s="1"/>
  <c r="Z20" i="21" s="1"/>
  <c r="AA20" i="21" s="1"/>
  <c r="AB20" i="21" s="1"/>
  <c r="AC20" i="21" s="1"/>
  <c r="AD20" i="21" s="1"/>
  <c r="AE20" i="21" s="1"/>
  <c r="G11" i="21"/>
  <c r="H11" i="21" s="1"/>
  <c r="I11" i="21" s="1"/>
  <c r="J11" i="21" s="1"/>
  <c r="K11" i="21" s="1"/>
  <c r="L11" i="21" s="1"/>
  <c r="M11" i="21" s="1"/>
  <c r="N11" i="21" s="1"/>
  <c r="O11" i="21" s="1"/>
  <c r="P11" i="21" s="1"/>
  <c r="Q11" i="21" s="1"/>
  <c r="R11" i="21" s="1"/>
  <c r="S11" i="21" s="1"/>
  <c r="T11" i="21" s="1"/>
  <c r="U11" i="21" s="1"/>
  <c r="V11" i="21" s="1"/>
  <c r="W11" i="21" s="1"/>
  <c r="X11" i="21" s="1"/>
  <c r="Y11" i="21" s="1"/>
  <c r="Z11" i="21" s="1"/>
  <c r="AA11" i="21" s="1"/>
  <c r="AB11" i="21" s="1"/>
  <c r="AC11" i="21" s="1"/>
  <c r="AD11" i="21" s="1"/>
  <c r="AE11" i="21" s="1"/>
  <c r="G5" i="21"/>
  <c r="H5" i="21" s="1"/>
  <c r="I5" i="21" s="1"/>
  <c r="J5" i="21" s="1"/>
  <c r="K5" i="21" s="1"/>
  <c r="L5" i="21" s="1"/>
  <c r="M5" i="21" s="1"/>
  <c r="N5" i="21" s="1"/>
  <c r="O5" i="21" s="1"/>
  <c r="P5" i="21" s="1"/>
  <c r="Q5" i="21" s="1"/>
  <c r="R5" i="21" s="1"/>
  <c r="S5" i="21" s="1"/>
  <c r="T5" i="21" s="1"/>
  <c r="U5" i="21" s="1"/>
  <c r="V5" i="21" s="1"/>
  <c r="W5" i="21" s="1"/>
  <c r="X5" i="21" s="1"/>
  <c r="Y5" i="21" s="1"/>
  <c r="Z5" i="21" s="1"/>
  <c r="AA5" i="21" s="1"/>
  <c r="AB5" i="21" s="1"/>
  <c r="AC5" i="21" s="1"/>
  <c r="AD5" i="21" s="1"/>
  <c r="AE5" i="21" s="1"/>
  <c r="G45" i="21"/>
  <c r="H45" i="21" s="1"/>
  <c r="I45" i="21" s="1"/>
  <c r="J45" i="21" s="1"/>
  <c r="K45" i="21" s="1"/>
  <c r="L45" i="21" s="1"/>
  <c r="M45" i="21" s="1"/>
  <c r="N45" i="21" s="1"/>
  <c r="O45" i="21" s="1"/>
  <c r="P45" i="21" s="1"/>
  <c r="Q45" i="21" s="1"/>
  <c r="R45" i="21" s="1"/>
  <c r="S45" i="21" s="1"/>
  <c r="T45" i="21" s="1"/>
  <c r="U45" i="21" s="1"/>
  <c r="V45" i="21" s="1"/>
  <c r="W45" i="21" s="1"/>
  <c r="X45" i="21" s="1"/>
  <c r="Y45" i="21" s="1"/>
  <c r="Z45" i="21" s="1"/>
  <c r="AA45" i="21" s="1"/>
  <c r="AB45" i="21" s="1"/>
  <c r="AC45" i="21" s="1"/>
  <c r="AD45" i="21" s="1"/>
  <c r="AE45" i="21" s="1"/>
  <c r="G43" i="21"/>
  <c r="H43" i="21" s="1"/>
  <c r="I43" i="21" s="1"/>
  <c r="J43" i="21" s="1"/>
  <c r="K43" i="21" s="1"/>
  <c r="L43" i="21" s="1"/>
  <c r="M43" i="21" s="1"/>
  <c r="N43" i="21" s="1"/>
  <c r="O43" i="21" s="1"/>
  <c r="P43" i="21" s="1"/>
  <c r="Q43" i="21" s="1"/>
  <c r="R43" i="21" s="1"/>
  <c r="S43" i="21" s="1"/>
  <c r="T43" i="21" s="1"/>
  <c r="U43" i="21" s="1"/>
  <c r="V43" i="21" s="1"/>
  <c r="W43" i="21" s="1"/>
  <c r="X43" i="21" s="1"/>
  <c r="Y43" i="21" s="1"/>
  <c r="Z43" i="21" s="1"/>
  <c r="AA43" i="21" s="1"/>
  <c r="AB43" i="21" s="1"/>
  <c r="AC43" i="21" s="1"/>
  <c r="AD43" i="21" s="1"/>
  <c r="AE43" i="21" s="1"/>
  <c r="G39" i="21"/>
  <c r="H39" i="21" s="1"/>
  <c r="I39" i="21" s="1"/>
  <c r="J39" i="21" s="1"/>
  <c r="K39" i="21" s="1"/>
  <c r="L39" i="21" s="1"/>
  <c r="M39" i="21" s="1"/>
  <c r="N39" i="21" s="1"/>
  <c r="O39" i="21" s="1"/>
  <c r="P39" i="21" s="1"/>
  <c r="Q39" i="21" s="1"/>
  <c r="R39" i="21" s="1"/>
  <c r="S39" i="21" s="1"/>
  <c r="T39" i="21" s="1"/>
  <c r="U39" i="21" s="1"/>
  <c r="V39" i="21" s="1"/>
  <c r="W39" i="21" s="1"/>
  <c r="X39" i="21" s="1"/>
  <c r="Y39" i="21" s="1"/>
  <c r="Z39" i="21" s="1"/>
  <c r="AA39" i="21" s="1"/>
  <c r="AB39" i="21" s="1"/>
  <c r="AC39" i="21" s="1"/>
  <c r="AD39" i="21" s="1"/>
  <c r="AE39" i="21" s="1"/>
  <c r="G25" i="21"/>
  <c r="H25" i="21" s="1"/>
  <c r="I25" i="21" s="1"/>
  <c r="J25" i="21" s="1"/>
  <c r="K25" i="21" s="1"/>
  <c r="L25" i="21" s="1"/>
  <c r="M25" i="21" s="1"/>
  <c r="N25" i="21" s="1"/>
  <c r="O25" i="21" s="1"/>
  <c r="P25" i="21" s="1"/>
  <c r="Q25" i="21" s="1"/>
  <c r="R25" i="21" s="1"/>
  <c r="S25" i="21" s="1"/>
  <c r="T25" i="21" s="1"/>
  <c r="U25" i="21" s="1"/>
  <c r="V25" i="21" s="1"/>
  <c r="W25" i="21" s="1"/>
  <c r="X25" i="21" s="1"/>
  <c r="Y25" i="21" s="1"/>
  <c r="Z25" i="21" s="1"/>
  <c r="AA25" i="21" s="1"/>
  <c r="AB25" i="21" s="1"/>
  <c r="AC25" i="21" s="1"/>
  <c r="AD25" i="21" s="1"/>
  <c r="AE25" i="21" s="1"/>
  <c r="G16" i="21"/>
  <c r="H16" i="21" s="1"/>
  <c r="I16" i="21" s="1"/>
  <c r="J16" i="21" s="1"/>
  <c r="K16" i="21" s="1"/>
  <c r="L16" i="21" s="1"/>
  <c r="M16" i="21" s="1"/>
  <c r="N16" i="21" s="1"/>
  <c r="O16" i="21" s="1"/>
  <c r="P16" i="21" s="1"/>
  <c r="Q16" i="21" s="1"/>
  <c r="R16" i="21" s="1"/>
  <c r="S16" i="21" s="1"/>
  <c r="T16" i="21" s="1"/>
  <c r="U16" i="21" s="1"/>
  <c r="V16" i="21" s="1"/>
  <c r="W16" i="21" s="1"/>
  <c r="X16" i="21" s="1"/>
  <c r="Y16" i="21" s="1"/>
  <c r="Z16" i="21" s="1"/>
  <c r="AA16" i="21" s="1"/>
  <c r="AB16" i="21" s="1"/>
  <c r="AC16" i="21" s="1"/>
  <c r="AD16" i="21" s="1"/>
  <c r="AE16" i="21" s="1"/>
  <c r="G8" i="21"/>
  <c r="H8" i="21" s="1"/>
  <c r="I8" i="21" s="1"/>
  <c r="J8" i="21" s="1"/>
  <c r="K8" i="21" s="1"/>
  <c r="L8" i="21" s="1"/>
  <c r="M8" i="21" s="1"/>
  <c r="N8" i="21" s="1"/>
  <c r="O8" i="21" s="1"/>
  <c r="P8" i="21" s="1"/>
  <c r="Q8" i="21" s="1"/>
  <c r="R8" i="21" s="1"/>
  <c r="S8" i="21" s="1"/>
  <c r="T8" i="21" s="1"/>
  <c r="U8" i="21" s="1"/>
  <c r="V8" i="21" s="1"/>
  <c r="W8" i="21" s="1"/>
  <c r="X8" i="21" s="1"/>
  <c r="Y8" i="21" s="1"/>
  <c r="Z8" i="21" s="1"/>
  <c r="AA8" i="21" s="1"/>
  <c r="AB8" i="21" s="1"/>
  <c r="AC8" i="21" s="1"/>
  <c r="AD8" i="21" s="1"/>
  <c r="AE8" i="21" s="1"/>
  <c r="G4" i="21"/>
  <c r="H4" i="21" s="1"/>
  <c r="I4" i="21" s="1"/>
  <c r="J4" i="21" s="1"/>
  <c r="K4" i="21" s="1"/>
  <c r="L4" i="21" s="1"/>
  <c r="M4" i="21" s="1"/>
  <c r="N4" i="21" s="1"/>
  <c r="O4" i="21" s="1"/>
  <c r="P4" i="21" s="1"/>
  <c r="Q4" i="21" s="1"/>
  <c r="R4" i="21" s="1"/>
  <c r="S4" i="21" s="1"/>
  <c r="T4" i="21" s="1"/>
  <c r="U4" i="21" s="1"/>
  <c r="V4" i="21" s="1"/>
  <c r="W4" i="21" s="1"/>
  <c r="X4" i="21" s="1"/>
  <c r="Y4" i="21" s="1"/>
  <c r="Z4" i="21" s="1"/>
  <c r="AA4" i="21" s="1"/>
  <c r="AB4" i="21" s="1"/>
  <c r="AC4" i="21" s="1"/>
  <c r="AD4" i="21" s="1"/>
  <c r="AE4"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Susana Solorzano Jiménez</author>
  </authors>
  <commentList>
    <comment ref="H12" authorId="0" shapeId="0" xr:uid="{B302AD00-AAE4-4CF4-AC80-CB5F52C81FB6}">
      <text>
        <r>
          <rPr>
            <b/>
            <sz val="9"/>
            <color indexed="81"/>
            <rFont val="Tahoma"/>
            <family val="2"/>
          </rPr>
          <t>Susana Solorzano Jiménez:</t>
        </r>
        <r>
          <rPr>
            <sz val="9"/>
            <color indexed="81"/>
            <rFont val="Tahoma"/>
            <family val="2"/>
          </rPr>
          <t xml:space="preserve">
https://www.eluniverso.com/noticias/economia/toachi-pilaton-central-alluriquin-energia-ecuador-daniel-noboa-nota/</t>
        </r>
      </text>
    </comment>
    <comment ref="H26" authorId="0" shapeId="0" xr:uid="{04DFCEEB-2684-4088-9ACD-460F93230DE7}">
      <text>
        <r>
          <rPr>
            <b/>
            <sz val="9"/>
            <color indexed="81"/>
            <rFont val="Tahoma"/>
            <family val="2"/>
          </rPr>
          <t xml:space="preserve">Supuesto, porque no hay formulario
</t>
        </r>
      </text>
    </comment>
  </commentList>
</comments>
</file>

<file path=xl/sharedStrings.xml><?xml version="1.0" encoding="utf-8"?>
<sst xmlns="http://schemas.openxmlformats.org/spreadsheetml/2006/main" count="1607" uniqueCount="238">
  <si>
    <t>Escenario</t>
  </si>
  <si>
    <t>NDC Incondicional + Condicional de la 2da NDC</t>
  </si>
  <si>
    <t>Transporte marítimo</t>
  </si>
  <si>
    <t>Gasolina</t>
  </si>
  <si>
    <t>Fuel Oil</t>
  </si>
  <si>
    <t>Diesel</t>
  </si>
  <si>
    <t>Transporte de carga</t>
  </si>
  <si>
    <t>Transporte carretero</t>
  </si>
  <si>
    <t>LPG</t>
  </si>
  <si>
    <t>Electricidad</t>
  </si>
  <si>
    <t>Transporte aéreo</t>
  </si>
  <si>
    <t>Jet Fuel</t>
  </si>
  <si>
    <t>Residencial</t>
  </si>
  <si>
    <t>Leña</t>
  </si>
  <si>
    <t>Keroseno</t>
  </si>
  <si>
    <t>Gas natural</t>
  </si>
  <si>
    <t>Otros sectores</t>
  </si>
  <si>
    <t>Coque de petróleo</t>
  </si>
  <si>
    <t>Industrial</t>
  </si>
  <si>
    <t>Biomasa</t>
  </si>
  <si>
    <t>Comercial</t>
  </si>
  <si>
    <t>Agricultura, pesca y minería</t>
  </si>
  <si>
    <t>Sector</t>
  </si>
  <si>
    <t>Combustible</t>
  </si>
  <si>
    <t>Generación en el SNI</t>
  </si>
  <si>
    <t>Solar + baterías</t>
  </si>
  <si>
    <t>Solar</t>
  </si>
  <si>
    <t>Eólicas</t>
  </si>
  <si>
    <t>Generación distribuida</t>
  </si>
  <si>
    <t>Hidroeléctrica</t>
  </si>
  <si>
    <t>Eólicas distribuidas</t>
  </si>
  <si>
    <t>Generación de autoproductores</t>
  </si>
  <si>
    <t>Crudo</t>
  </si>
  <si>
    <t>NDC Incondicional de la 2da NDC</t>
  </si>
  <si>
    <t>Sistema</t>
  </si>
  <si>
    <t>Tecnología</t>
  </si>
  <si>
    <t>Refinerías</t>
  </si>
  <si>
    <t>Fugitivas</t>
  </si>
  <si>
    <t>Tendencial de la 1ra  NDC</t>
  </si>
  <si>
    <t>Incondicional 2da NDC</t>
  </si>
  <si>
    <t>Producción de gas natural</t>
  </si>
  <si>
    <t>Producción de crudo</t>
  </si>
  <si>
    <t>Incondicional y Condicional 2da NDC</t>
  </si>
  <si>
    <t>Tendencial 1 NDC</t>
  </si>
  <si>
    <t>CH4</t>
  </si>
  <si>
    <t>CO2</t>
  </si>
  <si>
    <t>N2O</t>
  </si>
  <si>
    <t>GEI</t>
  </si>
  <si>
    <t>Solar distribuido</t>
  </si>
  <si>
    <t>Hidroeléctrica de embalse en el Pacífico (&lt;450 MW)</t>
  </si>
  <si>
    <t>Hidroeléctrica de embalse en el Pacífico (&lt;50 MW)</t>
  </si>
  <si>
    <t>Hidroeléctrica de pasada en el Pacífico (&lt;450 MW)</t>
  </si>
  <si>
    <t>Hidroeléctrica de pasada en el Pacífico (&lt;50 MW)</t>
  </si>
  <si>
    <t>Eólica distribuida</t>
  </si>
  <si>
    <t>Hidroeléctrica distribuida</t>
  </si>
  <si>
    <t>Planta eléctrica de crudo</t>
  </si>
  <si>
    <t>Planta eléctrica distribuida de Fuel Oil</t>
  </si>
  <si>
    <t>Planta eléctrica distribuida de Diesel</t>
  </si>
  <si>
    <t>Hidroeléctrica de embalse en Amazonía (+450 MW)</t>
  </si>
  <si>
    <t>Hidroeléctrica de embalse en Amazonía (&lt;450 MW)</t>
  </si>
  <si>
    <t>Hidroeléctrica de embalse en Amazonía (&lt;50 MW)</t>
  </si>
  <si>
    <t>Hidroeléctrica de pasada en Amazonía (+450 MW)</t>
  </si>
  <si>
    <t>Hidroeléctrica de pasada en Amazonía (&lt;450 MW)</t>
  </si>
  <si>
    <t>Hidroeléctrica de pasada en Amazonía (&lt;50 MW)</t>
  </si>
  <si>
    <t>Solar con almacenamiento en baterías</t>
  </si>
  <si>
    <t>Hidroeléctrica autoproductora</t>
  </si>
  <si>
    <t>Planta eléctrica de diesel</t>
  </si>
  <si>
    <t>Planta eléctrica de Fuel Oil</t>
  </si>
  <si>
    <t>Planta eléctrica autoproductora de gas asociado</t>
  </si>
  <si>
    <t>Factores de planta para las plantas de generación eléctrica por tipo de planta.</t>
  </si>
  <si>
    <t>Hidroeléctrica de embalse en Amazonía (+450 MW)*</t>
  </si>
  <si>
    <t xml:space="preserve">* Este es el factor de planta utilizado en el escenario Condicional de la 2da NDC, que presenta una variación por el ingreso de dos proyectos con una factor de planta inferior al histórico. </t>
  </si>
  <si>
    <t>Hoja</t>
  </si>
  <si>
    <t>Contenido</t>
  </si>
  <si>
    <t>Demandas_PJ</t>
  </si>
  <si>
    <t>Generación_PJ</t>
  </si>
  <si>
    <t xml:space="preserve">Demandas energéticas en PJ por sector, combustible, año y escenario. </t>
  </si>
  <si>
    <t>Producción_Fósil_PJ</t>
  </si>
  <si>
    <t>Producción local de crudo y gas natural en PJ por año, combustible y escenario.</t>
  </si>
  <si>
    <t>Refinerías_PJ</t>
  </si>
  <si>
    <t>FP</t>
  </si>
  <si>
    <t>LPG refinado</t>
  </si>
  <si>
    <t>Jet Fuel refinado</t>
  </si>
  <si>
    <t>Gasolina refinado</t>
  </si>
  <si>
    <t>Fuel Oil refinado</t>
  </si>
  <si>
    <t>Diesel refinado</t>
  </si>
  <si>
    <t>Refinado</t>
  </si>
  <si>
    <t>Producción de las refinerías en PJ por año, combustible y escenario.</t>
  </si>
  <si>
    <t>Factores de planta por tecnología de generción eléctrica.</t>
  </si>
  <si>
    <t>MW</t>
  </si>
  <si>
    <t>Incondicional</t>
  </si>
  <si>
    <t>Proyecto Eólico Villonaco</t>
  </si>
  <si>
    <t>Proyecto Fotovoltáico Conolophus</t>
  </si>
  <si>
    <t>-</t>
  </si>
  <si>
    <t>Agricultura, pesca y minería Total</t>
  </si>
  <si>
    <t>Comercial Total</t>
  </si>
  <si>
    <t>Industrial Total</t>
  </si>
  <si>
    <t>Otros sectores Total</t>
  </si>
  <si>
    <t>Residencial Total</t>
  </si>
  <si>
    <t>Transporte aéreo Total</t>
  </si>
  <si>
    <t>Transporte carretero Total</t>
  </si>
  <si>
    <t>Transporte de carga Total</t>
  </si>
  <si>
    <t>Transporte marítimo Total</t>
  </si>
  <si>
    <t>NDC Incondicional + Condicional de la 2da NDC Total</t>
  </si>
  <si>
    <t>NDC Incondicional de la 2da NDC Total</t>
  </si>
  <si>
    <t>Tendencial de la 1ra  NDC Total</t>
  </si>
  <si>
    <t>Total</t>
  </si>
  <si>
    <t>Geotérmico</t>
  </si>
  <si>
    <t>Motor de combustión interna</t>
  </si>
  <si>
    <t>Turbina de gas</t>
  </si>
  <si>
    <t>Turbina de vapor</t>
  </si>
  <si>
    <t>Embalse pacífico mediana</t>
  </si>
  <si>
    <t>Embalse pacífico grande</t>
  </si>
  <si>
    <t>Embalse amazonía pequeña</t>
  </si>
  <si>
    <t>Embalse amazonía mediana</t>
  </si>
  <si>
    <t>Embalse amazonía grande</t>
  </si>
  <si>
    <t>Pasada pacífico pequeña</t>
  </si>
  <si>
    <t xml:space="preserve">Pasada pacífico mediana </t>
  </si>
  <si>
    <t>Pasada pacífico grande</t>
  </si>
  <si>
    <t>Pasada amazonía pequeña</t>
  </si>
  <si>
    <t>Pasada amazonía mediana</t>
  </si>
  <si>
    <t>Pasada amazonía grande</t>
  </si>
  <si>
    <t>Eólica</t>
  </si>
  <si>
    <t>Amazonía</t>
  </si>
  <si>
    <t>Pacífico</t>
  </si>
  <si>
    <t>Motor de combustión interna - Galápagos</t>
  </si>
  <si>
    <t>Eólica - Rural</t>
  </si>
  <si>
    <t>Solar  - Rural</t>
  </si>
  <si>
    <t>Solar  - Galápagos</t>
  </si>
  <si>
    <t>Motor de combustión interna - Rural</t>
  </si>
  <si>
    <t>Turbina de vapor - Rural</t>
  </si>
  <si>
    <t>Turbina de gas - Petroleras</t>
  </si>
  <si>
    <t>Motor de combustión interna - Petroleras</t>
  </si>
  <si>
    <t>Turbina de vapor petroleras</t>
  </si>
  <si>
    <t>Amazonía - Cementeras</t>
  </si>
  <si>
    <t>Pacífico - Cementeras</t>
  </si>
  <si>
    <t>Turbina de vapor - Cementeras</t>
  </si>
  <si>
    <t>Generación de autoproductores Total</t>
  </si>
  <si>
    <t>Generación distribuida Total</t>
  </si>
  <si>
    <t>Geotérmica</t>
  </si>
  <si>
    <t>Hidroeléctrica de embalse - Amazonía Mediana</t>
  </si>
  <si>
    <t>Hidroeléctrica de embalse - Amazonía Pequeña</t>
  </si>
  <si>
    <t>Hidroeléctrica de embalse - Pacífico Mediana</t>
  </si>
  <si>
    <t>Hidroeléctrica de embalse - Pacífico Pequeña</t>
  </si>
  <si>
    <t>Hidroeléctrica de pasada - Amazonía Grande</t>
  </si>
  <si>
    <t>Hidroeléctrica de pasada - Amazonía Mediana</t>
  </si>
  <si>
    <t>Hidroeléctrica de pasada - Amazonía Pequeña</t>
  </si>
  <si>
    <t>Hidroeléctrica de pasada - Pacífico Mediana</t>
  </si>
  <si>
    <t>Hidroeléctrica de pasada - Pacífico Pequeña</t>
  </si>
  <si>
    <t>Generación en el SNI Total</t>
  </si>
  <si>
    <t>Hidroeléctrica de embalse - Amazonía Grande</t>
  </si>
  <si>
    <t>Incondicional 2da NDC Total</t>
  </si>
  <si>
    <t>Incondicional y Condicional 2da NDC Total</t>
  </si>
  <si>
    <t>Tendencial 1 NDC Total</t>
  </si>
  <si>
    <t>Óleos de desecho</t>
  </si>
  <si>
    <t>Gas Natural</t>
  </si>
  <si>
    <t>Biogasolina</t>
  </si>
  <si>
    <t>Unidades</t>
  </si>
  <si>
    <t>Generación eléctrica</t>
  </si>
  <si>
    <t>Hidráulica</t>
  </si>
  <si>
    <t>Autoproductores</t>
  </si>
  <si>
    <t>Distribuida</t>
  </si>
  <si>
    <t>SNI</t>
  </si>
  <si>
    <t>Generación PLANMICC [PJ]</t>
  </si>
  <si>
    <t>Generación eléctrica para 2da NDC [PJ]</t>
  </si>
  <si>
    <t>Demandas energéticas [PJ]</t>
  </si>
  <si>
    <t>Capacidad instalada para 2da NDC [GW]</t>
  </si>
  <si>
    <t>Embalse pacífico pequeña</t>
  </si>
  <si>
    <t>Producción de productos fósiles en PJ</t>
  </si>
  <si>
    <t>Eólico</t>
  </si>
  <si>
    <t>Productos de refinerías en PJ.</t>
  </si>
  <si>
    <t>Planta eléctrica de Gas natural</t>
  </si>
  <si>
    <t>Planta eléctrica autoproductora de diesel</t>
  </si>
  <si>
    <t>Capacidad_GW</t>
  </si>
  <si>
    <t>Carbón de coque</t>
  </si>
  <si>
    <t>RDF</t>
  </si>
  <si>
    <t>No energético</t>
  </si>
  <si>
    <t>Mton CO2e / PJ combustible</t>
  </si>
  <si>
    <t>Mton CO2e / PJ electricidad generada</t>
  </si>
  <si>
    <t>Mton CO2e / PJ crudo procesado</t>
  </si>
  <si>
    <t>Mton CO2e / PJ crudo extraído</t>
  </si>
  <si>
    <t>Mton CO2e / PJ gas natural extraído</t>
  </si>
  <si>
    <t>Categoría INGEI</t>
  </si>
  <si>
    <t>1A4c</t>
  </si>
  <si>
    <t>1A4a</t>
  </si>
  <si>
    <t>1A5</t>
  </si>
  <si>
    <t>1A4b</t>
  </si>
  <si>
    <t>1A3aii</t>
  </si>
  <si>
    <t>1A3b</t>
  </si>
  <si>
    <t>1A3d</t>
  </si>
  <si>
    <t>1B2</t>
  </si>
  <si>
    <t>1A1ai y 1A1cii</t>
  </si>
  <si>
    <t>1A1b</t>
  </si>
  <si>
    <t>1A2</t>
  </si>
  <si>
    <t>1B2 y 1A1b</t>
  </si>
  <si>
    <t>PCG</t>
  </si>
  <si>
    <t>FE</t>
  </si>
  <si>
    <t>Potenciales de calentamiento global.</t>
  </si>
  <si>
    <t xml:space="preserve">Factores de emisión. </t>
  </si>
  <si>
    <t xml:space="preserve">Generación eléctrica en PJ por tecnología, sistema eléctrico, año y escenario. </t>
  </si>
  <si>
    <t>Capacidad instalada en GW por tecnología, sistema eléctrico, año y escenario.</t>
  </si>
  <si>
    <t>Iniciativas de la 2da NDC</t>
  </si>
  <si>
    <t>Nombre del proyecto</t>
  </si>
  <si>
    <t>Tipo de tecnología</t>
  </si>
  <si>
    <t>Vertiente</t>
  </si>
  <si>
    <t>MWh</t>
  </si>
  <si>
    <t>Ingreso</t>
  </si>
  <si>
    <t>Factor de planta</t>
  </si>
  <si>
    <t>Clasificación</t>
  </si>
  <si>
    <t>Central Hidroeléctrica Mazar</t>
  </si>
  <si>
    <t>Hidroeléctrica Embalse</t>
  </si>
  <si>
    <t>Amazonas</t>
  </si>
  <si>
    <t>Central Hidroeléctrica Coca Codo Sinclair</t>
  </si>
  <si>
    <t>Hidroeléctrica Pasada</t>
  </si>
  <si>
    <t>NI</t>
  </si>
  <si>
    <t>Central Hidroeléctrica Manduriacu</t>
  </si>
  <si>
    <t>Proyecto Hidroeléctrico Sopladora</t>
  </si>
  <si>
    <t>Proyecto Hidroeléctrico Minas San Francisco</t>
  </si>
  <si>
    <t>Proyecto Hidroeléctrico Delsitanisagua</t>
  </si>
  <si>
    <t>Complejo Hidroeléctrico Toachi Pilatón (Sarapullo)</t>
  </si>
  <si>
    <t>Complejo Hidroeléctrico Toachi Pilatón (Alluriquín)</t>
  </si>
  <si>
    <t>Proyecto hidroeléctrico Soldados Yanuncay</t>
  </si>
  <si>
    <t>Sistema Híbrido Isabela (Fase II)</t>
  </si>
  <si>
    <t>Solar+baterías</t>
  </si>
  <si>
    <t>Galápagos</t>
  </si>
  <si>
    <t>Condicional</t>
  </si>
  <si>
    <t>Proyecto Fotovoltáico Flotante Mazar</t>
  </si>
  <si>
    <t>Proyecto Eólico Pimo</t>
  </si>
  <si>
    <t>Proyecto Fotovoltaico Huascachaca</t>
  </si>
  <si>
    <t>Proyecto Eólico Ducal Membrillo</t>
  </si>
  <si>
    <t>Proyecto Fotovoltáico Matala</t>
  </si>
  <si>
    <t>Proyecto Fotovoltaico La Ceiba</t>
  </si>
  <si>
    <t>Sistema Solar Fotovoltaica San Cristóbal (Fase II)</t>
  </si>
  <si>
    <t>Isla Floreana 100% Renovable</t>
  </si>
  <si>
    <t>Proyecto Hidroeléctrico Santiago</t>
  </si>
  <si>
    <t>Proyecto Hidroeléctrico Cardenillo</t>
  </si>
  <si>
    <t>Complejo Fotovoltaico NEOEN Solar (180 MWp)</t>
  </si>
  <si>
    <t>Proyecto Geotérmino Chachimbiro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</si>
</sst>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 #,##0.00_-;\-* #,##0.00_-;_-* &quot;-&quot;??_-;_-@_-"/>
    <numFmt numFmtId="166" formatCode="#,##0.000"/>
    <numFmt numFmtId="167" formatCode="0.00000"/>
  </numFmts>
  <fonts count="11" x14ac:knownFonts="1">
    <font>
      <sz val="11"/>
      <color theme="1"/>
      <name val="Aptos Narrow"/>
      <family val="2"/>
      <scheme val="minor"/>
    </font>
    <font>
      <b/>
      <sz val="11"/>
      <color theme="1"/>
      <name val="Aptos Narrow"/>
      <family val="2"/>
      <scheme val="minor"/>
    </font>
    <font>
      <b/>
      <sz val="14"/>
      <color theme="1"/>
      <name val="Aptos Narrow"/>
      <family val="2"/>
      <scheme val="minor"/>
    </font>
    <font>
      <sz val="11"/>
      <name val="Aptos Narrow"/>
      <family val="2"/>
      <scheme val="minor"/>
    </font>
    <font>
      <sz val="10"/>
      <name val="Arial"/>
      <family val="2"/>
    </font>
    <font>
      <sz val="8"/>
      <name val="Aptos Narrow"/>
      <family val="2"/>
      <scheme val="minor"/>
    </font>
    <font>
      <b/>
      <u/>
      <sz val="11"/>
      <color theme="1"/>
      <name val="Aptos Narrow"/>
      <family val="2"/>
      <scheme val="minor"/>
    </font>
    <font>
      <b/>
      <sz val="10"/>
      <color theme="1"/>
      <name val="Verdana"/>
      <family val="2"/>
    </font>
    <font>
      <sz val="11"/>
      <color rgb="FFC00000"/>
      <name val="Aptos Narrow"/>
      <family val="2"/>
      <scheme val="minor"/>
    </font>
    <font>
      <b/>
      <sz val="9"/>
      <color indexed="81"/>
      <name val="Tahoma"/>
      <family val="2"/>
    </font>
    <font>
      <sz val="9"/>
      <color indexed="81"/>
      <name val="Tahoma"/>
      <family val="2"/>
    </font>
  </fonts>
  <fills count="7">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0000"/>
        <bgColor indexed="64"/>
      </patternFill>
    </fill>
    <fill>
      <patternFill patternType="solid">
        <fgColor theme="4" tint="0.59999389629810485"/>
        <bgColor indexed="64"/>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165" fontId="4" fillId="0" borderId="0" applyFont="0" applyFill="0" applyBorder="0" applyAlignment="0" applyProtection="0"/>
  </cellStyleXfs>
  <cellXfs count="64">
    <xf numFmtId="0" fontId="0" fillId="0" borderId="0" xfId="0"/>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2" fontId="0" fillId="0" borderId="0" xfId="0" applyNumberFormat="1" applyAlignment="1">
      <alignment horizontal="center"/>
    </xf>
    <xf numFmtId="2" fontId="0" fillId="0" borderId="5" xfId="0" applyNumberFormat="1" applyBorder="1" applyAlignment="1">
      <alignment horizontal="center"/>
    </xf>
    <xf numFmtId="2" fontId="0" fillId="0" borderId="7" xfId="0" applyNumberFormat="1" applyBorder="1" applyAlignment="1">
      <alignment horizontal="center"/>
    </xf>
    <xf numFmtId="2" fontId="0" fillId="0" borderId="8" xfId="0" applyNumberFormat="1" applyBorder="1" applyAlignment="1">
      <alignment horizontal="center"/>
    </xf>
    <xf numFmtId="0" fontId="0" fillId="0" borderId="0" xfId="0" applyAlignment="1">
      <alignment horizontal="left"/>
    </xf>
    <xf numFmtId="0" fontId="0" fillId="0" borderId="0" xfId="0" applyAlignment="1">
      <alignment horizontal="center"/>
    </xf>
    <xf numFmtId="0" fontId="1" fillId="0" borderId="0" xfId="0" applyFont="1" applyAlignment="1">
      <alignment horizontal="center"/>
    </xf>
    <xf numFmtId="164" fontId="0" fillId="0" borderId="2" xfId="0" applyNumberFormat="1" applyBorder="1" applyAlignment="1">
      <alignment horizontal="center"/>
    </xf>
    <xf numFmtId="164" fontId="0" fillId="0" borderId="3" xfId="0" applyNumberFormat="1" applyBorder="1" applyAlignment="1">
      <alignment horizontal="center"/>
    </xf>
    <xf numFmtId="164" fontId="0" fillId="0" borderId="0" xfId="0" applyNumberFormat="1" applyAlignment="1">
      <alignment horizontal="center"/>
    </xf>
    <xf numFmtId="164" fontId="0" fillId="0" borderId="5" xfId="0" applyNumberFormat="1" applyBorder="1" applyAlignment="1">
      <alignment horizontal="center"/>
    </xf>
    <xf numFmtId="164" fontId="0" fillId="0" borderId="7" xfId="0" applyNumberFormat="1" applyBorder="1" applyAlignment="1">
      <alignment horizontal="center"/>
    </xf>
    <xf numFmtId="164" fontId="0" fillId="0" borderId="8" xfId="0" applyNumberFormat="1" applyBorder="1" applyAlignment="1">
      <alignment horizontal="center"/>
    </xf>
    <xf numFmtId="0" fontId="0" fillId="2" borderId="1" xfId="0" applyFill="1" applyBorder="1" applyAlignment="1">
      <alignment horizontal="center"/>
    </xf>
    <xf numFmtId="0" fontId="0" fillId="2" borderId="2" xfId="0" applyFill="1" applyBorder="1" applyAlignment="1">
      <alignment horizontal="center"/>
    </xf>
    <xf numFmtId="0" fontId="0" fillId="2" borderId="4" xfId="0" applyFill="1" applyBorder="1" applyAlignment="1">
      <alignment horizontal="center"/>
    </xf>
    <xf numFmtId="0" fontId="0" fillId="2" borderId="0" xfId="0" applyFill="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3" borderId="1" xfId="0" applyFill="1" applyBorder="1" applyAlignment="1">
      <alignment horizontal="center"/>
    </xf>
    <xf numFmtId="0" fontId="0" fillId="3" borderId="2" xfId="0" applyFill="1" applyBorder="1" applyAlignment="1">
      <alignment horizontal="center"/>
    </xf>
    <xf numFmtId="0" fontId="0" fillId="3" borderId="4" xfId="0" applyFill="1" applyBorder="1" applyAlignment="1">
      <alignment horizontal="center"/>
    </xf>
    <xf numFmtId="0" fontId="0" fillId="3" borderId="0" xfId="0" applyFill="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2" fillId="0" borderId="0" xfId="0" applyFont="1"/>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1" xfId="0" applyBorder="1" applyAlignment="1">
      <alignment horizontal="center"/>
    </xf>
    <xf numFmtId="2" fontId="0" fillId="0" borderId="2" xfId="0" applyNumberFormat="1" applyBorder="1" applyAlignment="1">
      <alignment horizontal="center"/>
    </xf>
    <xf numFmtId="2" fontId="0" fillId="0" borderId="3" xfId="0" applyNumberFormat="1" applyBorder="1" applyAlignment="1">
      <alignment horizontal="center"/>
    </xf>
    <xf numFmtId="0" fontId="0" fillId="0" borderId="3" xfId="0" applyBorder="1" applyAlignment="1">
      <alignment horizontal="center"/>
    </xf>
    <xf numFmtId="166" fontId="0" fillId="0" borderId="2" xfId="0" applyNumberFormat="1" applyBorder="1" applyAlignment="1">
      <alignment horizontal="center"/>
    </xf>
    <xf numFmtId="166" fontId="0" fillId="0" borderId="3" xfId="0" applyNumberFormat="1" applyBorder="1" applyAlignment="1">
      <alignment horizontal="center"/>
    </xf>
    <xf numFmtId="166" fontId="0" fillId="0" borderId="0" xfId="0" applyNumberFormat="1" applyAlignment="1">
      <alignment horizontal="center"/>
    </xf>
    <xf numFmtId="166" fontId="0" fillId="0" borderId="5" xfId="0" applyNumberFormat="1" applyBorder="1" applyAlignment="1">
      <alignment horizontal="center"/>
    </xf>
    <xf numFmtId="166" fontId="0" fillId="0" borderId="7" xfId="0" applyNumberFormat="1" applyBorder="1" applyAlignment="1">
      <alignment horizontal="center"/>
    </xf>
    <xf numFmtId="166" fontId="0" fillId="0" borderId="8" xfId="0" applyNumberFormat="1" applyBorder="1" applyAlignment="1">
      <alignment horizontal="center"/>
    </xf>
    <xf numFmtId="166" fontId="0" fillId="0" borderId="0" xfId="0" applyNumberFormat="1"/>
    <xf numFmtId="0" fontId="3" fillId="3" borderId="0" xfId="0" applyFont="1" applyFill="1" applyAlignment="1">
      <alignment horizontal="center"/>
    </xf>
    <xf numFmtId="0" fontId="0" fillId="0" borderId="9" xfId="0" applyBorder="1" applyAlignment="1">
      <alignment horizontal="center"/>
    </xf>
    <xf numFmtId="0" fontId="0" fillId="0" borderId="11" xfId="0" applyBorder="1" applyAlignment="1">
      <alignment horizontal="center"/>
    </xf>
    <xf numFmtId="0" fontId="6" fillId="0" borderId="12" xfId="0" applyFont="1" applyBorder="1" applyAlignment="1">
      <alignment horizontal="center"/>
    </xf>
    <xf numFmtId="0" fontId="1" fillId="0" borderId="12" xfId="0" applyFont="1" applyBorder="1" applyAlignment="1">
      <alignment horizontal="center"/>
    </xf>
    <xf numFmtId="0" fontId="7" fillId="0" borderId="13" xfId="0" applyFont="1" applyBorder="1" applyAlignment="1">
      <alignment horizontal="center" vertical="center"/>
    </xf>
    <xf numFmtId="0" fontId="1" fillId="0" borderId="13" xfId="0" applyFont="1" applyBorder="1" applyAlignment="1">
      <alignment horizontal="center"/>
    </xf>
    <xf numFmtId="0" fontId="0" fillId="0" borderId="13" xfId="0" applyBorder="1" applyAlignment="1">
      <alignment horizontal="center"/>
    </xf>
    <xf numFmtId="2" fontId="0" fillId="0" borderId="13" xfId="0" applyNumberFormat="1" applyBorder="1" applyAlignment="1">
      <alignment horizontal="center"/>
    </xf>
    <xf numFmtId="0" fontId="3" fillId="0" borderId="13" xfId="0" applyFont="1" applyBorder="1" applyAlignment="1">
      <alignment horizontal="center"/>
    </xf>
    <xf numFmtId="0" fontId="0" fillId="5" borderId="13" xfId="0" applyFill="1" applyBorder="1" applyAlignment="1">
      <alignment horizontal="center"/>
    </xf>
    <xf numFmtId="0" fontId="0" fillId="6" borderId="13" xfId="0" applyFill="1" applyBorder="1" applyAlignment="1">
      <alignment horizontal="center"/>
    </xf>
    <xf numFmtId="0" fontId="0" fillId="4" borderId="13" xfId="0" applyFill="1" applyBorder="1" applyAlignment="1">
      <alignment horizontal="center"/>
    </xf>
    <xf numFmtId="1" fontId="0" fillId="4" borderId="13" xfId="0" applyNumberFormat="1" applyFill="1" applyBorder="1" applyAlignment="1">
      <alignment horizontal="center"/>
    </xf>
    <xf numFmtId="0" fontId="8" fillId="4" borderId="13" xfId="0" applyFont="1" applyFill="1" applyBorder="1" applyAlignment="1">
      <alignment horizontal="center"/>
    </xf>
    <xf numFmtId="167" fontId="0" fillId="0" borderId="13" xfId="0" applyNumberFormat="1" applyBorder="1" applyAlignment="1">
      <alignment horizontal="center"/>
    </xf>
  </cellXfs>
  <cellStyles count="2">
    <cellStyle name="Millares 2" xfId="1" xr:uid="{44C69BDD-0EB0-4C2B-AF4A-08355AAC52EB}"/>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col"/>
        <c:grouping val="stacked"/>
        <c:varyColors val="0"/>
        <c:ser>
          <c:idx val="0"/>
          <c:order val="0"/>
          <c:spPr>
            <a:solidFill>
              <a:schemeClr val="accent1"/>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Refinerías_PJ!$D$6:$AC$6</c:f>
              <c:numCache>
                <c:formatCode>#,##0.0</c:formatCode>
                <c:ptCount val="26"/>
                <c:pt idx="0">
                  <c:v>72.177899999999994</c:v>
                </c:pt>
                <c:pt idx="1">
                  <c:v>72.177899999999994</c:v>
                </c:pt>
                <c:pt idx="2">
                  <c:v>72.177899999999994</c:v>
                </c:pt>
                <c:pt idx="3">
                  <c:v>72.177899999999994</c:v>
                </c:pt>
                <c:pt idx="4">
                  <c:v>66.990499999999997</c:v>
                </c:pt>
                <c:pt idx="5">
                  <c:v>65.958299999999994</c:v>
                </c:pt>
                <c:pt idx="6">
                  <c:v>86.094200000000001</c:v>
                </c:pt>
                <c:pt idx="7">
                  <c:v>85.875200000000007</c:v>
                </c:pt>
                <c:pt idx="8">
                  <c:v>83.288499999999999</c:v>
                </c:pt>
                <c:pt idx="9">
                  <c:v>79.676299999999998</c:v>
                </c:pt>
                <c:pt idx="10">
                  <c:v>59.950899999999997</c:v>
                </c:pt>
                <c:pt idx="11">
                  <c:v>76.844899999999996</c:v>
                </c:pt>
                <c:pt idx="12">
                  <c:v>79.534700000000001</c:v>
                </c:pt>
                <c:pt idx="13">
                  <c:v>71.898499999999999</c:v>
                </c:pt>
                <c:pt idx="14">
                  <c:v>76.092699999999994</c:v>
                </c:pt>
                <c:pt idx="15">
                  <c:v>76.092699999999994</c:v>
                </c:pt>
                <c:pt idx="16">
                  <c:v>76.092699999999994</c:v>
                </c:pt>
                <c:pt idx="17">
                  <c:v>76.092699999999994</c:v>
                </c:pt>
                <c:pt idx="18">
                  <c:v>76.092699999999994</c:v>
                </c:pt>
                <c:pt idx="19">
                  <c:v>76.092699999999994</c:v>
                </c:pt>
                <c:pt idx="20">
                  <c:v>76.092699999999994</c:v>
                </c:pt>
                <c:pt idx="21">
                  <c:v>76.092699999999994</c:v>
                </c:pt>
                <c:pt idx="22">
                  <c:v>76.092699999999994</c:v>
                </c:pt>
                <c:pt idx="23">
                  <c:v>76.092699999999994</c:v>
                </c:pt>
                <c:pt idx="24">
                  <c:v>76.092699999999994</c:v>
                </c:pt>
                <c:pt idx="25">
                  <c:v>76.092699999999994</c:v>
                </c:pt>
              </c:numCache>
            </c:numRef>
          </c:val>
          <c:extLst>
            <c:ext xmlns:c16="http://schemas.microsoft.com/office/drawing/2014/chart" uri="{C3380CC4-5D6E-409C-BE32-E72D297353CC}">
              <c16:uniqueId val="{00000000-7B68-4606-86B6-E2C119E34398}"/>
            </c:ext>
          </c:extLst>
        </c:ser>
        <c:ser>
          <c:idx val="1"/>
          <c:order val="1"/>
          <c:spPr>
            <a:solidFill>
              <a:schemeClr val="accent2"/>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Refinerías_PJ!$D$7:$AC$7</c:f>
              <c:numCache>
                <c:formatCode>#,##0.0</c:formatCode>
                <c:ptCount val="26"/>
                <c:pt idx="0">
                  <c:v>111.134</c:v>
                </c:pt>
                <c:pt idx="1">
                  <c:v>111.134</c:v>
                </c:pt>
                <c:pt idx="2">
                  <c:v>111.134</c:v>
                </c:pt>
                <c:pt idx="3">
                  <c:v>111.134</c:v>
                </c:pt>
                <c:pt idx="4">
                  <c:v>97.389099999999999</c:v>
                </c:pt>
                <c:pt idx="5">
                  <c:v>98.531999999999996</c:v>
                </c:pt>
                <c:pt idx="6">
                  <c:v>116.086</c:v>
                </c:pt>
                <c:pt idx="7">
                  <c:v>119.91200000000001</c:v>
                </c:pt>
                <c:pt idx="8">
                  <c:v>137.815</c:v>
                </c:pt>
                <c:pt idx="9">
                  <c:v>110.562</c:v>
                </c:pt>
                <c:pt idx="10">
                  <c:v>100.602</c:v>
                </c:pt>
                <c:pt idx="11">
                  <c:v>130.429</c:v>
                </c:pt>
                <c:pt idx="12">
                  <c:v>136.36099999999999</c:v>
                </c:pt>
                <c:pt idx="13">
                  <c:v>125.483</c:v>
                </c:pt>
                <c:pt idx="14">
                  <c:v>130.75800000000001</c:v>
                </c:pt>
                <c:pt idx="15">
                  <c:v>130.75800000000001</c:v>
                </c:pt>
                <c:pt idx="16">
                  <c:v>130.75800000000001</c:v>
                </c:pt>
                <c:pt idx="17">
                  <c:v>130.75800000000001</c:v>
                </c:pt>
                <c:pt idx="18">
                  <c:v>130.75800000000001</c:v>
                </c:pt>
                <c:pt idx="19">
                  <c:v>130.75800000000001</c:v>
                </c:pt>
                <c:pt idx="20">
                  <c:v>130.75800000000001</c:v>
                </c:pt>
                <c:pt idx="21">
                  <c:v>130.75800000000001</c:v>
                </c:pt>
                <c:pt idx="22">
                  <c:v>130.75800000000001</c:v>
                </c:pt>
                <c:pt idx="23">
                  <c:v>130.75800000000001</c:v>
                </c:pt>
                <c:pt idx="24">
                  <c:v>130.75800000000001</c:v>
                </c:pt>
                <c:pt idx="25">
                  <c:v>130.75800000000001</c:v>
                </c:pt>
              </c:numCache>
            </c:numRef>
          </c:val>
          <c:extLst>
            <c:ext xmlns:c16="http://schemas.microsoft.com/office/drawing/2014/chart" uri="{C3380CC4-5D6E-409C-BE32-E72D297353CC}">
              <c16:uniqueId val="{00000001-7B68-4606-86B6-E2C119E34398}"/>
            </c:ext>
          </c:extLst>
        </c:ser>
        <c:ser>
          <c:idx val="2"/>
          <c:order val="2"/>
          <c:spPr>
            <a:solidFill>
              <a:schemeClr val="accent3"/>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Refinerías_PJ!$D$8:$AC$8</c:f>
              <c:numCache>
                <c:formatCode>#,##0.0</c:formatCode>
                <c:ptCount val="26"/>
                <c:pt idx="0">
                  <c:v>54.996899999999997</c:v>
                </c:pt>
                <c:pt idx="1">
                  <c:v>54.996899999999997</c:v>
                </c:pt>
                <c:pt idx="2">
                  <c:v>54.996899999999997</c:v>
                </c:pt>
                <c:pt idx="3">
                  <c:v>54.996899999999997</c:v>
                </c:pt>
                <c:pt idx="4">
                  <c:v>42.908799999999999</c:v>
                </c:pt>
                <c:pt idx="5">
                  <c:v>41.1599</c:v>
                </c:pt>
                <c:pt idx="6">
                  <c:v>67.538300000000007</c:v>
                </c:pt>
                <c:pt idx="7">
                  <c:v>63.712800000000001</c:v>
                </c:pt>
                <c:pt idx="8">
                  <c:v>67.367599999999996</c:v>
                </c:pt>
                <c:pt idx="9">
                  <c:v>62.07</c:v>
                </c:pt>
                <c:pt idx="10">
                  <c:v>47.588299999999997</c:v>
                </c:pt>
                <c:pt idx="11">
                  <c:v>54.959499999999998</c:v>
                </c:pt>
                <c:pt idx="12">
                  <c:v>58.669499999999999</c:v>
                </c:pt>
                <c:pt idx="13">
                  <c:v>57.005899999999997</c:v>
                </c:pt>
                <c:pt idx="14">
                  <c:v>56.878300000000003</c:v>
                </c:pt>
                <c:pt idx="15">
                  <c:v>56.878300000000003</c:v>
                </c:pt>
                <c:pt idx="16">
                  <c:v>56.878300000000003</c:v>
                </c:pt>
                <c:pt idx="17">
                  <c:v>56.878300000000003</c:v>
                </c:pt>
                <c:pt idx="18">
                  <c:v>56.878300000000003</c:v>
                </c:pt>
                <c:pt idx="19">
                  <c:v>56.878300000000003</c:v>
                </c:pt>
                <c:pt idx="20">
                  <c:v>56.878300000000003</c:v>
                </c:pt>
                <c:pt idx="21">
                  <c:v>56.878300000000003</c:v>
                </c:pt>
                <c:pt idx="22">
                  <c:v>56.878300000000003</c:v>
                </c:pt>
                <c:pt idx="23">
                  <c:v>56.878300000000003</c:v>
                </c:pt>
                <c:pt idx="24">
                  <c:v>56.878300000000003</c:v>
                </c:pt>
                <c:pt idx="25">
                  <c:v>56.878300000000003</c:v>
                </c:pt>
              </c:numCache>
            </c:numRef>
          </c:val>
          <c:extLst>
            <c:ext xmlns:c16="http://schemas.microsoft.com/office/drawing/2014/chart" uri="{C3380CC4-5D6E-409C-BE32-E72D297353CC}">
              <c16:uniqueId val="{00000002-7B68-4606-86B6-E2C119E34398}"/>
            </c:ext>
          </c:extLst>
        </c:ser>
        <c:ser>
          <c:idx val="3"/>
          <c:order val="3"/>
          <c:spPr>
            <a:solidFill>
              <a:schemeClr val="accent4"/>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Refinerías_PJ!$D$9:$AC$9</c:f>
              <c:numCache>
                <c:formatCode>#,##0.0</c:formatCode>
                <c:ptCount val="26"/>
                <c:pt idx="0">
                  <c:v>16.5945</c:v>
                </c:pt>
                <c:pt idx="1">
                  <c:v>16.760400000000001</c:v>
                </c:pt>
                <c:pt idx="2">
                  <c:v>16.760400000000001</c:v>
                </c:pt>
                <c:pt idx="3">
                  <c:v>16.760400000000001</c:v>
                </c:pt>
                <c:pt idx="4">
                  <c:v>15.622</c:v>
                </c:pt>
                <c:pt idx="5">
                  <c:v>15.551</c:v>
                </c:pt>
                <c:pt idx="6">
                  <c:v>15.214700000000001</c:v>
                </c:pt>
                <c:pt idx="7">
                  <c:v>17.511600000000001</c:v>
                </c:pt>
                <c:pt idx="8">
                  <c:v>16.679400000000001</c:v>
                </c:pt>
                <c:pt idx="9">
                  <c:v>16.4541</c:v>
                </c:pt>
                <c:pt idx="10">
                  <c:v>8.7766000000000002</c:v>
                </c:pt>
                <c:pt idx="11">
                  <c:v>12.6426</c:v>
                </c:pt>
                <c:pt idx="12">
                  <c:v>16.9206</c:v>
                </c:pt>
                <c:pt idx="13">
                  <c:v>16.8813</c:v>
                </c:pt>
                <c:pt idx="14">
                  <c:v>15.4815</c:v>
                </c:pt>
                <c:pt idx="15">
                  <c:v>15.4815</c:v>
                </c:pt>
                <c:pt idx="16">
                  <c:v>15.4815</c:v>
                </c:pt>
                <c:pt idx="17">
                  <c:v>15.4815</c:v>
                </c:pt>
                <c:pt idx="18">
                  <c:v>15.4815</c:v>
                </c:pt>
                <c:pt idx="19">
                  <c:v>15.4815</c:v>
                </c:pt>
                <c:pt idx="20">
                  <c:v>15.4815</c:v>
                </c:pt>
                <c:pt idx="21">
                  <c:v>15.4815</c:v>
                </c:pt>
                <c:pt idx="22">
                  <c:v>15.4815</c:v>
                </c:pt>
                <c:pt idx="23">
                  <c:v>15.4815</c:v>
                </c:pt>
                <c:pt idx="24">
                  <c:v>15.4815</c:v>
                </c:pt>
                <c:pt idx="25">
                  <c:v>15.4815</c:v>
                </c:pt>
              </c:numCache>
            </c:numRef>
          </c:val>
          <c:extLst>
            <c:ext xmlns:c16="http://schemas.microsoft.com/office/drawing/2014/chart" uri="{C3380CC4-5D6E-409C-BE32-E72D297353CC}">
              <c16:uniqueId val="{00000003-7B68-4606-86B6-E2C119E34398}"/>
            </c:ext>
          </c:extLst>
        </c:ser>
        <c:ser>
          <c:idx val="4"/>
          <c:order val="4"/>
          <c:spPr>
            <a:solidFill>
              <a:schemeClr val="accent5"/>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Refinerías_PJ!$D$10:$AC$10</c:f>
              <c:numCache>
                <c:formatCode>#,##0.0</c:formatCode>
                <c:ptCount val="26"/>
                <c:pt idx="0">
                  <c:v>6.0336999999999996</c:v>
                </c:pt>
                <c:pt idx="1">
                  <c:v>6.0336999999999996</c:v>
                </c:pt>
                <c:pt idx="2">
                  <c:v>6.0336999999999996</c:v>
                </c:pt>
                <c:pt idx="3">
                  <c:v>6.0336999999999996</c:v>
                </c:pt>
                <c:pt idx="4">
                  <c:v>3.8479999999999999</c:v>
                </c:pt>
                <c:pt idx="5">
                  <c:v>1.4051</c:v>
                </c:pt>
                <c:pt idx="6">
                  <c:v>6.7045000000000003</c:v>
                </c:pt>
                <c:pt idx="7">
                  <c:v>6.7922000000000002</c:v>
                </c:pt>
                <c:pt idx="8">
                  <c:v>5.9215999999999998</c:v>
                </c:pt>
                <c:pt idx="9">
                  <c:v>3.4177</c:v>
                </c:pt>
                <c:pt idx="10">
                  <c:v>3.944</c:v>
                </c:pt>
                <c:pt idx="11">
                  <c:v>4.0928000000000004</c:v>
                </c:pt>
                <c:pt idx="12">
                  <c:v>4.7233000000000001</c:v>
                </c:pt>
                <c:pt idx="13">
                  <c:v>4.7690000000000001</c:v>
                </c:pt>
                <c:pt idx="14">
                  <c:v>4.5284000000000004</c:v>
                </c:pt>
                <c:pt idx="15">
                  <c:v>4.5284000000000004</c:v>
                </c:pt>
                <c:pt idx="16">
                  <c:v>4.5284000000000004</c:v>
                </c:pt>
                <c:pt idx="17">
                  <c:v>4.5284000000000004</c:v>
                </c:pt>
                <c:pt idx="18">
                  <c:v>4.5284000000000004</c:v>
                </c:pt>
                <c:pt idx="19">
                  <c:v>4.5284000000000004</c:v>
                </c:pt>
                <c:pt idx="20">
                  <c:v>4.5284000000000004</c:v>
                </c:pt>
                <c:pt idx="21">
                  <c:v>4.5284000000000004</c:v>
                </c:pt>
                <c:pt idx="22">
                  <c:v>4.5284000000000004</c:v>
                </c:pt>
                <c:pt idx="23">
                  <c:v>4.5284000000000004</c:v>
                </c:pt>
                <c:pt idx="24">
                  <c:v>4.5284000000000004</c:v>
                </c:pt>
                <c:pt idx="25">
                  <c:v>4.5284000000000004</c:v>
                </c:pt>
              </c:numCache>
            </c:numRef>
          </c:val>
          <c:extLst>
            <c:ext xmlns:c16="http://schemas.microsoft.com/office/drawing/2014/chart" uri="{C3380CC4-5D6E-409C-BE32-E72D297353CC}">
              <c16:uniqueId val="{00000004-7B68-4606-86B6-E2C119E34398}"/>
            </c:ext>
          </c:extLst>
        </c:ser>
        <c:ser>
          <c:idx val="5"/>
          <c:order val="5"/>
          <c:spPr>
            <a:solidFill>
              <a:schemeClr val="accent6"/>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Refinerías_PJ!$D$11:$AC$11</c:f>
              <c:numCache>
                <c:formatCode>#,##0.0</c:formatCode>
                <c:ptCount val="26"/>
                <c:pt idx="0">
                  <c:v>260.93699999999995</c:v>
                </c:pt>
                <c:pt idx="1">
                  <c:v>261.10289999999998</c:v>
                </c:pt>
                <c:pt idx="2">
                  <c:v>261.10289999999998</c:v>
                </c:pt>
                <c:pt idx="3">
                  <c:v>261.10289999999998</c:v>
                </c:pt>
                <c:pt idx="4">
                  <c:v>226.75839999999999</c:v>
                </c:pt>
                <c:pt idx="5">
                  <c:v>222.60629999999998</c:v>
                </c:pt>
                <c:pt idx="6">
                  <c:v>291.6377</c:v>
                </c:pt>
                <c:pt idx="7">
                  <c:v>293.80379999999997</c:v>
                </c:pt>
                <c:pt idx="8">
                  <c:v>311.07209999999998</c:v>
                </c:pt>
                <c:pt idx="9">
                  <c:v>272.18009999999998</c:v>
                </c:pt>
                <c:pt idx="10">
                  <c:v>220.86179999999999</c:v>
                </c:pt>
                <c:pt idx="11">
                  <c:v>278.96880000000004</c:v>
                </c:pt>
                <c:pt idx="12">
                  <c:v>296.20909999999998</c:v>
                </c:pt>
                <c:pt idx="13">
                  <c:v>276.03770000000003</c:v>
                </c:pt>
                <c:pt idx="14">
                  <c:v>283.7389</c:v>
                </c:pt>
                <c:pt idx="15">
                  <c:v>283.7389</c:v>
                </c:pt>
                <c:pt idx="16">
                  <c:v>283.7389</c:v>
                </c:pt>
                <c:pt idx="17">
                  <c:v>283.7389</c:v>
                </c:pt>
                <c:pt idx="18">
                  <c:v>283.7389</c:v>
                </c:pt>
                <c:pt idx="19">
                  <c:v>283.7389</c:v>
                </c:pt>
                <c:pt idx="20">
                  <c:v>283.7389</c:v>
                </c:pt>
                <c:pt idx="21">
                  <c:v>283.7389</c:v>
                </c:pt>
                <c:pt idx="22">
                  <c:v>283.7389</c:v>
                </c:pt>
                <c:pt idx="23">
                  <c:v>283.7389</c:v>
                </c:pt>
                <c:pt idx="24">
                  <c:v>283.7389</c:v>
                </c:pt>
                <c:pt idx="25">
                  <c:v>283.7389</c:v>
                </c:pt>
              </c:numCache>
            </c:numRef>
          </c:val>
          <c:extLst>
            <c:ext xmlns:c16="http://schemas.microsoft.com/office/drawing/2014/chart" uri="{C3380CC4-5D6E-409C-BE32-E72D297353CC}">
              <c16:uniqueId val="{00000005-7B68-4606-86B6-E2C119E34398}"/>
            </c:ext>
          </c:extLst>
        </c:ser>
        <c:ser>
          <c:idx val="6"/>
          <c:order val="6"/>
          <c:spPr>
            <a:solidFill>
              <a:schemeClr val="accent1">
                <a:lumMod val="60000"/>
              </a:schemeClr>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Refinerías_PJ!$D$12:$AC$12</c:f>
              <c:numCache>
                <c:formatCode>#,##0.0</c:formatCode>
                <c:ptCount val="26"/>
                <c:pt idx="0">
                  <c:v>72.177899999999994</c:v>
                </c:pt>
                <c:pt idx="1">
                  <c:v>72.177899999999994</c:v>
                </c:pt>
                <c:pt idx="2">
                  <c:v>72.177899999999994</c:v>
                </c:pt>
                <c:pt idx="3">
                  <c:v>72.177899999999994</c:v>
                </c:pt>
                <c:pt idx="4">
                  <c:v>66.990499999999997</c:v>
                </c:pt>
                <c:pt idx="5">
                  <c:v>65.958299999999994</c:v>
                </c:pt>
                <c:pt idx="6">
                  <c:v>86.094200000000001</c:v>
                </c:pt>
                <c:pt idx="7">
                  <c:v>85.875200000000007</c:v>
                </c:pt>
                <c:pt idx="8">
                  <c:v>83.288499999999999</c:v>
                </c:pt>
                <c:pt idx="9">
                  <c:v>79.676299999999998</c:v>
                </c:pt>
                <c:pt idx="10">
                  <c:v>59.950899999999997</c:v>
                </c:pt>
                <c:pt idx="11">
                  <c:v>76.844899999999996</c:v>
                </c:pt>
                <c:pt idx="12">
                  <c:v>79.534700000000001</c:v>
                </c:pt>
                <c:pt idx="13">
                  <c:v>71.898499999999999</c:v>
                </c:pt>
                <c:pt idx="14">
                  <c:v>76.092699999999994</c:v>
                </c:pt>
                <c:pt idx="15">
                  <c:v>76.092699999999994</c:v>
                </c:pt>
                <c:pt idx="16">
                  <c:v>76.092699999999994</c:v>
                </c:pt>
                <c:pt idx="17">
                  <c:v>76.092699999999994</c:v>
                </c:pt>
                <c:pt idx="18">
                  <c:v>76.092699999999994</c:v>
                </c:pt>
                <c:pt idx="19">
                  <c:v>76.092699999999994</c:v>
                </c:pt>
                <c:pt idx="20">
                  <c:v>76.092699999999994</c:v>
                </c:pt>
                <c:pt idx="21">
                  <c:v>76.092699999999994</c:v>
                </c:pt>
                <c:pt idx="22">
                  <c:v>76.092699999999994</c:v>
                </c:pt>
                <c:pt idx="23">
                  <c:v>76.092699999999994</c:v>
                </c:pt>
                <c:pt idx="24">
                  <c:v>76.092699999999994</c:v>
                </c:pt>
                <c:pt idx="25">
                  <c:v>76.092699999999994</c:v>
                </c:pt>
              </c:numCache>
            </c:numRef>
          </c:val>
          <c:extLst>
            <c:ext xmlns:c16="http://schemas.microsoft.com/office/drawing/2014/chart" uri="{C3380CC4-5D6E-409C-BE32-E72D297353CC}">
              <c16:uniqueId val="{00000006-7B68-4606-86B6-E2C119E34398}"/>
            </c:ext>
          </c:extLst>
        </c:ser>
        <c:ser>
          <c:idx val="7"/>
          <c:order val="7"/>
          <c:spPr>
            <a:solidFill>
              <a:schemeClr val="accent2">
                <a:lumMod val="60000"/>
              </a:schemeClr>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Refinerías_PJ!$D$13:$AC$13</c:f>
              <c:numCache>
                <c:formatCode>#,##0.0</c:formatCode>
                <c:ptCount val="26"/>
                <c:pt idx="0">
                  <c:v>111.134</c:v>
                </c:pt>
                <c:pt idx="1">
                  <c:v>111.134</c:v>
                </c:pt>
                <c:pt idx="2">
                  <c:v>111.134</c:v>
                </c:pt>
                <c:pt idx="3">
                  <c:v>111.134</c:v>
                </c:pt>
                <c:pt idx="4">
                  <c:v>97.389099999999999</c:v>
                </c:pt>
                <c:pt idx="5">
                  <c:v>98.531999999999996</c:v>
                </c:pt>
                <c:pt idx="6">
                  <c:v>116.086</c:v>
                </c:pt>
                <c:pt idx="7">
                  <c:v>119.91200000000001</c:v>
                </c:pt>
                <c:pt idx="8">
                  <c:v>137.815</c:v>
                </c:pt>
                <c:pt idx="9">
                  <c:v>110.562</c:v>
                </c:pt>
                <c:pt idx="10">
                  <c:v>100.602</c:v>
                </c:pt>
                <c:pt idx="11">
                  <c:v>130.429</c:v>
                </c:pt>
                <c:pt idx="12">
                  <c:v>136.36099999999999</c:v>
                </c:pt>
                <c:pt idx="13">
                  <c:v>125.483</c:v>
                </c:pt>
                <c:pt idx="14">
                  <c:v>130.75800000000001</c:v>
                </c:pt>
                <c:pt idx="15">
                  <c:v>130.75800000000001</c:v>
                </c:pt>
                <c:pt idx="16">
                  <c:v>130.75800000000001</c:v>
                </c:pt>
                <c:pt idx="17">
                  <c:v>130.75800000000001</c:v>
                </c:pt>
                <c:pt idx="18">
                  <c:v>130.75800000000001</c:v>
                </c:pt>
                <c:pt idx="19">
                  <c:v>130.75800000000001</c:v>
                </c:pt>
                <c:pt idx="20">
                  <c:v>130.75800000000001</c:v>
                </c:pt>
                <c:pt idx="21">
                  <c:v>130.75800000000001</c:v>
                </c:pt>
                <c:pt idx="22">
                  <c:v>130.75800000000001</c:v>
                </c:pt>
                <c:pt idx="23">
                  <c:v>130.75800000000001</c:v>
                </c:pt>
                <c:pt idx="24">
                  <c:v>130.75800000000001</c:v>
                </c:pt>
                <c:pt idx="25">
                  <c:v>130.75800000000001</c:v>
                </c:pt>
              </c:numCache>
            </c:numRef>
          </c:val>
          <c:extLst>
            <c:ext xmlns:c16="http://schemas.microsoft.com/office/drawing/2014/chart" uri="{C3380CC4-5D6E-409C-BE32-E72D297353CC}">
              <c16:uniqueId val="{00000007-7B68-4606-86B6-E2C119E34398}"/>
            </c:ext>
          </c:extLst>
        </c:ser>
        <c:ser>
          <c:idx val="8"/>
          <c:order val="8"/>
          <c:spPr>
            <a:solidFill>
              <a:schemeClr val="accent3">
                <a:lumMod val="60000"/>
              </a:schemeClr>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Refinerías_PJ!$D$14:$AC$14</c:f>
              <c:numCache>
                <c:formatCode>#,##0.0</c:formatCode>
                <c:ptCount val="26"/>
                <c:pt idx="0">
                  <c:v>54.996899999999997</c:v>
                </c:pt>
                <c:pt idx="1">
                  <c:v>54.996899999999997</c:v>
                </c:pt>
                <c:pt idx="2">
                  <c:v>54.996899999999997</c:v>
                </c:pt>
                <c:pt idx="3">
                  <c:v>54.996899999999997</c:v>
                </c:pt>
                <c:pt idx="4">
                  <c:v>42.908799999999999</c:v>
                </c:pt>
                <c:pt idx="5">
                  <c:v>41.1599</c:v>
                </c:pt>
                <c:pt idx="6">
                  <c:v>67.538300000000007</c:v>
                </c:pt>
                <c:pt idx="7">
                  <c:v>63.712800000000001</c:v>
                </c:pt>
                <c:pt idx="8">
                  <c:v>67.367599999999996</c:v>
                </c:pt>
                <c:pt idx="9">
                  <c:v>62.07</c:v>
                </c:pt>
                <c:pt idx="10">
                  <c:v>47.588299999999997</c:v>
                </c:pt>
                <c:pt idx="11">
                  <c:v>54.959499999999998</c:v>
                </c:pt>
                <c:pt idx="12">
                  <c:v>58.669499999999999</c:v>
                </c:pt>
                <c:pt idx="13">
                  <c:v>57.005899999999997</c:v>
                </c:pt>
                <c:pt idx="14">
                  <c:v>56.878300000000003</c:v>
                </c:pt>
                <c:pt idx="15">
                  <c:v>56.878300000000003</c:v>
                </c:pt>
                <c:pt idx="16">
                  <c:v>56.878300000000003</c:v>
                </c:pt>
                <c:pt idx="17">
                  <c:v>56.878300000000003</c:v>
                </c:pt>
                <c:pt idx="18">
                  <c:v>56.878300000000003</c:v>
                </c:pt>
                <c:pt idx="19">
                  <c:v>56.878300000000003</c:v>
                </c:pt>
                <c:pt idx="20">
                  <c:v>56.878300000000003</c:v>
                </c:pt>
                <c:pt idx="21">
                  <c:v>56.878300000000003</c:v>
                </c:pt>
                <c:pt idx="22">
                  <c:v>56.878300000000003</c:v>
                </c:pt>
                <c:pt idx="23">
                  <c:v>56.878300000000003</c:v>
                </c:pt>
                <c:pt idx="24">
                  <c:v>56.878300000000003</c:v>
                </c:pt>
                <c:pt idx="25">
                  <c:v>56.878300000000003</c:v>
                </c:pt>
              </c:numCache>
            </c:numRef>
          </c:val>
          <c:extLst>
            <c:ext xmlns:c16="http://schemas.microsoft.com/office/drawing/2014/chart" uri="{C3380CC4-5D6E-409C-BE32-E72D297353CC}">
              <c16:uniqueId val="{00000008-7B68-4606-86B6-E2C119E34398}"/>
            </c:ext>
          </c:extLst>
        </c:ser>
        <c:ser>
          <c:idx val="9"/>
          <c:order val="9"/>
          <c:spPr>
            <a:solidFill>
              <a:schemeClr val="accent4">
                <a:lumMod val="60000"/>
              </a:schemeClr>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Refinerías_PJ!$D$15:$AC$15</c:f>
              <c:numCache>
                <c:formatCode>#,##0.0</c:formatCode>
                <c:ptCount val="26"/>
                <c:pt idx="0">
                  <c:v>16.5945</c:v>
                </c:pt>
                <c:pt idx="1">
                  <c:v>16.760400000000001</c:v>
                </c:pt>
                <c:pt idx="2">
                  <c:v>16.760400000000001</c:v>
                </c:pt>
                <c:pt idx="3">
                  <c:v>16.760400000000001</c:v>
                </c:pt>
                <c:pt idx="4">
                  <c:v>15.622</c:v>
                </c:pt>
                <c:pt idx="5">
                  <c:v>15.551</c:v>
                </c:pt>
                <c:pt idx="6">
                  <c:v>15.214700000000001</c:v>
                </c:pt>
                <c:pt idx="7">
                  <c:v>17.511600000000001</c:v>
                </c:pt>
                <c:pt idx="8">
                  <c:v>16.679400000000001</c:v>
                </c:pt>
                <c:pt idx="9">
                  <c:v>16.4541</c:v>
                </c:pt>
                <c:pt idx="10">
                  <c:v>8.7766000000000002</c:v>
                </c:pt>
                <c:pt idx="11">
                  <c:v>12.6426</c:v>
                </c:pt>
                <c:pt idx="12">
                  <c:v>16.9206</c:v>
                </c:pt>
                <c:pt idx="13">
                  <c:v>16.8813</c:v>
                </c:pt>
                <c:pt idx="14">
                  <c:v>15.4815</c:v>
                </c:pt>
                <c:pt idx="15">
                  <c:v>15.4815</c:v>
                </c:pt>
                <c:pt idx="16">
                  <c:v>15.4815</c:v>
                </c:pt>
                <c:pt idx="17">
                  <c:v>15.4815</c:v>
                </c:pt>
                <c:pt idx="18">
                  <c:v>15.4815</c:v>
                </c:pt>
                <c:pt idx="19">
                  <c:v>15.4815</c:v>
                </c:pt>
                <c:pt idx="20">
                  <c:v>15.4815</c:v>
                </c:pt>
                <c:pt idx="21">
                  <c:v>15.4815</c:v>
                </c:pt>
                <c:pt idx="22">
                  <c:v>15.4815</c:v>
                </c:pt>
                <c:pt idx="23">
                  <c:v>15.4815</c:v>
                </c:pt>
                <c:pt idx="24">
                  <c:v>15.4815</c:v>
                </c:pt>
                <c:pt idx="25">
                  <c:v>15.4815</c:v>
                </c:pt>
              </c:numCache>
            </c:numRef>
          </c:val>
          <c:extLst>
            <c:ext xmlns:c16="http://schemas.microsoft.com/office/drawing/2014/chart" uri="{C3380CC4-5D6E-409C-BE32-E72D297353CC}">
              <c16:uniqueId val="{00000009-7B68-4606-86B6-E2C119E34398}"/>
            </c:ext>
          </c:extLst>
        </c:ser>
        <c:ser>
          <c:idx val="10"/>
          <c:order val="10"/>
          <c:spPr>
            <a:solidFill>
              <a:schemeClr val="accent5">
                <a:lumMod val="60000"/>
              </a:schemeClr>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Refinerías_PJ!$D$16:$AC$16</c:f>
              <c:numCache>
                <c:formatCode>#,##0.0</c:formatCode>
                <c:ptCount val="26"/>
                <c:pt idx="0">
                  <c:v>6.0336999999999996</c:v>
                </c:pt>
                <c:pt idx="1">
                  <c:v>6.0336999999999996</c:v>
                </c:pt>
                <c:pt idx="2">
                  <c:v>6.0336999999999996</c:v>
                </c:pt>
                <c:pt idx="3">
                  <c:v>6.0336999999999996</c:v>
                </c:pt>
                <c:pt idx="4">
                  <c:v>3.8479999999999999</c:v>
                </c:pt>
                <c:pt idx="5">
                  <c:v>1.4051</c:v>
                </c:pt>
                <c:pt idx="6">
                  <c:v>6.7045000000000003</c:v>
                </c:pt>
                <c:pt idx="7">
                  <c:v>6.7922000000000002</c:v>
                </c:pt>
                <c:pt idx="8">
                  <c:v>5.9215999999999998</c:v>
                </c:pt>
                <c:pt idx="9">
                  <c:v>3.4177</c:v>
                </c:pt>
                <c:pt idx="10">
                  <c:v>3.944</c:v>
                </c:pt>
                <c:pt idx="11">
                  <c:v>4.0928000000000004</c:v>
                </c:pt>
                <c:pt idx="12">
                  <c:v>4.7233000000000001</c:v>
                </c:pt>
                <c:pt idx="13">
                  <c:v>4.7690000000000001</c:v>
                </c:pt>
                <c:pt idx="14">
                  <c:v>4.5284000000000004</c:v>
                </c:pt>
                <c:pt idx="15">
                  <c:v>4.5284000000000004</c:v>
                </c:pt>
                <c:pt idx="16">
                  <c:v>4.5284000000000004</c:v>
                </c:pt>
                <c:pt idx="17">
                  <c:v>4.5284000000000004</c:v>
                </c:pt>
                <c:pt idx="18">
                  <c:v>4.5284000000000004</c:v>
                </c:pt>
                <c:pt idx="19">
                  <c:v>4.5284000000000004</c:v>
                </c:pt>
                <c:pt idx="20">
                  <c:v>4.5284000000000004</c:v>
                </c:pt>
                <c:pt idx="21">
                  <c:v>4.5284000000000004</c:v>
                </c:pt>
                <c:pt idx="22">
                  <c:v>4.5284000000000004</c:v>
                </c:pt>
                <c:pt idx="23">
                  <c:v>4.5284000000000004</c:v>
                </c:pt>
                <c:pt idx="24">
                  <c:v>4.5284000000000004</c:v>
                </c:pt>
                <c:pt idx="25">
                  <c:v>4.5284000000000004</c:v>
                </c:pt>
              </c:numCache>
            </c:numRef>
          </c:val>
          <c:extLst>
            <c:ext xmlns:c16="http://schemas.microsoft.com/office/drawing/2014/chart" uri="{C3380CC4-5D6E-409C-BE32-E72D297353CC}">
              <c16:uniqueId val="{0000000A-7B68-4606-86B6-E2C119E34398}"/>
            </c:ext>
          </c:extLst>
        </c:ser>
        <c:ser>
          <c:idx val="11"/>
          <c:order val="11"/>
          <c:spPr>
            <a:solidFill>
              <a:schemeClr val="accent6">
                <a:lumMod val="60000"/>
              </a:schemeClr>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Refinerías_PJ!$D$17:$AC$17</c:f>
              <c:numCache>
                <c:formatCode>#,##0.0</c:formatCode>
                <c:ptCount val="26"/>
                <c:pt idx="0">
                  <c:v>260.93699999999995</c:v>
                </c:pt>
                <c:pt idx="1">
                  <c:v>261.10289999999998</c:v>
                </c:pt>
                <c:pt idx="2">
                  <c:v>261.10289999999998</c:v>
                </c:pt>
                <c:pt idx="3">
                  <c:v>261.10289999999998</c:v>
                </c:pt>
                <c:pt idx="4">
                  <c:v>226.75839999999999</c:v>
                </c:pt>
                <c:pt idx="5">
                  <c:v>222.60629999999998</c:v>
                </c:pt>
                <c:pt idx="6">
                  <c:v>291.6377</c:v>
                </c:pt>
                <c:pt idx="7">
                  <c:v>293.80379999999997</c:v>
                </c:pt>
                <c:pt idx="8">
                  <c:v>311.07209999999998</c:v>
                </c:pt>
                <c:pt idx="9">
                  <c:v>272.18009999999998</c:v>
                </c:pt>
                <c:pt idx="10">
                  <c:v>220.86179999999999</c:v>
                </c:pt>
                <c:pt idx="11">
                  <c:v>278.96880000000004</c:v>
                </c:pt>
                <c:pt idx="12">
                  <c:v>296.20909999999998</c:v>
                </c:pt>
                <c:pt idx="13">
                  <c:v>276.03770000000003</c:v>
                </c:pt>
                <c:pt idx="14">
                  <c:v>283.7389</c:v>
                </c:pt>
                <c:pt idx="15">
                  <c:v>283.7389</c:v>
                </c:pt>
                <c:pt idx="16">
                  <c:v>283.7389</c:v>
                </c:pt>
                <c:pt idx="17">
                  <c:v>283.7389</c:v>
                </c:pt>
                <c:pt idx="18">
                  <c:v>283.7389</c:v>
                </c:pt>
                <c:pt idx="19">
                  <c:v>283.7389</c:v>
                </c:pt>
                <c:pt idx="20">
                  <c:v>283.7389</c:v>
                </c:pt>
                <c:pt idx="21">
                  <c:v>283.7389</c:v>
                </c:pt>
                <c:pt idx="22">
                  <c:v>283.7389</c:v>
                </c:pt>
                <c:pt idx="23">
                  <c:v>283.7389</c:v>
                </c:pt>
                <c:pt idx="24">
                  <c:v>283.7389</c:v>
                </c:pt>
                <c:pt idx="25">
                  <c:v>283.7389</c:v>
                </c:pt>
              </c:numCache>
            </c:numRef>
          </c:val>
          <c:extLst>
            <c:ext xmlns:c16="http://schemas.microsoft.com/office/drawing/2014/chart" uri="{C3380CC4-5D6E-409C-BE32-E72D297353CC}">
              <c16:uniqueId val="{0000000B-7B68-4606-86B6-E2C119E34398}"/>
            </c:ext>
          </c:extLst>
        </c:ser>
        <c:ser>
          <c:idx val="12"/>
          <c:order val="12"/>
          <c:spPr>
            <a:solidFill>
              <a:schemeClr val="accent1">
                <a:lumMod val="80000"/>
                <a:lumOff val="20000"/>
              </a:schemeClr>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Refinerías_PJ!$D$18:$AC$18</c:f>
              <c:numCache>
                <c:formatCode>#,##0.0</c:formatCode>
                <c:ptCount val="26"/>
                <c:pt idx="0">
                  <c:v>72.177899999999994</c:v>
                </c:pt>
                <c:pt idx="1">
                  <c:v>72.177899999999994</c:v>
                </c:pt>
                <c:pt idx="2">
                  <c:v>72.177899999999994</c:v>
                </c:pt>
                <c:pt idx="3">
                  <c:v>72.177899999999994</c:v>
                </c:pt>
                <c:pt idx="4">
                  <c:v>66.990499999999997</c:v>
                </c:pt>
                <c:pt idx="5">
                  <c:v>65.958299999999994</c:v>
                </c:pt>
                <c:pt idx="6">
                  <c:v>86.094200000000001</c:v>
                </c:pt>
                <c:pt idx="7">
                  <c:v>85.875200000000007</c:v>
                </c:pt>
                <c:pt idx="8">
                  <c:v>83.288499999999999</c:v>
                </c:pt>
                <c:pt idx="9">
                  <c:v>79.676299999999998</c:v>
                </c:pt>
                <c:pt idx="10">
                  <c:v>59.950899999999997</c:v>
                </c:pt>
                <c:pt idx="11">
                  <c:v>76.844899999999996</c:v>
                </c:pt>
                <c:pt idx="12">
                  <c:v>79.534700000000001</c:v>
                </c:pt>
                <c:pt idx="13">
                  <c:v>71.898499999999999</c:v>
                </c:pt>
                <c:pt idx="14">
                  <c:v>76.092699999999994</c:v>
                </c:pt>
                <c:pt idx="15">
                  <c:v>76.092699999999994</c:v>
                </c:pt>
                <c:pt idx="16">
                  <c:v>76.092699999999994</c:v>
                </c:pt>
                <c:pt idx="17">
                  <c:v>76.092699999999994</c:v>
                </c:pt>
                <c:pt idx="18">
                  <c:v>76.092699999999994</c:v>
                </c:pt>
                <c:pt idx="19">
                  <c:v>76.092699999999994</c:v>
                </c:pt>
                <c:pt idx="20">
                  <c:v>76.092699999999994</c:v>
                </c:pt>
                <c:pt idx="21">
                  <c:v>76.092699999999994</c:v>
                </c:pt>
                <c:pt idx="22">
                  <c:v>76.092699999999994</c:v>
                </c:pt>
                <c:pt idx="23">
                  <c:v>76.092699999999994</c:v>
                </c:pt>
                <c:pt idx="24">
                  <c:v>76.092699999999994</c:v>
                </c:pt>
                <c:pt idx="25">
                  <c:v>76.092699999999994</c:v>
                </c:pt>
              </c:numCache>
            </c:numRef>
          </c:val>
          <c:extLst>
            <c:ext xmlns:c16="http://schemas.microsoft.com/office/drawing/2014/chart" uri="{C3380CC4-5D6E-409C-BE32-E72D297353CC}">
              <c16:uniqueId val="{0000000C-7B68-4606-86B6-E2C119E34398}"/>
            </c:ext>
          </c:extLst>
        </c:ser>
        <c:ser>
          <c:idx val="13"/>
          <c:order val="13"/>
          <c:spPr>
            <a:solidFill>
              <a:schemeClr val="accent2">
                <a:lumMod val="80000"/>
                <a:lumOff val="20000"/>
              </a:schemeClr>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Refinerías_PJ!$D$19:$AC$19</c:f>
              <c:numCache>
                <c:formatCode>#,##0.0</c:formatCode>
                <c:ptCount val="26"/>
                <c:pt idx="0">
                  <c:v>111.134</c:v>
                </c:pt>
                <c:pt idx="1">
                  <c:v>111.134</c:v>
                </c:pt>
                <c:pt idx="2">
                  <c:v>111.134</c:v>
                </c:pt>
                <c:pt idx="3">
                  <c:v>111.134</c:v>
                </c:pt>
                <c:pt idx="4">
                  <c:v>97.389099999999999</c:v>
                </c:pt>
                <c:pt idx="5">
                  <c:v>98.531999999999996</c:v>
                </c:pt>
                <c:pt idx="6">
                  <c:v>116.086</c:v>
                </c:pt>
                <c:pt idx="7">
                  <c:v>119.91200000000001</c:v>
                </c:pt>
                <c:pt idx="8">
                  <c:v>137.815</c:v>
                </c:pt>
                <c:pt idx="9">
                  <c:v>110.562</c:v>
                </c:pt>
                <c:pt idx="10">
                  <c:v>100.602</c:v>
                </c:pt>
                <c:pt idx="11">
                  <c:v>130.429</c:v>
                </c:pt>
                <c:pt idx="12">
                  <c:v>136.36099999999999</c:v>
                </c:pt>
                <c:pt idx="13">
                  <c:v>125.483</c:v>
                </c:pt>
                <c:pt idx="14">
                  <c:v>130.75800000000001</c:v>
                </c:pt>
                <c:pt idx="15">
                  <c:v>130.75800000000001</c:v>
                </c:pt>
                <c:pt idx="16">
                  <c:v>130.75800000000001</c:v>
                </c:pt>
                <c:pt idx="17">
                  <c:v>130.75800000000001</c:v>
                </c:pt>
                <c:pt idx="18">
                  <c:v>130.75800000000001</c:v>
                </c:pt>
                <c:pt idx="19">
                  <c:v>130.75800000000001</c:v>
                </c:pt>
                <c:pt idx="20">
                  <c:v>130.75800000000001</c:v>
                </c:pt>
                <c:pt idx="21">
                  <c:v>130.75800000000001</c:v>
                </c:pt>
                <c:pt idx="22">
                  <c:v>130.75800000000001</c:v>
                </c:pt>
                <c:pt idx="23">
                  <c:v>130.75800000000001</c:v>
                </c:pt>
                <c:pt idx="24">
                  <c:v>130.75800000000001</c:v>
                </c:pt>
                <c:pt idx="25">
                  <c:v>130.75800000000001</c:v>
                </c:pt>
              </c:numCache>
            </c:numRef>
          </c:val>
          <c:extLst>
            <c:ext xmlns:c16="http://schemas.microsoft.com/office/drawing/2014/chart" uri="{C3380CC4-5D6E-409C-BE32-E72D297353CC}">
              <c16:uniqueId val="{00000000-F8BF-4CE2-BA65-C8B3073DDD73}"/>
            </c:ext>
          </c:extLst>
        </c:ser>
        <c:ser>
          <c:idx val="14"/>
          <c:order val="14"/>
          <c:spPr>
            <a:solidFill>
              <a:schemeClr val="accent3">
                <a:lumMod val="80000"/>
                <a:lumOff val="20000"/>
              </a:schemeClr>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Refinerías_PJ!$D$20:$AC$20</c:f>
              <c:numCache>
                <c:formatCode>#,##0.0</c:formatCode>
                <c:ptCount val="26"/>
                <c:pt idx="0">
                  <c:v>54.996899999999997</c:v>
                </c:pt>
                <c:pt idx="1">
                  <c:v>54.996899999999997</c:v>
                </c:pt>
                <c:pt idx="2">
                  <c:v>54.996899999999997</c:v>
                </c:pt>
                <c:pt idx="3">
                  <c:v>54.996899999999997</c:v>
                </c:pt>
                <c:pt idx="4">
                  <c:v>42.908799999999999</c:v>
                </c:pt>
                <c:pt idx="5">
                  <c:v>41.1599</c:v>
                </c:pt>
                <c:pt idx="6">
                  <c:v>67.538300000000007</c:v>
                </c:pt>
                <c:pt idx="7">
                  <c:v>63.712800000000001</c:v>
                </c:pt>
                <c:pt idx="8">
                  <c:v>67.367599999999996</c:v>
                </c:pt>
                <c:pt idx="9">
                  <c:v>62.07</c:v>
                </c:pt>
                <c:pt idx="10">
                  <c:v>47.588299999999997</c:v>
                </c:pt>
                <c:pt idx="11">
                  <c:v>54.959499999999998</c:v>
                </c:pt>
                <c:pt idx="12">
                  <c:v>58.669499999999999</c:v>
                </c:pt>
                <c:pt idx="13">
                  <c:v>57.005899999999997</c:v>
                </c:pt>
                <c:pt idx="14">
                  <c:v>56.878300000000003</c:v>
                </c:pt>
                <c:pt idx="15">
                  <c:v>56.878300000000003</c:v>
                </c:pt>
                <c:pt idx="16">
                  <c:v>56.878300000000003</c:v>
                </c:pt>
                <c:pt idx="17">
                  <c:v>56.878300000000003</c:v>
                </c:pt>
                <c:pt idx="18">
                  <c:v>56.878300000000003</c:v>
                </c:pt>
                <c:pt idx="19">
                  <c:v>56.878300000000003</c:v>
                </c:pt>
                <c:pt idx="20">
                  <c:v>56.878300000000003</c:v>
                </c:pt>
                <c:pt idx="21">
                  <c:v>56.878300000000003</c:v>
                </c:pt>
                <c:pt idx="22">
                  <c:v>56.878300000000003</c:v>
                </c:pt>
                <c:pt idx="23">
                  <c:v>56.878300000000003</c:v>
                </c:pt>
                <c:pt idx="24">
                  <c:v>56.878300000000003</c:v>
                </c:pt>
                <c:pt idx="25">
                  <c:v>56.878300000000003</c:v>
                </c:pt>
              </c:numCache>
            </c:numRef>
          </c:val>
          <c:extLst>
            <c:ext xmlns:c16="http://schemas.microsoft.com/office/drawing/2014/chart" uri="{C3380CC4-5D6E-409C-BE32-E72D297353CC}">
              <c16:uniqueId val="{00000001-F8BF-4CE2-BA65-C8B3073DDD73}"/>
            </c:ext>
          </c:extLst>
        </c:ser>
        <c:ser>
          <c:idx val="15"/>
          <c:order val="15"/>
          <c:spPr>
            <a:solidFill>
              <a:schemeClr val="accent4">
                <a:lumMod val="80000"/>
                <a:lumOff val="20000"/>
              </a:schemeClr>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Refinerías_PJ!$D$21:$AC$21</c:f>
              <c:numCache>
                <c:formatCode>#,##0.0</c:formatCode>
                <c:ptCount val="26"/>
                <c:pt idx="0">
                  <c:v>16.5945</c:v>
                </c:pt>
                <c:pt idx="1">
                  <c:v>16.760400000000001</c:v>
                </c:pt>
                <c:pt idx="2">
                  <c:v>16.760400000000001</c:v>
                </c:pt>
                <c:pt idx="3">
                  <c:v>16.760400000000001</c:v>
                </c:pt>
                <c:pt idx="4">
                  <c:v>15.622</c:v>
                </c:pt>
                <c:pt idx="5">
                  <c:v>15.551</c:v>
                </c:pt>
                <c:pt idx="6">
                  <c:v>15.214700000000001</c:v>
                </c:pt>
                <c:pt idx="7">
                  <c:v>17.511600000000001</c:v>
                </c:pt>
                <c:pt idx="8">
                  <c:v>16.679400000000001</c:v>
                </c:pt>
                <c:pt idx="9">
                  <c:v>16.4541</c:v>
                </c:pt>
                <c:pt idx="10">
                  <c:v>8.7766000000000002</c:v>
                </c:pt>
                <c:pt idx="11">
                  <c:v>12.6426</c:v>
                </c:pt>
                <c:pt idx="12">
                  <c:v>16.9206</c:v>
                </c:pt>
                <c:pt idx="13">
                  <c:v>16.8813</c:v>
                </c:pt>
                <c:pt idx="14">
                  <c:v>15.4815</c:v>
                </c:pt>
                <c:pt idx="15">
                  <c:v>15.4815</c:v>
                </c:pt>
                <c:pt idx="16">
                  <c:v>15.4815</c:v>
                </c:pt>
                <c:pt idx="17">
                  <c:v>15.4815</c:v>
                </c:pt>
                <c:pt idx="18">
                  <c:v>15.4815</c:v>
                </c:pt>
                <c:pt idx="19">
                  <c:v>15.4815</c:v>
                </c:pt>
                <c:pt idx="20">
                  <c:v>15.4815</c:v>
                </c:pt>
                <c:pt idx="21">
                  <c:v>15.4815</c:v>
                </c:pt>
                <c:pt idx="22">
                  <c:v>15.4815</c:v>
                </c:pt>
                <c:pt idx="23">
                  <c:v>15.4815</c:v>
                </c:pt>
                <c:pt idx="24">
                  <c:v>15.4815</c:v>
                </c:pt>
                <c:pt idx="25">
                  <c:v>15.4815</c:v>
                </c:pt>
              </c:numCache>
            </c:numRef>
          </c:val>
          <c:extLst>
            <c:ext xmlns:c16="http://schemas.microsoft.com/office/drawing/2014/chart" uri="{C3380CC4-5D6E-409C-BE32-E72D297353CC}">
              <c16:uniqueId val="{00000002-F8BF-4CE2-BA65-C8B3073DDD73}"/>
            </c:ext>
          </c:extLst>
        </c:ser>
        <c:ser>
          <c:idx val="16"/>
          <c:order val="16"/>
          <c:spPr>
            <a:solidFill>
              <a:schemeClr val="accent5">
                <a:lumMod val="80000"/>
                <a:lumOff val="20000"/>
              </a:schemeClr>
            </a:solidFill>
            <a:ln>
              <a:noFill/>
            </a:ln>
            <a:effectLst/>
          </c:spPr>
          <c:invertIfNegative val="0"/>
          <c:cat>
            <c:numRef>
              <c:f>Refinerías_PJ!$D$5:$AC$5</c:f>
              <c:numCache>
                <c:formatCode>General</c:formatCode>
                <c:ptCount val="2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numCache>
            </c:numRef>
          </c:cat>
          <c:val>
            <c:numRef>
              <c:f>Refinerías_PJ!$D$22:$AC$22</c:f>
              <c:numCache>
                <c:formatCode>#,##0.0</c:formatCode>
                <c:ptCount val="26"/>
                <c:pt idx="0">
                  <c:v>6.0336999999999996</c:v>
                </c:pt>
                <c:pt idx="1">
                  <c:v>6.0336999999999996</c:v>
                </c:pt>
                <c:pt idx="2">
                  <c:v>6.0336999999999996</c:v>
                </c:pt>
                <c:pt idx="3">
                  <c:v>6.0336999999999996</c:v>
                </c:pt>
                <c:pt idx="4">
                  <c:v>3.8479999999999999</c:v>
                </c:pt>
                <c:pt idx="5">
                  <c:v>1.4051</c:v>
                </c:pt>
                <c:pt idx="6">
                  <c:v>6.7045000000000003</c:v>
                </c:pt>
                <c:pt idx="7">
                  <c:v>6.7922000000000002</c:v>
                </c:pt>
                <c:pt idx="8">
                  <c:v>5.9215999999999998</c:v>
                </c:pt>
                <c:pt idx="9">
                  <c:v>3.4177</c:v>
                </c:pt>
                <c:pt idx="10">
                  <c:v>3.944</c:v>
                </c:pt>
                <c:pt idx="11">
                  <c:v>4.0928000000000004</c:v>
                </c:pt>
                <c:pt idx="12">
                  <c:v>4.7233000000000001</c:v>
                </c:pt>
                <c:pt idx="13">
                  <c:v>4.7690000000000001</c:v>
                </c:pt>
                <c:pt idx="14">
                  <c:v>4.5284000000000004</c:v>
                </c:pt>
                <c:pt idx="15">
                  <c:v>4.5284000000000004</c:v>
                </c:pt>
                <c:pt idx="16">
                  <c:v>4.5284000000000004</c:v>
                </c:pt>
                <c:pt idx="17">
                  <c:v>4.5284000000000004</c:v>
                </c:pt>
                <c:pt idx="18">
                  <c:v>4.5284000000000004</c:v>
                </c:pt>
                <c:pt idx="19">
                  <c:v>4.5284000000000004</c:v>
                </c:pt>
                <c:pt idx="20">
                  <c:v>4.5284000000000004</c:v>
                </c:pt>
                <c:pt idx="21">
                  <c:v>4.5284000000000004</c:v>
                </c:pt>
                <c:pt idx="22">
                  <c:v>4.5284000000000004</c:v>
                </c:pt>
                <c:pt idx="23">
                  <c:v>4.5284000000000004</c:v>
                </c:pt>
                <c:pt idx="24">
                  <c:v>4.5284000000000004</c:v>
                </c:pt>
                <c:pt idx="25">
                  <c:v>4.5284000000000004</c:v>
                </c:pt>
              </c:numCache>
            </c:numRef>
          </c:val>
          <c:extLst>
            <c:ext xmlns:c16="http://schemas.microsoft.com/office/drawing/2014/chart" uri="{C3380CC4-5D6E-409C-BE32-E72D297353CC}">
              <c16:uniqueId val="{00000003-F8BF-4CE2-BA65-C8B3073DDD73}"/>
            </c:ext>
          </c:extLst>
        </c:ser>
        <c:dLbls>
          <c:showLegendKey val="0"/>
          <c:showVal val="0"/>
          <c:showCatName val="0"/>
          <c:showSerName val="0"/>
          <c:showPercent val="0"/>
          <c:showBubbleSize val="0"/>
        </c:dLbls>
        <c:gapWidth val="150"/>
        <c:overlap val="100"/>
        <c:axId val="44570639"/>
        <c:axId val="44587439"/>
      </c:barChart>
      <c:catAx>
        <c:axId val="4457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4587439"/>
        <c:crosses val="autoZero"/>
        <c:auto val="1"/>
        <c:lblAlgn val="ctr"/>
        <c:lblOffset val="100"/>
        <c:noMultiLvlLbl val="0"/>
      </c:catAx>
      <c:valAx>
        <c:axId val="4458743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4570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9</xdr:row>
      <xdr:rowOff>171448</xdr:rowOff>
    </xdr:from>
    <xdr:to>
      <xdr:col>18</xdr:col>
      <xdr:colOff>582930</xdr:colOff>
      <xdr:row>41</xdr:row>
      <xdr:rowOff>28575</xdr:rowOff>
    </xdr:to>
    <xdr:sp macro="" textlink="">
      <xdr:nvSpPr>
        <xdr:cNvPr id="2" name="TextBox 1">
          <a:extLst>
            <a:ext uri="{FF2B5EF4-FFF2-40B4-BE49-F238E27FC236}">
              <a16:creationId xmlns:a16="http://schemas.microsoft.com/office/drawing/2014/main" id="{1068F895-1536-4CF2-AA87-36A177851B35}"/>
            </a:ext>
          </a:extLst>
        </xdr:cNvPr>
        <xdr:cNvSpPr txBox="1"/>
      </xdr:nvSpPr>
      <xdr:spPr>
        <a:xfrm>
          <a:off x="10077450" y="1866898"/>
          <a:ext cx="7183755" cy="5648327"/>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419" sz="1100" kern="1200"/>
            <a:t>Las demandas energéticas</a:t>
          </a:r>
          <a:r>
            <a:rPr lang="es-419" sz="1100" kern="1200" baseline="0"/>
            <a:t> entre 2010-2023 se toman del Balance Energético Nacional [1] para los escenarios de mitigación. Para el  escenario Tendencial s</a:t>
          </a:r>
          <a:r>
            <a:rPr lang="es-CR" sz="1100">
              <a:solidFill>
                <a:schemeClr val="dk1"/>
              </a:solidFill>
              <a:effectLst/>
              <a:latin typeface="+mn-lt"/>
              <a:ea typeface="+mn-ea"/>
              <a:cs typeface="+mn-cs"/>
            </a:rPr>
            <a:t>e realizó una revisión de las iniciativas de la primera NDC y de los supuestos utilizados para la construcción de los escenarios [2]. Luego, se ajustaron los escenarios para que las acciones de mitigación de emisiones de la 1NDC fueran las únicas que diferenciaran el escenario Tendencial de los escenarios Incondicional y Condicional. Se considera que el escenario Tendencial no incluye las iniciativas de la 1NDC y los escenarios Incondicional y Condicional sí las incluyen. </a:t>
          </a:r>
          <a:endParaRPr lang="es-419" sz="1100">
            <a:solidFill>
              <a:schemeClr val="dk1"/>
            </a:solidFill>
            <a:effectLst/>
            <a:latin typeface="+mn-lt"/>
            <a:ea typeface="+mn-ea"/>
            <a:cs typeface="+mn-cs"/>
          </a:endParaRPr>
        </a:p>
        <a:p>
          <a:r>
            <a:rPr lang="es-CR" sz="1100">
              <a:solidFill>
                <a:schemeClr val="dk1"/>
              </a:solidFill>
              <a:effectLst/>
              <a:latin typeface="+mn-lt"/>
              <a:ea typeface="+mn-ea"/>
              <a:cs typeface="+mn-cs"/>
            </a:rPr>
            <a:t> </a:t>
          </a:r>
          <a:endParaRPr lang="es-419" sz="1100">
            <a:solidFill>
              <a:schemeClr val="dk1"/>
            </a:solidFill>
            <a:effectLst/>
            <a:latin typeface="+mn-lt"/>
            <a:ea typeface="+mn-ea"/>
            <a:cs typeface="+mn-cs"/>
          </a:endParaRPr>
        </a:p>
        <a:p>
          <a:r>
            <a:rPr lang="es-CR" sz="1100">
              <a:solidFill>
                <a:schemeClr val="dk1"/>
              </a:solidFill>
              <a:effectLst/>
              <a:latin typeface="+mn-lt"/>
              <a:ea typeface="+mn-ea"/>
              <a:cs typeface="+mn-cs"/>
            </a:rPr>
            <a:t>Para diferenciar los escenarios se consideran las siguientes iniciativas: </a:t>
          </a:r>
          <a:endParaRPr lang="es-419" sz="1100">
            <a:solidFill>
              <a:schemeClr val="dk1"/>
            </a:solidFill>
            <a:effectLst/>
            <a:latin typeface="+mn-lt"/>
            <a:ea typeface="+mn-ea"/>
            <a:cs typeface="+mn-cs"/>
          </a:endParaRPr>
        </a:p>
        <a:p>
          <a:pPr lvl="0"/>
          <a:r>
            <a:rPr lang="es-CR" sz="1100">
              <a:solidFill>
                <a:schemeClr val="dk1"/>
              </a:solidFill>
              <a:effectLst/>
              <a:latin typeface="+mn-lt"/>
              <a:ea typeface="+mn-ea"/>
              <a:cs typeface="+mn-cs"/>
            </a:rPr>
            <a:t>Programas de Cocinas de Inducción PEC</a:t>
          </a:r>
          <a:endParaRPr lang="es-419" sz="1100">
            <a:solidFill>
              <a:schemeClr val="dk1"/>
            </a:solidFill>
            <a:effectLst/>
            <a:latin typeface="+mn-lt"/>
            <a:ea typeface="+mn-ea"/>
            <a:cs typeface="+mn-cs"/>
          </a:endParaRPr>
        </a:p>
        <a:p>
          <a:pPr lvl="0"/>
          <a:r>
            <a:rPr lang="es-CR" sz="1100">
              <a:solidFill>
                <a:schemeClr val="dk1"/>
              </a:solidFill>
              <a:effectLst/>
              <a:latin typeface="+mn-lt"/>
              <a:ea typeface="+mn-ea"/>
              <a:cs typeface="+mn-cs"/>
            </a:rPr>
            <a:t>Programa de Eficiencia Energética - Optimización de Generación Eléctrica y Eficiencia Energética (OG&amp;EE)</a:t>
          </a:r>
          <a:endParaRPr lang="es-419" sz="1100">
            <a:solidFill>
              <a:schemeClr val="dk1"/>
            </a:solidFill>
            <a:effectLst/>
            <a:latin typeface="+mn-lt"/>
            <a:ea typeface="+mn-ea"/>
            <a:cs typeface="+mn-cs"/>
          </a:endParaRPr>
        </a:p>
        <a:p>
          <a:pPr lvl="0"/>
          <a:r>
            <a:rPr lang="es-CR" sz="1100">
              <a:solidFill>
                <a:schemeClr val="dk1"/>
              </a:solidFill>
              <a:effectLst/>
              <a:latin typeface="+mn-lt"/>
              <a:ea typeface="+mn-ea"/>
              <a:cs typeface="+mn-cs"/>
            </a:rPr>
            <a:t>Metro de Quito - Línea 1</a:t>
          </a:r>
          <a:endParaRPr lang="es-419" sz="1100">
            <a:solidFill>
              <a:schemeClr val="dk1"/>
            </a:solidFill>
            <a:effectLst/>
            <a:latin typeface="+mn-lt"/>
            <a:ea typeface="+mn-ea"/>
            <a:cs typeface="+mn-cs"/>
          </a:endParaRPr>
        </a:p>
        <a:p>
          <a:pPr lvl="0"/>
          <a:r>
            <a:rPr lang="es-CR" sz="1100">
              <a:solidFill>
                <a:schemeClr val="dk1"/>
              </a:solidFill>
              <a:effectLst/>
              <a:latin typeface="+mn-lt"/>
              <a:ea typeface="+mn-ea"/>
              <a:cs typeface="+mn-cs"/>
            </a:rPr>
            <a:t>Tranvía - Transporte Público de Pasajeros</a:t>
          </a:r>
          <a:endParaRPr lang="es-419" sz="1100">
            <a:solidFill>
              <a:schemeClr val="dk1"/>
            </a:solidFill>
            <a:effectLst/>
            <a:latin typeface="+mn-lt"/>
            <a:ea typeface="+mn-ea"/>
            <a:cs typeface="+mn-cs"/>
          </a:endParaRPr>
        </a:p>
        <a:p>
          <a:pPr lvl="0"/>
          <a:r>
            <a:rPr lang="es-CR" sz="1100">
              <a:solidFill>
                <a:schemeClr val="dk1"/>
              </a:solidFill>
              <a:effectLst/>
              <a:latin typeface="+mn-lt"/>
              <a:ea typeface="+mn-ea"/>
              <a:cs typeface="+mn-cs"/>
            </a:rPr>
            <a:t>Desarrollo de Centrales Hidroeléctricas</a:t>
          </a:r>
          <a:endParaRPr lang="es-419" sz="1100">
            <a:solidFill>
              <a:schemeClr val="dk1"/>
            </a:solidFill>
            <a:effectLst/>
            <a:latin typeface="+mn-lt"/>
            <a:ea typeface="+mn-ea"/>
            <a:cs typeface="+mn-cs"/>
          </a:endParaRPr>
        </a:p>
        <a:p>
          <a:pPr lvl="1"/>
          <a:r>
            <a:rPr lang="es-CR" sz="1100">
              <a:solidFill>
                <a:schemeClr val="dk1"/>
              </a:solidFill>
              <a:effectLst/>
              <a:latin typeface="+mn-lt"/>
              <a:ea typeface="+mn-ea"/>
              <a:cs typeface="+mn-cs"/>
            </a:rPr>
            <a:t>Coca codo Sanclair</a:t>
          </a:r>
          <a:endParaRPr lang="es-419" sz="1100">
            <a:solidFill>
              <a:schemeClr val="dk1"/>
            </a:solidFill>
            <a:effectLst/>
            <a:latin typeface="+mn-lt"/>
            <a:ea typeface="+mn-ea"/>
            <a:cs typeface="+mn-cs"/>
          </a:endParaRPr>
        </a:p>
        <a:p>
          <a:pPr lvl="1"/>
          <a:r>
            <a:rPr lang="es-CR" sz="1100">
              <a:solidFill>
                <a:schemeClr val="dk1"/>
              </a:solidFill>
              <a:effectLst/>
              <a:latin typeface="+mn-lt"/>
              <a:ea typeface="+mn-ea"/>
              <a:cs typeface="+mn-cs"/>
            </a:rPr>
            <a:t>Delsitanisagua</a:t>
          </a:r>
          <a:endParaRPr lang="es-419" sz="1100">
            <a:solidFill>
              <a:schemeClr val="dk1"/>
            </a:solidFill>
            <a:effectLst/>
            <a:latin typeface="+mn-lt"/>
            <a:ea typeface="+mn-ea"/>
            <a:cs typeface="+mn-cs"/>
          </a:endParaRPr>
        </a:p>
        <a:p>
          <a:pPr lvl="1"/>
          <a:r>
            <a:rPr lang="es-CR" sz="1100">
              <a:solidFill>
                <a:schemeClr val="dk1"/>
              </a:solidFill>
              <a:effectLst/>
              <a:latin typeface="+mn-lt"/>
              <a:ea typeface="+mn-ea"/>
              <a:cs typeface="+mn-cs"/>
            </a:rPr>
            <a:t>Minas San Francisco</a:t>
          </a:r>
          <a:endParaRPr lang="es-419" sz="1100">
            <a:solidFill>
              <a:schemeClr val="dk1"/>
            </a:solidFill>
            <a:effectLst/>
            <a:latin typeface="+mn-lt"/>
            <a:ea typeface="+mn-ea"/>
            <a:cs typeface="+mn-cs"/>
          </a:endParaRPr>
        </a:p>
        <a:p>
          <a:pPr lvl="1"/>
          <a:r>
            <a:rPr lang="es-CR" sz="1100">
              <a:solidFill>
                <a:schemeClr val="dk1"/>
              </a:solidFill>
              <a:effectLst/>
              <a:latin typeface="+mn-lt"/>
              <a:ea typeface="+mn-ea"/>
              <a:cs typeface="+mn-cs"/>
            </a:rPr>
            <a:t>Manduriacu</a:t>
          </a:r>
          <a:endParaRPr lang="es-419" sz="1100">
            <a:solidFill>
              <a:schemeClr val="dk1"/>
            </a:solidFill>
            <a:effectLst/>
            <a:latin typeface="+mn-lt"/>
            <a:ea typeface="+mn-ea"/>
            <a:cs typeface="+mn-cs"/>
          </a:endParaRPr>
        </a:p>
        <a:p>
          <a:pPr lvl="1"/>
          <a:r>
            <a:rPr lang="es-CR" sz="1100">
              <a:solidFill>
                <a:schemeClr val="dk1"/>
              </a:solidFill>
              <a:effectLst/>
              <a:latin typeface="+mn-lt"/>
              <a:ea typeface="+mn-ea"/>
              <a:cs typeface="+mn-cs"/>
            </a:rPr>
            <a:t>Toachi Pilatón</a:t>
          </a:r>
          <a:endParaRPr lang="es-419" sz="1100">
            <a:solidFill>
              <a:schemeClr val="dk1"/>
            </a:solidFill>
            <a:effectLst/>
            <a:latin typeface="+mn-lt"/>
            <a:ea typeface="+mn-ea"/>
            <a:cs typeface="+mn-cs"/>
          </a:endParaRPr>
        </a:p>
        <a:p>
          <a:pPr lvl="0"/>
          <a:r>
            <a:rPr lang="es-CR" sz="1100">
              <a:solidFill>
                <a:schemeClr val="dk1"/>
              </a:solidFill>
              <a:effectLst/>
              <a:latin typeface="+mn-lt"/>
              <a:ea typeface="+mn-ea"/>
              <a:cs typeface="+mn-cs"/>
            </a:rPr>
            <a:t>Energía Renovable no Convencional</a:t>
          </a:r>
          <a:endParaRPr lang="es-419" sz="1100">
            <a:solidFill>
              <a:schemeClr val="dk1"/>
            </a:solidFill>
            <a:effectLst/>
            <a:latin typeface="+mn-lt"/>
            <a:ea typeface="+mn-ea"/>
            <a:cs typeface="+mn-cs"/>
          </a:endParaRPr>
        </a:p>
        <a:p>
          <a:pPr lvl="1"/>
          <a:r>
            <a:rPr lang="es-CR" sz="1100">
              <a:solidFill>
                <a:schemeClr val="dk1"/>
              </a:solidFill>
              <a:effectLst/>
              <a:latin typeface="+mn-lt"/>
              <a:ea typeface="+mn-ea"/>
              <a:cs typeface="+mn-cs"/>
            </a:rPr>
            <a:t>Proyecto Eólico Villonaco y Tropezón</a:t>
          </a:r>
          <a:endParaRPr lang="es-419" sz="1100">
            <a:solidFill>
              <a:schemeClr val="dk1"/>
            </a:solidFill>
            <a:effectLst/>
            <a:latin typeface="+mn-lt"/>
            <a:ea typeface="+mn-ea"/>
            <a:cs typeface="+mn-cs"/>
          </a:endParaRPr>
        </a:p>
        <a:p>
          <a:pPr lvl="1"/>
          <a:r>
            <a:rPr lang="es-CR" sz="1100">
              <a:solidFill>
                <a:schemeClr val="dk1"/>
              </a:solidFill>
              <a:effectLst/>
              <a:latin typeface="+mn-lt"/>
              <a:ea typeface="+mn-ea"/>
              <a:cs typeface="+mn-cs"/>
            </a:rPr>
            <a:t>Proyecto Solar</a:t>
          </a:r>
          <a:endParaRPr lang="es-419" sz="1100">
            <a:solidFill>
              <a:schemeClr val="dk1"/>
            </a:solidFill>
            <a:effectLst/>
            <a:latin typeface="+mn-lt"/>
            <a:ea typeface="+mn-ea"/>
            <a:cs typeface="+mn-cs"/>
          </a:endParaRPr>
        </a:p>
        <a:p>
          <a:endParaRPr lang="es-419" sz="1100" kern="1200" baseline="0"/>
        </a:p>
        <a:p>
          <a:endParaRPr lang="es-419" sz="1100" kern="1200" baseline="0"/>
        </a:p>
        <a:p>
          <a:r>
            <a:rPr lang="es-419" sz="1100" kern="1200" baseline="0"/>
            <a:t>Para las demandas energéticas en años futuros se utilizan las tasas de crecimiento anuales utilizadas en el PLANMICC [3] y las iniciativas de eficiencia energética y transporte. </a:t>
          </a:r>
          <a:r>
            <a:rPr lang="es-419" sz="1100" baseline="0">
              <a:solidFill>
                <a:schemeClr val="dk1"/>
              </a:solidFill>
              <a:effectLst/>
              <a:latin typeface="+mn-lt"/>
              <a:ea typeface="+mn-ea"/>
              <a:cs typeface="+mn-cs"/>
            </a:rPr>
            <a:t>También, se agregaron carbón de coque, RDF y óleos de desecho  para el sector industrial y biogasolina para el sector transporte según lo indicado en conversaciones anteriores. Estos datos se toman del INGEI de 5CN porque el BEN no tiene ese detalle. </a:t>
          </a:r>
          <a:endParaRPr lang="es-419">
            <a:effectLst/>
          </a:endParaRPr>
        </a:p>
        <a:p>
          <a:endParaRPr lang="es-419" sz="1100" kern="1200" baseline="0"/>
        </a:p>
        <a:p>
          <a:r>
            <a:rPr lang="es-419" sz="1100" kern="1200" baseline="0"/>
            <a:t>[1] </a:t>
          </a:r>
          <a:r>
            <a:rPr lang="es-419" sz="1100" baseline="0">
              <a:solidFill>
                <a:schemeClr val="dk1"/>
              </a:solidFill>
              <a:effectLst/>
              <a:latin typeface="+mn-lt"/>
              <a:ea typeface="+mn-ea"/>
              <a:cs typeface="+mn-cs"/>
            </a:rPr>
            <a:t>https://www.recursosyenergia.gob.ec/wp-content/uploads/2024/08/BEN_2023-cap_7.pdf</a:t>
          </a:r>
        </a:p>
        <a:p>
          <a:r>
            <a:rPr lang="es-419" sz="1100" baseline="0">
              <a:solidFill>
                <a:schemeClr val="dk1"/>
              </a:solidFill>
              <a:effectLst/>
              <a:latin typeface="+mn-lt"/>
              <a:ea typeface="+mn-ea"/>
              <a:cs typeface="+mn-cs"/>
            </a:rPr>
            <a:t>[2] https://www.ambiente.gob.ec/wp-content/uploads/downloads/2022/02/Plan-de-Implementacion-NDC-2020-2025.pdf</a:t>
          </a:r>
        </a:p>
        <a:p>
          <a:r>
            <a:rPr lang="es-419" sz="1100" kern="1200" baseline="0">
              <a:solidFill>
                <a:schemeClr val="dk1"/>
              </a:solidFill>
              <a:effectLst/>
              <a:latin typeface="+mn-lt"/>
              <a:ea typeface="+mn-ea"/>
              <a:cs typeface="+mn-cs"/>
            </a:rPr>
            <a:t>[3] https://github.com/PLANMICC/OSeMOSYS_Ecuador/tree/main/Energia/t1_confection_SIN_TCE</a:t>
          </a:r>
          <a:endParaRPr lang="es-419"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2754741</xdr:colOff>
      <xdr:row>93</xdr:row>
      <xdr:rowOff>91774</xdr:rowOff>
    </xdr:from>
    <xdr:to>
      <xdr:col>5</xdr:col>
      <xdr:colOff>930088</xdr:colOff>
      <xdr:row>102</xdr:row>
      <xdr:rowOff>93456</xdr:rowOff>
    </xdr:to>
    <xdr:sp macro="" textlink="">
      <xdr:nvSpPr>
        <xdr:cNvPr id="2" name="TextBox 1">
          <a:extLst>
            <a:ext uri="{FF2B5EF4-FFF2-40B4-BE49-F238E27FC236}">
              <a16:creationId xmlns:a16="http://schemas.microsoft.com/office/drawing/2014/main" id="{FA4B9618-F69A-4859-9A9C-4D7AB822C3B5}"/>
            </a:ext>
          </a:extLst>
        </xdr:cNvPr>
        <xdr:cNvSpPr txBox="1"/>
      </xdr:nvSpPr>
      <xdr:spPr>
        <a:xfrm>
          <a:off x="6508712" y="17281598"/>
          <a:ext cx="1750023" cy="1615329"/>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419" sz="1100" kern="1200"/>
            <a:t>Las tecnologías fósiles no se desagregaron por</a:t>
          </a:r>
          <a:r>
            <a:rPr lang="es-419" sz="1100" kern="1200" baseline="0"/>
            <a:t> tipo de tecnología en el modelo de la 2da NDC porque los datos de generación y capacidad instalada que se consultaron de ARCONEL no brindaba ese detalle. </a:t>
          </a:r>
          <a:endParaRPr lang="es-419" sz="1100" kern="1200"/>
        </a:p>
      </xdr:txBody>
    </xdr:sp>
    <xdr:clientData/>
  </xdr:twoCellAnchor>
  <xdr:twoCellAnchor>
    <xdr:from>
      <xdr:col>8</xdr:col>
      <xdr:colOff>194086</xdr:colOff>
      <xdr:row>5</xdr:row>
      <xdr:rowOff>175704</xdr:rowOff>
    </xdr:from>
    <xdr:to>
      <xdr:col>14</xdr:col>
      <xdr:colOff>481852</xdr:colOff>
      <xdr:row>24</xdr:row>
      <xdr:rowOff>171898</xdr:rowOff>
    </xdr:to>
    <xdr:sp macro="" textlink="">
      <xdr:nvSpPr>
        <xdr:cNvPr id="3" name="TextBox 2">
          <a:extLst>
            <a:ext uri="{FF2B5EF4-FFF2-40B4-BE49-F238E27FC236}">
              <a16:creationId xmlns:a16="http://schemas.microsoft.com/office/drawing/2014/main" id="{8EFD21FE-D594-4605-A8C6-E06D03C89081}"/>
            </a:ext>
          </a:extLst>
        </xdr:cNvPr>
        <xdr:cNvSpPr txBox="1"/>
      </xdr:nvSpPr>
      <xdr:spPr>
        <a:xfrm>
          <a:off x="14907410" y="1150616"/>
          <a:ext cx="4321883" cy="3402782"/>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419" sz="1100" kern="1200"/>
            <a:t>La</a:t>
          </a:r>
          <a:r>
            <a:rPr lang="es-419" sz="1100" kern="1200" baseline="0"/>
            <a:t> generación presentadas entre 2010 y 2022 se tomó de las estadísticas del sector eléctrico por ARCONEL [1]. Para el 2023 hasta el 2035 se sigue una generación eléctrica acorde a las iniciativas de cada escenario de mitiagación. </a:t>
          </a:r>
        </a:p>
        <a:p>
          <a:endParaRPr lang="es-419" sz="1100" kern="1200" baseline="0"/>
        </a:p>
        <a:p>
          <a:r>
            <a:rPr lang="es-419" sz="1100" kern="1200" baseline="0"/>
            <a:t>En el caso del escenario Tendencial de la 1ra NDC se utiliza la generación renovable entre 2010-2012. Después de este año se limitia el aumento de las renovables y se suple la demanda con el aumento de tecnologías fósiles.  Con la limitación de no exceder el 70% de la generación con tecnologías térmicas. </a:t>
          </a:r>
        </a:p>
        <a:p>
          <a:endParaRPr lang="es-419" sz="1100" kern="1200" baseline="0"/>
        </a:p>
        <a:p>
          <a:r>
            <a:rPr lang="es-419" sz="1100" kern="1200" baseline="0"/>
            <a:t>También se mueve la entrada de las plantas hidroeléctricas que no estaban dentro de la 1NDC hasta después del 2025, para reflejar la mitiagación estimada en la 1NDC. Esto sin importar si en los datos históricos ingresó antes.</a:t>
          </a:r>
        </a:p>
        <a:p>
          <a:endParaRPr lang="es-419" sz="1100" kern="1200" baseline="0"/>
        </a:p>
        <a:p>
          <a:r>
            <a:rPr lang="es-419" sz="1100" kern="1200" baseline="0"/>
            <a:t>[1] https://anda.inec.gob.ec/anda/index.php/catalog/ARCERNNR</a:t>
          </a:r>
          <a:endParaRPr lang="es-419" sz="1100" kern="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1904</xdr:colOff>
      <xdr:row>6</xdr:row>
      <xdr:rowOff>1</xdr:rowOff>
    </xdr:from>
    <xdr:to>
      <xdr:col>25</xdr:col>
      <xdr:colOff>474456</xdr:colOff>
      <xdr:row>15</xdr:row>
      <xdr:rowOff>89648</xdr:rowOff>
    </xdr:to>
    <xdr:sp macro="" textlink="">
      <xdr:nvSpPr>
        <xdr:cNvPr id="2" name="TextBox 1">
          <a:extLst>
            <a:ext uri="{FF2B5EF4-FFF2-40B4-BE49-F238E27FC236}">
              <a16:creationId xmlns:a16="http://schemas.microsoft.com/office/drawing/2014/main" id="{E33A94CE-0785-4C94-BA9C-C9EE1784FC9C}"/>
            </a:ext>
          </a:extLst>
        </xdr:cNvPr>
        <xdr:cNvSpPr txBox="1"/>
      </xdr:nvSpPr>
      <xdr:spPr>
        <a:xfrm>
          <a:off x="14255786" y="1143001"/>
          <a:ext cx="4304964" cy="1703294"/>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419" sz="1100" kern="1200" baseline="0"/>
            <a:t>La capacidad instalada de calibración entre 2010 y 2023 se tomó de las estadísticas del sector eléctrico por ARCONEL [1]. Para el 2023 hasta el 2035 se crece acorde a las iniciativas de cada escenario de mitiagación </a:t>
          </a:r>
        </a:p>
        <a:p>
          <a:endParaRPr lang="es-419" sz="1100" kern="1200" baseline="0"/>
        </a:p>
        <a:p>
          <a:r>
            <a:rPr lang="es-419" sz="1100" kern="1200" baseline="0"/>
            <a:t>[1] </a:t>
          </a:r>
          <a:r>
            <a:rPr lang="es-419"/>
            <a:t> </a:t>
          </a:r>
          <a:r>
            <a:rPr lang="es-419">
              <a:hlinkClick xmlns:r="http://schemas.openxmlformats.org/officeDocument/2006/relationships" r:id=""/>
            </a:rPr>
            <a:t>http://reportes.controlrecursosyenergia.gob.ec/</a:t>
          </a:r>
          <a:endParaRPr lang="es-419" sz="1100" kern="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409575</xdr:colOff>
      <xdr:row>19</xdr:row>
      <xdr:rowOff>28575</xdr:rowOff>
    </xdr:from>
    <xdr:to>
      <xdr:col>5</xdr:col>
      <xdr:colOff>542925</xdr:colOff>
      <xdr:row>27</xdr:row>
      <xdr:rowOff>57150</xdr:rowOff>
    </xdr:to>
    <xdr:sp macro="" textlink="">
      <xdr:nvSpPr>
        <xdr:cNvPr id="2" name="TextBox 1">
          <a:extLst>
            <a:ext uri="{FF2B5EF4-FFF2-40B4-BE49-F238E27FC236}">
              <a16:creationId xmlns:a16="http://schemas.microsoft.com/office/drawing/2014/main" id="{C59BD9C7-9B80-9AAD-DE9A-ACF6AC78FCCC}"/>
            </a:ext>
          </a:extLst>
        </xdr:cNvPr>
        <xdr:cNvSpPr txBox="1"/>
      </xdr:nvSpPr>
      <xdr:spPr>
        <a:xfrm>
          <a:off x="3429000" y="3543300"/>
          <a:ext cx="2190750" cy="14763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419" sz="1100" kern="1200"/>
            <a:t>Este</a:t>
          </a:r>
          <a:r>
            <a:rPr lang="es-419" sz="1100" kern="1200" baseline="0"/>
            <a:t> cuadro presenta las estimaciones de producción de combustibles fósiles, considerando la trayectoria del PLANMICC, como se resaltó en comuncaciones anteriores.</a:t>
          </a:r>
          <a:endParaRPr lang="es-419" sz="1100" kern="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293371</xdr:colOff>
      <xdr:row>30</xdr:row>
      <xdr:rowOff>40005</xdr:rowOff>
    </xdr:from>
    <xdr:to>
      <xdr:col>24</xdr:col>
      <xdr:colOff>129540</xdr:colOff>
      <xdr:row>47</xdr:row>
      <xdr:rowOff>144780</xdr:rowOff>
    </xdr:to>
    <xdr:graphicFrame macro="">
      <xdr:nvGraphicFramePr>
        <xdr:cNvPr id="2" name="Gráfico 1">
          <a:extLst>
            <a:ext uri="{FF2B5EF4-FFF2-40B4-BE49-F238E27FC236}">
              <a16:creationId xmlns:a16="http://schemas.microsoft.com/office/drawing/2014/main" id="{6D2BF44A-0799-ADBC-7B86-EF40AC9649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27</xdr:row>
      <xdr:rowOff>0</xdr:rowOff>
    </xdr:from>
    <xdr:to>
      <xdr:col>10</xdr:col>
      <xdr:colOff>76200</xdr:colOff>
      <xdr:row>35</xdr:row>
      <xdr:rowOff>133350</xdr:rowOff>
    </xdr:to>
    <xdr:sp macro="" textlink="">
      <xdr:nvSpPr>
        <xdr:cNvPr id="3" name="TextBox 2">
          <a:extLst>
            <a:ext uri="{FF2B5EF4-FFF2-40B4-BE49-F238E27FC236}">
              <a16:creationId xmlns:a16="http://schemas.microsoft.com/office/drawing/2014/main" id="{8489700E-5138-495C-99B7-94FAF17C4545}"/>
            </a:ext>
          </a:extLst>
        </xdr:cNvPr>
        <xdr:cNvSpPr txBox="1"/>
      </xdr:nvSpPr>
      <xdr:spPr>
        <a:xfrm>
          <a:off x="2943225" y="4962525"/>
          <a:ext cx="4991100" cy="158115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419" sz="1100" kern="1200"/>
            <a:t>Este</a:t>
          </a:r>
          <a:r>
            <a:rPr lang="es-419" sz="1100" kern="1200" baseline="0"/>
            <a:t> cuadro presenta las proyecciones de refinación de combustibles fósiles, considerando que posterior al 2023 se utiliza un promedio de la refinación histórica, como se resaltó en comuncaciones anteriores.</a:t>
          </a:r>
        </a:p>
        <a:p>
          <a:endParaRPr lang="es-419" sz="1100" kern="1200" baseline="0"/>
        </a:p>
        <a:p>
          <a:r>
            <a:rPr lang="es-419" sz="1100" kern="1200" baseline="0"/>
            <a:t>La refinación por combustible</a:t>
          </a:r>
          <a:r>
            <a:rPr lang="es-419" sz="1100" baseline="0">
              <a:solidFill>
                <a:schemeClr val="dk1"/>
              </a:solidFill>
              <a:effectLst/>
              <a:latin typeface="+mn-lt"/>
              <a:ea typeface="+mn-ea"/>
              <a:cs typeface="+mn-cs"/>
            </a:rPr>
            <a:t> entre 2010-2023 se toman del Balance Energético Nacional [1] .</a:t>
          </a:r>
          <a:endParaRPr lang="es-419">
            <a:effectLst/>
          </a:endParaRPr>
        </a:p>
        <a:p>
          <a:r>
            <a:rPr lang="es-419" sz="1100" baseline="0">
              <a:solidFill>
                <a:schemeClr val="dk1"/>
              </a:solidFill>
              <a:effectLst/>
              <a:latin typeface="+mn-lt"/>
              <a:ea typeface="+mn-ea"/>
              <a:cs typeface="+mn-cs"/>
            </a:rPr>
            <a:t>[1] https://www.recursosyenergia.gob.ec/wp-content/uploads/2024/08/BEN_2023-cap_7.pdf</a:t>
          </a:r>
          <a:endParaRPr lang="es-419">
            <a:effectLst/>
          </a:endParaRPr>
        </a:p>
        <a:p>
          <a:endParaRPr lang="es-419" sz="1100" kern="1200" baseline="0"/>
        </a:p>
        <a:p>
          <a:endParaRPr lang="es-419" sz="11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B34CA-9608-487B-A484-9BAD992CF4C0}">
  <dimension ref="B3:C12"/>
  <sheetViews>
    <sheetView workbookViewId="0">
      <selection activeCell="C15" sqref="C15"/>
    </sheetView>
  </sheetViews>
  <sheetFormatPr baseColWidth="10" defaultColWidth="9.109375" defaultRowHeight="14.4" x14ac:dyDescent="0.3"/>
  <cols>
    <col min="2" max="2" width="20.33203125" bestFit="1" customWidth="1"/>
    <col min="3" max="3" width="131" bestFit="1" customWidth="1"/>
  </cols>
  <sheetData>
    <row r="3" spans="2:3" ht="15" thickBot="1" x14ac:dyDescent="0.35"/>
    <row r="4" spans="2:3" ht="15" thickBot="1" x14ac:dyDescent="0.35">
      <c r="B4" s="5" t="s">
        <v>72</v>
      </c>
      <c r="C4" s="7" t="s">
        <v>73</v>
      </c>
    </row>
    <row r="5" spans="2:3" x14ac:dyDescent="0.3">
      <c r="B5" s="37" t="s">
        <v>74</v>
      </c>
      <c r="C5" s="40" t="s">
        <v>76</v>
      </c>
    </row>
    <row r="6" spans="2:3" x14ac:dyDescent="0.3">
      <c r="B6" s="1" t="s">
        <v>75</v>
      </c>
      <c r="C6" s="2" t="s">
        <v>199</v>
      </c>
    </row>
    <row r="7" spans="2:3" x14ac:dyDescent="0.3">
      <c r="B7" s="1" t="s">
        <v>173</v>
      </c>
      <c r="C7" s="2" t="s">
        <v>200</v>
      </c>
    </row>
    <row r="8" spans="2:3" x14ac:dyDescent="0.3">
      <c r="B8" s="1" t="s">
        <v>77</v>
      </c>
      <c r="C8" s="2" t="s">
        <v>78</v>
      </c>
    </row>
    <row r="9" spans="2:3" x14ac:dyDescent="0.3">
      <c r="B9" s="1" t="s">
        <v>79</v>
      </c>
      <c r="C9" s="2" t="s">
        <v>87</v>
      </c>
    </row>
    <row r="10" spans="2:3" x14ac:dyDescent="0.3">
      <c r="B10" s="1" t="s">
        <v>195</v>
      </c>
      <c r="C10" s="2" t="s">
        <v>197</v>
      </c>
    </row>
    <row r="11" spans="2:3" x14ac:dyDescent="0.3">
      <c r="B11" s="1" t="s">
        <v>196</v>
      </c>
      <c r="C11" s="2" t="s">
        <v>198</v>
      </c>
    </row>
    <row r="12" spans="2:3" ht="15" thickBot="1" x14ac:dyDescent="0.35">
      <c r="B12" s="3" t="s">
        <v>80</v>
      </c>
      <c r="C12" s="4" t="s">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33369-EDF5-40CB-9967-B2161A3BB744}">
  <dimension ref="B2:AF164"/>
  <sheetViews>
    <sheetView topLeftCell="A138" zoomScale="70" zoomScaleNormal="70" workbookViewId="0">
      <selection activeCell="E168" sqref="E168"/>
    </sheetView>
  </sheetViews>
  <sheetFormatPr baseColWidth="10" defaultColWidth="9.109375" defaultRowHeight="14.4" x14ac:dyDescent="0.3"/>
  <cols>
    <col min="2" max="2" width="15" bestFit="1" customWidth="1"/>
    <col min="3" max="3" width="52.21875" bestFit="1" customWidth="1"/>
    <col min="4" max="4" width="32.88671875" bestFit="1" customWidth="1"/>
    <col min="5" max="5" width="19" bestFit="1" customWidth="1"/>
    <col min="6" max="31" width="10.6640625" bestFit="1" customWidth="1"/>
    <col min="32" max="37" width="11.88671875" bestFit="1" customWidth="1"/>
    <col min="38" max="38" width="11" bestFit="1" customWidth="1"/>
  </cols>
  <sheetData>
    <row r="2" spans="2:32" ht="18.600000000000001" thickBot="1" x14ac:dyDescent="0.4">
      <c r="C2" s="33" t="s">
        <v>165</v>
      </c>
    </row>
    <row r="3" spans="2:32" ht="15" thickBot="1" x14ac:dyDescent="0.35">
      <c r="B3" s="34" t="s">
        <v>182</v>
      </c>
      <c r="C3" s="35" t="s">
        <v>0</v>
      </c>
      <c r="D3" s="35" t="s">
        <v>22</v>
      </c>
      <c r="E3" s="35" t="s">
        <v>23</v>
      </c>
      <c r="F3" s="35">
        <v>2010</v>
      </c>
      <c r="G3" s="35">
        <v>2011</v>
      </c>
      <c r="H3" s="35">
        <v>2012</v>
      </c>
      <c r="I3" s="35">
        <v>2013</v>
      </c>
      <c r="J3" s="35">
        <v>2014</v>
      </c>
      <c r="K3" s="35">
        <v>2015</v>
      </c>
      <c r="L3" s="35">
        <v>2016</v>
      </c>
      <c r="M3" s="35">
        <v>2017</v>
      </c>
      <c r="N3" s="35">
        <v>2018</v>
      </c>
      <c r="O3" s="35">
        <v>2019</v>
      </c>
      <c r="P3" s="35">
        <v>2020</v>
      </c>
      <c r="Q3" s="35">
        <v>2021</v>
      </c>
      <c r="R3" s="35">
        <v>2022</v>
      </c>
      <c r="S3" s="35">
        <v>2023</v>
      </c>
      <c r="T3" s="35">
        <v>2024</v>
      </c>
      <c r="U3" s="35">
        <v>2025</v>
      </c>
      <c r="V3" s="35">
        <v>2026</v>
      </c>
      <c r="W3" s="35">
        <v>2027</v>
      </c>
      <c r="X3" s="35">
        <v>2028</v>
      </c>
      <c r="Y3" s="35">
        <v>2029</v>
      </c>
      <c r="Z3" s="35">
        <v>2030</v>
      </c>
      <c r="AA3" s="35">
        <v>2031</v>
      </c>
      <c r="AB3" s="35">
        <v>2032</v>
      </c>
      <c r="AC3" s="35">
        <v>2033</v>
      </c>
      <c r="AD3" s="35">
        <v>2034</v>
      </c>
      <c r="AE3" s="36">
        <v>2035</v>
      </c>
      <c r="AF3" s="13"/>
    </row>
    <row r="4" spans="2:32" x14ac:dyDescent="0.3">
      <c r="B4" s="21" t="s">
        <v>183</v>
      </c>
      <c r="C4" s="22" t="s">
        <v>1</v>
      </c>
      <c r="D4" s="22" t="s">
        <v>21</v>
      </c>
      <c r="E4" s="22" t="s">
        <v>5</v>
      </c>
      <c r="F4" s="15">
        <v>0</v>
      </c>
      <c r="G4" s="15">
        <v>0</v>
      </c>
      <c r="H4" s="15">
        <v>0</v>
      </c>
      <c r="I4" s="15">
        <v>0</v>
      </c>
      <c r="J4" s="15">
        <v>0</v>
      </c>
      <c r="K4" s="15">
        <v>0</v>
      </c>
      <c r="L4" s="15">
        <v>0</v>
      </c>
      <c r="M4" s="15">
        <v>0</v>
      </c>
      <c r="N4" s="15">
        <v>0</v>
      </c>
      <c r="O4" s="15">
        <v>0.682697</v>
      </c>
      <c r="P4" s="15">
        <v>0.35209699999999999</v>
      </c>
      <c r="Q4" s="15">
        <v>0.56533100000000003</v>
      </c>
      <c r="R4" s="15">
        <v>0.43750699999999998</v>
      </c>
      <c r="S4" s="15">
        <v>0.43576399999999998</v>
      </c>
      <c r="T4" s="15">
        <v>0.43576399999999998</v>
      </c>
      <c r="U4" s="15">
        <v>0.43576399999999998</v>
      </c>
      <c r="V4" s="15">
        <v>0.43576399999999998</v>
      </c>
      <c r="W4" s="15">
        <v>0.43576399999999998</v>
      </c>
      <c r="X4" s="15">
        <v>0.43576399999999998</v>
      </c>
      <c r="Y4" s="15">
        <v>0.43576399999999998</v>
      </c>
      <c r="Z4" s="15">
        <v>0.43576399999999998</v>
      </c>
      <c r="AA4" s="15">
        <v>0.43576399999999998</v>
      </c>
      <c r="AB4" s="15">
        <v>0.43576399999999998</v>
      </c>
      <c r="AC4" s="15">
        <v>0.43576399999999998</v>
      </c>
      <c r="AD4" s="15">
        <v>0.43576399999999998</v>
      </c>
      <c r="AE4" s="16">
        <v>0.43576399999999998</v>
      </c>
      <c r="AF4" s="13"/>
    </row>
    <row r="5" spans="2:32" x14ac:dyDescent="0.3">
      <c r="B5" s="23" t="s">
        <v>183</v>
      </c>
      <c r="C5" s="24" t="s">
        <v>1</v>
      </c>
      <c r="D5" s="24" t="s">
        <v>21</v>
      </c>
      <c r="E5" s="24" t="s">
        <v>3</v>
      </c>
      <c r="F5" s="17">
        <v>0</v>
      </c>
      <c r="G5" s="17">
        <v>0</v>
      </c>
      <c r="H5" s="17">
        <v>0</v>
      </c>
      <c r="I5" s="17">
        <v>4.2600300000000004</v>
      </c>
      <c r="J5" s="17">
        <v>4.4941800000000001</v>
      </c>
      <c r="K5" s="17">
        <v>4.44421</v>
      </c>
      <c r="L5" s="17">
        <v>4.0357500000000002</v>
      </c>
      <c r="M5" s="17">
        <v>4.3553100000000002</v>
      </c>
      <c r="N5" s="17">
        <v>4.7660900000000002</v>
      </c>
      <c r="O5" s="17">
        <v>5.2210299999999998</v>
      </c>
      <c r="P5" s="17">
        <v>4.84802</v>
      </c>
      <c r="Q5" s="17">
        <v>5.4162499999999998</v>
      </c>
      <c r="R5" s="17">
        <v>5.3645399999999999</v>
      </c>
      <c r="S5" s="17">
        <v>5.5818399999999997</v>
      </c>
      <c r="T5" s="17">
        <v>5.7562800000000003</v>
      </c>
      <c r="U5" s="17">
        <v>5.8919499999999996</v>
      </c>
      <c r="V5" s="17">
        <v>6.0082300000000002</v>
      </c>
      <c r="W5" s="17">
        <v>6.1632899999999999</v>
      </c>
      <c r="X5" s="17">
        <v>6.2892599999999996</v>
      </c>
      <c r="Y5" s="17">
        <v>6.3764799999999999</v>
      </c>
      <c r="Z5" s="17">
        <v>6.4637000000000002</v>
      </c>
      <c r="AA5" s="17">
        <v>6.5993700000000004</v>
      </c>
      <c r="AB5" s="17">
        <v>6.6865800000000002</v>
      </c>
      <c r="AC5" s="17">
        <v>6.8028700000000004</v>
      </c>
      <c r="AD5" s="17">
        <v>6.8803999999999998</v>
      </c>
      <c r="AE5" s="18">
        <v>6.9676099999999996</v>
      </c>
      <c r="AF5" s="13"/>
    </row>
    <row r="6" spans="2:32" x14ac:dyDescent="0.3">
      <c r="B6" s="23" t="s">
        <v>183</v>
      </c>
      <c r="C6" s="24" t="s">
        <v>1</v>
      </c>
      <c r="D6" s="24" t="s">
        <v>21</v>
      </c>
      <c r="E6" s="24" t="s">
        <v>8</v>
      </c>
      <c r="F6" s="17">
        <v>0</v>
      </c>
      <c r="G6" s="17">
        <v>0</v>
      </c>
      <c r="H6" s="17">
        <v>0</v>
      </c>
      <c r="I6" s="17">
        <v>0.84305799999999997</v>
      </c>
      <c r="J6" s="17">
        <v>0.99412199999999995</v>
      </c>
      <c r="K6" s="17">
        <v>1.0249200000000001</v>
      </c>
      <c r="L6" s="17">
        <v>0.799481</v>
      </c>
      <c r="M6" s="17">
        <v>1.1080000000000001</v>
      </c>
      <c r="N6" s="17">
        <v>1.05339</v>
      </c>
      <c r="O6" s="17">
        <v>1.1393800000000001</v>
      </c>
      <c r="P6" s="17">
        <v>0.933697</v>
      </c>
      <c r="Q6" s="17">
        <v>1.09754</v>
      </c>
      <c r="R6" s="17">
        <v>1.02782</v>
      </c>
      <c r="S6" s="17">
        <v>0.62982400000000005</v>
      </c>
      <c r="T6" s="17">
        <v>0.64597300000000002</v>
      </c>
      <c r="U6" s="17">
        <v>0.66212300000000002</v>
      </c>
      <c r="V6" s="17">
        <v>0.67827199999999999</v>
      </c>
      <c r="W6" s="17">
        <v>0.69442099999999995</v>
      </c>
      <c r="X6" s="17">
        <v>0.71057099999999995</v>
      </c>
      <c r="Y6" s="17">
        <v>0.71595399999999998</v>
      </c>
      <c r="Z6" s="17">
        <v>0.72672000000000003</v>
      </c>
      <c r="AA6" s="17">
        <v>0.742869</v>
      </c>
      <c r="AB6" s="17">
        <v>0.75363500000000005</v>
      </c>
      <c r="AC6" s="17">
        <v>0.76440200000000003</v>
      </c>
      <c r="AD6" s="17">
        <v>0.77516799999999997</v>
      </c>
      <c r="AE6" s="18">
        <v>0.78593400000000002</v>
      </c>
      <c r="AF6" s="13"/>
    </row>
    <row r="7" spans="2:32" x14ac:dyDescent="0.3">
      <c r="B7" s="23" t="s">
        <v>183</v>
      </c>
      <c r="C7" s="24" t="s">
        <v>1</v>
      </c>
      <c r="D7" s="24" t="s">
        <v>21</v>
      </c>
      <c r="E7" s="24" t="s">
        <v>176</v>
      </c>
      <c r="F7" s="17">
        <v>0</v>
      </c>
      <c r="G7" s="17">
        <v>0</v>
      </c>
      <c r="H7" s="17">
        <v>0</v>
      </c>
      <c r="I7" s="17">
        <v>1.34738</v>
      </c>
      <c r="J7" s="17">
        <v>1.27824</v>
      </c>
      <c r="K7" s="17">
        <v>1.2131700000000001</v>
      </c>
      <c r="L7" s="17">
        <v>0.394511</v>
      </c>
      <c r="M7" s="17">
        <v>0</v>
      </c>
      <c r="N7" s="17">
        <v>0</v>
      </c>
      <c r="O7" s="17">
        <v>0</v>
      </c>
      <c r="P7" s="17">
        <v>0</v>
      </c>
      <c r="Q7" s="17">
        <v>0</v>
      </c>
      <c r="R7" s="17">
        <v>0</v>
      </c>
      <c r="S7" s="17">
        <v>0</v>
      </c>
      <c r="T7" s="17">
        <v>0</v>
      </c>
      <c r="U7" s="17">
        <v>0</v>
      </c>
      <c r="V7" s="17">
        <v>0</v>
      </c>
      <c r="W7" s="17">
        <v>0</v>
      </c>
      <c r="X7" s="17">
        <v>0</v>
      </c>
      <c r="Y7" s="17">
        <v>0</v>
      </c>
      <c r="Z7" s="17">
        <v>0</v>
      </c>
      <c r="AA7" s="17">
        <v>0</v>
      </c>
      <c r="AB7" s="17">
        <v>0</v>
      </c>
      <c r="AC7" s="17">
        <v>0</v>
      </c>
      <c r="AD7" s="17">
        <v>0</v>
      </c>
      <c r="AE7" s="18">
        <v>0</v>
      </c>
      <c r="AF7" s="13"/>
    </row>
    <row r="8" spans="2:32" x14ac:dyDescent="0.3">
      <c r="B8" s="23" t="s">
        <v>183</v>
      </c>
      <c r="C8" s="24" t="s">
        <v>1</v>
      </c>
      <c r="D8" s="24" t="s">
        <v>94</v>
      </c>
      <c r="E8" s="24"/>
      <c r="F8" s="17">
        <v>0</v>
      </c>
      <c r="G8" s="17">
        <v>0</v>
      </c>
      <c r="H8" s="17">
        <v>0</v>
      </c>
      <c r="I8" s="17">
        <v>6.4504680000000008</v>
      </c>
      <c r="J8" s="17">
        <v>6.7665420000000003</v>
      </c>
      <c r="K8" s="17">
        <v>6.6822999999999997</v>
      </c>
      <c r="L8" s="17">
        <v>5.2297419999999999</v>
      </c>
      <c r="M8" s="17">
        <v>5.4633099999999999</v>
      </c>
      <c r="N8" s="17">
        <v>5.8194800000000004</v>
      </c>
      <c r="O8" s="17">
        <v>7.043107</v>
      </c>
      <c r="P8" s="17">
        <v>6.1338139999999992</v>
      </c>
      <c r="Q8" s="17">
        <v>7.0791210000000007</v>
      </c>
      <c r="R8" s="17">
        <v>6.8298670000000001</v>
      </c>
      <c r="S8" s="17">
        <v>6.6474279999999997</v>
      </c>
      <c r="T8" s="17">
        <v>6.8380169999999998</v>
      </c>
      <c r="U8" s="17">
        <v>6.9898369999999996</v>
      </c>
      <c r="V8" s="17">
        <v>7.1222659999999998</v>
      </c>
      <c r="W8" s="17">
        <v>7.2934749999999999</v>
      </c>
      <c r="X8" s="17">
        <v>7.4355949999999993</v>
      </c>
      <c r="Y8" s="17">
        <v>7.5281979999999997</v>
      </c>
      <c r="Z8" s="17">
        <v>7.6261840000000003</v>
      </c>
      <c r="AA8" s="17">
        <v>7.778003</v>
      </c>
      <c r="AB8" s="17">
        <v>7.8759790000000001</v>
      </c>
      <c r="AC8" s="17">
        <v>8.0030359999999998</v>
      </c>
      <c r="AD8" s="17">
        <v>8.0913319999999995</v>
      </c>
      <c r="AE8" s="18">
        <v>8.1893079999999987</v>
      </c>
      <c r="AF8" s="13"/>
    </row>
    <row r="9" spans="2:32" x14ac:dyDescent="0.3">
      <c r="B9" s="23" t="s">
        <v>184</v>
      </c>
      <c r="C9" s="24" t="s">
        <v>1</v>
      </c>
      <c r="D9" s="24" t="s">
        <v>20</v>
      </c>
      <c r="E9" s="24" t="s">
        <v>5</v>
      </c>
      <c r="F9" s="17">
        <v>9.7515800000000006</v>
      </c>
      <c r="G9" s="17">
        <v>10.236800000000001</v>
      </c>
      <c r="H9" s="17">
        <v>11.376799999999999</v>
      </c>
      <c r="I9" s="17">
        <v>8.1522699999999997</v>
      </c>
      <c r="J9" s="17">
        <v>8.6182499999999997</v>
      </c>
      <c r="K9" s="17">
        <v>7.6810600000000004</v>
      </c>
      <c r="L9" s="17">
        <v>5.2680899999999999</v>
      </c>
      <c r="M9" s="17">
        <v>5.0496299999999996</v>
      </c>
      <c r="N9" s="17">
        <v>5.7404599999999997</v>
      </c>
      <c r="O9" s="17">
        <v>4.71671</v>
      </c>
      <c r="P9" s="17">
        <v>4.60283</v>
      </c>
      <c r="Q9" s="17">
        <v>4.3925000000000001</v>
      </c>
      <c r="R9" s="17">
        <v>6.0873299999999997</v>
      </c>
      <c r="S9" s="17">
        <v>4.6353600000000004</v>
      </c>
      <c r="T9" s="17">
        <v>4.7568200000000003</v>
      </c>
      <c r="U9" s="17">
        <v>4.8706800000000001</v>
      </c>
      <c r="V9" s="17">
        <v>4.98454</v>
      </c>
      <c r="W9" s="17">
        <v>5.1161099999999999</v>
      </c>
      <c r="X9" s="17">
        <v>5.2451499999999998</v>
      </c>
      <c r="Y9" s="17">
        <v>5.3590099999999996</v>
      </c>
      <c r="Z9" s="17">
        <v>5.4855200000000002</v>
      </c>
      <c r="AA9" s="17">
        <v>5.6322700000000001</v>
      </c>
      <c r="AB9" s="17">
        <v>5.77902</v>
      </c>
      <c r="AC9" s="17">
        <v>5.9232500000000003</v>
      </c>
      <c r="AD9" s="17">
        <v>6.0624099999999999</v>
      </c>
      <c r="AE9" s="18">
        <v>6.1990400000000001</v>
      </c>
      <c r="AF9" s="13"/>
    </row>
    <row r="10" spans="2:32" x14ac:dyDescent="0.3">
      <c r="B10" s="23" t="s">
        <v>184</v>
      </c>
      <c r="C10" s="24" t="s">
        <v>1</v>
      </c>
      <c r="D10" s="24" t="s">
        <v>20</v>
      </c>
      <c r="E10" s="24" t="s">
        <v>9</v>
      </c>
      <c r="F10" s="17">
        <v>15.4636</v>
      </c>
      <c r="G10" s="17">
        <v>17.1326</v>
      </c>
      <c r="H10" s="17">
        <v>17.649000000000001</v>
      </c>
      <c r="I10" s="17">
        <v>19.9603</v>
      </c>
      <c r="J10" s="17">
        <v>21.710899999999999</v>
      </c>
      <c r="K10" s="17">
        <v>23.178000000000001</v>
      </c>
      <c r="L10" s="17">
        <v>23.880400000000002</v>
      </c>
      <c r="M10" s="17">
        <v>24.465499999999999</v>
      </c>
      <c r="N10" s="17">
        <v>24.9786</v>
      </c>
      <c r="O10" s="17">
        <v>26.076699999999999</v>
      </c>
      <c r="P10" s="17">
        <v>23.932700000000001</v>
      </c>
      <c r="Q10" s="17">
        <v>25.1662</v>
      </c>
      <c r="R10" s="17">
        <v>26.593800000000002</v>
      </c>
      <c r="S10" s="17">
        <v>28.750499999999999</v>
      </c>
      <c r="T10" s="17">
        <v>29.500699999999998</v>
      </c>
      <c r="U10" s="17">
        <v>30.202000000000002</v>
      </c>
      <c r="V10" s="17">
        <v>30.905999999999999</v>
      </c>
      <c r="W10" s="17">
        <v>31.7165</v>
      </c>
      <c r="X10" s="17">
        <v>32.520299999999999</v>
      </c>
      <c r="Y10" s="17">
        <v>33.238</v>
      </c>
      <c r="Z10" s="17">
        <v>34.021599999999999</v>
      </c>
      <c r="AA10" s="17">
        <v>34.918999999999997</v>
      </c>
      <c r="AB10" s="17">
        <v>35.824599999999997</v>
      </c>
      <c r="AC10" s="17">
        <v>36.720999999999997</v>
      </c>
      <c r="AD10" s="17">
        <v>37.5794</v>
      </c>
      <c r="AE10" s="18">
        <v>38.423999999999999</v>
      </c>
      <c r="AF10" s="13"/>
    </row>
    <row r="11" spans="2:32" x14ac:dyDescent="0.3">
      <c r="B11" s="23" t="s">
        <v>184</v>
      </c>
      <c r="C11" s="24" t="s">
        <v>1</v>
      </c>
      <c r="D11" s="24" t="s">
        <v>20</v>
      </c>
      <c r="E11" s="24" t="s">
        <v>4</v>
      </c>
      <c r="F11" s="17">
        <v>0.99017200000000005</v>
      </c>
      <c r="G11" s="17">
        <v>1.0626800000000001</v>
      </c>
      <c r="H11" s="17">
        <v>1.1308400000000001</v>
      </c>
      <c r="I11" s="17">
        <v>0.32943699999999998</v>
      </c>
      <c r="J11" s="17">
        <v>0.33524799999999999</v>
      </c>
      <c r="K11" s="17">
        <v>0.30038700000000002</v>
      </c>
      <c r="L11" s="17">
        <v>0.29050900000000002</v>
      </c>
      <c r="M11" s="17">
        <v>0.29225200000000001</v>
      </c>
      <c r="N11" s="17">
        <v>0.27482200000000001</v>
      </c>
      <c r="O11" s="17">
        <v>0.28295599999999999</v>
      </c>
      <c r="P11" s="17">
        <v>0.27017400000000003</v>
      </c>
      <c r="Q11" s="17">
        <v>0.31491200000000003</v>
      </c>
      <c r="R11" s="17">
        <v>0.31723600000000002</v>
      </c>
      <c r="S11" s="17">
        <v>0.30038700000000002</v>
      </c>
      <c r="T11" s="17">
        <v>0.30726599999999998</v>
      </c>
      <c r="U11" s="17">
        <v>0.316438</v>
      </c>
      <c r="V11" s="17">
        <v>0.32561000000000001</v>
      </c>
      <c r="W11" s="17">
        <v>0.33478200000000002</v>
      </c>
      <c r="X11" s="17">
        <v>0.34166099999999999</v>
      </c>
      <c r="Y11" s="17">
        <v>0.34854000000000002</v>
      </c>
      <c r="Z11" s="17">
        <v>0.35771199999999997</v>
      </c>
      <c r="AA11" s="17">
        <v>0.36688399999999999</v>
      </c>
      <c r="AB11" s="17">
        <v>0.376056</v>
      </c>
      <c r="AC11" s="17">
        <v>0.38522899999999999</v>
      </c>
      <c r="AD11" s="17">
        <v>0.394401</v>
      </c>
      <c r="AE11" s="18">
        <v>0.40357300000000002</v>
      </c>
      <c r="AF11" s="13"/>
    </row>
    <row r="12" spans="2:32" x14ac:dyDescent="0.3">
      <c r="B12" s="23" t="s">
        <v>184</v>
      </c>
      <c r="C12" s="24" t="s">
        <v>1</v>
      </c>
      <c r="D12" s="24" t="s">
        <v>20</v>
      </c>
      <c r="E12" s="24" t="s">
        <v>3</v>
      </c>
      <c r="F12" s="17">
        <v>0</v>
      </c>
      <c r="G12" s="17">
        <v>1</v>
      </c>
      <c r="H12" s="17">
        <v>2</v>
      </c>
      <c r="I12" s="17">
        <v>0.19057399999999999</v>
      </c>
      <c r="J12" s="17">
        <v>0.23124500000000001</v>
      </c>
      <c r="K12" s="17">
        <v>0.22601599999999999</v>
      </c>
      <c r="L12" s="17">
        <v>0.17256199999999999</v>
      </c>
      <c r="M12" s="17">
        <v>0.178954</v>
      </c>
      <c r="N12" s="17">
        <v>9.9354100000000001E-2</v>
      </c>
      <c r="O12" s="17">
        <v>0.12317599999999999</v>
      </c>
      <c r="P12" s="17">
        <v>3.4861099999999999E-2</v>
      </c>
      <c r="Q12" s="17">
        <v>0.23705599999999999</v>
      </c>
      <c r="R12" s="17">
        <v>0</v>
      </c>
      <c r="S12" s="17">
        <v>0</v>
      </c>
      <c r="T12" s="17">
        <v>0</v>
      </c>
      <c r="U12" s="17">
        <v>0</v>
      </c>
      <c r="V12" s="17">
        <v>0</v>
      </c>
      <c r="W12" s="17">
        <v>0</v>
      </c>
      <c r="X12" s="17">
        <v>0</v>
      </c>
      <c r="Y12" s="17">
        <v>0</v>
      </c>
      <c r="Z12" s="17">
        <v>0</v>
      </c>
      <c r="AA12" s="17">
        <v>0</v>
      </c>
      <c r="AB12" s="17">
        <v>0</v>
      </c>
      <c r="AC12" s="17">
        <v>0</v>
      </c>
      <c r="AD12" s="17">
        <v>0</v>
      </c>
      <c r="AE12" s="18">
        <v>0</v>
      </c>
      <c r="AF12" s="13"/>
    </row>
    <row r="13" spans="2:32" x14ac:dyDescent="0.3">
      <c r="B13" s="23" t="s">
        <v>184</v>
      </c>
      <c r="C13" s="24" t="s">
        <v>1</v>
      </c>
      <c r="D13" s="24" t="s">
        <v>20</v>
      </c>
      <c r="E13" s="24" t="s">
        <v>8</v>
      </c>
      <c r="F13" s="17">
        <v>1.8767499999999999</v>
      </c>
      <c r="G13" s="17">
        <v>2.0142000000000002</v>
      </c>
      <c r="H13" s="17">
        <v>2.03735</v>
      </c>
      <c r="I13" s="17">
        <v>2.1991499999999999</v>
      </c>
      <c r="J13" s="17">
        <v>2.2142599999999999</v>
      </c>
      <c r="K13" s="17">
        <v>2.2438899999999999</v>
      </c>
      <c r="L13" s="17">
        <v>2.21252</v>
      </c>
      <c r="M13" s="17">
        <v>2.2787500000000001</v>
      </c>
      <c r="N13" s="17">
        <v>2.39263</v>
      </c>
      <c r="O13" s="17">
        <v>2.3990200000000002</v>
      </c>
      <c r="P13" s="17">
        <v>2.2421500000000001</v>
      </c>
      <c r="Q13" s="17">
        <v>2.3827600000000002</v>
      </c>
      <c r="R13" s="17">
        <v>2.6552500000000001</v>
      </c>
      <c r="S13" s="17">
        <v>2.5436999999999999</v>
      </c>
      <c r="T13" s="17">
        <v>2.6101700000000001</v>
      </c>
      <c r="U13" s="17">
        <v>2.6715200000000001</v>
      </c>
      <c r="V13" s="17">
        <v>2.7328800000000002</v>
      </c>
      <c r="W13" s="17">
        <v>2.8044600000000002</v>
      </c>
      <c r="X13" s="17">
        <v>2.8734799999999998</v>
      </c>
      <c r="Y13" s="17">
        <v>2.9348399999999999</v>
      </c>
      <c r="Z13" s="17">
        <v>3.00387</v>
      </c>
      <c r="AA13" s="17">
        <v>3.0831200000000001</v>
      </c>
      <c r="AB13" s="17">
        <v>3.1623700000000001</v>
      </c>
      <c r="AC13" s="17">
        <v>3.2416200000000002</v>
      </c>
      <c r="AD13" s="17">
        <v>3.3183099999999999</v>
      </c>
      <c r="AE13" s="18">
        <v>3.3924500000000002</v>
      </c>
      <c r="AF13" s="13"/>
    </row>
    <row r="14" spans="2:32" x14ac:dyDescent="0.3">
      <c r="B14" s="23" t="s">
        <v>184</v>
      </c>
      <c r="C14" s="24" t="s">
        <v>1</v>
      </c>
      <c r="D14" s="24" t="s">
        <v>95</v>
      </c>
      <c r="E14" s="24"/>
      <c r="F14" s="17">
        <v>28.082102000000003</v>
      </c>
      <c r="G14" s="17">
        <v>31.446279999999998</v>
      </c>
      <c r="H14" s="17">
        <v>34.193989999999999</v>
      </c>
      <c r="I14" s="17">
        <v>30.831730999999998</v>
      </c>
      <c r="J14" s="17">
        <v>33.109903000000003</v>
      </c>
      <c r="K14" s="17">
        <v>33.629353000000002</v>
      </c>
      <c r="L14" s="17">
        <v>31.824081000000003</v>
      </c>
      <c r="M14" s="17">
        <v>32.265086000000004</v>
      </c>
      <c r="N14" s="17">
        <v>33.485866099999996</v>
      </c>
      <c r="O14" s="17">
        <v>33.598562000000001</v>
      </c>
      <c r="P14" s="17">
        <v>31.082715100000001</v>
      </c>
      <c r="Q14" s="17">
        <v>32.493428000000002</v>
      </c>
      <c r="R14" s="17">
        <v>35.653616000000007</v>
      </c>
      <c r="S14" s="17">
        <v>36.229947000000003</v>
      </c>
      <c r="T14" s="17">
        <v>37.174955999999995</v>
      </c>
      <c r="U14" s="17">
        <v>38.060638000000004</v>
      </c>
      <c r="V14" s="17">
        <v>38.94903</v>
      </c>
      <c r="W14" s="17">
        <v>39.971851999999998</v>
      </c>
      <c r="X14" s="17">
        <v>40.980591000000004</v>
      </c>
      <c r="Y14" s="17">
        <v>41.880389999999998</v>
      </c>
      <c r="Z14" s="17">
        <v>42.868701999999999</v>
      </c>
      <c r="AA14" s="17">
        <v>44.001273999999995</v>
      </c>
      <c r="AB14" s="17">
        <v>45.142046000000001</v>
      </c>
      <c r="AC14" s="17">
        <v>46.271099</v>
      </c>
      <c r="AD14" s="17">
        <v>47.354520999999998</v>
      </c>
      <c r="AE14" s="18">
        <v>48.419063000000008</v>
      </c>
      <c r="AF14" s="13"/>
    </row>
    <row r="15" spans="2:32" x14ac:dyDescent="0.3">
      <c r="B15" s="23" t="s">
        <v>193</v>
      </c>
      <c r="C15" s="24" t="s">
        <v>1</v>
      </c>
      <c r="D15" s="24" t="s">
        <v>18</v>
      </c>
      <c r="E15" s="24" t="s">
        <v>19</v>
      </c>
      <c r="F15" s="17">
        <v>10.1234</v>
      </c>
      <c r="G15" s="17">
        <v>11.414859099999999</v>
      </c>
      <c r="H15" s="17">
        <v>12.1173836</v>
      </c>
      <c r="I15" s="17">
        <v>6.2412036000000004</v>
      </c>
      <c r="J15" s="17">
        <v>8.1963336000000009</v>
      </c>
      <c r="K15" s="17">
        <v>8.5745736000000008</v>
      </c>
      <c r="L15" s="17">
        <v>8.7494636000000003</v>
      </c>
      <c r="M15" s="17">
        <v>9.6593336000000001</v>
      </c>
      <c r="N15" s="17">
        <v>8.2416535999999994</v>
      </c>
      <c r="O15" s="17">
        <v>8.9853535999999998</v>
      </c>
      <c r="P15" s="17">
        <v>9.1189935999999996</v>
      </c>
      <c r="Q15" s="17">
        <v>7.6966536000000003</v>
      </c>
      <c r="R15" s="17">
        <v>7.0424335999999998</v>
      </c>
      <c r="S15" s="17">
        <v>7.8053036000000002</v>
      </c>
      <c r="T15" s="17">
        <v>7.8053036000000002</v>
      </c>
      <c r="U15" s="17">
        <v>7.8053036000000002</v>
      </c>
      <c r="V15" s="17">
        <v>7.8053036000000002</v>
      </c>
      <c r="W15" s="17">
        <v>7.8053036000000002</v>
      </c>
      <c r="X15" s="17">
        <v>7.8053036000000002</v>
      </c>
      <c r="Y15" s="17">
        <v>7.8053036000000002</v>
      </c>
      <c r="Z15" s="17">
        <v>7.8053036000000002</v>
      </c>
      <c r="AA15" s="17">
        <v>7.8053036000000002</v>
      </c>
      <c r="AB15" s="17">
        <v>7.8053036000000002</v>
      </c>
      <c r="AC15" s="17">
        <v>7.8053036000000002</v>
      </c>
      <c r="AD15" s="17">
        <v>7.8053036000000002</v>
      </c>
      <c r="AE15" s="18">
        <v>7.8053036000000002</v>
      </c>
      <c r="AF15" s="13"/>
    </row>
    <row r="16" spans="2:32" x14ac:dyDescent="0.3">
      <c r="B16" s="23" t="s">
        <v>193</v>
      </c>
      <c r="C16" s="24" t="s">
        <v>1</v>
      </c>
      <c r="D16" s="24" t="s">
        <v>18</v>
      </c>
      <c r="E16" s="24" t="s">
        <v>174</v>
      </c>
      <c r="F16" s="17">
        <v>5.8E-4</v>
      </c>
      <c r="G16" s="17">
        <v>2.9E-4</v>
      </c>
      <c r="H16" s="17">
        <v>0</v>
      </c>
      <c r="I16" s="17">
        <v>0</v>
      </c>
      <c r="J16" s="17">
        <v>0</v>
      </c>
      <c r="K16" s="17">
        <v>3.2660000000000002E-2</v>
      </c>
      <c r="L16" s="17">
        <v>6.5320000000000003E-2</v>
      </c>
      <c r="M16" s="17">
        <v>3.2660000000000002E-2</v>
      </c>
      <c r="N16" s="17">
        <v>0</v>
      </c>
      <c r="O16" s="17">
        <v>0</v>
      </c>
      <c r="P16" s="17">
        <v>0</v>
      </c>
      <c r="Q16" s="17">
        <v>5.0999999999999997E-2</v>
      </c>
      <c r="R16" s="17">
        <v>0.10743</v>
      </c>
      <c r="S16" s="17">
        <v>0.10448399999999999</v>
      </c>
      <c r="T16" s="17">
        <v>0.10828599999999999</v>
      </c>
      <c r="U16" s="17">
        <v>0.10999299999999999</v>
      </c>
      <c r="V16" s="17">
        <v>0.113195</v>
      </c>
      <c r="W16" s="17">
        <v>0.115523</v>
      </c>
      <c r="X16" s="17">
        <v>0.119383</v>
      </c>
      <c r="Y16" s="17">
        <v>0.120698</v>
      </c>
      <c r="Z16" s="17">
        <v>0.12418</v>
      </c>
      <c r="AA16" s="17">
        <v>0.126803</v>
      </c>
      <c r="AB16" s="17">
        <v>0.13048199999999999</v>
      </c>
      <c r="AC16" s="17">
        <v>0.13306699999999999</v>
      </c>
      <c r="AD16" s="17">
        <v>0.13667699999999999</v>
      </c>
      <c r="AE16" s="18">
        <v>0.13883200000000001</v>
      </c>
      <c r="AF16" s="13"/>
    </row>
    <row r="17" spans="2:32" x14ac:dyDescent="0.3">
      <c r="B17" s="23" t="s">
        <v>193</v>
      </c>
      <c r="C17" s="24" t="s">
        <v>1</v>
      </c>
      <c r="D17" s="24" t="s">
        <v>18</v>
      </c>
      <c r="E17" s="24" t="s">
        <v>17</v>
      </c>
      <c r="F17" s="17">
        <v>0</v>
      </c>
      <c r="G17" s="17">
        <v>0</v>
      </c>
      <c r="H17" s="17">
        <v>0</v>
      </c>
      <c r="I17" s="17">
        <v>6.6491699999999998</v>
      </c>
      <c r="J17" s="17">
        <v>7.3493000000000004</v>
      </c>
      <c r="K17" s="17">
        <v>8.1766699999999997</v>
      </c>
      <c r="L17" s="17">
        <v>8.3655000000000008</v>
      </c>
      <c r="M17" s="17">
        <v>9.8999699999999997</v>
      </c>
      <c r="N17" s="17">
        <v>7.1784800000000004</v>
      </c>
      <c r="O17" s="17">
        <v>9.5682100000000005</v>
      </c>
      <c r="P17" s="17">
        <v>7.4562099999999996</v>
      </c>
      <c r="Q17" s="17">
        <v>11.784800000000001</v>
      </c>
      <c r="R17" s="17">
        <v>7.6345799999999997</v>
      </c>
      <c r="S17" s="17">
        <v>7.0285799999999998</v>
      </c>
      <c r="T17" s="17">
        <v>7.2843600000000004</v>
      </c>
      <c r="U17" s="17">
        <v>7.3992199999999997</v>
      </c>
      <c r="V17" s="17">
        <v>7.6146000000000003</v>
      </c>
      <c r="W17" s="17">
        <v>7.7711600000000001</v>
      </c>
      <c r="X17" s="17">
        <v>8.0308399999999995</v>
      </c>
      <c r="Y17" s="17">
        <v>8.1193200000000001</v>
      </c>
      <c r="Z17" s="17">
        <v>8.3535199999999996</v>
      </c>
      <c r="AA17" s="17">
        <v>8.5299999999999994</v>
      </c>
      <c r="AB17" s="17">
        <v>8.7774999999999999</v>
      </c>
      <c r="AC17" s="17">
        <v>8.95139</v>
      </c>
      <c r="AD17" s="17">
        <v>9.1941799999999994</v>
      </c>
      <c r="AE17" s="18">
        <v>9.3391599999999997</v>
      </c>
      <c r="AF17" s="13"/>
    </row>
    <row r="18" spans="2:32" x14ac:dyDescent="0.3">
      <c r="B18" s="23" t="s">
        <v>193</v>
      </c>
      <c r="C18" s="24" t="s">
        <v>1</v>
      </c>
      <c r="D18" s="24" t="s">
        <v>18</v>
      </c>
      <c r="E18" s="24" t="s">
        <v>5</v>
      </c>
      <c r="F18" s="17">
        <v>33.888300000000001</v>
      </c>
      <c r="G18" s="17">
        <v>37.138100000000001</v>
      </c>
      <c r="H18" s="17">
        <v>38.007399999999997</v>
      </c>
      <c r="I18" s="17">
        <v>35.953400000000002</v>
      </c>
      <c r="J18" s="17">
        <v>38.0015</v>
      </c>
      <c r="K18" s="17">
        <v>33.543399999999998</v>
      </c>
      <c r="L18" s="17">
        <v>22.4558</v>
      </c>
      <c r="M18" s="17">
        <v>21.542999999999999</v>
      </c>
      <c r="N18" s="17">
        <v>25.6008</v>
      </c>
      <c r="O18" s="17">
        <v>22.037400000000002</v>
      </c>
      <c r="P18" s="17">
        <v>21.5047</v>
      </c>
      <c r="Q18" s="17">
        <v>20.523299999999999</v>
      </c>
      <c r="R18" s="17">
        <v>28.440300000000001</v>
      </c>
      <c r="S18" s="17">
        <v>21.658000000000001</v>
      </c>
      <c r="T18" s="17">
        <v>22.514399999999998</v>
      </c>
      <c r="U18" s="17">
        <v>22.892800000000001</v>
      </c>
      <c r="V18" s="17">
        <v>23.619700000000002</v>
      </c>
      <c r="W18" s="17">
        <v>24.137499999999999</v>
      </c>
      <c r="X18" s="17">
        <v>25.0138</v>
      </c>
      <c r="Y18" s="17">
        <v>25.3125</v>
      </c>
      <c r="Z18" s="17">
        <v>26.0992</v>
      </c>
      <c r="AA18" s="17">
        <v>26.686699999999998</v>
      </c>
      <c r="AB18" s="17">
        <v>27.523099999999999</v>
      </c>
      <c r="AC18" s="17">
        <v>28.1007</v>
      </c>
      <c r="AD18" s="17">
        <v>28.917200000000001</v>
      </c>
      <c r="AE18" s="18">
        <v>29.405100000000001</v>
      </c>
      <c r="AF18" s="13"/>
    </row>
    <row r="19" spans="2:32" x14ac:dyDescent="0.3">
      <c r="B19" s="23" t="s">
        <v>193</v>
      </c>
      <c r="C19" s="24" t="s">
        <v>1</v>
      </c>
      <c r="D19" s="24" t="s">
        <v>18</v>
      </c>
      <c r="E19" s="24" t="s">
        <v>9</v>
      </c>
      <c r="F19" s="17">
        <v>26.3034</v>
      </c>
      <c r="G19" s="17">
        <v>27.340800000000002</v>
      </c>
      <c r="H19" s="17">
        <v>28.428100000000001</v>
      </c>
      <c r="I19" s="17">
        <v>28.912600000000001</v>
      </c>
      <c r="J19" s="17">
        <v>30.308199999999999</v>
      </c>
      <c r="K19" s="17">
        <v>30.886399999999998</v>
      </c>
      <c r="L19" s="17">
        <v>32.108199999999997</v>
      </c>
      <c r="M19" s="17">
        <v>34.0901</v>
      </c>
      <c r="N19" s="17">
        <v>35.994100000000003</v>
      </c>
      <c r="O19" s="17">
        <v>37.403599999999997</v>
      </c>
      <c r="P19" s="17">
        <v>36.543199999999999</v>
      </c>
      <c r="Q19" s="17">
        <v>40.997199999999999</v>
      </c>
      <c r="R19" s="17">
        <v>42.4876</v>
      </c>
      <c r="S19" s="17">
        <v>42.8855</v>
      </c>
      <c r="T19" s="17">
        <v>44.59</v>
      </c>
      <c r="U19" s="17">
        <v>45.344499999999996</v>
      </c>
      <c r="V19" s="17">
        <v>46.782800000000002</v>
      </c>
      <c r="W19" s="17">
        <v>47.810699999999997</v>
      </c>
      <c r="X19" s="17">
        <v>49.546799999999998</v>
      </c>
      <c r="Y19" s="17">
        <v>50.1312</v>
      </c>
      <c r="Z19" s="17">
        <v>51.689300000000003</v>
      </c>
      <c r="AA19" s="17">
        <v>52.861400000000003</v>
      </c>
      <c r="AB19" s="17">
        <v>54.506</v>
      </c>
      <c r="AC19" s="17">
        <v>55.654000000000003</v>
      </c>
      <c r="AD19" s="17">
        <v>57.2759</v>
      </c>
      <c r="AE19" s="18">
        <v>58.240099999999998</v>
      </c>
      <c r="AF19" s="13"/>
    </row>
    <row r="20" spans="2:32" x14ac:dyDescent="0.3">
      <c r="B20" s="23" t="s">
        <v>193</v>
      </c>
      <c r="C20" s="24" t="s">
        <v>1</v>
      </c>
      <c r="D20" s="24" t="s">
        <v>18</v>
      </c>
      <c r="E20" s="24" t="s">
        <v>4</v>
      </c>
      <c r="F20" s="17">
        <v>15.1906</v>
      </c>
      <c r="G20" s="17">
        <v>14.874499999999999</v>
      </c>
      <c r="H20" s="17">
        <v>16.218699999999998</v>
      </c>
      <c r="I20" s="17">
        <v>11.345000000000001</v>
      </c>
      <c r="J20" s="17">
        <v>11.543699999999999</v>
      </c>
      <c r="K20" s="17">
        <v>10.353199999999999</v>
      </c>
      <c r="L20" s="17">
        <v>10.0168</v>
      </c>
      <c r="M20" s="17">
        <v>10.063800000000001</v>
      </c>
      <c r="N20" s="17">
        <v>9.4665300000000006</v>
      </c>
      <c r="O20" s="17">
        <v>9.7431000000000001</v>
      </c>
      <c r="P20" s="17">
        <v>9.3032699999999995</v>
      </c>
      <c r="Q20" s="17">
        <v>10.8592</v>
      </c>
      <c r="R20" s="17">
        <v>10.9284</v>
      </c>
      <c r="S20" s="17">
        <v>10.345000000000001</v>
      </c>
      <c r="T20" s="17">
        <v>10.749499999999999</v>
      </c>
      <c r="U20" s="17">
        <v>10.9382</v>
      </c>
      <c r="V20" s="17">
        <v>11.2798</v>
      </c>
      <c r="W20" s="17">
        <v>11.5314</v>
      </c>
      <c r="X20" s="17">
        <v>11.944900000000001</v>
      </c>
      <c r="Y20" s="17">
        <v>12.088699999999999</v>
      </c>
      <c r="Z20" s="17">
        <v>12.466200000000001</v>
      </c>
      <c r="AA20" s="17">
        <v>12.7448</v>
      </c>
      <c r="AB20" s="17">
        <v>13.1403</v>
      </c>
      <c r="AC20" s="17">
        <v>13.418900000000001</v>
      </c>
      <c r="AD20" s="17">
        <v>13.814299999999999</v>
      </c>
      <c r="AE20" s="18">
        <v>14.048</v>
      </c>
      <c r="AF20" s="13"/>
    </row>
    <row r="21" spans="2:32" x14ac:dyDescent="0.3">
      <c r="B21" s="23" t="s">
        <v>193</v>
      </c>
      <c r="C21" s="24" t="s">
        <v>1</v>
      </c>
      <c r="D21" s="24" t="s">
        <v>18</v>
      </c>
      <c r="E21" s="24" t="s">
        <v>15</v>
      </c>
      <c r="F21" s="17">
        <v>0</v>
      </c>
      <c r="G21" s="17">
        <v>2.63538E-2</v>
      </c>
      <c r="H21" s="17">
        <v>0.83055000000000001</v>
      </c>
      <c r="I21" s="17">
        <v>1.81626</v>
      </c>
      <c r="J21" s="17">
        <v>2.0358900000000002</v>
      </c>
      <c r="K21" s="17">
        <v>0.81052100000000005</v>
      </c>
      <c r="L21" s="17">
        <v>2.31013</v>
      </c>
      <c r="M21" s="17">
        <v>2.1125799999999999</v>
      </c>
      <c r="N21" s="17">
        <v>1.9644200000000001</v>
      </c>
      <c r="O21" s="17">
        <v>1.5803700000000001</v>
      </c>
      <c r="P21" s="17">
        <v>0.94473600000000002</v>
      </c>
      <c r="Q21" s="17">
        <v>1.7529300000000001</v>
      </c>
      <c r="R21" s="17">
        <v>1.7430600000000001</v>
      </c>
      <c r="S21" s="17">
        <v>1.36714</v>
      </c>
      <c r="T21" s="17">
        <v>1.4218200000000001</v>
      </c>
      <c r="U21" s="17">
        <v>1.4530700000000001</v>
      </c>
      <c r="V21" s="17">
        <v>1.49213</v>
      </c>
      <c r="W21" s="17">
        <v>1.5311900000000001</v>
      </c>
      <c r="X21" s="17">
        <v>1.58588</v>
      </c>
      <c r="Y21" s="17">
        <v>1.6014999999999999</v>
      </c>
      <c r="Z21" s="17">
        <v>1.64838</v>
      </c>
      <c r="AA21" s="17">
        <v>1.6874400000000001</v>
      </c>
      <c r="AB21" s="17">
        <v>1.7421199999999999</v>
      </c>
      <c r="AC21" s="17">
        <v>1.78118</v>
      </c>
      <c r="AD21" s="17">
        <v>1.82806</v>
      </c>
      <c r="AE21" s="18">
        <v>1.85931</v>
      </c>
      <c r="AF21" s="13"/>
    </row>
    <row r="22" spans="2:32" x14ac:dyDescent="0.3">
      <c r="B22" s="23" t="s">
        <v>193</v>
      </c>
      <c r="C22" s="24" t="s">
        <v>1</v>
      </c>
      <c r="D22" s="24" t="s">
        <v>18</v>
      </c>
      <c r="E22" s="24" t="s">
        <v>3</v>
      </c>
      <c r="F22" s="17">
        <v>3.2024799999999999E-2</v>
      </c>
      <c r="G22" s="17">
        <v>3.6719500000000002E-2</v>
      </c>
      <c r="H22" s="17">
        <v>3.5563200000000003E-2</v>
      </c>
      <c r="I22" s="17">
        <v>1.2253700000000001</v>
      </c>
      <c r="J22" s="17">
        <v>0.73905500000000002</v>
      </c>
      <c r="K22" s="17">
        <v>0.70012700000000005</v>
      </c>
      <c r="L22" s="17">
        <v>0.73150199999999999</v>
      </c>
      <c r="M22" s="17">
        <v>0.49270399999999998</v>
      </c>
      <c r="N22" s="17">
        <v>0.61413600000000002</v>
      </c>
      <c r="O22" s="17">
        <v>0.85467800000000005</v>
      </c>
      <c r="P22" s="17">
        <v>0.74893299999999996</v>
      </c>
      <c r="Q22" s="17">
        <v>1.0388599999999999</v>
      </c>
      <c r="R22" s="17">
        <v>0.906389</v>
      </c>
      <c r="S22" s="17">
        <v>1.1771400000000001</v>
      </c>
      <c r="T22" s="17">
        <v>1.2199500000000001</v>
      </c>
      <c r="U22" s="17">
        <v>1.24135</v>
      </c>
      <c r="V22" s="17">
        <v>1.28416</v>
      </c>
      <c r="W22" s="17">
        <v>1.31626</v>
      </c>
      <c r="X22" s="17">
        <v>1.35907</v>
      </c>
      <c r="Y22" s="17">
        <v>1.3804700000000001</v>
      </c>
      <c r="Z22" s="17">
        <v>1.42327</v>
      </c>
      <c r="AA22" s="17">
        <v>1.4553799999999999</v>
      </c>
      <c r="AB22" s="17">
        <v>1.4981800000000001</v>
      </c>
      <c r="AC22" s="17">
        <v>1.5302899999999999</v>
      </c>
      <c r="AD22" s="17">
        <v>1.5730900000000001</v>
      </c>
      <c r="AE22" s="18">
        <v>1.59449</v>
      </c>
      <c r="AF22" s="13"/>
    </row>
    <row r="23" spans="2:32" x14ac:dyDescent="0.3">
      <c r="B23" s="23" t="s">
        <v>193</v>
      </c>
      <c r="C23" s="24" t="s">
        <v>1</v>
      </c>
      <c r="D23" s="24" t="s">
        <v>18</v>
      </c>
      <c r="E23" s="24" t="s">
        <v>13</v>
      </c>
      <c r="F23" s="17">
        <v>1.61266</v>
      </c>
      <c r="G23" s="17">
        <v>1.81839</v>
      </c>
      <c r="H23" s="17">
        <v>1.75407</v>
      </c>
      <c r="I23" s="17">
        <v>1.71807</v>
      </c>
      <c r="J23" s="17">
        <v>1.8842399999999999</v>
      </c>
      <c r="K23" s="17">
        <v>1.92143</v>
      </c>
      <c r="L23" s="17">
        <v>1.9597800000000001</v>
      </c>
      <c r="M23" s="17">
        <v>1.9992799999999999</v>
      </c>
      <c r="N23" s="17">
        <v>2.0393699999999999</v>
      </c>
      <c r="O23" s="17">
        <v>2.08005</v>
      </c>
      <c r="P23" s="17">
        <v>2.12188</v>
      </c>
      <c r="Q23" s="17">
        <v>2.1642899999999998</v>
      </c>
      <c r="R23" s="17">
        <v>2.20729</v>
      </c>
      <c r="S23" s="17">
        <v>2.2514500000000002</v>
      </c>
      <c r="T23" s="17">
        <v>2.3399299999999998</v>
      </c>
      <c r="U23" s="17">
        <v>2.3792599999999999</v>
      </c>
      <c r="V23" s="17">
        <v>2.45791</v>
      </c>
      <c r="W23" s="17">
        <v>2.5169000000000001</v>
      </c>
      <c r="X23" s="17">
        <v>2.6053899999999999</v>
      </c>
      <c r="Y23" s="17">
        <v>2.6348799999999999</v>
      </c>
      <c r="Z23" s="17">
        <v>2.71353</v>
      </c>
      <c r="AA23" s="17">
        <v>2.7823600000000002</v>
      </c>
      <c r="AB23" s="17">
        <v>2.8610099999999998</v>
      </c>
      <c r="AC23" s="17">
        <v>2.9298299999999999</v>
      </c>
      <c r="AD23" s="17">
        <v>3.00848</v>
      </c>
      <c r="AE23" s="18">
        <v>3.0576400000000001</v>
      </c>
      <c r="AF23" s="13"/>
    </row>
    <row r="24" spans="2:32" x14ac:dyDescent="0.3">
      <c r="B24" s="23" t="s">
        <v>193</v>
      </c>
      <c r="C24" s="24" t="s">
        <v>1</v>
      </c>
      <c r="D24" s="24" t="s">
        <v>18</v>
      </c>
      <c r="E24" s="24" t="s">
        <v>8</v>
      </c>
      <c r="F24" s="17">
        <v>2.4666299999999999</v>
      </c>
      <c r="G24" s="17">
        <v>2.87039</v>
      </c>
      <c r="H24" s="17">
        <v>2.41852</v>
      </c>
      <c r="I24" s="17">
        <v>2.5564800000000001</v>
      </c>
      <c r="J24" s="17">
        <v>3.6714600000000002</v>
      </c>
      <c r="K24" s="17">
        <v>4.2205199999999996</v>
      </c>
      <c r="L24" s="17">
        <v>3.40767</v>
      </c>
      <c r="M24" s="17">
        <v>3.75861</v>
      </c>
      <c r="N24" s="17">
        <v>3.9706800000000002</v>
      </c>
      <c r="O24" s="17">
        <v>4.1478900000000003</v>
      </c>
      <c r="P24" s="17">
        <v>3.6923699999999999</v>
      </c>
      <c r="Q24" s="17">
        <v>4.1287200000000004</v>
      </c>
      <c r="R24" s="17">
        <v>4.2501499999999997</v>
      </c>
      <c r="S24" s="17">
        <v>3.9038599999999999</v>
      </c>
      <c r="T24" s="17">
        <v>4.0646599999999999</v>
      </c>
      <c r="U24" s="17">
        <v>4.1361299999999996</v>
      </c>
      <c r="V24" s="17">
        <v>4.2611999999999997</v>
      </c>
      <c r="W24" s="17">
        <v>4.3594600000000003</v>
      </c>
      <c r="X24" s="17">
        <v>4.5113300000000001</v>
      </c>
      <c r="Y24" s="17">
        <v>4.5649300000000004</v>
      </c>
      <c r="Z24" s="17">
        <v>4.7078600000000002</v>
      </c>
      <c r="AA24" s="17">
        <v>4.8150599999999999</v>
      </c>
      <c r="AB24" s="17">
        <v>4.9669299999999996</v>
      </c>
      <c r="AC24" s="17">
        <v>5.0741300000000003</v>
      </c>
      <c r="AD24" s="17">
        <v>5.21706</v>
      </c>
      <c r="AE24" s="18">
        <v>5.3063900000000004</v>
      </c>
      <c r="AF24" s="13"/>
    </row>
    <row r="25" spans="2:32" x14ac:dyDescent="0.3">
      <c r="B25" s="23" t="s">
        <v>193</v>
      </c>
      <c r="C25" s="24" t="s">
        <v>1</v>
      </c>
      <c r="D25" s="24" t="s">
        <v>18</v>
      </c>
      <c r="E25" s="24" t="s">
        <v>154</v>
      </c>
      <c r="F25" s="17">
        <v>0.61490999999999996</v>
      </c>
      <c r="G25" s="17">
        <v>0.53656499999999996</v>
      </c>
      <c r="H25" s="17">
        <v>0.45822000000000002</v>
      </c>
      <c r="I25" s="17">
        <v>0.766675</v>
      </c>
      <c r="J25" s="17">
        <v>1.0751299999999999</v>
      </c>
      <c r="K25" s="17">
        <v>0.86019000000000001</v>
      </c>
      <c r="L25" s="17">
        <v>0.64524999999999999</v>
      </c>
      <c r="M25" s="17">
        <v>0.63022500000000004</v>
      </c>
      <c r="N25" s="17">
        <v>0.61519999999999997</v>
      </c>
      <c r="O25" s="17">
        <v>0.54361000000000004</v>
      </c>
      <c r="P25" s="17">
        <v>0.2109</v>
      </c>
      <c r="Q25" s="17">
        <v>0.47543000000000002</v>
      </c>
      <c r="R25" s="17">
        <v>0.66402000000000005</v>
      </c>
      <c r="S25" s="17">
        <v>0.64580899999999997</v>
      </c>
      <c r="T25" s="17">
        <v>0.66931099999999999</v>
      </c>
      <c r="U25" s="17">
        <v>0.67986500000000005</v>
      </c>
      <c r="V25" s="17">
        <v>0.69965500000000003</v>
      </c>
      <c r="W25" s="17">
        <v>0.71404000000000001</v>
      </c>
      <c r="X25" s="17">
        <v>0.7379</v>
      </c>
      <c r="Y25" s="17">
        <v>0.74602999999999997</v>
      </c>
      <c r="Z25" s="17">
        <v>0.76754900000000004</v>
      </c>
      <c r="AA25" s="17">
        <v>0.78376500000000004</v>
      </c>
      <c r="AB25" s="17">
        <v>0.80650500000000003</v>
      </c>
      <c r="AC25" s="17">
        <v>0.82248399999999999</v>
      </c>
      <c r="AD25" s="17">
        <v>0.84479099999999996</v>
      </c>
      <c r="AE25" s="18">
        <v>0.85811300000000001</v>
      </c>
      <c r="AF25" s="13"/>
    </row>
    <row r="26" spans="2:32" x14ac:dyDescent="0.3">
      <c r="B26" s="23" t="s">
        <v>193</v>
      </c>
      <c r="C26" s="24" t="s">
        <v>1</v>
      </c>
      <c r="D26" s="24" t="s">
        <v>18</v>
      </c>
      <c r="E26" s="24" t="s">
        <v>175</v>
      </c>
      <c r="F26" s="17">
        <v>0</v>
      </c>
      <c r="G26" s="17">
        <v>0</v>
      </c>
      <c r="H26" s="17">
        <v>0</v>
      </c>
      <c r="I26" s="17">
        <v>0</v>
      </c>
      <c r="J26" s="17">
        <v>0</v>
      </c>
      <c r="K26" s="17">
        <v>0</v>
      </c>
      <c r="L26" s="17">
        <v>0</v>
      </c>
      <c r="M26" s="17">
        <v>2.75E-2</v>
      </c>
      <c r="N26" s="17">
        <v>5.5E-2</v>
      </c>
      <c r="O26" s="17">
        <v>0.153</v>
      </c>
      <c r="P26" s="17">
        <v>0.18729999999999999</v>
      </c>
      <c r="Q26" s="17">
        <v>0.74990000000000001</v>
      </c>
      <c r="R26" s="17">
        <v>0.82099999999999995</v>
      </c>
      <c r="S26" s="17">
        <v>0.79848399999999997</v>
      </c>
      <c r="T26" s="17">
        <v>0.827542</v>
      </c>
      <c r="U26" s="17">
        <v>0.84059099999999998</v>
      </c>
      <c r="V26" s="17">
        <v>0.86505900000000002</v>
      </c>
      <c r="W26" s="17">
        <v>0.88284499999999999</v>
      </c>
      <c r="X26" s="17">
        <v>0.91234599999999999</v>
      </c>
      <c r="Y26" s="17">
        <v>0.92239800000000005</v>
      </c>
      <c r="Z26" s="17">
        <v>0.94900499999999999</v>
      </c>
      <c r="AA26" s="17">
        <v>0.96905300000000005</v>
      </c>
      <c r="AB26" s="17">
        <v>0.99717</v>
      </c>
      <c r="AC26" s="17">
        <v>1.0169299999999999</v>
      </c>
      <c r="AD26" s="17">
        <v>1.04451</v>
      </c>
      <c r="AE26" s="18">
        <v>1.06098</v>
      </c>
      <c r="AF26" s="13"/>
    </row>
    <row r="27" spans="2:32" x14ac:dyDescent="0.3">
      <c r="B27" s="23" t="s">
        <v>193</v>
      </c>
      <c r="C27" s="24" t="s">
        <v>1</v>
      </c>
      <c r="D27" s="24" t="s">
        <v>96</v>
      </c>
      <c r="E27" s="24"/>
      <c r="F27" s="17">
        <v>90.232504800000001</v>
      </c>
      <c r="G27" s="17">
        <v>96.056967399999991</v>
      </c>
      <c r="H27" s="17">
        <v>100.2685068</v>
      </c>
      <c r="I27" s="17">
        <v>97.184228599999997</v>
      </c>
      <c r="J27" s="17">
        <v>104.80480859999999</v>
      </c>
      <c r="K27" s="17">
        <v>100.07969159999999</v>
      </c>
      <c r="L27" s="17">
        <v>90.815415600000009</v>
      </c>
      <c r="M27" s="17">
        <v>94.309762599999999</v>
      </c>
      <c r="N27" s="17">
        <v>95.740369600000037</v>
      </c>
      <c r="O27" s="17">
        <v>97.09726160000001</v>
      </c>
      <c r="P27" s="17">
        <v>91.832492599999981</v>
      </c>
      <c r="Q27" s="17">
        <v>102.2222836</v>
      </c>
      <c r="R27" s="17">
        <v>107.23265259999999</v>
      </c>
      <c r="S27" s="17">
        <v>99.970750600000002</v>
      </c>
      <c r="T27" s="17">
        <v>103.59506259999998</v>
      </c>
      <c r="U27" s="17">
        <v>105.22028259999999</v>
      </c>
      <c r="V27" s="17">
        <v>108.27551260000001</v>
      </c>
      <c r="W27" s="17">
        <v>110.4922816</v>
      </c>
      <c r="X27" s="17">
        <v>114.17294260000001</v>
      </c>
      <c r="Y27" s="17">
        <v>115.42792960000001</v>
      </c>
      <c r="Z27" s="17">
        <v>118.74729760000001</v>
      </c>
      <c r="AA27" s="17">
        <v>121.24806460000001</v>
      </c>
      <c r="AB27" s="17">
        <v>124.7546006</v>
      </c>
      <c r="AC27" s="17">
        <v>127.21820460000001</v>
      </c>
      <c r="AD27" s="17">
        <v>130.65955159999999</v>
      </c>
      <c r="AE27" s="18">
        <v>132.71341859999998</v>
      </c>
      <c r="AF27" s="13"/>
    </row>
    <row r="28" spans="2:32" x14ac:dyDescent="0.3">
      <c r="B28" s="23" t="s">
        <v>185</v>
      </c>
      <c r="C28" s="24" t="s">
        <v>1</v>
      </c>
      <c r="D28" s="24" t="s">
        <v>16</v>
      </c>
      <c r="E28" s="24" t="s">
        <v>5</v>
      </c>
      <c r="F28" s="17">
        <v>7.1527500000000002</v>
      </c>
      <c r="G28" s="17">
        <v>5.3221699999999998</v>
      </c>
      <c r="H28" s="17">
        <v>7.5472200000000003</v>
      </c>
      <c r="I28" s="17">
        <v>7.6258699999999999</v>
      </c>
      <c r="J28" s="17">
        <v>1.64428</v>
      </c>
      <c r="K28" s="17">
        <v>2.0724900000000002</v>
      </c>
      <c r="L28" s="17">
        <v>0.49096099999999998</v>
      </c>
      <c r="M28" s="17">
        <v>0.49096099999999998</v>
      </c>
      <c r="N28" s="17">
        <v>7.7089499999999997</v>
      </c>
      <c r="O28" s="17">
        <v>7.1877800000000001</v>
      </c>
      <c r="P28" s="17">
        <v>4.8427899999999999</v>
      </c>
      <c r="Q28" s="17">
        <v>3.5982500000000002</v>
      </c>
      <c r="R28" s="17">
        <v>5.8671199999999999</v>
      </c>
      <c r="S28" s="17">
        <v>3.2618399999999999</v>
      </c>
      <c r="T28" s="17">
        <v>3.3730899999999999</v>
      </c>
      <c r="U28" s="17">
        <v>3.4748700000000001</v>
      </c>
      <c r="V28" s="17">
        <v>3.5813899999999999</v>
      </c>
      <c r="W28" s="17">
        <v>3.6973799999999999</v>
      </c>
      <c r="X28" s="17">
        <v>3.8133699999999999</v>
      </c>
      <c r="Y28" s="17">
        <v>3.9151500000000001</v>
      </c>
      <c r="Z28" s="17">
        <v>4.0216700000000003</v>
      </c>
      <c r="AA28" s="17">
        <v>4.1352900000000004</v>
      </c>
      <c r="AB28" s="17">
        <v>4.2512800000000004</v>
      </c>
      <c r="AC28" s="17">
        <v>4.3672599999999999</v>
      </c>
      <c r="AD28" s="17">
        <v>4.4785199999999996</v>
      </c>
      <c r="AE28" s="18">
        <v>4.5873999999999997</v>
      </c>
      <c r="AF28" s="13"/>
    </row>
    <row r="29" spans="2:32" x14ac:dyDescent="0.3">
      <c r="B29" s="23" t="s">
        <v>185</v>
      </c>
      <c r="C29" s="24" t="s">
        <v>1</v>
      </c>
      <c r="D29" s="24" t="s">
        <v>16</v>
      </c>
      <c r="E29" s="24" t="s">
        <v>9</v>
      </c>
      <c r="F29" s="17">
        <v>3.7846799999999998</v>
      </c>
      <c r="G29" s="17">
        <v>4.0995499999999998</v>
      </c>
      <c r="H29" s="17">
        <v>4.6625300000000003</v>
      </c>
      <c r="I29" s="17">
        <v>2.2433100000000001</v>
      </c>
      <c r="J29" s="17">
        <v>2.08528</v>
      </c>
      <c r="K29" s="17">
        <v>2.1398899999999998</v>
      </c>
      <c r="L29" s="17">
        <v>1.3392500000000001</v>
      </c>
      <c r="M29" s="17">
        <v>1.4380200000000001</v>
      </c>
      <c r="N29" s="17">
        <v>2.0143900000000001</v>
      </c>
      <c r="O29" s="17">
        <v>1.85345</v>
      </c>
      <c r="P29" s="17">
        <v>1.9899899999999999</v>
      </c>
      <c r="Q29" s="17">
        <v>2.2595800000000001</v>
      </c>
      <c r="R29" s="17">
        <v>2.7493799999999999</v>
      </c>
      <c r="S29" s="17">
        <v>2.92252</v>
      </c>
      <c r="T29" s="17">
        <v>3.02094</v>
      </c>
      <c r="U29" s="17">
        <v>3.1116000000000001</v>
      </c>
      <c r="V29" s="17">
        <v>3.2073399999999999</v>
      </c>
      <c r="W29" s="17">
        <v>3.3119200000000002</v>
      </c>
      <c r="X29" s="17">
        <v>3.4154599999999999</v>
      </c>
      <c r="Y29" s="17">
        <v>3.5053999999999998</v>
      </c>
      <c r="Z29" s="17">
        <v>3.6009799999999998</v>
      </c>
      <c r="AA29" s="17">
        <v>3.70397</v>
      </c>
      <c r="AB29" s="17">
        <v>3.8075399999999999</v>
      </c>
      <c r="AC29" s="17">
        <v>3.9096700000000002</v>
      </c>
      <c r="AD29" s="17">
        <v>4.0080099999999996</v>
      </c>
      <c r="AE29" s="18">
        <v>4.1056900000000001</v>
      </c>
      <c r="AF29" s="13"/>
    </row>
    <row r="30" spans="2:32" x14ac:dyDescent="0.3">
      <c r="B30" s="23" t="s">
        <v>185</v>
      </c>
      <c r="C30" s="24" t="s">
        <v>1</v>
      </c>
      <c r="D30" s="24" t="s">
        <v>16</v>
      </c>
      <c r="E30" s="24" t="s">
        <v>3</v>
      </c>
      <c r="F30" s="17">
        <v>29.425699999999999</v>
      </c>
      <c r="G30" s="17">
        <v>32.732399999999998</v>
      </c>
      <c r="H30" s="17">
        <v>33.897199999999998</v>
      </c>
      <c r="I30" s="17">
        <v>38.661499999999997</v>
      </c>
      <c r="J30" s="17">
        <v>45.201500000000003</v>
      </c>
      <c r="K30" s="17">
        <v>41.487000000000002</v>
      </c>
      <c r="L30" s="17">
        <v>37.5105</v>
      </c>
      <c r="M30" s="17">
        <v>36.583199999999998</v>
      </c>
      <c r="N30" s="17">
        <v>37.945099999999996</v>
      </c>
      <c r="O30" s="17">
        <v>35.0261</v>
      </c>
      <c r="P30" s="17">
        <v>25.448599999999999</v>
      </c>
      <c r="Q30" s="17">
        <v>18.1005</v>
      </c>
      <c r="R30" s="17">
        <v>21.535399999999999</v>
      </c>
      <c r="S30" s="17">
        <v>12.1183</v>
      </c>
      <c r="T30" s="17">
        <v>12.5267</v>
      </c>
      <c r="U30" s="17">
        <v>12.903600000000001</v>
      </c>
      <c r="V30" s="17">
        <v>13.301</v>
      </c>
      <c r="W30" s="17">
        <v>13.734</v>
      </c>
      <c r="X30" s="17">
        <v>14.162800000000001</v>
      </c>
      <c r="Y30" s="17">
        <v>14.5357</v>
      </c>
      <c r="Z30" s="17">
        <v>14.931699999999999</v>
      </c>
      <c r="AA30" s="17">
        <v>15.3592</v>
      </c>
      <c r="AB30" s="17">
        <v>15.789400000000001</v>
      </c>
      <c r="AC30" s="17">
        <v>16.212800000000001</v>
      </c>
      <c r="AD30" s="17">
        <v>16.621200000000002</v>
      </c>
      <c r="AE30" s="18">
        <v>17.026800000000001</v>
      </c>
      <c r="AF30" s="13"/>
    </row>
    <row r="31" spans="2:32" x14ac:dyDescent="0.3">
      <c r="B31" s="23" t="s">
        <v>185</v>
      </c>
      <c r="C31" s="24" t="s">
        <v>1</v>
      </c>
      <c r="D31" s="24" t="s">
        <v>16</v>
      </c>
      <c r="E31" s="24" t="s">
        <v>14</v>
      </c>
      <c r="F31" s="17">
        <v>0</v>
      </c>
      <c r="G31" s="17">
        <v>1</v>
      </c>
      <c r="H31" s="17">
        <v>2</v>
      </c>
      <c r="I31" s="17">
        <v>0.96972000000000003</v>
      </c>
      <c r="J31" s="17">
        <v>0.90929400000000005</v>
      </c>
      <c r="K31" s="17">
        <v>1.0138799999999999</v>
      </c>
      <c r="L31" s="17">
        <v>0.71697699999999998</v>
      </c>
      <c r="M31" s="17">
        <v>2.4710700000000001</v>
      </c>
      <c r="N31" s="17">
        <v>1.3694599999999999</v>
      </c>
      <c r="O31" s="17">
        <v>1.0510600000000001</v>
      </c>
      <c r="P31" s="17">
        <v>1.6007100000000001</v>
      </c>
      <c r="Q31" s="17">
        <v>1.83369</v>
      </c>
      <c r="R31" s="17">
        <v>2.4914100000000001</v>
      </c>
      <c r="S31" s="17">
        <v>1.5036799999999999</v>
      </c>
      <c r="T31" s="17">
        <v>1.55436</v>
      </c>
      <c r="U31" s="17">
        <v>1.6012900000000001</v>
      </c>
      <c r="V31" s="17">
        <v>1.6500999999999999</v>
      </c>
      <c r="W31" s="17">
        <v>1.7026600000000001</v>
      </c>
      <c r="X31" s="17">
        <v>1.7552300000000001</v>
      </c>
      <c r="Y31" s="17">
        <v>1.80216</v>
      </c>
      <c r="Z31" s="17">
        <v>1.85284</v>
      </c>
      <c r="AA31" s="17">
        <v>1.90541</v>
      </c>
      <c r="AB31" s="17">
        <v>1.95797</v>
      </c>
      <c r="AC31" s="17">
        <v>2.0105300000000002</v>
      </c>
      <c r="AD31" s="17">
        <v>2.0612200000000001</v>
      </c>
      <c r="AE31" s="18">
        <v>2.1118999999999999</v>
      </c>
      <c r="AF31" s="13"/>
    </row>
    <row r="32" spans="2:32" x14ac:dyDescent="0.3">
      <c r="B32" s="23" t="s">
        <v>185</v>
      </c>
      <c r="C32" s="24" t="s">
        <v>1</v>
      </c>
      <c r="D32" s="24" t="s">
        <v>16</v>
      </c>
      <c r="E32" s="24" t="s">
        <v>8</v>
      </c>
      <c r="F32" s="17">
        <v>6.9470499999999999</v>
      </c>
      <c r="G32" s="17">
        <v>8.0728000000000009</v>
      </c>
      <c r="H32" s="17">
        <v>5.3307500000000001</v>
      </c>
      <c r="I32" s="17">
        <v>3.2478899999999999</v>
      </c>
      <c r="J32" s="17">
        <v>2.8487300000000002</v>
      </c>
      <c r="K32" s="17">
        <v>0.76926799999999995</v>
      </c>
      <c r="L32" s="17">
        <v>3.95906</v>
      </c>
      <c r="M32" s="17">
        <v>3.4611299999999998</v>
      </c>
      <c r="N32" s="17">
        <v>5.7747400000000004</v>
      </c>
      <c r="O32" s="17">
        <v>7.8966200000000004</v>
      </c>
      <c r="P32" s="17">
        <v>8.4729899999999994</v>
      </c>
      <c r="Q32" s="17">
        <v>8.6287000000000003</v>
      </c>
      <c r="R32" s="17">
        <v>9.8255999999999997</v>
      </c>
      <c r="S32" s="17">
        <v>10.1882</v>
      </c>
      <c r="T32" s="17">
        <v>10.531499999999999</v>
      </c>
      <c r="U32" s="17">
        <v>10.8506</v>
      </c>
      <c r="V32" s="17">
        <v>11.1859</v>
      </c>
      <c r="W32" s="17">
        <v>11.5482</v>
      </c>
      <c r="X32" s="17">
        <v>11.9078</v>
      </c>
      <c r="Y32" s="17">
        <v>12.221500000000001</v>
      </c>
      <c r="Z32" s="17">
        <v>12.556699999999999</v>
      </c>
      <c r="AA32" s="17">
        <v>12.9191</v>
      </c>
      <c r="AB32" s="17">
        <v>13.2814</v>
      </c>
      <c r="AC32" s="17">
        <v>13.6356</v>
      </c>
      <c r="AD32" s="17">
        <v>13.9763</v>
      </c>
      <c r="AE32" s="18">
        <v>14.317</v>
      </c>
      <c r="AF32" s="13"/>
    </row>
    <row r="33" spans="2:32" x14ac:dyDescent="0.3">
      <c r="B33" s="23" t="s">
        <v>185</v>
      </c>
      <c r="C33" s="24" t="s">
        <v>1</v>
      </c>
      <c r="D33" s="24" t="s">
        <v>16</v>
      </c>
      <c r="E33" s="24" t="s">
        <v>176</v>
      </c>
      <c r="F33" s="17">
        <v>13.548500000000001</v>
      </c>
      <c r="G33" s="17">
        <v>13.011200000000001</v>
      </c>
      <c r="H33" s="17">
        <v>14.18</v>
      </c>
      <c r="I33" s="17">
        <v>15.248799999999999</v>
      </c>
      <c r="J33" s="17">
        <v>14.268599999999999</v>
      </c>
      <c r="K33" s="17">
        <v>10.035299999999999</v>
      </c>
      <c r="L33" s="17">
        <v>9.5838999999999999</v>
      </c>
      <c r="M33" s="17">
        <v>9.8697599999999994</v>
      </c>
      <c r="N33" s="17">
        <v>8.9668600000000005</v>
      </c>
      <c r="O33" s="17">
        <v>8.5799000000000003</v>
      </c>
      <c r="P33" s="17">
        <v>6.6271000000000004</v>
      </c>
      <c r="Q33" s="17">
        <v>7.9744799999999998</v>
      </c>
      <c r="R33" s="17">
        <v>9.7140500000000003</v>
      </c>
      <c r="S33" s="17">
        <v>9.1824100000000008</v>
      </c>
      <c r="T33" s="17">
        <v>9.1824100000000008</v>
      </c>
      <c r="U33" s="17">
        <v>9.1824100000000008</v>
      </c>
      <c r="V33" s="17">
        <v>9.1824100000000008</v>
      </c>
      <c r="W33" s="17">
        <v>9.1824100000000008</v>
      </c>
      <c r="X33" s="17">
        <v>9.1824100000000008</v>
      </c>
      <c r="Y33" s="17">
        <v>9.1824100000000008</v>
      </c>
      <c r="Z33" s="17">
        <v>9.1824100000000008</v>
      </c>
      <c r="AA33" s="17">
        <v>9.1824100000000008</v>
      </c>
      <c r="AB33" s="17">
        <v>9.1824100000000008</v>
      </c>
      <c r="AC33" s="17">
        <v>9.1824100000000008</v>
      </c>
      <c r="AD33" s="17">
        <v>9.1824100000000008</v>
      </c>
      <c r="AE33" s="18">
        <v>9.1824100000000008</v>
      </c>
      <c r="AF33" s="13"/>
    </row>
    <row r="34" spans="2:32" x14ac:dyDescent="0.3">
      <c r="B34" s="23" t="s">
        <v>185</v>
      </c>
      <c r="C34" s="24" t="s">
        <v>1</v>
      </c>
      <c r="D34" s="24" t="s">
        <v>97</v>
      </c>
      <c r="E34" s="24"/>
      <c r="F34" s="17">
        <v>60.858679999999993</v>
      </c>
      <c r="G34" s="17">
        <v>64.238119999999995</v>
      </c>
      <c r="H34" s="17">
        <v>67.617699999999999</v>
      </c>
      <c r="I34" s="17">
        <v>67.99709</v>
      </c>
      <c r="J34" s="17">
        <v>66.957684</v>
      </c>
      <c r="K34" s="17">
        <v>57.517828000000002</v>
      </c>
      <c r="L34" s="17">
        <v>53.600648</v>
      </c>
      <c r="M34" s="17">
        <v>54.314140999999992</v>
      </c>
      <c r="N34" s="17">
        <v>63.779499999999999</v>
      </c>
      <c r="O34" s="17">
        <v>61.594909999999999</v>
      </c>
      <c r="P34" s="17">
        <v>48.98218</v>
      </c>
      <c r="Q34" s="17">
        <v>42.395200000000003</v>
      </c>
      <c r="R34" s="17">
        <v>52.182960000000001</v>
      </c>
      <c r="S34" s="17">
        <v>39.176950000000005</v>
      </c>
      <c r="T34" s="17">
        <v>40.188999999999993</v>
      </c>
      <c r="U34" s="17">
        <v>41.124369999999999</v>
      </c>
      <c r="V34" s="17">
        <v>42.108140000000006</v>
      </c>
      <c r="W34" s="17">
        <v>43.176569999999998</v>
      </c>
      <c r="X34" s="17">
        <v>44.237070000000003</v>
      </c>
      <c r="Y34" s="17">
        <v>45.162320000000008</v>
      </c>
      <c r="Z34" s="17">
        <v>46.146299999999997</v>
      </c>
      <c r="AA34" s="17">
        <v>47.205380000000005</v>
      </c>
      <c r="AB34" s="17">
        <v>48.269999999999996</v>
      </c>
      <c r="AC34" s="17">
        <v>49.318269999999998</v>
      </c>
      <c r="AD34" s="17">
        <v>50.327659999999995</v>
      </c>
      <c r="AE34" s="18">
        <v>51.331199999999995</v>
      </c>
      <c r="AF34" s="13"/>
    </row>
    <row r="35" spans="2:32" x14ac:dyDescent="0.3">
      <c r="B35" s="23" t="s">
        <v>186</v>
      </c>
      <c r="C35" s="24" t="s">
        <v>1</v>
      </c>
      <c r="D35" s="24" t="s">
        <v>12</v>
      </c>
      <c r="E35" s="24" t="s">
        <v>9</v>
      </c>
      <c r="F35" s="17">
        <v>18.4114</v>
      </c>
      <c r="G35" s="17">
        <v>16.480699999999999</v>
      </c>
      <c r="H35" s="17">
        <v>15.415800000000001</v>
      </c>
      <c r="I35" s="17">
        <v>21.172899999999998</v>
      </c>
      <c r="J35" s="17">
        <v>22.9101</v>
      </c>
      <c r="K35" s="17">
        <v>24.939599999999999</v>
      </c>
      <c r="L35" s="17">
        <v>25.5776</v>
      </c>
      <c r="M35" s="17">
        <v>26.272500000000001</v>
      </c>
      <c r="N35" s="17">
        <v>26.640899999999998</v>
      </c>
      <c r="O35" s="17">
        <v>27.5624</v>
      </c>
      <c r="P35" s="17">
        <v>29.027699999999999</v>
      </c>
      <c r="Q35" s="17">
        <v>28.652899999999999</v>
      </c>
      <c r="R35" s="17">
        <v>28.198599999999999</v>
      </c>
      <c r="S35" s="17">
        <v>31.125699999999998</v>
      </c>
      <c r="T35" s="17">
        <v>31.5261</v>
      </c>
      <c r="U35" s="17">
        <v>31.922599999999999</v>
      </c>
      <c r="V35" s="17">
        <v>30.853400000000001</v>
      </c>
      <c r="W35" s="17">
        <v>31.241299999999999</v>
      </c>
      <c r="X35" s="17">
        <v>31.624600000000001</v>
      </c>
      <c r="Y35" s="17">
        <v>32.003100000000003</v>
      </c>
      <c r="Z35" s="17">
        <v>32.3765</v>
      </c>
      <c r="AA35" s="17">
        <v>32.744599999999998</v>
      </c>
      <c r="AB35" s="17">
        <v>33.106999999999999</v>
      </c>
      <c r="AC35" s="17">
        <v>33.4636</v>
      </c>
      <c r="AD35" s="17">
        <v>33.814100000000003</v>
      </c>
      <c r="AE35" s="18">
        <v>34.158299999999997</v>
      </c>
      <c r="AF35" s="13"/>
    </row>
    <row r="36" spans="2:32" x14ac:dyDescent="0.3">
      <c r="B36" s="23" t="s">
        <v>186</v>
      </c>
      <c r="C36" s="24" t="s">
        <v>1</v>
      </c>
      <c r="D36" s="24" t="s">
        <v>12</v>
      </c>
      <c r="E36" s="24" t="s">
        <v>15</v>
      </c>
      <c r="F36" s="17">
        <v>0</v>
      </c>
      <c r="G36" s="17">
        <v>0</v>
      </c>
      <c r="H36" s="17">
        <v>0</v>
      </c>
      <c r="I36" s="17">
        <v>2.9050899999999999E-3</v>
      </c>
      <c r="J36" s="17">
        <v>2.9050899999999999E-3</v>
      </c>
      <c r="K36" s="17">
        <v>1.2782399999999999E-2</v>
      </c>
      <c r="L36" s="17">
        <v>1.9173599999999999E-2</v>
      </c>
      <c r="M36" s="17">
        <v>2.0335599999999999E-2</v>
      </c>
      <c r="N36" s="17">
        <v>2.20787E-2</v>
      </c>
      <c r="O36" s="17">
        <v>2.0335599999999999E-2</v>
      </c>
      <c r="P36" s="17">
        <v>1.9173599999999999E-2</v>
      </c>
      <c r="Q36" s="17">
        <v>2.32407E-2</v>
      </c>
      <c r="R36" s="17">
        <v>3.5442099999999997E-2</v>
      </c>
      <c r="S36" s="17">
        <v>3.9509299999999997E-2</v>
      </c>
      <c r="T36" s="17">
        <v>3.9509299999999997E-2</v>
      </c>
      <c r="U36" s="17">
        <v>3.9509299999999997E-2</v>
      </c>
      <c r="V36" s="17">
        <v>5.9263900000000001E-2</v>
      </c>
      <c r="W36" s="17">
        <v>5.9263900000000001E-2</v>
      </c>
      <c r="X36" s="17">
        <v>5.9263900000000001E-2</v>
      </c>
      <c r="Y36" s="17">
        <v>5.9263900000000001E-2</v>
      </c>
      <c r="Z36" s="17">
        <v>5.9263900000000001E-2</v>
      </c>
      <c r="AA36" s="17">
        <v>5.9263900000000001E-2</v>
      </c>
      <c r="AB36" s="17">
        <v>5.9263900000000001E-2</v>
      </c>
      <c r="AC36" s="17">
        <v>5.9263900000000001E-2</v>
      </c>
      <c r="AD36" s="17">
        <v>5.9263900000000001E-2</v>
      </c>
      <c r="AE36" s="18">
        <v>5.9263900000000001E-2</v>
      </c>
      <c r="AF36" s="13"/>
    </row>
    <row r="37" spans="2:32" x14ac:dyDescent="0.3">
      <c r="B37" s="23" t="s">
        <v>186</v>
      </c>
      <c r="C37" s="24" t="s">
        <v>1</v>
      </c>
      <c r="D37" s="24" t="s">
        <v>12</v>
      </c>
      <c r="E37" s="24" t="s">
        <v>14</v>
      </c>
      <c r="F37" s="17">
        <v>3.4600500000000001E-3</v>
      </c>
      <c r="G37" s="17">
        <v>3.5833800000000002E-3</v>
      </c>
      <c r="H37" s="17">
        <v>2.5343100000000001E-3</v>
      </c>
      <c r="I37" s="17">
        <v>2.3240700000000001E-3</v>
      </c>
      <c r="J37" s="17">
        <v>1.7430600000000001E-3</v>
      </c>
      <c r="K37" s="17">
        <v>1.16204E-3</v>
      </c>
      <c r="L37" s="17">
        <v>1.16204E-3</v>
      </c>
      <c r="M37" s="17">
        <v>0</v>
      </c>
      <c r="N37" s="17">
        <v>0</v>
      </c>
      <c r="O37" s="17">
        <v>0</v>
      </c>
      <c r="P37" s="17">
        <v>0</v>
      </c>
      <c r="Q37" s="17">
        <v>0</v>
      </c>
      <c r="R37" s="17">
        <v>0</v>
      </c>
      <c r="S37" s="17">
        <v>0</v>
      </c>
      <c r="T37" s="17">
        <v>0</v>
      </c>
      <c r="U37" s="17">
        <v>0</v>
      </c>
      <c r="V37" s="17">
        <v>0</v>
      </c>
      <c r="W37" s="17">
        <v>0</v>
      </c>
      <c r="X37" s="17">
        <v>0</v>
      </c>
      <c r="Y37" s="17">
        <v>0</v>
      </c>
      <c r="Z37" s="17">
        <v>0</v>
      </c>
      <c r="AA37" s="17">
        <v>0</v>
      </c>
      <c r="AB37" s="17">
        <v>0</v>
      </c>
      <c r="AC37" s="17">
        <v>0</v>
      </c>
      <c r="AD37" s="17">
        <v>0</v>
      </c>
      <c r="AE37" s="18">
        <v>0</v>
      </c>
      <c r="AF37" s="13"/>
    </row>
    <row r="38" spans="2:32" x14ac:dyDescent="0.3">
      <c r="B38" s="23" t="s">
        <v>186</v>
      </c>
      <c r="C38" s="24" t="s">
        <v>1</v>
      </c>
      <c r="D38" s="24" t="s">
        <v>12</v>
      </c>
      <c r="E38" s="24" t="s">
        <v>13</v>
      </c>
      <c r="F38" s="17">
        <v>11.368499999999999</v>
      </c>
      <c r="G38" s="17">
        <v>11.1646</v>
      </c>
      <c r="H38" s="17">
        <v>11.643700000000001</v>
      </c>
      <c r="I38" s="17">
        <v>9.9836399999999994</v>
      </c>
      <c r="J38" s="17">
        <v>9.8465199999999999</v>
      </c>
      <c r="K38" s="17">
        <v>8.91282</v>
      </c>
      <c r="L38" s="17">
        <v>8.6356800000000007</v>
      </c>
      <c r="M38" s="17">
        <v>8.3794500000000003</v>
      </c>
      <c r="N38" s="17">
        <v>8.0883599999999998</v>
      </c>
      <c r="O38" s="17">
        <v>7.7356800000000003</v>
      </c>
      <c r="P38" s="17">
        <v>7.3452299999999999</v>
      </c>
      <c r="Q38" s="17">
        <v>6.9315499999999997</v>
      </c>
      <c r="R38" s="17">
        <v>6.5004299999999997</v>
      </c>
      <c r="S38" s="17">
        <v>6.0559500000000002</v>
      </c>
      <c r="T38" s="17">
        <v>5.8531700000000004</v>
      </c>
      <c r="U38" s="17">
        <v>5.6503500000000004</v>
      </c>
      <c r="V38" s="17">
        <v>5.5053299999999998</v>
      </c>
      <c r="W38" s="17">
        <v>5.3603100000000001</v>
      </c>
      <c r="X38" s="17">
        <v>5.2152900000000004</v>
      </c>
      <c r="Y38" s="17">
        <v>5.0702699999999998</v>
      </c>
      <c r="Z38" s="17">
        <v>4.9252500000000001</v>
      </c>
      <c r="AA38" s="17">
        <v>4.82233</v>
      </c>
      <c r="AB38" s="17">
        <v>4.7194099999999999</v>
      </c>
      <c r="AC38" s="17">
        <v>4.6164800000000001</v>
      </c>
      <c r="AD38" s="17">
        <v>4.51356</v>
      </c>
      <c r="AE38" s="18">
        <v>4.4106399999999999</v>
      </c>
      <c r="AF38" s="13"/>
    </row>
    <row r="39" spans="2:32" x14ac:dyDescent="0.3">
      <c r="B39" s="23" t="s">
        <v>186</v>
      </c>
      <c r="C39" s="24" t="s">
        <v>1</v>
      </c>
      <c r="D39" s="24" t="s">
        <v>12</v>
      </c>
      <c r="E39" s="24" t="s">
        <v>8</v>
      </c>
      <c r="F39" s="17">
        <v>31.822800000000001</v>
      </c>
      <c r="G39" s="17">
        <v>32.940800000000003</v>
      </c>
      <c r="H39" s="17">
        <v>35.389699999999998</v>
      </c>
      <c r="I39" s="17">
        <v>35.316600000000001</v>
      </c>
      <c r="J39" s="17">
        <v>36.527500000000003</v>
      </c>
      <c r="K39" s="17">
        <v>36.569299999999998</v>
      </c>
      <c r="L39" s="17">
        <v>35.970300000000002</v>
      </c>
      <c r="M39" s="17">
        <v>36.061500000000002</v>
      </c>
      <c r="N39" s="17">
        <v>37.211300000000001</v>
      </c>
      <c r="O39" s="17">
        <v>38.391399999999997</v>
      </c>
      <c r="P39" s="17">
        <v>39.160600000000002</v>
      </c>
      <c r="Q39" s="17">
        <v>39.942700000000002</v>
      </c>
      <c r="R39" s="17">
        <v>41.302900000000001</v>
      </c>
      <c r="S39" s="17">
        <v>43.082500000000003</v>
      </c>
      <c r="T39" s="17">
        <v>43.629100000000001</v>
      </c>
      <c r="U39" s="17">
        <v>44.186100000000003</v>
      </c>
      <c r="V39" s="17">
        <v>47.1</v>
      </c>
      <c r="W39" s="17">
        <v>47.636000000000003</v>
      </c>
      <c r="X39" s="17">
        <v>48.1721</v>
      </c>
      <c r="Y39" s="17">
        <v>48.697600000000001</v>
      </c>
      <c r="Z39" s="17">
        <v>49.212600000000002</v>
      </c>
      <c r="AA39" s="17">
        <v>49.717100000000002</v>
      </c>
      <c r="AB39" s="17">
        <v>50.221600000000002</v>
      </c>
      <c r="AC39" s="17">
        <v>50.715600000000002</v>
      </c>
      <c r="AD39" s="17">
        <v>51.199100000000001</v>
      </c>
      <c r="AE39" s="18">
        <v>51.671999999999997</v>
      </c>
      <c r="AF39" s="13"/>
    </row>
    <row r="40" spans="2:32" x14ac:dyDescent="0.3">
      <c r="B40" s="23" t="s">
        <v>186</v>
      </c>
      <c r="C40" s="24" t="s">
        <v>1</v>
      </c>
      <c r="D40" s="24" t="s">
        <v>98</v>
      </c>
      <c r="E40" s="24"/>
      <c r="F40" s="17">
        <v>61.60616005</v>
      </c>
      <c r="G40" s="17">
        <v>60.589683379999997</v>
      </c>
      <c r="H40" s="17">
        <v>62.451734309999999</v>
      </c>
      <c r="I40" s="17">
        <v>66.47836916</v>
      </c>
      <c r="J40" s="17">
        <v>69.28876815000001</v>
      </c>
      <c r="K40" s="17">
        <v>70.435664439999996</v>
      </c>
      <c r="L40" s="17">
        <v>70.203915639999991</v>
      </c>
      <c r="M40" s="17">
        <v>70.733785600000004</v>
      </c>
      <c r="N40" s="17">
        <v>71.962638699999999</v>
      </c>
      <c r="O40" s="17">
        <v>73.709815599999999</v>
      </c>
      <c r="P40" s="17">
        <v>75.552703600000001</v>
      </c>
      <c r="Q40" s="17">
        <v>75.550390700000008</v>
      </c>
      <c r="R40" s="17">
        <v>76.037372099999999</v>
      </c>
      <c r="S40" s="17">
        <v>80.303659299999993</v>
      </c>
      <c r="T40" s="17">
        <v>81.047879300000005</v>
      </c>
      <c r="U40" s="17">
        <v>81.798559299999994</v>
      </c>
      <c r="V40" s="17">
        <v>83.517993899999993</v>
      </c>
      <c r="W40" s="17">
        <v>84.296873900000008</v>
      </c>
      <c r="X40" s="17">
        <v>85.071253900000002</v>
      </c>
      <c r="Y40" s="17">
        <v>85.830233899999996</v>
      </c>
      <c r="Z40" s="17">
        <v>86.573613899999998</v>
      </c>
      <c r="AA40" s="17">
        <v>87.343293899999992</v>
      </c>
      <c r="AB40" s="17">
        <v>88.107273899999996</v>
      </c>
      <c r="AC40" s="17">
        <v>88.854943899999995</v>
      </c>
      <c r="AD40" s="17">
        <v>89.586023900000001</v>
      </c>
      <c r="AE40" s="18">
        <v>90.300203899999985</v>
      </c>
      <c r="AF40" s="13"/>
    </row>
    <row r="41" spans="2:32" x14ac:dyDescent="0.3">
      <c r="B41" s="23" t="s">
        <v>187</v>
      </c>
      <c r="C41" s="24" t="s">
        <v>1</v>
      </c>
      <c r="D41" s="24" t="s">
        <v>10</v>
      </c>
      <c r="E41" s="24" t="s">
        <v>3</v>
      </c>
      <c r="F41" s="17">
        <v>0.12864600000000001</v>
      </c>
      <c r="G41" s="17">
        <v>0.13595599999999999</v>
      </c>
      <c r="H41" s="17">
        <v>0.14810000000000001</v>
      </c>
      <c r="I41" s="17">
        <v>0.15629399999999999</v>
      </c>
      <c r="J41" s="17">
        <v>0.19173599999999999</v>
      </c>
      <c r="K41" s="17">
        <v>0.198127</v>
      </c>
      <c r="L41" s="17">
        <v>0.17663000000000001</v>
      </c>
      <c r="M41" s="17">
        <v>0.18127799999999999</v>
      </c>
      <c r="N41" s="17">
        <v>0.189993</v>
      </c>
      <c r="O41" s="17">
        <v>0.20219400000000001</v>
      </c>
      <c r="P41" s="17">
        <v>0.16849500000000001</v>
      </c>
      <c r="Q41" s="17">
        <v>0.197546</v>
      </c>
      <c r="R41" s="17">
        <v>0.20974799999999999</v>
      </c>
      <c r="S41" s="17">
        <v>0.20103199999999999</v>
      </c>
      <c r="T41" s="17">
        <v>0.19875999999999999</v>
      </c>
      <c r="U41" s="17">
        <v>0.21241699999999999</v>
      </c>
      <c r="V41" s="17">
        <v>0.209701</v>
      </c>
      <c r="W41" s="17">
        <v>0.22415199999999999</v>
      </c>
      <c r="X41" s="17">
        <v>0.22337099999999999</v>
      </c>
      <c r="Y41" s="17">
        <v>0.235489</v>
      </c>
      <c r="Z41" s="17">
        <v>0.234431</v>
      </c>
      <c r="AA41" s="17">
        <v>0.248337</v>
      </c>
      <c r="AB41" s="17">
        <v>0.248444</v>
      </c>
      <c r="AC41" s="17">
        <v>0.26134099999999999</v>
      </c>
      <c r="AD41" s="17">
        <v>0.26223099999999999</v>
      </c>
      <c r="AE41" s="18">
        <v>0.27339599999999997</v>
      </c>
      <c r="AF41" s="13"/>
    </row>
    <row r="42" spans="2:32" x14ac:dyDescent="0.3">
      <c r="B42" s="23" t="s">
        <v>187</v>
      </c>
      <c r="C42" s="24" t="s">
        <v>1</v>
      </c>
      <c r="D42" s="24" t="s">
        <v>10</v>
      </c>
      <c r="E42" s="24" t="s">
        <v>11</v>
      </c>
      <c r="F42" s="17">
        <v>16.59442</v>
      </c>
      <c r="G42" s="17">
        <v>16.594439999999999</v>
      </c>
      <c r="H42" s="17">
        <v>16.594483499999999</v>
      </c>
      <c r="I42" s="17">
        <v>16.594470000000001</v>
      </c>
      <c r="J42" s="17">
        <v>15.4673</v>
      </c>
      <c r="K42" s="17">
        <v>15.396990000000001</v>
      </c>
      <c r="L42" s="17">
        <v>15.064080000000001</v>
      </c>
      <c r="M42" s="17">
        <v>17.33821</v>
      </c>
      <c r="N42" s="17">
        <v>16.514250000000001</v>
      </c>
      <c r="O42" s="17">
        <v>16.291170000000001</v>
      </c>
      <c r="P42" s="17">
        <v>8.6897099999999998</v>
      </c>
      <c r="Q42" s="17">
        <v>12.51749</v>
      </c>
      <c r="R42" s="17">
        <v>16.753129999999999</v>
      </c>
      <c r="S42" s="17">
        <v>16.714130000000001</v>
      </c>
      <c r="T42" s="17">
        <v>16.714120000000001</v>
      </c>
      <c r="U42" s="17">
        <v>16.71415</v>
      </c>
      <c r="V42" s="17">
        <v>16.714179999999999</v>
      </c>
      <c r="W42" s="17">
        <v>16.714110000000002</v>
      </c>
      <c r="X42" s="17">
        <v>16.71415</v>
      </c>
      <c r="Y42" s="17">
        <v>16.714169999999999</v>
      </c>
      <c r="Z42" s="17">
        <v>16.714120000000001</v>
      </c>
      <c r="AA42" s="17">
        <v>16.71416</v>
      </c>
      <c r="AB42" s="17">
        <v>16.71415</v>
      </c>
      <c r="AC42" s="17">
        <v>16.71416</v>
      </c>
      <c r="AD42" s="17">
        <v>16.71416</v>
      </c>
      <c r="AE42" s="18">
        <v>16.71416</v>
      </c>
      <c r="AF42" s="13"/>
    </row>
    <row r="43" spans="2:32" x14ac:dyDescent="0.3">
      <c r="B43" s="23" t="s">
        <v>187</v>
      </c>
      <c r="C43" s="24" t="s">
        <v>1</v>
      </c>
      <c r="D43" s="24" t="s">
        <v>99</v>
      </c>
      <c r="E43" s="24"/>
      <c r="F43" s="17">
        <v>16.723065999999999</v>
      </c>
      <c r="G43" s="17">
        <v>16.730395999999999</v>
      </c>
      <c r="H43" s="17">
        <v>16.742583499999999</v>
      </c>
      <c r="I43" s="17">
        <v>16.750764</v>
      </c>
      <c r="J43" s="17">
        <v>15.659036</v>
      </c>
      <c r="K43" s="17">
        <v>15.595117</v>
      </c>
      <c r="L43" s="17">
        <v>15.24071</v>
      </c>
      <c r="M43" s="17">
        <v>17.519487999999999</v>
      </c>
      <c r="N43" s="17">
        <v>16.704243000000002</v>
      </c>
      <c r="O43" s="17">
        <v>16.493364</v>
      </c>
      <c r="P43" s="17">
        <v>8.8582049999999999</v>
      </c>
      <c r="Q43" s="17">
        <v>12.715036000000001</v>
      </c>
      <c r="R43" s="17">
        <v>16.962878</v>
      </c>
      <c r="S43" s="17">
        <v>16.915162000000002</v>
      </c>
      <c r="T43" s="17">
        <v>16.912880000000001</v>
      </c>
      <c r="U43" s="17">
        <v>16.926566999999999</v>
      </c>
      <c r="V43" s="17">
        <v>16.923880999999998</v>
      </c>
      <c r="W43" s="17">
        <v>16.938262000000002</v>
      </c>
      <c r="X43" s="17">
        <v>16.937521</v>
      </c>
      <c r="Y43" s="17">
        <v>16.949659</v>
      </c>
      <c r="Z43" s="17">
        <v>16.948551000000002</v>
      </c>
      <c r="AA43" s="17">
        <v>16.962496999999999</v>
      </c>
      <c r="AB43" s="17">
        <v>16.962593999999999</v>
      </c>
      <c r="AC43" s="17">
        <v>16.975501000000001</v>
      </c>
      <c r="AD43" s="17">
        <v>16.976391</v>
      </c>
      <c r="AE43" s="18">
        <v>16.987555999999998</v>
      </c>
      <c r="AF43" s="13"/>
    </row>
    <row r="44" spans="2:32" x14ac:dyDescent="0.3">
      <c r="B44" s="23" t="s">
        <v>188</v>
      </c>
      <c r="C44" s="24" t="s">
        <v>1</v>
      </c>
      <c r="D44" s="24" t="s">
        <v>7</v>
      </c>
      <c r="E44" s="24" t="s">
        <v>156</v>
      </c>
      <c r="F44" s="17">
        <v>0</v>
      </c>
      <c r="G44" s="17">
        <v>5.7299999999999997E-2</v>
      </c>
      <c r="H44" s="17">
        <v>0.11459999999999999</v>
      </c>
      <c r="I44" s="17">
        <v>0.15698000000000001</v>
      </c>
      <c r="J44" s="17">
        <v>0.19936000000000001</v>
      </c>
      <c r="K44" s="17">
        <v>0.32946500000000001</v>
      </c>
      <c r="L44" s="17">
        <v>0.45956999999999998</v>
      </c>
      <c r="M44" s="17">
        <v>0.59477000000000002</v>
      </c>
      <c r="N44" s="17">
        <v>0.72997000000000001</v>
      </c>
      <c r="O44" s="17">
        <v>0.96206000000000003</v>
      </c>
      <c r="P44" s="17">
        <v>0.48877999999999999</v>
      </c>
      <c r="Q44" s="17">
        <v>0.78854999999999997</v>
      </c>
      <c r="R44" s="17">
        <v>0.92464000000000002</v>
      </c>
      <c r="S44" s="17">
        <v>0.92464000000000002</v>
      </c>
      <c r="T44" s="17">
        <v>0.92464000000000002</v>
      </c>
      <c r="U44" s="17">
        <v>0.92464000000000002</v>
      </c>
      <c r="V44" s="17">
        <v>0.92464000000000002</v>
      </c>
      <c r="W44" s="17">
        <v>0.92464000000000002</v>
      </c>
      <c r="X44" s="17">
        <v>0.92464000000000002</v>
      </c>
      <c r="Y44" s="17">
        <v>0.92464000000000002</v>
      </c>
      <c r="Z44" s="17">
        <v>0.92464000000000002</v>
      </c>
      <c r="AA44" s="17">
        <v>0.92464000000000002</v>
      </c>
      <c r="AB44" s="17">
        <v>0.92464000000000002</v>
      </c>
      <c r="AC44" s="17">
        <v>0.92464000000000002</v>
      </c>
      <c r="AD44" s="17">
        <v>0.92464000000000002</v>
      </c>
      <c r="AE44" s="18">
        <v>0.92464000000000002</v>
      </c>
      <c r="AF44" s="13"/>
    </row>
    <row r="45" spans="2:32" x14ac:dyDescent="0.3">
      <c r="B45" s="23" t="s">
        <v>188</v>
      </c>
      <c r="C45" s="24" t="s">
        <v>1</v>
      </c>
      <c r="D45" s="24" t="s">
        <v>7</v>
      </c>
      <c r="E45" s="24" t="s">
        <v>5</v>
      </c>
      <c r="F45" s="17">
        <v>5.1452</v>
      </c>
      <c r="G45" s="17">
        <v>5.5030000000000001</v>
      </c>
      <c r="H45" s="17">
        <v>5.7572999999999999</v>
      </c>
      <c r="I45" s="17">
        <v>6.7821999999999996</v>
      </c>
      <c r="J45" s="17">
        <v>7.0483000000000002</v>
      </c>
      <c r="K45" s="17">
        <v>7.0808999999999997</v>
      </c>
      <c r="L45" s="17">
        <v>7.7746000000000004</v>
      </c>
      <c r="M45" s="17">
        <v>8.4631000000000007</v>
      </c>
      <c r="N45" s="17">
        <v>12.258900000000001</v>
      </c>
      <c r="O45" s="17">
        <v>12.775399999999999</v>
      </c>
      <c r="P45" s="17">
        <v>10.973100000000001</v>
      </c>
      <c r="Q45" s="17">
        <v>13.342499999999999</v>
      </c>
      <c r="R45" s="17">
        <v>15.243600000000001</v>
      </c>
      <c r="S45" s="17">
        <v>16.141300000000001</v>
      </c>
      <c r="T45" s="17">
        <v>15.260300000000001</v>
      </c>
      <c r="U45" s="17">
        <v>16.3569</v>
      </c>
      <c r="V45" s="17">
        <v>16.1388</v>
      </c>
      <c r="W45" s="17">
        <v>17.299099999999999</v>
      </c>
      <c r="X45" s="17">
        <v>17.216799999999999</v>
      </c>
      <c r="Y45" s="17">
        <v>18.170200000000001</v>
      </c>
      <c r="Z45" s="17">
        <v>18.0656</v>
      </c>
      <c r="AA45" s="17">
        <v>18.642900000000001</v>
      </c>
      <c r="AB45" s="17">
        <v>18.302499999999998</v>
      </c>
      <c r="AC45" s="17">
        <v>19.338000000000001</v>
      </c>
      <c r="AD45" s="17">
        <v>19.409500000000001</v>
      </c>
      <c r="AE45" s="18">
        <v>20.306000000000001</v>
      </c>
      <c r="AF45" s="13"/>
    </row>
    <row r="46" spans="2:32" x14ac:dyDescent="0.3">
      <c r="B46" s="23" t="s">
        <v>188</v>
      </c>
      <c r="C46" s="24" t="s">
        <v>1</v>
      </c>
      <c r="D46" s="24" t="s">
        <v>7</v>
      </c>
      <c r="E46" s="24" t="s">
        <v>9</v>
      </c>
      <c r="F46" s="17">
        <v>6.9999999999999999E-4</v>
      </c>
      <c r="G46" s="17">
        <v>5.9999999999999995E-4</v>
      </c>
      <c r="H46" s="17">
        <v>5.0000000000000001E-4</v>
      </c>
      <c r="I46" s="17">
        <v>3.5999999999999997E-2</v>
      </c>
      <c r="J46" s="17">
        <v>3.5999999999999997E-2</v>
      </c>
      <c r="K46" s="17">
        <v>3.5999999999999997E-2</v>
      </c>
      <c r="L46" s="17">
        <v>3.5999999999999997E-2</v>
      </c>
      <c r="M46" s="17">
        <v>3.7199999999999997E-2</v>
      </c>
      <c r="N46" s="17">
        <v>3.8899999999999997E-2</v>
      </c>
      <c r="O46" s="17">
        <v>3.95E-2</v>
      </c>
      <c r="P46" s="17">
        <v>3.8899999999999997E-2</v>
      </c>
      <c r="Q46" s="17">
        <v>3.95E-2</v>
      </c>
      <c r="R46" s="17">
        <v>4.07E-2</v>
      </c>
      <c r="S46" s="17">
        <v>8.4199999999999997E-2</v>
      </c>
      <c r="T46" s="17">
        <v>0.23350000000000001</v>
      </c>
      <c r="U46" s="17">
        <v>0.23930000000000001</v>
      </c>
      <c r="V46" s="17">
        <v>0.23810000000000001</v>
      </c>
      <c r="W46" s="17">
        <v>0.2442</v>
      </c>
      <c r="X46" s="17">
        <v>0.70109999999999995</v>
      </c>
      <c r="Y46" s="17">
        <v>1.1634</v>
      </c>
      <c r="Z46" s="17">
        <v>1.6202000000000001</v>
      </c>
      <c r="AA46" s="17">
        <v>2.5529000000000002</v>
      </c>
      <c r="AB46" s="17">
        <v>2.5531000000000001</v>
      </c>
      <c r="AC46" s="17">
        <v>2.5585</v>
      </c>
      <c r="AD46" s="17">
        <v>2.5588000000000002</v>
      </c>
      <c r="AE46" s="18">
        <v>2.5634999999999999</v>
      </c>
      <c r="AF46" s="13"/>
    </row>
    <row r="47" spans="2:32" x14ac:dyDescent="0.3">
      <c r="B47" s="23" t="s">
        <v>188</v>
      </c>
      <c r="C47" s="24" t="s">
        <v>1</v>
      </c>
      <c r="D47" s="24" t="s">
        <v>7</v>
      </c>
      <c r="E47" s="24" t="s">
        <v>3</v>
      </c>
      <c r="F47" s="17">
        <v>49.035600000000002</v>
      </c>
      <c r="G47" s="17">
        <v>51.822000000000003</v>
      </c>
      <c r="H47" s="17">
        <v>56.451000000000001</v>
      </c>
      <c r="I47" s="17">
        <v>59.574100000000001</v>
      </c>
      <c r="J47" s="17">
        <v>62.223599999999998</v>
      </c>
      <c r="K47" s="17">
        <v>68.353300000000004</v>
      </c>
      <c r="L47" s="17">
        <v>73.274000000000001</v>
      </c>
      <c r="M47" s="17">
        <v>80.025400000000005</v>
      </c>
      <c r="N47" s="17">
        <v>85.759500000000003</v>
      </c>
      <c r="O47" s="17">
        <v>88.2654</v>
      </c>
      <c r="P47" s="17">
        <v>70.817999999999998</v>
      </c>
      <c r="Q47" s="17">
        <v>95.124300000000005</v>
      </c>
      <c r="R47" s="17">
        <v>98.539599999999993</v>
      </c>
      <c r="S47" s="17">
        <v>111.617</v>
      </c>
      <c r="T47" s="17">
        <v>109.78100000000001</v>
      </c>
      <c r="U47" s="17">
        <v>117.364</v>
      </c>
      <c r="V47" s="17">
        <v>115.85599999999999</v>
      </c>
      <c r="W47" s="17">
        <v>123.879</v>
      </c>
      <c r="X47" s="17">
        <v>123.008</v>
      </c>
      <c r="Y47" s="17">
        <v>129.29900000000001</v>
      </c>
      <c r="Z47" s="17">
        <v>128.274</v>
      </c>
      <c r="AA47" s="17">
        <v>135.12</v>
      </c>
      <c r="AB47" s="17">
        <v>134.892</v>
      </c>
      <c r="AC47" s="17">
        <v>142.053</v>
      </c>
      <c r="AD47" s="17">
        <v>142.547</v>
      </c>
      <c r="AE47" s="18">
        <v>148.74600000000001</v>
      </c>
      <c r="AF47" s="13"/>
    </row>
    <row r="48" spans="2:32" x14ac:dyDescent="0.3">
      <c r="B48" s="23" t="s">
        <v>188</v>
      </c>
      <c r="C48" s="24" t="s">
        <v>1</v>
      </c>
      <c r="D48" s="24" t="s">
        <v>7</v>
      </c>
      <c r="E48" s="24" t="s">
        <v>8</v>
      </c>
      <c r="F48" s="17">
        <v>3.13786E-2</v>
      </c>
      <c r="G48" s="17">
        <v>2.9178099999999998E-2</v>
      </c>
      <c r="H48" s="17">
        <v>2.7036999999999999E-2</v>
      </c>
      <c r="I48" s="17">
        <v>0.42530499999999999</v>
      </c>
      <c r="J48" s="17">
        <v>0.49909500000000001</v>
      </c>
      <c r="K48" s="17">
        <v>0.31723600000000002</v>
      </c>
      <c r="L48" s="17">
        <v>0.29341400000000001</v>
      </c>
      <c r="M48" s="17">
        <v>0.29980499999999999</v>
      </c>
      <c r="N48" s="17">
        <v>0.25390499999999999</v>
      </c>
      <c r="O48" s="17">
        <v>0.28818500000000002</v>
      </c>
      <c r="P48" s="17">
        <v>0.31491200000000003</v>
      </c>
      <c r="Q48" s="17">
        <v>0.55254800000000004</v>
      </c>
      <c r="R48" s="17">
        <v>1.2398899999999999</v>
      </c>
      <c r="S48" s="17">
        <v>1.12601</v>
      </c>
      <c r="T48" s="17">
        <v>1.11328</v>
      </c>
      <c r="U48" s="17">
        <v>1.1897800000000001</v>
      </c>
      <c r="V48" s="17">
        <v>1.1745699999999999</v>
      </c>
      <c r="W48" s="17">
        <v>1.2555099999999999</v>
      </c>
      <c r="X48" s="17">
        <v>1.2511300000000001</v>
      </c>
      <c r="Y48" s="17">
        <v>1.31901</v>
      </c>
      <c r="Z48" s="17">
        <v>1.3130900000000001</v>
      </c>
      <c r="AA48" s="17">
        <v>1.3909800000000001</v>
      </c>
      <c r="AB48" s="17">
        <v>1.39158</v>
      </c>
      <c r="AC48" s="17">
        <v>1.4638100000000001</v>
      </c>
      <c r="AD48" s="17">
        <v>1.4688000000000001</v>
      </c>
      <c r="AE48" s="18">
        <v>1.5313399999999999</v>
      </c>
      <c r="AF48" s="13"/>
    </row>
    <row r="49" spans="2:32" x14ac:dyDescent="0.3">
      <c r="B49" s="23" t="s">
        <v>188</v>
      </c>
      <c r="C49" s="24" t="s">
        <v>1</v>
      </c>
      <c r="D49" s="24" t="s">
        <v>100</v>
      </c>
      <c r="E49" s="24"/>
      <c r="F49" s="17">
        <v>54.212878599999996</v>
      </c>
      <c r="G49" s="17">
        <v>57.412078100000009</v>
      </c>
      <c r="H49" s="17">
        <v>62.350436999999999</v>
      </c>
      <c r="I49" s="17">
        <v>66.97458499999999</v>
      </c>
      <c r="J49" s="17">
        <v>70.006354999999999</v>
      </c>
      <c r="K49" s="17">
        <v>76.116900999999999</v>
      </c>
      <c r="L49" s="17">
        <v>81.837584000000007</v>
      </c>
      <c r="M49" s="17">
        <v>89.420275000000018</v>
      </c>
      <c r="N49" s="17">
        <v>99.04117500000001</v>
      </c>
      <c r="O49" s="17">
        <v>102.330545</v>
      </c>
      <c r="P49" s="17">
        <v>82.633692000000011</v>
      </c>
      <c r="Q49" s="17">
        <v>109.84739800000001</v>
      </c>
      <c r="R49" s="17">
        <v>115.98842999999999</v>
      </c>
      <c r="S49" s="17">
        <v>129.89315000000002</v>
      </c>
      <c r="T49" s="17">
        <v>127.31272000000001</v>
      </c>
      <c r="U49" s="17">
        <v>136.07462000000001</v>
      </c>
      <c r="V49" s="17">
        <v>134.33210999999997</v>
      </c>
      <c r="W49" s="17">
        <v>143.60245</v>
      </c>
      <c r="X49" s="17">
        <v>143.10166999999998</v>
      </c>
      <c r="Y49" s="17">
        <v>150.87625</v>
      </c>
      <c r="Z49" s="17">
        <v>150.19753</v>
      </c>
      <c r="AA49" s="17">
        <v>158.63142000000002</v>
      </c>
      <c r="AB49" s="17">
        <v>158.06381999999999</v>
      </c>
      <c r="AC49" s="17">
        <v>166.33795000000001</v>
      </c>
      <c r="AD49" s="17">
        <v>166.90873999999999</v>
      </c>
      <c r="AE49" s="18">
        <v>174.07148000000001</v>
      </c>
      <c r="AF49" s="13"/>
    </row>
    <row r="50" spans="2:32" x14ac:dyDescent="0.3">
      <c r="B50" s="23" t="s">
        <v>188</v>
      </c>
      <c r="C50" s="24" t="s">
        <v>1</v>
      </c>
      <c r="D50" s="24" t="s">
        <v>6</v>
      </c>
      <c r="E50" s="24" t="s">
        <v>5</v>
      </c>
      <c r="F50" s="17">
        <v>72.381100000000004</v>
      </c>
      <c r="G50" s="17">
        <v>77.414599999999993</v>
      </c>
      <c r="H50" s="17">
        <v>80.991799999999998</v>
      </c>
      <c r="I50" s="17">
        <v>95.409599999999998</v>
      </c>
      <c r="J50" s="17">
        <v>105.246</v>
      </c>
      <c r="K50" s="17">
        <v>105.91200000000001</v>
      </c>
      <c r="L50" s="17">
        <v>108.349</v>
      </c>
      <c r="M50" s="17">
        <v>117.944</v>
      </c>
      <c r="N50" s="17">
        <v>111.03100000000001</v>
      </c>
      <c r="O50" s="17">
        <v>112.794</v>
      </c>
      <c r="P50" s="17">
        <v>95.234700000000004</v>
      </c>
      <c r="Q50" s="17">
        <v>110.88800000000001</v>
      </c>
      <c r="R50" s="17">
        <v>115.96</v>
      </c>
      <c r="S50" s="17">
        <v>127.539</v>
      </c>
      <c r="T50" s="17">
        <v>126.098</v>
      </c>
      <c r="U50" s="17">
        <v>134.762</v>
      </c>
      <c r="V50" s="17">
        <v>133.03899999999999</v>
      </c>
      <c r="W50" s="17">
        <v>142.20699999999999</v>
      </c>
      <c r="X50" s="17">
        <v>141.71100000000001</v>
      </c>
      <c r="Y50" s="17">
        <v>149.4</v>
      </c>
      <c r="Z50" s="17">
        <v>148.72800000000001</v>
      </c>
      <c r="AA50" s="17">
        <v>157.55099999999999</v>
      </c>
      <c r="AB50" s="17">
        <v>157.619</v>
      </c>
      <c r="AC50" s="17">
        <v>165.8</v>
      </c>
      <c r="AD50" s="17">
        <v>166.36500000000001</v>
      </c>
      <c r="AE50" s="18">
        <v>173.44900000000001</v>
      </c>
      <c r="AF50" s="13"/>
    </row>
    <row r="51" spans="2:32" x14ac:dyDescent="0.3">
      <c r="B51" s="23" t="s">
        <v>188</v>
      </c>
      <c r="C51" s="24" t="s">
        <v>1</v>
      </c>
      <c r="D51" s="24" t="s">
        <v>6</v>
      </c>
      <c r="E51" s="24" t="s">
        <v>3</v>
      </c>
      <c r="F51" s="17">
        <v>24.760200000000001</v>
      </c>
      <c r="G51" s="17">
        <v>26.167200000000001</v>
      </c>
      <c r="H51" s="17">
        <v>28.5046</v>
      </c>
      <c r="I51" s="17">
        <v>30.081600000000002</v>
      </c>
      <c r="J51" s="17">
        <v>29.019500000000001</v>
      </c>
      <c r="K51" s="17">
        <v>31.064699999999998</v>
      </c>
      <c r="L51" s="17">
        <v>31.486499999999999</v>
      </c>
      <c r="M51" s="17">
        <v>32.269199999999998</v>
      </c>
      <c r="N51" s="17">
        <v>32.731699999999996</v>
      </c>
      <c r="O51" s="17">
        <v>32.2273</v>
      </c>
      <c r="P51" s="17">
        <v>25.101700000000001</v>
      </c>
      <c r="Q51" s="17">
        <v>32.411499999999997</v>
      </c>
      <c r="R51" s="17">
        <v>32.276699999999998</v>
      </c>
      <c r="S51" s="17">
        <v>31.684699999999999</v>
      </c>
      <c r="T51" s="17">
        <v>31.326499999999999</v>
      </c>
      <c r="U51" s="17">
        <v>33.478999999999999</v>
      </c>
      <c r="V51" s="17">
        <v>33.050899999999999</v>
      </c>
      <c r="W51" s="17">
        <v>35.328499999999998</v>
      </c>
      <c r="X51" s="17">
        <v>35.205399999999997</v>
      </c>
      <c r="Y51" s="17">
        <v>37.115400000000001</v>
      </c>
      <c r="Z51" s="17">
        <v>36.948599999999999</v>
      </c>
      <c r="AA51" s="17">
        <v>39.1404</v>
      </c>
      <c r="AB51" s="17">
        <v>39.157299999999999</v>
      </c>
      <c r="AC51" s="17">
        <v>41.189900000000002</v>
      </c>
      <c r="AD51" s="17">
        <v>41.330199999999998</v>
      </c>
      <c r="AE51" s="18">
        <v>43.0899</v>
      </c>
      <c r="AF51" s="13"/>
    </row>
    <row r="52" spans="2:32" x14ac:dyDescent="0.3">
      <c r="B52" s="23" t="s">
        <v>188</v>
      </c>
      <c r="C52" s="24" t="s">
        <v>1</v>
      </c>
      <c r="D52" s="24" t="s">
        <v>101</v>
      </c>
      <c r="E52" s="24"/>
      <c r="F52" s="17">
        <v>97.141300000000001</v>
      </c>
      <c r="G52" s="17">
        <v>103.58179999999999</v>
      </c>
      <c r="H52" s="17">
        <v>109.49639999999999</v>
      </c>
      <c r="I52" s="17">
        <v>125.49119999999999</v>
      </c>
      <c r="J52" s="17">
        <v>134.2655</v>
      </c>
      <c r="K52" s="17">
        <v>136.97669999999999</v>
      </c>
      <c r="L52" s="17">
        <v>139.8355</v>
      </c>
      <c r="M52" s="17">
        <v>150.2132</v>
      </c>
      <c r="N52" s="17">
        <v>143.7627</v>
      </c>
      <c r="O52" s="17">
        <v>145.0213</v>
      </c>
      <c r="P52" s="17">
        <v>120.3364</v>
      </c>
      <c r="Q52" s="17">
        <v>143.29949999999999</v>
      </c>
      <c r="R52" s="17">
        <v>148.23669999999998</v>
      </c>
      <c r="S52" s="17">
        <v>159.22370000000001</v>
      </c>
      <c r="T52" s="17">
        <v>157.42449999999999</v>
      </c>
      <c r="U52" s="17">
        <v>168.24099999999999</v>
      </c>
      <c r="V52" s="17">
        <v>166.0899</v>
      </c>
      <c r="W52" s="17">
        <v>177.53549999999998</v>
      </c>
      <c r="X52" s="17">
        <v>176.91640000000001</v>
      </c>
      <c r="Y52" s="17">
        <v>186.5154</v>
      </c>
      <c r="Z52" s="17">
        <v>185.67660000000001</v>
      </c>
      <c r="AA52" s="17">
        <v>196.69139999999999</v>
      </c>
      <c r="AB52" s="17">
        <v>196.77629999999999</v>
      </c>
      <c r="AC52" s="17">
        <v>206.98990000000001</v>
      </c>
      <c r="AD52" s="17">
        <v>207.6952</v>
      </c>
      <c r="AE52" s="18">
        <v>216.53890000000001</v>
      </c>
      <c r="AF52" s="13"/>
    </row>
    <row r="53" spans="2:32" x14ac:dyDescent="0.3">
      <c r="B53" s="23" t="s">
        <v>189</v>
      </c>
      <c r="C53" s="24" t="s">
        <v>1</v>
      </c>
      <c r="D53" s="24" t="s">
        <v>2</v>
      </c>
      <c r="E53" s="24" t="s">
        <v>5</v>
      </c>
      <c r="F53" s="17">
        <v>3.4336799999999998</v>
      </c>
      <c r="G53" s="17">
        <v>3.6724700000000001</v>
      </c>
      <c r="H53" s="17">
        <v>3.8421699999999999</v>
      </c>
      <c r="I53" s="17">
        <v>4.5261300000000002</v>
      </c>
      <c r="J53" s="17">
        <v>4.9886200000000001</v>
      </c>
      <c r="K53" s="17">
        <v>5.9653200000000002</v>
      </c>
      <c r="L53" s="17">
        <v>11.295</v>
      </c>
      <c r="M53" s="17">
        <v>11.9986</v>
      </c>
      <c r="N53" s="17">
        <v>11.486700000000001</v>
      </c>
      <c r="O53" s="17">
        <v>11.553599999999999</v>
      </c>
      <c r="P53" s="17">
        <v>9.8622099999999993</v>
      </c>
      <c r="Q53" s="17">
        <v>11.934100000000001</v>
      </c>
      <c r="R53" s="17">
        <v>13.3431</v>
      </c>
      <c r="S53" s="17">
        <v>14.144299999999999</v>
      </c>
      <c r="T53" s="17">
        <v>13.984400000000001</v>
      </c>
      <c r="U53" s="17">
        <v>14.9453</v>
      </c>
      <c r="V53" s="17">
        <v>14.754200000000001</v>
      </c>
      <c r="W53" s="17">
        <v>15.770899999999999</v>
      </c>
      <c r="X53" s="17">
        <v>15.715999999999999</v>
      </c>
      <c r="Y53" s="17">
        <v>16.5687</v>
      </c>
      <c r="Z53" s="17">
        <v>16.494199999999999</v>
      </c>
      <c r="AA53" s="17">
        <v>17.4726</v>
      </c>
      <c r="AB53" s="17">
        <v>17.4801</v>
      </c>
      <c r="AC53" s="17">
        <v>18.387499999999999</v>
      </c>
      <c r="AD53" s="17">
        <v>18.450199999999999</v>
      </c>
      <c r="AE53" s="18">
        <v>19.235700000000001</v>
      </c>
      <c r="AF53" s="13"/>
    </row>
    <row r="54" spans="2:32" x14ac:dyDescent="0.3">
      <c r="B54" s="23" t="s">
        <v>189</v>
      </c>
      <c r="C54" s="24" t="s">
        <v>1</v>
      </c>
      <c r="D54" s="24" t="s">
        <v>2</v>
      </c>
      <c r="E54" s="24" t="s">
        <v>4</v>
      </c>
      <c r="F54" s="17">
        <v>22.0153</v>
      </c>
      <c r="G54" s="17">
        <v>11.224600000000001</v>
      </c>
      <c r="H54" s="17">
        <v>0.43389</v>
      </c>
      <c r="I54" s="17">
        <v>0.33873399999999998</v>
      </c>
      <c r="J54" s="17">
        <v>0.31026399999999998</v>
      </c>
      <c r="K54" s="17">
        <v>0.377662</v>
      </c>
      <c r="L54" s="17">
        <v>0.36894700000000002</v>
      </c>
      <c r="M54" s="17">
        <v>0.39799800000000002</v>
      </c>
      <c r="N54" s="17">
        <v>0.37069000000000002</v>
      </c>
      <c r="O54" s="17">
        <v>0.36952800000000002</v>
      </c>
      <c r="P54" s="17">
        <v>0.187088</v>
      </c>
      <c r="Q54" s="17">
        <v>0</v>
      </c>
      <c r="R54" s="17">
        <v>0</v>
      </c>
      <c r="S54" s="17">
        <v>0</v>
      </c>
      <c r="T54" s="17">
        <v>0</v>
      </c>
      <c r="U54" s="17">
        <v>0</v>
      </c>
      <c r="V54" s="17">
        <v>0</v>
      </c>
      <c r="W54" s="17">
        <v>0</v>
      </c>
      <c r="X54" s="17">
        <v>0</v>
      </c>
      <c r="Y54" s="17">
        <v>0</v>
      </c>
      <c r="Z54" s="17">
        <v>0</v>
      </c>
      <c r="AA54" s="17">
        <v>0</v>
      </c>
      <c r="AB54" s="17">
        <v>0</v>
      </c>
      <c r="AC54" s="17">
        <v>0</v>
      </c>
      <c r="AD54" s="17">
        <v>0</v>
      </c>
      <c r="AE54" s="18">
        <v>0</v>
      </c>
      <c r="AF54" s="13"/>
    </row>
    <row r="55" spans="2:32" x14ac:dyDescent="0.3">
      <c r="B55" s="23" t="s">
        <v>189</v>
      </c>
      <c r="C55" s="24" t="s">
        <v>1</v>
      </c>
      <c r="D55" s="24" t="s">
        <v>2</v>
      </c>
      <c r="E55" s="24" t="s">
        <v>3</v>
      </c>
      <c r="F55" s="17">
        <v>1.6738300000000001E-2</v>
      </c>
      <c r="G55" s="17">
        <v>1.7689400000000001E-2</v>
      </c>
      <c r="H55" s="17">
        <v>1.9269499999999998E-2</v>
      </c>
      <c r="I55" s="17">
        <v>2.0335599999999999E-2</v>
      </c>
      <c r="J55" s="17">
        <v>2.1497700000000002E-2</v>
      </c>
      <c r="K55" s="17">
        <v>2.1497700000000002E-2</v>
      </c>
      <c r="L55" s="17">
        <v>2.09167E-2</v>
      </c>
      <c r="M55" s="17">
        <v>2.4402799999999999E-2</v>
      </c>
      <c r="N55" s="17">
        <v>3.0793999999999998E-2</v>
      </c>
      <c r="O55" s="17">
        <v>3.4861100000000002E-3</v>
      </c>
      <c r="P55" s="17">
        <v>9.8773100000000003E-3</v>
      </c>
      <c r="Q55" s="17">
        <v>1.9754600000000001E-2</v>
      </c>
      <c r="R55" s="17">
        <v>2.8469899999999999E-2</v>
      </c>
      <c r="S55" s="17">
        <v>3.1955999999999998E-2</v>
      </c>
      <c r="T55" s="17">
        <v>3.1594799999999999E-2</v>
      </c>
      <c r="U55" s="17">
        <v>3.3765700000000003E-2</v>
      </c>
      <c r="V55" s="17">
        <v>3.3334000000000003E-2</v>
      </c>
      <c r="W55" s="17">
        <v>3.5631000000000003E-2</v>
      </c>
      <c r="X55" s="17">
        <v>3.5506900000000001E-2</v>
      </c>
      <c r="Y55" s="17">
        <v>3.7433300000000003E-2</v>
      </c>
      <c r="Z55" s="17">
        <v>3.7265100000000002E-2</v>
      </c>
      <c r="AA55" s="17">
        <v>3.94756E-2</v>
      </c>
      <c r="AB55" s="17">
        <v>3.9492600000000003E-2</v>
      </c>
      <c r="AC55" s="17">
        <v>4.1542599999999999E-2</v>
      </c>
      <c r="AD55" s="17">
        <v>4.1684199999999998E-2</v>
      </c>
      <c r="AE55" s="18">
        <v>4.3458900000000002E-2</v>
      </c>
      <c r="AF55" s="13"/>
    </row>
    <row r="56" spans="2:32" x14ac:dyDescent="0.3">
      <c r="B56" s="23" t="s">
        <v>189</v>
      </c>
      <c r="C56" s="24" t="s">
        <v>1</v>
      </c>
      <c r="D56" s="24" t="s">
        <v>102</v>
      </c>
      <c r="E56" s="24"/>
      <c r="F56" s="17">
        <v>25.465718299999999</v>
      </c>
      <c r="G56" s="17">
        <v>14.914759400000001</v>
      </c>
      <c r="H56" s="17">
        <v>4.2953295000000002</v>
      </c>
      <c r="I56" s="17">
        <v>4.8851996</v>
      </c>
      <c r="J56" s="17">
        <v>5.3203817000000004</v>
      </c>
      <c r="K56" s="17">
        <v>6.3644797000000004</v>
      </c>
      <c r="L56" s="17">
        <v>11.684863700000001</v>
      </c>
      <c r="M56" s="17">
        <v>12.4210008</v>
      </c>
      <c r="N56" s="17">
        <v>11.888184000000001</v>
      </c>
      <c r="O56" s="17">
        <v>11.926614110000001</v>
      </c>
      <c r="P56" s="17">
        <v>10.059175309999999</v>
      </c>
      <c r="Q56" s="17">
        <v>11.953854600000001</v>
      </c>
      <c r="R56" s="17">
        <v>13.371569899999999</v>
      </c>
      <c r="S56" s="17">
        <v>14.176255999999999</v>
      </c>
      <c r="T56" s="17">
        <v>14.015994800000001</v>
      </c>
      <c r="U56" s="17">
        <v>14.9790657</v>
      </c>
      <c r="V56" s="17">
        <v>14.787534000000001</v>
      </c>
      <c r="W56" s="17">
        <v>15.806531</v>
      </c>
      <c r="X56" s="17">
        <v>15.751506899999999</v>
      </c>
      <c r="Y56" s="17">
        <v>16.6061333</v>
      </c>
      <c r="Z56" s="17">
        <v>16.531465099999998</v>
      </c>
      <c r="AA56" s="17">
        <v>17.512075599999999</v>
      </c>
      <c r="AB56" s="17">
        <v>17.519592599999999</v>
      </c>
      <c r="AC56" s="17">
        <v>18.429042599999999</v>
      </c>
      <c r="AD56" s="17">
        <v>18.491884199999998</v>
      </c>
      <c r="AE56" s="18">
        <v>19.279158900000002</v>
      </c>
      <c r="AF56" s="13"/>
    </row>
    <row r="57" spans="2:32" x14ac:dyDescent="0.3">
      <c r="B57" s="23"/>
      <c r="C57" s="24" t="s">
        <v>103</v>
      </c>
      <c r="D57" s="24"/>
      <c r="E57" s="24"/>
      <c r="F57" s="17">
        <v>434.32240974999996</v>
      </c>
      <c r="G57" s="17">
        <v>444.97008428000004</v>
      </c>
      <c r="H57" s="17">
        <v>457.41668111000001</v>
      </c>
      <c r="I57" s="17">
        <v>483.04363535999994</v>
      </c>
      <c r="J57" s="17">
        <v>506.17897845000005</v>
      </c>
      <c r="K57" s="17">
        <v>503.39803474000001</v>
      </c>
      <c r="L57" s="17">
        <v>500.27245993999992</v>
      </c>
      <c r="M57" s="17">
        <v>526.66004899999996</v>
      </c>
      <c r="N57" s="17">
        <v>542.18415640000001</v>
      </c>
      <c r="O57" s="17">
        <v>548.81547930999989</v>
      </c>
      <c r="P57" s="17">
        <v>475.47137761000005</v>
      </c>
      <c r="Q57" s="17">
        <v>537.55621189999999</v>
      </c>
      <c r="R57" s="17">
        <v>572.49604560000023</v>
      </c>
      <c r="S57" s="17">
        <v>582.53700290000018</v>
      </c>
      <c r="T57" s="17">
        <v>584.51100970000005</v>
      </c>
      <c r="U57" s="17">
        <v>609.41493960000003</v>
      </c>
      <c r="V57" s="17">
        <v>612.10636749999992</v>
      </c>
      <c r="W57" s="17">
        <v>639.11379550000004</v>
      </c>
      <c r="X57" s="17">
        <v>644.60455039999999</v>
      </c>
      <c r="Y57" s="17">
        <v>666.77651380000009</v>
      </c>
      <c r="Z57" s="17">
        <v>671.31624359999989</v>
      </c>
      <c r="AA57" s="17">
        <v>697.37340809999989</v>
      </c>
      <c r="AB57" s="17">
        <v>703.47220609999988</v>
      </c>
      <c r="AC57" s="17">
        <v>728.39794710000012</v>
      </c>
      <c r="AD57" s="17">
        <v>736.09130369999991</v>
      </c>
      <c r="AE57" s="18">
        <v>757.83028839999986</v>
      </c>
      <c r="AF57" s="13"/>
    </row>
    <row r="58" spans="2:32" x14ac:dyDescent="0.3">
      <c r="B58" s="29" t="s">
        <v>183</v>
      </c>
      <c r="C58" s="30" t="s">
        <v>33</v>
      </c>
      <c r="D58" s="30" t="s">
        <v>21</v>
      </c>
      <c r="E58" s="30" t="s">
        <v>5</v>
      </c>
      <c r="F58" s="17">
        <v>0</v>
      </c>
      <c r="G58" s="17">
        <v>0</v>
      </c>
      <c r="H58" s="17">
        <v>0</v>
      </c>
      <c r="I58" s="17">
        <v>0</v>
      </c>
      <c r="J58" s="17">
        <v>0</v>
      </c>
      <c r="K58" s="17">
        <v>0</v>
      </c>
      <c r="L58" s="17">
        <v>0</v>
      </c>
      <c r="M58" s="17">
        <v>0</v>
      </c>
      <c r="N58" s="17">
        <v>0</v>
      </c>
      <c r="O58" s="17">
        <v>0.682697</v>
      </c>
      <c r="P58" s="17">
        <v>0.35209699999999999</v>
      </c>
      <c r="Q58" s="17">
        <v>0.56533100000000003</v>
      </c>
      <c r="R58" s="17">
        <v>0.43750699999999998</v>
      </c>
      <c r="S58" s="17">
        <v>0.43576399999999998</v>
      </c>
      <c r="T58" s="17">
        <v>0.43576399999999998</v>
      </c>
      <c r="U58" s="17">
        <v>0.43576399999999998</v>
      </c>
      <c r="V58" s="17">
        <v>0.43576399999999998</v>
      </c>
      <c r="W58" s="17">
        <v>0.43576399999999998</v>
      </c>
      <c r="X58" s="17">
        <v>0.43576399999999998</v>
      </c>
      <c r="Y58" s="17">
        <v>0.43576399999999998</v>
      </c>
      <c r="Z58" s="17">
        <v>0.43576399999999998</v>
      </c>
      <c r="AA58" s="17">
        <v>0.43576399999999998</v>
      </c>
      <c r="AB58" s="17">
        <v>0.43576399999999998</v>
      </c>
      <c r="AC58" s="17">
        <v>0.43576399999999998</v>
      </c>
      <c r="AD58" s="17">
        <v>0.43576399999999998</v>
      </c>
      <c r="AE58" s="18">
        <v>0.43576399999999998</v>
      </c>
      <c r="AF58" s="13"/>
    </row>
    <row r="59" spans="2:32" x14ac:dyDescent="0.3">
      <c r="B59" s="29" t="s">
        <v>183</v>
      </c>
      <c r="C59" s="30" t="s">
        <v>33</v>
      </c>
      <c r="D59" s="30" t="s">
        <v>21</v>
      </c>
      <c r="E59" s="30" t="s">
        <v>3</v>
      </c>
      <c r="F59" s="17">
        <v>0</v>
      </c>
      <c r="G59" s="17">
        <v>0</v>
      </c>
      <c r="H59" s="17">
        <v>0</v>
      </c>
      <c r="I59" s="17">
        <v>4.2600300000000004</v>
      </c>
      <c r="J59" s="17">
        <v>4.4941800000000001</v>
      </c>
      <c r="K59" s="17">
        <v>4.44421</v>
      </c>
      <c r="L59" s="17">
        <v>4.0357500000000002</v>
      </c>
      <c r="M59" s="17">
        <v>4.3553100000000002</v>
      </c>
      <c r="N59" s="17">
        <v>4.7660900000000002</v>
      </c>
      <c r="O59" s="17">
        <v>5.2210299999999998</v>
      </c>
      <c r="P59" s="17">
        <v>4.84802</v>
      </c>
      <c r="Q59" s="17">
        <v>5.4162499999999998</v>
      </c>
      <c r="R59" s="17">
        <v>5.3645399999999999</v>
      </c>
      <c r="S59" s="17">
        <v>5.5818399999999997</v>
      </c>
      <c r="T59" s="17">
        <v>5.7562800000000003</v>
      </c>
      <c r="U59" s="17">
        <v>5.8919499999999996</v>
      </c>
      <c r="V59" s="17">
        <v>6.0082300000000002</v>
      </c>
      <c r="W59" s="17">
        <v>6.1632899999999999</v>
      </c>
      <c r="X59" s="17">
        <v>6.2892599999999996</v>
      </c>
      <c r="Y59" s="17">
        <v>6.3764799999999999</v>
      </c>
      <c r="Z59" s="17">
        <v>6.4637000000000002</v>
      </c>
      <c r="AA59" s="17">
        <v>6.5993700000000004</v>
      </c>
      <c r="AB59" s="17">
        <v>6.6865800000000002</v>
      </c>
      <c r="AC59" s="17">
        <v>6.8028700000000004</v>
      </c>
      <c r="AD59" s="17">
        <v>6.8803999999999998</v>
      </c>
      <c r="AE59" s="18">
        <v>6.9676099999999996</v>
      </c>
      <c r="AF59" s="13"/>
    </row>
    <row r="60" spans="2:32" x14ac:dyDescent="0.3">
      <c r="B60" s="29" t="s">
        <v>183</v>
      </c>
      <c r="C60" s="30" t="s">
        <v>33</v>
      </c>
      <c r="D60" s="30" t="s">
        <v>21</v>
      </c>
      <c r="E60" s="30" t="s">
        <v>8</v>
      </c>
      <c r="F60" s="17">
        <v>0</v>
      </c>
      <c r="G60" s="17">
        <v>0</v>
      </c>
      <c r="H60" s="17">
        <v>0</v>
      </c>
      <c r="I60" s="17">
        <v>0.84305799999999997</v>
      </c>
      <c r="J60" s="17">
        <v>0.99412199999999995</v>
      </c>
      <c r="K60" s="17">
        <v>1.0249200000000001</v>
      </c>
      <c r="L60" s="17">
        <v>0.799481</v>
      </c>
      <c r="M60" s="17">
        <v>1.1080000000000001</v>
      </c>
      <c r="N60" s="17">
        <v>1.05339</v>
      </c>
      <c r="O60" s="17">
        <v>1.1393800000000001</v>
      </c>
      <c r="P60" s="17">
        <v>0.933697</v>
      </c>
      <c r="Q60" s="17">
        <v>1.09754</v>
      </c>
      <c r="R60" s="17">
        <v>1.02782</v>
      </c>
      <c r="S60" s="17">
        <v>0.62982400000000005</v>
      </c>
      <c r="T60" s="17">
        <v>0.64597300000000002</v>
      </c>
      <c r="U60" s="17">
        <v>0.66212300000000002</v>
      </c>
      <c r="V60" s="17">
        <v>0.67827199999999999</v>
      </c>
      <c r="W60" s="17">
        <v>0.69442099999999995</v>
      </c>
      <c r="X60" s="17">
        <v>0.71057099999999995</v>
      </c>
      <c r="Y60" s="17">
        <v>0.71595399999999998</v>
      </c>
      <c r="Z60" s="17">
        <v>0.72672000000000003</v>
      </c>
      <c r="AA60" s="17">
        <v>0.742869</v>
      </c>
      <c r="AB60" s="17">
        <v>0.75363500000000005</v>
      </c>
      <c r="AC60" s="17">
        <v>0.76440200000000003</v>
      </c>
      <c r="AD60" s="17">
        <v>0.77516799999999997</v>
      </c>
      <c r="AE60" s="18">
        <v>0.78593400000000002</v>
      </c>
      <c r="AF60" s="13"/>
    </row>
    <row r="61" spans="2:32" x14ac:dyDescent="0.3">
      <c r="B61" s="29" t="s">
        <v>183</v>
      </c>
      <c r="C61" s="30" t="s">
        <v>33</v>
      </c>
      <c r="D61" s="30" t="s">
        <v>21</v>
      </c>
      <c r="E61" s="30" t="s">
        <v>176</v>
      </c>
      <c r="F61" s="17">
        <v>0</v>
      </c>
      <c r="G61" s="17">
        <v>0</v>
      </c>
      <c r="H61" s="17">
        <v>0</v>
      </c>
      <c r="I61" s="17">
        <v>1.34738</v>
      </c>
      <c r="J61" s="17">
        <v>1.27824</v>
      </c>
      <c r="K61" s="17">
        <v>1.2131700000000001</v>
      </c>
      <c r="L61" s="17">
        <v>0.394511</v>
      </c>
      <c r="M61" s="17">
        <v>0</v>
      </c>
      <c r="N61" s="17">
        <v>0</v>
      </c>
      <c r="O61" s="17">
        <v>0</v>
      </c>
      <c r="P61" s="17">
        <v>0</v>
      </c>
      <c r="Q61" s="17">
        <v>0</v>
      </c>
      <c r="R61" s="17">
        <v>0</v>
      </c>
      <c r="S61" s="17">
        <v>0</v>
      </c>
      <c r="T61" s="17">
        <v>0</v>
      </c>
      <c r="U61" s="17">
        <v>0</v>
      </c>
      <c r="V61" s="17">
        <v>0</v>
      </c>
      <c r="W61" s="17">
        <v>0</v>
      </c>
      <c r="X61" s="17">
        <v>0</v>
      </c>
      <c r="Y61" s="17">
        <v>0</v>
      </c>
      <c r="Z61" s="17">
        <v>0</v>
      </c>
      <c r="AA61" s="17">
        <v>0</v>
      </c>
      <c r="AB61" s="17">
        <v>0</v>
      </c>
      <c r="AC61" s="17">
        <v>0</v>
      </c>
      <c r="AD61" s="17">
        <v>0</v>
      </c>
      <c r="AE61" s="18">
        <v>0</v>
      </c>
      <c r="AF61" s="13"/>
    </row>
    <row r="62" spans="2:32" x14ac:dyDescent="0.3">
      <c r="B62" s="29" t="s">
        <v>183</v>
      </c>
      <c r="C62" s="30" t="s">
        <v>33</v>
      </c>
      <c r="D62" s="30" t="s">
        <v>94</v>
      </c>
      <c r="E62" s="30"/>
      <c r="F62" s="17">
        <v>0</v>
      </c>
      <c r="G62" s="17">
        <v>0</v>
      </c>
      <c r="H62" s="17">
        <v>0</v>
      </c>
      <c r="I62" s="17">
        <v>6.4504680000000008</v>
      </c>
      <c r="J62" s="17">
        <v>6.7665420000000003</v>
      </c>
      <c r="K62" s="17">
        <v>6.6822999999999997</v>
      </c>
      <c r="L62" s="17">
        <v>5.2297419999999999</v>
      </c>
      <c r="M62" s="17">
        <v>5.4633099999999999</v>
      </c>
      <c r="N62" s="17">
        <v>5.8194800000000004</v>
      </c>
      <c r="O62" s="17">
        <v>7.043107</v>
      </c>
      <c r="P62" s="17">
        <v>6.1338139999999992</v>
      </c>
      <c r="Q62" s="17">
        <v>7.0791210000000007</v>
      </c>
      <c r="R62" s="17">
        <v>6.8298670000000001</v>
      </c>
      <c r="S62" s="17">
        <v>6.6474279999999997</v>
      </c>
      <c r="T62" s="17">
        <v>6.8380169999999998</v>
      </c>
      <c r="U62" s="17">
        <v>6.9898369999999996</v>
      </c>
      <c r="V62" s="17">
        <v>7.1222659999999998</v>
      </c>
      <c r="W62" s="17">
        <v>7.2934749999999999</v>
      </c>
      <c r="X62" s="17">
        <v>7.4355949999999993</v>
      </c>
      <c r="Y62" s="17">
        <v>7.5281979999999997</v>
      </c>
      <c r="Z62" s="17">
        <v>7.6261840000000003</v>
      </c>
      <c r="AA62" s="17">
        <v>7.778003</v>
      </c>
      <c r="AB62" s="17">
        <v>7.8759790000000001</v>
      </c>
      <c r="AC62" s="17">
        <v>8.0030359999999998</v>
      </c>
      <c r="AD62" s="17">
        <v>8.0913319999999995</v>
      </c>
      <c r="AE62" s="18">
        <v>8.1893079999999987</v>
      </c>
      <c r="AF62" s="13"/>
    </row>
    <row r="63" spans="2:32" x14ac:dyDescent="0.3">
      <c r="B63" s="29" t="s">
        <v>184</v>
      </c>
      <c r="C63" s="30" t="s">
        <v>33</v>
      </c>
      <c r="D63" s="30" t="s">
        <v>20</v>
      </c>
      <c r="E63" s="30" t="s">
        <v>5</v>
      </c>
      <c r="F63" s="17">
        <v>9.7515800000000006</v>
      </c>
      <c r="G63" s="17">
        <v>10.236800000000001</v>
      </c>
      <c r="H63" s="17">
        <v>11.376799999999999</v>
      </c>
      <c r="I63" s="17">
        <v>8.1522699999999997</v>
      </c>
      <c r="J63" s="17">
        <v>8.6182499999999997</v>
      </c>
      <c r="K63" s="17">
        <v>7.6810600000000004</v>
      </c>
      <c r="L63" s="17">
        <v>5.2680899999999999</v>
      </c>
      <c r="M63" s="17">
        <v>5.0496299999999996</v>
      </c>
      <c r="N63" s="17">
        <v>5.7404599999999997</v>
      </c>
      <c r="O63" s="17">
        <v>4.71671</v>
      </c>
      <c r="P63" s="17">
        <v>4.60283</v>
      </c>
      <c r="Q63" s="17">
        <v>4.3925000000000001</v>
      </c>
      <c r="R63" s="17">
        <v>6.0873299999999997</v>
      </c>
      <c r="S63" s="17">
        <v>4.6353600000000004</v>
      </c>
      <c r="T63" s="17">
        <v>4.7568200000000003</v>
      </c>
      <c r="U63" s="17">
        <v>4.8706800000000001</v>
      </c>
      <c r="V63" s="17">
        <v>4.98454</v>
      </c>
      <c r="W63" s="17">
        <v>5.1161099999999999</v>
      </c>
      <c r="X63" s="17">
        <v>5.2451499999999998</v>
      </c>
      <c r="Y63" s="17">
        <v>5.3590099999999996</v>
      </c>
      <c r="Z63" s="17">
        <v>5.4855200000000002</v>
      </c>
      <c r="AA63" s="17">
        <v>5.6322700000000001</v>
      </c>
      <c r="AB63" s="17">
        <v>5.77902</v>
      </c>
      <c r="AC63" s="17">
        <v>5.9232500000000003</v>
      </c>
      <c r="AD63" s="17">
        <v>6.0624099999999999</v>
      </c>
      <c r="AE63" s="18">
        <v>6.1990400000000001</v>
      </c>
      <c r="AF63" s="13"/>
    </row>
    <row r="64" spans="2:32" x14ac:dyDescent="0.3">
      <c r="B64" s="29" t="s">
        <v>184</v>
      </c>
      <c r="C64" s="30" t="s">
        <v>33</v>
      </c>
      <c r="D64" s="30" t="s">
        <v>20</v>
      </c>
      <c r="E64" s="30" t="s">
        <v>9</v>
      </c>
      <c r="F64" s="17">
        <v>15.4636</v>
      </c>
      <c r="G64" s="17">
        <v>17.1326</v>
      </c>
      <c r="H64" s="17">
        <v>17.649000000000001</v>
      </c>
      <c r="I64" s="17">
        <v>19.9603</v>
      </c>
      <c r="J64" s="17">
        <v>21.710899999999999</v>
      </c>
      <c r="K64" s="17">
        <v>23.178000000000001</v>
      </c>
      <c r="L64" s="17">
        <v>23.880400000000002</v>
      </c>
      <c r="M64" s="17">
        <v>24.465499999999999</v>
      </c>
      <c r="N64" s="17">
        <v>24.9786</v>
      </c>
      <c r="O64" s="17">
        <v>26.076699999999999</v>
      </c>
      <c r="P64" s="17">
        <v>23.932700000000001</v>
      </c>
      <c r="Q64" s="17">
        <v>25.1662</v>
      </c>
      <c r="R64" s="17">
        <v>26.593800000000002</v>
      </c>
      <c r="S64" s="17">
        <v>28.750499999999999</v>
      </c>
      <c r="T64" s="17">
        <v>29.500699999999998</v>
      </c>
      <c r="U64" s="17">
        <v>30.202000000000002</v>
      </c>
      <c r="V64" s="17">
        <v>30.905999999999999</v>
      </c>
      <c r="W64" s="17">
        <v>31.7165</v>
      </c>
      <c r="X64" s="17">
        <v>32.520299999999999</v>
      </c>
      <c r="Y64" s="17">
        <v>33.238</v>
      </c>
      <c r="Z64" s="17">
        <v>34.021599999999999</v>
      </c>
      <c r="AA64" s="17">
        <v>34.918999999999997</v>
      </c>
      <c r="AB64" s="17">
        <v>35.824599999999997</v>
      </c>
      <c r="AC64" s="17">
        <v>36.720999999999997</v>
      </c>
      <c r="AD64" s="17">
        <v>37.5794</v>
      </c>
      <c r="AE64" s="18">
        <v>38.423999999999999</v>
      </c>
      <c r="AF64" s="13"/>
    </row>
    <row r="65" spans="2:32" x14ac:dyDescent="0.3">
      <c r="B65" s="29" t="s">
        <v>184</v>
      </c>
      <c r="C65" s="30" t="s">
        <v>33</v>
      </c>
      <c r="D65" s="30" t="s">
        <v>20</v>
      </c>
      <c r="E65" s="30" t="s">
        <v>4</v>
      </c>
      <c r="F65" s="17">
        <v>0.99017200000000005</v>
      </c>
      <c r="G65" s="17">
        <v>1.0626800000000001</v>
      </c>
      <c r="H65" s="17">
        <v>1.1308400000000001</v>
      </c>
      <c r="I65" s="17">
        <v>0.32943699999999998</v>
      </c>
      <c r="J65" s="17">
        <v>0.33524799999999999</v>
      </c>
      <c r="K65" s="17">
        <v>0.30038700000000002</v>
      </c>
      <c r="L65" s="17">
        <v>0.29050900000000002</v>
      </c>
      <c r="M65" s="17">
        <v>0.29225200000000001</v>
      </c>
      <c r="N65" s="17">
        <v>0.27482200000000001</v>
      </c>
      <c r="O65" s="17">
        <v>0.28295599999999999</v>
      </c>
      <c r="P65" s="17">
        <v>0.27017400000000003</v>
      </c>
      <c r="Q65" s="17">
        <v>0.31491200000000003</v>
      </c>
      <c r="R65" s="17">
        <v>0.31723600000000002</v>
      </c>
      <c r="S65" s="17">
        <v>0.30038700000000002</v>
      </c>
      <c r="T65" s="17">
        <v>0.30726599999999998</v>
      </c>
      <c r="U65" s="17">
        <v>0.316438</v>
      </c>
      <c r="V65" s="17">
        <v>0.32561000000000001</v>
      </c>
      <c r="W65" s="17">
        <v>0.33478200000000002</v>
      </c>
      <c r="X65" s="17">
        <v>0.34166099999999999</v>
      </c>
      <c r="Y65" s="17">
        <v>0.34854000000000002</v>
      </c>
      <c r="Z65" s="17">
        <v>0.35771199999999997</v>
      </c>
      <c r="AA65" s="17">
        <v>0.36688399999999999</v>
      </c>
      <c r="AB65" s="17">
        <v>0.376056</v>
      </c>
      <c r="AC65" s="17">
        <v>0.38522899999999999</v>
      </c>
      <c r="AD65" s="17">
        <v>0.394401</v>
      </c>
      <c r="AE65" s="18">
        <v>0.40357300000000002</v>
      </c>
      <c r="AF65" s="13"/>
    </row>
    <row r="66" spans="2:32" x14ac:dyDescent="0.3">
      <c r="B66" s="29" t="s">
        <v>184</v>
      </c>
      <c r="C66" s="30" t="s">
        <v>33</v>
      </c>
      <c r="D66" s="30" t="s">
        <v>20</v>
      </c>
      <c r="E66" s="30" t="s">
        <v>3</v>
      </c>
      <c r="F66" s="17">
        <v>0</v>
      </c>
      <c r="G66" s="17">
        <v>1</v>
      </c>
      <c r="H66" s="17">
        <v>2</v>
      </c>
      <c r="I66" s="17">
        <v>0.19057399999999999</v>
      </c>
      <c r="J66" s="17">
        <v>0.23124500000000001</v>
      </c>
      <c r="K66" s="17">
        <v>0.22601599999999999</v>
      </c>
      <c r="L66" s="17">
        <v>0.17256199999999999</v>
      </c>
      <c r="M66" s="17">
        <v>0.178954</v>
      </c>
      <c r="N66" s="17">
        <v>9.9354100000000001E-2</v>
      </c>
      <c r="O66" s="17">
        <v>0.12317599999999999</v>
      </c>
      <c r="P66" s="17">
        <v>3.4861099999999999E-2</v>
      </c>
      <c r="Q66" s="17">
        <v>0.23705599999999999</v>
      </c>
      <c r="R66" s="17">
        <v>0</v>
      </c>
      <c r="S66" s="17">
        <v>0</v>
      </c>
      <c r="T66" s="17">
        <v>0</v>
      </c>
      <c r="U66" s="17">
        <v>0</v>
      </c>
      <c r="V66" s="17">
        <v>0</v>
      </c>
      <c r="W66" s="17">
        <v>0</v>
      </c>
      <c r="X66" s="17">
        <v>0</v>
      </c>
      <c r="Y66" s="17">
        <v>0</v>
      </c>
      <c r="Z66" s="17">
        <v>0</v>
      </c>
      <c r="AA66" s="17">
        <v>0</v>
      </c>
      <c r="AB66" s="17">
        <v>0</v>
      </c>
      <c r="AC66" s="17">
        <v>0</v>
      </c>
      <c r="AD66" s="17">
        <v>0</v>
      </c>
      <c r="AE66" s="18">
        <v>0</v>
      </c>
      <c r="AF66" s="13"/>
    </row>
    <row r="67" spans="2:32" x14ac:dyDescent="0.3">
      <c r="B67" s="29" t="s">
        <v>184</v>
      </c>
      <c r="C67" s="30" t="s">
        <v>33</v>
      </c>
      <c r="D67" s="30" t="s">
        <v>20</v>
      </c>
      <c r="E67" s="30" t="s">
        <v>8</v>
      </c>
      <c r="F67" s="17">
        <v>1.8767499999999999</v>
      </c>
      <c r="G67" s="17">
        <v>2.0142000000000002</v>
      </c>
      <c r="H67" s="17">
        <v>2.03735</v>
      </c>
      <c r="I67" s="17">
        <v>2.1991499999999999</v>
      </c>
      <c r="J67" s="17">
        <v>2.2142599999999999</v>
      </c>
      <c r="K67" s="17">
        <v>2.2438899999999999</v>
      </c>
      <c r="L67" s="17">
        <v>2.21252</v>
      </c>
      <c r="M67" s="17">
        <v>2.2787500000000001</v>
      </c>
      <c r="N67" s="17">
        <v>2.39263</v>
      </c>
      <c r="O67" s="17">
        <v>2.3990200000000002</v>
      </c>
      <c r="P67" s="17">
        <v>2.2421500000000001</v>
      </c>
      <c r="Q67" s="17">
        <v>2.3827600000000002</v>
      </c>
      <c r="R67" s="17">
        <v>2.6552500000000001</v>
      </c>
      <c r="S67" s="17">
        <v>2.5436999999999999</v>
      </c>
      <c r="T67" s="17">
        <v>2.6101700000000001</v>
      </c>
      <c r="U67" s="17">
        <v>2.6715200000000001</v>
      </c>
      <c r="V67" s="17">
        <v>2.7328800000000002</v>
      </c>
      <c r="W67" s="17">
        <v>2.8044600000000002</v>
      </c>
      <c r="X67" s="17">
        <v>2.8734799999999998</v>
      </c>
      <c r="Y67" s="17">
        <v>2.9348399999999999</v>
      </c>
      <c r="Z67" s="17">
        <v>3.00387</v>
      </c>
      <c r="AA67" s="17">
        <v>3.0831200000000001</v>
      </c>
      <c r="AB67" s="17">
        <v>3.1623700000000001</v>
      </c>
      <c r="AC67" s="17">
        <v>3.2416200000000002</v>
      </c>
      <c r="AD67" s="17">
        <v>3.3183099999999999</v>
      </c>
      <c r="AE67" s="18">
        <v>3.3924500000000002</v>
      </c>
      <c r="AF67" s="13"/>
    </row>
    <row r="68" spans="2:32" x14ac:dyDescent="0.3">
      <c r="B68" s="29" t="s">
        <v>184</v>
      </c>
      <c r="C68" s="30" t="s">
        <v>33</v>
      </c>
      <c r="D68" s="30" t="s">
        <v>95</v>
      </c>
      <c r="E68" s="30"/>
      <c r="F68" s="17">
        <v>28.082102000000003</v>
      </c>
      <c r="G68" s="17">
        <v>31.446279999999998</v>
      </c>
      <c r="H68" s="17">
        <v>34.193989999999999</v>
      </c>
      <c r="I68" s="17">
        <v>30.831730999999998</v>
      </c>
      <c r="J68" s="17">
        <v>33.109903000000003</v>
      </c>
      <c r="K68" s="17">
        <v>33.629353000000002</v>
      </c>
      <c r="L68" s="17">
        <v>31.824081000000003</v>
      </c>
      <c r="M68" s="17">
        <v>32.265086000000004</v>
      </c>
      <c r="N68" s="17">
        <v>33.485866099999996</v>
      </c>
      <c r="O68" s="17">
        <v>33.598562000000001</v>
      </c>
      <c r="P68" s="17">
        <v>31.082715100000001</v>
      </c>
      <c r="Q68" s="17">
        <v>32.493428000000002</v>
      </c>
      <c r="R68" s="17">
        <v>35.653616000000007</v>
      </c>
      <c r="S68" s="17">
        <v>36.229947000000003</v>
      </c>
      <c r="T68" s="17">
        <v>37.174955999999995</v>
      </c>
      <c r="U68" s="17">
        <v>38.060638000000004</v>
      </c>
      <c r="V68" s="17">
        <v>38.94903</v>
      </c>
      <c r="W68" s="17">
        <v>39.971851999999998</v>
      </c>
      <c r="X68" s="17">
        <v>40.980591000000004</v>
      </c>
      <c r="Y68" s="17">
        <v>41.880389999999998</v>
      </c>
      <c r="Z68" s="17">
        <v>42.868701999999999</v>
      </c>
      <c r="AA68" s="17">
        <v>44.001273999999995</v>
      </c>
      <c r="AB68" s="17">
        <v>45.142046000000001</v>
      </c>
      <c r="AC68" s="17">
        <v>46.271099</v>
      </c>
      <c r="AD68" s="17">
        <v>47.354520999999998</v>
      </c>
      <c r="AE68" s="18">
        <v>48.419063000000008</v>
      </c>
      <c r="AF68" s="13"/>
    </row>
    <row r="69" spans="2:32" x14ac:dyDescent="0.3">
      <c r="B69" s="29" t="s">
        <v>193</v>
      </c>
      <c r="C69" s="30" t="s">
        <v>33</v>
      </c>
      <c r="D69" s="30" t="s">
        <v>18</v>
      </c>
      <c r="E69" s="30" t="s">
        <v>19</v>
      </c>
      <c r="F69" s="17">
        <v>10.1234</v>
      </c>
      <c r="G69" s="17">
        <v>11.414859099999999</v>
      </c>
      <c r="H69" s="17">
        <v>12.1173836</v>
      </c>
      <c r="I69" s="17">
        <v>6.2412036000000004</v>
      </c>
      <c r="J69" s="17">
        <v>8.1963336000000009</v>
      </c>
      <c r="K69" s="17">
        <v>8.5745736000000008</v>
      </c>
      <c r="L69" s="17">
        <v>8.7494636000000003</v>
      </c>
      <c r="M69" s="17">
        <v>9.6593336000000001</v>
      </c>
      <c r="N69" s="17">
        <v>8.2416535999999994</v>
      </c>
      <c r="O69" s="17">
        <v>8.9853535999999998</v>
      </c>
      <c r="P69" s="17">
        <v>9.1189935999999996</v>
      </c>
      <c r="Q69" s="17">
        <v>7.6966536000000003</v>
      </c>
      <c r="R69" s="17">
        <v>7.0424335999999998</v>
      </c>
      <c r="S69" s="17">
        <v>7.8053036000000002</v>
      </c>
      <c r="T69" s="17">
        <v>7.8053036000000002</v>
      </c>
      <c r="U69" s="17">
        <v>7.8053036000000002</v>
      </c>
      <c r="V69" s="17">
        <v>7.8053036000000002</v>
      </c>
      <c r="W69" s="17">
        <v>7.8053036000000002</v>
      </c>
      <c r="X69" s="17">
        <v>7.8053036000000002</v>
      </c>
      <c r="Y69" s="17">
        <v>7.8053036000000002</v>
      </c>
      <c r="Z69" s="17">
        <v>7.8053036000000002</v>
      </c>
      <c r="AA69" s="17">
        <v>7.8053036000000002</v>
      </c>
      <c r="AB69" s="17">
        <v>7.8053036000000002</v>
      </c>
      <c r="AC69" s="17">
        <v>7.8053036000000002</v>
      </c>
      <c r="AD69" s="17">
        <v>7.8053036000000002</v>
      </c>
      <c r="AE69" s="18">
        <v>7.8053036000000002</v>
      </c>
      <c r="AF69" s="13"/>
    </row>
    <row r="70" spans="2:32" x14ac:dyDescent="0.3">
      <c r="B70" s="29" t="s">
        <v>193</v>
      </c>
      <c r="C70" s="30" t="s">
        <v>33</v>
      </c>
      <c r="D70" s="30" t="s">
        <v>18</v>
      </c>
      <c r="E70" s="30" t="s">
        <v>174</v>
      </c>
      <c r="F70" s="17">
        <v>5.8E-4</v>
      </c>
      <c r="G70" s="17">
        <v>2.9E-4</v>
      </c>
      <c r="H70" s="17">
        <v>0</v>
      </c>
      <c r="I70" s="17">
        <v>0</v>
      </c>
      <c r="J70" s="17">
        <v>0</v>
      </c>
      <c r="K70" s="17">
        <v>3.2660000000000002E-2</v>
      </c>
      <c r="L70" s="17">
        <v>6.5320000000000003E-2</v>
      </c>
      <c r="M70" s="17">
        <v>3.2660000000000002E-2</v>
      </c>
      <c r="N70" s="17">
        <v>0</v>
      </c>
      <c r="O70" s="17">
        <v>0</v>
      </c>
      <c r="P70" s="17">
        <v>0</v>
      </c>
      <c r="Q70" s="17">
        <v>5.0999999999999997E-2</v>
      </c>
      <c r="R70" s="17">
        <v>0.10743</v>
      </c>
      <c r="S70" s="17">
        <v>0.10448399999999999</v>
      </c>
      <c r="T70" s="17">
        <v>0.10828599999999999</v>
      </c>
      <c r="U70" s="17">
        <v>0.10999299999999999</v>
      </c>
      <c r="V70" s="17">
        <v>0.113195</v>
      </c>
      <c r="W70" s="17">
        <v>0.115523</v>
      </c>
      <c r="X70" s="17">
        <v>0.119383</v>
      </c>
      <c r="Y70" s="17">
        <v>0.120698</v>
      </c>
      <c r="Z70" s="17">
        <v>0.12418</v>
      </c>
      <c r="AA70" s="17">
        <v>0.126803</v>
      </c>
      <c r="AB70" s="17">
        <v>0.13048199999999999</v>
      </c>
      <c r="AC70" s="17">
        <v>0.13306699999999999</v>
      </c>
      <c r="AD70" s="17">
        <v>0.13667699999999999</v>
      </c>
      <c r="AE70" s="18">
        <v>0.13883200000000001</v>
      </c>
      <c r="AF70" s="13"/>
    </row>
    <row r="71" spans="2:32" x14ac:dyDescent="0.3">
      <c r="B71" s="29" t="s">
        <v>193</v>
      </c>
      <c r="C71" s="30" t="s">
        <v>33</v>
      </c>
      <c r="D71" s="30" t="s">
        <v>18</v>
      </c>
      <c r="E71" s="30" t="s">
        <v>17</v>
      </c>
      <c r="F71" s="17">
        <v>0</v>
      </c>
      <c r="G71" s="17">
        <v>0</v>
      </c>
      <c r="H71" s="17">
        <v>0</v>
      </c>
      <c r="I71" s="17">
        <v>6.6491699999999998</v>
      </c>
      <c r="J71" s="17">
        <v>7.3493000000000004</v>
      </c>
      <c r="K71" s="17">
        <v>8.1766699999999997</v>
      </c>
      <c r="L71" s="17">
        <v>8.3655000000000008</v>
      </c>
      <c r="M71" s="17">
        <v>9.8999699999999997</v>
      </c>
      <c r="N71" s="17">
        <v>7.1784800000000004</v>
      </c>
      <c r="O71" s="17">
        <v>9.5682100000000005</v>
      </c>
      <c r="P71" s="17">
        <v>7.4562099999999996</v>
      </c>
      <c r="Q71" s="17">
        <v>11.784800000000001</v>
      </c>
      <c r="R71" s="17">
        <v>7.6345799999999997</v>
      </c>
      <c r="S71" s="17">
        <v>7.0285799999999998</v>
      </c>
      <c r="T71" s="17">
        <v>7.2843600000000004</v>
      </c>
      <c r="U71" s="17">
        <v>7.3992199999999997</v>
      </c>
      <c r="V71" s="17">
        <v>7.6146000000000003</v>
      </c>
      <c r="W71" s="17">
        <v>7.7711600000000001</v>
      </c>
      <c r="X71" s="17">
        <v>8.0308399999999995</v>
      </c>
      <c r="Y71" s="17">
        <v>8.1193200000000001</v>
      </c>
      <c r="Z71" s="17">
        <v>8.3535199999999996</v>
      </c>
      <c r="AA71" s="17">
        <v>8.5299999999999994</v>
      </c>
      <c r="AB71" s="17">
        <v>8.7774999999999999</v>
      </c>
      <c r="AC71" s="17">
        <v>8.95139</v>
      </c>
      <c r="AD71" s="17">
        <v>9.1941799999999994</v>
      </c>
      <c r="AE71" s="18">
        <v>9.3391599999999997</v>
      </c>
      <c r="AF71" s="13"/>
    </row>
    <row r="72" spans="2:32" x14ac:dyDescent="0.3">
      <c r="B72" s="29" t="s">
        <v>193</v>
      </c>
      <c r="C72" s="30" t="s">
        <v>33</v>
      </c>
      <c r="D72" s="30" t="s">
        <v>18</v>
      </c>
      <c r="E72" s="30" t="s">
        <v>5</v>
      </c>
      <c r="F72" s="17">
        <v>33.888300000000001</v>
      </c>
      <c r="G72" s="17">
        <v>37.138100000000001</v>
      </c>
      <c r="H72" s="17">
        <v>38.007399999999997</v>
      </c>
      <c r="I72" s="17">
        <v>35.953400000000002</v>
      </c>
      <c r="J72" s="17">
        <v>38.0015</v>
      </c>
      <c r="K72" s="17">
        <v>33.543399999999998</v>
      </c>
      <c r="L72" s="17">
        <v>22.4558</v>
      </c>
      <c r="M72" s="17">
        <v>21.542999999999999</v>
      </c>
      <c r="N72" s="17">
        <v>25.6008</v>
      </c>
      <c r="O72" s="17">
        <v>22.037400000000002</v>
      </c>
      <c r="P72" s="17">
        <v>21.5047</v>
      </c>
      <c r="Q72" s="17">
        <v>20.523299999999999</v>
      </c>
      <c r="R72" s="17">
        <v>28.440300000000001</v>
      </c>
      <c r="S72" s="17">
        <v>21.658000000000001</v>
      </c>
      <c r="T72" s="17">
        <v>22.514399999999998</v>
      </c>
      <c r="U72" s="17">
        <v>22.892800000000001</v>
      </c>
      <c r="V72" s="17">
        <v>23.619700000000002</v>
      </c>
      <c r="W72" s="17">
        <v>24.137499999999999</v>
      </c>
      <c r="X72" s="17">
        <v>25.0138</v>
      </c>
      <c r="Y72" s="17">
        <v>25.3125</v>
      </c>
      <c r="Z72" s="17">
        <v>26.0992</v>
      </c>
      <c r="AA72" s="17">
        <v>26.686699999999998</v>
      </c>
      <c r="AB72" s="17">
        <v>27.523099999999999</v>
      </c>
      <c r="AC72" s="17">
        <v>28.1007</v>
      </c>
      <c r="AD72" s="17">
        <v>28.917200000000001</v>
      </c>
      <c r="AE72" s="18">
        <v>29.405100000000001</v>
      </c>
      <c r="AF72" s="13"/>
    </row>
    <row r="73" spans="2:32" x14ac:dyDescent="0.3">
      <c r="B73" s="29" t="s">
        <v>193</v>
      </c>
      <c r="C73" s="30" t="s">
        <v>33</v>
      </c>
      <c r="D73" s="30" t="s">
        <v>18</v>
      </c>
      <c r="E73" s="30" t="s">
        <v>9</v>
      </c>
      <c r="F73" s="17">
        <v>26.3034</v>
      </c>
      <c r="G73" s="17">
        <v>27.340800000000002</v>
      </c>
      <c r="H73" s="17">
        <v>28.428100000000001</v>
      </c>
      <c r="I73" s="17">
        <v>28.912600000000001</v>
      </c>
      <c r="J73" s="17">
        <v>30.308199999999999</v>
      </c>
      <c r="K73" s="17">
        <v>30.886399999999998</v>
      </c>
      <c r="L73" s="17">
        <v>32.108199999999997</v>
      </c>
      <c r="M73" s="17">
        <v>34.0901</v>
      </c>
      <c r="N73" s="17">
        <v>35.994100000000003</v>
      </c>
      <c r="O73" s="17">
        <v>37.403599999999997</v>
      </c>
      <c r="P73" s="17">
        <v>36.543199999999999</v>
      </c>
      <c r="Q73" s="17">
        <v>40.997199999999999</v>
      </c>
      <c r="R73" s="17">
        <v>42.4876</v>
      </c>
      <c r="S73" s="17">
        <v>42.8855</v>
      </c>
      <c r="T73" s="17">
        <v>44.59</v>
      </c>
      <c r="U73" s="17">
        <v>45.344499999999996</v>
      </c>
      <c r="V73" s="17">
        <v>46.782800000000002</v>
      </c>
      <c r="W73" s="17">
        <v>47.810699999999997</v>
      </c>
      <c r="X73" s="17">
        <v>49.546799999999998</v>
      </c>
      <c r="Y73" s="17">
        <v>50.1312</v>
      </c>
      <c r="Z73" s="17">
        <v>51.689300000000003</v>
      </c>
      <c r="AA73" s="17">
        <v>52.861400000000003</v>
      </c>
      <c r="AB73" s="17">
        <v>54.506</v>
      </c>
      <c r="AC73" s="17">
        <v>55.654000000000003</v>
      </c>
      <c r="AD73" s="17">
        <v>57.2759</v>
      </c>
      <c r="AE73" s="18">
        <v>58.240099999999998</v>
      </c>
      <c r="AF73" s="13"/>
    </row>
    <row r="74" spans="2:32" x14ac:dyDescent="0.3">
      <c r="B74" s="29" t="s">
        <v>193</v>
      </c>
      <c r="C74" s="30" t="s">
        <v>33</v>
      </c>
      <c r="D74" s="30" t="s">
        <v>18</v>
      </c>
      <c r="E74" s="30" t="s">
        <v>4</v>
      </c>
      <c r="F74" s="17">
        <v>15.1906</v>
      </c>
      <c r="G74" s="17">
        <v>14.874499999999999</v>
      </c>
      <c r="H74" s="17">
        <v>16.218699999999998</v>
      </c>
      <c r="I74" s="17">
        <v>11.345000000000001</v>
      </c>
      <c r="J74" s="17">
        <v>11.543699999999999</v>
      </c>
      <c r="K74" s="17">
        <v>10.353199999999999</v>
      </c>
      <c r="L74" s="17">
        <v>10.0168</v>
      </c>
      <c r="M74" s="17">
        <v>10.063800000000001</v>
      </c>
      <c r="N74" s="17">
        <v>9.4665300000000006</v>
      </c>
      <c r="O74" s="17">
        <v>9.7431000000000001</v>
      </c>
      <c r="P74" s="17">
        <v>9.3032699999999995</v>
      </c>
      <c r="Q74" s="17">
        <v>10.8592</v>
      </c>
      <c r="R74" s="17">
        <v>10.9284</v>
      </c>
      <c r="S74" s="17">
        <v>10.345000000000001</v>
      </c>
      <c r="T74" s="17">
        <v>10.749499999999999</v>
      </c>
      <c r="U74" s="17">
        <v>10.9382</v>
      </c>
      <c r="V74" s="17">
        <v>11.2798</v>
      </c>
      <c r="W74" s="17">
        <v>11.5314</v>
      </c>
      <c r="X74" s="17">
        <v>11.944900000000001</v>
      </c>
      <c r="Y74" s="17">
        <v>12.088699999999999</v>
      </c>
      <c r="Z74" s="17">
        <v>12.466200000000001</v>
      </c>
      <c r="AA74" s="17">
        <v>12.7448</v>
      </c>
      <c r="AB74" s="17">
        <v>13.1403</v>
      </c>
      <c r="AC74" s="17">
        <v>13.418900000000001</v>
      </c>
      <c r="AD74" s="17">
        <v>13.814299999999999</v>
      </c>
      <c r="AE74" s="18">
        <v>14.048</v>
      </c>
      <c r="AF74" s="13"/>
    </row>
    <row r="75" spans="2:32" x14ac:dyDescent="0.3">
      <c r="B75" s="29" t="s">
        <v>193</v>
      </c>
      <c r="C75" s="30" t="s">
        <v>33</v>
      </c>
      <c r="D75" s="30" t="s">
        <v>18</v>
      </c>
      <c r="E75" s="30" t="s">
        <v>15</v>
      </c>
      <c r="F75" s="17">
        <v>0</v>
      </c>
      <c r="G75" s="17">
        <v>2.63538E-2</v>
      </c>
      <c r="H75" s="17">
        <v>0.83055000000000001</v>
      </c>
      <c r="I75" s="17">
        <v>1.81626</v>
      </c>
      <c r="J75" s="17">
        <v>2.0358900000000002</v>
      </c>
      <c r="K75" s="17">
        <v>0.81052100000000005</v>
      </c>
      <c r="L75" s="17">
        <v>2.31013</v>
      </c>
      <c r="M75" s="17">
        <v>2.1125799999999999</v>
      </c>
      <c r="N75" s="17">
        <v>1.9644200000000001</v>
      </c>
      <c r="O75" s="17">
        <v>1.5803700000000001</v>
      </c>
      <c r="P75" s="17">
        <v>0.94473600000000002</v>
      </c>
      <c r="Q75" s="17">
        <v>1.7529300000000001</v>
      </c>
      <c r="R75" s="17">
        <v>1.7430600000000001</v>
      </c>
      <c r="S75" s="17">
        <v>1.36714</v>
      </c>
      <c r="T75" s="17">
        <v>1.4218200000000001</v>
      </c>
      <c r="U75" s="17">
        <v>1.4530700000000001</v>
      </c>
      <c r="V75" s="17">
        <v>1.49213</v>
      </c>
      <c r="W75" s="17">
        <v>1.5311900000000001</v>
      </c>
      <c r="X75" s="17">
        <v>1.58588</v>
      </c>
      <c r="Y75" s="17">
        <v>1.6014999999999999</v>
      </c>
      <c r="Z75" s="17">
        <v>1.64838</v>
      </c>
      <c r="AA75" s="17">
        <v>1.6874400000000001</v>
      </c>
      <c r="AB75" s="17">
        <v>1.7421199999999999</v>
      </c>
      <c r="AC75" s="17">
        <v>1.78118</v>
      </c>
      <c r="AD75" s="17">
        <v>1.82806</v>
      </c>
      <c r="AE75" s="18">
        <v>1.85931</v>
      </c>
      <c r="AF75" s="13"/>
    </row>
    <row r="76" spans="2:32" x14ac:dyDescent="0.3">
      <c r="B76" s="29" t="s">
        <v>193</v>
      </c>
      <c r="C76" s="30" t="s">
        <v>33</v>
      </c>
      <c r="D76" s="30" t="s">
        <v>18</v>
      </c>
      <c r="E76" s="30" t="s">
        <v>3</v>
      </c>
      <c r="F76" s="17">
        <v>3.2024799999999999E-2</v>
      </c>
      <c r="G76" s="17">
        <v>3.6719500000000002E-2</v>
      </c>
      <c r="H76" s="17">
        <v>3.5563200000000003E-2</v>
      </c>
      <c r="I76" s="17">
        <v>1.2253700000000001</v>
      </c>
      <c r="J76" s="17">
        <v>0.73905500000000002</v>
      </c>
      <c r="K76" s="17">
        <v>0.70012700000000005</v>
      </c>
      <c r="L76" s="17">
        <v>0.73150199999999999</v>
      </c>
      <c r="M76" s="17">
        <v>0.49270399999999998</v>
      </c>
      <c r="N76" s="17">
        <v>0.61413600000000002</v>
      </c>
      <c r="O76" s="17">
        <v>0.85467800000000005</v>
      </c>
      <c r="P76" s="17">
        <v>0.74893299999999996</v>
      </c>
      <c r="Q76" s="17">
        <v>1.0388599999999999</v>
      </c>
      <c r="R76" s="17">
        <v>0.906389</v>
      </c>
      <c r="S76" s="17">
        <v>1.1771400000000001</v>
      </c>
      <c r="T76" s="17">
        <v>1.2199500000000001</v>
      </c>
      <c r="U76" s="17">
        <v>1.24135</v>
      </c>
      <c r="V76" s="17">
        <v>1.28416</v>
      </c>
      <c r="W76" s="17">
        <v>1.31626</v>
      </c>
      <c r="X76" s="17">
        <v>1.35907</v>
      </c>
      <c r="Y76" s="17">
        <v>1.3804700000000001</v>
      </c>
      <c r="Z76" s="17">
        <v>1.42327</v>
      </c>
      <c r="AA76" s="17">
        <v>1.4553799999999999</v>
      </c>
      <c r="AB76" s="17">
        <v>1.4981800000000001</v>
      </c>
      <c r="AC76" s="17">
        <v>1.5302899999999999</v>
      </c>
      <c r="AD76" s="17">
        <v>1.5730900000000001</v>
      </c>
      <c r="AE76" s="18">
        <v>1.59449</v>
      </c>
      <c r="AF76" s="13"/>
    </row>
    <row r="77" spans="2:32" x14ac:dyDescent="0.3">
      <c r="B77" s="29" t="s">
        <v>193</v>
      </c>
      <c r="C77" s="30" t="s">
        <v>33</v>
      </c>
      <c r="D77" s="30" t="s">
        <v>18</v>
      </c>
      <c r="E77" s="30" t="s">
        <v>13</v>
      </c>
      <c r="F77" s="17">
        <v>1.61266</v>
      </c>
      <c r="G77" s="17">
        <v>1.81839</v>
      </c>
      <c r="H77" s="17">
        <v>1.75407</v>
      </c>
      <c r="I77" s="17">
        <v>1.71807</v>
      </c>
      <c r="J77" s="17">
        <v>1.8842399999999999</v>
      </c>
      <c r="K77" s="17">
        <v>1.92143</v>
      </c>
      <c r="L77" s="17">
        <v>1.9597800000000001</v>
      </c>
      <c r="M77" s="17">
        <v>1.9992799999999999</v>
      </c>
      <c r="N77" s="17">
        <v>2.0393699999999999</v>
      </c>
      <c r="O77" s="17">
        <v>2.08005</v>
      </c>
      <c r="P77" s="17">
        <v>2.12188</v>
      </c>
      <c r="Q77" s="17">
        <v>2.1642899999999998</v>
      </c>
      <c r="R77" s="17">
        <v>2.20729</v>
      </c>
      <c r="S77" s="17">
        <v>2.2514500000000002</v>
      </c>
      <c r="T77" s="17">
        <v>2.3399299999999998</v>
      </c>
      <c r="U77" s="17">
        <v>2.3792599999999999</v>
      </c>
      <c r="V77" s="17">
        <v>2.45791</v>
      </c>
      <c r="W77" s="17">
        <v>2.5169000000000001</v>
      </c>
      <c r="X77" s="17">
        <v>2.6053899999999999</v>
      </c>
      <c r="Y77" s="17">
        <v>2.6348799999999999</v>
      </c>
      <c r="Z77" s="17">
        <v>2.71353</v>
      </c>
      <c r="AA77" s="17">
        <v>2.7823600000000002</v>
      </c>
      <c r="AB77" s="17">
        <v>2.8610099999999998</v>
      </c>
      <c r="AC77" s="17">
        <v>2.9298299999999999</v>
      </c>
      <c r="AD77" s="17">
        <v>3.00848</v>
      </c>
      <c r="AE77" s="18">
        <v>3.0576400000000001</v>
      </c>
      <c r="AF77" s="13"/>
    </row>
    <row r="78" spans="2:32" x14ac:dyDescent="0.3">
      <c r="B78" s="29" t="s">
        <v>193</v>
      </c>
      <c r="C78" s="30" t="s">
        <v>33</v>
      </c>
      <c r="D78" s="30" t="s">
        <v>18</v>
      </c>
      <c r="E78" s="30" t="s">
        <v>8</v>
      </c>
      <c r="F78" s="17">
        <v>2.4666299999999999</v>
      </c>
      <c r="G78" s="17">
        <v>2.87039</v>
      </c>
      <c r="H78" s="17">
        <v>2.41852</v>
      </c>
      <c r="I78" s="17">
        <v>2.5564800000000001</v>
      </c>
      <c r="J78" s="17">
        <v>3.6714600000000002</v>
      </c>
      <c r="K78" s="17">
        <v>4.2205199999999996</v>
      </c>
      <c r="L78" s="17">
        <v>3.40767</v>
      </c>
      <c r="M78" s="17">
        <v>3.75861</v>
      </c>
      <c r="N78" s="17">
        <v>3.9706800000000002</v>
      </c>
      <c r="O78" s="17">
        <v>4.1478900000000003</v>
      </c>
      <c r="P78" s="17">
        <v>3.6923699999999999</v>
      </c>
      <c r="Q78" s="17">
        <v>4.1287200000000004</v>
      </c>
      <c r="R78" s="17">
        <v>4.2501499999999997</v>
      </c>
      <c r="S78" s="17">
        <v>3.9038599999999999</v>
      </c>
      <c r="T78" s="17">
        <v>4.0646599999999999</v>
      </c>
      <c r="U78" s="17">
        <v>4.1361299999999996</v>
      </c>
      <c r="V78" s="17">
        <v>4.2611999999999997</v>
      </c>
      <c r="W78" s="17">
        <v>4.3594600000000003</v>
      </c>
      <c r="X78" s="17">
        <v>4.5113300000000001</v>
      </c>
      <c r="Y78" s="17">
        <v>4.5649300000000004</v>
      </c>
      <c r="Z78" s="17">
        <v>4.7078600000000002</v>
      </c>
      <c r="AA78" s="17">
        <v>4.8150599999999999</v>
      </c>
      <c r="AB78" s="17">
        <v>4.9669299999999996</v>
      </c>
      <c r="AC78" s="17">
        <v>5.0741300000000003</v>
      </c>
      <c r="AD78" s="17">
        <v>5.21706</v>
      </c>
      <c r="AE78" s="18">
        <v>5.3063900000000004</v>
      </c>
      <c r="AF78" s="13"/>
    </row>
    <row r="79" spans="2:32" x14ac:dyDescent="0.3">
      <c r="B79" s="29" t="s">
        <v>193</v>
      </c>
      <c r="C79" s="30" t="s">
        <v>33</v>
      </c>
      <c r="D79" s="30" t="s">
        <v>18</v>
      </c>
      <c r="E79" s="30" t="s">
        <v>154</v>
      </c>
      <c r="F79" s="17">
        <v>0.61490999999999996</v>
      </c>
      <c r="G79" s="17">
        <v>0.53656499999999996</v>
      </c>
      <c r="H79" s="17">
        <v>0.45822000000000002</v>
      </c>
      <c r="I79" s="17">
        <v>0.766675</v>
      </c>
      <c r="J79" s="17">
        <v>1.0751299999999999</v>
      </c>
      <c r="K79" s="17">
        <v>0.86019000000000001</v>
      </c>
      <c r="L79" s="17">
        <v>0.64524999999999999</v>
      </c>
      <c r="M79" s="17">
        <v>0.63022500000000004</v>
      </c>
      <c r="N79" s="17">
        <v>0.61519999999999997</v>
      </c>
      <c r="O79" s="17">
        <v>0.54361000000000004</v>
      </c>
      <c r="P79" s="17">
        <v>0.2109</v>
      </c>
      <c r="Q79" s="17">
        <v>0.47543000000000002</v>
      </c>
      <c r="R79" s="17">
        <v>0.66402000000000005</v>
      </c>
      <c r="S79" s="17">
        <v>0.64580899999999997</v>
      </c>
      <c r="T79" s="17">
        <v>0.66931099999999999</v>
      </c>
      <c r="U79" s="17">
        <v>0.67986500000000005</v>
      </c>
      <c r="V79" s="17">
        <v>0.69965500000000003</v>
      </c>
      <c r="W79" s="17">
        <v>0.71404000000000001</v>
      </c>
      <c r="X79" s="17">
        <v>0.7379</v>
      </c>
      <c r="Y79" s="17">
        <v>0.74602999999999997</v>
      </c>
      <c r="Z79" s="17">
        <v>0.76754900000000004</v>
      </c>
      <c r="AA79" s="17">
        <v>0.78376500000000004</v>
      </c>
      <c r="AB79" s="17">
        <v>0.80650500000000003</v>
      </c>
      <c r="AC79" s="17">
        <v>0.82248399999999999</v>
      </c>
      <c r="AD79" s="17">
        <v>0.84479099999999996</v>
      </c>
      <c r="AE79" s="18">
        <v>0.85811300000000001</v>
      </c>
      <c r="AF79" s="13"/>
    </row>
    <row r="80" spans="2:32" x14ac:dyDescent="0.3">
      <c r="B80" s="29" t="s">
        <v>193</v>
      </c>
      <c r="C80" s="30" t="s">
        <v>33</v>
      </c>
      <c r="D80" s="30" t="s">
        <v>18</v>
      </c>
      <c r="E80" s="30" t="s">
        <v>175</v>
      </c>
      <c r="F80" s="17">
        <v>0</v>
      </c>
      <c r="G80" s="17">
        <v>0</v>
      </c>
      <c r="H80" s="17">
        <v>0</v>
      </c>
      <c r="I80" s="17">
        <v>0</v>
      </c>
      <c r="J80" s="17">
        <v>0</v>
      </c>
      <c r="K80" s="17">
        <v>0</v>
      </c>
      <c r="L80" s="17">
        <v>0</v>
      </c>
      <c r="M80" s="17">
        <v>2.75E-2</v>
      </c>
      <c r="N80" s="17">
        <v>5.5E-2</v>
      </c>
      <c r="O80" s="17">
        <v>0.153</v>
      </c>
      <c r="P80" s="17">
        <v>0.18729999999999999</v>
      </c>
      <c r="Q80" s="17">
        <v>0.74990000000000001</v>
      </c>
      <c r="R80" s="17">
        <v>0.82099999999999995</v>
      </c>
      <c r="S80" s="17">
        <v>0.79848399999999997</v>
      </c>
      <c r="T80" s="17">
        <v>0.827542</v>
      </c>
      <c r="U80" s="17">
        <v>0.84059099999999998</v>
      </c>
      <c r="V80" s="17">
        <v>0.86505900000000002</v>
      </c>
      <c r="W80" s="17">
        <v>0.88284499999999999</v>
      </c>
      <c r="X80" s="17">
        <v>0.91234599999999999</v>
      </c>
      <c r="Y80" s="17">
        <v>0.92239800000000005</v>
      </c>
      <c r="Z80" s="17">
        <v>0.94900499999999999</v>
      </c>
      <c r="AA80" s="17">
        <v>0.96905300000000005</v>
      </c>
      <c r="AB80" s="17">
        <v>0.99717</v>
      </c>
      <c r="AC80" s="17">
        <v>1.0169299999999999</v>
      </c>
      <c r="AD80" s="17">
        <v>1.04451</v>
      </c>
      <c r="AE80" s="18">
        <v>1.06098</v>
      </c>
      <c r="AF80" s="13"/>
    </row>
    <row r="81" spans="2:32" x14ac:dyDescent="0.3">
      <c r="B81" s="29" t="s">
        <v>193</v>
      </c>
      <c r="C81" s="30" t="s">
        <v>33</v>
      </c>
      <c r="D81" s="30" t="s">
        <v>96</v>
      </c>
      <c r="E81" s="30"/>
      <c r="F81" s="17">
        <v>90.232504800000001</v>
      </c>
      <c r="G81" s="17">
        <v>96.056967399999991</v>
      </c>
      <c r="H81" s="17">
        <v>100.2685068</v>
      </c>
      <c r="I81" s="17">
        <v>97.184228599999997</v>
      </c>
      <c r="J81" s="17">
        <v>104.80480859999999</v>
      </c>
      <c r="K81" s="17">
        <v>100.07969159999999</v>
      </c>
      <c r="L81" s="17">
        <v>90.815415600000009</v>
      </c>
      <c r="M81" s="17">
        <v>94.309762599999999</v>
      </c>
      <c r="N81" s="17">
        <v>95.740369600000037</v>
      </c>
      <c r="O81" s="17">
        <v>97.09726160000001</v>
      </c>
      <c r="P81" s="17">
        <v>91.832492599999981</v>
      </c>
      <c r="Q81" s="17">
        <v>102.2222836</v>
      </c>
      <c r="R81" s="17">
        <v>107.23265259999999</v>
      </c>
      <c r="S81" s="17">
        <v>99.970750600000002</v>
      </c>
      <c r="T81" s="17">
        <v>103.59506259999998</v>
      </c>
      <c r="U81" s="17">
        <v>105.22028259999999</v>
      </c>
      <c r="V81" s="17">
        <v>108.27551260000001</v>
      </c>
      <c r="W81" s="17">
        <v>110.4922816</v>
      </c>
      <c r="X81" s="17">
        <v>114.17294260000001</v>
      </c>
      <c r="Y81" s="17">
        <v>115.42792960000001</v>
      </c>
      <c r="Z81" s="17">
        <v>118.74729760000001</v>
      </c>
      <c r="AA81" s="17">
        <v>121.24806460000001</v>
      </c>
      <c r="AB81" s="17">
        <v>124.7546006</v>
      </c>
      <c r="AC81" s="17">
        <v>127.21820460000001</v>
      </c>
      <c r="AD81" s="17">
        <v>130.65955159999999</v>
      </c>
      <c r="AE81" s="18">
        <v>132.71341859999998</v>
      </c>
      <c r="AF81" s="13"/>
    </row>
    <row r="82" spans="2:32" x14ac:dyDescent="0.3">
      <c r="B82" s="29" t="s">
        <v>185</v>
      </c>
      <c r="C82" s="30" t="s">
        <v>33</v>
      </c>
      <c r="D82" s="30" t="s">
        <v>16</v>
      </c>
      <c r="E82" s="30" t="s">
        <v>5</v>
      </c>
      <c r="F82" s="17">
        <v>7.1527500000000002</v>
      </c>
      <c r="G82" s="17">
        <v>5.3221699999999998</v>
      </c>
      <c r="H82" s="17">
        <v>7.5472200000000003</v>
      </c>
      <c r="I82" s="17">
        <v>7.6258699999999999</v>
      </c>
      <c r="J82" s="17">
        <v>1.64428</v>
      </c>
      <c r="K82" s="17">
        <v>2.0724900000000002</v>
      </c>
      <c r="L82" s="17">
        <v>0.49096099999999998</v>
      </c>
      <c r="M82" s="17">
        <v>0.49096099999999998</v>
      </c>
      <c r="N82" s="17">
        <v>7.7089499999999997</v>
      </c>
      <c r="O82" s="17">
        <v>7.1877800000000001</v>
      </c>
      <c r="P82" s="17">
        <v>4.8427899999999999</v>
      </c>
      <c r="Q82" s="17">
        <v>3.5982500000000002</v>
      </c>
      <c r="R82" s="17">
        <v>5.8671199999999999</v>
      </c>
      <c r="S82" s="17">
        <v>3.2618399999999999</v>
      </c>
      <c r="T82" s="17">
        <v>3.3730899999999999</v>
      </c>
      <c r="U82" s="17">
        <v>3.4748700000000001</v>
      </c>
      <c r="V82" s="17">
        <v>3.5813899999999999</v>
      </c>
      <c r="W82" s="17">
        <v>3.6973799999999999</v>
      </c>
      <c r="X82" s="17">
        <v>3.8133699999999999</v>
      </c>
      <c r="Y82" s="17">
        <v>3.9151500000000001</v>
      </c>
      <c r="Z82" s="17">
        <v>4.0216700000000003</v>
      </c>
      <c r="AA82" s="17">
        <v>4.1352900000000004</v>
      </c>
      <c r="AB82" s="17">
        <v>4.2512800000000004</v>
      </c>
      <c r="AC82" s="17">
        <v>4.3672599999999999</v>
      </c>
      <c r="AD82" s="17">
        <v>4.4785199999999996</v>
      </c>
      <c r="AE82" s="18">
        <v>4.5873999999999997</v>
      </c>
      <c r="AF82" s="13"/>
    </row>
    <row r="83" spans="2:32" x14ac:dyDescent="0.3">
      <c r="B83" s="29" t="s">
        <v>185</v>
      </c>
      <c r="C83" s="30" t="s">
        <v>33</v>
      </c>
      <c r="D83" s="30" t="s">
        <v>16</v>
      </c>
      <c r="E83" s="30" t="s">
        <v>9</v>
      </c>
      <c r="F83" s="17">
        <v>3.7846799999999998</v>
      </c>
      <c r="G83" s="17">
        <v>4.0995499999999998</v>
      </c>
      <c r="H83" s="17">
        <v>4.6625300000000003</v>
      </c>
      <c r="I83" s="17">
        <v>2.2433100000000001</v>
      </c>
      <c r="J83" s="17">
        <v>2.08528</v>
      </c>
      <c r="K83" s="17">
        <v>2.1398899999999998</v>
      </c>
      <c r="L83" s="17">
        <v>1.3392500000000001</v>
      </c>
      <c r="M83" s="17">
        <v>1.4380200000000001</v>
      </c>
      <c r="N83" s="17">
        <v>2.0143900000000001</v>
      </c>
      <c r="O83" s="17">
        <v>1.85345</v>
      </c>
      <c r="P83" s="17">
        <v>1.9899899999999999</v>
      </c>
      <c r="Q83" s="17">
        <v>2.2595800000000001</v>
      </c>
      <c r="R83" s="17">
        <v>2.7493799999999999</v>
      </c>
      <c r="S83" s="17">
        <v>2.92252</v>
      </c>
      <c r="T83" s="17">
        <v>3.02094</v>
      </c>
      <c r="U83" s="17">
        <v>3.1116000000000001</v>
      </c>
      <c r="V83" s="17">
        <v>3.2073399999999999</v>
      </c>
      <c r="W83" s="17">
        <v>3.3119200000000002</v>
      </c>
      <c r="X83" s="17">
        <v>3.4154599999999999</v>
      </c>
      <c r="Y83" s="17">
        <v>3.5053999999999998</v>
      </c>
      <c r="Z83" s="17">
        <v>3.6009799999999998</v>
      </c>
      <c r="AA83" s="17">
        <v>3.70397</v>
      </c>
      <c r="AB83" s="17">
        <v>3.8075399999999999</v>
      </c>
      <c r="AC83" s="17">
        <v>3.9096700000000002</v>
      </c>
      <c r="AD83" s="17">
        <v>4.0080099999999996</v>
      </c>
      <c r="AE83" s="18">
        <v>4.1056900000000001</v>
      </c>
      <c r="AF83" s="13"/>
    </row>
    <row r="84" spans="2:32" x14ac:dyDescent="0.3">
      <c r="B84" s="29" t="s">
        <v>185</v>
      </c>
      <c r="C84" s="30" t="s">
        <v>33</v>
      </c>
      <c r="D84" s="30" t="s">
        <v>16</v>
      </c>
      <c r="E84" s="30" t="s">
        <v>3</v>
      </c>
      <c r="F84" s="17">
        <v>29.425699999999999</v>
      </c>
      <c r="G84" s="17">
        <v>32.732399999999998</v>
      </c>
      <c r="H84" s="17">
        <v>33.897199999999998</v>
      </c>
      <c r="I84" s="17">
        <v>38.661499999999997</v>
      </c>
      <c r="J84" s="17">
        <v>45.201500000000003</v>
      </c>
      <c r="K84" s="17">
        <v>41.487000000000002</v>
      </c>
      <c r="L84" s="17">
        <v>37.5105</v>
      </c>
      <c r="M84" s="17">
        <v>36.583199999999998</v>
      </c>
      <c r="N84" s="17">
        <v>37.945099999999996</v>
      </c>
      <c r="O84" s="17">
        <v>35.0261</v>
      </c>
      <c r="P84" s="17">
        <v>25.448599999999999</v>
      </c>
      <c r="Q84" s="17">
        <v>18.1005</v>
      </c>
      <c r="R84" s="17">
        <v>21.535399999999999</v>
      </c>
      <c r="S84" s="17">
        <v>12.1183</v>
      </c>
      <c r="T84" s="17">
        <v>12.5267</v>
      </c>
      <c r="U84" s="17">
        <v>12.903600000000001</v>
      </c>
      <c r="V84" s="17">
        <v>13.301</v>
      </c>
      <c r="W84" s="17">
        <v>13.734</v>
      </c>
      <c r="X84" s="17">
        <v>14.162800000000001</v>
      </c>
      <c r="Y84" s="17">
        <v>14.5357</v>
      </c>
      <c r="Z84" s="17">
        <v>14.931699999999999</v>
      </c>
      <c r="AA84" s="17">
        <v>15.3592</v>
      </c>
      <c r="AB84" s="17">
        <v>15.789400000000001</v>
      </c>
      <c r="AC84" s="17">
        <v>16.212800000000001</v>
      </c>
      <c r="AD84" s="17">
        <v>16.621200000000002</v>
      </c>
      <c r="AE84" s="18">
        <v>17.026800000000001</v>
      </c>
      <c r="AF84" s="13"/>
    </row>
    <row r="85" spans="2:32" x14ac:dyDescent="0.3">
      <c r="B85" s="29" t="s">
        <v>185</v>
      </c>
      <c r="C85" s="30" t="s">
        <v>33</v>
      </c>
      <c r="D85" s="30" t="s">
        <v>16</v>
      </c>
      <c r="E85" s="30" t="s">
        <v>14</v>
      </c>
      <c r="F85" s="17">
        <v>0</v>
      </c>
      <c r="G85" s="17">
        <v>1</v>
      </c>
      <c r="H85" s="17">
        <v>2</v>
      </c>
      <c r="I85" s="17">
        <v>0.96972000000000003</v>
      </c>
      <c r="J85" s="17">
        <v>0.90929400000000005</v>
      </c>
      <c r="K85" s="17">
        <v>1.0138799999999999</v>
      </c>
      <c r="L85" s="17">
        <v>0.71697699999999998</v>
      </c>
      <c r="M85" s="17">
        <v>2.4710700000000001</v>
      </c>
      <c r="N85" s="17">
        <v>1.3694599999999999</v>
      </c>
      <c r="O85" s="17">
        <v>1.0510600000000001</v>
      </c>
      <c r="P85" s="17">
        <v>1.6007100000000001</v>
      </c>
      <c r="Q85" s="17">
        <v>1.83369</v>
      </c>
      <c r="R85" s="17">
        <v>2.4914100000000001</v>
      </c>
      <c r="S85" s="17">
        <v>1.5036799999999999</v>
      </c>
      <c r="T85" s="17">
        <v>1.55436</v>
      </c>
      <c r="U85" s="17">
        <v>1.6012900000000001</v>
      </c>
      <c r="V85" s="17">
        <v>1.6500999999999999</v>
      </c>
      <c r="W85" s="17">
        <v>1.7026600000000001</v>
      </c>
      <c r="X85" s="17">
        <v>1.7552300000000001</v>
      </c>
      <c r="Y85" s="17">
        <v>1.80216</v>
      </c>
      <c r="Z85" s="17">
        <v>1.85284</v>
      </c>
      <c r="AA85" s="17">
        <v>1.90541</v>
      </c>
      <c r="AB85" s="17">
        <v>1.95797</v>
      </c>
      <c r="AC85" s="17">
        <v>2.0105300000000002</v>
      </c>
      <c r="AD85" s="17">
        <v>2.0612200000000001</v>
      </c>
      <c r="AE85" s="18">
        <v>2.1118999999999999</v>
      </c>
      <c r="AF85" s="13"/>
    </row>
    <row r="86" spans="2:32" x14ac:dyDescent="0.3">
      <c r="B86" s="29" t="s">
        <v>185</v>
      </c>
      <c r="C86" s="30" t="s">
        <v>33</v>
      </c>
      <c r="D86" s="30" t="s">
        <v>16</v>
      </c>
      <c r="E86" s="30" t="s">
        <v>8</v>
      </c>
      <c r="F86" s="17">
        <v>6.9470499999999999</v>
      </c>
      <c r="G86" s="17">
        <v>8.0728000000000009</v>
      </c>
      <c r="H86" s="17">
        <v>5.3307500000000001</v>
      </c>
      <c r="I86" s="17">
        <v>3.2478899999999999</v>
      </c>
      <c r="J86" s="17">
        <v>2.8487300000000002</v>
      </c>
      <c r="K86" s="17">
        <v>0.76926799999999995</v>
      </c>
      <c r="L86" s="17">
        <v>3.95906</v>
      </c>
      <c r="M86" s="17">
        <v>3.4611299999999998</v>
      </c>
      <c r="N86" s="17">
        <v>5.7747400000000004</v>
      </c>
      <c r="O86" s="17">
        <v>7.8966200000000004</v>
      </c>
      <c r="P86" s="17">
        <v>8.4729899999999994</v>
      </c>
      <c r="Q86" s="17">
        <v>8.6287000000000003</v>
      </c>
      <c r="R86" s="17">
        <v>9.8255999999999997</v>
      </c>
      <c r="S86" s="17">
        <v>10.1882</v>
      </c>
      <c r="T86" s="17">
        <v>10.531499999999999</v>
      </c>
      <c r="U86" s="17">
        <v>10.8506</v>
      </c>
      <c r="V86" s="17">
        <v>11.1859</v>
      </c>
      <c r="W86" s="17">
        <v>11.5482</v>
      </c>
      <c r="X86" s="17">
        <v>11.9078</v>
      </c>
      <c r="Y86" s="17">
        <v>12.221500000000001</v>
      </c>
      <c r="Z86" s="17">
        <v>12.556699999999999</v>
      </c>
      <c r="AA86" s="17">
        <v>12.9191</v>
      </c>
      <c r="AB86" s="17">
        <v>13.2814</v>
      </c>
      <c r="AC86" s="17">
        <v>13.6356</v>
      </c>
      <c r="AD86" s="17">
        <v>13.9763</v>
      </c>
      <c r="AE86" s="18">
        <v>14.317</v>
      </c>
      <c r="AF86" s="13"/>
    </row>
    <row r="87" spans="2:32" x14ac:dyDescent="0.3">
      <c r="B87" s="29" t="s">
        <v>185</v>
      </c>
      <c r="C87" s="30" t="s">
        <v>33</v>
      </c>
      <c r="D87" s="30" t="s">
        <v>16</v>
      </c>
      <c r="E87" s="30" t="s">
        <v>176</v>
      </c>
      <c r="F87" s="17">
        <v>13.548500000000001</v>
      </c>
      <c r="G87" s="17">
        <v>13.011200000000001</v>
      </c>
      <c r="H87" s="17">
        <v>14.18</v>
      </c>
      <c r="I87" s="17">
        <v>15.248799999999999</v>
      </c>
      <c r="J87" s="17">
        <v>14.268599999999999</v>
      </c>
      <c r="K87" s="17">
        <v>10.035299999999999</v>
      </c>
      <c r="L87" s="17">
        <v>9.5838999999999999</v>
      </c>
      <c r="M87" s="17">
        <v>9.8697599999999994</v>
      </c>
      <c r="N87" s="17">
        <v>8.9668600000000005</v>
      </c>
      <c r="O87" s="17">
        <v>8.5799000000000003</v>
      </c>
      <c r="P87" s="17">
        <v>6.6271000000000004</v>
      </c>
      <c r="Q87" s="17">
        <v>7.9744799999999998</v>
      </c>
      <c r="R87" s="17">
        <v>9.7140500000000003</v>
      </c>
      <c r="S87" s="17">
        <v>9.1824100000000008</v>
      </c>
      <c r="T87" s="17">
        <v>9.1824100000000008</v>
      </c>
      <c r="U87" s="17">
        <v>9.1824100000000008</v>
      </c>
      <c r="V87" s="17">
        <v>9.1824100000000008</v>
      </c>
      <c r="W87" s="17">
        <v>9.1824100000000008</v>
      </c>
      <c r="X87" s="17">
        <v>9.1824100000000008</v>
      </c>
      <c r="Y87" s="17">
        <v>9.1824100000000008</v>
      </c>
      <c r="Z87" s="17">
        <v>9.1824100000000008</v>
      </c>
      <c r="AA87" s="17">
        <v>9.1824100000000008</v>
      </c>
      <c r="AB87" s="17">
        <v>9.1824100000000008</v>
      </c>
      <c r="AC87" s="17">
        <v>9.1824100000000008</v>
      </c>
      <c r="AD87" s="17">
        <v>9.1824100000000008</v>
      </c>
      <c r="AE87" s="18">
        <v>9.1824100000000008</v>
      </c>
      <c r="AF87" s="13"/>
    </row>
    <row r="88" spans="2:32" x14ac:dyDescent="0.3">
      <c r="B88" s="29" t="s">
        <v>185</v>
      </c>
      <c r="C88" s="30" t="s">
        <v>33</v>
      </c>
      <c r="D88" s="30" t="s">
        <v>97</v>
      </c>
      <c r="E88" s="30"/>
      <c r="F88" s="17">
        <v>60.858679999999993</v>
      </c>
      <c r="G88" s="17">
        <v>64.238119999999995</v>
      </c>
      <c r="H88" s="17">
        <v>67.617699999999999</v>
      </c>
      <c r="I88" s="17">
        <v>67.99709</v>
      </c>
      <c r="J88" s="17">
        <v>66.957684</v>
      </c>
      <c r="K88" s="17">
        <v>57.517828000000002</v>
      </c>
      <c r="L88" s="17">
        <v>53.600648</v>
      </c>
      <c r="M88" s="17">
        <v>54.314140999999992</v>
      </c>
      <c r="N88" s="17">
        <v>63.779499999999999</v>
      </c>
      <c r="O88" s="17">
        <v>61.594909999999999</v>
      </c>
      <c r="P88" s="17">
        <v>48.98218</v>
      </c>
      <c r="Q88" s="17">
        <v>42.395200000000003</v>
      </c>
      <c r="R88" s="17">
        <v>52.182960000000001</v>
      </c>
      <c r="S88" s="17">
        <v>39.176950000000005</v>
      </c>
      <c r="T88" s="17">
        <v>40.188999999999993</v>
      </c>
      <c r="U88" s="17">
        <v>41.124369999999999</v>
      </c>
      <c r="V88" s="17">
        <v>42.108140000000006</v>
      </c>
      <c r="W88" s="17">
        <v>43.176569999999998</v>
      </c>
      <c r="X88" s="17">
        <v>44.237070000000003</v>
      </c>
      <c r="Y88" s="17">
        <v>45.162320000000008</v>
      </c>
      <c r="Z88" s="17">
        <v>46.146299999999997</v>
      </c>
      <c r="AA88" s="17">
        <v>47.205380000000005</v>
      </c>
      <c r="AB88" s="17">
        <v>48.269999999999996</v>
      </c>
      <c r="AC88" s="17">
        <v>49.318269999999998</v>
      </c>
      <c r="AD88" s="17">
        <v>50.327659999999995</v>
      </c>
      <c r="AE88" s="18">
        <v>51.331199999999995</v>
      </c>
      <c r="AF88" s="13"/>
    </row>
    <row r="89" spans="2:32" x14ac:dyDescent="0.3">
      <c r="B89" s="29" t="s">
        <v>186</v>
      </c>
      <c r="C89" s="30" t="s">
        <v>33</v>
      </c>
      <c r="D89" s="30" t="s">
        <v>12</v>
      </c>
      <c r="E89" s="30" t="s">
        <v>9</v>
      </c>
      <c r="F89" s="17">
        <v>18.4114</v>
      </c>
      <c r="G89" s="17">
        <v>16.480699999999999</v>
      </c>
      <c r="H89" s="17">
        <v>15.415800000000001</v>
      </c>
      <c r="I89" s="17">
        <v>21.172899999999998</v>
      </c>
      <c r="J89" s="17">
        <v>22.9101</v>
      </c>
      <c r="K89" s="17">
        <v>24.939599999999999</v>
      </c>
      <c r="L89" s="17">
        <v>25.5776</v>
      </c>
      <c r="M89" s="17">
        <v>26.272500000000001</v>
      </c>
      <c r="N89" s="17">
        <v>26.640899999999998</v>
      </c>
      <c r="O89" s="17">
        <v>27.5624</v>
      </c>
      <c r="P89" s="17">
        <v>29.027699999999999</v>
      </c>
      <c r="Q89" s="17">
        <v>28.652899999999999</v>
      </c>
      <c r="R89" s="17">
        <v>28.198599999999999</v>
      </c>
      <c r="S89" s="17">
        <v>31.125699999999998</v>
      </c>
      <c r="T89" s="17">
        <v>31.5261</v>
      </c>
      <c r="U89" s="17">
        <v>31.922599999999999</v>
      </c>
      <c r="V89" s="17">
        <v>30.853400000000001</v>
      </c>
      <c r="W89" s="17">
        <v>31.241299999999999</v>
      </c>
      <c r="X89" s="17">
        <v>31.624600000000001</v>
      </c>
      <c r="Y89" s="17">
        <v>32.003100000000003</v>
      </c>
      <c r="Z89" s="17">
        <v>32.3765</v>
      </c>
      <c r="AA89" s="17">
        <v>32.744599999999998</v>
      </c>
      <c r="AB89" s="17">
        <v>33.106999999999999</v>
      </c>
      <c r="AC89" s="17">
        <v>33.4636</v>
      </c>
      <c r="AD89" s="17">
        <v>33.814100000000003</v>
      </c>
      <c r="AE89" s="18">
        <v>34.158299999999997</v>
      </c>
      <c r="AF89" s="13"/>
    </row>
    <row r="90" spans="2:32" x14ac:dyDescent="0.3">
      <c r="B90" s="29" t="s">
        <v>186</v>
      </c>
      <c r="C90" s="30" t="s">
        <v>33</v>
      </c>
      <c r="D90" s="30" t="s">
        <v>12</v>
      </c>
      <c r="E90" s="30" t="s">
        <v>15</v>
      </c>
      <c r="F90" s="17">
        <v>0</v>
      </c>
      <c r="G90" s="17">
        <v>0</v>
      </c>
      <c r="H90" s="17">
        <v>0</v>
      </c>
      <c r="I90" s="17">
        <v>2.9050899999999999E-3</v>
      </c>
      <c r="J90" s="17">
        <v>2.9050899999999999E-3</v>
      </c>
      <c r="K90" s="17">
        <v>1.2782399999999999E-2</v>
      </c>
      <c r="L90" s="17">
        <v>1.9173599999999999E-2</v>
      </c>
      <c r="M90" s="17">
        <v>2.0335599999999999E-2</v>
      </c>
      <c r="N90" s="17">
        <v>2.20787E-2</v>
      </c>
      <c r="O90" s="17">
        <v>2.0335599999999999E-2</v>
      </c>
      <c r="P90" s="17">
        <v>1.9173599999999999E-2</v>
      </c>
      <c r="Q90" s="17">
        <v>2.32407E-2</v>
      </c>
      <c r="R90" s="17">
        <v>3.5442099999999997E-2</v>
      </c>
      <c r="S90" s="17">
        <v>3.9509299999999997E-2</v>
      </c>
      <c r="T90" s="17">
        <v>3.9509299999999997E-2</v>
      </c>
      <c r="U90" s="17">
        <v>3.9509299999999997E-2</v>
      </c>
      <c r="V90" s="17">
        <v>5.9263900000000001E-2</v>
      </c>
      <c r="W90" s="17">
        <v>5.9263900000000001E-2</v>
      </c>
      <c r="X90" s="17">
        <v>5.9263900000000001E-2</v>
      </c>
      <c r="Y90" s="17">
        <v>5.9263900000000001E-2</v>
      </c>
      <c r="Z90" s="17">
        <v>5.9263900000000001E-2</v>
      </c>
      <c r="AA90" s="17">
        <v>5.9263900000000001E-2</v>
      </c>
      <c r="AB90" s="17">
        <v>5.9263900000000001E-2</v>
      </c>
      <c r="AC90" s="17">
        <v>5.9263900000000001E-2</v>
      </c>
      <c r="AD90" s="17">
        <v>5.9263900000000001E-2</v>
      </c>
      <c r="AE90" s="18">
        <v>5.9263900000000001E-2</v>
      </c>
      <c r="AF90" s="13"/>
    </row>
    <row r="91" spans="2:32" x14ac:dyDescent="0.3">
      <c r="B91" s="29" t="s">
        <v>186</v>
      </c>
      <c r="C91" s="30" t="s">
        <v>33</v>
      </c>
      <c r="D91" s="30" t="s">
        <v>12</v>
      </c>
      <c r="E91" s="30" t="s">
        <v>14</v>
      </c>
      <c r="F91" s="17">
        <v>3.4600500000000001E-3</v>
      </c>
      <c r="G91" s="17">
        <v>3.5833800000000002E-3</v>
      </c>
      <c r="H91" s="17">
        <v>2.5343100000000001E-3</v>
      </c>
      <c r="I91" s="17">
        <v>2.3240700000000001E-3</v>
      </c>
      <c r="J91" s="17">
        <v>1.7430600000000001E-3</v>
      </c>
      <c r="K91" s="17">
        <v>1.16204E-3</v>
      </c>
      <c r="L91" s="17">
        <v>1.16204E-3</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8">
        <v>0</v>
      </c>
      <c r="AF91" s="13"/>
    </row>
    <row r="92" spans="2:32" x14ac:dyDescent="0.3">
      <c r="B92" s="29" t="s">
        <v>186</v>
      </c>
      <c r="C92" s="30" t="s">
        <v>33</v>
      </c>
      <c r="D92" s="30" t="s">
        <v>12</v>
      </c>
      <c r="E92" s="30" t="s">
        <v>13</v>
      </c>
      <c r="F92" s="17">
        <v>11.368499999999999</v>
      </c>
      <c r="G92" s="17">
        <v>11.1646</v>
      </c>
      <c r="H92" s="17">
        <v>11.643700000000001</v>
      </c>
      <c r="I92" s="17">
        <v>9.9836399999999994</v>
      </c>
      <c r="J92" s="17">
        <v>9.8465199999999999</v>
      </c>
      <c r="K92" s="17">
        <v>8.91282</v>
      </c>
      <c r="L92" s="17">
        <v>8.6356800000000007</v>
      </c>
      <c r="M92" s="17">
        <v>8.3794500000000003</v>
      </c>
      <c r="N92" s="17">
        <v>8.0883599999999998</v>
      </c>
      <c r="O92" s="17">
        <v>7.7356800000000003</v>
      </c>
      <c r="P92" s="17">
        <v>7.3452299999999999</v>
      </c>
      <c r="Q92" s="17">
        <v>6.9315499999999997</v>
      </c>
      <c r="R92" s="17">
        <v>6.5004299999999997</v>
      </c>
      <c r="S92" s="17">
        <v>6.0559500000000002</v>
      </c>
      <c r="T92" s="17">
        <v>5.8531700000000004</v>
      </c>
      <c r="U92" s="17">
        <v>5.6503500000000004</v>
      </c>
      <c r="V92" s="17">
        <v>5.5053299999999998</v>
      </c>
      <c r="W92" s="17">
        <v>5.3603100000000001</v>
      </c>
      <c r="X92" s="17">
        <v>5.2152900000000004</v>
      </c>
      <c r="Y92" s="17">
        <v>5.0702699999999998</v>
      </c>
      <c r="Z92" s="17">
        <v>4.9252500000000001</v>
      </c>
      <c r="AA92" s="17">
        <v>4.82233</v>
      </c>
      <c r="AB92" s="17">
        <v>4.7194099999999999</v>
      </c>
      <c r="AC92" s="17">
        <v>4.6164800000000001</v>
      </c>
      <c r="AD92" s="17">
        <v>4.51356</v>
      </c>
      <c r="AE92" s="18">
        <v>4.4106399999999999</v>
      </c>
      <c r="AF92" s="13"/>
    </row>
    <row r="93" spans="2:32" x14ac:dyDescent="0.3">
      <c r="B93" s="29" t="s">
        <v>186</v>
      </c>
      <c r="C93" s="30" t="s">
        <v>33</v>
      </c>
      <c r="D93" s="30" t="s">
        <v>12</v>
      </c>
      <c r="E93" s="30" t="s">
        <v>8</v>
      </c>
      <c r="F93" s="17">
        <v>31.822800000000001</v>
      </c>
      <c r="G93" s="17">
        <v>32.940800000000003</v>
      </c>
      <c r="H93" s="17">
        <v>35.389699999999998</v>
      </c>
      <c r="I93" s="17">
        <v>35.316600000000001</v>
      </c>
      <c r="J93" s="17">
        <v>36.527500000000003</v>
      </c>
      <c r="K93" s="17">
        <v>36.569299999999998</v>
      </c>
      <c r="L93" s="17">
        <v>35.970300000000002</v>
      </c>
      <c r="M93" s="17">
        <v>36.061500000000002</v>
      </c>
      <c r="N93" s="17">
        <v>37.211300000000001</v>
      </c>
      <c r="O93" s="17">
        <v>38.391399999999997</v>
      </c>
      <c r="P93" s="17">
        <v>39.160600000000002</v>
      </c>
      <c r="Q93" s="17">
        <v>39.942700000000002</v>
      </c>
      <c r="R93" s="17">
        <v>41.302900000000001</v>
      </c>
      <c r="S93" s="17">
        <v>43.082500000000003</v>
      </c>
      <c r="T93" s="17">
        <v>43.629100000000001</v>
      </c>
      <c r="U93" s="17">
        <v>44.186100000000003</v>
      </c>
      <c r="V93" s="17">
        <v>47.1</v>
      </c>
      <c r="W93" s="17">
        <v>47.636000000000003</v>
      </c>
      <c r="X93" s="17">
        <v>48.1721</v>
      </c>
      <c r="Y93" s="17">
        <v>48.697600000000001</v>
      </c>
      <c r="Z93" s="17">
        <v>49.212600000000002</v>
      </c>
      <c r="AA93" s="17">
        <v>49.717100000000002</v>
      </c>
      <c r="AB93" s="17">
        <v>50.221600000000002</v>
      </c>
      <c r="AC93" s="17">
        <v>50.715600000000002</v>
      </c>
      <c r="AD93" s="17">
        <v>51.199100000000001</v>
      </c>
      <c r="AE93" s="18">
        <v>51.671999999999997</v>
      </c>
      <c r="AF93" s="13"/>
    </row>
    <row r="94" spans="2:32" x14ac:dyDescent="0.3">
      <c r="B94" s="29" t="s">
        <v>186</v>
      </c>
      <c r="C94" s="30" t="s">
        <v>33</v>
      </c>
      <c r="D94" s="30" t="s">
        <v>98</v>
      </c>
      <c r="E94" s="30"/>
      <c r="F94" s="17">
        <v>61.60616005</v>
      </c>
      <c r="G94" s="17">
        <v>60.589683379999997</v>
      </c>
      <c r="H94" s="17">
        <v>62.451734309999999</v>
      </c>
      <c r="I94" s="17">
        <v>66.47836916</v>
      </c>
      <c r="J94" s="17">
        <v>69.28876815000001</v>
      </c>
      <c r="K94" s="17">
        <v>70.435664439999996</v>
      </c>
      <c r="L94" s="17">
        <v>70.203915639999991</v>
      </c>
      <c r="M94" s="17">
        <v>70.733785600000004</v>
      </c>
      <c r="N94" s="17">
        <v>71.962638699999999</v>
      </c>
      <c r="O94" s="17">
        <v>73.709815599999999</v>
      </c>
      <c r="P94" s="17">
        <v>75.552703600000001</v>
      </c>
      <c r="Q94" s="17">
        <v>75.550390700000008</v>
      </c>
      <c r="R94" s="17">
        <v>76.037372099999999</v>
      </c>
      <c r="S94" s="17">
        <v>80.303659299999993</v>
      </c>
      <c r="T94" s="17">
        <v>81.047879300000005</v>
      </c>
      <c r="U94" s="17">
        <v>81.798559299999994</v>
      </c>
      <c r="V94" s="17">
        <v>83.517993899999993</v>
      </c>
      <c r="W94" s="17">
        <v>84.296873900000008</v>
      </c>
      <c r="X94" s="17">
        <v>85.071253900000002</v>
      </c>
      <c r="Y94" s="17">
        <v>85.830233899999996</v>
      </c>
      <c r="Z94" s="17">
        <v>86.573613899999998</v>
      </c>
      <c r="AA94" s="17">
        <v>87.343293899999992</v>
      </c>
      <c r="AB94" s="17">
        <v>88.107273899999996</v>
      </c>
      <c r="AC94" s="17">
        <v>88.854943899999995</v>
      </c>
      <c r="AD94" s="17">
        <v>89.586023900000001</v>
      </c>
      <c r="AE94" s="18">
        <v>90.300203899999985</v>
      </c>
      <c r="AF94" s="13"/>
    </row>
    <row r="95" spans="2:32" x14ac:dyDescent="0.3">
      <c r="B95" s="29" t="s">
        <v>187</v>
      </c>
      <c r="C95" s="30" t="s">
        <v>33</v>
      </c>
      <c r="D95" s="30" t="s">
        <v>10</v>
      </c>
      <c r="E95" s="30" t="s">
        <v>3</v>
      </c>
      <c r="F95" s="17">
        <v>0.12864600000000001</v>
      </c>
      <c r="G95" s="17">
        <v>0.13595599999999999</v>
      </c>
      <c r="H95" s="17">
        <v>0.14810000000000001</v>
      </c>
      <c r="I95" s="17">
        <v>0.15629399999999999</v>
      </c>
      <c r="J95" s="17">
        <v>0.19173599999999999</v>
      </c>
      <c r="K95" s="17">
        <v>0.198127</v>
      </c>
      <c r="L95" s="17">
        <v>0.17663000000000001</v>
      </c>
      <c r="M95" s="17">
        <v>0.18127799999999999</v>
      </c>
      <c r="N95" s="17">
        <v>0.189993</v>
      </c>
      <c r="O95" s="17">
        <v>0.20219400000000001</v>
      </c>
      <c r="P95" s="17">
        <v>0.16849500000000001</v>
      </c>
      <c r="Q95" s="17">
        <v>0.197546</v>
      </c>
      <c r="R95" s="17">
        <v>0.20974799999999999</v>
      </c>
      <c r="S95" s="17">
        <v>0.20103199999999999</v>
      </c>
      <c r="T95" s="17">
        <v>0.19875999999999999</v>
      </c>
      <c r="U95" s="17">
        <v>0.21241699999999999</v>
      </c>
      <c r="V95" s="17">
        <v>0.209701</v>
      </c>
      <c r="W95" s="17">
        <v>0.22415199999999999</v>
      </c>
      <c r="X95" s="17">
        <v>0.22337099999999999</v>
      </c>
      <c r="Y95" s="17">
        <v>0.235489</v>
      </c>
      <c r="Z95" s="17">
        <v>0.234431</v>
      </c>
      <c r="AA95" s="17">
        <v>0.248337</v>
      </c>
      <c r="AB95" s="17">
        <v>0.248444</v>
      </c>
      <c r="AC95" s="17">
        <v>0.26134099999999999</v>
      </c>
      <c r="AD95" s="17">
        <v>0.26223099999999999</v>
      </c>
      <c r="AE95" s="18">
        <v>0.27339599999999997</v>
      </c>
      <c r="AF95" s="13"/>
    </row>
    <row r="96" spans="2:32" x14ac:dyDescent="0.3">
      <c r="B96" s="29" t="s">
        <v>187</v>
      </c>
      <c r="C96" s="30" t="s">
        <v>33</v>
      </c>
      <c r="D96" s="30" t="s">
        <v>10</v>
      </c>
      <c r="E96" s="30" t="s">
        <v>11</v>
      </c>
      <c r="F96" s="17">
        <v>16.59442</v>
      </c>
      <c r="G96" s="17">
        <v>16.594439999999999</v>
      </c>
      <c r="H96" s="17">
        <v>16.594483499999999</v>
      </c>
      <c r="I96" s="17">
        <v>16.594470000000001</v>
      </c>
      <c r="J96" s="17">
        <v>15.4673</v>
      </c>
      <c r="K96" s="17">
        <v>15.396990000000001</v>
      </c>
      <c r="L96" s="17">
        <v>15.064080000000001</v>
      </c>
      <c r="M96" s="17">
        <v>17.33821</v>
      </c>
      <c r="N96" s="17">
        <v>16.514250000000001</v>
      </c>
      <c r="O96" s="17">
        <v>16.291170000000001</v>
      </c>
      <c r="P96" s="17">
        <v>8.6897099999999998</v>
      </c>
      <c r="Q96" s="17">
        <v>12.51749</v>
      </c>
      <c r="R96" s="17">
        <v>16.753129999999999</v>
      </c>
      <c r="S96" s="17">
        <v>16.714130000000001</v>
      </c>
      <c r="T96" s="17">
        <v>16.714120000000001</v>
      </c>
      <c r="U96" s="17">
        <v>16.71415</v>
      </c>
      <c r="V96" s="17">
        <v>16.714179999999999</v>
      </c>
      <c r="W96" s="17">
        <v>16.714110000000002</v>
      </c>
      <c r="X96" s="17">
        <v>16.71415</v>
      </c>
      <c r="Y96" s="17">
        <v>16.714169999999999</v>
      </c>
      <c r="Z96" s="17">
        <v>16.714120000000001</v>
      </c>
      <c r="AA96" s="17">
        <v>16.71416</v>
      </c>
      <c r="AB96" s="17">
        <v>16.71415</v>
      </c>
      <c r="AC96" s="17">
        <v>16.71416</v>
      </c>
      <c r="AD96" s="17">
        <v>16.71416</v>
      </c>
      <c r="AE96" s="18">
        <v>16.71416</v>
      </c>
      <c r="AF96" s="13"/>
    </row>
    <row r="97" spans="2:32" x14ac:dyDescent="0.3">
      <c r="B97" s="29" t="s">
        <v>187</v>
      </c>
      <c r="C97" s="30" t="s">
        <v>33</v>
      </c>
      <c r="D97" s="30" t="s">
        <v>99</v>
      </c>
      <c r="E97" s="30"/>
      <c r="F97" s="17">
        <v>16.723065999999999</v>
      </c>
      <c r="G97" s="17">
        <v>16.730395999999999</v>
      </c>
      <c r="H97" s="17">
        <v>16.742583499999999</v>
      </c>
      <c r="I97" s="17">
        <v>16.750764</v>
      </c>
      <c r="J97" s="17">
        <v>15.659036</v>
      </c>
      <c r="K97" s="17">
        <v>15.595117</v>
      </c>
      <c r="L97" s="17">
        <v>15.24071</v>
      </c>
      <c r="M97" s="17">
        <v>17.519487999999999</v>
      </c>
      <c r="N97" s="17">
        <v>16.704243000000002</v>
      </c>
      <c r="O97" s="17">
        <v>16.493364</v>
      </c>
      <c r="P97" s="17">
        <v>8.8582049999999999</v>
      </c>
      <c r="Q97" s="17">
        <v>12.715036000000001</v>
      </c>
      <c r="R97" s="17">
        <v>16.962878</v>
      </c>
      <c r="S97" s="17">
        <v>16.915162000000002</v>
      </c>
      <c r="T97" s="17">
        <v>16.912880000000001</v>
      </c>
      <c r="U97" s="17">
        <v>16.926566999999999</v>
      </c>
      <c r="V97" s="17">
        <v>16.923880999999998</v>
      </c>
      <c r="W97" s="17">
        <v>16.938262000000002</v>
      </c>
      <c r="X97" s="17">
        <v>16.937521</v>
      </c>
      <c r="Y97" s="17">
        <v>16.949659</v>
      </c>
      <c r="Z97" s="17">
        <v>16.948551000000002</v>
      </c>
      <c r="AA97" s="17">
        <v>16.962496999999999</v>
      </c>
      <c r="AB97" s="17">
        <v>16.962593999999999</v>
      </c>
      <c r="AC97" s="17">
        <v>16.975501000000001</v>
      </c>
      <c r="AD97" s="17">
        <v>16.976391</v>
      </c>
      <c r="AE97" s="18">
        <v>16.987555999999998</v>
      </c>
      <c r="AF97" s="13"/>
    </row>
    <row r="98" spans="2:32" x14ac:dyDescent="0.3">
      <c r="B98" s="29" t="s">
        <v>188</v>
      </c>
      <c r="C98" s="30" t="s">
        <v>33</v>
      </c>
      <c r="D98" s="30" t="s">
        <v>7</v>
      </c>
      <c r="E98" s="30" t="s">
        <v>156</v>
      </c>
      <c r="F98" s="17">
        <v>0</v>
      </c>
      <c r="G98" s="17">
        <v>5.7299999999999997E-2</v>
      </c>
      <c r="H98" s="17">
        <v>0.11459999999999999</v>
      </c>
      <c r="I98" s="17">
        <v>0.15698000000000001</v>
      </c>
      <c r="J98" s="17">
        <v>0.19936000000000001</v>
      </c>
      <c r="K98" s="17">
        <v>0.32946500000000001</v>
      </c>
      <c r="L98" s="17">
        <v>0.45956999999999998</v>
      </c>
      <c r="M98" s="17">
        <v>0.59477000000000002</v>
      </c>
      <c r="N98" s="17">
        <v>0.72997000000000001</v>
      </c>
      <c r="O98" s="17">
        <v>0.96206000000000003</v>
      </c>
      <c r="P98" s="17">
        <v>0.48877999999999999</v>
      </c>
      <c r="Q98" s="17">
        <v>0.78854999999999997</v>
      </c>
      <c r="R98" s="17">
        <v>0.92464000000000002</v>
      </c>
      <c r="S98" s="17">
        <v>0.92464000000000002</v>
      </c>
      <c r="T98" s="17">
        <v>0.92464000000000002</v>
      </c>
      <c r="U98" s="17">
        <v>0.92464000000000002</v>
      </c>
      <c r="V98" s="17">
        <v>0.92464000000000002</v>
      </c>
      <c r="W98" s="17">
        <v>0.92464000000000002</v>
      </c>
      <c r="X98" s="17">
        <v>0.92464000000000002</v>
      </c>
      <c r="Y98" s="17">
        <v>0.92464000000000002</v>
      </c>
      <c r="Z98" s="17">
        <v>0.92464000000000002</v>
      </c>
      <c r="AA98" s="17">
        <v>0.92464000000000002</v>
      </c>
      <c r="AB98" s="17">
        <v>0.92464000000000002</v>
      </c>
      <c r="AC98" s="17">
        <v>0.92464000000000002</v>
      </c>
      <c r="AD98" s="17">
        <v>0.92464000000000002</v>
      </c>
      <c r="AE98" s="18">
        <v>0.92464000000000002</v>
      </c>
      <c r="AF98" s="13"/>
    </row>
    <row r="99" spans="2:32" x14ac:dyDescent="0.3">
      <c r="B99" s="29" t="s">
        <v>188</v>
      </c>
      <c r="C99" s="30" t="s">
        <v>33</v>
      </c>
      <c r="D99" s="30" t="s">
        <v>7</v>
      </c>
      <c r="E99" s="30" t="s">
        <v>5</v>
      </c>
      <c r="F99" s="17">
        <v>5.1452400000000003</v>
      </c>
      <c r="G99" s="17">
        <v>5.50305</v>
      </c>
      <c r="H99" s="17">
        <v>5.7573299999999996</v>
      </c>
      <c r="I99" s="17">
        <v>6.7822300000000002</v>
      </c>
      <c r="J99" s="17">
        <v>7.04833</v>
      </c>
      <c r="K99" s="17">
        <v>7.08087</v>
      </c>
      <c r="L99" s="17">
        <v>7.77461</v>
      </c>
      <c r="M99" s="17">
        <v>8.4631100000000004</v>
      </c>
      <c r="N99" s="17">
        <v>12.258900000000001</v>
      </c>
      <c r="O99" s="17">
        <v>12.775399999999999</v>
      </c>
      <c r="P99" s="17">
        <v>10.973100000000001</v>
      </c>
      <c r="Q99" s="17">
        <v>13.342499999999999</v>
      </c>
      <c r="R99" s="17">
        <v>15.243600000000001</v>
      </c>
      <c r="S99" s="17">
        <v>16.141300000000001</v>
      </c>
      <c r="T99" s="17">
        <v>15.260300000000001</v>
      </c>
      <c r="U99" s="17">
        <v>16.3569</v>
      </c>
      <c r="V99" s="17">
        <v>16.1388</v>
      </c>
      <c r="W99" s="17">
        <v>17.299099999999999</v>
      </c>
      <c r="X99" s="17">
        <v>17.2364</v>
      </c>
      <c r="Y99" s="17">
        <v>18.209399999999999</v>
      </c>
      <c r="Z99" s="17">
        <v>18.124500000000001</v>
      </c>
      <c r="AA99" s="17">
        <v>19.241</v>
      </c>
      <c r="AB99" s="17">
        <v>19.249600000000001</v>
      </c>
      <c r="AC99" s="17">
        <v>20.2851</v>
      </c>
      <c r="AD99" s="17">
        <v>20.3566</v>
      </c>
      <c r="AE99" s="18">
        <v>21.253</v>
      </c>
      <c r="AF99" s="13"/>
    </row>
    <row r="100" spans="2:32" x14ac:dyDescent="0.3">
      <c r="B100" s="29" t="s">
        <v>188</v>
      </c>
      <c r="C100" s="30" t="s">
        <v>33</v>
      </c>
      <c r="D100" s="30" t="s">
        <v>7</v>
      </c>
      <c r="E100" s="30" t="s">
        <v>9</v>
      </c>
      <c r="F100" s="17">
        <v>7.1980799999999995E-4</v>
      </c>
      <c r="G100" s="17">
        <v>6.4112999999999996E-4</v>
      </c>
      <c r="H100" s="17">
        <v>4.6615900000000001E-4</v>
      </c>
      <c r="I100" s="17">
        <v>3.6023100000000002E-2</v>
      </c>
      <c r="J100" s="17">
        <v>3.6023100000000002E-2</v>
      </c>
      <c r="K100" s="17">
        <v>3.6023100000000002E-2</v>
      </c>
      <c r="L100" s="17">
        <v>3.6023100000000002E-2</v>
      </c>
      <c r="M100" s="17">
        <v>3.7185200000000002E-2</v>
      </c>
      <c r="N100" s="17">
        <v>3.8928200000000003E-2</v>
      </c>
      <c r="O100" s="17">
        <v>3.9509299999999997E-2</v>
      </c>
      <c r="P100" s="17">
        <v>3.8928200000000003E-2</v>
      </c>
      <c r="Q100" s="17">
        <v>3.9509299999999997E-2</v>
      </c>
      <c r="R100" s="17">
        <v>4.0671300000000001E-2</v>
      </c>
      <c r="S100" s="17">
        <v>8.4247699999999995E-2</v>
      </c>
      <c r="T100" s="17">
        <v>0.23353599999999999</v>
      </c>
      <c r="U100" s="17">
        <v>0.239259</v>
      </c>
      <c r="V100" s="17">
        <v>0.238121</v>
      </c>
      <c r="W100" s="17">
        <v>0.24417700000000001</v>
      </c>
      <c r="X100" s="17">
        <v>0.24385000000000001</v>
      </c>
      <c r="Y100" s="17">
        <v>0.24892800000000001</v>
      </c>
      <c r="Z100" s="17">
        <v>0.24848500000000001</v>
      </c>
      <c r="AA100" s="17">
        <v>0.25431199999999998</v>
      </c>
      <c r="AB100" s="17">
        <v>0.254357</v>
      </c>
      <c r="AC100" s="17">
        <v>0.25976199999999999</v>
      </c>
      <c r="AD100" s="17">
        <v>0.26013500000000001</v>
      </c>
      <c r="AE100" s="18">
        <v>0.26481399999999999</v>
      </c>
      <c r="AF100" s="13"/>
    </row>
    <row r="101" spans="2:32" x14ac:dyDescent="0.3">
      <c r="B101" s="29" t="s">
        <v>188</v>
      </c>
      <c r="C101" s="30" t="s">
        <v>33</v>
      </c>
      <c r="D101" s="30" t="s">
        <v>7</v>
      </c>
      <c r="E101" s="30" t="s">
        <v>3</v>
      </c>
      <c r="F101" s="17">
        <v>49.035600000000002</v>
      </c>
      <c r="G101" s="17">
        <v>51.822000000000003</v>
      </c>
      <c r="H101" s="17">
        <v>56.451000000000001</v>
      </c>
      <c r="I101" s="17">
        <v>59.574100000000001</v>
      </c>
      <c r="J101" s="17">
        <v>62.223599999999998</v>
      </c>
      <c r="K101" s="17">
        <v>68.353300000000004</v>
      </c>
      <c r="L101" s="17">
        <v>73.274000000000001</v>
      </c>
      <c r="M101" s="17">
        <v>80.025400000000005</v>
      </c>
      <c r="N101" s="17">
        <v>85.759500000000003</v>
      </c>
      <c r="O101" s="17">
        <v>88.2654</v>
      </c>
      <c r="P101" s="17">
        <v>70.817999999999998</v>
      </c>
      <c r="Q101" s="17">
        <v>95.124300000000005</v>
      </c>
      <c r="R101" s="17">
        <v>98.539599999999993</v>
      </c>
      <c r="S101" s="17">
        <v>111.617</v>
      </c>
      <c r="T101" s="17">
        <v>109.78100000000001</v>
      </c>
      <c r="U101" s="17">
        <v>117.364</v>
      </c>
      <c r="V101" s="17">
        <v>115.85599999999999</v>
      </c>
      <c r="W101" s="17">
        <v>123.879</v>
      </c>
      <c r="X101" s="17">
        <v>123.446</v>
      </c>
      <c r="Y101" s="17">
        <v>130.17400000000001</v>
      </c>
      <c r="Z101" s="17">
        <v>129.58699999999999</v>
      </c>
      <c r="AA101" s="17">
        <v>137.30799999999999</v>
      </c>
      <c r="AB101" s="17">
        <v>137.36699999999999</v>
      </c>
      <c r="AC101" s="17">
        <v>144.52799999999999</v>
      </c>
      <c r="AD101" s="17">
        <v>145.02199999999999</v>
      </c>
      <c r="AE101" s="18">
        <v>151.221</v>
      </c>
      <c r="AF101" s="13"/>
    </row>
    <row r="102" spans="2:32" x14ac:dyDescent="0.3">
      <c r="B102" s="29" t="s">
        <v>188</v>
      </c>
      <c r="C102" s="30" t="s">
        <v>33</v>
      </c>
      <c r="D102" s="30" t="s">
        <v>7</v>
      </c>
      <c r="E102" s="30" t="s">
        <v>8</v>
      </c>
      <c r="F102" s="17">
        <v>3.13786E-2</v>
      </c>
      <c r="G102" s="17">
        <v>2.9178099999999998E-2</v>
      </c>
      <c r="H102" s="17">
        <v>2.7036999999999999E-2</v>
      </c>
      <c r="I102" s="17">
        <v>0.42530499999999999</v>
      </c>
      <c r="J102" s="17">
        <v>0.49909500000000001</v>
      </c>
      <c r="K102" s="17">
        <v>0.31723600000000002</v>
      </c>
      <c r="L102" s="17">
        <v>0.29341400000000001</v>
      </c>
      <c r="M102" s="17">
        <v>0.29980499999999999</v>
      </c>
      <c r="N102" s="17">
        <v>0.25390499999999999</v>
      </c>
      <c r="O102" s="17">
        <v>0.28818500000000002</v>
      </c>
      <c r="P102" s="17">
        <v>0.31491200000000003</v>
      </c>
      <c r="Q102" s="17">
        <v>0.55254800000000004</v>
      </c>
      <c r="R102" s="17">
        <v>1.2398899999999999</v>
      </c>
      <c r="S102" s="17">
        <v>1.12601</v>
      </c>
      <c r="T102" s="17">
        <v>1.11328</v>
      </c>
      <c r="U102" s="17">
        <v>1.1897800000000001</v>
      </c>
      <c r="V102" s="17">
        <v>1.1745699999999999</v>
      </c>
      <c r="W102" s="17">
        <v>1.2555099999999999</v>
      </c>
      <c r="X102" s="17">
        <v>1.2511300000000001</v>
      </c>
      <c r="Y102" s="17">
        <v>1.31901</v>
      </c>
      <c r="Z102" s="17">
        <v>1.3130900000000001</v>
      </c>
      <c r="AA102" s="17">
        <v>1.3909800000000001</v>
      </c>
      <c r="AB102" s="17">
        <v>1.39158</v>
      </c>
      <c r="AC102" s="17">
        <v>1.4638100000000001</v>
      </c>
      <c r="AD102" s="17">
        <v>1.4688000000000001</v>
      </c>
      <c r="AE102" s="18">
        <v>1.5313399999999999</v>
      </c>
      <c r="AF102" s="13"/>
    </row>
    <row r="103" spans="2:32" x14ac:dyDescent="0.3">
      <c r="B103" s="29" t="s">
        <v>188</v>
      </c>
      <c r="C103" s="30" t="s">
        <v>33</v>
      </c>
      <c r="D103" s="30" t="s">
        <v>100</v>
      </c>
      <c r="E103" s="30"/>
      <c r="F103" s="17">
        <v>54.212938407999999</v>
      </c>
      <c r="G103" s="17">
        <v>57.412169230000003</v>
      </c>
      <c r="H103" s="17">
        <v>62.350433158999998</v>
      </c>
      <c r="I103" s="17">
        <v>66.974638099999993</v>
      </c>
      <c r="J103" s="17">
        <v>70.006408100000002</v>
      </c>
      <c r="K103" s="17">
        <v>76.116894099999996</v>
      </c>
      <c r="L103" s="17">
        <v>81.837617100000003</v>
      </c>
      <c r="M103" s="17">
        <v>89.420270200000019</v>
      </c>
      <c r="N103" s="17">
        <v>99.041203200000012</v>
      </c>
      <c r="O103" s="17">
        <v>102.3305543</v>
      </c>
      <c r="P103" s="17">
        <v>82.633720200000013</v>
      </c>
      <c r="Q103" s="17">
        <v>109.84740730000001</v>
      </c>
      <c r="R103" s="17">
        <v>115.98840129999999</v>
      </c>
      <c r="S103" s="17">
        <v>129.8931977</v>
      </c>
      <c r="T103" s="17">
        <v>127.31275600000001</v>
      </c>
      <c r="U103" s="17">
        <v>136.07457900000003</v>
      </c>
      <c r="V103" s="17">
        <v>134.33213099999998</v>
      </c>
      <c r="W103" s="17">
        <v>143.60242700000001</v>
      </c>
      <c r="X103" s="17">
        <v>143.10201999999998</v>
      </c>
      <c r="Y103" s="17">
        <v>150.875978</v>
      </c>
      <c r="Z103" s="17">
        <v>150.19771499999999</v>
      </c>
      <c r="AA103" s="17">
        <v>159.118932</v>
      </c>
      <c r="AB103" s="17">
        <v>159.18717699999999</v>
      </c>
      <c r="AC103" s="17">
        <v>167.46131199999999</v>
      </c>
      <c r="AD103" s="17">
        <v>168.032175</v>
      </c>
      <c r="AE103" s="18">
        <v>175.194794</v>
      </c>
      <c r="AF103" s="13"/>
    </row>
    <row r="104" spans="2:32" x14ac:dyDescent="0.3">
      <c r="B104" s="29" t="s">
        <v>188</v>
      </c>
      <c r="C104" s="30" t="s">
        <v>33</v>
      </c>
      <c r="D104" s="30" t="s">
        <v>6</v>
      </c>
      <c r="E104" s="30" t="s">
        <v>5</v>
      </c>
      <c r="F104" s="17">
        <v>72.381100000000004</v>
      </c>
      <c r="G104" s="17">
        <v>77.414599999999993</v>
      </c>
      <c r="H104" s="17">
        <v>80.991799999999998</v>
      </c>
      <c r="I104" s="17">
        <v>95.409599999999998</v>
      </c>
      <c r="J104" s="17">
        <v>105.246</v>
      </c>
      <c r="K104" s="17">
        <v>105.91200000000001</v>
      </c>
      <c r="L104" s="17">
        <v>108.349</v>
      </c>
      <c r="M104" s="17">
        <v>117.944</v>
      </c>
      <c r="N104" s="17">
        <v>111.03100000000001</v>
      </c>
      <c r="O104" s="17">
        <v>112.794</v>
      </c>
      <c r="P104" s="17">
        <v>95.234700000000004</v>
      </c>
      <c r="Q104" s="17">
        <v>110.88800000000001</v>
      </c>
      <c r="R104" s="17">
        <v>115.96</v>
      </c>
      <c r="S104" s="17">
        <v>127.539</v>
      </c>
      <c r="T104" s="17">
        <v>126.098</v>
      </c>
      <c r="U104" s="17">
        <v>134.762</v>
      </c>
      <c r="V104" s="17">
        <v>133.03899999999999</v>
      </c>
      <c r="W104" s="17">
        <v>142.20699999999999</v>
      </c>
      <c r="X104" s="17">
        <v>141.71100000000001</v>
      </c>
      <c r="Y104" s="17">
        <v>149.4</v>
      </c>
      <c r="Z104" s="17">
        <v>148.72800000000001</v>
      </c>
      <c r="AA104" s="17">
        <v>157.55099999999999</v>
      </c>
      <c r="AB104" s="17">
        <v>157.619</v>
      </c>
      <c r="AC104" s="17">
        <v>165.8</v>
      </c>
      <c r="AD104" s="17">
        <v>166.36500000000001</v>
      </c>
      <c r="AE104" s="18">
        <v>173.44900000000001</v>
      </c>
      <c r="AF104" s="13"/>
    </row>
    <row r="105" spans="2:32" x14ac:dyDescent="0.3">
      <c r="B105" s="29" t="s">
        <v>188</v>
      </c>
      <c r="C105" s="30" t="s">
        <v>33</v>
      </c>
      <c r="D105" s="30" t="s">
        <v>6</v>
      </c>
      <c r="E105" s="30" t="s">
        <v>3</v>
      </c>
      <c r="F105" s="17">
        <v>24.760200000000001</v>
      </c>
      <c r="G105" s="17">
        <v>26.167200000000001</v>
      </c>
      <c r="H105" s="17">
        <v>28.5046</v>
      </c>
      <c r="I105" s="17">
        <v>30.081600000000002</v>
      </c>
      <c r="J105" s="17">
        <v>29.019500000000001</v>
      </c>
      <c r="K105" s="17">
        <v>31.064699999999998</v>
      </c>
      <c r="L105" s="17">
        <v>31.486499999999999</v>
      </c>
      <c r="M105" s="17">
        <v>32.269199999999998</v>
      </c>
      <c r="N105" s="17">
        <v>32.731699999999996</v>
      </c>
      <c r="O105" s="17">
        <v>32.2273</v>
      </c>
      <c r="P105" s="17">
        <v>25.101700000000001</v>
      </c>
      <c r="Q105" s="17">
        <v>32.411499999999997</v>
      </c>
      <c r="R105" s="17">
        <v>32.276699999999998</v>
      </c>
      <c r="S105" s="17">
        <v>31.684699999999999</v>
      </c>
      <c r="T105" s="17">
        <v>31.326499999999999</v>
      </c>
      <c r="U105" s="17">
        <v>33.478999999999999</v>
      </c>
      <c r="V105" s="17">
        <v>33.050899999999999</v>
      </c>
      <c r="W105" s="17">
        <v>35.328499999999998</v>
      </c>
      <c r="X105" s="17">
        <v>35.205399999999997</v>
      </c>
      <c r="Y105" s="17">
        <v>37.115400000000001</v>
      </c>
      <c r="Z105" s="17">
        <v>36.948599999999999</v>
      </c>
      <c r="AA105" s="17">
        <v>39.1404</v>
      </c>
      <c r="AB105" s="17">
        <v>39.157299999999999</v>
      </c>
      <c r="AC105" s="17">
        <v>41.189900000000002</v>
      </c>
      <c r="AD105" s="17">
        <v>41.330199999999998</v>
      </c>
      <c r="AE105" s="18">
        <v>43.0899</v>
      </c>
      <c r="AF105" s="13"/>
    </row>
    <row r="106" spans="2:32" x14ac:dyDescent="0.3">
      <c r="B106" s="29" t="s">
        <v>188</v>
      </c>
      <c r="C106" s="30" t="s">
        <v>33</v>
      </c>
      <c r="D106" s="30" t="s">
        <v>101</v>
      </c>
      <c r="E106" s="30"/>
      <c r="F106" s="17">
        <v>97.141300000000001</v>
      </c>
      <c r="G106" s="17">
        <v>103.58179999999999</v>
      </c>
      <c r="H106" s="17">
        <v>109.49639999999999</v>
      </c>
      <c r="I106" s="17">
        <v>125.49119999999999</v>
      </c>
      <c r="J106" s="17">
        <v>134.2655</v>
      </c>
      <c r="K106" s="17">
        <v>136.97669999999999</v>
      </c>
      <c r="L106" s="17">
        <v>139.8355</v>
      </c>
      <c r="M106" s="17">
        <v>150.2132</v>
      </c>
      <c r="N106" s="17">
        <v>143.7627</v>
      </c>
      <c r="O106" s="17">
        <v>145.0213</v>
      </c>
      <c r="P106" s="17">
        <v>120.3364</v>
      </c>
      <c r="Q106" s="17">
        <v>143.29949999999999</v>
      </c>
      <c r="R106" s="17">
        <v>148.23669999999998</v>
      </c>
      <c r="S106" s="17">
        <v>159.22370000000001</v>
      </c>
      <c r="T106" s="17">
        <v>157.42449999999999</v>
      </c>
      <c r="U106" s="17">
        <v>168.24099999999999</v>
      </c>
      <c r="V106" s="17">
        <v>166.0899</v>
      </c>
      <c r="W106" s="17">
        <v>177.53549999999998</v>
      </c>
      <c r="X106" s="17">
        <v>176.91640000000001</v>
      </c>
      <c r="Y106" s="17">
        <v>186.5154</v>
      </c>
      <c r="Z106" s="17">
        <v>185.67660000000001</v>
      </c>
      <c r="AA106" s="17">
        <v>196.69139999999999</v>
      </c>
      <c r="AB106" s="17">
        <v>196.77629999999999</v>
      </c>
      <c r="AC106" s="17">
        <v>206.98990000000001</v>
      </c>
      <c r="AD106" s="17">
        <v>207.6952</v>
      </c>
      <c r="AE106" s="18">
        <v>216.53890000000001</v>
      </c>
      <c r="AF106" s="13"/>
    </row>
    <row r="107" spans="2:32" x14ac:dyDescent="0.3">
      <c r="B107" s="29" t="s">
        <v>189</v>
      </c>
      <c r="C107" s="30" t="s">
        <v>33</v>
      </c>
      <c r="D107" s="30" t="s">
        <v>2</v>
      </c>
      <c r="E107" s="30" t="s">
        <v>5</v>
      </c>
      <c r="F107" s="17">
        <v>3.4336799999999998</v>
      </c>
      <c r="G107" s="17">
        <v>3.6724700000000001</v>
      </c>
      <c r="H107" s="17">
        <v>3.8421699999999999</v>
      </c>
      <c r="I107" s="17">
        <v>4.5261300000000002</v>
      </c>
      <c r="J107" s="17">
        <v>4.9886200000000001</v>
      </c>
      <c r="K107" s="17">
        <v>5.9653200000000002</v>
      </c>
      <c r="L107" s="17">
        <v>11.295</v>
      </c>
      <c r="M107" s="17">
        <v>11.9986</v>
      </c>
      <c r="N107" s="17">
        <v>11.486700000000001</v>
      </c>
      <c r="O107" s="17">
        <v>11.553599999999999</v>
      </c>
      <c r="P107" s="17">
        <v>9.8622099999999993</v>
      </c>
      <c r="Q107" s="17">
        <v>11.934100000000001</v>
      </c>
      <c r="R107" s="17">
        <v>13.3431</v>
      </c>
      <c r="S107" s="17">
        <v>14.144299999999999</v>
      </c>
      <c r="T107" s="17">
        <v>13.984400000000001</v>
      </c>
      <c r="U107" s="17">
        <v>14.9453</v>
      </c>
      <c r="V107" s="17">
        <v>14.754200000000001</v>
      </c>
      <c r="W107" s="17">
        <v>15.770899999999999</v>
      </c>
      <c r="X107" s="17">
        <v>15.715999999999999</v>
      </c>
      <c r="Y107" s="17">
        <v>16.5687</v>
      </c>
      <c r="Z107" s="17">
        <v>16.494199999999999</v>
      </c>
      <c r="AA107" s="17">
        <v>17.4726</v>
      </c>
      <c r="AB107" s="17">
        <v>17.4801</v>
      </c>
      <c r="AC107" s="17">
        <v>18.387499999999999</v>
      </c>
      <c r="AD107" s="17">
        <v>18.450199999999999</v>
      </c>
      <c r="AE107" s="18">
        <v>19.235700000000001</v>
      </c>
      <c r="AF107" s="13"/>
    </row>
    <row r="108" spans="2:32" x14ac:dyDescent="0.3">
      <c r="B108" s="29" t="s">
        <v>189</v>
      </c>
      <c r="C108" s="30" t="s">
        <v>33</v>
      </c>
      <c r="D108" s="30" t="s">
        <v>2</v>
      </c>
      <c r="E108" s="30" t="s">
        <v>4</v>
      </c>
      <c r="F108" s="17">
        <v>22.0153</v>
      </c>
      <c r="G108" s="17">
        <v>11.224600000000001</v>
      </c>
      <c r="H108" s="17">
        <v>0.43389</v>
      </c>
      <c r="I108" s="17">
        <v>0.33873399999999998</v>
      </c>
      <c r="J108" s="17">
        <v>0.31026399999999998</v>
      </c>
      <c r="K108" s="17">
        <v>0.377662</v>
      </c>
      <c r="L108" s="17">
        <v>0.36894700000000002</v>
      </c>
      <c r="M108" s="17">
        <v>0.39799800000000002</v>
      </c>
      <c r="N108" s="17">
        <v>0.37069000000000002</v>
      </c>
      <c r="O108" s="17">
        <v>0.36952800000000002</v>
      </c>
      <c r="P108" s="17">
        <v>0.187088</v>
      </c>
      <c r="Q108" s="17">
        <v>0</v>
      </c>
      <c r="R108" s="17">
        <v>0</v>
      </c>
      <c r="S108" s="17">
        <v>0</v>
      </c>
      <c r="T108" s="17">
        <v>0</v>
      </c>
      <c r="U108" s="17">
        <v>0</v>
      </c>
      <c r="V108" s="17">
        <v>0</v>
      </c>
      <c r="W108" s="17">
        <v>0</v>
      </c>
      <c r="X108" s="17">
        <v>0</v>
      </c>
      <c r="Y108" s="17">
        <v>0</v>
      </c>
      <c r="Z108" s="17">
        <v>0</v>
      </c>
      <c r="AA108" s="17">
        <v>0</v>
      </c>
      <c r="AB108" s="17">
        <v>0</v>
      </c>
      <c r="AC108" s="17">
        <v>0</v>
      </c>
      <c r="AD108" s="17">
        <v>0</v>
      </c>
      <c r="AE108" s="18">
        <v>0</v>
      </c>
      <c r="AF108" s="13"/>
    </row>
    <row r="109" spans="2:32" x14ac:dyDescent="0.3">
      <c r="B109" s="29" t="s">
        <v>189</v>
      </c>
      <c r="C109" s="30" t="s">
        <v>33</v>
      </c>
      <c r="D109" s="30" t="s">
        <v>2</v>
      </c>
      <c r="E109" s="30" t="s">
        <v>3</v>
      </c>
      <c r="F109" s="17">
        <v>1.6738300000000001E-2</v>
      </c>
      <c r="G109" s="17">
        <v>1.7689400000000001E-2</v>
      </c>
      <c r="H109" s="17">
        <v>1.9269499999999998E-2</v>
      </c>
      <c r="I109" s="17">
        <v>2.0335599999999999E-2</v>
      </c>
      <c r="J109" s="17">
        <v>2.1497700000000002E-2</v>
      </c>
      <c r="K109" s="17">
        <v>2.1497700000000002E-2</v>
      </c>
      <c r="L109" s="17">
        <v>2.09167E-2</v>
      </c>
      <c r="M109" s="17">
        <v>2.4402799999999999E-2</v>
      </c>
      <c r="N109" s="17">
        <v>3.0793999999999998E-2</v>
      </c>
      <c r="O109" s="17">
        <v>3.4861100000000002E-3</v>
      </c>
      <c r="P109" s="17">
        <v>9.8773100000000003E-3</v>
      </c>
      <c r="Q109" s="17">
        <v>1.9754600000000001E-2</v>
      </c>
      <c r="R109" s="17">
        <v>2.8469899999999999E-2</v>
      </c>
      <c r="S109" s="17">
        <v>3.1955999999999998E-2</v>
      </c>
      <c r="T109" s="17">
        <v>3.1594799999999999E-2</v>
      </c>
      <c r="U109" s="17">
        <v>3.3765700000000003E-2</v>
      </c>
      <c r="V109" s="17">
        <v>3.3334000000000003E-2</v>
      </c>
      <c r="W109" s="17">
        <v>3.5631000000000003E-2</v>
      </c>
      <c r="X109" s="17">
        <v>3.5506900000000001E-2</v>
      </c>
      <c r="Y109" s="17">
        <v>3.7433300000000003E-2</v>
      </c>
      <c r="Z109" s="17">
        <v>3.7265100000000002E-2</v>
      </c>
      <c r="AA109" s="17">
        <v>3.94756E-2</v>
      </c>
      <c r="AB109" s="17">
        <v>3.9492600000000003E-2</v>
      </c>
      <c r="AC109" s="17">
        <v>4.1542599999999999E-2</v>
      </c>
      <c r="AD109" s="17">
        <v>4.1684199999999998E-2</v>
      </c>
      <c r="AE109" s="18">
        <v>4.3458900000000002E-2</v>
      </c>
      <c r="AF109" s="13"/>
    </row>
    <row r="110" spans="2:32" x14ac:dyDescent="0.3">
      <c r="B110" s="29" t="s">
        <v>189</v>
      </c>
      <c r="C110" s="30" t="s">
        <v>33</v>
      </c>
      <c r="D110" s="30" t="s">
        <v>102</v>
      </c>
      <c r="E110" s="30"/>
      <c r="F110" s="17">
        <v>25.465718299999999</v>
      </c>
      <c r="G110" s="17">
        <v>14.914759400000001</v>
      </c>
      <c r="H110" s="17">
        <v>4.2953295000000002</v>
      </c>
      <c r="I110" s="17">
        <v>4.8851996</v>
      </c>
      <c r="J110" s="17">
        <v>5.3203817000000004</v>
      </c>
      <c r="K110" s="17">
        <v>6.3644797000000004</v>
      </c>
      <c r="L110" s="17">
        <v>11.684863700000001</v>
      </c>
      <c r="M110" s="17">
        <v>12.4210008</v>
      </c>
      <c r="N110" s="17">
        <v>11.888184000000001</v>
      </c>
      <c r="O110" s="17">
        <v>11.926614110000001</v>
      </c>
      <c r="P110" s="17">
        <v>10.059175309999999</v>
      </c>
      <c r="Q110" s="17">
        <v>11.953854600000001</v>
      </c>
      <c r="R110" s="17">
        <v>13.371569899999999</v>
      </c>
      <c r="S110" s="17">
        <v>14.176255999999999</v>
      </c>
      <c r="T110" s="17">
        <v>14.015994800000001</v>
      </c>
      <c r="U110" s="17">
        <v>14.9790657</v>
      </c>
      <c r="V110" s="17">
        <v>14.787534000000001</v>
      </c>
      <c r="W110" s="17">
        <v>15.806531</v>
      </c>
      <c r="X110" s="17">
        <v>15.751506899999999</v>
      </c>
      <c r="Y110" s="17">
        <v>16.6061333</v>
      </c>
      <c r="Z110" s="17">
        <v>16.531465099999998</v>
      </c>
      <c r="AA110" s="17">
        <v>17.512075599999999</v>
      </c>
      <c r="AB110" s="17">
        <v>17.519592599999999</v>
      </c>
      <c r="AC110" s="17">
        <v>18.429042599999999</v>
      </c>
      <c r="AD110" s="17">
        <v>18.491884199999998</v>
      </c>
      <c r="AE110" s="18">
        <v>19.279158900000002</v>
      </c>
      <c r="AF110" s="13"/>
    </row>
    <row r="111" spans="2:32" x14ac:dyDescent="0.3">
      <c r="B111" s="29"/>
      <c r="C111" s="30" t="s">
        <v>104</v>
      </c>
      <c r="D111" s="30"/>
      <c r="E111" s="30"/>
      <c r="F111" s="17">
        <v>434.32246955799997</v>
      </c>
      <c r="G111" s="17">
        <v>444.97017541000002</v>
      </c>
      <c r="H111" s="17">
        <v>457.41667726900005</v>
      </c>
      <c r="I111" s="17">
        <v>483.04368846</v>
      </c>
      <c r="J111" s="17">
        <v>506.1790315500001</v>
      </c>
      <c r="K111" s="17">
        <v>503.39802784</v>
      </c>
      <c r="L111" s="17">
        <v>500.27249303999992</v>
      </c>
      <c r="M111" s="17">
        <v>526.66004420000002</v>
      </c>
      <c r="N111" s="17">
        <v>542.18418459999998</v>
      </c>
      <c r="O111" s="17">
        <v>548.81548860999999</v>
      </c>
      <c r="P111" s="17">
        <v>475.47140581000002</v>
      </c>
      <c r="Q111" s="17">
        <v>537.5562212000001</v>
      </c>
      <c r="R111" s="17">
        <v>572.4960169000002</v>
      </c>
      <c r="S111" s="17">
        <v>582.53705060000016</v>
      </c>
      <c r="T111" s="17">
        <v>584.51104570000007</v>
      </c>
      <c r="U111" s="17">
        <v>609.41489860000001</v>
      </c>
      <c r="V111" s="17">
        <v>612.10638849999987</v>
      </c>
      <c r="W111" s="17">
        <v>639.11377249999998</v>
      </c>
      <c r="X111" s="17">
        <v>644.60490040000002</v>
      </c>
      <c r="Y111" s="17">
        <v>666.77624179999998</v>
      </c>
      <c r="Z111" s="17">
        <v>671.31642859999999</v>
      </c>
      <c r="AA111" s="17">
        <v>697.86092010000004</v>
      </c>
      <c r="AB111" s="17">
        <v>704.59556309999994</v>
      </c>
      <c r="AC111" s="17">
        <v>729.52130910000017</v>
      </c>
      <c r="AD111" s="17">
        <v>737.21473869999988</v>
      </c>
      <c r="AE111" s="18">
        <v>758.95360240000002</v>
      </c>
      <c r="AF111" s="13"/>
    </row>
    <row r="112" spans="2:32" x14ac:dyDescent="0.3">
      <c r="B112" s="23" t="s">
        <v>183</v>
      </c>
      <c r="C112" s="24" t="s">
        <v>38</v>
      </c>
      <c r="D112" s="24" t="s">
        <v>21</v>
      </c>
      <c r="E112" s="24" t="s">
        <v>5</v>
      </c>
      <c r="F112" s="17">
        <v>0</v>
      </c>
      <c r="G112" s="17">
        <v>0</v>
      </c>
      <c r="H112" s="17">
        <v>0</v>
      </c>
      <c r="I112" s="17">
        <v>0</v>
      </c>
      <c r="J112" s="17">
        <v>0</v>
      </c>
      <c r="K112" s="17">
        <v>0</v>
      </c>
      <c r="L112" s="17">
        <v>0</v>
      </c>
      <c r="M112" s="17">
        <v>0</v>
      </c>
      <c r="N112" s="17">
        <v>0</v>
      </c>
      <c r="O112" s="17">
        <v>0.682697</v>
      </c>
      <c r="P112" s="17">
        <v>0.35209699999999999</v>
      </c>
      <c r="Q112" s="17">
        <v>0.56533100000000003</v>
      </c>
      <c r="R112" s="17">
        <v>0.43750699999999998</v>
      </c>
      <c r="S112" s="17">
        <v>0.43576399999999998</v>
      </c>
      <c r="T112" s="17">
        <v>0.43576399999999998</v>
      </c>
      <c r="U112" s="17">
        <v>0.43576399999999998</v>
      </c>
      <c r="V112" s="17">
        <v>0.43576399999999998</v>
      </c>
      <c r="W112" s="17">
        <v>0.43576399999999998</v>
      </c>
      <c r="X112" s="17">
        <v>0.43576399999999998</v>
      </c>
      <c r="Y112" s="17">
        <v>0.43576399999999998</v>
      </c>
      <c r="Z112" s="17">
        <v>0.43576399999999998</v>
      </c>
      <c r="AA112" s="17">
        <v>0.43576399999999998</v>
      </c>
      <c r="AB112" s="17">
        <v>0.43576399999999998</v>
      </c>
      <c r="AC112" s="17">
        <v>0.43576399999999998</v>
      </c>
      <c r="AD112" s="17">
        <v>0.43576399999999998</v>
      </c>
      <c r="AE112" s="18">
        <v>0.43576399999999998</v>
      </c>
      <c r="AF112" s="13"/>
    </row>
    <row r="113" spans="2:32" x14ac:dyDescent="0.3">
      <c r="B113" s="23" t="s">
        <v>183</v>
      </c>
      <c r="C113" s="24" t="s">
        <v>38</v>
      </c>
      <c r="D113" s="24" t="s">
        <v>21</v>
      </c>
      <c r="E113" s="24" t="s">
        <v>3</v>
      </c>
      <c r="F113" s="17">
        <v>0</v>
      </c>
      <c r="G113" s="17">
        <v>0</v>
      </c>
      <c r="H113" s="17">
        <v>0</v>
      </c>
      <c r="I113" s="17">
        <v>4.2600300000000004</v>
      </c>
      <c r="J113" s="17">
        <v>4.4941800000000001</v>
      </c>
      <c r="K113" s="17">
        <v>4.44421</v>
      </c>
      <c r="L113" s="17">
        <v>4.0357500000000002</v>
      </c>
      <c r="M113" s="17">
        <v>4.3553100000000002</v>
      </c>
      <c r="N113" s="17">
        <v>4.7660900000000002</v>
      </c>
      <c r="O113" s="17">
        <v>5.2210299999999998</v>
      </c>
      <c r="P113" s="17">
        <v>4.84802</v>
      </c>
      <c r="Q113" s="17">
        <v>5.4162499999999998</v>
      </c>
      <c r="R113" s="17">
        <v>5.3645399999999999</v>
      </c>
      <c r="S113" s="17">
        <v>5.5818399999999997</v>
      </c>
      <c r="T113" s="17">
        <v>5.7562800000000003</v>
      </c>
      <c r="U113" s="17">
        <v>5.8919499999999996</v>
      </c>
      <c r="V113" s="17">
        <v>6.0082300000000002</v>
      </c>
      <c r="W113" s="17">
        <v>6.1632899999999999</v>
      </c>
      <c r="X113" s="17">
        <v>6.2892599999999996</v>
      </c>
      <c r="Y113" s="17">
        <v>6.3764799999999999</v>
      </c>
      <c r="Z113" s="17">
        <v>6.4637000000000002</v>
      </c>
      <c r="AA113" s="17">
        <v>6.5993700000000004</v>
      </c>
      <c r="AB113" s="17">
        <v>6.6865800000000002</v>
      </c>
      <c r="AC113" s="17">
        <v>6.8028700000000004</v>
      </c>
      <c r="AD113" s="17">
        <v>6.8803999999999998</v>
      </c>
      <c r="AE113" s="18">
        <v>6.9676099999999996</v>
      </c>
      <c r="AF113" s="13"/>
    </row>
    <row r="114" spans="2:32" x14ac:dyDescent="0.3">
      <c r="B114" s="23" t="s">
        <v>183</v>
      </c>
      <c r="C114" s="24" t="s">
        <v>38</v>
      </c>
      <c r="D114" s="24" t="s">
        <v>21</v>
      </c>
      <c r="E114" s="24" t="s">
        <v>8</v>
      </c>
      <c r="F114" s="17">
        <v>0</v>
      </c>
      <c r="G114" s="17">
        <v>0</v>
      </c>
      <c r="H114" s="17">
        <v>0</v>
      </c>
      <c r="I114" s="17">
        <v>0.84305799999999997</v>
      </c>
      <c r="J114" s="17">
        <v>0.99412199999999995</v>
      </c>
      <c r="K114" s="17">
        <v>1.0249200000000001</v>
      </c>
      <c r="L114" s="17">
        <v>0.799481</v>
      </c>
      <c r="M114" s="17">
        <v>1.1080000000000001</v>
      </c>
      <c r="N114" s="17">
        <v>1.05339</v>
      </c>
      <c r="O114" s="17">
        <v>1.1393800000000001</v>
      </c>
      <c r="P114" s="17">
        <v>0.933697</v>
      </c>
      <c r="Q114" s="17">
        <v>1.09754</v>
      </c>
      <c r="R114" s="17">
        <v>1.02782</v>
      </c>
      <c r="S114" s="17">
        <v>0.62982400000000005</v>
      </c>
      <c r="T114" s="17">
        <v>0.64597300000000002</v>
      </c>
      <c r="U114" s="17">
        <v>0.66212300000000002</v>
      </c>
      <c r="V114" s="17">
        <v>0.67827199999999999</v>
      </c>
      <c r="W114" s="17">
        <v>0.69442099999999995</v>
      </c>
      <c r="X114" s="17">
        <v>0.71057099999999995</v>
      </c>
      <c r="Y114" s="17">
        <v>0.71595399999999998</v>
      </c>
      <c r="Z114" s="17">
        <v>0.72672000000000003</v>
      </c>
      <c r="AA114" s="17">
        <v>0.742869</v>
      </c>
      <c r="AB114" s="17">
        <v>0.75363500000000005</v>
      </c>
      <c r="AC114" s="17">
        <v>0.76440200000000003</v>
      </c>
      <c r="AD114" s="17">
        <v>0.77516799999999997</v>
      </c>
      <c r="AE114" s="18">
        <v>0.78593400000000002</v>
      </c>
      <c r="AF114" s="13"/>
    </row>
    <row r="115" spans="2:32" x14ac:dyDescent="0.3">
      <c r="B115" s="23" t="s">
        <v>183</v>
      </c>
      <c r="C115" s="24" t="s">
        <v>38</v>
      </c>
      <c r="D115" s="24" t="s">
        <v>21</v>
      </c>
      <c r="E115" s="24" t="s">
        <v>176</v>
      </c>
      <c r="F115" s="17">
        <v>0</v>
      </c>
      <c r="G115" s="17">
        <v>0</v>
      </c>
      <c r="H115" s="17">
        <v>0</v>
      </c>
      <c r="I115" s="17">
        <v>1.34738</v>
      </c>
      <c r="J115" s="17">
        <v>1.27824</v>
      </c>
      <c r="K115" s="17">
        <v>1.2131700000000001</v>
      </c>
      <c r="L115" s="17">
        <v>0.394511</v>
      </c>
      <c r="M115" s="17">
        <v>0</v>
      </c>
      <c r="N115" s="17">
        <v>0</v>
      </c>
      <c r="O115" s="17">
        <v>0</v>
      </c>
      <c r="P115" s="17">
        <v>0</v>
      </c>
      <c r="Q115" s="17">
        <v>0</v>
      </c>
      <c r="R115" s="17">
        <v>0</v>
      </c>
      <c r="S115" s="17">
        <v>0</v>
      </c>
      <c r="T115" s="17">
        <v>0</v>
      </c>
      <c r="U115" s="17">
        <v>0</v>
      </c>
      <c r="V115" s="17">
        <v>0</v>
      </c>
      <c r="W115" s="17">
        <v>0</v>
      </c>
      <c r="X115" s="17">
        <v>0</v>
      </c>
      <c r="Y115" s="17">
        <v>0</v>
      </c>
      <c r="Z115" s="17">
        <v>0</v>
      </c>
      <c r="AA115" s="17">
        <v>0</v>
      </c>
      <c r="AB115" s="17">
        <v>0</v>
      </c>
      <c r="AC115" s="17">
        <v>0</v>
      </c>
      <c r="AD115" s="17">
        <v>0</v>
      </c>
      <c r="AE115" s="18">
        <v>0</v>
      </c>
      <c r="AF115" s="13"/>
    </row>
    <row r="116" spans="2:32" x14ac:dyDescent="0.3">
      <c r="B116" s="23" t="s">
        <v>183</v>
      </c>
      <c r="C116" s="24" t="s">
        <v>38</v>
      </c>
      <c r="D116" s="24" t="s">
        <v>94</v>
      </c>
      <c r="E116" s="24"/>
      <c r="F116" s="17">
        <v>0</v>
      </c>
      <c r="G116" s="17">
        <v>0</v>
      </c>
      <c r="H116" s="17">
        <v>0</v>
      </c>
      <c r="I116" s="17">
        <v>6.4504680000000008</v>
      </c>
      <c r="J116" s="17">
        <v>6.7665420000000003</v>
      </c>
      <c r="K116" s="17">
        <v>6.6822999999999997</v>
      </c>
      <c r="L116" s="17">
        <v>5.2297419999999999</v>
      </c>
      <c r="M116" s="17">
        <v>5.4633099999999999</v>
      </c>
      <c r="N116" s="17">
        <v>5.8194800000000004</v>
      </c>
      <c r="O116" s="17">
        <v>7.043107</v>
      </c>
      <c r="P116" s="17">
        <v>6.1338139999999992</v>
      </c>
      <c r="Q116" s="17">
        <v>7.0791210000000007</v>
      </c>
      <c r="R116" s="17">
        <v>6.8298670000000001</v>
      </c>
      <c r="S116" s="17">
        <v>6.6474279999999997</v>
      </c>
      <c r="T116" s="17">
        <v>6.8380169999999998</v>
      </c>
      <c r="U116" s="17">
        <v>6.9898369999999996</v>
      </c>
      <c r="V116" s="17">
        <v>7.1222659999999998</v>
      </c>
      <c r="W116" s="17">
        <v>7.2934749999999999</v>
      </c>
      <c r="X116" s="17">
        <v>7.4355949999999993</v>
      </c>
      <c r="Y116" s="17">
        <v>7.5281979999999997</v>
      </c>
      <c r="Z116" s="17">
        <v>7.6261840000000003</v>
      </c>
      <c r="AA116" s="17">
        <v>7.778003</v>
      </c>
      <c r="AB116" s="17">
        <v>7.8759790000000001</v>
      </c>
      <c r="AC116" s="17">
        <v>8.0030359999999998</v>
      </c>
      <c r="AD116" s="17">
        <v>8.0913319999999995</v>
      </c>
      <c r="AE116" s="18">
        <v>8.1893079999999987</v>
      </c>
      <c r="AF116" s="13"/>
    </row>
    <row r="117" spans="2:32" x14ac:dyDescent="0.3">
      <c r="B117" s="23" t="s">
        <v>184</v>
      </c>
      <c r="C117" s="24" t="s">
        <v>38</v>
      </c>
      <c r="D117" s="24" t="s">
        <v>20</v>
      </c>
      <c r="E117" s="24" t="s">
        <v>5</v>
      </c>
      <c r="F117" s="17">
        <v>9.7515800000000006</v>
      </c>
      <c r="G117" s="17">
        <v>10.236800000000001</v>
      </c>
      <c r="H117" s="17">
        <v>11.376799999999999</v>
      </c>
      <c r="I117" s="17">
        <v>8.1522699999999997</v>
      </c>
      <c r="J117" s="17">
        <v>8.6182499999999997</v>
      </c>
      <c r="K117" s="17">
        <v>7.6810600000000004</v>
      </c>
      <c r="L117" s="17">
        <v>5.2680899999999999</v>
      </c>
      <c r="M117" s="17">
        <v>5.0496299999999996</v>
      </c>
      <c r="N117" s="17">
        <v>5.7404599999999997</v>
      </c>
      <c r="O117" s="17">
        <v>4.71671</v>
      </c>
      <c r="P117" s="17">
        <v>4.60283</v>
      </c>
      <c r="Q117" s="17">
        <v>4.3925000000000001</v>
      </c>
      <c r="R117" s="17">
        <v>6.0873299999999997</v>
      </c>
      <c r="S117" s="17">
        <v>4.6353600000000004</v>
      </c>
      <c r="T117" s="17">
        <v>4.7568200000000003</v>
      </c>
      <c r="U117" s="17">
        <v>4.8706800000000001</v>
      </c>
      <c r="V117" s="17">
        <v>4.98454</v>
      </c>
      <c r="W117" s="17">
        <v>5.1161099999999999</v>
      </c>
      <c r="X117" s="17">
        <v>5.2451499999999998</v>
      </c>
      <c r="Y117" s="17">
        <v>5.3590099999999996</v>
      </c>
      <c r="Z117" s="17">
        <v>5.4855200000000002</v>
      </c>
      <c r="AA117" s="17">
        <v>5.6322700000000001</v>
      </c>
      <c r="AB117" s="17">
        <v>5.77902</v>
      </c>
      <c r="AC117" s="17">
        <v>5.9232500000000003</v>
      </c>
      <c r="AD117" s="17">
        <v>6.0624099999999999</v>
      </c>
      <c r="AE117" s="18">
        <v>6.1990400000000001</v>
      </c>
      <c r="AF117" s="13"/>
    </row>
    <row r="118" spans="2:32" x14ac:dyDescent="0.3">
      <c r="B118" s="23" t="s">
        <v>184</v>
      </c>
      <c r="C118" s="24" t="s">
        <v>38</v>
      </c>
      <c r="D118" s="24" t="s">
        <v>20</v>
      </c>
      <c r="E118" s="24" t="s">
        <v>9</v>
      </c>
      <c r="F118" s="17">
        <v>15.4636</v>
      </c>
      <c r="G118" s="17">
        <v>17.1326</v>
      </c>
      <c r="H118" s="17">
        <v>17.649000000000001</v>
      </c>
      <c r="I118" s="17">
        <v>19.9603</v>
      </c>
      <c r="J118" s="17">
        <v>21.710899999999999</v>
      </c>
      <c r="K118" s="17">
        <v>23.178000000000001</v>
      </c>
      <c r="L118" s="17">
        <v>23.880400000000002</v>
      </c>
      <c r="M118" s="17">
        <v>24.465499999999999</v>
      </c>
      <c r="N118" s="17">
        <v>24.9786</v>
      </c>
      <c r="O118" s="17">
        <v>26.076699999999999</v>
      </c>
      <c r="P118" s="17">
        <v>23.932700000000001</v>
      </c>
      <c r="Q118" s="17">
        <v>25.1662</v>
      </c>
      <c r="R118" s="17">
        <v>26.593800000000002</v>
      </c>
      <c r="S118" s="17">
        <v>28.750499999999999</v>
      </c>
      <c r="T118" s="17">
        <v>29.500699999999998</v>
      </c>
      <c r="U118" s="17">
        <v>30.202000000000002</v>
      </c>
      <c r="V118" s="17">
        <v>30.905999999999999</v>
      </c>
      <c r="W118" s="17">
        <v>31.7165</v>
      </c>
      <c r="X118" s="17">
        <v>32.520299999999999</v>
      </c>
      <c r="Y118" s="17">
        <v>33.238</v>
      </c>
      <c r="Z118" s="17">
        <v>34.021599999999999</v>
      </c>
      <c r="AA118" s="17">
        <v>34.918999999999997</v>
      </c>
      <c r="AB118" s="17">
        <v>35.824599999999997</v>
      </c>
      <c r="AC118" s="17">
        <v>36.720999999999997</v>
      </c>
      <c r="AD118" s="17">
        <v>37.5794</v>
      </c>
      <c r="AE118" s="18">
        <v>38.423999999999999</v>
      </c>
      <c r="AF118" s="13"/>
    </row>
    <row r="119" spans="2:32" x14ac:dyDescent="0.3">
      <c r="B119" s="23" t="s">
        <v>184</v>
      </c>
      <c r="C119" s="24" t="s">
        <v>38</v>
      </c>
      <c r="D119" s="24" t="s">
        <v>20</v>
      </c>
      <c r="E119" s="24" t="s">
        <v>4</v>
      </c>
      <c r="F119" s="17">
        <v>0.99017200000000005</v>
      </c>
      <c r="G119" s="17">
        <v>1.0626800000000001</v>
      </c>
      <c r="H119" s="17">
        <v>1.1308400000000001</v>
      </c>
      <c r="I119" s="17">
        <v>0.32943699999999998</v>
      </c>
      <c r="J119" s="17">
        <v>0.33524799999999999</v>
      </c>
      <c r="K119" s="17">
        <v>0.30038700000000002</v>
      </c>
      <c r="L119" s="17">
        <v>0.29050900000000002</v>
      </c>
      <c r="M119" s="17">
        <v>0.29225200000000001</v>
      </c>
      <c r="N119" s="17">
        <v>0.27482200000000001</v>
      </c>
      <c r="O119" s="17">
        <v>0.28295599999999999</v>
      </c>
      <c r="P119" s="17">
        <v>0.27017400000000003</v>
      </c>
      <c r="Q119" s="17">
        <v>0.31491200000000003</v>
      </c>
      <c r="R119" s="17">
        <v>0.31723600000000002</v>
      </c>
      <c r="S119" s="17">
        <v>0.30038700000000002</v>
      </c>
      <c r="T119" s="17">
        <v>0.30726599999999998</v>
      </c>
      <c r="U119" s="17">
        <v>0.316438</v>
      </c>
      <c r="V119" s="17">
        <v>0.32561000000000001</v>
      </c>
      <c r="W119" s="17">
        <v>0.33478200000000002</v>
      </c>
      <c r="X119" s="17">
        <v>0.34166099999999999</v>
      </c>
      <c r="Y119" s="17">
        <v>0.34854000000000002</v>
      </c>
      <c r="Z119" s="17">
        <v>0.35771199999999997</v>
      </c>
      <c r="AA119" s="17">
        <v>0.36688399999999999</v>
      </c>
      <c r="AB119" s="17">
        <v>0.376056</v>
      </c>
      <c r="AC119" s="17">
        <v>0.38522899999999999</v>
      </c>
      <c r="AD119" s="17">
        <v>0.394401</v>
      </c>
      <c r="AE119" s="18">
        <v>0.40357300000000002</v>
      </c>
      <c r="AF119" s="13"/>
    </row>
    <row r="120" spans="2:32" x14ac:dyDescent="0.3">
      <c r="B120" s="23" t="s">
        <v>184</v>
      </c>
      <c r="C120" s="24" t="s">
        <v>38</v>
      </c>
      <c r="D120" s="24" t="s">
        <v>20</v>
      </c>
      <c r="E120" s="24" t="s">
        <v>3</v>
      </c>
      <c r="F120" s="17">
        <v>0</v>
      </c>
      <c r="G120" s="17">
        <v>1</v>
      </c>
      <c r="H120" s="17">
        <v>2</v>
      </c>
      <c r="I120" s="17">
        <v>0.19057399999999999</v>
      </c>
      <c r="J120" s="17">
        <v>0.23124500000000001</v>
      </c>
      <c r="K120" s="17">
        <v>0.22601599999999999</v>
      </c>
      <c r="L120" s="17">
        <v>0.17256199999999999</v>
      </c>
      <c r="M120" s="17">
        <v>0.178954</v>
      </c>
      <c r="N120" s="17">
        <v>9.9354100000000001E-2</v>
      </c>
      <c r="O120" s="17">
        <v>0.12317599999999999</v>
      </c>
      <c r="P120" s="17">
        <v>3.4861099999999999E-2</v>
      </c>
      <c r="Q120" s="17">
        <v>0.23705599999999999</v>
      </c>
      <c r="R120" s="17">
        <v>0</v>
      </c>
      <c r="S120" s="17">
        <v>0</v>
      </c>
      <c r="T120" s="17">
        <v>0</v>
      </c>
      <c r="U120" s="17">
        <v>0</v>
      </c>
      <c r="V120" s="17">
        <v>0</v>
      </c>
      <c r="W120" s="17">
        <v>0</v>
      </c>
      <c r="X120" s="17">
        <v>0</v>
      </c>
      <c r="Y120" s="17">
        <v>0</v>
      </c>
      <c r="Z120" s="17">
        <v>0</v>
      </c>
      <c r="AA120" s="17">
        <v>0</v>
      </c>
      <c r="AB120" s="17">
        <v>0</v>
      </c>
      <c r="AC120" s="17">
        <v>0</v>
      </c>
      <c r="AD120" s="17">
        <v>0</v>
      </c>
      <c r="AE120" s="18">
        <v>0</v>
      </c>
      <c r="AF120" s="13"/>
    </row>
    <row r="121" spans="2:32" x14ac:dyDescent="0.3">
      <c r="B121" s="23" t="s">
        <v>184</v>
      </c>
      <c r="C121" s="24" t="s">
        <v>38</v>
      </c>
      <c r="D121" s="24" t="s">
        <v>20</v>
      </c>
      <c r="E121" s="24" t="s">
        <v>8</v>
      </c>
      <c r="F121" s="17">
        <v>1.8767499999999999</v>
      </c>
      <c r="G121" s="17">
        <v>2.0142000000000002</v>
      </c>
      <c r="H121" s="17">
        <v>2.03735</v>
      </c>
      <c r="I121" s="17">
        <v>2.1991499999999999</v>
      </c>
      <c r="J121" s="17">
        <v>2.2142599999999999</v>
      </c>
      <c r="K121" s="17">
        <v>2.2438899999999999</v>
      </c>
      <c r="L121" s="17">
        <v>2.21252</v>
      </c>
      <c r="M121" s="17">
        <v>2.2787500000000001</v>
      </c>
      <c r="N121" s="17">
        <v>2.39263</v>
      </c>
      <c r="O121" s="17">
        <v>2.3990200000000002</v>
      </c>
      <c r="P121" s="17">
        <v>2.2421500000000001</v>
      </c>
      <c r="Q121" s="17">
        <v>2.3827600000000002</v>
      </c>
      <c r="R121" s="17">
        <v>2.6552500000000001</v>
      </c>
      <c r="S121" s="17">
        <v>2.5436999999999999</v>
      </c>
      <c r="T121" s="17">
        <v>2.6101700000000001</v>
      </c>
      <c r="U121" s="17">
        <v>2.6715200000000001</v>
      </c>
      <c r="V121" s="17">
        <v>2.7328800000000002</v>
      </c>
      <c r="W121" s="17">
        <v>2.8044600000000002</v>
      </c>
      <c r="X121" s="17">
        <v>2.8734799999999998</v>
      </c>
      <c r="Y121" s="17">
        <v>2.9348399999999999</v>
      </c>
      <c r="Z121" s="17">
        <v>3.00387</v>
      </c>
      <c r="AA121" s="17">
        <v>3.0831200000000001</v>
      </c>
      <c r="AB121" s="17">
        <v>3.1623700000000001</v>
      </c>
      <c r="AC121" s="17">
        <v>3.2416200000000002</v>
      </c>
      <c r="AD121" s="17">
        <v>3.3183099999999999</v>
      </c>
      <c r="AE121" s="18">
        <v>3.3924500000000002</v>
      </c>
      <c r="AF121" s="13"/>
    </row>
    <row r="122" spans="2:32" x14ac:dyDescent="0.3">
      <c r="B122" s="23" t="s">
        <v>184</v>
      </c>
      <c r="C122" s="24" t="s">
        <v>38</v>
      </c>
      <c r="D122" s="24" t="s">
        <v>95</v>
      </c>
      <c r="E122" s="24"/>
      <c r="F122" s="17">
        <v>28.082102000000003</v>
      </c>
      <c r="G122" s="17">
        <v>31.446279999999998</v>
      </c>
      <c r="H122" s="17">
        <v>34.193989999999999</v>
      </c>
      <c r="I122" s="17">
        <v>30.831730999999998</v>
      </c>
      <c r="J122" s="17">
        <v>33.109903000000003</v>
      </c>
      <c r="K122" s="17">
        <v>33.629353000000002</v>
      </c>
      <c r="L122" s="17">
        <v>31.824081000000003</v>
      </c>
      <c r="M122" s="17">
        <v>32.265086000000004</v>
      </c>
      <c r="N122" s="17">
        <v>33.485866099999996</v>
      </c>
      <c r="O122" s="17">
        <v>33.598562000000001</v>
      </c>
      <c r="P122" s="17">
        <v>31.082715100000001</v>
      </c>
      <c r="Q122" s="17">
        <v>32.493428000000002</v>
      </c>
      <c r="R122" s="17">
        <v>35.653616000000007</v>
      </c>
      <c r="S122" s="17">
        <v>36.229947000000003</v>
      </c>
      <c r="T122" s="17">
        <v>37.174955999999995</v>
      </c>
      <c r="U122" s="17">
        <v>38.060638000000004</v>
      </c>
      <c r="V122" s="17">
        <v>38.94903</v>
      </c>
      <c r="W122" s="17">
        <v>39.971851999999998</v>
      </c>
      <c r="X122" s="17">
        <v>40.980591000000004</v>
      </c>
      <c r="Y122" s="17">
        <v>41.880389999999998</v>
      </c>
      <c r="Z122" s="17">
        <v>42.868701999999999</v>
      </c>
      <c r="AA122" s="17">
        <v>44.001273999999995</v>
      </c>
      <c r="AB122" s="17">
        <v>45.142046000000001</v>
      </c>
      <c r="AC122" s="17">
        <v>46.271099</v>
      </c>
      <c r="AD122" s="17">
        <v>47.354520999999998</v>
      </c>
      <c r="AE122" s="18">
        <v>48.419063000000008</v>
      </c>
      <c r="AF122" s="13"/>
    </row>
    <row r="123" spans="2:32" x14ac:dyDescent="0.3">
      <c r="B123" s="23" t="s">
        <v>193</v>
      </c>
      <c r="C123" s="24" t="s">
        <v>38</v>
      </c>
      <c r="D123" s="24" t="s">
        <v>18</v>
      </c>
      <c r="E123" s="24" t="s">
        <v>19</v>
      </c>
      <c r="F123" s="17">
        <v>10.1234</v>
      </c>
      <c r="G123" s="17">
        <v>11.414859099999999</v>
      </c>
      <c r="H123" s="17">
        <v>12.1173836</v>
      </c>
      <c r="I123" s="17">
        <v>6.2412036000000004</v>
      </c>
      <c r="J123" s="17">
        <v>8.1963336000000009</v>
      </c>
      <c r="K123" s="17">
        <v>8.5745736000000008</v>
      </c>
      <c r="L123" s="17">
        <v>8.7494636000000003</v>
      </c>
      <c r="M123" s="17">
        <v>9.6593336000000001</v>
      </c>
      <c r="N123" s="17">
        <v>8.2416535999999994</v>
      </c>
      <c r="O123" s="17">
        <v>8.9853535999999998</v>
      </c>
      <c r="P123" s="17">
        <v>9.1189935999999996</v>
      </c>
      <c r="Q123" s="17">
        <v>7.6966536000000003</v>
      </c>
      <c r="R123" s="17">
        <v>7.0424335999999998</v>
      </c>
      <c r="S123" s="17">
        <v>7.8053036000000002</v>
      </c>
      <c r="T123" s="17">
        <v>7.8053036000000002</v>
      </c>
      <c r="U123" s="17">
        <v>7.8053036000000002</v>
      </c>
      <c r="V123" s="17">
        <v>7.8053036000000002</v>
      </c>
      <c r="W123" s="17">
        <v>7.8053036000000002</v>
      </c>
      <c r="X123" s="17">
        <v>7.8053036000000002</v>
      </c>
      <c r="Y123" s="17">
        <v>7.8053036000000002</v>
      </c>
      <c r="Z123" s="17">
        <v>7.8053036000000002</v>
      </c>
      <c r="AA123" s="17">
        <v>7.8053036000000002</v>
      </c>
      <c r="AB123" s="17">
        <v>7.8053036000000002</v>
      </c>
      <c r="AC123" s="17">
        <v>7.8053036000000002</v>
      </c>
      <c r="AD123" s="17">
        <v>7.8053036000000002</v>
      </c>
      <c r="AE123" s="18">
        <v>7.8053036000000002</v>
      </c>
      <c r="AF123" s="13"/>
    </row>
    <row r="124" spans="2:32" x14ac:dyDescent="0.3">
      <c r="B124" s="23" t="s">
        <v>193</v>
      </c>
      <c r="C124" s="24" t="s">
        <v>38</v>
      </c>
      <c r="D124" s="24" t="s">
        <v>18</v>
      </c>
      <c r="E124" s="24" t="s">
        <v>174</v>
      </c>
      <c r="F124" s="17">
        <v>5.8E-4</v>
      </c>
      <c r="G124" s="17">
        <v>2.9E-4</v>
      </c>
      <c r="H124" s="17">
        <v>0</v>
      </c>
      <c r="I124" s="17">
        <v>0</v>
      </c>
      <c r="J124" s="17">
        <v>0</v>
      </c>
      <c r="K124" s="17">
        <v>3.2660000000000002E-2</v>
      </c>
      <c r="L124" s="17">
        <v>6.5320000000000003E-2</v>
      </c>
      <c r="M124" s="17">
        <v>3.2660000000000002E-2</v>
      </c>
      <c r="N124" s="17">
        <v>0</v>
      </c>
      <c r="O124" s="17">
        <v>0</v>
      </c>
      <c r="P124" s="17">
        <v>0</v>
      </c>
      <c r="Q124" s="17">
        <v>5.0999999999999997E-2</v>
      </c>
      <c r="R124" s="17">
        <v>0.10743</v>
      </c>
      <c r="S124" s="17">
        <v>0.10448399999999999</v>
      </c>
      <c r="T124" s="17">
        <v>0.10828599999999999</v>
      </c>
      <c r="U124" s="17">
        <v>0.10999299999999999</v>
      </c>
      <c r="V124" s="17">
        <v>0.113195</v>
      </c>
      <c r="W124" s="17">
        <v>0.115523</v>
      </c>
      <c r="X124" s="17">
        <v>0.119383</v>
      </c>
      <c r="Y124" s="17">
        <v>0.120698</v>
      </c>
      <c r="Z124" s="17">
        <v>0.12418</v>
      </c>
      <c r="AA124" s="17">
        <v>0.126803</v>
      </c>
      <c r="AB124" s="17">
        <v>0.13048199999999999</v>
      </c>
      <c r="AC124" s="17">
        <v>0.13306699999999999</v>
      </c>
      <c r="AD124" s="17">
        <v>0.13667699999999999</v>
      </c>
      <c r="AE124" s="18">
        <v>0.13883200000000001</v>
      </c>
      <c r="AF124" s="13"/>
    </row>
    <row r="125" spans="2:32" x14ac:dyDescent="0.3">
      <c r="B125" s="23" t="s">
        <v>193</v>
      </c>
      <c r="C125" s="24" t="s">
        <v>38</v>
      </c>
      <c r="D125" s="24" t="s">
        <v>18</v>
      </c>
      <c r="E125" s="24" t="s">
        <v>17</v>
      </c>
      <c r="F125" s="17">
        <v>0</v>
      </c>
      <c r="G125" s="17">
        <v>0</v>
      </c>
      <c r="H125" s="17">
        <v>0</v>
      </c>
      <c r="I125" s="17">
        <v>6.6491699999999998</v>
      </c>
      <c r="J125" s="17">
        <v>7.3493000000000004</v>
      </c>
      <c r="K125" s="17">
        <v>8.1766699999999997</v>
      </c>
      <c r="L125" s="17">
        <v>8.3655000000000008</v>
      </c>
      <c r="M125" s="17">
        <v>9.8999699999999997</v>
      </c>
      <c r="N125" s="17">
        <v>7.1784800000000004</v>
      </c>
      <c r="O125" s="17">
        <v>9.5682100000000005</v>
      </c>
      <c r="P125" s="17">
        <v>7.4562099999999996</v>
      </c>
      <c r="Q125" s="17">
        <v>11.784800000000001</v>
      </c>
      <c r="R125" s="17">
        <v>7.6345799999999997</v>
      </c>
      <c r="S125" s="17">
        <v>7.0285799999999998</v>
      </c>
      <c r="T125" s="17">
        <v>7.2843600000000004</v>
      </c>
      <c r="U125" s="17">
        <v>7.3992199999999997</v>
      </c>
      <c r="V125" s="17">
        <v>7.6146000000000003</v>
      </c>
      <c r="W125" s="17">
        <v>7.7711600000000001</v>
      </c>
      <c r="X125" s="17">
        <v>8.0308399999999995</v>
      </c>
      <c r="Y125" s="17">
        <v>8.1193200000000001</v>
      </c>
      <c r="Z125" s="17">
        <v>8.3535199999999996</v>
      </c>
      <c r="AA125" s="17">
        <v>8.5299999999999994</v>
      </c>
      <c r="AB125" s="17">
        <v>8.7774999999999999</v>
      </c>
      <c r="AC125" s="17">
        <v>8.95139</v>
      </c>
      <c r="AD125" s="17">
        <v>9.1941799999999994</v>
      </c>
      <c r="AE125" s="18">
        <v>9.3391599999999997</v>
      </c>
      <c r="AF125" s="13"/>
    </row>
    <row r="126" spans="2:32" x14ac:dyDescent="0.3">
      <c r="B126" s="23" t="s">
        <v>193</v>
      </c>
      <c r="C126" s="24" t="s">
        <v>38</v>
      </c>
      <c r="D126" s="24" t="s">
        <v>18</v>
      </c>
      <c r="E126" s="24" t="s">
        <v>5</v>
      </c>
      <c r="F126" s="17">
        <v>33.888300000000001</v>
      </c>
      <c r="G126" s="17">
        <v>37.138100000000001</v>
      </c>
      <c r="H126" s="17">
        <v>38.007399999999997</v>
      </c>
      <c r="I126" s="17">
        <v>35.953400000000002</v>
      </c>
      <c r="J126" s="17">
        <v>38.0015</v>
      </c>
      <c r="K126" s="17">
        <v>33.543399999999998</v>
      </c>
      <c r="L126" s="17">
        <v>22.4558</v>
      </c>
      <c r="M126" s="17">
        <v>21.542999999999999</v>
      </c>
      <c r="N126" s="17">
        <v>25.6008</v>
      </c>
      <c r="O126" s="17">
        <v>22.037400000000002</v>
      </c>
      <c r="P126" s="17">
        <v>21.5047</v>
      </c>
      <c r="Q126" s="17">
        <v>20.523299999999999</v>
      </c>
      <c r="R126" s="17">
        <v>28.440300000000001</v>
      </c>
      <c r="S126" s="17">
        <v>21.658000000000001</v>
      </c>
      <c r="T126" s="17">
        <v>22.514399999999998</v>
      </c>
      <c r="U126" s="17">
        <v>22.892800000000001</v>
      </c>
      <c r="V126" s="17">
        <v>23.619700000000002</v>
      </c>
      <c r="W126" s="17">
        <v>24.137499999999999</v>
      </c>
      <c r="X126" s="17">
        <v>25.0138</v>
      </c>
      <c r="Y126" s="17">
        <v>25.3125</v>
      </c>
      <c r="Z126" s="17">
        <v>26.0992</v>
      </c>
      <c r="AA126" s="17">
        <v>26.686699999999998</v>
      </c>
      <c r="AB126" s="17">
        <v>27.523099999999999</v>
      </c>
      <c r="AC126" s="17">
        <v>28.1007</v>
      </c>
      <c r="AD126" s="17">
        <v>28.917200000000001</v>
      </c>
      <c r="AE126" s="18">
        <v>29.405100000000001</v>
      </c>
      <c r="AF126" s="13"/>
    </row>
    <row r="127" spans="2:32" x14ac:dyDescent="0.3">
      <c r="B127" s="23" t="s">
        <v>193</v>
      </c>
      <c r="C127" s="24" t="s">
        <v>38</v>
      </c>
      <c r="D127" s="24" t="s">
        <v>18</v>
      </c>
      <c r="E127" s="24" t="s">
        <v>9</v>
      </c>
      <c r="F127" s="17">
        <v>26.3034</v>
      </c>
      <c r="G127" s="17">
        <v>27.340800000000002</v>
      </c>
      <c r="H127" s="17">
        <v>28.428100000000001</v>
      </c>
      <c r="I127" s="17">
        <v>28.912600000000001</v>
      </c>
      <c r="J127" s="17">
        <v>30.308199999999999</v>
      </c>
      <c r="K127" s="17">
        <v>30.886399999999998</v>
      </c>
      <c r="L127" s="17">
        <v>32.108199999999997</v>
      </c>
      <c r="M127" s="17">
        <v>34.0901</v>
      </c>
      <c r="N127" s="17">
        <v>35.994100000000003</v>
      </c>
      <c r="O127" s="17">
        <v>37.403599999999997</v>
      </c>
      <c r="P127" s="17">
        <v>36.543199999999999</v>
      </c>
      <c r="Q127" s="17">
        <v>40.997199999999999</v>
      </c>
      <c r="R127" s="17">
        <v>42.4876</v>
      </c>
      <c r="S127" s="17">
        <v>42.8855</v>
      </c>
      <c r="T127" s="17">
        <v>44.59</v>
      </c>
      <c r="U127" s="17">
        <v>45.344499999999996</v>
      </c>
      <c r="V127" s="17">
        <v>46.782800000000002</v>
      </c>
      <c r="W127" s="17">
        <v>47.810699999999997</v>
      </c>
      <c r="X127" s="17">
        <v>49.546799999999998</v>
      </c>
      <c r="Y127" s="17">
        <v>50.1312</v>
      </c>
      <c r="Z127" s="17">
        <v>51.689300000000003</v>
      </c>
      <c r="AA127" s="17">
        <v>52.861400000000003</v>
      </c>
      <c r="AB127" s="17">
        <v>54.506</v>
      </c>
      <c r="AC127" s="17">
        <v>55.654000000000003</v>
      </c>
      <c r="AD127" s="17">
        <v>57.2759</v>
      </c>
      <c r="AE127" s="18">
        <v>58.240099999999998</v>
      </c>
      <c r="AF127" s="13"/>
    </row>
    <row r="128" spans="2:32" x14ac:dyDescent="0.3">
      <c r="B128" s="23" t="s">
        <v>193</v>
      </c>
      <c r="C128" s="24" t="s">
        <v>38</v>
      </c>
      <c r="D128" s="24" t="s">
        <v>18</v>
      </c>
      <c r="E128" s="24" t="s">
        <v>4</v>
      </c>
      <c r="F128" s="17">
        <v>15.1906</v>
      </c>
      <c r="G128" s="17">
        <v>14.874499999999999</v>
      </c>
      <c r="H128" s="17">
        <v>16.218699999999998</v>
      </c>
      <c r="I128" s="17">
        <v>11.345000000000001</v>
      </c>
      <c r="J128" s="17">
        <v>11.543699999999999</v>
      </c>
      <c r="K128" s="17">
        <v>10.353199999999999</v>
      </c>
      <c r="L128" s="17">
        <v>10.0168</v>
      </c>
      <c r="M128" s="17">
        <v>10.063800000000001</v>
      </c>
      <c r="N128" s="17">
        <v>9.4665300000000006</v>
      </c>
      <c r="O128" s="17">
        <v>9.7431000000000001</v>
      </c>
      <c r="P128" s="17">
        <v>9.3032699999999995</v>
      </c>
      <c r="Q128" s="17">
        <v>10.8592</v>
      </c>
      <c r="R128" s="17">
        <v>10.9284</v>
      </c>
      <c r="S128" s="17">
        <v>10.345000000000001</v>
      </c>
      <c r="T128" s="17">
        <v>10.749499999999999</v>
      </c>
      <c r="U128" s="17">
        <v>10.9382</v>
      </c>
      <c r="V128" s="17">
        <v>11.2798</v>
      </c>
      <c r="W128" s="17">
        <v>11.5314</v>
      </c>
      <c r="X128" s="17">
        <v>11.944900000000001</v>
      </c>
      <c r="Y128" s="17">
        <v>12.088699999999999</v>
      </c>
      <c r="Z128" s="17">
        <v>12.466200000000001</v>
      </c>
      <c r="AA128" s="17">
        <v>12.7448</v>
      </c>
      <c r="AB128" s="17">
        <v>13.1403</v>
      </c>
      <c r="AC128" s="17">
        <v>13.418900000000001</v>
      </c>
      <c r="AD128" s="17">
        <v>13.814299999999999</v>
      </c>
      <c r="AE128" s="18">
        <v>14.048</v>
      </c>
      <c r="AF128" s="13"/>
    </row>
    <row r="129" spans="2:32" x14ac:dyDescent="0.3">
      <c r="B129" s="23" t="s">
        <v>193</v>
      </c>
      <c r="C129" s="24" t="s">
        <v>38</v>
      </c>
      <c r="D129" s="24" t="s">
        <v>18</v>
      </c>
      <c r="E129" s="24" t="s">
        <v>15</v>
      </c>
      <c r="F129" s="17">
        <v>0</v>
      </c>
      <c r="G129" s="17">
        <v>2.63538E-2</v>
      </c>
      <c r="H129" s="17">
        <v>0.83055000000000001</v>
      </c>
      <c r="I129" s="17">
        <v>1.81626</v>
      </c>
      <c r="J129" s="17">
        <v>2.0358900000000002</v>
      </c>
      <c r="K129" s="17">
        <v>0.81052100000000005</v>
      </c>
      <c r="L129" s="17">
        <v>2.31013</v>
      </c>
      <c r="M129" s="17">
        <v>2.1125799999999999</v>
      </c>
      <c r="N129" s="17">
        <v>1.9644200000000001</v>
      </c>
      <c r="O129" s="17">
        <v>1.5803700000000001</v>
      </c>
      <c r="P129" s="17">
        <v>0.94473600000000002</v>
      </c>
      <c r="Q129" s="17">
        <v>1.7529300000000001</v>
      </c>
      <c r="R129" s="17">
        <v>1.7430600000000001</v>
      </c>
      <c r="S129" s="17">
        <v>1.36714</v>
      </c>
      <c r="T129" s="17">
        <v>1.4218200000000001</v>
      </c>
      <c r="U129" s="17">
        <v>1.4530700000000001</v>
      </c>
      <c r="V129" s="17">
        <v>1.49213</v>
      </c>
      <c r="W129" s="17">
        <v>1.5311900000000001</v>
      </c>
      <c r="X129" s="17">
        <v>1.58588</v>
      </c>
      <c r="Y129" s="17">
        <v>1.6014999999999999</v>
      </c>
      <c r="Z129" s="17">
        <v>1.64838</v>
      </c>
      <c r="AA129" s="17">
        <v>1.6874400000000001</v>
      </c>
      <c r="AB129" s="17">
        <v>1.7421199999999999</v>
      </c>
      <c r="AC129" s="17">
        <v>1.78118</v>
      </c>
      <c r="AD129" s="17">
        <v>1.82806</v>
      </c>
      <c r="AE129" s="18">
        <v>1.85931</v>
      </c>
      <c r="AF129" s="13"/>
    </row>
    <row r="130" spans="2:32" x14ac:dyDescent="0.3">
      <c r="B130" s="23" t="s">
        <v>193</v>
      </c>
      <c r="C130" s="24" t="s">
        <v>38</v>
      </c>
      <c r="D130" s="24" t="s">
        <v>18</v>
      </c>
      <c r="E130" s="24" t="s">
        <v>3</v>
      </c>
      <c r="F130" s="17">
        <v>3.2024799999999999E-2</v>
      </c>
      <c r="G130" s="17">
        <v>3.6719500000000002E-2</v>
      </c>
      <c r="H130" s="17">
        <v>3.5563200000000003E-2</v>
      </c>
      <c r="I130" s="17">
        <v>1.2253700000000001</v>
      </c>
      <c r="J130" s="17">
        <v>0.73905500000000002</v>
      </c>
      <c r="K130" s="17">
        <v>0.70012700000000005</v>
      </c>
      <c r="L130" s="17">
        <v>0.73150199999999999</v>
      </c>
      <c r="M130" s="17">
        <v>0.49270399999999998</v>
      </c>
      <c r="N130" s="17">
        <v>0.61413600000000002</v>
      </c>
      <c r="O130" s="17">
        <v>0.85467800000000005</v>
      </c>
      <c r="P130" s="17">
        <v>0.74893299999999996</v>
      </c>
      <c r="Q130" s="17">
        <v>1.0388599999999999</v>
      </c>
      <c r="R130" s="17">
        <v>0.906389</v>
      </c>
      <c r="S130" s="17">
        <v>1.1771400000000001</v>
      </c>
      <c r="T130" s="17">
        <v>1.2199500000000001</v>
      </c>
      <c r="U130" s="17">
        <v>1.24135</v>
      </c>
      <c r="V130" s="17">
        <v>1.28416</v>
      </c>
      <c r="W130" s="17">
        <v>1.31626</v>
      </c>
      <c r="X130" s="17">
        <v>1.35907</v>
      </c>
      <c r="Y130" s="17">
        <v>1.3804700000000001</v>
      </c>
      <c r="Z130" s="17">
        <v>1.42327</v>
      </c>
      <c r="AA130" s="17">
        <v>1.4553799999999999</v>
      </c>
      <c r="AB130" s="17">
        <v>1.4981800000000001</v>
      </c>
      <c r="AC130" s="17">
        <v>1.5302899999999999</v>
      </c>
      <c r="AD130" s="17">
        <v>1.5730900000000001</v>
      </c>
      <c r="AE130" s="18">
        <v>1.59449</v>
      </c>
      <c r="AF130" s="13"/>
    </row>
    <row r="131" spans="2:32" x14ac:dyDescent="0.3">
      <c r="B131" s="23" t="s">
        <v>193</v>
      </c>
      <c r="C131" s="24" t="s">
        <v>38</v>
      </c>
      <c r="D131" s="24" t="s">
        <v>18</v>
      </c>
      <c r="E131" s="24" t="s">
        <v>13</v>
      </c>
      <c r="F131" s="17">
        <v>1.61266</v>
      </c>
      <c r="G131" s="17">
        <v>1.81839</v>
      </c>
      <c r="H131" s="17">
        <v>1.75407</v>
      </c>
      <c r="I131" s="17">
        <v>1.71807</v>
      </c>
      <c r="J131" s="17">
        <v>1.8842399999999999</v>
      </c>
      <c r="K131" s="17">
        <v>1.92143</v>
      </c>
      <c r="L131" s="17">
        <v>1.9597800000000001</v>
      </c>
      <c r="M131" s="17">
        <v>1.9992799999999999</v>
      </c>
      <c r="N131" s="17">
        <v>2.0393699999999999</v>
      </c>
      <c r="O131" s="17">
        <v>2.08005</v>
      </c>
      <c r="P131" s="17">
        <v>2.12188</v>
      </c>
      <c r="Q131" s="17">
        <v>2.1642899999999998</v>
      </c>
      <c r="R131" s="17">
        <v>2.20729</v>
      </c>
      <c r="S131" s="17">
        <v>2.2514500000000002</v>
      </c>
      <c r="T131" s="17">
        <v>2.3399299999999998</v>
      </c>
      <c r="U131" s="17">
        <v>2.3792599999999999</v>
      </c>
      <c r="V131" s="17">
        <v>2.45791</v>
      </c>
      <c r="W131" s="17">
        <v>2.5169000000000001</v>
      </c>
      <c r="X131" s="17">
        <v>2.6053899999999999</v>
      </c>
      <c r="Y131" s="17">
        <v>2.6348799999999999</v>
      </c>
      <c r="Z131" s="17">
        <v>2.71353</v>
      </c>
      <c r="AA131" s="17">
        <v>2.7823600000000002</v>
      </c>
      <c r="AB131" s="17">
        <v>2.8610099999999998</v>
      </c>
      <c r="AC131" s="17">
        <v>2.9298299999999999</v>
      </c>
      <c r="AD131" s="17">
        <v>3.00848</v>
      </c>
      <c r="AE131" s="18">
        <v>3.0576400000000001</v>
      </c>
      <c r="AF131" s="13"/>
    </row>
    <row r="132" spans="2:32" x14ac:dyDescent="0.3">
      <c r="B132" s="23" t="s">
        <v>193</v>
      </c>
      <c r="C132" s="24" t="s">
        <v>38</v>
      </c>
      <c r="D132" s="24" t="s">
        <v>18</v>
      </c>
      <c r="E132" s="24" t="s">
        <v>8</v>
      </c>
      <c r="F132" s="17">
        <v>2.4666299999999999</v>
      </c>
      <c r="G132" s="17">
        <v>2.87039</v>
      </c>
      <c r="H132" s="17">
        <v>2.41852</v>
      </c>
      <c r="I132" s="17">
        <v>2.5564800000000001</v>
      </c>
      <c r="J132" s="17">
        <v>3.6714600000000002</v>
      </c>
      <c r="K132" s="17">
        <v>4.2205199999999996</v>
      </c>
      <c r="L132" s="17">
        <v>3.40767</v>
      </c>
      <c r="M132" s="17">
        <v>3.75861</v>
      </c>
      <c r="N132" s="17">
        <v>3.9706800000000002</v>
      </c>
      <c r="O132" s="17">
        <v>4.1478900000000003</v>
      </c>
      <c r="P132" s="17">
        <v>3.6923699999999999</v>
      </c>
      <c r="Q132" s="17">
        <v>4.1287200000000004</v>
      </c>
      <c r="R132" s="17">
        <v>4.2501499999999997</v>
      </c>
      <c r="S132" s="17">
        <v>3.9038599999999999</v>
      </c>
      <c r="T132" s="17">
        <v>4.0646599999999999</v>
      </c>
      <c r="U132" s="17">
        <v>4.1361299999999996</v>
      </c>
      <c r="V132" s="17">
        <v>4.2611999999999997</v>
      </c>
      <c r="W132" s="17">
        <v>4.3594600000000003</v>
      </c>
      <c r="X132" s="17">
        <v>4.5113300000000001</v>
      </c>
      <c r="Y132" s="17">
        <v>4.5649300000000004</v>
      </c>
      <c r="Z132" s="17">
        <v>4.7078600000000002</v>
      </c>
      <c r="AA132" s="17">
        <v>4.8150599999999999</v>
      </c>
      <c r="AB132" s="17">
        <v>4.9669299999999996</v>
      </c>
      <c r="AC132" s="17">
        <v>5.0741300000000003</v>
      </c>
      <c r="AD132" s="17">
        <v>5.21706</v>
      </c>
      <c r="AE132" s="18">
        <v>5.3063900000000004</v>
      </c>
      <c r="AF132" s="13"/>
    </row>
    <row r="133" spans="2:32" x14ac:dyDescent="0.3">
      <c r="B133" s="23" t="s">
        <v>193</v>
      </c>
      <c r="C133" s="24" t="s">
        <v>38</v>
      </c>
      <c r="D133" s="24" t="s">
        <v>18</v>
      </c>
      <c r="E133" s="24" t="s">
        <v>154</v>
      </c>
      <c r="F133" s="17">
        <v>0.61490999999999996</v>
      </c>
      <c r="G133" s="17">
        <v>0.53656499999999996</v>
      </c>
      <c r="H133" s="17">
        <v>0.45822000000000002</v>
      </c>
      <c r="I133" s="17">
        <v>0.766675</v>
      </c>
      <c r="J133" s="17">
        <v>1.0751299999999999</v>
      </c>
      <c r="K133" s="17">
        <v>0.86019000000000001</v>
      </c>
      <c r="L133" s="17">
        <v>0.64524999999999999</v>
      </c>
      <c r="M133" s="17">
        <v>0.63022500000000004</v>
      </c>
      <c r="N133" s="17">
        <v>0.61519999999999997</v>
      </c>
      <c r="O133" s="17">
        <v>0.54361000000000004</v>
      </c>
      <c r="P133" s="17">
        <v>0.2109</v>
      </c>
      <c r="Q133" s="17">
        <v>0.47543000000000002</v>
      </c>
      <c r="R133" s="17">
        <v>0.66402000000000005</v>
      </c>
      <c r="S133" s="17">
        <v>0.64580899999999997</v>
      </c>
      <c r="T133" s="17">
        <v>0.66931099999999999</v>
      </c>
      <c r="U133" s="17">
        <v>0.67986500000000005</v>
      </c>
      <c r="V133" s="17">
        <v>0.69965500000000003</v>
      </c>
      <c r="W133" s="17">
        <v>0.71404000000000001</v>
      </c>
      <c r="X133" s="17">
        <v>0.7379</v>
      </c>
      <c r="Y133" s="17">
        <v>0.74602999999999997</v>
      </c>
      <c r="Z133" s="17">
        <v>0.76754900000000004</v>
      </c>
      <c r="AA133" s="17">
        <v>0.78376500000000004</v>
      </c>
      <c r="AB133" s="17">
        <v>0.80650500000000003</v>
      </c>
      <c r="AC133" s="17">
        <v>0.82248399999999999</v>
      </c>
      <c r="AD133" s="17">
        <v>0.84479099999999996</v>
      </c>
      <c r="AE133" s="18">
        <v>0.85811300000000001</v>
      </c>
      <c r="AF133" s="13"/>
    </row>
    <row r="134" spans="2:32" x14ac:dyDescent="0.3">
      <c r="B134" s="23" t="s">
        <v>193</v>
      </c>
      <c r="C134" s="24" t="s">
        <v>38</v>
      </c>
      <c r="D134" s="24" t="s">
        <v>18</v>
      </c>
      <c r="E134" s="24" t="s">
        <v>175</v>
      </c>
      <c r="F134" s="17">
        <v>0</v>
      </c>
      <c r="G134" s="17">
        <v>0</v>
      </c>
      <c r="H134" s="17">
        <v>0</v>
      </c>
      <c r="I134" s="17">
        <v>0</v>
      </c>
      <c r="J134" s="17">
        <v>0</v>
      </c>
      <c r="K134" s="17">
        <v>0</v>
      </c>
      <c r="L134" s="17">
        <v>0</v>
      </c>
      <c r="M134" s="17">
        <v>2.75E-2</v>
      </c>
      <c r="N134" s="17">
        <v>5.5E-2</v>
      </c>
      <c r="O134" s="17">
        <v>0.153</v>
      </c>
      <c r="P134" s="17">
        <v>0.18729999999999999</v>
      </c>
      <c r="Q134" s="17">
        <v>0.74990000000000001</v>
      </c>
      <c r="R134" s="17">
        <v>0.82099999999999995</v>
      </c>
      <c r="S134" s="17">
        <v>0.79848399999999997</v>
      </c>
      <c r="T134" s="17">
        <v>0.827542</v>
      </c>
      <c r="U134" s="17">
        <v>0.84059099999999998</v>
      </c>
      <c r="V134" s="17">
        <v>0.86505900000000002</v>
      </c>
      <c r="W134" s="17">
        <v>0.88284499999999999</v>
      </c>
      <c r="X134" s="17">
        <v>0.91234599999999999</v>
      </c>
      <c r="Y134" s="17">
        <v>0.92239800000000005</v>
      </c>
      <c r="Z134" s="17">
        <v>0.94900499999999999</v>
      </c>
      <c r="AA134" s="17">
        <v>0.96905300000000005</v>
      </c>
      <c r="AB134" s="17">
        <v>0.99717</v>
      </c>
      <c r="AC134" s="17">
        <v>1.0169299999999999</v>
      </c>
      <c r="AD134" s="17">
        <v>1.04451</v>
      </c>
      <c r="AE134" s="18">
        <v>1.06098</v>
      </c>
      <c r="AF134" s="13"/>
    </row>
    <row r="135" spans="2:32" x14ac:dyDescent="0.3">
      <c r="B135" s="23" t="s">
        <v>193</v>
      </c>
      <c r="C135" s="24" t="s">
        <v>38</v>
      </c>
      <c r="D135" s="24" t="s">
        <v>96</v>
      </c>
      <c r="E135" s="24"/>
      <c r="F135" s="17">
        <v>90.232504800000001</v>
      </c>
      <c r="G135" s="17">
        <v>96.056967399999991</v>
      </c>
      <c r="H135" s="17">
        <v>100.2685068</v>
      </c>
      <c r="I135" s="17">
        <v>97.184228599999997</v>
      </c>
      <c r="J135" s="17">
        <v>104.80480859999999</v>
      </c>
      <c r="K135" s="17">
        <v>100.07969159999999</v>
      </c>
      <c r="L135" s="17">
        <v>90.815415600000009</v>
      </c>
      <c r="M135" s="17">
        <v>94.309762599999999</v>
      </c>
      <c r="N135" s="17">
        <v>95.740369600000037</v>
      </c>
      <c r="O135" s="17">
        <v>97.09726160000001</v>
      </c>
      <c r="P135" s="17">
        <v>91.832492599999981</v>
      </c>
      <c r="Q135" s="17">
        <v>102.2222836</v>
      </c>
      <c r="R135" s="17">
        <v>107.23265259999999</v>
      </c>
      <c r="S135" s="17">
        <v>99.970750600000002</v>
      </c>
      <c r="T135" s="17">
        <v>103.59506259999998</v>
      </c>
      <c r="U135" s="17">
        <v>105.22028259999999</v>
      </c>
      <c r="V135" s="17">
        <v>108.27551260000001</v>
      </c>
      <c r="W135" s="17">
        <v>110.4922816</v>
      </c>
      <c r="X135" s="17">
        <v>114.17294260000001</v>
      </c>
      <c r="Y135" s="17">
        <v>115.42792960000001</v>
      </c>
      <c r="Z135" s="17">
        <v>118.74729760000001</v>
      </c>
      <c r="AA135" s="17">
        <v>121.24806460000001</v>
      </c>
      <c r="AB135" s="17">
        <v>124.7546006</v>
      </c>
      <c r="AC135" s="17">
        <v>127.21820460000001</v>
      </c>
      <c r="AD135" s="17">
        <v>130.65955159999999</v>
      </c>
      <c r="AE135" s="18">
        <v>132.71341859999998</v>
      </c>
      <c r="AF135" s="13"/>
    </row>
    <row r="136" spans="2:32" x14ac:dyDescent="0.3">
      <c r="B136" s="23" t="s">
        <v>185</v>
      </c>
      <c r="C136" s="24" t="s">
        <v>38</v>
      </c>
      <c r="D136" s="24" t="s">
        <v>16</v>
      </c>
      <c r="E136" s="24" t="s">
        <v>5</v>
      </c>
      <c r="F136" s="17">
        <v>7.1527500000000002</v>
      </c>
      <c r="G136" s="17">
        <v>5.3221699999999998</v>
      </c>
      <c r="H136" s="17">
        <v>7.5472200000000003</v>
      </c>
      <c r="I136" s="17">
        <v>7.6258699999999999</v>
      </c>
      <c r="J136" s="17">
        <v>1.64428</v>
      </c>
      <c r="K136" s="17">
        <v>2.0724900000000002</v>
      </c>
      <c r="L136" s="17">
        <v>0.49096099999999998</v>
      </c>
      <c r="M136" s="17">
        <v>0.49096099999999998</v>
      </c>
      <c r="N136" s="17">
        <v>7.7089499999999997</v>
      </c>
      <c r="O136" s="17">
        <v>7.1877800000000001</v>
      </c>
      <c r="P136" s="17">
        <v>4.8427899999999999</v>
      </c>
      <c r="Q136" s="17">
        <v>3.5982500000000002</v>
      </c>
      <c r="R136" s="17">
        <v>5.8671199999999999</v>
      </c>
      <c r="S136" s="17">
        <v>3.2618399999999999</v>
      </c>
      <c r="T136" s="17">
        <v>3.3730899999999999</v>
      </c>
      <c r="U136" s="17">
        <v>3.4748700000000001</v>
      </c>
      <c r="V136" s="17">
        <v>3.5813899999999999</v>
      </c>
      <c r="W136" s="17">
        <v>3.6973799999999999</v>
      </c>
      <c r="X136" s="17">
        <v>3.8133699999999999</v>
      </c>
      <c r="Y136" s="17">
        <v>3.9151500000000001</v>
      </c>
      <c r="Z136" s="17">
        <v>4.0216700000000003</v>
      </c>
      <c r="AA136" s="17">
        <v>4.1352900000000004</v>
      </c>
      <c r="AB136" s="17">
        <v>4.2512800000000004</v>
      </c>
      <c r="AC136" s="17">
        <v>4.3672599999999999</v>
      </c>
      <c r="AD136" s="17">
        <v>4.4785199999999996</v>
      </c>
      <c r="AE136" s="18">
        <v>4.5873999999999997</v>
      </c>
      <c r="AF136" s="13"/>
    </row>
    <row r="137" spans="2:32" x14ac:dyDescent="0.3">
      <c r="B137" s="23" t="s">
        <v>185</v>
      </c>
      <c r="C137" s="24" t="s">
        <v>38</v>
      </c>
      <c r="D137" s="24" t="s">
        <v>16</v>
      </c>
      <c r="E137" s="24" t="s">
        <v>9</v>
      </c>
      <c r="F137" s="17">
        <v>3.7846799999999998</v>
      </c>
      <c r="G137" s="17">
        <v>4.0995499999999998</v>
      </c>
      <c r="H137" s="17">
        <v>4.6625300000000003</v>
      </c>
      <c r="I137" s="17">
        <v>2.2433100000000001</v>
      </c>
      <c r="J137" s="17">
        <v>2.08528</v>
      </c>
      <c r="K137" s="17">
        <v>2.1398899999999998</v>
      </c>
      <c r="L137" s="17">
        <v>1.3392500000000001</v>
      </c>
      <c r="M137" s="17">
        <v>1.4380200000000001</v>
      </c>
      <c r="N137" s="17">
        <v>2.0143900000000001</v>
      </c>
      <c r="O137" s="17">
        <v>1.85345</v>
      </c>
      <c r="P137" s="17">
        <v>1.9899899999999999</v>
      </c>
      <c r="Q137" s="17">
        <v>2.2595800000000001</v>
      </c>
      <c r="R137" s="17">
        <v>2.7493799999999999</v>
      </c>
      <c r="S137" s="17">
        <v>2.92252</v>
      </c>
      <c r="T137" s="17">
        <v>3.02094</v>
      </c>
      <c r="U137" s="17">
        <v>3.1116000000000001</v>
      </c>
      <c r="V137" s="17">
        <v>3.2073399999999999</v>
      </c>
      <c r="W137" s="17">
        <v>3.3119200000000002</v>
      </c>
      <c r="X137" s="17">
        <v>3.4154599999999999</v>
      </c>
      <c r="Y137" s="17">
        <v>3.5053999999999998</v>
      </c>
      <c r="Z137" s="17">
        <v>3.6009799999999998</v>
      </c>
      <c r="AA137" s="17">
        <v>3.70397</v>
      </c>
      <c r="AB137" s="17">
        <v>3.8075399999999999</v>
      </c>
      <c r="AC137" s="17">
        <v>3.9096700000000002</v>
      </c>
      <c r="AD137" s="17">
        <v>4.0080099999999996</v>
      </c>
      <c r="AE137" s="18">
        <v>4.1056900000000001</v>
      </c>
      <c r="AF137" s="13"/>
    </row>
    <row r="138" spans="2:32" x14ac:dyDescent="0.3">
      <c r="B138" s="23" t="s">
        <v>185</v>
      </c>
      <c r="C138" s="24" t="s">
        <v>38</v>
      </c>
      <c r="D138" s="24" t="s">
        <v>16</v>
      </c>
      <c r="E138" s="24" t="s">
        <v>3</v>
      </c>
      <c r="F138" s="17">
        <v>29.425699999999999</v>
      </c>
      <c r="G138" s="17">
        <v>32.732399999999998</v>
      </c>
      <c r="H138" s="17">
        <v>33.897199999999998</v>
      </c>
      <c r="I138" s="17">
        <v>38.661499999999997</v>
      </c>
      <c r="J138" s="17">
        <v>45.201500000000003</v>
      </c>
      <c r="K138" s="17">
        <v>41.487000000000002</v>
      </c>
      <c r="L138" s="17">
        <v>37.5105</v>
      </c>
      <c r="M138" s="17">
        <v>36.583199999999998</v>
      </c>
      <c r="N138" s="17">
        <v>37.945099999999996</v>
      </c>
      <c r="O138" s="17">
        <v>35.0261</v>
      </c>
      <c r="P138" s="17">
        <v>25.448599999999999</v>
      </c>
      <c r="Q138" s="17">
        <v>18.1005</v>
      </c>
      <c r="R138" s="17">
        <v>21.535399999999999</v>
      </c>
      <c r="S138" s="17">
        <v>12.1183</v>
      </c>
      <c r="T138" s="17">
        <v>12.5267</v>
      </c>
      <c r="U138" s="17">
        <v>12.903600000000001</v>
      </c>
      <c r="V138" s="17">
        <v>13.301</v>
      </c>
      <c r="W138" s="17">
        <v>13.734</v>
      </c>
      <c r="X138" s="17">
        <v>14.162800000000001</v>
      </c>
      <c r="Y138" s="17">
        <v>14.5357</v>
      </c>
      <c r="Z138" s="17">
        <v>14.931699999999999</v>
      </c>
      <c r="AA138" s="17">
        <v>15.3592</v>
      </c>
      <c r="AB138" s="17">
        <v>15.789400000000001</v>
      </c>
      <c r="AC138" s="17">
        <v>16.212800000000001</v>
      </c>
      <c r="AD138" s="17">
        <v>16.621200000000002</v>
      </c>
      <c r="AE138" s="18">
        <v>17.026800000000001</v>
      </c>
      <c r="AF138" s="13"/>
    </row>
    <row r="139" spans="2:32" x14ac:dyDescent="0.3">
      <c r="B139" s="23" t="s">
        <v>185</v>
      </c>
      <c r="C139" s="24" t="s">
        <v>38</v>
      </c>
      <c r="D139" s="24" t="s">
        <v>16</v>
      </c>
      <c r="E139" s="24" t="s">
        <v>14</v>
      </c>
      <c r="F139" s="17">
        <v>0</v>
      </c>
      <c r="G139" s="17">
        <v>1</v>
      </c>
      <c r="H139" s="17">
        <v>2</v>
      </c>
      <c r="I139" s="17">
        <v>0.96972000000000003</v>
      </c>
      <c r="J139" s="17">
        <v>0.90929400000000005</v>
      </c>
      <c r="K139" s="17">
        <v>1.0138799999999999</v>
      </c>
      <c r="L139" s="17">
        <v>0.71697699999999998</v>
      </c>
      <c r="M139" s="17">
        <v>2.4710700000000001</v>
      </c>
      <c r="N139" s="17">
        <v>1.3694599999999999</v>
      </c>
      <c r="O139" s="17">
        <v>1.0510600000000001</v>
      </c>
      <c r="P139" s="17">
        <v>1.6007100000000001</v>
      </c>
      <c r="Q139" s="17">
        <v>1.83369</v>
      </c>
      <c r="R139" s="17">
        <v>2.4914100000000001</v>
      </c>
      <c r="S139" s="17">
        <v>1.5036799999999999</v>
      </c>
      <c r="T139" s="17">
        <v>1.55436</v>
      </c>
      <c r="U139" s="17">
        <v>1.6012900000000001</v>
      </c>
      <c r="V139" s="17">
        <v>1.6500999999999999</v>
      </c>
      <c r="W139" s="17">
        <v>1.7026600000000001</v>
      </c>
      <c r="X139" s="17">
        <v>1.7552300000000001</v>
      </c>
      <c r="Y139" s="17">
        <v>1.80216</v>
      </c>
      <c r="Z139" s="17">
        <v>1.85284</v>
      </c>
      <c r="AA139" s="17">
        <v>1.90541</v>
      </c>
      <c r="AB139" s="17">
        <v>1.95797</v>
      </c>
      <c r="AC139" s="17">
        <v>2.0105300000000002</v>
      </c>
      <c r="AD139" s="17">
        <v>2.0612200000000001</v>
      </c>
      <c r="AE139" s="18">
        <v>2.1118999999999999</v>
      </c>
      <c r="AF139" s="13"/>
    </row>
    <row r="140" spans="2:32" x14ac:dyDescent="0.3">
      <c r="B140" s="23" t="s">
        <v>185</v>
      </c>
      <c r="C140" s="24" t="s">
        <v>38</v>
      </c>
      <c r="D140" s="24" t="s">
        <v>16</v>
      </c>
      <c r="E140" s="24" t="s">
        <v>8</v>
      </c>
      <c r="F140" s="17">
        <v>6.9470499999999999</v>
      </c>
      <c r="G140" s="17">
        <v>8.0728000000000009</v>
      </c>
      <c r="H140" s="17">
        <v>5.3307500000000001</v>
      </c>
      <c r="I140" s="17">
        <v>3.2478899999999999</v>
      </c>
      <c r="J140" s="17">
        <v>2.8487300000000002</v>
      </c>
      <c r="K140" s="17">
        <v>0.76926799999999995</v>
      </c>
      <c r="L140" s="17">
        <v>3.95906</v>
      </c>
      <c r="M140" s="17">
        <v>3.4611299999999998</v>
      </c>
      <c r="N140" s="17">
        <v>5.7747400000000004</v>
      </c>
      <c r="O140" s="17">
        <v>7.8966200000000004</v>
      </c>
      <c r="P140" s="17">
        <v>8.4729899999999994</v>
      </c>
      <c r="Q140" s="17">
        <v>8.6287000000000003</v>
      </c>
      <c r="R140" s="17">
        <v>9.8255999999999997</v>
      </c>
      <c r="S140" s="17">
        <v>10.1882</v>
      </c>
      <c r="T140" s="17">
        <v>10.531499999999999</v>
      </c>
      <c r="U140" s="17">
        <v>10.8506</v>
      </c>
      <c r="V140" s="17">
        <v>11.1859</v>
      </c>
      <c r="W140" s="17">
        <v>11.5482</v>
      </c>
      <c r="X140" s="17">
        <v>11.9078</v>
      </c>
      <c r="Y140" s="17">
        <v>12.221500000000001</v>
      </c>
      <c r="Z140" s="17">
        <v>12.556699999999999</v>
      </c>
      <c r="AA140" s="17">
        <v>12.9191</v>
      </c>
      <c r="AB140" s="17">
        <v>13.2814</v>
      </c>
      <c r="AC140" s="17">
        <v>13.6356</v>
      </c>
      <c r="AD140" s="17">
        <v>13.9763</v>
      </c>
      <c r="AE140" s="18">
        <v>14.317</v>
      </c>
      <c r="AF140" s="13"/>
    </row>
    <row r="141" spans="2:32" x14ac:dyDescent="0.3">
      <c r="B141" s="23" t="s">
        <v>185</v>
      </c>
      <c r="C141" s="24" t="s">
        <v>38</v>
      </c>
      <c r="D141" s="24" t="s">
        <v>16</v>
      </c>
      <c r="E141" s="24" t="s">
        <v>176</v>
      </c>
      <c r="F141" s="17">
        <v>13.548500000000001</v>
      </c>
      <c r="G141" s="17">
        <v>13.011200000000001</v>
      </c>
      <c r="H141" s="17">
        <v>14.18</v>
      </c>
      <c r="I141" s="17">
        <v>15.248799999999999</v>
      </c>
      <c r="J141" s="17">
        <v>14.268599999999999</v>
      </c>
      <c r="K141" s="17">
        <v>10.035299999999999</v>
      </c>
      <c r="L141" s="17">
        <v>9.5838999999999999</v>
      </c>
      <c r="M141" s="17">
        <v>9.8697599999999994</v>
      </c>
      <c r="N141" s="17">
        <v>8.9668600000000005</v>
      </c>
      <c r="O141" s="17">
        <v>8.5799000000000003</v>
      </c>
      <c r="P141" s="17">
        <v>6.6271000000000004</v>
      </c>
      <c r="Q141" s="17">
        <v>7.9744799999999998</v>
      </c>
      <c r="R141" s="17">
        <v>9.7140500000000003</v>
      </c>
      <c r="S141" s="17">
        <v>9.1824100000000008</v>
      </c>
      <c r="T141" s="17">
        <v>9.1824100000000008</v>
      </c>
      <c r="U141" s="17">
        <v>9.1824100000000008</v>
      </c>
      <c r="V141" s="17">
        <v>9.1824100000000008</v>
      </c>
      <c r="W141" s="17">
        <v>9.1824100000000008</v>
      </c>
      <c r="X141" s="17">
        <v>9.1824100000000008</v>
      </c>
      <c r="Y141" s="17">
        <v>9.1824100000000008</v>
      </c>
      <c r="Z141" s="17">
        <v>9.1824100000000008</v>
      </c>
      <c r="AA141" s="17">
        <v>9.1824100000000008</v>
      </c>
      <c r="AB141" s="17">
        <v>9.1824100000000008</v>
      </c>
      <c r="AC141" s="17">
        <v>9.1824100000000008</v>
      </c>
      <c r="AD141" s="17">
        <v>9.1824100000000008</v>
      </c>
      <c r="AE141" s="18">
        <v>9.1824100000000008</v>
      </c>
      <c r="AF141" s="13"/>
    </row>
    <row r="142" spans="2:32" x14ac:dyDescent="0.3">
      <c r="B142" s="23" t="s">
        <v>185</v>
      </c>
      <c r="C142" s="24" t="s">
        <v>38</v>
      </c>
      <c r="D142" s="24" t="s">
        <v>97</v>
      </c>
      <c r="E142" s="24"/>
      <c r="F142" s="17">
        <v>60.858679999999993</v>
      </c>
      <c r="G142" s="17">
        <v>64.238119999999995</v>
      </c>
      <c r="H142" s="17">
        <v>67.617699999999999</v>
      </c>
      <c r="I142" s="17">
        <v>67.99709</v>
      </c>
      <c r="J142" s="17">
        <v>66.957684</v>
      </c>
      <c r="K142" s="17">
        <v>57.517828000000002</v>
      </c>
      <c r="L142" s="17">
        <v>53.600648</v>
      </c>
      <c r="M142" s="17">
        <v>54.314140999999992</v>
      </c>
      <c r="N142" s="17">
        <v>63.779499999999999</v>
      </c>
      <c r="O142" s="17">
        <v>61.594909999999999</v>
      </c>
      <c r="P142" s="17">
        <v>48.98218</v>
      </c>
      <c r="Q142" s="17">
        <v>42.395200000000003</v>
      </c>
      <c r="R142" s="17">
        <v>52.182960000000001</v>
      </c>
      <c r="S142" s="17">
        <v>39.176950000000005</v>
      </c>
      <c r="T142" s="17">
        <v>40.188999999999993</v>
      </c>
      <c r="U142" s="17">
        <v>41.124369999999999</v>
      </c>
      <c r="V142" s="17">
        <v>42.108140000000006</v>
      </c>
      <c r="W142" s="17">
        <v>43.176569999999998</v>
      </c>
      <c r="X142" s="17">
        <v>44.237070000000003</v>
      </c>
      <c r="Y142" s="17">
        <v>45.162320000000008</v>
      </c>
      <c r="Z142" s="17">
        <v>46.146299999999997</v>
      </c>
      <c r="AA142" s="17">
        <v>47.205380000000005</v>
      </c>
      <c r="AB142" s="17">
        <v>48.269999999999996</v>
      </c>
      <c r="AC142" s="17">
        <v>49.318269999999998</v>
      </c>
      <c r="AD142" s="17">
        <v>50.327659999999995</v>
      </c>
      <c r="AE142" s="18">
        <v>51.331199999999995</v>
      </c>
      <c r="AF142" s="13"/>
    </row>
    <row r="143" spans="2:32" x14ac:dyDescent="0.3">
      <c r="B143" s="23" t="s">
        <v>186</v>
      </c>
      <c r="C143" s="24" t="s">
        <v>38</v>
      </c>
      <c r="D143" s="24" t="s">
        <v>12</v>
      </c>
      <c r="E143" s="24" t="s">
        <v>9</v>
      </c>
      <c r="F143" s="17">
        <v>18.4114</v>
      </c>
      <c r="G143" s="17">
        <v>16.480699999999999</v>
      </c>
      <c r="H143" s="17">
        <v>15.415800000000001</v>
      </c>
      <c r="I143" s="17">
        <v>21.172899999999998</v>
      </c>
      <c r="J143" s="17">
        <v>22.9101</v>
      </c>
      <c r="K143" s="17">
        <v>24.622900000000001</v>
      </c>
      <c r="L143" s="17">
        <v>24.943999999999999</v>
      </c>
      <c r="M143" s="17">
        <v>25.322199999999999</v>
      </c>
      <c r="N143" s="17">
        <v>25.373799999999999</v>
      </c>
      <c r="O143" s="17">
        <v>26.263300000000001</v>
      </c>
      <c r="P143" s="17">
        <v>27.6967</v>
      </c>
      <c r="Q143" s="17">
        <v>27.29</v>
      </c>
      <c r="R143" s="17">
        <v>26.803799999999999</v>
      </c>
      <c r="S143" s="17">
        <v>29.7087</v>
      </c>
      <c r="T143" s="17">
        <v>30.0868</v>
      </c>
      <c r="U143" s="17">
        <v>30.461099999999998</v>
      </c>
      <c r="V143" s="17">
        <v>30.853400000000001</v>
      </c>
      <c r="W143" s="17">
        <v>31.241299999999999</v>
      </c>
      <c r="X143" s="17">
        <v>31.624600000000001</v>
      </c>
      <c r="Y143" s="17">
        <v>32.003100000000003</v>
      </c>
      <c r="Z143" s="17">
        <v>32.3765</v>
      </c>
      <c r="AA143" s="17">
        <v>32.744599999999998</v>
      </c>
      <c r="AB143" s="17">
        <v>33.106999999999999</v>
      </c>
      <c r="AC143" s="17">
        <v>33.4636</v>
      </c>
      <c r="AD143" s="17">
        <v>33.814100000000003</v>
      </c>
      <c r="AE143" s="18">
        <v>34.158299999999997</v>
      </c>
      <c r="AF143" s="13"/>
    </row>
    <row r="144" spans="2:32" x14ac:dyDescent="0.3">
      <c r="B144" s="23" t="s">
        <v>186</v>
      </c>
      <c r="C144" s="24" t="s">
        <v>38</v>
      </c>
      <c r="D144" s="24" t="s">
        <v>12</v>
      </c>
      <c r="E144" s="24" t="s">
        <v>15</v>
      </c>
      <c r="F144" s="17">
        <v>0</v>
      </c>
      <c r="G144" s="17">
        <v>0</v>
      </c>
      <c r="H144" s="17">
        <v>0</v>
      </c>
      <c r="I144" s="17">
        <v>2.9050899999999999E-3</v>
      </c>
      <c r="J144" s="17">
        <v>2.9050899999999999E-3</v>
      </c>
      <c r="K144" s="17">
        <v>1.2782399999999999E-2</v>
      </c>
      <c r="L144" s="17">
        <v>1.9173599999999999E-2</v>
      </c>
      <c r="M144" s="17">
        <v>2.0335599999999999E-2</v>
      </c>
      <c r="N144" s="17">
        <v>2.20787E-2</v>
      </c>
      <c r="O144" s="17">
        <v>2.0335599999999999E-2</v>
      </c>
      <c r="P144" s="17">
        <v>1.9173599999999999E-2</v>
      </c>
      <c r="Q144" s="17">
        <v>2.32407E-2</v>
      </c>
      <c r="R144" s="17">
        <v>3.5442099999999997E-2</v>
      </c>
      <c r="S144" s="17">
        <v>3.9509299999999997E-2</v>
      </c>
      <c r="T144" s="17">
        <v>3.9509299999999997E-2</v>
      </c>
      <c r="U144" s="17">
        <v>3.9509299999999997E-2</v>
      </c>
      <c r="V144" s="17">
        <v>5.9263900000000001E-2</v>
      </c>
      <c r="W144" s="17">
        <v>5.9263900000000001E-2</v>
      </c>
      <c r="X144" s="17">
        <v>5.9263900000000001E-2</v>
      </c>
      <c r="Y144" s="17">
        <v>5.9263900000000001E-2</v>
      </c>
      <c r="Z144" s="17">
        <v>5.9263900000000001E-2</v>
      </c>
      <c r="AA144" s="17">
        <v>5.9263900000000001E-2</v>
      </c>
      <c r="AB144" s="17">
        <v>5.9263900000000001E-2</v>
      </c>
      <c r="AC144" s="17">
        <v>5.9263900000000001E-2</v>
      </c>
      <c r="AD144" s="17">
        <v>5.9263900000000001E-2</v>
      </c>
      <c r="AE144" s="18">
        <v>5.9263900000000001E-2</v>
      </c>
      <c r="AF144" s="13"/>
    </row>
    <row r="145" spans="2:32" x14ac:dyDescent="0.3">
      <c r="B145" s="23" t="s">
        <v>186</v>
      </c>
      <c r="C145" s="24" t="s">
        <v>38</v>
      </c>
      <c r="D145" s="24" t="s">
        <v>12</v>
      </c>
      <c r="E145" s="24" t="s">
        <v>14</v>
      </c>
      <c r="F145" s="17">
        <v>3.4600500000000001E-3</v>
      </c>
      <c r="G145" s="17">
        <v>3.5833800000000002E-3</v>
      </c>
      <c r="H145" s="17">
        <v>2.5343100000000001E-3</v>
      </c>
      <c r="I145" s="17">
        <v>2.3240700000000001E-3</v>
      </c>
      <c r="J145" s="17">
        <v>1.7430600000000001E-3</v>
      </c>
      <c r="K145" s="17">
        <v>1.16204E-3</v>
      </c>
      <c r="L145" s="17">
        <v>1.16204E-3</v>
      </c>
      <c r="M145" s="17">
        <v>0</v>
      </c>
      <c r="N145" s="17">
        <v>0</v>
      </c>
      <c r="O145" s="17">
        <v>0</v>
      </c>
      <c r="P145" s="17">
        <v>0</v>
      </c>
      <c r="Q145" s="17">
        <v>0</v>
      </c>
      <c r="R145" s="17">
        <v>0</v>
      </c>
      <c r="S145" s="17">
        <v>0</v>
      </c>
      <c r="T145" s="17">
        <v>0</v>
      </c>
      <c r="U145" s="17">
        <v>0</v>
      </c>
      <c r="V145" s="17">
        <v>0</v>
      </c>
      <c r="W145" s="17">
        <v>0</v>
      </c>
      <c r="X145" s="17">
        <v>0</v>
      </c>
      <c r="Y145" s="17">
        <v>0</v>
      </c>
      <c r="Z145" s="17">
        <v>0</v>
      </c>
      <c r="AA145" s="17">
        <v>0</v>
      </c>
      <c r="AB145" s="17">
        <v>0</v>
      </c>
      <c r="AC145" s="17">
        <v>0</v>
      </c>
      <c r="AD145" s="17">
        <v>0</v>
      </c>
      <c r="AE145" s="18">
        <v>0</v>
      </c>
      <c r="AF145" s="13"/>
    </row>
    <row r="146" spans="2:32" x14ac:dyDescent="0.3">
      <c r="B146" s="23" t="s">
        <v>186</v>
      </c>
      <c r="C146" s="24" t="s">
        <v>38</v>
      </c>
      <c r="D146" s="24" t="s">
        <v>12</v>
      </c>
      <c r="E146" s="24" t="s">
        <v>13</v>
      </c>
      <c r="F146" s="17">
        <v>11.368499999999999</v>
      </c>
      <c r="G146" s="17">
        <v>11.1646</v>
      </c>
      <c r="H146" s="17">
        <v>11.643700000000001</v>
      </c>
      <c r="I146" s="17">
        <v>9.9836399999999994</v>
      </c>
      <c r="J146" s="17">
        <v>9.8465199999999999</v>
      </c>
      <c r="K146" s="17">
        <v>8.91282</v>
      </c>
      <c r="L146" s="17">
        <v>8.6356800000000007</v>
      </c>
      <c r="M146" s="17">
        <v>8.3794500000000003</v>
      </c>
      <c r="N146" s="17">
        <v>8.0883599999999998</v>
      </c>
      <c r="O146" s="17">
        <v>7.7356800000000003</v>
      </c>
      <c r="P146" s="17">
        <v>7.3452299999999999</v>
      </c>
      <c r="Q146" s="17">
        <v>6.9315499999999997</v>
      </c>
      <c r="R146" s="17">
        <v>6.5004299999999997</v>
      </c>
      <c r="S146" s="17">
        <v>6.0559500000000002</v>
      </c>
      <c r="T146" s="17">
        <v>5.8531700000000004</v>
      </c>
      <c r="U146" s="17">
        <v>5.6503500000000004</v>
      </c>
      <c r="V146" s="17">
        <v>5.5053299999999998</v>
      </c>
      <c r="W146" s="17">
        <v>5.3603100000000001</v>
      </c>
      <c r="X146" s="17">
        <v>5.2152900000000004</v>
      </c>
      <c r="Y146" s="17">
        <v>5.0702699999999998</v>
      </c>
      <c r="Z146" s="17">
        <v>4.9252500000000001</v>
      </c>
      <c r="AA146" s="17">
        <v>4.82233</v>
      </c>
      <c r="AB146" s="17">
        <v>4.7194099999999999</v>
      </c>
      <c r="AC146" s="17">
        <v>4.6164800000000001</v>
      </c>
      <c r="AD146" s="17">
        <v>4.51356</v>
      </c>
      <c r="AE146" s="18">
        <v>4.4106399999999999</v>
      </c>
      <c r="AF146" s="13"/>
    </row>
    <row r="147" spans="2:32" x14ac:dyDescent="0.3">
      <c r="B147" s="23" t="s">
        <v>186</v>
      </c>
      <c r="C147" s="24" t="s">
        <v>38</v>
      </c>
      <c r="D147" s="24" t="s">
        <v>12</v>
      </c>
      <c r="E147" s="24" t="s">
        <v>8</v>
      </c>
      <c r="F147" s="17">
        <v>31.822800000000001</v>
      </c>
      <c r="G147" s="17">
        <v>32.940800000000003</v>
      </c>
      <c r="H147" s="17">
        <v>35.389699999999998</v>
      </c>
      <c r="I147" s="17">
        <v>35.316600000000001</v>
      </c>
      <c r="J147" s="17">
        <v>36.527500000000003</v>
      </c>
      <c r="K147" s="17">
        <v>37.199199999999998</v>
      </c>
      <c r="L147" s="17">
        <v>37.2301</v>
      </c>
      <c r="M147" s="17">
        <v>37.951300000000003</v>
      </c>
      <c r="N147" s="17">
        <v>39.731099999999998</v>
      </c>
      <c r="O147" s="17">
        <v>40.911099999999998</v>
      </c>
      <c r="P147" s="17">
        <v>41.680399999999999</v>
      </c>
      <c r="Q147" s="17">
        <v>42.462400000000002</v>
      </c>
      <c r="R147" s="17">
        <v>43.822600000000001</v>
      </c>
      <c r="S147" s="17">
        <v>45.555</v>
      </c>
      <c r="T147" s="17">
        <v>46.054200000000002</v>
      </c>
      <c r="U147" s="17">
        <v>46.563899999999997</v>
      </c>
      <c r="V147" s="17">
        <v>47.1</v>
      </c>
      <c r="W147" s="17">
        <v>47.636000000000003</v>
      </c>
      <c r="X147" s="17">
        <v>48.1721</v>
      </c>
      <c r="Y147" s="17">
        <v>48.697600000000001</v>
      </c>
      <c r="Z147" s="17">
        <v>49.212600000000002</v>
      </c>
      <c r="AA147" s="17">
        <v>49.717100000000002</v>
      </c>
      <c r="AB147" s="17">
        <v>50.221600000000002</v>
      </c>
      <c r="AC147" s="17">
        <v>50.715600000000002</v>
      </c>
      <c r="AD147" s="17">
        <v>51.199100000000001</v>
      </c>
      <c r="AE147" s="18">
        <v>51.671999999999997</v>
      </c>
      <c r="AF147" s="13"/>
    </row>
    <row r="148" spans="2:32" x14ac:dyDescent="0.3">
      <c r="B148" s="23" t="s">
        <v>186</v>
      </c>
      <c r="C148" s="24" t="s">
        <v>38</v>
      </c>
      <c r="D148" s="24" t="s">
        <v>98</v>
      </c>
      <c r="E148" s="24"/>
      <c r="F148" s="17">
        <v>61.60616005</v>
      </c>
      <c r="G148" s="17">
        <v>60.589683379999997</v>
      </c>
      <c r="H148" s="17">
        <v>62.451734309999999</v>
      </c>
      <c r="I148" s="17">
        <v>66.47836916</v>
      </c>
      <c r="J148" s="17">
        <v>69.28876815000001</v>
      </c>
      <c r="K148" s="17">
        <v>70.748864440000006</v>
      </c>
      <c r="L148" s="17">
        <v>70.830115640000002</v>
      </c>
      <c r="M148" s="17">
        <v>71.6732856</v>
      </c>
      <c r="N148" s="17">
        <v>73.21533869999999</v>
      </c>
      <c r="O148" s="17">
        <v>74.930415600000003</v>
      </c>
      <c r="P148" s="17">
        <v>76.741503599999987</v>
      </c>
      <c r="Q148" s="17">
        <v>76.707190699999998</v>
      </c>
      <c r="R148" s="17">
        <v>77.162272099999996</v>
      </c>
      <c r="S148" s="17">
        <v>81.359159300000002</v>
      </c>
      <c r="T148" s="17">
        <v>82.033679300000003</v>
      </c>
      <c r="U148" s="17">
        <v>82.714859300000001</v>
      </c>
      <c r="V148" s="17">
        <v>83.517993899999993</v>
      </c>
      <c r="W148" s="17">
        <v>84.296873900000008</v>
      </c>
      <c r="X148" s="17">
        <v>85.071253900000002</v>
      </c>
      <c r="Y148" s="17">
        <v>85.830233899999996</v>
      </c>
      <c r="Z148" s="17">
        <v>86.573613899999998</v>
      </c>
      <c r="AA148" s="17">
        <v>87.343293899999992</v>
      </c>
      <c r="AB148" s="17">
        <v>88.107273899999996</v>
      </c>
      <c r="AC148" s="17">
        <v>88.854943899999995</v>
      </c>
      <c r="AD148" s="17">
        <v>89.586023900000001</v>
      </c>
      <c r="AE148" s="18">
        <v>90.300203899999985</v>
      </c>
      <c r="AF148" s="13"/>
    </row>
    <row r="149" spans="2:32" x14ac:dyDescent="0.3">
      <c r="B149" s="23" t="s">
        <v>187</v>
      </c>
      <c r="C149" s="24" t="s">
        <v>38</v>
      </c>
      <c r="D149" s="24" t="s">
        <v>10</v>
      </c>
      <c r="E149" s="24" t="s">
        <v>3</v>
      </c>
      <c r="F149" s="17">
        <v>0.12864600000000001</v>
      </c>
      <c r="G149" s="17">
        <v>0.13595599999999999</v>
      </c>
      <c r="H149" s="17">
        <v>0.14810000000000001</v>
      </c>
      <c r="I149" s="17">
        <v>0.15629399999999999</v>
      </c>
      <c r="J149" s="17">
        <v>0.19173599999999999</v>
      </c>
      <c r="K149" s="17">
        <v>0.198127</v>
      </c>
      <c r="L149" s="17">
        <v>0.17663000000000001</v>
      </c>
      <c r="M149" s="17">
        <v>0.18127799999999999</v>
      </c>
      <c r="N149" s="17">
        <v>0.189993</v>
      </c>
      <c r="O149" s="17">
        <v>0.20219400000000001</v>
      </c>
      <c r="P149" s="17">
        <v>0.16849500000000001</v>
      </c>
      <c r="Q149" s="17">
        <v>0.197546</v>
      </c>
      <c r="R149" s="17">
        <v>0.20974799999999999</v>
      </c>
      <c r="S149" s="17">
        <v>0.20103199999999999</v>
      </c>
      <c r="T149" s="17">
        <v>0.19875999999999999</v>
      </c>
      <c r="U149" s="17">
        <v>0.21241699999999999</v>
      </c>
      <c r="V149" s="17">
        <v>0.209701</v>
      </c>
      <c r="W149" s="17">
        <v>0.22415199999999999</v>
      </c>
      <c r="X149" s="17">
        <v>0.22337099999999999</v>
      </c>
      <c r="Y149" s="17">
        <v>0.235489</v>
      </c>
      <c r="Z149" s="17">
        <v>0.234431</v>
      </c>
      <c r="AA149" s="17">
        <v>0.248337</v>
      </c>
      <c r="AB149" s="17">
        <v>0.248444</v>
      </c>
      <c r="AC149" s="17">
        <v>0.26134099999999999</v>
      </c>
      <c r="AD149" s="17">
        <v>0.26223099999999999</v>
      </c>
      <c r="AE149" s="18">
        <v>0.27339599999999997</v>
      </c>
      <c r="AF149" s="13"/>
    </row>
    <row r="150" spans="2:32" x14ac:dyDescent="0.3">
      <c r="B150" s="23" t="s">
        <v>187</v>
      </c>
      <c r="C150" s="24" t="s">
        <v>38</v>
      </c>
      <c r="D150" s="24" t="s">
        <v>10</v>
      </c>
      <c r="E150" s="24" t="s">
        <v>11</v>
      </c>
      <c r="F150" s="17">
        <v>16.59442</v>
      </c>
      <c r="G150" s="17">
        <v>16.594439999999999</v>
      </c>
      <c r="H150" s="17">
        <v>16.594483499999999</v>
      </c>
      <c r="I150" s="17">
        <v>16.594470000000001</v>
      </c>
      <c r="J150" s="17">
        <v>15.4673</v>
      </c>
      <c r="K150" s="17">
        <v>15.396990000000001</v>
      </c>
      <c r="L150" s="17">
        <v>15.064080000000001</v>
      </c>
      <c r="M150" s="17">
        <v>17.33821</v>
      </c>
      <c r="N150" s="17">
        <v>16.514250000000001</v>
      </c>
      <c r="O150" s="17">
        <v>16.291170000000001</v>
      </c>
      <c r="P150" s="17">
        <v>8.6897099999999998</v>
      </c>
      <c r="Q150" s="17">
        <v>12.51749</v>
      </c>
      <c r="R150" s="17">
        <v>16.753129999999999</v>
      </c>
      <c r="S150" s="17">
        <v>16.714130000000001</v>
      </c>
      <c r="T150" s="17">
        <v>16.714120000000001</v>
      </c>
      <c r="U150" s="17">
        <v>16.71415</v>
      </c>
      <c r="V150" s="17">
        <v>16.714179999999999</v>
      </c>
      <c r="W150" s="17">
        <v>16.714110000000002</v>
      </c>
      <c r="X150" s="17">
        <v>16.71415</v>
      </c>
      <c r="Y150" s="17">
        <v>16.714169999999999</v>
      </c>
      <c r="Z150" s="17">
        <v>16.714120000000001</v>
      </c>
      <c r="AA150" s="17">
        <v>16.71416</v>
      </c>
      <c r="AB150" s="17">
        <v>16.71415</v>
      </c>
      <c r="AC150" s="17">
        <v>16.71416</v>
      </c>
      <c r="AD150" s="17">
        <v>16.71416</v>
      </c>
      <c r="AE150" s="18">
        <v>16.71416</v>
      </c>
      <c r="AF150" s="13"/>
    </row>
    <row r="151" spans="2:32" x14ac:dyDescent="0.3">
      <c r="B151" s="23" t="s">
        <v>187</v>
      </c>
      <c r="C151" s="24" t="s">
        <v>38</v>
      </c>
      <c r="D151" s="24" t="s">
        <v>99</v>
      </c>
      <c r="E151" s="24"/>
      <c r="F151" s="17">
        <v>16.723065999999999</v>
      </c>
      <c r="G151" s="17">
        <v>16.730395999999999</v>
      </c>
      <c r="H151" s="17">
        <v>16.742583499999999</v>
      </c>
      <c r="I151" s="17">
        <v>16.750764</v>
      </c>
      <c r="J151" s="17">
        <v>15.659036</v>
      </c>
      <c r="K151" s="17">
        <v>15.595117</v>
      </c>
      <c r="L151" s="17">
        <v>15.24071</v>
      </c>
      <c r="M151" s="17">
        <v>17.519487999999999</v>
      </c>
      <c r="N151" s="17">
        <v>16.704243000000002</v>
      </c>
      <c r="O151" s="17">
        <v>16.493364</v>
      </c>
      <c r="P151" s="17">
        <v>8.8582049999999999</v>
      </c>
      <c r="Q151" s="17">
        <v>12.715036000000001</v>
      </c>
      <c r="R151" s="17">
        <v>16.962878</v>
      </c>
      <c r="S151" s="17">
        <v>16.915162000000002</v>
      </c>
      <c r="T151" s="17">
        <v>16.912880000000001</v>
      </c>
      <c r="U151" s="17">
        <v>16.926566999999999</v>
      </c>
      <c r="V151" s="17">
        <v>16.923880999999998</v>
      </c>
      <c r="W151" s="17">
        <v>16.938262000000002</v>
      </c>
      <c r="X151" s="17">
        <v>16.937521</v>
      </c>
      <c r="Y151" s="17">
        <v>16.949659</v>
      </c>
      <c r="Z151" s="17">
        <v>16.948551000000002</v>
      </c>
      <c r="AA151" s="17">
        <v>16.962496999999999</v>
      </c>
      <c r="AB151" s="17">
        <v>16.962593999999999</v>
      </c>
      <c r="AC151" s="17">
        <v>16.975501000000001</v>
      </c>
      <c r="AD151" s="17">
        <v>16.976391</v>
      </c>
      <c r="AE151" s="18">
        <v>16.987555999999998</v>
      </c>
      <c r="AF151" s="13"/>
    </row>
    <row r="152" spans="2:32" x14ac:dyDescent="0.3">
      <c r="B152" s="23" t="s">
        <v>188</v>
      </c>
      <c r="C152" s="24" t="s">
        <v>38</v>
      </c>
      <c r="D152" s="24" t="s">
        <v>7</v>
      </c>
      <c r="E152" s="24" t="s">
        <v>5</v>
      </c>
      <c r="F152" s="17">
        <v>5.1452</v>
      </c>
      <c r="G152" s="17">
        <v>5.5030999999999999</v>
      </c>
      <c r="H152" s="17">
        <v>5.7575000000000003</v>
      </c>
      <c r="I152" s="17">
        <v>6.7824999999999998</v>
      </c>
      <c r="J152" s="17">
        <v>7.0487000000000002</v>
      </c>
      <c r="K152" s="17">
        <v>7.0812999999999997</v>
      </c>
      <c r="L152" s="17">
        <v>7.7751000000000001</v>
      </c>
      <c r="M152" s="17">
        <v>8.4636999999999993</v>
      </c>
      <c r="N152" s="17">
        <v>12.259600000000001</v>
      </c>
      <c r="O152" s="17">
        <v>12.776999999999999</v>
      </c>
      <c r="P152" s="17">
        <v>10.9756</v>
      </c>
      <c r="Q152" s="17">
        <v>13.3459</v>
      </c>
      <c r="R152" s="17">
        <v>15.2479</v>
      </c>
      <c r="S152" s="17">
        <v>16.145700000000001</v>
      </c>
      <c r="T152" s="17">
        <v>15.9633</v>
      </c>
      <c r="U152" s="17">
        <v>17.059999999999999</v>
      </c>
      <c r="V152" s="17">
        <v>16.841899999999999</v>
      </c>
      <c r="W152" s="17">
        <v>18.002400000000002</v>
      </c>
      <c r="X152" s="17">
        <v>17.939699999999998</v>
      </c>
      <c r="Y152" s="17">
        <v>18.913</v>
      </c>
      <c r="Z152" s="17">
        <v>18.827999999999999</v>
      </c>
      <c r="AA152" s="17">
        <v>19.944900000000001</v>
      </c>
      <c r="AB152" s="17">
        <v>19.953499999999998</v>
      </c>
      <c r="AC152" s="17">
        <v>20.9892</v>
      </c>
      <c r="AD152" s="17">
        <v>21.060700000000001</v>
      </c>
      <c r="AE152" s="18">
        <v>21.9575</v>
      </c>
      <c r="AF152" s="13"/>
    </row>
    <row r="153" spans="2:32" x14ac:dyDescent="0.3">
      <c r="B153" s="23" t="s">
        <v>188</v>
      </c>
      <c r="C153" s="24" t="s">
        <v>38</v>
      </c>
      <c r="D153" s="24" t="s">
        <v>7</v>
      </c>
      <c r="E153" s="24" t="s">
        <v>9</v>
      </c>
      <c r="F153" s="17">
        <v>6.9999999999999999E-4</v>
      </c>
      <c r="G153" s="17">
        <v>5.9999999999999995E-4</v>
      </c>
      <c r="H153" s="17">
        <v>5.0000000000000001E-4</v>
      </c>
      <c r="I153" s="17">
        <v>2.2700000000000001E-2</v>
      </c>
      <c r="J153" s="17">
        <v>1.83E-2</v>
      </c>
      <c r="K153" s="17">
        <v>1.3899999999999999E-2</v>
      </c>
      <c r="L153" s="17">
        <v>9.4999999999999998E-3</v>
      </c>
      <c r="M153" s="17">
        <v>6.1999999999999998E-3</v>
      </c>
      <c r="N153" s="17">
        <v>3.5000000000000001E-3</v>
      </c>
      <c r="O153" s="17">
        <v>4.1000000000000003E-3</v>
      </c>
      <c r="P153" s="17">
        <v>3.5000000000000001E-3</v>
      </c>
      <c r="Q153" s="17">
        <v>4.1000000000000003E-3</v>
      </c>
      <c r="R153" s="17">
        <v>5.3E-3</v>
      </c>
      <c r="S153" s="17">
        <v>4.9000000000000002E-2</v>
      </c>
      <c r="T153" s="17">
        <v>4.82E-2</v>
      </c>
      <c r="U153" s="17">
        <v>5.3999999999999999E-2</v>
      </c>
      <c r="V153" s="17">
        <v>5.33E-2</v>
      </c>
      <c r="W153" s="17">
        <v>5.7000000000000002E-2</v>
      </c>
      <c r="X153" s="17">
        <v>5.6800000000000003E-2</v>
      </c>
      <c r="Y153" s="17">
        <v>5.9900000000000002E-2</v>
      </c>
      <c r="Z153" s="17">
        <v>5.96E-2</v>
      </c>
      <c r="AA153" s="17">
        <v>6.3200000000000006E-2</v>
      </c>
      <c r="AB153" s="17">
        <v>6.3200000000000006E-2</v>
      </c>
      <c r="AC153" s="17">
        <v>6.6500000000000004E-2</v>
      </c>
      <c r="AD153" s="17">
        <v>6.6699999999999995E-2</v>
      </c>
      <c r="AE153" s="18">
        <v>6.9599999999999995E-2</v>
      </c>
      <c r="AF153" s="13"/>
    </row>
    <row r="154" spans="2:32" x14ac:dyDescent="0.3">
      <c r="B154" s="23" t="s">
        <v>188</v>
      </c>
      <c r="C154" s="24" t="s">
        <v>38</v>
      </c>
      <c r="D154" s="24" t="s">
        <v>7</v>
      </c>
      <c r="E154" s="24" t="s">
        <v>3</v>
      </c>
      <c r="F154" s="17">
        <v>49.035600000000002</v>
      </c>
      <c r="G154" s="17">
        <v>51.822000000000003</v>
      </c>
      <c r="H154" s="17">
        <v>56.451000000000001</v>
      </c>
      <c r="I154" s="17">
        <v>59.574100000000001</v>
      </c>
      <c r="J154" s="17">
        <v>62.223599999999998</v>
      </c>
      <c r="K154" s="17">
        <v>68.353300000000004</v>
      </c>
      <c r="L154" s="17">
        <v>73.274000000000001</v>
      </c>
      <c r="M154" s="17">
        <v>80.025400000000005</v>
      </c>
      <c r="N154" s="17">
        <v>85.759500000000003</v>
      </c>
      <c r="O154" s="17">
        <v>88.2654</v>
      </c>
      <c r="P154" s="17">
        <v>73.009799999999998</v>
      </c>
      <c r="Q154" s="17">
        <v>97.757300000000001</v>
      </c>
      <c r="R154" s="17">
        <v>101.387</v>
      </c>
      <c r="S154" s="17">
        <v>114.514</v>
      </c>
      <c r="T154" s="17">
        <v>112.79600000000001</v>
      </c>
      <c r="U154" s="17">
        <v>120.465</v>
      </c>
      <c r="V154" s="17">
        <v>119.04300000000001</v>
      </c>
      <c r="W154" s="17">
        <v>127.119</v>
      </c>
      <c r="X154" s="17">
        <v>126.60299999999999</v>
      </c>
      <c r="Y154" s="17">
        <v>133.40799999999999</v>
      </c>
      <c r="Z154" s="17">
        <v>132.9</v>
      </c>
      <c r="AA154" s="17">
        <v>140.703</v>
      </c>
      <c r="AB154" s="17">
        <v>140.845</v>
      </c>
      <c r="AC154" s="17">
        <v>148.09100000000001</v>
      </c>
      <c r="AD154" s="17">
        <v>148.58600000000001</v>
      </c>
      <c r="AE154" s="18">
        <v>154.785</v>
      </c>
      <c r="AF154" s="13"/>
    </row>
    <row r="155" spans="2:32" x14ac:dyDescent="0.3">
      <c r="B155" s="23" t="s">
        <v>188</v>
      </c>
      <c r="C155" s="24" t="s">
        <v>38</v>
      </c>
      <c r="D155" s="24" t="s">
        <v>7</v>
      </c>
      <c r="E155" s="24" t="s">
        <v>8</v>
      </c>
      <c r="F155" s="17">
        <v>3.13786E-2</v>
      </c>
      <c r="G155" s="17">
        <v>2.9178099999999998E-2</v>
      </c>
      <c r="H155" s="17">
        <v>2.7036999999999999E-2</v>
      </c>
      <c r="I155" s="17">
        <v>0.42530499999999999</v>
      </c>
      <c r="J155" s="17">
        <v>0.49909500000000001</v>
      </c>
      <c r="K155" s="17">
        <v>0.31723600000000002</v>
      </c>
      <c r="L155" s="17">
        <v>0.29341400000000001</v>
      </c>
      <c r="M155" s="17">
        <v>0.29980499999999999</v>
      </c>
      <c r="N155" s="17">
        <v>0.25390499999999999</v>
      </c>
      <c r="O155" s="17">
        <v>0.28818500000000002</v>
      </c>
      <c r="P155" s="17">
        <v>0.31491200000000003</v>
      </c>
      <c r="Q155" s="17">
        <v>0.55254800000000004</v>
      </c>
      <c r="R155" s="17">
        <v>1.2398899999999999</v>
      </c>
      <c r="S155" s="17">
        <v>1.12601</v>
      </c>
      <c r="T155" s="17">
        <v>1.11328</v>
      </c>
      <c r="U155" s="17">
        <v>1.1897800000000001</v>
      </c>
      <c r="V155" s="17">
        <v>1.1745699999999999</v>
      </c>
      <c r="W155" s="17">
        <v>1.2555099999999999</v>
      </c>
      <c r="X155" s="17">
        <v>1.2511300000000001</v>
      </c>
      <c r="Y155" s="17">
        <v>1.31901</v>
      </c>
      <c r="Z155" s="17">
        <v>1.3130900000000001</v>
      </c>
      <c r="AA155" s="17">
        <v>1.3909800000000001</v>
      </c>
      <c r="AB155" s="17">
        <v>1.39158</v>
      </c>
      <c r="AC155" s="17">
        <v>1.4638100000000001</v>
      </c>
      <c r="AD155" s="17">
        <v>1.4688000000000001</v>
      </c>
      <c r="AE155" s="18">
        <v>1.5313399999999999</v>
      </c>
    </row>
    <row r="156" spans="2:32" x14ac:dyDescent="0.3">
      <c r="B156" s="23" t="s">
        <v>188</v>
      </c>
      <c r="C156" s="24" t="s">
        <v>38</v>
      </c>
      <c r="D156" s="24" t="s">
        <v>100</v>
      </c>
      <c r="E156" s="24"/>
      <c r="F156" s="17">
        <v>54.212878599999996</v>
      </c>
      <c r="G156" s="17">
        <v>57.354878100000008</v>
      </c>
      <c r="H156" s="17">
        <v>62.236037000000003</v>
      </c>
      <c r="I156" s="17">
        <v>66.804604999999995</v>
      </c>
      <c r="J156" s="17">
        <v>69.789694999999995</v>
      </c>
      <c r="K156" s="17">
        <v>75.765736000000004</v>
      </c>
      <c r="L156" s="17">
        <v>81.352013999999997</v>
      </c>
      <c r="M156" s="17">
        <v>88.795105000000007</v>
      </c>
      <c r="N156" s="17">
        <v>98.276505000000014</v>
      </c>
      <c r="O156" s="17">
        <v>101.33468499999999</v>
      </c>
      <c r="P156" s="17">
        <v>84.303812000000008</v>
      </c>
      <c r="Q156" s="17">
        <v>111.659848</v>
      </c>
      <c r="R156" s="17">
        <v>117.88009</v>
      </c>
      <c r="S156" s="17">
        <v>131.83471</v>
      </c>
      <c r="T156" s="17">
        <v>129.92078000000001</v>
      </c>
      <c r="U156" s="17">
        <v>138.76878000000002</v>
      </c>
      <c r="V156" s="17">
        <v>137.11276999999998</v>
      </c>
      <c r="W156" s="17">
        <v>146.43391</v>
      </c>
      <c r="X156" s="17">
        <v>145.85062999999997</v>
      </c>
      <c r="Y156" s="17">
        <v>153.69990999999999</v>
      </c>
      <c r="Z156" s="17">
        <v>153.10068999999999</v>
      </c>
      <c r="AA156" s="17">
        <v>162.10208</v>
      </c>
      <c r="AB156" s="17">
        <v>162.25327999999999</v>
      </c>
      <c r="AC156" s="17">
        <v>170.61051</v>
      </c>
      <c r="AD156" s="17">
        <v>171.18219999999999</v>
      </c>
      <c r="AE156" s="18">
        <v>178.34343999999999</v>
      </c>
    </row>
    <row r="157" spans="2:32" x14ac:dyDescent="0.3">
      <c r="B157" s="23" t="s">
        <v>188</v>
      </c>
      <c r="C157" s="24" t="s">
        <v>38</v>
      </c>
      <c r="D157" s="24" t="s">
        <v>6</v>
      </c>
      <c r="E157" s="24" t="s">
        <v>5</v>
      </c>
      <c r="F157" s="17">
        <v>72.381100000000004</v>
      </c>
      <c r="G157" s="17">
        <v>77.414599999999993</v>
      </c>
      <c r="H157" s="17">
        <v>80.991799999999998</v>
      </c>
      <c r="I157" s="17">
        <v>95.409599999999998</v>
      </c>
      <c r="J157" s="17">
        <v>105.246</v>
      </c>
      <c r="K157" s="17">
        <v>105.91200000000001</v>
      </c>
      <c r="L157" s="17">
        <v>108.349</v>
      </c>
      <c r="M157" s="17">
        <v>117.944</v>
      </c>
      <c r="N157" s="17">
        <v>111.03100000000001</v>
      </c>
      <c r="O157" s="17">
        <v>112.794</v>
      </c>
      <c r="P157" s="17">
        <v>95.234700000000004</v>
      </c>
      <c r="Q157" s="17">
        <v>110.88800000000001</v>
      </c>
      <c r="R157" s="17">
        <v>115.96</v>
      </c>
      <c r="S157" s="17">
        <v>127.539</v>
      </c>
      <c r="T157" s="17">
        <v>126.098</v>
      </c>
      <c r="U157" s="17">
        <v>134.762</v>
      </c>
      <c r="V157" s="17">
        <v>133.03899999999999</v>
      </c>
      <c r="W157" s="17">
        <v>142.20699999999999</v>
      </c>
      <c r="X157" s="17">
        <v>141.71100000000001</v>
      </c>
      <c r="Y157" s="17">
        <v>149.4</v>
      </c>
      <c r="Z157" s="17">
        <v>148.72800000000001</v>
      </c>
      <c r="AA157" s="17">
        <v>157.55099999999999</v>
      </c>
      <c r="AB157" s="17">
        <v>157.619</v>
      </c>
      <c r="AC157" s="17">
        <v>165.8</v>
      </c>
      <c r="AD157" s="17">
        <v>166.36500000000001</v>
      </c>
      <c r="AE157" s="18">
        <v>173.44900000000001</v>
      </c>
    </row>
    <row r="158" spans="2:32" x14ac:dyDescent="0.3">
      <c r="B158" s="23" t="s">
        <v>188</v>
      </c>
      <c r="C158" s="24" t="s">
        <v>38</v>
      </c>
      <c r="D158" s="24" t="s">
        <v>6</v>
      </c>
      <c r="E158" s="24" t="s">
        <v>3</v>
      </c>
      <c r="F158" s="17">
        <v>24.760200000000001</v>
      </c>
      <c r="G158" s="17">
        <v>26.167200000000001</v>
      </c>
      <c r="H158" s="17">
        <v>28.5046</v>
      </c>
      <c r="I158" s="17">
        <v>30.081600000000002</v>
      </c>
      <c r="J158" s="17">
        <v>29.019500000000001</v>
      </c>
      <c r="K158" s="17">
        <v>31.064699999999998</v>
      </c>
      <c r="L158" s="17">
        <v>31.486499999999999</v>
      </c>
      <c r="M158" s="17">
        <v>32.269199999999998</v>
      </c>
      <c r="N158" s="17">
        <v>32.731699999999996</v>
      </c>
      <c r="O158" s="17">
        <v>32.2273</v>
      </c>
      <c r="P158" s="17">
        <v>25.101700000000001</v>
      </c>
      <c r="Q158" s="17">
        <v>32.411499999999997</v>
      </c>
      <c r="R158" s="17">
        <v>32.276699999999998</v>
      </c>
      <c r="S158" s="17">
        <v>31.684699999999999</v>
      </c>
      <c r="T158" s="17">
        <v>31.326499999999999</v>
      </c>
      <c r="U158" s="17">
        <v>33.478999999999999</v>
      </c>
      <c r="V158" s="17">
        <v>33.050899999999999</v>
      </c>
      <c r="W158" s="17">
        <v>35.328499999999998</v>
      </c>
      <c r="X158" s="17">
        <v>35.205399999999997</v>
      </c>
      <c r="Y158" s="17">
        <v>37.115400000000001</v>
      </c>
      <c r="Z158" s="17">
        <v>36.948599999999999</v>
      </c>
      <c r="AA158" s="17">
        <v>39.1404</v>
      </c>
      <c r="AB158" s="17">
        <v>39.157299999999999</v>
      </c>
      <c r="AC158" s="17">
        <v>41.189900000000002</v>
      </c>
      <c r="AD158" s="17">
        <v>41.330199999999998</v>
      </c>
      <c r="AE158" s="18">
        <v>43.0899</v>
      </c>
    </row>
    <row r="159" spans="2:32" x14ac:dyDescent="0.3">
      <c r="B159" s="23" t="s">
        <v>188</v>
      </c>
      <c r="C159" s="24" t="s">
        <v>38</v>
      </c>
      <c r="D159" s="24" t="s">
        <v>101</v>
      </c>
      <c r="E159" s="24"/>
      <c r="F159" s="17">
        <v>97.141300000000001</v>
      </c>
      <c r="G159" s="17">
        <v>103.58179999999999</v>
      </c>
      <c r="H159" s="17">
        <v>109.49639999999999</v>
      </c>
      <c r="I159" s="17">
        <v>125.49119999999999</v>
      </c>
      <c r="J159" s="17">
        <v>134.2655</v>
      </c>
      <c r="K159" s="17">
        <v>136.97669999999999</v>
      </c>
      <c r="L159" s="17">
        <v>139.8355</v>
      </c>
      <c r="M159" s="17">
        <v>150.2132</v>
      </c>
      <c r="N159" s="17">
        <v>143.7627</v>
      </c>
      <c r="O159" s="17">
        <v>145.0213</v>
      </c>
      <c r="P159" s="17">
        <v>120.3364</v>
      </c>
      <c r="Q159" s="17">
        <v>143.29949999999999</v>
      </c>
      <c r="R159" s="17">
        <v>148.23669999999998</v>
      </c>
      <c r="S159" s="17">
        <v>159.22370000000001</v>
      </c>
      <c r="T159" s="17">
        <v>157.42449999999999</v>
      </c>
      <c r="U159" s="17">
        <v>168.24099999999999</v>
      </c>
      <c r="V159" s="17">
        <v>166.0899</v>
      </c>
      <c r="W159" s="17">
        <v>177.53549999999998</v>
      </c>
      <c r="X159" s="17">
        <v>176.91640000000001</v>
      </c>
      <c r="Y159" s="17">
        <v>186.5154</v>
      </c>
      <c r="Z159" s="17">
        <v>185.67660000000001</v>
      </c>
      <c r="AA159" s="17">
        <v>196.69139999999999</v>
      </c>
      <c r="AB159" s="17">
        <v>196.77629999999999</v>
      </c>
      <c r="AC159" s="17">
        <v>206.98990000000001</v>
      </c>
      <c r="AD159" s="17">
        <v>207.6952</v>
      </c>
      <c r="AE159" s="18">
        <v>216.53890000000001</v>
      </c>
    </row>
    <row r="160" spans="2:32" x14ac:dyDescent="0.3">
      <c r="B160" s="23" t="s">
        <v>188</v>
      </c>
      <c r="C160" s="24" t="s">
        <v>38</v>
      </c>
      <c r="D160" s="24" t="s">
        <v>2</v>
      </c>
      <c r="E160" s="24" t="s">
        <v>5</v>
      </c>
      <c r="F160" s="17">
        <v>3.4336799999999998</v>
      </c>
      <c r="G160" s="17">
        <v>3.6724700000000001</v>
      </c>
      <c r="H160" s="17">
        <v>3.8421699999999999</v>
      </c>
      <c r="I160" s="17">
        <v>4.5261300000000002</v>
      </c>
      <c r="J160" s="17">
        <v>4.9886200000000001</v>
      </c>
      <c r="K160" s="17">
        <v>5.9653200000000002</v>
      </c>
      <c r="L160" s="17">
        <v>11.295</v>
      </c>
      <c r="M160" s="17">
        <v>11.9986</v>
      </c>
      <c r="N160" s="17">
        <v>11.486700000000001</v>
      </c>
      <c r="O160" s="17">
        <v>11.553599999999999</v>
      </c>
      <c r="P160" s="17">
        <v>9.8622099999999993</v>
      </c>
      <c r="Q160" s="17">
        <v>11.934100000000001</v>
      </c>
      <c r="R160" s="17">
        <v>13.3431</v>
      </c>
      <c r="S160" s="17">
        <v>14.144299999999999</v>
      </c>
      <c r="T160" s="17">
        <v>13.984400000000001</v>
      </c>
      <c r="U160" s="17">
        <v>14.9453</v>
      </c>
      <c r="V160" s="17">
        <v>14.754200000000001</v>
      </c>
      <c r="W160" s="17">
        <v>15.770899999999999</v>
      </c>
      <c r="X160" s="17">
        <v>15.715999999999999</v>
      </c>
      <c r="Y160" s="17">
        <v>16.5687</v>
      </c>
      <c r="Z160" s="17">
        <v>16.494199999999999</v>
      </c>
      <c r="AA160" s="17">
        <v>17.4726</v>
      </c>
      <c r="AB160" s="17">
        <v>17.4801</v>
      </c>
      <c r="AC160" s="17">
        <v>18.387499999999999</v>
      </c>
      <c r="AD160" s="17">
        <v>18.450199999999999</v>
      </c>
      <c r="AE160" s="18">
        <v>19.235700000000001</v>
      </c>
    </row>
    <row r="161" spans="2:31" x14ac:dyDescent="0.3">
      <c r="B161" s="23" t="s">
        <v>189</v>
      </c>
      <c r="C161" s="24" t="s">
        <v>38</v>
      </c>
      <c r="D161" s="24" t="s">
        <v>2</v>
      </c>
      <c r="E161" s="24" t="s">
        <v>4</v>
      </c>
      <c r="F161" s="17">
        <v>22.0153</v>
      </c>
      <c r="G161" s="17">
        <v>11.224600000000001</v>
      </c>
      <c r="H161" s="17">
        <v>0.43389</v>
      </c>
      <c r="I161" s="17">
        <v>0.33873399999999998</v>
      </c>
      <c r="J161" s="17">
        <v>0.31026399999999998</v>
      </c>
      <c r="K161" s="17">
        <v>0.377662</v>
      </c>
      <c r="L161" s="17">
        <v>0.36894700000000002</v>
      </c>
      <c r="M161" s="17">
        <v>0.39799800000000002</v>
      </c>
      <c r="N161" s="17">
        <v>0.37069000000000002</v>
      </c>
      <c r="O161" s="17">
        <v>0.36952800000000002</v>
      </c>
      <c r="P161" s="17">
        <v>0.187088</v>
      </c>
      <c r="Q161" s="17">
        <v>0</v>
      </c>
      <c r="R161" s="17">
        <v>0</v>
      </c>
      <c r="S161" s="17">
        <v>0</v>
      </c>
      <c r="T161" s="17">
        <v>0</v>
      </c>
      <c r="U161" s="17">
        <v>0</v>
      </c>
      <c r="V161" s="17">
        <v>0</v>
      </c>
      <c r="W161" s="17">
        <v>0</v>
      </c>
      <c r="X161" s="17">
        <v>0</v>
      </c>
      <c r="Y161" s="17">
        <v>0</v>
      </c>
      <c r="Z161" s="17">
        <v>0</v>
      </c>
      <c r="AA161" s="17">
        <v>0</v>
      </c>
      <c r="AB161" s="17">
        <v>0</v>
      </c>
      <c r="AC161" s="17">
        <v>0</v>
      </c>
      <c r="AD161" s="17">
        <v>0</v>
      </c>
      <c r="AE161" s="18">
        <v>0</v>
      </c>
    </row>
    <row r="162" spans="2:31" x14ac:dyDescent="0.3">
      <c r="B162" s="23" t="s">
        <v>189</v>
      </c>
      <c r="C162" s="24" t="s">
        <v>38</v>
      </c>
      <c r="D162" s="24" t="s">
        <v>2</v>
      </c>
      <c r="E162" s="24" t="s">
        <v>3</v>
      </c>
      <c r="F162" s="17">
        <v>1.6738300000000001E-2</v>
      </c>
      <c r="G162" s="17">
        <v>1.7689400000000001E-2</v>
      </c>
      <c r="H162" s="17">
        <v>1.9269499999999998E-2</v>
      </c>
      <c r="I162" s="17">
        <v>2.0335599999999999E-2</v>
      </c>
      <c r="J162" s="17">
        <v>2.1497700000000002E-2</v>
      </c>
      <c r="K162" s="17">
        <v>2.1497700000000002E-2</v>
      </c>
      <c r="L162" s="17">
        <v>2.09167E-2</v>
      </c>
      <c r="M162" s="17">
        <v>2.4402799999999999E-2</v>
      </c>
      <c r="N162" s="17">
        <v>3.0793999999999998E-2</v>
      </c>
      <c r="O162" s="17">
        <v>3.4861100000000002E-3</v>
      </c>
      <c r="P162" s="17">
        <v>9.8773100000000003E-3</v>
      </c>
      <c r="Q162" s="17">
        <v>1.9754600000000001E-2</v>
      </c>
      <c r="R162" s="17">
        <v>2.8469899999999999E-2</v>
      </c>
      <c r="S162" s="17">
        <v>3.1955999999999998E-2</v>
      </c>
      <c r="T162" s="17">
        <v>3.1594799999999999E-2</v>
      </c>
      <c r="U162" s="17">
        <v>3.3765700000000003E-2</v>
      </c>
      <c r="V162" s="17">
        <v>3.3334000000000003E-2</v>
      </c>
      <c r="W162" s="17">
        <v>3.5631000000000003E-2</v>
      </c>
      <c r="X162" s="17">
        <v>3.5506900000000001E-2</v>
      </c>
      <c r="Y162" s="17">
        <v>3.7433300000000003E-2</v>
      </c>
      <c r="Z162" s="17">
        <v>3.7265100000000002E-2</v>
      </c>
      <c r="AA162" s="17">
        <v>3.94756E-2</v>
      </c>
      <c r="AB162" s="17">
        <v>3.9492600000000003E-2</v>
      </c>
      <c r="AC162" s="17">
        <v>4.1542599999999999E-2</v>
      </c>
      <c r="AD162" s="17">
        <v>4.1684199999999998E-2</v>
      </c>
      <c r="AE162" s="18">
        <v>4.3458900000000002E-2</v>
      </c>
    </row>
    <row r="163" spans="2:31" x14ac:dyDescent="0.3">
      <c r="B163" s="23" t="s">
        <v>189</v>
      </c>
      <c r="C163" s="24" t="s">
        <v>38</v>
      </c>
      <c r="D163" s="24" t="s">
        <v>102</v>
      </c>
      <c r="E163" s="24"/>
      <c r="F163" s="17">
        <v>25.465718299999999</v>
      </c>
      <c r="G163" s="17">
        <v>14.914759400000001</v>
      </c>
      <c r="H163" s="17">
        <v>4.2953295000000002</v>
      </c>
      <c r="I163" s="17">
        <v>4.8851996</v>
      </c>
      <c r="J163" s="17">
        <v>5.3203817000000004</v>
      </c>
      <c r="K163" s="17">
        <v>6.3644797000000004</v>
      </c>
      <c r="L163" s="17">
        <v>11.684863700000001</v>
      </c>
      <c r="M163" s="17">
        <v>12.4210008</v>
      </c>
      <c r="N163" s="17">
        <v>11.888184000000001</v>
      </c>
      <c r="O163" s="17">
        <v>11.926614110000001</v>
      </c>
      <c r="P163" s="17">
        <v>10.059175309999999</v>
      </c>
      <c r="Q163" s="17">
        <v>11.953854600000001</v>
      </c>
      <c r="R163" s="17">
        <v>13.371569899999999</v>
      </c>
      <c r="S163" s="17">
        <v>14.176255999999999</v>
      </c>
      <c r="T163" s="17">
        <v>14.015994800000001</v>
      </c>
      <c r="U163" s="17">
        <v>14.9790657</v>
      </c>
      <c r="V163" s="17">
        <v>14.787534000000001</v>
      </c>
      <c r="W163" s="17">
        <v>15.806531</v>
      </c>
      <c r="X163" s="17">
        <v>15.751506899999999</v>
      </c>
      <c r="Y163" s="17">
        <v>16.6061333</v>
      </c>
      <c r="Z163" s="17">
        <v>16.531465099999998</v>
      </c>
      <c r="AA163" s="17">
        <v>17.512075599999999</v>
      </c>
      <c r="AB163" s="17">
        <v>17.519592599999999</v>
      </c>
      <c r="AC163" s="17">
        <v>18.429042599999999</v>
      </c>
      <c r="AD163" s="17">
        <v>18.491884199999998</v>
      </c>
      <c r="AE163" s="18">
        <v>19.279158900000002</v>
      </c>
    </row>
    <row r="164" spans="2:31" ht="15" thickBot="1" x14ac:dyDescent="0.35">
      <c r="B164" s="25"/>
      <c r="C164" s="26" t="s">
        <v>105</v>
      </c>
      <c r="D164" s="26"/>
      <c r="E164" s="26"/>
      <c r="F164" s="19">
        <v>434.32240974999996</v>
      </c>
      <c r="G164" s="19">
        <v>444.91288428000007</v>
      </c>
      <c r="H164" s="19">
        <v>457.30228111000002</v>
      </c>
      <c r="I164" s="19">
        <v>482.87365535999999</v>
      </c>
      <c r="J164" s="19">
        <v>505.96231845000005</v>
      </c>
      <c r="K164" s="19">
        <v>503.36006974000003</v>
      </c>
      <c r="L164" s="19">
        <v>500.41308993999991</v>
      </c>
      <c r="M164" s="19">
        <v>526.974379</v>
      </c>
      <c r="N164" s="19">
        <v>542.67218639999987</v>
      </c>
      <c r="O164" s="19">
        <v>549.04021930999988</v>
      </c>
      <c r="P164" s="19">
        <v>478.33029760999995</v>
      </c>
      <c r="Q164" s="19">
        <v>540.5254619000001</v>
      </c>
      <c r="R164" s="19">
        <v>575.51260560000014</v>
      </c>
      <c r="S164" s="19">
        <v>585.53406290000009</v>
      </c>
      <c r="T164" s="19">
        <v>588.10486969999999</v>
      </c>
      <c r="U164" s="19">
        <v>613.02539960000001</v>
      </c>
      <c r="V164" s="19">
        <v>614.88702749999982</v>
      </c>
      <c r="W164" s="19">
        <v>641.94525549999992</v>
      </c>
      <c r="X164" s="19">
        <v>647.35351040000012</v>
      </c>
      <c r="Y164" s="19">
        <v>669.60017379999999</v>
      </c>
      <c r="Z164" s="19">
        <v>674.21940359999974</v>
      </c>
      <c r="AA164" s="19">
        <v>700.84406810000007</v>
      </c>
      <c r="AB164" s="19">
        <v>707.66166609999993</v>
      </c>
      <c r="AC164" s="19">
        <v>732.67050710000012</v>
      </c>
      <c r="AD164" s="19">
        <v>740.36476369999991</v>
      </c>
      <c r="AE164" s="20">
        <v>762.10224839999989</v>
      </c>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2AE69-92EB-46A5-BD4C-C8F41BD378FE}">
  <dimension ref="C1:BG128"/>
  <sheetViews>
    <sheetView topLeftCell="F1" zoomScale="85" zoomScaleNormal="85" workbookViewId="0">
      <selection activeCell="H13" sqref="H13"/>
    </sheetView>
  </sheetViews>
  <sheetFormatPr baseColWidth="10" defaultColWidth="9.109375" defaultRowHeight="14.4" x14ac:dyDescent="0.3"/>
  <cols>
    <col min="3" max="3" width="14.21875" bestFit="1" customWidth="1"/>
    <col min="4" max="4" width="45.77734375" bestFit="1" customWidth="1"/>
    <col min="5" max="5" width="58.21875" customWidth="1"/>
    <col min="6" max="6" width="58.33203125" customWidth="1"/>
    <col min="7" max="14" width="9.77734375" bestFit="1" customWidth="1"/>
    <col min="15" max="32" width="10.77734375" bestFit="1" customWidth="1"/>
    <col min="33" max="33" width="11" bestFit="1" customWidth="1"/>
    <col min="34" max="34" width="17.21875" bestFit="1" customWidth="1"/>
  </cols>
  <sheetData>
    <row r="1" spans="3:32" ht="15" customHeight="1" x14ac:dyDescent="0.3"/>
    <row r="2" spans="3:32" ht="18.600000000000001" thickBot="1" x14ac:dyDescent="0.4">
      <c r="D2" s="33" t="s">
        <v>164</v>
      </c>
    </row>
    <row r="3" spans="3:32" ht="15" thickBot="1" x14ac:dyDescent="0.35">
      <c r="C3" s="6" t="s">
        <v>182</v>
      </c>
      <c r="D3" s="6" t="s">
        <v>0</v>
      </c>
      <c r="E3" s="6" t="s">
        <v>34</v>
      </c>
      <c r="F3" s="6" t="s">
        <v>35</v>
      </c>
      <c r="G3" s="6">
        <v>2010</v>
      </c>
      <c r="H3" s="6">
        <v>2011</v>
      </c>
      <c r="I3" s="6">
        <v>2012</v>
      </c>
      <c r="J3" s="6">
        <v>2013</v>
      </c>
      <c r="K3" s="6">
        <v>2014</v>
      </c>
      <c r="L3" s="6">
        <v>2015</v>
      </c>
      <c r="M3" s="6">
        <v>2016</v>
      </c>
      <c r="N3" s="6">
        <v>2017</v>
      </c>
      <c r="O3" s="6">
        <v>2018</v>
      </c>
      <c r="P3" s="6">
        <v>2019</v>
      </c>
      <c r="Q3" s="6">
        <v>2020</v>
      </c>
      <c r="R3" s="6">
        <v>2021</v>
      </c>
      <c r="S3" s="6">
        <v>2022</v>
      </c>
      <c r="T3" s="6">
        <v>2023</v>
      </c>
      <c r="U3" s="6">
        <v>2024</v>
      </c>
      <c r="V3" s="6">
        <v>2025</v>
      </c>
      <c r="W3" s="6">
        <v>2026</v>
      </c>
      <c r="X3" s="6">
        <v>2027</v>
      </c>
      <c r="Y3" s="6">
        <v>2028</v>
      </c>
      <c r="Z3" s="6">
        <v>2029</v>
      </c>
      <c r="AA3" s="6">
        <v>2030</v>
      </c>
      <c r="AB3" s="6">
        <v>2031</v>
      </c>
      <c r="AC3" s="6">
        <v>2032</v>
      </c>
      <c r="AD3" s="6">
        <v>2033</v>
      </c>
      <c r="AE3" s="6">
        <v>2034</v>
      </c>
      <c r="AF3" s="7">
        <v>2035</v>
      </c>
    </row>
    <row r="4" spans="3:32" x14ac:dyDescent="0.3">
      <c r="C4" s="30" t="s">
        <v>191</v>
      </c>
      <c r="D4" s="30" t="s">
        <v>1</v>
      </c>
      <c r="E4" s="30" t="s">
        <v>31</v>
      </c>
      <c r="F4" s="30" t="s">
        <v>32</v>
      </c>
      <c r="G4" s="17">
        <v>3.9746000000000001</v>
      </c>
      <c r="H4" s="17">
        <v>4.1714000000000002</v>
      </c>
      <c r="I4" s="17">
        <v>4.3802000000000003</v>
      </c>
      <c r="J4" s="17">
        <v>3.4462999999999999</v>
      </c>
      <c r="K4" s="17">
        <v>3.3754</v>
      </c>
      <c r="L4" s="17">
        <v>3.58934</v>
      </c>
      <c r="M4" s="17">
        <v>4.2882999999999996</v>
      </c>
      <c r="N4" s="17">
        <v>4.4116</v>
      </c>
      <c r="O4" s="17">
        <v>4.3333000000000004</v>
      </c>
      <c r="P4" s="17">
        <v>4.3068</v>
      </c>
      <c r="Q4" s="17">
        <v>4.1492000000000004</v>
      </c>
      <c r="R4" s="17">
        <v>4.4675000000000002</v>
      </c>
      <c r="S4" s="17">
        <v>4.4958999999999998</v>
      </c>
      <c r="T4" s="17">
        <v>4.4958999999999998</v>
      </c>
      <c r="U4" s="17">
        <v>4.4958999999999998</v>
      </c>
      <c r="V4" s="17">
        <v>4.4958999999999998</v>
      </c>
      <c r="W4" s="17">
        <v>4.4958999999999998</v>
      </c>
      <c r="X4" s="17">
        <v>4.4958999999999998</v>
      </c>
      <c r="Y4" s="17">
        <v>4.4958999999999998</v>
      </c>
      <c r="Z4" s="17">
        <v>4.4958999999999998</v>
      </c>
      <c r="AA4" s="17">
        <v>4.4958999999999998</v>
      </c>
      <c r="AB4" s="17">
        <v>4.4958999999999998</v>
      </c>
      <c r="AC4" s="17">
        <v>4.4958999999999998</v>
      </c>
      <c r="AD4" s="17">
        <v>4.4958999999999998</v>
      </c>
      <c r="AE4" s="17">
        <v>4.4958999999999998</v>
      </c>
      <c r="AF4" s="18">
        <v>4.4958999999999998</v>
      </c>
    </row>
    <row r="5" spans="3:32" x14ac:dyDescent="0.3">
      <c r="C5" s="30" t="s">
        <v>191</v>
      </c>
      <c r="D5" s="30" t="s">
        <v>1</v>
      </c>
      <c r="E5" s="30" t="s">
        <v>31</v>
      </c>
      <c r="F5" s="30" t="s">
        <v>5</v>
      </c>
      <c r="G5" s="17">
        <v>3.8123999999999998</v>
      </c>
      <c r="H5" s="17">
        <v>3.6374</v>
      </c>
      <c r="I5" s="17">
        <v>4.2015000000000002</v>
      </c>
      <c r="J5" s="17">
        <v>5.5033000000000003</v>
      </c>
      <c r="K5" s="17">
        <v>5.3901000000000003</v>
      </c>
      <c r="L5" s="17">
        <v>5.2979799999999999</v>
      </c>
      <c r="M5" s="17">
        <v>6.8502000000000001</v>
      </c>
      <c r="N5" s="17">
        <v>6.9471999999999996</v>
      </c>
      <c r="O5" s="17">
        <v>7.5909000000000004</v>
      </c>
      <c r="P5" s="17">
        <v>8.1118000000000006</v>
      </c>
      <c r="Q5" s="17">
        <v>7.4466999999999999</v>
      </c>
      <c r="R5" s="17">
        <v>8.2340999999999998</v>
      </c>
      <c r="S5" s="17">
        <v>8.2629999999999999</v>
      </c>
      <c r="T5" s="17">
        <v>8.2629999999999999</v>
      </c>
      <c r="U5" s="17">
        <v>8.2629999999999999</v>
      </c>
      <c r="V5" s="17">
        <v>8.2629999999999999</v>
      </c>
      <c r="W5" s="17">
        <v>8.2629999999999999</v>
      </c>
      <c r="X5" s="17">
        <v>8.2629999999999999</v>
      </c>
      <c r="Y5" s="17">
        <v>8.2629999999999999</v>
      </c>
      <c r="Z5" s="17">
        <v>8.2629999999999999</v>
      </c>
      <c r="AA5" s="17">
        <v>8.2629999999999999</v>
      </c>
      <c r="AB5" s="17">
        <v>8.2629999999999999</v>
      </c>
      <c r="AC5" s="17">
        <v>8.2629999999999999</v>
      </c>
      <c r="AD5" s="17">
        <v>8.2629999999999999</v>
      </c>
      <c r="AE5" s="17">
        <v>8.2629999999999999</v>
      </c>
      <c r="AF5" s="18">
        <v>8.2629999999999999</v>
      </c>
    </row>
    <row r="6" spans="3:32" x14ac:dyDescent="0.3">
      <c r="C6" s="30" t="s">
        <v>191</v>
      </c>
      <c r="D6" s="30" t="s">
        <v>1</v>
      </c>
      <c r="E6" s="30" t="s">
        <v>31</v>
      </c>
      <c r="F6" s="30" t="s">
        <v>15</v>
      </c>
      <c r="G6" s="17">
        <v>0.68869999999999998</v>
      </c>
      <c r="H6" s="17">
        <v>0.7228</v>
      </c>
      <c r="I6" s="17">
        <v>0.75890000000000002</v>
      </c>
      <c r="J6" s="17">
        <v>0.91479999999999995</v>
      </c>
      <c r="K6" s="17">
        <v>0.89600000000000002</v>
      </c>
      <c r="L6" s="17">
        <v>0.9556</v>
      </c>
      <c r="M6" s="17">
        <v>0.98429999999999995</v>
      </c>
      <c r="N6" s="17">
        <v>0.92549999999999999</v>
      </c>
      <c r="O6" s="17">
        <v>0.80259999999999998</v>
      </c>
      <c r="P6" s="17">
        <v>0.75849999999999995</v>
      </c>
      <c r="Q6" s="17">
        <v>0.8165</v>
      </c>
      <c r="R6" s="17">
        <v>1.0109999999999999</v>
      </c>
      <c r="S6" s="17">
        <v>1.0508999999999999</v>
      </c>
      <c r="T6" s="17">
        <v>1.0508999999999999</v>
      </c>
      <c r="U6" s="17">
        <v>1.0508999999999999</v>
      </c>
      <c r="V6" s="17">
        <v>1.0508999999999999</v>
      </c>
      <c r="W6" s="17">
        <v>1.0508999999999999</v>
      </c>
      <c r="X6" s="17">
        <v>1.0508999999999999</v>
      </c>
      <c r="Y6" s="17">
        <v>1.0508999999999999</v>
      </c>
      <c r="Z6" s="17">
        <v>1.0508999999999999</v>
      </c>
      <c r="AA6" s="17">
        <v>1.0508999999999999</v>
      </c>
      <c r="AB6" s="17">
        <v>1.0508999999999999</v>
      </c>
      <c r="AC6" s="17">
        <v>1.0508999999999999</v>
      </c>
      <c r="AD6" s="17">
        <v>1.0508999999999999</v>
      </c>
      <c r="AE6" s="17">
        <v>1.0508999999999999</v>
      </c>
      <c r="AF6" s="18">
        <v>1.0508999999999999</v>
      </c>
    </row>
    <row r="7" spans="3:32" x14ac:dyDescent="0.3">
      <c r="C7" s="30" t="s">
        <v>191</v>
      </c>
      <c r="D7" s="30" t="s">
        <v>1</v>
      </c>
      <c r="E7" s="30" t="s">
        <v>31</v>
      </c>
      <c r="F7" s="30" t="s">
        <v>29</v>
      </c>
      <c r="G7" s="17">
        <v>1.728</v>
      </c>
      <c r="H7" s="17">
        <v>1.9096</v>
      </c>
      <c r="I7" s="17">
        <v>1.8385</v>
      </c>
      <c r="J7" s="17">
        <v>1.9419</v>
      </c>
      <c r="K7" s="17">
        <v>1.9748000000000001</v>
      </c>
      <c r="L7" s="17">
        <v>2.6469</v>
      </c>
      <c r="M7" s="17">
        <v>2.7715999999999998</v>
      </c>
      <c r="N7" s="17">
        <v>4.0975000000000001</v>
      </c>
      <c r="O7" s="17">
        <v>5.1963999999999997</v>
      </c>
      <c r="P7" s="17">
        <v>6.3392999999999997</v>
      </c>
      <c r="Q7" s="17">
        <v>6.0151000000000003</v>
      </c>
      <c r="R7" s="17">
        <v>6.7843999999999998</v>
      </c>
      <c r="S7" s="17">
        <v>6.4684999999999997</v>
      </c>
      <c r="T7" s="17">
        <v>6.4684999999999997</v>
      </c>
      <c r="U7" s="17">
        <v>6.4684999999999997</v>
      </c>
      <c r="V7" s="17">
        <v>6.4684999999999997</v>
      </c>
      <c r="W7" s="17">
        <v>6.4684999999999997</v>
      </c>
      <c r="X7" s="17">
        <v>6.4684999999999997</v>
      </c>
      <c r="Y7" s="17">
        <v>6.4684999999999997</v>
      </c>
      <c r="Z7" s="17">
        <v>6.4684999999999997</v>
      </c>
      <c r="AA7" s="17">
        <v>6.4684999999999997</v>
      </c>
      <c r="AB7" s="17">
        <v>6.4684999999999997</v>
      </c>
      <c r="AC7" s="17">
        <v>6.4684999999999997</v>
      </c>
      <c r="AD7" s="17">
        <v>6.4684999999999997</v>
      </c>
      <c r="AE7" s="17">
        <v>6.4684999999999997</v>
      </c>
      <c r="AF7" s="18">
        <v>6.4684999999999997</v>
      </c>
    </row>
    <row r="8" spans="3:32" x14ac:dyDescent="0.3">
      <c r="C8" s="30" t="s">
        <v>191</v>
      </c>
      <c r="D8" s="30" t="s">
        <v>1</v>
      </c>
      <c r="E8" s="30" t="s">
        <v>137</v>
      </c>
      <c r="F8" s="30"/>
      <c r="G8" s="17">
        <f>SUM(G4:G7)</f>
        <v>10.2037</v>
      </c>
      <c r="H8" s="17">
        <f t="shared" ref="H8:AF8" si="0">SUM(H4:H7)</f>
        <v>10.441199999999998</v>
      </c>
      <c r="I8" s="17">
        <f t="shared" si="0"/>
        <v>11.179100000000002</v>
      </c>
      <c r="J8" s="17">
        <f t="shared" si="0"/>
        <v>11.8063</v>
      </c>
      <c r="K8" s="17">
        <f t="shared" si="0"/>
        <v>11.6363</v>
      </c>
      <c r="L8" s="17">
        <f t="shared" si="0"/>
        <v>12.48982</v>
      </c>
      <c r="M8" s="17">
        <f t="shared" si="0"/>
        <v>14.894399999999999</v>
      </c>
      <c r="N8" s="17">
        <f t="shared" si="0"/>
        <v>16.381799999999998</v>
      </c>
      <c r="O8" s="17">
        <f t="shared" si="0"/>
        <v>17.923200000000001</v>
      </c>
      <c r="P8" s="17">
        <f t="shared" si="0"/>
        <v>19.516400000000001</v>
      </c>
      <c r="Q8" s="17">
        <f t="shared" si="0"/>
        <v>18.427500000000002</v>
      </c>
      <c r="R8" s="17">
        <f t="shared" si="0"/>
        <v>20.497</v>
      </c>
      <c r="S8" s="17">
        <f t="shared" si="0"/>
        <v>20.278300000000002</v>
      </c>
      <c r="T8" s="17">
        <f t="shared" si="0"/>
        <v>20.278300000000002</v>
      </c>
      <c r="U8" s="17">
        <f t="shared" si="0"/>
        <v>20.278300000000002</v>
      </c>
      <c r="V8" s="17">
        <f t="shared" si="0"/>
        <v>20.278300000000002</v>
      </c>
      <c r="W8" s="17">
        <f t="shared" si="0"/>
        <v>20.278300000000002</v>
      </c>
      <c r="X8" s="17">
        <f t="shared" si="0"/>
        <v>20.278300000000002</v>
      </c>
      <c r="Y8" s="17">
        <f t="shared" si="0"/>
        <v>20.278300000000002</v>
      </c>
      <c r="Z8" s="17">
        <f t="shared" si="0"/>
        <v>20.278300000000002</v>
      </c>
      <c r="AA8" s="17">
        <f t="shared" si="0"/>
        <v>20.278300000000002</v>
      </c>
      <c r="AB8" s="17">
        <f t="shared" si="0"/>
        <v>20.278300000000002</v>
      </c>
      <c r="AC8" s="17">
        <f t="shared" si="0"/>
        <v>20.278300000000002</v>
      </c>
      <c r="AD8" s="17">
        <f t="shared" si="0"/>
        <v>20.278300000000002</v>
      </c>
      <c r="AE8" s="17">
        <f t="shared" si="0"/>
        <v>20.278300000000002</v>
      </c>
      <c r="AF8" s="18">
        <f t="shared" si="0"/>
        <v>20.278300000000002</v>
      </c>
    </row>
    <row r="9" spans="3:32" x14ac:dyDescent="0.3">
      <c r="C9" s="30" t="s">
        <v>191</v>
      </c>
      <c r="D9" s="30" t="s">
        <v>1</v>
      </c>
      <c r="E9" s="30" t="s">
        <v>28</v>
      </c>
      <c r="F9" s="30" t="s">
        <v>5</v>
      </c>
      <c r="G9" s="17">
        <v>1.3723000000000001</v>
      </c>
      <c r="H9" s="17">
        <v>0.83160000000000001</v>
      </c>
      <c r="I9" s="17">
        <v>0.84089999999999998</v>
      </c>
      <c r="J9" s="17">
        <v>1.3137000000000001</v>
      </c>
      <c r="K9" s="17">
        <v>1.3821000000000001</v>
      </c>
      <c r="L9" s="17">
        <v>1.3221000000000001</v>
      </c>
      <c r="M9" s="17">
        <v>0.66090000000000004</v>
      </c>
      <c r="N9" s="17">
        <v>0.2359</v>
      </c>
      <c r="O9" s="17">
        <v>0.43719999999999998</v>
      </c>
      <c r="P9" s="17">
        <v>0.41760000000000003</v>
      </c>
      <c r="Q9" s="17">
        <v>0.20569999999999999</v>
      </c>
      <c r="R9" s="17">
        <v>0.22159999999999999</v>
      </c>
      <c r="S9" s="17">
        <v>0.46410000000000001</v>
      </c>
      <c r="T9" s="17">
        <v>0.46410000000000001</v>
      </c>
      <c r="U9" s="17">
        <v>0.46410000000000001</v>
      </c>
      <c r="V9" s="17">
        <v>0.46410000000000001</v>
      </c>
      <c r="W9" s="17">
        <v>0.46410000000000001</v>
      </c>
      <c r="X9" s="17">
        <v>0.46410000000000001</v>
      </c>
      <c r="Y9" s="17">
        <v>0.46410000000000001</v>
      </c>
      <c r="Z9" s="17">
        <v>0.46410000000000001</v>
      </c>
      <c r="AA9" s="17">
        <v>0.46410000000000001</v>
      </c>
      <c r="AB9" s="17">
        <v>0.46410000000000001</v>
      </c>
      <c r="AC9" s="17">
        <v>0.46410000000000001</v>
      </c>
      <c r="AD9" s="17">
        <v>0.46410000000000001</v>
      </c>
      <c r="AE9" s="17">
        <v>0.46410000000000001</v>
      </c>
      <c r="AF9" s="18">
        <v>0.46410000000000001</v>
      </c>
    </row>
    <row r="10" spans="3:32" x14ac:dyDescent="0.3">
      <c r="C10" s="30" t="s">
        <v>191</v>
      </c>
      <c r="D10" s="30" t="s">
        <v>1</v>
      </c>
      <c r="E10" s="30" t="s">
        <v>28</v>
      </c>
      <c r="F10" s="30" t="s">
        <v>30</v>
      </c>
      <c r="G10" s="17">
        <v>0</v>
      </c>
      <c r="H10" s="17">
        <v>0</v>
      </c>
      <c r="I10" s="17">
        <v>0</v>
      </c>
      <c r="J10" s="17">
        <v>0</v>
      </c>
      <c r="K10" s="17">
        <v>2.0000000000000001E-4</v>
      </c>
      <c r="L10" s="17">
        <v>2.5100000000000001E-2</v>
      </c>
      <c r="M10" s="17">
        <v>2.35E-2</v>
      </c>
      <c r="N10" s="17">
        <v>2.46E-2</v>
      </c>
      <c r="O10" s="17">
        <v>2.5999999999999999E-2</v>
      </c>
      <c r="P10" s="17">
        <v>2.1999999999999999E-2</v>
      </c>
      <c r="Q10" s="17">
        <v>2.1600000000000001E-2</v>
      </c>
      <c r="R10" s="17">
        <v>7.7000000000000002E-3</v>
      </c>
      <c r="S10" s="17">
        <v>1.0699999999999999E-2</v>
      </c>
      <c r="T10" s="17">
        <v>9.7000000000000003E-3</v>
      </c>
      <c r="U10" s="17">
        <v>9.7000000000000003E-3</v>
      </c>
      <c r="V10" s="17">
        <v>9.7000000000000003E-3</v>
      </c>
      <c r="W10" s="17">
        <v>9.7000000000000003E-3</v>
      </c>
      <c r="X10" s="17">
        <v>9.7000000000000003E-3</v>
      </c>
      <c r="Y10" s="17">
        <v>9.7000000000000003E-3</v>
      </c>
      <c r="Z10" s="17">
        <v>9.7000000000000003E-3</v>
      </c>
      <c r="AA10" s="17">
        <v>9.7000000000000003E-3</v>
      </c>
      <c r="AB10" s="17">
        <v>9.7000000000000003E-3</v>
      </c>
      <c r="AC10" s="17">
        <v>9.7000000000000003E-3</v>
      </c>
      <c r="AD10" s="17">
        <v>9.7000000000000003E-3</v>
      </c>
      <c r="AE10" s="17">
        <v>9.7000000000000003E-3</v>
      </c>
      <c r="AF10" s="18">
        <v>9.7000000000000003E-3</v>
      </c>
    </row>
    <row r="11" spans="3:32" x14ac:dyDescent="0.3">
      <c r="C11" s="30" t="s">
        <v>191</v>
      </c>
      <c r="D11" s="30" t="s">
        <v>1</v>
      </c>
      <c r="E11" s="30" t="s">
        <v>28</v>
      </c>
      <c r="F11" s="30" t="s">
        <v>4</v>
      </c>
      <c r="G11" s="17">
        <v>2.1095000000000002</v>
      </c>
      <c r="H11" s="17">
        <v>1.2783</v>
      </c>
      <c r="I11" s="17">
        <v>1.2926</v>
      </c>
      <c r="J11" s="17">
        <v>0.98750000000000004</v>
      </c>
      <c r="K11" s="17">
        <v>1.0388999999999999</v>
      </c>
      <c r="L11" s="17">
        <v>0.99380000000000002</v>
      </c>
      <c r="M11" s="17">
        <v>0.8034</v>
      </c>
      <c r="N11" s="17">
        <v>0.20580000000000001</v>
      </c>
      <c r="O11" s="17">
        <v>0.18870000000000001</v>
      </c>
      <c r="P11" s="17">
        <v>2.2100000000000002E-2</v>
      </c>
      <c r="Q11" s="17">
        <v>8.8800000000000004E-2</v>
      </c>
      <c r="R11" s="17">
        <v>7.8899999999999998E-2</v>
      </c>
      <c r="S11" s="17">
        <v>0.21729999999999999</v>
      </c>
      <c r="T11" s="17">
        <v>0.21729999999999999</v>
      </c>
      <c r="U11" s="17">
        <v>0.21729999999999999</v>
      </c>
      <c r="V11" s="17">
        <v>0.21729999999999999</v>
      </c>
      <c r="W11" s="17">
        <v>0.21729999999999999</v>
      </c>
      <c r="X11" s="17">
        <v>0.21729999999999999</v>
      </c>
      <c r="Y11" s="17">
        <v>0.21729999999999999</v>
      </c>
      <c r="Z11" s="17">
        <v>0.21729999999999999</v>
      </c>
      <c r="AA11" s="17">
        <v>0.21729999999999999</v>
      </c>
      <c r="AB11" s="17">
        <v>0.21729999999999999</v>
      </c>
      <c r="AC11" s="17">
        <v>0.21729999999999999</v>
      </c>
      <c r="AD11" s="17">
        <v>0.21729999999999999</v>
      </c>
      <c r="AE11" s="17">
        <v>0.21729999999999999</v>
      </c>
      <c r="AF11" s="18">
        <v>0.20699999999999999</v>
      </c>
    </row>
    <row r="12" spans="3:32" x14ac:dyDescent="0.3">
      <c r="C12" s="30" t="s">
        <v>191</v>
      </c>
      <c r="D12" s="30" t="s">
        <v>1</v>
      </c>
      <c r="E12" s="30" t="s">
        <v>28</v>
      </c>
      <c r="F12" s="30" t="s">
        <v>29</v>
      </c>
      <c r="G12" s="17">
        <v>2.2494999999999998</v>
      </c>
      <c r="H12" s="17">
        <v>2.7321</v>
      </c>
      <c r="I12" s="17">
        <v>2.71563</v>
      </c>
      <c r="J12" s="17">
        <v>2.2115999999999998</v>
      </c>
      <c r="K12" s="17">
        <v>2.4182999999999999</v>
      </c>
      <c r="L12" s="17">
        <v>2.4150999999999998</v>
      </c>
      <c r="M12" s="17">
        <v>2.2763</v>
      </c>
      <c r="N12" s="17">
        <v>2.3721000000000001</v>
      </c>
      <c r="O12" s="17">
        <v>2.2898999999999998</v>
      </c>
      <c r="P12" s="17">
        <v>2.1888999999999998</v>
      </c>
      <c r="Q12" s="17">
        <v>2.0783</v>
      </c>
      <c r="R12" s="17">
        <v>2.2496</v>
      </c>
      <c r="S12" s="17">
        <v>2.3001999999999998</v>
      </c>
      <c r="T12" s="17">
        <v>2.3001999999999998</v>
      </c>
      <c r="U12" s="17">
        <v>2.3001999999999998</v>
      </c>
      <c r="V12" s="17">
        <v>2.3001999999999998</v>
      </c>
      <c r="W12" s="17">
        <v>2.3001999999999998</v>
      </c>
      <c r="X12" s="17">
        <v>2.3001999999999998</v>
      </c>
      <c r="Y12" s="17">
        <v>2.3001999999999998</v>
      </c>
      <c r="Z12" s="17">
        <v>2.3001999999999998</v>
      </c>
      <c r="AA12" s="17">
        <v>2.3001999999999998</v>
      </c>
      <c r="AB12" s="17">
        <v>2.3001999999999998</v>
      </c>
      <c r="AC12" s="17">
        <v>2.3001999999999998</v>
      </c>
      <c r="AD12" s="17">
        <v>2.3001999999999998</v>
      </c>
      <c r="AE12" s="17">
        <v>2.3001999999999998</v>
      </c>
      <c r="AF12" s="18">
        <v>2.3001999999999998</v>
      </c>
    </row>
    <row r="13" spans="3:32" x14ac:dyDescent="0.3">
      <c r="C13" s="30" t="s">
        <v>191</v>
      </c>
      <c r="D13" s="30" t="s">
        <v>1</v>
      </c>
      <c r="E13" s="30" t="s">
        <v>28</v>
      </c>
      <c r="F13" s="30" t="s">
        <v>26</v>
      </c>
      <c r="G13" s="17">
        <v>0</v>
      </c>
      <c r="H13" s="17">
        <v>2.0000000000000001E-4</v>
      </c>
      <c r="I13" s="17">
        <v>1.1999999999999999E-3</v>
      </c>
      <c r="J13" s="17">
        <v>2.2000000000000001E-3</v>
      </c>
      <c r="K13" s="17">
        <v>7.0000000000000001E-3</v>
      </c>
      <c r="L13" s="17">
        <v>1.09E-2</v>
      </c>
      <c r="M13" s="17">
        <v>1.17E-2</v>
      </c>
      <c r="N13" s="17">
        <v>1.2800000000000001E-2</v>
      </c>
      <c r="O13" s="17">
        <v>1.2E-2</v>
      </c>
      <c r="P13" s="17">
        <v>1.6299999999999999E-2</v>
      </c>
      <c r="Q13" s="17">
        <v>1.44E-2</v>
      </c>
      <c r="R13" s="17">
        <v>1.2500000000000001E-2</v>
      </c>
      <c r="S13" s="17">
        <v>1.9E-2</v>
      </c>
      <c r="T13" s="17">
        <v>1.9E-2</v>
      </c>
      <c r="U13" s="17">
        <v>1.9E-2</v>
      </c>
      <c r="V13" s="17">
        <v>1.9E-2</v>
      </c>
      <c r="W13" s="17">
        <v>1.9E-2</v>
      </c>
      <c r="X13" s="17">
        <v>1.9E-2</v>
      </c>
      <c r="Y13" s="17">
        <v>1.9E-2</v>
      </c>
      <c r="Z13" s="17">
        <v>1.9E-2</v>
      </c>
      <c r="AA13" s="17">
        <v>1.9E-2</v>
      </c>
      <c r="AB13" s="17">
        <v>1.9E-2</v>
      </c>
      <c r="AC13" s="17">
        <v>1.9E-2</v>
      </c>
      <c r="AD13" s="17">
        <v>1.9E-2</v>
      </c>
      <c r="AE13" s="17">
        <v>1.9E-2</v>
      </c>
      <c r="AF13" s="18">
        <v>1.9E-2</v>
      </c>
    </row>
    <row r="14" spans="3:32" x14ac:dyDescent="0.3">
      <c r="C14" s="30" t="s">
        <v>191</v>
      </c>
      <c r="D14" s="30" t="s">
        <v>1</v>
      </c>
      <c r="E14" s="30" t="s">
        <v>138</v>
      </c>
      <c r="F14" s="30"/>
      <c r="G14" s="17">
        <f>SUM(G9:G13)</f>
        <v>5.7313000000000001</v>
      </c>
      <c r="H14" s="17">
        <f t="shared" ref="H14:AF14" si="1">SUM(H9:H13)</f>
        <v>4.8422000000000009</v>
      </c>
      <c r="I14" s="17">
        <f t="shared" si="1"/>
        <v>4.8503299999999996</v>
      </c>
      <c r="J14" s="17">
        <f t="shared" si="1"/>
        <v>4.5150000000000006</v>
      </c>
      <c r="K14" s="17">
        <f t="shared" si="1"/>
        <v>4.8464999999999989</v>
      </c>
      <c r="L14" s="17">
        <f t="shared" si="1"/>
        <v>4.7670000000000003</v>
      </c>
      <c r="M14" s="17">
        <f t="shared" si="1"/>
        <v>3.7757999999999998</v>
      </c>
      <c r="N14" s="17">
        <f t="shared" si="1"/>
        <v>2.8512</v>
      </c>
      <c r="O14" s="17">
        <f t="shared" si="1"/>
        <v>2.9537999999999998</v>
      </c>
      <c r="P14" s="17">
        <f t="shared" si="1"/>
        <v>2.6669</v>
      </c>
      <c r="Q14" s="17">
        <f t="shared" si="1"/>
        <v>2.4088000000000003</v>
      </c>
      <c r="R14" s="17">
        <f t="shared" si="1"/>
        <v>2.5703000000000005</v>
      </c>
      <c r="S14" s="17">
        <f t="shared" si="1"/>
        <v>3.0112999999999999</v>
      </c>
      <c r="T14" s="17">
        <f t="shared" si="1"/>
        <v>3.0103</v>
      </c>
      <c r="U14" s="17">
        <f t="shared" si="1"/>
        <v>3.0103</v>
      </c>
      <c r="V14" s="17">
        <f t="shared" si="1"/>
        <v>3.0103</v>
      </c>
      <c r="W14" s="17">
        <f t="shared" si="1"/>
        <v>3.0103</v>
      </c>
      <c r="X14" s="17">
        <f t="shared" si="1"/>
        <v>3.0103</v>
      </c>
      <c r="Y14" s="17">
        <f t="shared" si="1"/>
        <v>3.0103</v>
      </c>
      <c r="Z14" s="17">
        <f t="shared" si="1"/>
        <v>3.0103</v>
      </c>
      <c r="AA14" s="17">
        <f t="shared" si="1"/>
        <v>3.0103</v>
      </c>
      <c r="AB14" s="17">
        <f t="shared" si="1"/>
        <v>3.0103</v>
      </c>
      <c r="AC14" s="17">
        <f t="shared" si="1"/>
        <v>3.0103</v>
      </c>
      <c r="AD14" s="17">
        <f t="shared" si="1"/>
        <v>3.0103</v>
      </c>
      <c r="AE14" s="17">
        <f t="shared" si="1"/>
        <v>3.0103</v>
      </c>
      <c r="AF14" s="18">
        <f t="shared" si="1"/>
        <v>3</v>
      </c>
    </row>
    <row r="15" spans="3:32" x14ac:dyDescent="0.3">
      <c r="C15" s="30" t="s">
        <v>191</v>
      </c>
      <c r="D15" s="30" t="s">
        <v>1</v>
      </c>
      <c r="E15" s="30" t="s">
        <v>24</v>
      </c>
      <c r="F15" s="30" t="s">
        <v>5</v>
      </c>
      <c r="G15" s="17">
        <v>2.1141999999999999</v>
      </c>
      <c r="H15" s="17">
        <v>1.6572</v>
      </c>
      <c r="I15" s="17">
        <v>1.8455999999999999</v>
      </c>
      <c r="J15" s="17">
        <v>3.7858999999999998</v>
      </c>
      <c r="K15" s="17">
        <v>4.0774999999999997</v>
      </c>
      <c r="L15" s="17">
        <v>3.7320000000000002</v>
      </c>
      <c r="M15" s="17">
        <v>2.8694199999999999</v>
      </c>
      <c r="N15" s="17">
        <v>0.114096</v>
      </c>
      <c r="O15" s="17">
        <v>0.26740599999999998</v>
      </c>
      <c r="P15" s="17">
        <v>0.64266100000000004</v>
      </c>
      <c r="Q15" s="17">
        <v>0.74351500000000004</v>
      </c>
      <c r="R15" s="17">
        <v>9.2768799999999998E-2</v>
      </c>
      <c r="S15" s="17">
        <v>0.44201600000000002</v>
      </c>
      <c r="T15" s="17">
        <v>0.44201600000000002</v>
      </c>
      <c r="U15" s="17">
        <v>0.44201600000000002</v>
      </c>
      <c r="V15" s="17">
        <v>0.44201600000000002</v>
      </c>
      <c r="W15" s="17">
        <v>0.44201600000000002</v>
      </c>
      <c r="X15" s="17">
        <v>0.44201600000000002</v>
      </c>
      <c r="Y15" s="17">
        <v>0.44201600000000002</v>
      </c>
      <c r="Z15" s="17">
        <v>0.44201600000000002</v>
      </c>
      <c r="AA15" s="17">
        <v>0.44201600000000002</v>
      </c>
      <c r="AB15" s="17">
        <v>0.44201600000000002</v>
      </c>
      <c r="AC15" s="17">
        <v>0.44201600000000002</v>
      </c>
      <c r="AD15" s="17">
        <v>0.44201600000000002</v>
      </c>
      <c r="AE15" s="17">
        <v>0.42009999999999997</v>
      </c>
      <c r="AF15" s="18">
        <v>0.42009999999999997</v>
      </c>
    </row>
    <row r="16" spans="3:32" x14ac:dyDescent="0.3">
      <c r="C16" s="30" t="s">
        <v>191</v>
      </c>
      <c r="D16" s="30" t="s">
        <v>1</v>
      </c>
      <c r="E16" s="30" t="s">
        <v>24</v>
      </c>
      <c r="F16" s="30" t="s">
        <v>27</v>
      </c>
      <c r="G16" s="17">
        <v>1.24E-2</v>
      </c>
      <c r="H16" s="17">
        <v>1.2E-2</v>
      </c>
      <c r="I16" s="17">
        <v>8.6E-3</v>
      </c>
      <c r="J16" s="17">
        <v>0.2041</v>
      </c>
      <c r="K16" s="17">
        <v>0.28689999999999999</v>
      </c>
      <c r="L16" s="17">
        <v>0.33289999999999997</v>
      </c>
      <c r="M16" s="17">
        <v>0.28089999999999998</v>
      </c>
      <c r="N16" s="17">
        <v>0.2419</v>
      </c>
      <c r="O16" s="17">
        <v>0.26529999999999998</v>
      </c>
      <c r="P16" s="17">
        <v>0.28789999999999999</v>
      </c>
      <c r="Q16" s="17">
        <v>0.25790000000000002</v>
      </c>
      <c r="R16" s="17">
        <v>0.2162</v>
      </c>
      <c r="S16" s="17">
        <v>0.2084</v>
      </c>
      <c r="T16" s="17">
        <v>0.21879999999999999</v>
      </c>
      <c r="U16" s="17">
        <v>0.21879999999999999</v>
      </c>
      <c r="V16" s="17">
        <v>0.21879999999999999</v>
      </c>
      <c r="W16" s="17">
        <v>0.21879999999999999</v>
      </c>
      <c r="X16" s="17">
        <v>0.30559999999999998</v>
      </c>
      <c r="Y16" s="17">
        <v>0.39240000000000003</v>
      </c>
      <c r="Z16" s="17">
        <v>0.47920000000000001</v>
      </c>
      <c r="AA16" s="17">
        <v>0.56599999999999995</v>
      </c>
      <c r="AB16" s="17">
        <v>0.65280000000000005</v>
      </c>
      <c r="AC16" s="17">
        <v>0.73960000000000004</v>
      </c>
      <c r="AD16" s="17">
        <v>0.82640000000000002</v>
      </c>
      <c r="AE16" s="17">
        <v>0.91320000000000001</v>
      </c>
      <c r="AF16" s="18">
        <v>0.2084</v>
      </c>
    </row>
    <row r="17" spans="3:32" x14ac:dyDescent="0.3">
      <c r="C17" s="30" t="s">
        <v>191</v>
      </c>
      <c r="D17" s="30" t="s">
        <v>1</v>
      </c>
      <c r="E17" s="30" t="s">
        <v>24</v>
      </c>
      <c r="F17" s="30" t="s">
        <v>4</v>
      </c>
      <c r="G17" s="17">
        <v>18.665800000000001</v>
      </c>
      <c r="H17" s="17">
        <v>14.630599999999999</v>
      </c>
      <c r="I17" s="17">
        <v>16.294599999999999</v>
      </c>
      <c r="J17" s="17">
        <v>19.744399999999999</v>
      </c>
      <c r="K17" s="17">
        <v>21.2654</v>
      </c>
      <c r="L17" s="17">
        <v>19.463200000000001</v>
      </c>
      <c r="M17" s="17">
        <v>16.279</v>
      </c>
      <c r="N17" s="17">
        <v>14.400700000000001</v>
      </c>
      <c r="O17" s="17">
        <v>16.562899999999999</v>
      </c>
      <c r="P17" s="17">
        <v>7.5076700000000001</v>
      </c>
      <c r="Q17" s="17">
        <v>9.0900700000000008</v>
      </c>
      <c r="R17" s="17">
        <v>10.6425</v>
      </c>
      <c r="S17" s="17">
        <v>16.156199999999998</v>
      </c>
      <c r="T17" s="17">
        <v>22.714200000000002</v>
      </c>
      <c r="U17" s="17">
        <v>26.206299999999999</v>
      </c>
      <c r="V17" s="17">
        <v>27.438500000000001</v>
      </c>
      <c r="W17" s="17">
        <v>22.574400000000001</v>
      </c>
      <c r="X17" s="17">
        <v>20.9284</v>
      </c>
      <c r="Y17" s="17">
        <v>21.7667</v>
      </c>
      <c r="Z17" s="17">
        <v>18.094899999999999</v>
      </c>
      <c r="AA17" s="17">
        <v>16.5745</v>
      </c>
      <c r="AB17" s="17">
        <v>15.297599999999999</v>
      </c>
      <c r="AC17" s="17">
        <v>12.979699999999999</v>
      </c>
      <c r="AD17" s="17">
        <v>10.210000000000001</v>
      </c>
      <c r="AE17" s="17">
        <v>9.0756999999999994</v>
      </c>
      <c r="AF17" s="18">
        <v>9</v>
      </c>
    </row>
    <row r="18" spans="3:32" x14ac:dyDescent="0.3">
      <c r="C18" s="30" t="s">
        <v>191</v>
      </c>
      <c r="D18" s="30" t="s">
        <v>1</v>
      </c>
      <c r="E18" s="30" t="s">
        <v>24</v>
      </c>
      <c r="F18" s="30" t="s">
        <v>15</v>
      </c>
      <c r="G18" s="17">
        <v>5.3754</v>
      </c>
      <c r="H18" s="17">
        <v>4.3733899999999997</v>
      </c>
      <c r="I18" s="17">
        <v>4.4791999999999996</v>
      </c>
      <c r="J18" s="17">
        <v>5.7645</v>
      </c>
      <c r="K18" s="17">
        <v>6.2085999999999997</v>
      </c>
      <c r="L18" s="17">
        <v>8.0546100000000003</v>
      </c>
      <c r="M18" s="17">
        <v>7.9401999999999999</v>
      </c>
      <c r="N18" s="17">
        <v>6.6891999999999996</v>
      </c>
      <c r="O18" s="17">
        <v>4.8591499999999996</v>
      </c>
      <c r="P18" s="17">
        <v>4.4285500000000004</v>
      </c>
      <c r="Q18" s="17">
        <v>3.6995</v>
      </c>
      <c r="R18" s="17">
        <v>3.1267</v>
      </c>
      <c r="S18" s="17">
        <v>2.9497</v>
      </c>
      <c r="T18" s="17">
        <v>2.9497</v>
      </c>
      <c r="U18" s="17">
        <v>2.9497</v>
      </c>
      <c r="V18" s="17">
        <v>2.9497</v>
      </c>
      <c r="W18" s="17">
        <v>2.9497</v>
      </c>
      <c r="X18" s="17">
        <v>2.9497</v>
      </c>
      <c r="Y18" s="17">
        <v>2.9497</v>
      </c>
      <c r="Z18" s="17">
        <v>2.9497</v>
      </c>
      <c r="AA18" s="17">
        <v>2.9497</v>
      </c>
      <c r="AB18" s="17">
        <v>2.9497</v>
      </c>
      <c r="AC18" s="17">
        <v>2.9497</v>
      </c>
      <c r="AD18" s="17">
        <v>2.9497</v>
      </c>
      <c r="AE18" s="17">
        <v>1.9664999999999999</v>
      </c>
      <c r="AF18" s="18">
        <v>1.9664999999999999</v>
      </c>
    </row>
    <row r="19" spans="3:32" x14ac:dyDescent="0.3">
      <c r="C19" s="30" t="s">
        <v>191</v>
      </c>
      <c r="D19" s="30" t="s">
        <v>1</v>
      </c>
      <c r="E19" s="30" t="s">
        <v>24</v>
      </c>
      <c r="F19" s="30" t="s">
        <v>139</v>
      </c>
      <c r="G19" s="17">
        <v>0</v>
      </c>
      <c r="H19" s="17">
        <v>0</v>
      </c>
      <c r="I19" s="17">
        <v>0</v>
      </c>
      <c r="J19" s="17">
        <v>0</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0.5</v>
      </c>
      <c r="AD19" s="17">
        <v>0.85</v>
      </c>
      <c r="AE19" s="17">
        <v>1.27</v>
      </c>
      <c r="AF19" s="18">
        <v>0.57782</v>
      </c>
    </row>
    <row r="20" spans="3:32" x14ac:dyDescent="0.3">
      <c r="C20" s="30" t="s">
        <v>191</v>
      </c>
      <c r="D20" s="30" t="s">
        <v>1</v>
      </c>
      <c r="E20" s="30" t="s">
        <v>24</v>
      </c>
      <c r="F20" s="30" t="s">
        <v>150</v>
      </c>
      <c r="G20" s="17">
        <v>15.256500000000001</v>
      </c>
      <c r="H20" s="17">
        <v>19.9255</v>
      </c>
      <c r="I20" s="17">
        <v>21.841999999999999</v>
      </c>
      <c r="J20" s="17">
        <v>18.273800000000001</v>
      </c>
      <c r="K20" s="17">
        <v>18.927700000000002</v>
      </c>
      <c r="L20" s="17">
        <v>21.771599999999999</v>
      </c>
      <c r="M20" s="17">
        <v>18.581600000000002</v>
      </c>
      <c r="N20" s="17">
        <v>16.6113</v>
      </c>
      <c r="O20" s="17">
        <v>17.6539</v>
      </c>
      <c r="P20" s="17">
        <v>20.191500000000001</v>
      </c>
      <c r="Q20" s="17">
        <v>18.715699999999998</v>
      </c>
      <c r="R20" s="17">
        <v>19.755299999999998</v>
      </c>
      <c r="S20" s="17">
        <v>18.542300000000001</v>
      </c>
      <c r="T20" s="17">
        <v>18.542300000000001</v>
      </c>
      <c r="U20" s="17">
        <v>18.542300000000001</v>
      </c>
      <c r="V20" s="17">
        <v>18.542300000000001</v>
      </c>
      <c r="W20" s="17">
        <v>18.542300000000001</v>
      </c>
      <c r="X20" s="17">
        <v>18.542300000000001</v>
      </c>
      <c r="Y20" s="17">
        <v>18.542300000000001</v>
      </c>
      <c r="Z20" s="17">
        <v>23.4648</v>
      </c>
      <c r="AA20" s="17">
        <v>28.3874</v>
      </c>
      <c r="AB20" s="17">
        <v>33.309899999999999</v>
      </c>
      <c r="AC20" s="17">
        <v>38.232399999999998</v>
      </c>
      <c r="AD20" s="17">
        <v>43.154899999999998</v>
      </c>
      <c r="AE20" s="17">
        <v>48.077500000000001</v>
      </c>
      <c r="AF20" s="18">
        <v>51.94</v>
      </c>
    </row>
    <row r="21" spans="3:32" x14ac:dyDescent="0.3">
      <c r="C21" s="30" t="s">
        <v>191</v>
      </c>
      <c r="D21" s="30" t="s">
        <v>1</v>
      </c>
      <c r="E21" s="30" t="s">
        <v>24</v>
      </c>
      <c r="F21" s="30" t="s">
        <v>140</v>
      </c>
      <c r="G21" s="17">
        <v>4.7373000000000003</v>
      </c>
      <c r="H21" s="17">
        <v>3.7984</v>
      </c>
      <c r="I21" s="17">
        <v>4.4413</v>
      </c>
      <c r="J21" s="17">
        <v>3.8422999999999998</v>
      </c>
      <c r="K21" s="17">
        <v>4.0652999999999997</v>
      </c>
      <c r="L21" s="17">
        <v>5.0350000000000001</v>
      </c>
      <c r="M21" s="17">
        <v>3.96</v>
      </c>
      <c r="N21" s="17">
        <v>3.6414</v>
      </c>
      <c r="O21" s="17">
        <v>3.3877000000000002</v>
      </c>
      <c r="P21" s="17">
        <v>3.9607000000000001</v>
      </c>
      <c r="Q21" s="17">
        <v>3.4447000000000001</v>
      </c>
      <c r="R21" s="17">
        <v>4.0126999999999997</v>
      </c>
      <c r="S21" s="17">
        <v>3.3065000000000002</v>
      </c>
      <c r="T21" s="17">
        <v>3.3065000000000002</v>
      </c>
      <c r="U21" s="17">
        <v>3.3065000000000002</v>
      </c>
      <c r="V21" s="17">
        <v>3.3065000000000002</v>
      </c>
      <c r="W21" s="17">
        <v>5.6951999999999998</v>
      </c>
      <c r="X21" s="17">
        <v>5.6951999999999998</v>
      </c>
      <c r="Y21" s="17">
        <v>5.6951999999999998</v>
      </c>
      <c r="Z21" s="17">
        <v>5.6951999999999998</v>
      </c>
      <c r="AA21" s="17">
        <v>5.6951999999999998</v>
      </c>
      <c r="AB21" s="17">
        <v>5.6951999999999998</v>
      </c>
      <c r="AC21" s="17">
        <v>5.6951999999999998</v>
      </c>
      <c r="AD21" s="17">
        <v>5.6951999999999998</v>
      </c>
      <c r="AE21" s="17">
        <v>5.6951999999999998</v>
      </c>
      <c r="AF21" s="18">
        <v>5.6951999999999998</v>
      </c>
    </row>
    <row r="22" spans="3:32" x14ac:dyDescent="0.3">
      <c r="C22" s="30" t="s">
        <v>191</v>
      </c>
      <c r="D22" s="30" t="s">
        <v>1</v>
      </c>
      <c r="E22" s="30" t="s">
        <v>24</v>
      </c>
      <c r="F22" s="30" t="s">
        <v>141</v>
      </c>
      <c r="G22" s="17">
        <v>0</v>
      </c>
      <c r="H22" s="17">
        <v>0</v>
      </c>
      <c r="I22" s="17">
        <v>0</v>
      </c>
      <c r="J22" s="17">
        <v>0</v>
      </c>
      <c r="K22" s="17">
        <v>0</v>
      </c>
      <c r="L22" s="17">
        <v>0</v>
      </c>
      <c r="M22" s="17">
        <v>0</v>
      </c>
      <c r="N22" s="17">
        <v>0</v>
      </c>
      <c r="O22" s="17">
        <v>0</v>
      </c>
      <c r="P22" s="17">
        <v>0</v>
      </c>
      <c r="Q22" s="17">
        <v>0</v>
      </c>
      <c r="R22" s="17">
        <v>0</v>
      </c>
      <c r="S22" s="17">
        <v>0</v>
      </c>
      <c r="T22" s="17">
        <v>0</v>
      </c>
      <c r="U22" s="17">
        <v>0</v>
      </c>
      <c r="V22" s="17">
        <v>0</v>
      </c>
      <c r="W22" s="17">
        <v>2.1700000000000001E-2</v>
      </c>
      <c r="X22" s="17">
        <v>4.3499999999999997E-2</v>
      </c>
      <c r="Y22" s="17">
        <v>6.5199999999999994E-2</v>
      </c>
      <c r="Z22" s="17">
        <v>6.5199999999999994E-2</v>
      </c>
      <c r="AA22" s="17">
        <v>6.5199999999999994E-2</v>
      </c>
      <c r="AB22" s="17">
        <v>6.5199999999999994E-2</v>
      </c>
      <c r="AC22" s="17">
        <v>6.5199999999999994E-2</v>
      </c>
      <c r="AD22" s="17">
        <v>6.5199999999999994E-2</v>
      </c>
      <c r="AE22" s="17">
        <v>6.5199999999999994E-2</v>
      </c>
      <c r="AF22" s="18">
        <v>6.5199999999999994E-2</v>
      </c>
    </row>
    <row r="23" spans="3:32" x14ac:dyDescent="0.3">
      <c r="C23" s="30" t="s">
        <v>191</v>
      </c>
      <c r="D23" s="30" t="s">
        <v>1</v>
      </c>
      <c r="E23" s="30" t="s">
        <v>24</v>
      </c>
      <c r="F23" s="30" t="s">
        <v>142</v>
      </c>
      <c r="G23" s="17">
        <v>2.6936</v>
      </c>
      <c r="H23" s="17">
        <v>3.5179</v>
      </c>
      <c r="I23" s="17">
        <v>3.9350000000000001</v>
      </c>
      <c r="J23" s="17">
        <v>4.0526999999999997</v>
      </c>
      <c r="K23" s="17">
        <v>4.1978</v>
      </c>
      <c r="L23" s="17">
        <v>4.8285</v>
      </c>
      <c r="M23" s="17">
        <v>4.9421999999999997</v>
      </c>
      <c r="N23" s="17">
        <v>4.5850999999999997</v>
      </c>
      <c r="O23" s="17">
        <v>3.9491999999999998</v>
      </c>
      <c r="P23" s="17">
        <v>5.1433999999999997</v>
      </c>
      <c r="Q23" s="17">
        <v>4.0086000000000004</v>
      </c>
      <c r="R23" s="17">
        <v>4.6410999999999998</v>
      </c>
      <c r="S23" s="17">
        <v>4.5457999999999998</v>
      </c>
      <c r="T23" s="17">
        <v>4.5457999999999998</v>
      </c>
      <c r="U23" s="17">
        <v>4.5457999999999998</v>
      </c>
      <c r="V23" s="17">
        <v>5.6341000000000001</v>
      </c>
      <c r="W23" s="17">
        <v>6.7222999999999997</v>
      </c>
      <c r="X23" s="17">
        <v>7.8106</v>
      </c>
      <c r="Y23" s="17">
        <v>7.8106</v>
      </c>
      <c r="Z23" s="17">
        <v>7.8106</v>
      </c>
      <c r="AA23" s="17">
        <v>7.8106</v>
      </c>
      <c r="AB23" s="17">
        <v>7.8106</v>
      </c>
      <c r="AC23" s="17">
        <v>7.8106</v>
      </c>
      <c r="AD23" s="17">
        <v>7.8106</v>
      </c>
      <c r="AE23" s="17">
        <v>7.8106</v>
      </c>
      <c r="AF23" s="18">
        <v>7.8106</v>
      </c>
    </row>
    <row r="24" spans="3:32" x14ac:dyDescent="0.3">
      <c r="C24" s="30" t="s">
        <v>191</v>
      </c>
      <c r="D24" s="30" t="s">
        <v>1</v>
      </c>
      <c r="E24" s="30" t="s">
        <v>24</v>
      </c>
      <c r="F24" s="30" t="s">
        <v>143</v>
      </c>
      <c r="G24" s="17">
        <v>0</v>
      </c>
      <c r="H24" s="17">
        <v>0</v>
      </c>
      <c r="I24" s="17">
        <v>0</v>
      </c>
      <c r="J24" s="17">
        <v>0.1211</v>
      </c>
      <c r="K24" s="17">
        <v>0.12540000000000001</v>
      </c>
      <c r="L24" s="17">
        <v>0.14427200000000001</v>
      </c>
      <c r="M24" s="17">
        <v>0.45029999999999998</v>
      </c>
      <c r="N24" s="17">
        <v>0.47410000000000002</v>
      </c>
      <c r="O24" s="17">
        <v>0.37566500000000003</v>
      </c>
      <c r="P24" s="17">
        <v>0.54190000000000005</v>
      </c>
      <c r="Q24" s="17">
        <v>0.51370000000000005</v>
      </c>
      <c r="R24" s="17">
        <v>0.5413</v>
      </c>
      <c r="S24" s="17">
        <v>0.50470000000000004</v>
      </c>
      <c r="T24" s="17">
        <v>0.70009999999999994</v>
      </c>
      <c r="U24" s="17">
        <v>0.89539999999999997</v>
      </c>
      <c r="V24" s="17">
        <v>0.89539999999999997</v>
      </c>
      <c r="W24" s="17">
        <v>0.89539999999999997</v>
      </c>
      <c r="X24" s="17">
        <v>0.89539999999999997</v>
      </c>
      <c r="Y24" s="17">
        <v>0.89539999999999997</v>
      </c>
      <c r="Z24" s="17">
        <v>0.89539999999999997</v>
      </c>
      <c r="AA24" s="17">
        <v>0.89539999999999997</v>
      </c>
      <c r="AB24" s="17">
        <v>0.89539999999999997</v>
      </c>
      <c r="AC24" s="17">
        <v>0.89539999999999997</v>
      </c>
      <c r="AD24" s="17">
        <v>0.89539999999999997</v>
      </c>
      <c r="AE24" s="17">
        <v>0.89539999999999997</v>
      </c>
      <c r="AF24" s="18">
        <v>0.89539999999999997</v>
      </c>
    </row>
    <row r="25" spans="3:32" x14ac:dyDescent="0.3">
      <c r="C25" s="30" t="s">
        <v>191</v>
      </c>
      <c r="D25" s="30" t="s">
        <v>1</v>
      </c>
      <c r="E25" s="30" t="s">
        <v>24</v>
      </c>
      <c r="F25" s="30" t="s">
        <v>144</v>
      </c>
      <c r="G25" s="17">
        <v>0</v>
      </c>
      <c r="H25" s="17">
        <v>0</v>
      </c>
      <c r="I25" s="17">
        <v>0</v>
      </c>
      <c r="J25" s="17">
        <v>0</v>
      </c>
      <c r="K25" s="17">
        <v>0</v>
      </c>
      <c r="L25" s="17">
        <v>0</v>
      </c>
      <c r="M25" s="17">
        <v>10.5909</v>
      </c>
      <c r="N25" s="17">
        <v>21.2898</v>
      </c>
      <c r="O25" s="17">
        <v>22.322600000000001</v>
      </c>
      <c r="P25" s="17">
        <v>23.046900000000001</v>
      </c>
      <c r="Q25" s="17">
        <v>24.464099999999998</v>
      </c>
      <c r="R25" s="17">
        <v>23.758500000000002</v>
      </c>
      <c r="S25" s="17">
        <v>24.581299999999999</v>
      </c>
      <c r="T25" s="17">
        <v>24.581299999999999</v>
      </c>
      <c r="U25" s="17">
        <v>24.581299999999999</v>
      </c>
      <c r="V25" s="17">
        <v>24.581299999999999</v>
      </c>
      <c r="W25" s="17">
        <v>27.341799999999999</v>
      </c>
      <c r="X25" s="17">
        <v>30.1022</v>
      </c>
      <c r="Y25" s="17">
        <v>32.8626</v>
      </c>
      <c r="Z25" s="17">
        <v>33.7883</v>
      </c>
      <c r="AA25" s="17">
        <v>33.7883</v>
      </c>
      <c r="AB25" s="17">
        <v>33.7883</v>
      </c>
      <c r="AC25" s="17">
        <v>33.7883</v>
      </c>
      <c r="AD25" s="17">
        <v>33.7883</v>
      </c>
      <c r="AE25" s="17">
        <v>33.7883</v>
      </c>
      <c r="AF25" s="18">
        <v>33.7883</v>
      </c>
    </row>
    <row r="26" spans="3:32" x14ac:dyDescent="0.3">
      <c r="C26" s="30" t="s">
        <v>191</v>
      </c>
      <c r="D26" s="30" t="s">
        <v>1</v>
      </c>
      <c r="E26" s="30" t="s">
        <v>24</v>
      </c>
      <c r="F26" s="30" t="s">
        <v>145</v>
      </c>
      <c r="G26" s="17">
        <v>0</v>
      </c>
      <c r="H26" s="17">
        <v>0</v>
      </c>
      <c r="I26" s="17">
        <v>0</v>
      </c>
      <c r="J26" s="17">
        <v>0</v>
      </c>
      <c r="K26" s="17">
        <v>0</v>
      </c>
      <c r="L26" s="17">
        <v>0</v>
      </c>
      <c r="M26" s="17">
        <v>0</v>
      </c>
      <c r="N26" s="17">
        <v>0</v>
      </c>
      <c r="O26" s="17">
        <v>1.2813000000000001</v>
      </c>
      <c r="P26" s="17">
        <v>5.8933999999999997</v>
      </c>
      <c r="Q26" s="17">
        <v>6.7153999999999998</v>
      </c>
      <c r="R26" s="17">
        <v>7.2458</v>
      </c>
      <c r="S26" s="17">
        <v>6.3391000000000002</v>
      </c>
      <c r="T26" s="17">
        <v>6.3391000000000002</v>
      </c>
      <c r="U26" s="17">
        <v>6.3391000000000002</v>
      </c>
      <c r="V26" s="17">
        <v>6.3391000000000002</v>
      </c>
      <c r="W26" s="17">
        <v>6.3391000000000002</v>
      </c>
      <c r="X26" s="17">
        <v>6.3391000000000002</v>
      </c>
      <c r="Y26" s="17">
        <v>6.3391000000000002</v>
      </c>
      <c r="Z26" s="17">
        <v>6.3391000000000002</v>
      </c>
      <c r="AA26" s="17">
        <v>6.3391000000000002</v>
      </c>
      <c r="AB26" s="17">
        <v>6.3391000000000002</v>
      </c>
      <c r="AC26" s="17">
        <v>6.3391000000000002</v>
      </c>
      <c r="AD26" s="17">
        <v>6.3391000000000002</v>
      </c>
      <c r="AE26" s="17">
        <v>6.3391000000000002</v>
      </c>
      <c r="AF26" s="18">
        <v>6.3391000000000002</v>
      </c>
    </row>
    <row r="27" spans="3:32" x14ac:dyDescent="0.3">
      <c r="C27" s="30" t="s">
        <v>191</v>
      </c>
      <c r="D27" s="30" t="s">
        <v>1</v>
      </c>
      <c r="E27" s="30" t="s">
        <v>24</v>
      </c>
      <c r="F27" s="30" t="s">
        <v>146</v>
      </c>
      <c r="G27" s="17">
        <v>0.34420000000000001</v>
      </c>
      <c r="H27" s="17">
        <v>0.44950000000000001</v>
      </c>
      <c r="I27" s="17">
        <v>0.49270000000000003</v>
      </c>
      <c r="J27" s="17">
        <v>0.44719999999999999</v>
      </c>
      <c r="K27" s="17">
        <v>0.4632</v>
      </c>
      <c r="L27" s="17">
        <v>0.53280000000000005</v>
      </c>
      <c r="M27" s="17">
        <v>0.55859999999999999</v>
      </c>
      <c r="N27" s="17">
        <v>0.63590000000000002</v>
      </c>
      <c r="O27" s="17">
        <v>0.56081599999999998</v>
      </c>
      <c r="P27" s="17">
        <v>1.5667</v>
      </c>
      <c r="Q27" s="17">
        <v>1.7225999999999999</v>
      </c>
      <c r="R27" s="17">
        <v>1.6871</v>
      </c>
      <c r="S27" s="17">
        <v>1.5395000000000001</v>
      </c>
      <c r="T27" s="17">
        <v>1.5395000000000001</v>
      </c>
      <c r="U27" s="17">
        <v>1.5395000000000001</v>
      </c>
      <c r="V27" s="17">
        <v>1.5395000000000001</v>
      </c>
      <c r="W27" s="17">
        <v>1.5395000000000001</v>
      </c>
      <c r="X27" s="17">
        <v>1.5395000000000001</v>
      </c>
      <c r="Y27" s="17">
        <v>1.5395000000000001</v>
      </c>
      <c r="Z27" s="17">
        <v>1.5395000000000001</v>
      </c>
      <c r="AA27" s="17">
        <v>1.5395000000000001</v>
      </c>
      <c r="AB27" s="17">
        <v>1.5395000000000001</v>
      </c>
      <c r="AC27" s="17">
        <v>1.5395000000000001</v>
      </c>
      <c r="AD27" s="17">
        <v>1.5395000000000001</v>
      </c>
      <c r="AE27" s="17">
        <v>1.5395000000000001</v>
      </c>
      <c r="AF27" s="18">
        <v>1.5395000000000001</v>
      </c>
    </row>
    <row r="28" spans="3:32" x14ac:dyDescent="0.3">
      <c r="C28" s="30" t="s">
        <v>191</v>
      </c>
      <c r="D28" s="30" t="s">
        <v>1</v>
      </c>
      <c r="E28" s="30" t="s">
        <v>24</v>
      </c>
      <c r="F28" s="30" t="s">
        <v>147</v>
      </c>
      <c r="G28" s="17">
        <v>3.2037</v>
      </c>
      <c r="H28" s="17">
        <v>4.1841999999999997</v>
      </c>
      <c r="I28" s="17">
        <v>4.5865999999999998</v>
      </c>
      <c r="J28" s="17">
        <v>4.9280999999999997</v>
      </c>
      <c r="K28" s="17">
        <v>5.1044999999999998</v>
      </c>
      <c r="L28" s="17">
        <v>5.7539999999999996</v>
      </c>
      <c r="M28" s="17">
        <v>5.2401</v>
      </c>
      <c r="N28" s="17">
        <v>5.5826000000000002</v>
      </c>
      <c r="O28" s="17">
        <v>4.5362999999999998</v>
      </c>
      <c r="P28" s="17">
        <v>5.8681999999999999</v>
      </c>
      <c r="Q28" s="17">
        <v>5.7624000000000004</v>
      </c>
      <c r="R28" s="17">
        <v>6.1596000000000002</v>
      </c>
      <c r="S28" s="17">
        <v>5.4497</v>
      </c>
      <c r="T28" s="17">
        <v>5.4497</v>
      </c>
      <c r="U28" s="17">
        <v>5.4497</v>
      </c>
      <c r="V28" s="17">
        <v>5.4497</v>
      </c>
      <c r="W28" s="17">
        <v>5.4497</v>
      </c>
      <c r="X28" s="17">
        <v>5.4497</v>
      </c>
      <c r="Y28" s="17">
        <v>5.4497</v>
      </c>
      <c r="Z28" s="17">
        <v>5.4497</v>
      </c>
      <c r="AA28" s="17">
        <v>5.4497</v>
      </c>
      <c r="AB28" s="17">
        <v>5.4497</v>
      </c>
      <c r="AC28" s="17">
        <v>5.4497</v>
      </c>
      <c r="AD28" s="17">
        <v>5.4497</v>
      </c>
      <c r="AE28" s="17">
        <v>5.4497</v>
      </c>
      <c r="AF28" s="18">
        <v>5.4497</v>
      </c>
    </row>
    <row r="29" spans="3:32" x14ac:dyDescent="0.3">
      <c r="C29" s="30" t="s">
        <v>191</v>
      </c>
      <c r="D29" s="30" t="s">
        <v>1</v>
      </c>
      <c r="E29" s="30" t="s">
        <v>24</v>
      </c>
      <c r="F29" s="30" t="s">
        <v>148</v>
      </c>
      <c r="G29" s="17">
        <v>1.0676000000000001</v>
      </c>
      <c r="H29" s="17">
        <v>1.3944000000000001</v>
      </c>
      <c r="I29" s="17">
        <v>1.5285</v>
      </c>
      <c r="J29" s="17">
        <v>1.7301</v>
      </c>
      <c r="K29" s="17">
        <v>1.792</v>
      </c>
      <c r="L29" s="17">
        <v>2.0613000000000001</v>
      </c>
      <c r="M29" s="17">
        <v>2.0655000000000001</v>
      </c>
      <c r="N29" s="17">
        <v>3.0438999999999998</v>
      </c>
      <c r="O29" s="17">
        <v>2.9963000000000002</v>
      </c>
      <c r="P29" s="17">
        <v>3.2222</v>
      </c>
      <c r="Q29" s="17">
        <v>3.0135000000000001</v>
      </c>
      <c r="R29" s="17">
        <v>3.3111999999999999</v>
      </c>
      <c r="S29" s="17">
        <v>3.3191999999999999</v>
      </c>
      <c r="T29" s="17">
        <v>3.3191999999999999</v>
      </c>
      <c r="U29" s="17">
        <v>3.3191999999999999</v>
      </c>
      <c r="V29" s="17">
        <v>3.3191999999999999</v>
      </c>
      <c r="W29" s="17">
        <v>3.3191999999999999</v>
      </c>
      <c r="X29" s="17">
        <v>3.3191999999999999</v>
      </c>
      <c r="Y29" s="17">
        <v>3.3191999999999999</v>
      </c>
      <c r="Z29" s="17">
        <v>3.3191999999999999</v>
      </c>
      <c r="AA29" s="17">
        <v>3.3191999999999999</v>
      </c>
      <c r="AB29" s="17">
        <v>3.3191999999999999</v>
      </c>
      <c r="AC29" s="17">
        <v>3.3191999999999999</v>
      </c>
      <c r="AD29" s="17">
        <v>3.3191999999999999</v>
      </c>
      <c r="AE29" s="17">
        <v>3.3191999999999999</v>
      </c>
      <c r="AF29" s="18">
        <v>3.3191999999999999</v>
      </c>
    </row>
    <row r="30" spans="3:32" x14ac:dyDescent="0.3">
      <c r="C30" s="30" t="s">
        <v>191</v>
      </c>
      <c r="D30" s="30" t="s">
        <v>1</v>
      </c>
      <c r="E30" s="30" t="s">
        <v>24</v>
      </c>
      <c r="F30" s="30" t="s">
        <v>26</v>
      </c>
      <c r="G30" s="17">
        <v>0</v>
      </c>
      <c r="H30" s="17">
        <v>0</v>
      </c>
      <c r="I30" s="17">
        <v>3.5000000000000001E-3</v>
      </c>
      <c r="J30" s="17">
        <v>2.4500000000000001E-2</v>
      </c>
      <c r="K30" s="17">
        <v>2.4799999999999999E-2</v>
      </c>
      <c r="L30" s="17">
        <v>2.5700000000000001E-2</v>
      </c>
      <c r="M30" s="17">
        <v>2.5700000000000001E-2</v>
      </c>
      <c r="N30" s="17">
        <v>2.5700000000000001E-2</v>
      </c>
      <c r="O30" s="17">
        <v>2.5700000000000001E-2</v>
      </c>
      <c r="P30" s="17">
        <v>2.5700000000000001E-2</v>
      </c>
      <c r="Q30" s="17">
        <v>2.5700000000000001E-2</v>
      </c>
      <c r="R30" s="17">
        <v>2.5700000000000001E-2</v>
      </c>
      <c r="S30" s="17">
        <v>2.5700000000000001E-2</v>
      </c>
      <c r="T30" s="17">
        <v>2.5700000000000001E-2</v>
      </c>
      <c r="U30" s="17">
        <v>2.5700000000000001E-2</v>
      </c>
      <c r="V30" s="17">
        <v>2.5700000000000001E-2</v>
      </c>
      <c r="W30" s="17">
        <v>2.5700000000000001E-2</v>
      </c>
      <c r="X30" s="17">
        <v>0.41949999999999998</v>
      </c>
      <c r="Y30" s="17">
        <v>0.81330000000000002</v>
      </c>
      <c r="Z30" s="17">
        <v>1.2071000000000001</v>
      </c>
      <c r="AA30" s="17">
        <v>1.6009</v>
      </c>
      <c r="AB30" s="17">
        <v>1.9947999999999999</v>
      </c>
      <c r="AC30" s="17">
        <v>2.3885999999999998</v>
      </c>
      <c r="AD30" s="17">
        <v>2.7824</v>
      </c>
      <c r="AE30" s="17">
        <v>3.1762000000000001</v>
      </c>
      <c r="AF30" s="18">
        <v>3.57</v>
      </c>
    </row>
    <row r="31" spans="3:32" x14ac:dyDescent="0.3">
      <c r="C31" s="30" t="s">
        <v>191</v>
      </c>
      <c r="D31" s="30" t="s">
        <v>1</v>
      </c>
      <c r="E31" s="30" t="s">
        <v>24</v>
      </c>
      <c r="F31" s="30" t="s">
        <v>25</v>
      </c>
      <c r="G31" s="17">
        <v>0</v>
      </c>
      <c r="H31" s="17">
        <v>0</v>
      </c>
      <c r="I31" s="17">
        <v>0</v>
      </c>
      <c r="J31" s="17">
        <v>0</v>
      </c>
      <c r="K31" s="17">
        <v>0</v>
      </c>
      <c r="L31" s="17">
        <v>0</v>
      </c>
      <c r="M31" s="17">
        <v>0</v>
      </c>
      <c r="N31" s="17">
        <v>0</v>
      </c>
      <c r="O31" s="17">
        <v>0</v>
      </c>
      <c r="P31" s="17">
        <v>0</v>
      </c>
      <c r="Q31" s="17">
        <v>0</v>
      </c>
      <c r="R31" s="17">
        <v>0</v>
      </c>
      <c r="S31" s="17">
        <v>0</v>
      </c>
      <c r="T31" s="17">
        <v>0</v>
      </c>
      <c r="U31" s="17">
        <v>0</v>
      </c>
      <c r="V31" s="17">
        <v>0</v>
      </c>
      <c r="W31" s="17">
        <v>0</v>
      </c>
      <c r="X31" s="17">
        <v>7.5300000000000006E-2</v>
      </c>
      <c r="Y31" s="17">
        <v>0.113</v>
      </c>
      <c r="Z31" s="17">
        <v>0.113</v>
      </c>
      <c r="AA31" s="17">
        <v>0.113</v>
      </c>
      <c r="AB31" s="17">
        <v>0.113</v>
      </c>
      <c r="AC31" s="17">
        <v>0.113</v>
      </c>
      <c r="AD31" s="17">
        <v>0.113</v>
      </c>
      <c r="AE31" s="17">
        <v>0.113</v>
      </c>
      <c r="AF31" s="18">
        <v>0.113</v>
      </c>
    </row>
    <row r="32" spans="3:32" x14ac:dyDescent="0.3">
      <c r="C32" s="30" t="s">
        <v>191</v>
      </c>
      <c r="D32" s="30" t="s">
        <v>1</v>
      </c>
      <c r="E32" s="30" t="s">
        <v>149</v>
      </c>
      <c r="F32" s="30"/>
      <c r="G32" s="17">
        <f>SUM(G15:G31)</f>
        <v>53.470699999999994</v>
      </c>
      <c r="H32" s="17">
        <f t="shared" ref="H32:AF32" si="2">SUM(H15:H31)</f>
        <v>53.943089999999991</v>
      </c>
      <c r="I32" s="17">
        <f t="shared" si="2"/>
        <v>59.457599999999999</v>
      </c>
      <c r="J32" s="17">
        <f t="shared" si="2"/>
        <v>62.918700000000008</v>
      </c>
      <c r="K32" s="17">
        <f t="shared" si="2"/>
        <v>66.539100000000005</v>
      </c>
      <c r="L32" s="17">
        <f t="shared" si="2"/>
        <v>71.735882000000004</v>
      </c>
      <c r="M32" s="17">
        <f t="shared" si="2"/>
        <v>73.784419999999997</v>
      </c>
      <c r="N32" s="17">
        <f t="shared" si="2"/>
        <v>77.335695999999999</v>
      </c>
      <c r="O32" s="17">
        <f t="shared" si="2"/>
        <v>79.04423700000001</v>
      </c>
      <c r="P32" s="17">
        <f t="shared" si="2"/>
        <v>82.327381000000003</v>
      </c>
      <c r="Q32" s="17">
        <f t="shared" si="2"/>
        <v>82.177384999999987</v>
      </c>
      <c r="R32" s="17">
        <f t="shared" si="2"/>
        <v>85.216468800000001</v>
      </c>
      <c r="S32" s="17">
        <f t="shared" si="2"/>
        <v>87.910115999999988</v>
      </c>
      <c r="T32" s="17">
        <f t="shared" si="2"/>
        <v>94.67391600000002</v>
      </c>
      <c r="U32" s="17">
        <f t="shared" si="2"/>
        <v>98.361316000000016</v>
      </c>
      <c r="V32" s="17">
        <f t="shared" si="2"/>
        <v>100.68181600000003</v>
      </c>
      <c r="W32" s="17">
        <f t="shared" si="2"/>
        <v>102.07681600000001</v>
      </c>
      <c r="X32" s="17">
        <f t="shared" si="2"/>
        <v>104.85721599999999</v>
      </c>
      <c r="Y32" s="17">
        <f t="shared" si="2"/>
        <v>108.99591599999999</v>
      </c>
      <c r="Z32" s="17">
        <f t="shared" si="2"/>
        <v>111.652916</v>
      </c>
      <c r="AA32" s="17">
        <f t="shared" si="2"/>
        <v>115.53571600000001</v>
      </c>
      <c r="AB32" s="17">
        <f t="shared" si="2"/>
        <v>119.66201599999999</v>
      </c>
      <c r="AC32" s="17">
        <f t="shared" si="2"/>
        <v>123.24721599999998</v>
      </c>
      <c r="AD32" s="17">
        <f t="shared" si="2"/>
        <v>126.230616</v>
      </c>
      <c r="AE32" s="17">
        <f t="shared" si="2"/>
        <v>129.9144</v>
      </c>
      <c r="AF32" s="18">
        <f t="shared" si="2"/>
        <v>132.69801999999999</v>
      </c>
    </row>
    <row r="33" spans="3:32" x14ac:dyDescent="0.3">
      <c r="C33" s="30" t="s">
        <v>191</v>
      </c>
      <c r="D33" s="30" t="s">
        <v>103</v>
      </c>
      <c r="E33" s="30"/>
      <c r="F33" s="30"/>
      <c r="G33" s="17">
        <f>G8+G32+G14</f>
        <v>69.405699999999996</v>
      </c>
      <c r="H33" s="17">
        <f>H8+H32+H14</f>
        <v>69.226489999999998</v>
      </c>
      <c r="I33" s="17">
        <f t="shared" ref="I33:AF33" si="3">I8+I32+I14</f>
        <v>75.487030000000004</v>
      </c>
      <c r="J33" s="17">
        <f t="shared" si="3"/>
        <v>79.240000000000009</v>
      </c>
      <c r="K33" s="17">
        <f t="shared" si="3"/>
        <v>83.021900000000016</v>
      </c>
      <c r="L33" s="17">
        <f t="shared" si="3"/>
        <v>88.992701999999994</v>
      </c>
      <c r="M33" s="17">
        <f t="shared" si="3"/>
        <v>92.454620000000006</v>
      </c>
      <c r="N33" s="17">
        <f t="shared" si="3"/>
        <v>96.568696000000003</v>
      </c>
      <c r="O33" s="17">
        <f t="shared" si="3"/>
        <v>99.921237000000019</v>
      </c>
      <c r="P33" s="17">
        <f t="shared" si="3"/>
        <v>104.51068100000001</v>
      </c>
      <c r="Q33" s="17">
        <f t="shared" si="3"/>
        <v>103.013685</v>
      </c>
      <c r="R33" s="17">
        <f t="shared" si="3"/>
        <v>108.2837688</v>
      </c>
      <c r="S33" s="17">
        <f t="shared" si="3"/>
        <v>111.199716</v>
      </c>
      <c r="T33" s="17">
        <f t="shared" si="3"/>
        <v>117.96251600000002</v>
      </c>
      <c r="U33" s="17">
        <f t="shared" si="3"/>
        <v>121.64991600000002</v>
      </c>
      <c r="V33" s="17">
        <f t="shared" si="3"/>
        <v>123.97041600000003</v>
      </c>
      <c r="W33" s="17">
        <f t="shared" si="3"/>
        <v>125.36541600000001</v>
      </c>
      <c r="X33" s="17">
        <f t="shared" si="3"/>
        <v>128.145816</v>
      </c>
      <c r="Y33" s="17">
        <f t="shared" si="3"/>
        <v>132.284516</v>
      </c>
      <c r="Z33" s="17">
        <f t="shared" si="3"/>
        <v>134.94151600000001</v>
      </c>
      <c r="AA33" s="17">
        <f t="shared" si="3"/>
        <v>138.82431600000001</v>
      </c>
      <c r="AB33" s="17">
        <f t="shared" si="3"/>
        <v>142.950616</v>
      </c>
      <c r="AC33" s="17">
        <f t="shared" si="3"/>
        <v>146.53581599999998</v>
      </c>
      <c r="AD33" s="17">
        <f t="shared" si="3"/>
        <v>149.519216</v>
      </c>
      <c r="AE33" s="17">
        <f t="shared" si="3"/>
        <v>153.203</v>
      </c>
      <c r="AF33" s="18">
        <f t="shared" si="3"/>
        <v>155.97631999999999</v>
      </c>
    </row>
    <row r="34" spans="3:32" x14ac:dyDescent="0.3">
      <c r="C34" s="24" t="s">
        <v>191</v>
      </c>
      <c r="D34" s="24" t="s">
        <v>33</v>
      </c>
      <c r="E34" s="24" t="s">
        <v>31</v>
      </c>
      <c r="F34" s="24" t="s">
        <v>32</v>
      </c>
      <c r="G34" s="17">
        <v>3.9746000000000001</v>
      </c>
      <c r="H34" s="17">
        <v>4.1714000000000002</v>
      </c>
      <c r="I34" s="17">
        <v>4.3802000000000003</v>
      </c>
      <c r="J34" s="17">
        <v>3.4462999999999999</v>
      </c>
      <c r="K34" s="17">
        <v>3.3754</v>
      </c>
      <c r="L34" s="17">
        <v>3.58934</v>
      </c>
      <c r="M34" s="17">
        <v>4.2882999999999996</v>
      </c>
      <c r="N34" s="17">
        <v>4.4116</v>
      </c>
      <c r="O34" s="17">
        <v>4.3333000000000004</v>
      </c>
      <c r="P34" s="17">
        <v>4.3068</v>
      </c>
      <c r="Q34" s="17">
        <v>4.1492000000000004</v>
      </c>
      <c r="R34" s="17">
        <v>4.4675000000000002</v>
      </c>
      <c r="S34" s="17">
        <v>4.4958999999999998</v>
      </c>
      <c r="T34" s="17">
        <v>4.4958999999999998</v>
      </c>
      <c r="U34" s="17">
        <v>4.4958999999999998</v>
      </c>
      <c r="V34" s="17">
        <v>4.4958999999999998</v>
      </c>
      <c r="W34" s="17">
        <v>4.4958999999999998</v>
      </c>
      <c r="X34" s="17">
        <v>4.4958999999999998</v>
      </c>
      <c r="Y34" s="17">
        <v>4.4958999999999998</v>
      </c>
      <c r="Z34" s="17">
        <v>4.4958999999999998</v>
      </c>
      <c r="AA34" s="17">
        <v>4.4958999999999998</v>
      </c>
      <c r="AB34" s="17">
        <v>4.4958999999999998</v>
      </c>
      <c r="AC34" s="17">
        <v>4.4958999999999998</v>
      </c>
      <c r="AD34" s="17">
        <v>4.4958999999999998</v>
      </c>
      <c r="AE34" s="17">
        <v>4.4958999999999998</v>
      </c>
      <c r="AF34" s="18">
        <v>4.4958999999999998</v>
      </c>
    </row>
    <row r="35" spans="3:32" x14ac:dyDescent="0.3">
      <c r="C35" s="24" t="s">
        <v>191</v>
      </c>
      <c r="D35" s="24" t="s">
        <v>33</v>
      </c>
      <c r="E35" s="24" t="s">
        <v>31</v>
      </c>
      <c r="F35" s="24" t="s">
        <v>5</v>
      </c>
      <c r="G35" s="17">
        <v>3.8123999999999998</v>
      </c>
      <c r="H35" s="17">
        <v>3.6374</v>
      </c>
      <c r="I35" s="17">
        <v>4.2015000000000002</v>
      </c>
      <c r="J35" s="17">
        <v>5.5033000000000003</v>
      </c>
      <c r="K35" s="17">
        <v>5.3901000000000003</v>
      </c>
      <c r="L35" s="17">
        <v>5.2979799999999999</v>
      </c>
      <c r="M35" s="17">
        <v>6.8502000000000001</v>
      </c>
      <c r="N35" s="17">
        <v>6.9471999999999996</v>
      </c>
      <c r="O35" s="17">
        <v>7.5909000000000004</v>
      </c>
      <c r="P35" s="17">
        <v>8.1118000000000006</v>
      </c>
      <c r="Q35" s="17">
        <v>7.4466999999999999</v>
      </c>
      <c r="R35" s="17">
        <v>8.2340999999999998</v>
      </c>
      <c r="S35" s="17">
        <v>8.2629999999999999</v>
      </c>
      <c r="T35" s="17">
        <v>8.2629999999999999</v>
      </c>
      <c r="U35" s="17">
        <v>8.2629999999999999</v>
      </c>
      <c r="V35" s="17">
        <v>8.2629999999999999</v>
      </c>
      <c r="W35" s="17">
        <v>8.2629999999999999</v>
      </c>
      <c r="X35" s="17">
        <v>8.2629999999999999</v>
      </c>
      <c r="Y35" s="17">
        <v>8.2629999999999999</v>
      </c>
      <c r="Z35" s="17">
        <v>8.2629999999999999</v>
      </c>
      <c r="AA35" s="17">
        <v>8.2629999999999999</v>
      </c>
      <c r="AB35" s="17">
        <v>8.2629999999999999</v>
      </c>
      <c r="AC35" s="17">
        <v>8.2629999999999999</v>
      </c>
      <c r="AD35" s="17">
        <v>8.2629999999999999</v>
      </c>
      <c r="AE35" s="17">
        <v>8.2629999999999999</v>
      </c>
      <c r="AF35" s="18">
        <v>8.2629999999999999</v>
      </c>
    </row>
    <row r="36" spans="3:32" x14ac:dyDescent="0.3">
      <c r="C36" s="24" t="s">
        <v>191</v>
      </c>
      <c r="D36" s="24" t="s">
        <v>33</v>
      </c>
      <c r="E36" s="24" t="s">
        <v>31</v>
      </c>
      <c r="F36" s="24" t="s">
        <v>15</v>
      </c>
      <c r="G36" s="17">
        <v>0.68869999999999998</v>
      </c>
      <c r="H36" s="17">
        <v>0.7228</v>
      </c>
      <c r="I36" s="17">
        <v>0.75890000000000002</v>
      </c>
      <c r="J36" s="17">
        <v>0.91479999999999995</v>
      </c>
      <c r="K36" s="17">
        <v>0.89600000000000002</v>
      </c>
      <c r="L36" s="17">
        <v>0.9556</v>
      </c>
      <c r="M36" s="17">
        <v>0.98429999999999995</v>
      </c>
      <c r="N36" s="17">
        <v>0.92549999999999999</v>
      </c>
      <c r="O36" s="17">
        <v>0.80259999999999998</v>
      </c>
      <c r="P36" s="17">
        <v>0.75849999999999995</v>
      </c>
      <c r="Q36" s="17">
        <v>0.8165</v>
      </c>
      <c r="R36" s="17">
        <v>1.0109999999999999</v>
      </c>
      <c r="S36" s="17">
        <v>1.0508999999999999</v>
      </c>
      <c r="T36" s="17">
        <v>1.0508999999999999</v>
      </c>
      <c r="U36" s="17">
        <v>1.0508999999999999</v>
      </c>
      <c r="V36" s="17">
        <v>1.0508999999999999</v>
      </c>
      <c r="W36" s="17">
        <v>1.0508999999999999</v>
      </c>
      <c r="X36" s="17">
        <v>1.0508999999999999</v>
      </c>
      <c r="Y36" s="17">
        <v>1.0508999999999999</v>
      </c>
      <c r="Z36" s="17">
        <v>1.0508999999999999</v>
      </c>
      <c r="AA36" s="17">
        <v>1.0508999999999999</v>
      </c>
      <c r="AB36" s="17">
        <v>1.0508999999999999</v>
      </c>
      <c r="AC36" s="17">
        <v>1.0508999999999999</v>
      </c>
      <c r="AD36" s="17">
        <v>1.0508999999999999</v>
      </c>
      <c r="AE36" s="17">
        <v>1.0508999999999999</v>
      </c>
      <c r="AF36" s="18">
        <v>1.0508999999999999</v>
      </c>
    </row>
    <row r="37" spans="3:32" x14ac:dyDescent="0.3">
      <c r="C37" s="24" t="s">
        <v>191</v>
      </c>
      <c r="D37" s="24" t="s">
        <v>33</v>
      </c>
      <c r="E37" s="24" t="s">
        <v>31</v>
      </c>
      <c r="F37" s="24" t="s">
        <v>29</v>
      </c>
      <c r="G37" s="17">
        <v>1.728</v>
      </c>
      <c r="H37" s="17">
        <v>1.9096</v>
      </c>
      <c r="I37" s="17">
        <v>1.8385</v>
      </c>
      <c r="J37" s="17">
        <v>1.9419</v>
      </c>
      <c r="K37" s="17">
        <v>1.9748000000000001</v>
      </c>
      <c r="L37" s="17">
        <v>2.6469</v>
      </c>
      <c r="M37" s="17">
        <v>2.7715999999999998</v>
      </c>
      <c r="N37" s="17">
        <v>4.0975000000000001</v>
      </c>
      <c r="O37" s="17">
        <v>5.1963999999999997</v>
      </c>
      <c r="P37" s="17">
        <v>6.3392999999999997</v>
      </c>
      <c r="Q37" s="17">
        <v>6.0151000000000003</v>
      </c>
      <c r="R37" s="17">
        <v>6.7843999999999998</v>
      </c>
      <c r="S37" s="17">
        <v>6.4684999999999997</v>
      </c>
      <c r="T37" s="17">
        <v>6.4684999999999997</v>
      </c>
      <c r="U37" s="17">
        <v>6.4684999999999997</v>
      </c>
      <c r="V37" s="17">
        <v>6.4684999999999997</v>
      </c>
      <c r="W37" s="17">
        <v>6.4684999999999997</v>
      </c>
      <c r="X37" s="17">
        <v>6.4684999999999997</v>
      </c>
      <c r="Y37" s="17">
        <v>6.4684999999999997</v>
      </c>
      <c r="Z37" s="17">
        <v>6.4684999999999997</v>
      </c>
      <c r="AA37" s="17">
        <v>6.4684999999999997</v>
      </c>
      <c r="AB37" s="17">
        <v>6.4684999999999997</v>
      </c>
      <c r="AC37" s="17">
        <v>6.4684999999999997</v>
      </c>
      <c r="AD37" s="17">
        <v>6.4684999999999997</v>
      </c>
      <c r="AE37" s="17">
        <v>6.4684999999999997</v>
      </c>
      <c r="AF37" s="18">
        <v>6.4684999999999997</v>
      </c>
    </row>
    <row r="38" spans="3:32" x14ac:dyDescent="0.3">
      <c r="C38" s="24" t="s">
        <v>191</v>
      </c>
      <c r="D38" s="24" t="s">
        <v>33</v>
      </c>
      <c r="E38" s="24" t="s">
        <v>137</v>
      </c>
      <c r="F38" s="24"/>
      <c r="G38" s="17">
        <f>SUM(G34:G37)</f>
        <v>10.2037</v>
      </c>
      <c r="H38" s="17">
        <f t="shared" ref="H38:AF38" si="4">SUM(H34:H37)</f>
        <v>10.441199999999998</v>
      </c>
      <c r="I38" s="17">
        <f t="shared" si="4"/>
        <v>11.179100000000002</v>
      </c>
      <c r="J38" s="17">
        <f t="shared" si="4"/>
        <v>11.8063</v>
      </c>
      <c r="K38" s="17">
        <f t="shared" si="4"/>
        <v>11.6363</v>
      </c>
      <c r="L38" s="17">
        <f t="shared" si="4"/>
        <v>12.48982</v>
      </c>
      <c r="M38" s="17">
        <f t="shared" si="4"/>
        <v>14.894399999999999</v>
      </c>
      <c r="N38" s="17">
        <f t="shared" si="4"/>
        <v>16.381799999999998</v>
      </c>
      <c r="O38" s="17">
        <f t="shared" si="4"/>
        <v>17.923200000000001</v>
      </c>
      <c r="P38" s="17">
        <f t="shared" si="4"/>
        <v>19.516400000000001</v>
      </c>
      <c r="Q38" s="17">
        <f t="shared" si="4"/>
        <v>18.427500000000002</v>
      </c>
      <c r="R38" s="17">
        <f t="shared" si="4"/>
        <v>20.497</v>
      </c>
      <c r="S38" s="17">
        <f t="shared" si="4"/>
        <v>20.278300000000002</v>
      </c>
      <c r="T38" s="17">
        <f t="shared" si="4"/>
        <v>20.278300000000002</v>
      </c>
      <c r="U38" s="17">
        <f t="shared" si="4"/>
        <v>20.278300000000002</v>
      </c>
      <c r="V38" s="17">
        <f t="shared" si="4"/>
        <v>20.278300000000002</v>
      </c>
      <c r="W38" s="17">
        <f t="shared" si="4"/>
        <v>20.278300000000002</v>
      </c>
      <c r="X38" s="17">
        <f t="shared" si="4"/>
        <v>20.278300000000002</v>
      </c>
      <c r="Y38" s="17">
        <f t="shared" si="4"/>
        <v>20.278300000000002</v>
      </c>
      <c r="Z38" s="17">
        <f t="shared" si="4"/>
        <v>20.278300000000002</v>
      </c>
      <c r="AA38" s="17">
        <f t="shared" si="4"/>
        <v>20.278300000000002</v>
      </c>
      <c r="AB38" s="17">
        <f t="shared" si="4"/>
        <v>20.278300000000002</v>
      </c>
      <c r="AC38" s="17">
        <f t="shared" si="4"/>
        <v>20.278300000000002</v>
      </c>
      <c r="AD38" s="17">
        <f t="shared" si="4"/>
        <v>20.278300000000002</v>
      </c>
      <c r="AE38" s="17">
        <f t="shared" si="4"/>
        <v>20.278300000000002</v>
      </c>
      <c r="AF38" s="18">
        <f t="shared" si="4"/>
        <v>20.278300000000002</v>
      </c>
    </row>
    <row r="39" spans="3:32" x14ac:dyDescent="0.3">
      <c r="C39" s="24" t="s">
        <v>191</v>
      </c>
      <c r="D39" s="24" t="s">
        <v>33</v>
      </c>
      <c r="E39" s="24" t="s">
        <v>28</v>
      </c>
      <c r="F39" s="24" t="s">
        <v>5</v>
      </c>
      <c r="G39" s="17">
        <v>1.3723000000000001</v>
      </c>
      <c r="H39" s="17">
        <v>0.83160000000000001</v>
      </c>
      <c r="I39" s="17">
        <v>0.84089999999999998</v>
      </c>
      <c r="J39" s="17">
        <v>1.3137000000000001</v>
      </c>
      <c r="K39" s="17">
        <v>1.3821000000000001</v>
      </c>
      <c r="L39" s="17">
        <v>1.3221000000000001</v>
      </c>
      <c r="M39" s="17">
        <v>0.66090000000000004</v>
      </c>
      <c r="N39" s="17">
        <v>0.2359</v>
      </c>
      <c r="O39" s="17">
        <v>0.43719999999999998</v>
      </c>
      <c r="P39" s="17">
        <v>0.41760000000000003</v>
      </c>
      <c r="Q39" s="17">
        <v>0.20569999999999999</v>
      </c>
      <c r="R39" s="17">
        <v>0.22159999999999999</v>
      </c>
      <c r="S39" s="17">
        <v>0.46410000000000001</v>
      </c>
      <c r="T39" s="17">
        <v>0.46410000000000001</v>
      </c>
      <c r="U39" s="17">
        <v>0.46410000000000001</v>
      </c>
      <c r="V39" s="17">
        <v>0.46410000000000001</v>
      </c>
      <c r="W39" s="17">
        <v>0.46410000000000001</v>
      </c>
      <c r="X39" s="17">
        <v>0.46410000000000001</v>
      </c>
      <c r="Y39" s="17">
        <v>0.46410000000000001</v>
      </c>
      <c r="Z39" s="17">
        <v>0.46410000000000001</v>
      </c>
      <c r="AA39" s="17">
        <v>0.46410000000000001</v>
      </c>
      <c r="AB39" s="17">
        <v>0.46410000000000001</v>
      </c>
      <c r="AC39" s="17">
        <v>0.46410000000000001</v>
      </c>
      <c r="AD39" s="17">
        <v>0.46410000000000001</v>
      </c>
      <c r="AE39" s="17">
        <v>0.46410000000000001</v>
      </c>
      <c r="AF39" s="18">
        <v>0.46410000000000001</v>
      </c>
    </row>
    <row r="40" spans="3:32" x14ac:dyDescent="0.3">
      <c r="C40" s="24" t="s">
        <v>191</v>
      </c>
      <c r="D40" s="24" t="s">
        <v>33</v>
      </c>
      <c r="E40" s="24" t="s">
        <v>28</v>
      </c>
      <c r="F40" s="24" t="s">
        <v>30</v>
      </c>
      <c r="G40" s="17">
        <v>0</v>
      </c>
      <c r="H40" s="17">
        <v>0</v>
      </c>
      <c r="I40" s="17">
        <v>0</v>
      </c>
      <c r="J40" s="17">
        <v>0</v>
      </c>
      <c r="K40" s="17">
        <v>2.0000000000000001E-4</v>
      </c>
      <c r="L40" s="17">
        <v>2.5100000000000001E-2</v>
      </c>
      <c r="M40" s="17">
        <v>2.35E-2</v>
      </c>
      <c r="N40" s="17">
        <v>2.46E-2</v>
      </c>
      <c r="O40" s="17">
        <v>2.5999999999999999E-2</v>
      </c>
      <c r="P40" s="17">
        <v>2.1999999999999999E-2</v>
      </c>
      <c r="Q40" s="17">
        <v>2.1600000000000001E-2</v>
      </c>
      <c r="R40" s="17">
        <v>7.7000000000000002E-3</v>
      </c>
      <c r="S40" s="17">
        <v>1.0699999999999999E-2</v>
      </c>
      <c r="T40" s="17">
        <v>9.7000000000000003E-3</v>
      </c>
      <c r="U40" s="17">
        <v>9.7000000000000003E-3</v>
      </c>
      <c r="V40" s="17">
        <v>9.7000000000000003E-3</v>
      </c>
      <c r="W40" s="17">
        <v>9.7000000000000003E-3</v>
      </c>
      <c r="X40" s="17">
        <v>9.7000000000000003E-3</v>
      </c>
      <c r="Y40" s="17">
        <v>9.7000000000000003E-3</v>
      </c>
      <c r="Z40" s="17">
        <v>9.7000000000000003E-3</v>
      </c>
      <c r="AA40" s="17">
        <v>9.7000000000000003E-3</v>
      </c>
      <c r="AB40" s="17">
        <v>9.7000000000000003E-3</v>
      </c>
      <c r="AC40" s="17">
        <v>9.7000000000000003E-3</v>
      </c>
      <c r="AD40" s="17">
        <v>9.7000000000000003E-3</v>
      </c>
      <c r="AE40" s="17">
        <v>9.7000000000000003E-3</v>
      </c>
      <c r="AF40" s="18">
        <v>9.7000000000000003E-3</v>
      </c>
    </row>
    <row r="41" spans="3:32" x14ac:dyDescent="0.3">
      <c r="C41" s="24" t="s">
        <v>191</v>
      </c>
      <c r="D41" s="24" t="s">
        <v>33</v>
      </c>
      <c r="E41" s="24" t="s">
        <v>28</v>
      </c>
      <c r="F41" s="24" t="s">
        <v>4</v>
      </c>
      <c r="G41" s="17">
        <v>2.1095000000000002</v>
      </c>
      <c r="H41" s="17">
        <v>1.2783</v>
      </c>
      <c r="I41" s="17">
        <v>1.2926</v>
      </c>
      <c r="J41" s="17">
        <v>0.98750000000000004</v>
      </c>
      <c r="K41" s="17">
        <v>1.0388999999999999</v>
      </c>
      <c r="L41" s="17">
        <v>0.99380000000000002</v>
      </c>
      <c r="M41" s="17">
        <v>0.8034</v>
      </c>
      <c r="N41" s="17">
        <v>0.20580000000000001</v>
      </c>
      <c r="O41" s="17">
        <v>0.18870000000000001</v>
      </c>
      <c r="P41" s="17">
        <v>2.2100000000000002E-2</v>
      </c>
      <c r="Q41" s="17">
        <v>8.8800000000000004E-2</v>
      </c>
      <c r="R41" s="17">
        <v>7.8899999999999998E-2</v>
      </c>
      <c r="S41" s="17">
        <v>0.21729999999999999</v>
      </c>
      <c r="T41" s="17">
        <v>0.21729999999999999</v>
      </c>
      <c r="U41" s="17">
        <v>0.21729999999999999</v>
      </c>
      <c r="V41" s="17">
        <v>0.21729999999999999</v>
      </c>
      <c r="W41" s="17">
        <v>0.21729999999999999</v>
      </c>
      <c r="X41" s="17">
        <v>0.21729999999999999</v>
      </c>
      <c r="Y41" s="17">
        <v>0.21729999999999999</v>
      </c>
      <c r="Z41" s="17">
        <v>0.21729999999999999</v>
      </c>
      <c r="AA41" s="17">
        <v>0.21729999999999999</v>
      </c>
      <c r="AB41" s="17">
        <v>0.21729999999999999</v>
      </c>
      <c r="AC41" s="17">
        <v>0.21729999999999999</v>
      </c>
      <c r="AD41" s="17">
        <v>0.21729999999999999</v>
      </c>
      <c r="AE41" s="17">
        <v>0.21729999999999999</v>
      </c>
      <c r="AF41" s="18">
        <v>0.21729999999999999</v>
      </c>
    </row>
    <row r="42" spans="3:32" x14ac:dyDescent="0.3">
      <c r="C42" s="24" t="s">
        <v>191</v>
      </c>
      <c r="D42" s="24" t="s">
        <v>33</v>
      </c>
      <c r="E42" s="24" t="s">
        <v>28</v>
      </c>
      <c r="F42" s="24" t="s">
        <v>29</v>
      </c>
      <c r="G42" s="17">
        <v>2.2494999999999998</v>
      </c>
      <c r="H42" s="17">
        <v>2.7321</v>
      </c>
      <c r="I42" s="17">
        <v>2.71563</v>
      </c>
      <c r="J42" s="17">
        <v>2.2115999999999998</v>
      </c>
      <c r="K42" s="17">
        <v>2.4182999999999999</v>
      </c>
      <c r="L42" s="17">
        <v>2.4150999999999998</v>
      </c>
      <c r="M42" s="17">
        <v>2.2763</v>
      </c>
      <c r="N42" s="17">
        <v>2.3721000000000001</v>
      </c>
      <c r="O42" s="17">
        <v>2.2898999999999998</v>
      </c>
      <c r="P42" s="17">
        <v>2.1888999999999998</v>
      </c>
      <c r="Q42" s="17">
        <v>2.0783</v>
      </c>
      <c r="R42" s="17">
        <v>2.2496</v>
      </c>
      <c r="S42" s="17">
        <v>2.3001999999999998</v>
      </c>
      <c r="T42" s="17">
        <v>2.3001999999999998</v>
      </c>
      <c r="U42" s="17">
        <v>2.3001999999999998</v>
      </c>
      <c r="V42" s="17">
        <v>2.3001999999999998</v>
      </c>
      <c r="W42" s="17">
        <v>2.3001999999999998</v>
      </c>
      <c r="X42" s="17">
        <v>2.3001999999999998</v>
      </c>
      <c r="Y42" s="17">
        <v>2.3001999999999998</v>
      </c>
      <c r="Z42" s="17">
        <v>2.3001999999999998</v>
      </c>
      <c r="AA42" s="17">
        <v>2.3001999999999998</v>
      </c>
      <c r="AB42" s="17">
        <v>2.3001999999999998</v>
      </c>
      <c r="AC42" s="17">
        <v>2.3001999999999998</v>
      </c>
      <c r="AD42" s="17">
        <v>2.3001999999999998</v>
      </c>
      <c r="AE42" s="17">
        <v>2.3001999999999998</v>
      </c>
      <c r="AF42" s="18">
        <v>2.3001999999999998</v>
      </c>
    </row>
    <row r="43" spans="3:32" x14ac:dyDescent="0.3">
      <c r="C43" s="24" t="s">
        <v>191</v>
      </c>
      <c r="D43" s="24" t="s">
        <v>33</v>
      </c>
      <c r="E43" s="24" t="s">
        <v>28</v>
      </c>
      <c r="F43" s="24" t="s">
        <v>26</v>
      </c>
      <c r="G43" s="17">
        <v>0</v>
      </c>
      <c r="H43" s="17">
        <v>2.0000000000000001E-4</v>
      </c>
      <c r="I43" s="17">
        <v>1.1999999999999999E-3</v>
      </c>
      <c r="J43" s="17">
        <v>2.2000000000000001E-3</v>
      </c>
      <c r="K43" s="17">
        <v>7.0000000000000001E-3</v>
      </c>
      <c r="L43" s="17">
        <v>1.09E-2</v>
      </c>
      <c r="M43" s="17">
        <v>1.17E-2</v>
      </c>
      <c r="N43" s="17">
        <v>1.2800000000000001E-2</v>
      </c>
      <c r="O43" s="17">
        <v>1.2E-2</v>
      </c>
      <c r="P43" s="17">
        <v>1.6299999999999999E-2</v>
      </c>
      <c r="Q43" s="17">
        <v>1.44E-2</v>
      </c>
      <c r="R43" s="17">
        <v>1.2500000000000001E-2</v>
      </c>
      <c r="S43" s="17">
        <v>1.9E-2</v>
      </c>
      <c r="T43" s="17">
        <v>1.9E-2</v>
      </c>
      <c r="U43" s="17">
        <v>1.9E-2</v>
      </c>
      <c r="V43" s="17">
        <v>1.9E-2</v>
      </c>
      <c r="W43" s="17">
        <v>1.9E-2</v>
      </c>
      <c r="X43" s="17">
        <v>1.9E-2</v>
      </c>
      <c r="Y43" s="17">
        <v>1.9E-2</v>
      </c>
      <c r="Z43" s="17">
        <v>1.9E-2</v>
      </c>
      <c r="AA43" s="17">
        <v>1.9E-2</v>
      </c>
      <c r="AB43" s="17">
        <v>1.9E-2</v>
      </c>
      <c r="AC43" s="17">
        <v>1.9E-2</v>
      </c>
      <c r="AD43" s="17">
        <v>1.9E-2</v>
      </c>
      <c r="AE43" s="17">
        <v>1.9E-2</v>
      </c>
      <c r="AF43" s="18">
        <v>1.9E-2</v>
      </c>
    </row>
    <row r="44" spans="3:32" x14ac:dyDescent="0.3">
      <c r="C44" s="24" t="s">
        <v>191</v>
      </c>
      <c r="D44" s="24" t="s">
        <v>33</v>
      </c>
      <c r="E44" s="24" t="s">
        <v>138</v>
      </c>
      <c r="F44" s="24"/>
      <c r="G44" s="17">
        <f>SUM(G39:G43)</f>
        <v>5.7313000000000001</v>
      </c>
      <c r="H44" s="17">
        <f t="shared" ref="H44:AF44" si="5">SUM(H39:H43)</f>
        <v>4.8422000000000009</v>
      </c>
      <c r="I44" s="17">
        <f t="shared" si="5"/>
        <v>4.8503299999999996</v>
      </c>
      <c r="J44" s="17">
        <f t="shared" si="5"/>
        <v>4.5150000000000006</v>
      </c>
      <c r="K44" s="17">
        <f t="shared" si="5"/>
        <v>4.8464999999999989</v>
      </c>
      <c r="L44" s="17">
        <f t="shared" si="5"/>
        <v>4.7670000000000003</v>
      </c>
      <c r="M44" s="17">
        <f t="shared" si="5"/>
        <v>3.7757999999999998</v>
      </c>
      <c r="N44" s="17">
        <f t="shared" si="5"/>
        <v>2.8512</v>
      </c>
      <c r="O44" s="17">
        <f t="shared" si="5"/>
        <v>2.9537999999999998</v>
      </c>
      <c r="P44" s="17">
        <f t="shared" si="5"/>
        <v>2.6669</v>
      </c>
      <c r="Q44" s="17">
        <f t="shared" si="5"/>
        <v>2.4088000000000003</v>
      </c>
      <c r="R44" s="17">
        <f t="shared" si="5"/>
        <v>2.5703000000000005</v>
      </c>
      <c r="S44" s="17">
        <f t="shared" si="5"/>
        <v>3.0112999999999999</v>
      </c>
      <c r="T44" s="17">
        <f t="shared" si="5"/>
        <v>3.0103</v>
      </c>
      <c r="U44" s="17">
        <f t="shared" si="5"/>
        <v>3.0103</v>
      </c>
      <c r="V44" s="17">
        <f t="shared" si="5"/>
        <v>3.0103</v>
      </c>
      <c r="W44" s="17">
        <f t="shared" si="5"/>
        <v>3.0103</v>
      </c>
      <c r="X44" s="17">
        <f t="shared" si="5"/>
        <v>3.0103</v>
      </c>
      <c r="Y44" s="17">
        <f t="shared" si="5"/>
        <v>3.0103</v>
      </c>
      <c r="Z44" s="17">
        <f t="shared" si="5"/>
        <v>3.0103</v>
      </c>
      <c r="AA44" s="17">
        <f t="shared" si="5"/>
        <v>3.0103</v>
      </c>
      <c r="AB44" s="17">
        <f t="shared" si="5"/>
        <v>3.0103</v>
      </c>
      <c r="AC44" s="17">
        <f t="shared" si="5"/>
        <v>3.0103</v>
      </c>
      <c r="AD44" s="17">
        <f t="shared" si="5"/>
        <v>3.0103</v>
      </c>
      <c r="AE44" s="17">
        <f t="shared" si="5"/>
        <v>3.0103</v>
      </c>
      <c r="AF44" s="18">
        <f t="shared" si="5"/>
        <v>3.0103</v>
      </c>
    </row>
    <row r="45" spans="3:32" x14ac:dyDescent="0.3">
      <c r="C45" s="24" t="s">
        <v>191</v>
      </c>
      <c r="D45" s="24" t="s">
        <v>33</v>
      </c>
      <c r="E45" s="24" t="s">
        <v>24</v>
      </c>
      <c r="F45" s="24" t="s">
        <v>5</v>
      </c>
      <c r="G45" s="17">
        <v>2.1141999999999999</v>
      </c>
      <c r="H45" s="17">
        <v>1.6572</v>
      </c>
      <c r="I45" s="17">
        <v>1.8455999999999999</v>
      </c>
      <c r="J45" s="17">
        <v>3.7858999999999998</v>
      </c>
      <c r="K45" s="17">
        <v>4.0774999999999997</v>
      </c>
      <c r="L45" s="17">
        <v>3.7320000000000002</v>
      </c>
      <c r="M45" s="17">
        <v>2.8694199999999999</v>
      </c>
      <c r="N45" s="17">
        <v>0.114096</v>
      </c>
      <c r="O45" s="17">
        <v>0.26740599999999998</v>
      </c>
      <c r="P45" s="17">
        <v>0.64266100000000004</v>
      </c>
      <c r="Q45" s="17">
        <v>0.74351500000000004</v>
      </c>
      <c r="R45" s="17">
        <v>9.2768799999999998E-2</v>
      </c>
      <c r="S45" s="17">
        <v>0.44201600000000002</v>
      </c>
      <c r="T45" s="17">
        <v>0.44201600000000002</v>
      </c>
      <c r="U45" s="17">
        <v>0.44201600000000002</v>
      </c>
      <c r="V45" s="17">
        <v>0.44201600000000002</v>
      </c>
      <c r="W45" s="17">
        <v>0.44201600000000002</v>
      </c>
      <c r="X45" s="17">
        <v>0.44201600000000002</v>
      </c>
      <c r="Y45" s="17">
        <v>0.44201600000000002</v>
      </c>
      <c r="Z45" s="17">
        <v>0.44201600000000002</v>
      </c>
      <c r="AA45" s="17">
        <v>0.44201600000000002</v>
      </c>
      <c r="AB45" s="17">
        <v>0.44201600000000002</v>
      </c>
      <c r="AC45" s="17">
        <v>0.44201600000000002</v>
      </c>
      <c r="AD45" s="17">
        <v>0.44201600000000002</v>
      </c>
      <c r="AE45" s="17">
        <v>0.44201600000000002</v>
      </c>
      <c r="AF45" s="18">
        <v>0.44201600000000002</v>
      </c>
    </row>
    <row r="46" spans="3:32" x14ac:dyDescent="0.3">
      <c r="C46" s="24" t="s">
        <v>191</v>
      </c>
      <c r="D46" s="24" t="s">
        <v>33</v>
      </c>
      <c r="E46" s="24" t="s">
        <v>24</v>
      </c>
      <c r="F46" s="24" t="s">
        <v>27</v>
      </c>
      <c r="G46" s="17">
        <v>1.24E-2</v>
      </c>
      <c r="H46" s="17">
        <v>1.2E-2</v>
      </c>
      <c r="I46" s="17">
        <v>8.6E-3</v>
      </c>
      <c r="J46" s="17">
        <v>0.2041</v>
      </c>
      <c r="K46" s="17">
        <v>0.28689999999999999</v>
      </c>
      <c r="L46" s="17">
        <v>0.33289999999999997</v>
      </c>
      <c r="M46" s="17">
        <v>0.28089999999999998</v>
      </c>
      <c r="N46" s="17">
        <v>0.2419</v>
      </c>
      <c r="O46" s="17">
        <v>0.26529999999999998</v>
      </c>
      <c r="P46" s="17">
        <v>0.28789999999999999</v>
      </c>
      <c r="Q46" s="17">
        <v>0.25790000000000002</v>
      </c>
      <c r="R46" s="17">
        <v>0.2162</v>
      </c>
      <c r="S46" s="17">
        <v>0.2084</v>
      </c>
      <c r="T46" s="17">
        <v>0.21879999999999999</v>
      </c>
      <c r="U46" s="17">
        <v>0.21879999999999999</v>
      </c>
      <c r="V46" s="17">
        <v>0.21879999999999999</v>
      </c>
      <c r="W46" s="17">
        <v>0.21879999999999999</v>
      </c>
      <c r="X46" s="17">
        <v>0.21879999999999999</v>
      </c>
      <c r="Y46" s="17">
        <v>0.21879999999999999</v>
      </c>
      <c r="Z46" s="17">
        <v>0.21879999999999999</v>
      </c>
      <c r="AA46" s="17">
        <v>0.21879999999999999</v>
      </c>
      <c r="AB46" s="17">
        <v>0.21879999999999999</v>
      </c>
      <c r="AC46" s="17">
        <v>0.21879999999999999</v>
      </c>
      <c r="AD46" s="17">
        <v>0.21879999999999999</v>
      </c>
      <c r="AE46" s="17">
        <v>0.21879999999999999</v>
      </c>
      <c r="AF46" s="18">
        <v>0.21879999999999999</v>
      </c>
    </row>
    <row r="47" spans="3:32" x14ac:dyDescent="0.3">
      <c r="C47" s="24" t="s">
        <v>191</v>
      </c>
      <c r="D47" s="24" t="s">
        <v>33</v>
      </c>
      <c r="E47" s="24" t="s">
        <v>24</v>
      </c>
      <c r="F47" s="24" t="s">
        <v>4</v>
      </c>
      <c r="G47" s="17">
        <v>18.665800000000001</v>
      </c>
      <c r="H47" s="17">
        <v>14.630599999999999</v>
      </c>
      <c r="I47" s="17">
        <v>16.294599999999999</v>
      </c>
      <c r="J47" s="17">
        <v>19.744399999999999</v>
      </c>
      <c r="K47" s="17">
        <v>21.2654</v>
      </c>
      <c r="L47" s="17">
        <v>19.463200000000001</v>
      </c>
      <c r="M47" s="17">
        <v>16.279</v>
      </c>
      <c r="N47" s="17">
        <v>14.400600000000001</v>
      </c>
      <c r="O47" s="17">
        <v>16.562899999999999</v>
      </c>
      <c r="P47" s="17">
        <v>7.5076499999999999</v>
      </c>
      <c r="Q47" s="17">
        <v>9.0900700000000008</v>
      </c>
      <c r="R47" s="17">
        <v>10.6425</v>
      </c>
      <c r="S47" s="17">
        <v>16.156099999999999</v>
      </c>
      <c r="T47" s="17">
        <v>22.714200000000002</v>
      </c>
      <c r="U47" s="17">
        <v>26.206299999999999</v>
      </c>
      <c r="V47" s="17">
        <v>27.438400000000001</v>
      </c>
      <c r="W47" s="17">
        <v>22.574400000000001</v>
      </c>
      <c r="X47" s="17">
        <v>21.4512</v>
      </c>
      <c r="Y47" s="17">
        <v>22.2331</v>
      </c>
      <c r="Z47" s="17">
        <v>23.389800000000001</v>
      </c>
      <c r="AA47" s="17">
        <v>26.730799999999999</v>
      </c>
      <c r="AB47" s="17">
        <v>29.7592</v>
      </c>
      <c r="AC47" s="17">
        <v>33.344200000000001</v>
      </c>
      <c r="AD47" s="17">
        <v>36.327599999999997</v>
      </c>
      <c r="AE47" s="17">
        <v>39.81</v>
      </c>
      <c r="AF47" s="18">
        <v>42.493600000000001</v>
      </c>
    </row>
    <row r="48" spans="3:32" x14ac:dyDescent="0.3">
      <c r="C48" s="24" t="s">
        <v>191</v>
      </c>
      <c r="D48" s="24" t="s">
        <v>33</v>
      </c>
      <c r="E48" s="24" t="s">
        <v>24</v>
      </c>
      <c r="F48" s="24" t="s">
        <v>15</v>
      </c>
      <c r="G48" s="17">
        <v>5.3754</v>
      </c>
      <c r="H48" s="17">
        <v>4.3733899999999997</v>
      </c>
      <c r="I48" s="17">
        <v>4.4791999999999996</v>
      </c>
      <c r="J48" s="17">
        <v>5.7645</v>
      </c>
      <c r="K48" s="17">
        <v>6.2085999999999997</v>
      </c>
      <c r="L48" s="17">
        <v>8.0546100000000003</v>
      </c>
      <c r="M48" s="17">
        <v>7.9401999999999999</v>
      </c>
      <c r="N48" s="17">
        <v>6.6891999999999996</v>
      </c>
      <c r="O48" s="17">
        <v>4.8591499999999996</v>
      </c>
      <c r="P48" s="17">
        <v>4.4285500000000004</v>
      </c>
      <c r="Q48" s="17">
        <v>3.6995</v>
      </c>
      <c r="R48" s="17">
        <v>3.1267</v>
      </c>
      <c r="S48" s="17">
        <v>2.9497</v>
      </c>
      <c r="T48" s="17">
        <v>2.9497</v>
      </c>
      <c r="U48" s="17">
        <v>2.9497</v>
      </c>
      <c r="V48" s="17">
        <v>2.9497</v>
      </c>
      <c r="W48" s="17">
        <v>2.9497</v>
      </c>
      <c r="X48" s="17">
        <v>2.9497</v>
      </c>
      <c r="Y48" s="17">
        <v>2.9497</v>
      </c>
      <c r="Z48" s="17">
        <v>2.9497</v>
      </c>
      <c r="AA48" s="17">
        <v>2.9497</v>
      </c>
      <c r="AB48" s="17">
        <v>2.9497</v>
      </c>
      <c r="AC48" s="17">
        <v>2.9497</v>
      </c>
      <c r="AD48" s="17">
        <v>2.9497</v>
      </c>
      <c r="AE48" s="17">
        <v>2.9497</v>
      </c>
      <c r="AF48" s="18">
        <v>2.9497</v>
      </c>
    </row>
    <row r="49" spans="3:32" x14ac:dyDescent="0.3">
      <c r="C49" s="24" t="s">
        <v>191</v>
      </c>
      <c r="D49" s="24" t="s">
        <v>33</v>
      </c>
      <c r="E49" s="24" t="s">
        <v>24</v>
      </c>
      <c r="F49" s="24" t="s">
        <v>150</v>
      </c>
      <c r="G49" s="17">
        <v>15.256500000000001</v>
      </c>
      <c r="H49" s="17">
        <v>19.9255</v>
      </c>
      <c r="I49" s="17">
        <v>21.841999999999999</v>
      </c>
      <c r="J49" s="17">
        <v>18.273800000000001</v>
      </c>
      <c r="K49" s="17">
        <v>18.927700000000002</v>
      </c>
      <c r="L49" s="17">
        <v>21.771599999999999</v>
      </c>
      <c r="M49" s="17">
        <v>18.581600000000002</v>
      </c>
      <c r="N49" s="17">
        <v>16.6113</v>
      </c>
      <c r="O49" s="17">
        <v>17.6539</v>
      </c>
      <c r="P49" s="17">
        <v>20.191500000000001</v>
      </c>
      <c r="Q49" s="17">
        <v>18.715699999999998</v>
      </c>
      <c r="R49" s="17">
        <v>19.755299999999998</v>
      </c>
      <c r="S49" s="17">
        <v>18.542300000000001</v>
      </c>
      <c r="T49" s="17">
        <v>18.542300000000001</v>
      </c>
      <c r="U49" s="17">
        <v>18.542300000000001</v>
      </c>
      <c r="V49" s="17">
        <v>18.542300000000001</v>
      </c>
      <c r="W49" s="17">
        <v>18.542300000000001</v>
      </c>
      <c r="X49" s="17">
        <v>18.542300000000001</v>
      </c>
      <c r="Y49" s="17">
        <v>18.542300000000001</v>
      </c>
      <c r="Z49" s="17">
        <v>18.542300000000001</v>
      </c>
      <c r="AA49" s="17">
        <v>18.542300000000001</v>
      </c>
      <c r="AB49" s="17">
        <v>18.542300000000001</v>
      </c>
      <c r="AC49" s="17">
        <v>18.542300000000001</v>
      </c>
      <c r="AD49" s="17">
        <v>18.542300000000001</v>
      </c>
      <c r="AE49" s="17">
        <v>18.542300000000001</v>
      </c>
      <c r="AF49" s="18">
        <v>18.542300000000001</v>
      </c>
    </row>
    <row r="50" spans="3:32" x14ac:dyDescent="0.3">
      <c r="C50" s="24" t="s">
        <v>191</v>
      </c>
      <c r="D50" s="24" t="s">
        <v>33</v>
      </c>
      <c r="E50" s="24" t="s">
        <v>24</v>
      </c>
      <c r="F50" s="24" t="s">
        <v>140</v>
      </c>
      <c r="G50" s="17">
        <v>4.7373000000000003</v>
      </c>
      <c r="H50" s="17">
        <v>3.7984</v>
      </c>
      <c r="I50" s="17">
        <v>4.4413</v>
      </c>
      <c r="J50" s="17">
        <v>3.8422999999999998</v>
      </c>
      <c r="K50" s="17">
        <v>4.0652999999999997</v>
      </c>
      <c r="L50" s="17">
        <v>5.0350000000000001</v>
      </c>
      <c r="M50" s="17">
        <v>3.96</v>
      </c>
      <c r="N50" s="17">
        <v>3.6414</v>
      </c>
      <c r="O50" s="17">
        <v>3.3877000000000002</v>
      </c>
      <c r="P50" s="17">
        <v>3.9607000000000001</v>
      </c>
      <c r="Q50" s="17">
        <v>3.4447000000000001</v>
      </c>
      <c r="R50" s="17">
        <v>4.0126999999999997</v>
      </c>
      <c r="S50" s="17">
        <v>3.3065000000000002</v>
      </c>
      <c r="T50" s="17">
        <v>3.3065000000000002</v>
      </c>
      <c r="U50" s="17">
        <v>3.3065000000000002</v>
      </c>
      <c r="V50" s="17">
        <v>3.3065000000000002</v>
      </c>
      <c r="W50" s="17">
        <v>5.6951999999999998</v>
      </c>
      <c r="X50" s="17">
        <v>5.6951999999999998</v>
      </c>
      <c r="Y50" s="17">
        <v>5.6951999999999998</v>
      </c>
      <c r="Z50" s="17">
        <v>5.6951999999999998</v>
      </c>
      <c r="AA50" s="17">
        <v>5.6951999999999998</v>
      </c>
      <c r="AB50" s="17">
        <v>5.6951999999999998</v>
      </c>
      <c r="AC50" s="17">
        <v>5.6951999999999998</v>
      </c>
      <c r="AD50" s="17">
        <v>5.6951999999999998</v>
      </c>
      <c r="AE50" s="17">
        <v>5.6951999999999998</v>
      </c>
      <c r="AF50" s="18">
        <v>5.6951999999999998</v>
      </c>
    </row>
    <row r="51" spans="3:32" x14ac:dyDescent="0.3">
      <c r="C51" s="24" t="s">
        <v>191</v>
      </c>
      <c r="D51" s="24" t="s">
        <v>33</v>
      </c>
      <c r="E51" s="24" t="s">
        <v>24</v>
      </c>
      <c r="F51" s="24" t="s">
        <v>141</v>
      </c>
      <c r="G51" s="17">
        <v>0</v>
      </c>
      <c r="H51" s="17">
        <v>0</v>
      </c>
      <c r="I51" s="17">
        <v>0</v>
      </c>
      <c r="J51" s="17">
        <v>0</v>
      </c>
      <c r="K51" s="17">
        <v>0</v>
      </c>
      <c r="L51" s="17">
        <v>0</v>
      </c>
      <c r="M51" s="17">
        <v>0</v>
      </c>
      <c r="N51" s="17">
        <v>0</v>
      </c>
      <c r="O51" s="17">
        <v>0</v>
      </c>
      <c r="P51" s="17">
        <v>0</v>
      </c>
      <c r="Q51" s="17">
        <v>0</v>
      </c>
      <c r="R51" s="17">
        <v>0</v>
      </c>
      <c r="S51" s="17">
        <v>0</v>
      </c>
      <c r="T51" s="17">
        <v>0</v>
      </c>
      <c r="U51" s="17">
        <v>0</v>
      </c>
      <c r="V51" s="17">
        <v>0</v>
      </c>
      <c r="W51" s="17">
        <v>2.1700000000000001E-2</v>
      </c>
      <c r="X51" s="17">
        <v>4.3499999999999997E-2</v>
      </c>
      <c r="Y51" s="17">
        <v>6.5199999999999994E-2</v>
      </c>
      <c r="Z51" s="17">
        <v>6.5199999999999994E-2</v>
      </c>
      <c r="AA51" s="17">
        <v>6.5199999999999994E-2</v>
      </c>
      <c r="AB51" s="17">
        <v>6.5199999999999994E-2</v>
      </c>
      <c r="AC51" s="17">
        <v>6.5199999999999994E-2</v>
      </c>
      <c r="AD51" s="17">
        <v>6.5199999999999994E-2</v>
      </c>
      <c r="AE51" s="17">
        <v>6.5199999999999994E-2</v>
      </c>
      <c r="AF51" s="18">
        <v>6.5199999999999994E-2</v>
      </c>
    </row>
    <row r="52" spans="3:32" x14ac:dyDescent="0.3">
      <c r="C52" s="24" t="s">
        <v>191</v>
      </c>
      <c r="D52" s="24" t="s">
        <v>33</v>
      </c>
      <c r="E52" s="24" t="s">
        <v>24</v>
      </c>
      <c r="F52" s="24" t="s">
        <v>142</v>
      </c>
      <c r="G52" s="17">
        <v>2.6936</v>
      </c>
      <c r="H52" s="17">
        <v>3.5179</v>
      </c>
      <c r="I52" s="17">
        <v>3.9350000000000001</v>
      </c>
      <c r="J52" s="17">
        <v>4.0526999999999997</v>
      </c>
      <c r="K52" s="17">
        <v>4.1978</v>
      </c>
      <c r="L52" s="17">
        <v>4.8285</v>
      </c>
      <c r="M52" s="17">
        <v>4.9421999999999997</v>
      </c>
      <c r="N52" s="17">
        <v>4.5850999999999997</v>
      </c>
      <c r="O52" s="17">
        <v>3.9491999999999998</v>
      </c>
      <c r="P52" s="17">
        <v>5.1433999999999997</v>
      </c>
      <c r="Q52" s="17">
        <v>4.0086000000000004</v>
      </c>
      <c r="R52" s="17">
        <v>4.6410999999999998</v>
      </c>
      <c r="S52" s="17">
        <v>4.5457999999999998</v>
      </c>
      <c r="T52" s="17">
        <v>4.5457999999999998</v>
      </c>
      <c r="U52" s="17">
        <v>4.5457999999999998</v>
      </c>
      <c r="V52" s="17">
        <v>5.6341000000000001</v>
      </c>
      <c r="W52" s="17">
        <v>6.7222999999999997</v>
      </c>
      <c r="X52" s="17">
        <v>7.8106</v>
      </c>
      <c r="Y52" s="17">
        <v>7.8106</v>
      </c>
      <c r="Z52" s="17">
        <v>7.8106</v>
      </c>
      <c r="AA52" s="17">
        <v>7.8106</v>
      </c>
      <c r="AB52" s="17">
        <v>7.8106</v>
      </c>
      <c r="AC52" s="17">
        <v>7.8106</v>
      </c>
      <c r="AD52" s="17">
        <v>7.8106</v>
      </c>
      <c r="AE52" s="17">
        <v>7.8106</v>
      </c>
      <c r="AF52" s="18">
        <v>7.8106</v>
      </c>
    </row>
    <row r="53" spans="3:32" x14ac:dyDescent="0.3">
      <c r="C53" s="24" t="s">
        <v>191</v>
      </c>
      <c r="D53" s="24" t="s">
        <v>33</v>
      </c>
      <c r="E53" s="24" t="s">
        <v>24</v>
      </c>
      <c r="F53" s="24" t="s">
        <v>143</v>
      </c>
      <c r="G53" s="17">
        <v>0</v>
      </c>
      <c r="H53" s="17">
        <v>0</v>
      </c>
      <c r="I53" s="17">
        <v>0</v>
      </c>
      <c r="J53" s="17">
        <v>0.1211</v>
      </c>
      <c r="K53" s="17">
        <v>0.12540000000000001</v>
      </c>
      <c r="L53" s="17">
        <v>0.14427200000000001</v>
      </c>
      <c r="M53" s="17">
        <v>0.45029999999999998</v>
      </c>
      <c r="N53" s="17">
        <v>0.47410000000000002</v>
      </c>
      <c r="O53" s="17">
        <v>0.37566500000000003</v>
      </c>
      <c r="P53" s="17">
        <v>0.54190000000000005</v>
      </c>
      <c r="Q53" s="17">
        <v>0.51370000000000005</v>
      </c>
      <c r="R53" s="17">
        <v>0.5413</v>
      </c>
      <c r="S53" s="17">
        <v>0.50470000000000004</v>
      </c>
      <c r="T53" s="17">
        <v>0.70009999999999994</v>
      </c>
      <c r="U53" s="17">
        <v>0.89539999999999997</v>
      </c>
      <c r="V53" s="17">
        <v>0.89539999999999997</v>
      </c>
      <c r="W53" s="17">
        <v>0.89539999999999997</v>
      </c>
      <c r="X53" s="17">
        <v>0.89539999999999997</v>
      </c>
      <c r="Y53" s="17">
        <v>0.89539999999999997</v>
      </c>
      <c r="Z53" s="17">
        <v>0.89539999999999997</v>
      </c>
      <c r="AA53" s="17">
        <v>0.89539999999999997</v>
      </c>
      <c r="AB53" s="17">
        <v>0.89539999999999997</v>
      </c>
      <c r="AC53" s="17">
        <v>0.89539999999999997</v>
      </c>
      <c r="AD53" s="17">
        <v>0.89539999999999997</v>
      </c>
      <c r="AE53" s="17">
        <v>0.89539999999999997</v>
      </c>
      <c r="AF53" s="18">
        <v>0.89539999999999997</v>
      </c>
    </row>
    <row r="54" spans="3:32" x14ac:dyDescent="0.3">
      <c r="C54" s="24" t="s">
        <v>191</v>
      </c>
      <c r="D54" s="24" t="s">
        <v>33</v>
      </c>
      <c r="E54" s="24" t="s">
        <v>24</v>
      </c>
      <c r="F54" s="24" t="s">
        <v>144</v>
      </c>
      <c r="G54" s="17">
        <v>0</v>
      </c>
      <c r="H54" s="17">
        <v>0</v>
      </c>
      <c r="I54" s="17">
        <v>0</v>
      </c>
      <c r="J54" s="17">
        <v>0</v>
      </c>
      <c r="K54" s="17">
        <v>0</v>
      </c>
      <c r="L54" s="17">
        <v>0</v>
      </c>
      <c r="M54" s="17">
        <v>10.5909</v>
      </c>
      <c r="N54" s="17">
        <v>21.2898</v>
      </c>
      <c r="O54" s="17">
        <v>22.322600000000001</v>
      </c>
      <c r="P54" s="17">
        <v>23.046900000000001</v>
      </c>
      <c r="Q54" s="17">
        <v>24.464099999999998</v>
      </c>
      <c r="R54" s="17">
        <v>23.758500000000002</v>
      </c>
      <c r="S54" s="17">
        <v>24.581299999999999</v>
      </c>
      <c r="T54" s="17">
        <v>24.581299999999999</v>
      </c>
      <c r="U54" s="17">
        <v>24.581299999999999</v>
      </c>
      <c r="V54" s="17">
        <v>24.581299999999999</v>
      </c>
      <c r="W54" s="17">
        <v>27.341799999999999</v>
      </c>
      <c r="X54" s="17">
        <v>30.1022</v>
      </c>
      <c r="Y54" s="17">
        <v>32.8626</v>
      </c>
      <c r="Z54" s="17">
        <v>33.7883</v>
      </c>
      <c r="AA54" s="17">
        <v>33.7883</v>
      </c>
      <c r="AB54" s="17">
        <v>33.7883</v>
      </c>
      <c r="AC54" s="17">
        <v>33.7883</v>
      </c>
      <c r="AD54" s="17">
        <v>33.7883</v>
      </c>
      <c r="AE54" s="17">
        <v>33.7883</v>
      </c>
      <c r="AF54" s="18">
        <v>33.7883</v>
      </c>
    </row>
    <row r="55" spans="3:32" x14ac:dyDescent="0.3">
      <c r="C55" s="24" t="s">
        <v>191</v>
      </c>
      <c r="D55" s="24" t="s">
        <v>33</v>
      </c>
      <c r="E55" s="24" t="s">
        <v>24</v>
      </c>
      <c r="F55" s="24" t="s">
        <v>145</v>
      </c>
      <c r="G55" s="17">
        <v>0</v>
      </c>
      <c r="H55" s="17">
        <v>0</v>
      </c>
      <c r="I55" s="17">
        <v>0</v>
      </c>
      <c r="J55" s="17">
        <v>0</v>
      </c>
      <c r="K55" s="17">
        <v>0</v>
      </c>
      <c r="L55" s="17">
        <v>0</v>
      </c>
      <c r="M55" s="17">
        <v>0</v>
      </c>
      <c r="N55" s="17">
        <v>0</v>
      </c>
      <c r="O55" s="17">
        <v>1.2813000000000001</v>
      </c>
      <c r="P55" s="17">
        <v>5.8933999999999997</v>
      </c>
      <c r="Q55" s="17">
        <v>6.7153999999999998</v>
      </c>
      <c r="R55" s="17">
        <v>7.2458</v>
      </c>
      <c r="S55" s="17">
        <v>6.3391000000000002</v>
      </c>
      <c r="T55" s="17">
        <v>6.3391000000000002</v>
      </c>
      <c r="U55" s="17">
        <v>6.3391000000000002</v>
      </c>
      <c r="V55" s="17">
        <v>6.3391000000000002</v>
      </c>
      <c r="W55" s="17">
        <v>6.3391000000000002</v>
      </c>
      <c r="X55" s="17">
        <v>6.3391000000000002</v>
      </c>
      <c r="Y55" s="17">
        <v>6.3391000000000002</v>
      </c>
      <c r="Z55" s="17">
        <v>6.3391000000000002</v>
      </c>
      <c r="AA55" s="17">
        <v>6.3391000000000002</v>
      </c>
      <c r="AB55" s="17">
        <v>6.3391000000000002</v>
      </c>
      <c r="AC55" s="17">
        <v>6.3391000000000002</v>
      </c>
      <c r="AD55" s="17">
        <v>6.3391000000000002</v>
      </c>
      <c r="AE55" s="17">
        <v>6.3391000000000002</v>
      </c>
      <c r="AF55" s="18">
        <v>6.3391000000000002</v>
      </c>
    </row>
    <row r="56" spans="3:32" x14ac:dyDescent="0.3">
      <c r="C56" s="24" t="s">
        <v>191</v>
      </c>
      <c r="D56" s="24" t="s">
        <v>33</v>
      </c>
      <c r="E56" s="24" t="s">
        <v>24</v>
      </c>
      <c r="F56" s="24" t="s">
        <v>146</v>
      </c>
      <c r="G56" s="17">
        <v>0.34420000000000001</v>
      </c>
      <c r="H56" s="17">
        <v>0.44950000000000001</v>
      </c>
      <c r="I56" s="17">
        <v>0.49270000000000003</v>
      </c>
      <c r="J56" s="17">
        <v>0.44719999999999999</v>
      </c>
      <c r="K56" s="17">
        <v>0.4632</v>
      </c>
      <c r="L56" s="17">
        <v>0.53280000000000005</v>
      </c>
      <c r="M56" s="17">
        <v>0.55859999999999999</v>
      </c>
      <c r="N56" s="17">
        <v>0.63590000000000002</v>
      </c>
      <c r="O56" s="17">
        <v>0.56081599999999998</v>
      </c>
      <c r="P56" s="17">
        <v>1.5667</v>
      </c>
      <c r="Q56" s="17">
        <v>1.7225999999999999</v>
      </c>
      <c r="R56" s="17">
        <v>1.6871</v>
      </c>
      <c r="S56" s="17">
        <v>1.5395000000000001</v>
      </c>
      <c r="T56" s="17">
        <v>1.5395000000000001</v>
      </c>
      <c r="U56" s="17">
        <v>1.5395000000000001</v>
      </c>
      <c r="V56" s="17">
        <v>1.5395000000000001</v>
      </c>
      <c r="W56" s="17">
        <v>1.5395000000000001</v>
      </c>
      <c r="X56" s="17">
        <v>1.5395000000000001</v>
      </c>
      <c r="Y56" s="17">
        <v>1.5395000000000001</v>
      </c>
      <c r="Z56" s="17">
        <v>1.5395000000000001</v>
      </c>
      <c r="AA56" s="17">
        <v>1.5395000000000001</v>
      </c>
      <c r="AB56" s="17">
        <v>1.5395000000000001</v>
      </c>
      <c r="AC56" s="17">
        <v>1.5395000000000001</v>
      </c>
      <c r="AD56" s="17">
        <v>1.5395000000000001</v>
      </c>
      <c r="AE56" s="17">
        <v>1.5395000000000001</v>
      </c>
      <c r="AF56" s="18">
        <v>1.5395000000000001</v>
      </c>
    </row>
    <row r="57" spans="3:32" x14ac:dyDescent="0.3">
      <c r="C57" s="24" t="s">
        <v>191</v>
      </c>
      <c r="D57" s="24" t="s">
        <v>33</v>
      </c>
      <c r="E57" s="24" t="s">
        <v>24</v>
      </c>
      <c r="F57" s="24" t="s">
        <v>147</v>
      </c>
      <c r="G57" s="17">
        <v>3.2037</v>
      </c>
      <c r="H57" s="17">
        <v>4.1841999999999997</v>
      </c>
      <c r="I57" s="17">
        <v>4.5865999999999998</v>
      </c>
      <c r="J57" s="17">
        <v>4.9280999999999997</v>
      </c>
      <c r="K57" s="17">
        <v>5.1044999999999998</v>
      </c>
      <c r="L57" s="17">
        <v>5.7539999999999996</v>
      </c>
      <c r="M57" s="17">
        <v>5.2401</v>
      </c>
      <c r="N57" s="17">
        <v>5.5826000000000002</v>
      </c>
      <c r="O57" s="17">
        <v>4.5362999999999998</v>
      </c>
      <c r="P57" s="17">
        <v>5.8681999999999999</v>
      </c>
      <c r="Q57" s="17">
        <v>5.7624000000000004</v>
      </c>
      <c r="R57" s="17">
        <v>6.1596000000000002</v>
      </c>
      <c r="S57" s="17">
        <v>5.4497</v>
      </c>
      <c r="T57" s="17">
        <v>5.4497</v>
      </c>
      <c r="U57" s="17">
        <v>5.4497</v>
      </c>
      <c r="V57" s="17">
        <v>5.4497</v>
      </c>
      <c r="W57" s="17">
        <v>5.4497</v>
      </c>
      <c r="X57" s="17">
        <v>5.4497</v>
      </c>
      <c r="Y57" s="17">
        <v>5.4497</v>
      </c>
      <c r="Z57" s="17">
        <v>5.4497</v>
      </c>
      <c r="AA57" s="17">
        <v>5.4497</v>
      </c>
      <c r="AB57" s="17">
        <v>5.4497</v>
      </c>
      <c r="AC57" s="17">
        <v>5.4497</v>
      </c>
      <c r="AD57" s="17">
        <v>5.4497</v>
      </c>
      <c r="AE57" s="17">
        <v>5.4497</v>
      </c>
      <c r="AF57" s="18">
        <v>5.4497</v>
      </c>
    </row>
    <row r="58" spans="3:32" x14ac:dyDescent="0.3">
      <c r="C58" s="24" t="s">
        <v>191</v>
      </c>
      <c r="D58" s="24" t="s">
        <v>33</v>
      </c>
      <c r="E58" s="24" t="s">
        <v>24</v>
      </c>
      <c r="F58" s="24" t="s">
        <v>148</v>
      </c>
      <c r="G58" s="17">
        <v>1.0676000000000001</v>
      </c>
      <c r="H58" s="17">
        <v>1.3944000000000001</v>
      </c>
      <c r="I58" s="17">
        <v>1.5285</v>
      </c>
      <c r="J58" s="17">
        <v>1.7301</v>
      </c>
      <c r="K58" s="17">
        <v>1.792</v>
      </c>
      <c r="L58" s="17">
        <v>2.0613000000000001</v>
      </c>
      <c r="M58" s="17">
        <v>2.0655000000000001</v>
      </c>
      <c r="N58" s="17">
        <v>3.0438999999999998</v>
      </c>
      <c r="O58" s="17">
        <v>2.9963000000000002</v>
      </c>
      <c r="P58" s="17">
        <v>3.2222</v>
      </c>
      <c r="Q58" s="17">
        <v>3.0135000000000001</v>
      </c>
      <c r="R58" s="17">
        <v>3.3111999999999999</v>
      </c>
      <c r="S58" s="17">
        <v>3.3191999999999999</v>
      </c>
      <c r="T58" s="17">
        <v>3.3191999999999999</v>
      </c>
      <c r="U58" s="17">
        <v>3.3191999999999999</v>
      </c>
      <c r="V58" s="17">
        <v>3.3191999999999999</v>
      </c>
      <c r="W58" s="17">
        <v>3.3191999999999999</v>
      </c>
      <c r="X58" s="17">
        <v>3.3191999999999999</v>
      </c>
      <c r="Y58" s="17">
        <v>3.3191999999999999</v>
      </c>
      <c r="Z58" s="17">
        <v>3.3191999999999999</v>
      </c>
      <c r="AA58" s="17">
        <v>3.3191999999999999</v>
      </c>
      <c r="AB58" s="17">
        <v>3.3191999999999999</v>
      </c>
      <c r="AC58" s="17">
        <v>3.3191999999999999</v>
      </c>
      <c r="AD58" s="17">
        <v>3.3191999999999999</v>
      </c>
      <c r="AE58" s="17">
        <v>3.3191999999999999</v>
      </c>
      <c r="AF58" s="18">
        <v>3.3191999999999999</v>
      </c>
    </row>
    <row r="59" spans="3:32" x14ac:dyDescent="0.3">
      <c r="C59" s="24" t="s">
        <v>191</v>
      </c>
      <c r="D59" s="24" t="s">
        <v>33</v>
      </c>
      <c r="E59" s="24" t="s">
        <v>24</v>
      </c>
      <c r="F59" s="24" t="s">
        <v>26</v>
      </c>
      <c r="G59" s="17">
        <v>0</v>
      </c>
      <c r="H59" s="17">
        <v>0</v>
      </c>
      <c r="I59" s="17">
        <v>3.5000000000000001E-3</v>
      </c>
      <c r="J59" s="17">
        <v>2.4500000000000001E-2</v>
      </c>
      <c r="K59" s="17">
        <v>2.4799999999999999E-2</v>
      </c>
      <c r="L59" s="17">
        <v>2.5700000000000001E-2</v>
      </c>
      <c r="M59" s="17">
        <v>2.5700000000000001E-2</v>
      </c>
      <c r="N59" s="17">
        <v>2.5700000000000001E-2</v>
      </c>
      <c r="O59" s="17">
        <v>2.5700000000000001E-2</v>
      </c>
      <c r="P59" s="17">
        <v>2.5700000000000001E-2</v>
      </c>
      <c r="Q59" s="17">
        <v>2.5700000000000001E-2</v>
      </c>
      <c r="R59" s="17">
        <v>2.5700000000000001E-2</v>
      </c>
      <c r="S59" s="17">
        <v>2.5700000000000001E-2</v>
      </c>
      <c r="T59" s="17">
        <v>2.5700000000000001E-2</v>
      </c>
      <c r="U59" s="17">
        <v>2.5700000000000001E-2</v>
      </c>
      <c r="V59" s="17">
        <v>2.5700000000000001E-2</v>
      </c>
      <c r="W59" s="17">
        <v>2.5700000000000001E-2</v>
      </c>
      <c r="X59" s="17">
        <v>2.5700000000000001E-2</v>
      </c>
      <c r="Y59" s="17">
        <v>2.5700000000000001E-2</v>
      </c>
      <c r="Z59" s="17">
        <v>2.5700000000000001E-2</v>
      </c>
      <c r="AA59" s="17">
        <v>2.5700000000000001E-2</v>
      </c>
      <c r="AB59" s="17">
        <v>2.5700000000000001E-2</v>
      </c>
      <c r="AC59" s="17">
        <v>2.5700000000000001E-2</v>
      </c>
      <c r="AD59" s="17">
        <v>2.5700000000000001E-2</v>
      </c>
      <c r="AE59" s="17">
        <v>2.5700000000000001E-2</v>
      </c>
      <c r="AF59" s="18">
        <v>2.5700000000000001E-2</v>
      </c>
    </row>
    <row r="60" spans="3:32" x14ac:dyDescent="0.3">
      <c r="C60" s="24" t="s">
        <v>191</v>
      </c>
      <c r="D60" s="24" t="s">
        <v>33</v>
      </c>
      <c r="E60" s="24" t="s">
        <v>24</v>
      </c>
      <c r="F60" s="24" t="s">
        <v>25</v>
      </c>
      <c r="G60" s="17">
        <v>0</v>
      </c>
      <c r="H60" s="17">
        <v>0</v>
      </c>
      <c r="I60" s="17">
        <v>0</v>
      </c>
      <c r="J60" s="17">
        <v>0</v>
      </c>
      <c r="K60" s="17">
        <v>0</v>
      </c>
      <c r="L60" s="17">
        <v>0</v>
      </c>
      <c r="M60" s="17">
        <v>0</v>
      </c>
      <c r="N60" s="17">
        <v>0</v>
      </c>
      <c r="O60" s="17">
        <v>0</v>
      </c>
      <c r="P60" s="17">
        <v>0</v>
      </c>
      <c r="Q60" s="17">
        <v>0</v>
      </c>
      <c r="R60" s="17">
        <v>0</v>
      </c>
      <c r="S60" s="17">
        <v>0</v>
      </c>
      <c r="T60" s="17">
        <v>0</v>
      </c>
      <c r="U60" s="17">
        <v>0</v>
      </c>
      <c r="V60" s="17">
        <v>0</v>
      </c>
      <c r="W60" s="17">
        <v>0</v>
      </c>
      <c r="X60" s="17">
        <v>3.3000000000000002E-2</v>
      </c>
      <c r="Y60" s="17">
        <v>6.6100000000000006E-2</v>
      </c>
      <c r="Z60" s="17">
        <v>9.9099999999999994E-2</v>
      </c>
      <c r="AA60" s="17">
        <v>9.9099999999999994E-2</v>
      </c>
      <c r="AB60" s="17">
        <v>9.9099999999999994E-2</v>
      </c>
      <c r="AC60" s="17">
        <v>9.9099999999999994E-2</v>
      </c>
      <c r="AD60" s="17">
        <v>9.9099999999999994E-2</v>
      </c>
      <c r="AE60" s="17">
        <v>9.9099999999999994E-2</v>
      </c>
      <c r="AF60" s="18">
        <v>9.9099999999999994E-2</v>
      </c>
    </row>
    <row r="61" spans="3:32" x14ac:dyDescent="0.3">
      <c r="C61" s="24" t="s">
        <v>191</v>
      </c>
      <c r="D61" s="24" t="s">
        <v>33</v>
      </c>
      <c r="E61" s="24" t="s">
        <v>149</v>
      </c>
      <c r="F61" s="24"/>
      <c r="G61" s="17">
        <f>SUM(G45:G60)</f>
        <v>53.470699999999994</v>
      </c>
      <c r="H61" s="17">
        <f t="shared" ref="H61:AF61" si="6">SUM(H45:H60)</f>
        <v>53.943089999999991</v>
      </c>
      <c r="I61" s="17">
        <f t="shared" si="6"/>
        <v>59.457599999999999</v>
      </c>
      <c r="J61" s="17">
        <f t="shared" si="6"/>
        <v>62.918700000000008</v>
      </c>
      <c r="K61" s="17">
        <f t="shared" si="6"/>
        <v>66.539100000000005</v>
      </c>
      <c r="L61" s="17">
        <f t="shared" si="6"/>
        <v>71.735882000000004</v>
      </c>
      <c r="M61" s="17">
        <f t="shared" si="6"/>
        <v>73.784419999999997</v>
      </c>
      <c r="N61" s="17">
        <f t="shared" si="6"/>
        <v>77.335595999999995</v>
      </c>
      <c r="O61" s="17">
        <f t="shared" si="6"/>
        <v>79.04423700000001</v>
      </c>
      <c r="P61" s="17">
        <f t="shared" si="6"/>
        <v>82.327360999999996</v>
      </c>
      <c r="Q61" s="17">
        <f t="shared" si="6"/>
        <v>82.177384999999987</v>
      </c>
      <c r="R61" s="17">
        <f t="shared" si="6"/>
        <v>85.216468800000001</v>
      </c>
      <c r="S61" s="17">
        <f t="shared" si="6"/>
        <v>87.910016000000013</v>
      </c>
      <c r="T61" s="17">
        <f t="shared" si="6"/>
        <v>94.67391600000002</v>
      </c>
      <c r="U61" s="17">
        <f t="shared" si="6"/>
        <v>98.361316000000016</v>
      </c>
      <c r="V61" s="17">
        <f t="shared" si="6"/>
        <v>100.68171600000002</v>
      </c>
      <c r="W61" s="17">
        <f t="shared" si="6"/>
        <v>102.07681600000001</v>
      </c>
      <c r="X61" s="17">
        <f t="shared" si="6"/>
        <v>104.857116</v>
      </c>
      <c r="Y61" s="17">
        <f t="shared" si="6"/>
        <v>108.454216</v>
      </c>
      <c r="Z61" s="17">
        <f t="shared" si="6"/>
        <v>110.56961600000001</v>
      </c>
      <c r="AA61" s="17">
        <f t="shared" si="6"/>
        <v>113.91061600000002</v>
      </c>
      <c r="AB61" s="17">
        <f t="shared" si="6"/>
        <v>116.939016</v>
      </c>
      <c r="AC61" s="17">
        <f t="shared" si="6"/>
        <v>120.524016</v>
      </c>
      <c r="AD61" s="17">
        <f t="shared" si="6"/>
        <v>123.50741599999999</v>
      </c>
      <c r="AE61" s="17">
        <f t="shared" si="6"/>
        <v>126.989816</v>
      </c>
      <c r="AF61" s="18">
        <f t="shared" si="6"/>
        <v>129.673416</v>
      </c>
    </row>
    <row r="62" spans="3:32" x14ac:dyDescent="0.3">
      <c r="C62" s="24" t="s">
        <v>191</v>
      </c>
      <c r="D62" s="24" t="s">
        <v>104</v>
      </c>
      <c r="E62" s="24"/>
      <c r="F62" s="24"/>
      <c r="G62" s="17">
        <f>G38+G44+G61</f>
        <v>69.405699999999996</v>
      </c>
      <c r="H62" s="17">
        <f t="shared" ref="H62:AF62" si="7">H38+H44+H61</f>
        <v>69.226489999999984</v>
      </c>
      <c r="I62" s="17">
        <f t="shared" si="7"/>
        <v>75.487030000000004</v>
      </c>
      <c r="J62" s="17">
        <f t="shared" si="7"/>
        <v>79.240000000000009</v>
      </c>
      <c r="K62" s="17">
        <f t="shared" si="7"/>
        <v>83.021900000000002</v>
      </c>
      <c r="L62" s="17">
        <f t="shared" si="7"/>
        <v>88.992702000000008</v>
      </c>
      <c r="M62" s="17">
        <f t="shared" si="7"/>
        <v>92.454619999999991</v>
      </c>
      <c r="N62" s="17">
        <f t="shared" si="7"/>
        <v>96.568595999999985</v>
      </c>
      <c r="O62" s="17">
        <f t="shared" si="7"/>
        <v>99.921237000000019</v>
      </c>
      <c r="P62" s="17">
        <f t="shared" si="7"/>
        <v>104.510661</v>
      </c>
      <c r="Q62" s="17">
        <f t="shared" si="7"/>
        <v>103.01368499999998</v>
      </c>
      <c r="R62" s="17">
        <f t="shared" si="7"/>
        <v>108.2837688</v>
      </c>
      <c r="S62" s="17">
        <f t="shared" si="7"/>
        <v>111.19961600000002</v>
      </c>
      <c r="T62" s="17">
        <f t="shared" si="7"/>
        <v>117.96251600000002</v>
      </c>
      <c r="U62" s="17">
        <f t="shared" si="7"/>
        <v>121.64991600000002</v>
      </c>
      <c r="V62" s="17">
        <f t="shared" si="7"/>
        <v>123.97031600000003</v>
      </c>
      <c r="W62" s="17">
        <f t="shared" si="7"/>
        <v>125.36541600000001</v>
      </c>
      <c r="X62" s="17">
        <f t="shared" si="7"/>
        <v>128.14571599999999</v>
      </c>
      <c r="Y62" s="17">
        <f t="shared" si="7"/>
        <v>131.742816</v>
      </c>
      <c r="Z62" s="17">
        <f t="shared" si="7"/>
        <v>133.85821600000003</v>
      </c>
      <c r="AA62" s="17">
        <f t="shared" si="7"/>
        <v>137.19921600000004</v>
      </c>
      <c r="AB62" s="17">
        <f t="shared" si="7"/>
        <v>140.22761600000001</v>
      </c>
      <c r="AC62" s="17">
        <f t="shared" si="7"/>
        <v>143.81261599999999</v>
      </c>
      <c r="AD62" s="17">
        <f t="shared" si="7"/>
        <v>146.79601600000001</v>
      </c>
      <c r="AE62" s="17">
        <f t="shared" si="7"/>
        <v>150.27841599999999</v>
      </c>
      <c r="AF62" s="18">
        <f t="shared" si="7"/>
        <v>152.96201600000001</v>
      </c>
    </row>
    <row r="63" spans="3:32" x14ac:dyDescent="0.3">
      <c r="C63" s="30" t="s">
        <v>191</v>
      </c>
      <c r="D63" s="30" t="s">
        <v>38</v>
      </c>
      <c r="E63" s="30" t="s">
        <v>31</v>
      </c>
      <c r="F63" s="30" t="s">
        <v>32</v>
      </c>
      <c r="G63" s="17">
        <v>3.9746000000000001</v>
      </c>
      <c r="H63" s="17">
        <v>4.1714000000000002</v>
      </c>
      <c r="I63" s="17">
        <v>4.3802000000000003</v>
      </c>
      <c r="J63" s="17">
        <v>4.3468999999999998</v>
      </c>
      <c r="K63" s="17">
        <v>4.3135000000000003</v>
      </c>
      <c r="L63" s="17">
        <v>4.4805999999999999</v>
      </c>
      <c r="M63" s="17">
        <v>4.6715999999999998</v>
      </c>
      <c r="N63" s="17">
        <v>4.6349</v>
      </c>
      <c r="O63" s="17">
        <v>4.5982000000000003</v>
      </c>
      <c r="P63" s="17">
        <v>4.5614999999999997</v>
      </c>
      <c r="Q63" s="17">
        <v>4.5247999999999999</v>
      </c>
      <c r="R63" s="17">
        <v>4.4881000000000002</v>
      </c>
      <c r="S63" s="17">
        <v>4.4515000000000002</v>
      </c>
      <c r="T63" s="17">
        <v>4.4147999999999996</v>
      </c>
      <c r="U63" s="17">
        <v>4.3780999999999999</v>
      </c>
      <c r="V63" s="17">
        <v>4.3414000000000001</v>
      </c>
      <c r="W63" s="17">
        <v>4.3047000000000004</v>
      </c>
      <c r="X63" s="17">
        <v>4.2679999999999998</v>
      </c>
      <c r="Y63" s="17">
        <v>4.2313999999999998</v>
      </c>
      <c r="Z63" s="17">
        <v>4.1947000000000001</v>
      </c>
      <c r="AA63" s="17">
        <v>4.1580000000000004</v>
      </c>
      <c r="AB63" s="17">
        <v>4.1212999999999997</v>
      </c>
      <c r="AC63" s="17">
        <v>4.0846</v>
      </c>
      <c r="AD63" s="17">
        <v>4.0479000000000003</v>
      </c>
      <c r="AE63" s="17">
        <v>4.0113000000000003</v>
      </c>
      <c r="AF63" s="18">
        <v>3.9746000000000001</v>
      </c>
    </row>
    <row r="64" spans="3:32" x14ac:dyDescent="0.3">
      <c r="C64" s="30" t="s">
        <v>191</v>
      </c>
      <c r="D64" s="30" t="s">
        <v>38</v>
      </c>
      <c r="E64" s="30" t="s">
        <v>31</v>
      </c>
      <c r="F64" s="30" t="s">
        <v>5</v>
      </c>
      <c r="G64" s="17">
        <v>3.8123999999999998</v>
      </c>
      <c r="H64" s="17">
        <v>4.3600000000000003</v>
      </c>
      <c r="I64" s="17">
        <v>5.95</v>
      </c>
      <c r="J64" s="17">
        <v>8.18</v>
      </c>
      <c r="K64" s="17">
        <v>9.08</v>
      </c>
      <c r="L64" s="17">
        <v>10.83</v>
      </c>
      <c r="M64" s="17">
        <v>11.05</v>
      </c>
      <c r="N64" s="17">
        <v>11.05</v>
      </c>
      <c r="O64" s="17">
        <v>11.05</v>
      </c>
      <c r="P64" s="17">
        <v>11.05</v>
      </c>
      <c r="Q64" s="17">
        <v>10.83</v>
      </c>
      <c r="R64" s="17">
        <v>11.05</v>
      </c>
      <c r="S64" s="17">
        <v>11.05</v>
      </c>
      <c r="T64" s="17">
        <v>11.05</v>
      </c>
      <c r="U64" s="17">
        <v>11.05</v>
      </c>
      <c r="V64" s="17">
        <v>11.05</v>
      </c>
      <c r="W64" s="17">
        <v>11.05</v>
      </c>
      <c r="X64" s="17">
        <v>11.05</v>
      </c>
      <c r="Y64" s="17">
        <v>11.05</v>
      </c>
      <c r="Z64" s="17">
        <v>11.05</v>
      </c>
      <c r="AA64" s="17">
        <v>11.05</v>
      </c>
      <c r="AB64" s="17">
        <v>11.05</v>
      </c>
      <c r="AC64" s="17">
        <v>11.05</v>
      </c>
      <c r="AD64" s="17">
        <v>11.05</v>
      </c>
      <c r="AE64" s="17">
        <v>11.05</v>
      </c>
      <c r="AF64" s="18">
        <v>11.05</v>
      </c>
    </row>
    <row r="65" spans="3:32" x14ac:dyDescent="0.3">
      <c r="C65" s="30" t="s">
        <v>191</v>
      </c>
      <c r="D65" s="30" t="s">
        <v>38</v>
      </c>
      <c r="E65" s="30" t="s">
        <v>31</v>
      </c>
      <c r="F65" s="30" t="s">
        <v>15</v>
      </c>
      <c r="G65" s="17">
        <v>0.68869999999999998</v>
      </c>
      <c r="H65" s="17">
        <v>0.65710000000000002</v>
      </c>
      <c r="I65" s="17">
        <v>0.75890000000000002</v>
      </c>
      <c r="J65" s="17">
        <v>0.75309999999999999</v>
      </c>
      <c r="K65" s="17">
        <v>0.74729999999999996</v>
      </c>
      <c r="L65" s="17">
        <v>0.74160000000000004</v>
      </c>
      <c r="M65" s="17">
        <v>0.80940000000000001</v>
      </c>
      <c r="N65" s="17">
        <v>0.80300000000000005</v>
      </c>
      <c r="O65" s="17">
        <v>0.79669999999999996</v>
      </c>
      <c r="P65" s="17">
        <v>0.7903</v>
      </c>
      <c r="Q65" s="17">
        <v>0.78400000000000003</v>
      </c>
      <c r="R65" s="17">
        <v>0.77759999999999996</v>
      </c>
      <c r="S65" s="17">
        <v>0.77129999999999999</v>
      </c>
      <c r="T65" s="17">
        <v>0.76490000000000002</v>
      </c>
      <c r="U65" s="17">
        <v>0.75860000000000005</v>
      </c>
      <c r="V65" s="17">
        <v>0.75219999999999998</v>
      </c>
      <c r="W65" s="17">
        <v>0.74580000000000002</v>
      </c>
      <c r="X65" s="17">
        <v>0.73950000000000005</v>
      </c>
      <c r="Y65" s="17">
        <v>0.73309999999999997</v>
      </c>
      <c r="Z65" s="17">
        <v>0.7268</v>
      </c>
      <c r="AA65" s="17">
        <v>0.72040000000000004</v>
      </c>
      <c r="AB65" s="17">
        <v>0.71409999999999996</v>
      </c>
      <c r="AC65" s="17">
        <v>0.7077</v>
      </c>
      <c r="AD65" s="17">
        <v>0.70140000000000002</v>
      </c>
      <c r="AE65" s="17">
        <v>0.69499999999999995</v>
      </c>
      <c r="AF65" s="18">
        <v>0.68869999999999998</v>
      </c>
    </row>
    <row r="66" spans="3:32" x14ac:dyDescent="0.3">
      <c r="C66" s="30" t="s">
        <v>191</v>
      </c>
      <c r="D66" s="30" t="s">
        <v>38</v>
      </c>
      <c r="E66" s="30" t="s">
        <v>31</v>
      </c>
      <c r="F66" s="30" t="s">
        <v>29</v>
      </c>
      <c r="G66" s="17">
        <v>1.728</v>
      </c>
      <c r="H66" s="17">
        <v>1.9096</v>
      </c>
      <c r="I66" s="17">
        <v>1.8385</v>
      </c>
      <c r="J66" s="17">
        <v>1.8493999999999999</v>
      </c>
      <c r="K66" s="17">
        <v>1.8808</v>
      </c>
      <c r="L66" s="17">
        <v>2.6469</v>
      </c>
      <c r="M66" s="17">
        <v>2.7715999999999998</v>
      </c>
      <c r="N66" s="17">
        <v>4.0975000000000001</v>
      </c>
      <c r="O66" s="17">
        <v>5.1963999999999997</v>
      </c>
      <c r="P66" s="17">
        <v>6.3392999999999997</v>
      </c>
      <c r="Q66" s="17">
        <v>6.0151000000000003</v>
      </c>
      <c r="R66" s="17">
        <v>6.7843999999999998</v>
      </c>
      <c r="S66" s="17">
        <v>6.4684999999999997</v>
      </c>
      <c r="T66" s="17">
        <v>6.4684999999999997</v>
      </c>
      <c r="U66" s="17">
        <v>6.4684999999999997</v>
      </c>
      <c r="V66" s="17">
        <v>6.4684999999999997</v>
      </c>
      <c r="W66" s="17">
        <v>6.4684999999999997</v>
      </c>
      <c r="X66" s="17">
        <v>6.4684999999999997</v>
      </c>
      <c r="Y66" s="17">
        <v>6.4684999999999997</v>
      </c>
      <c r="Z66" s="17">
        <v>6.4684999999999997</v>
      </c>
      <c r="AA66" s="17">
        <v>6.4684999999999997</v>
      </c>
      <c r="AB66" s="17">
        <v>6.4684999999999997</v>
      </c>
      <c r="AC66" s="17">
        <v>6.4684999999999997</v>
      </c>
      <c r="AD66" s="17">
        <v>6.4684999999999997</v>
      </c>
      <c r="AE66" s="17">
        <v>6.4684999999999997</v>
      </c>
      <c r="AF66" s="18">
        <v>6.4684999999999997</v>
      </c>
    </row>
    <row r="67" spans="3:32" x14ac:dyDescent="0.3">
      <c r="C67" s="30" t="s">
        <v>191</v>
      </c>
      <c r="D67" s="30" t="s">
        <v>38</v>
      </c>
      <c r="E67" s="30" t="s">
        <v>137</v>
      </c>
      <c r="F67" s="30"/>
      <c r="G67" s="17">
        <f>SUM(G63:G66)</f>
        <v>10.2037</v>
      </c>
      <c r="H67" s="17">
        <f t="shared" ref="H67:AF67" si="8">SUM(H63:H66)</f>
        <v>11.098100000000001</v>
      </c>
      <c r="I67" s="17">
        <f t="shared" si="8"/>
        <v>12.927600000000002</v>
      </c>
      <c r="J67" s="17">
        <f t="shared" si="8"/>
        <v>15.129399999999999</v>
      </c>
      <c r="K67" s="17">
        <f t="shared" si="8"/>
        <v>16.021599999999999</v>
      </c>
      <c r="L67" s="17">
        <f t="shared" si="8"/>
        <v>18.699099999999998</v>
      </c>
      <c r="M67" s="17">
        <f t="shared" si="8"/>
        <v>19.302599999999998</v>
      </c>
      <c r="N67" s="17">
        <f t="shared" si="8"/>
        <v>20.5854</v>
      </c>
      <c r="O67" s="17">
        <f t="shared" si="8"/>
        <v>21.641300000000001</v>
      </c>
      <c r="P67" s="17">
        <f t="shared" si="8"/>
        <v>22.741099999999996</v>
      </c>
      <c r="Q67" s="17">
        <f t="shared" si="8"/>
        <v>22.1539</v>
      </c>
      <c r="R67" s="17">
        <f t="shared" si="8"/>
        <v>23.100099999999998</v>
      </c>
      <c r="S67" s="17">
        <f t="shared" si="8"/>
        <v>22.741299999999999</v>
      </c>
      <c r="T67" s="17">
        <f t="shared" si="8"/>
        <v>22.6982</v>
      </c>
      <c r="U67" s="17">
        <f t="shared" si="8"/>
        <v>22.655200000000001</v>
      </c>
      <c r="V67" s="17">
        <f t="shared" si="8"/>
        <v>22.612099999999998</v>
      </c>
      <c r="W67" s="17">
        <f t="shared" si="8"/>
        <v>22.568999999999999</v>
      </c>
      <c r="X67" s="17">
        <f t="shared" si="8"/>
        <v>22.526</v>
      </c>
      <c r="Y67" s="17">
        <f t="shared" si="8"/>
        <v>22.483000000000001</v>
      </c>
      <c r="Z67" s="17">
        <f t="shared" si="8"/>
        <v>22.44</v>
      </c>
      <c r="AA67" s="17">
        <f t="shared" si="8"/>
        <v>22.396900000000002</v>
      </c>
      <c r="AB67" s="17">
        <f t="shared" si="8"/>
        <v>22.353899999999999</v>
      </c>
      <c r="AC67" s="17">
        <f t="shared" si="8"/>
        <v>22.3108</v>
      </c>
      <c r="AD67" s="17">
        <f t="shared" si="8"/>
        <v>22.267800000000001</v>
      </c>
      <c r="AE67" s="17">
        <f t="shared" si="8"/>
        <v>22.224800000000002</v>
      </c>
      <c r="AF67" s="18">
        <f t="shared" si="8"/>
        <v>22.181800000000003</v>
      </c>
    </row>
    <row r="68" spans="3:32" x14ac:dyDescent="0.3">
      <c r="C68" s="30" t="s">
        <v>191</v>
      </c>
      <c r="D68" s="30" t="s">
        <v>38</v>
      </c>
      <c r="E68" s="30" t="s">
        <v>28</v>
      </c>
      <c r="F68" s="30" t="s">
        <v>5</v>
      </c>
      <c r="G68" s="17">
        <v>1.3723000000000001</v>
      </c>
      <c r="H68" s="17">
        <v>0.83160000000000001</v>
      </c>
      <c r="I68" s="17">
        <v>0.84089999999999998</v>
      </c>
      <c r="J68" s="17">
        <v>1.2511000000000001</v>
      </c>
      <c r="K68" s="17">
        <v>1.3163</v>
      </c>
      <c r="L68" s="17">
        <v>1.3221000000000001</v>
      </c>
      <c r="M68" s="17">
        <v>0.66090000000000004</v>
      </c>
      <c r="N68" s="17">
        <v>0.2359</v>
      </c>
      <c r="O68" s="17">
        <v>0.43719999999999998</v>
      </c>
      <c r="P68" s="17">
        <v>0.41760000000000003</v>
      </c>
      <c r="Q68" s="17">
        <v>0.20569999999999999</v>
      </c>
      <c r="R68" s="17">
        <v>0.22159999999999999</v>
      </c>
      <c r="S68" s="17">
        <v>0.46410000000000001</v>
      </c>
      <c r="T68" s="17">
        <v>0.46410000000000001</v>
      </c>
      <c r="U68" s="17">
        <v>0.46410000000000001</v>
      </c>
      <c r="V68" s="17">
        <v>0.46410000000000001</v>
      </c>
      <c r="W68" s="17">
        <v>0.46410000000000001</v>
      </c>
      <c r="X68" s="17">
        <v>0.46410000000000001</v>
      </c>
      <c r="Y68" s="17">
        <v>0.46410000000000001</v>
      </c>
      <c r="Z68" s="17">
        <v>0.46410000000000001</v>
      </c>
      <c r="AA68" s="17">
        <v>0.46410000000000001</v>
      </c>
      <c r="AB68" s="17">
        <v>0.46410000000000001</v>
      </c>
      <c r="AC68" s="17">
        <v>0.46410000000000001</v>
      </c>
      <c r="AD68" s="17">
        <v>0.46410000000000001</v>
      </c>
      <c r="AE68" s="17">
        <v>0.46410000000000001</v>
      </c>
      <c r="AF68" s="18">
        <v>0.46410000000000001</v>
      </c>
    </row>
    <row r="69" spans="3:32" x14ac:dyDescent="0.3">
      <c r="C69" s="30" t="s">
        <v>191</v>
      </c>
      <c r="D69" s="30" t="s">
        <v>38</v>
      </c>
      <c r="E69" s="30" t="s">
        <v>28</v>
      </c>
      <c r="F69" s="30" t="s">
        <v>30</v>
      </c>
      <c r="G69" s="17">
        <v>0</v>
      </c>
      <c r="H69" s="17">
        <v>0</v>
      </c>
      <c r="I69" s="17">
        <v>0</v>
      </c>
      <c r="J69" s="17">
        <v>0</v>
      </c>
      <c r="K69" s="17">
        <v>2.0000000000000001E-4</v>
      </c>
      <c r="L69" s="17">
        <v>2.5100000000000001E-2</v>
      </c>
      <c r="M69" s="17">
        <v>2.35E-2</v>
      </c>
      <c r="N69" s="17">
        <v>2.46E-2</v>
      </c>
      <c r="O69" s="17">
        <v>2.5999999999999999E-2</v>
      </c>
      <c r="P69" s="17">
        <v>2.1999999999999999E-2</v>
      </c>
      <c r="Q69" s="17">
        <v>2.1600000000000001E-2</v>
      </c>
      <c r="R69" s="17">
        <v>7.7000000000000002E-3</v>
      </c>
      <c r="S69" s="17">
        <v>1.0699999999999999E-2</v>
      </c>
      <c r="T69" s="17">
        <v>9.7000000000000003E-3</v>
      </c>
      <c r="U69" s="17">
        <v>9.7000000000000003E-3</v>
      </c>
      <c r="V69" s="17">
        <v>9.7000000000000003E-3</v>
      </c>
      <c r="W69" s="17">
        <v>9.7000000000000003E-3</v>
      </c>
      <c r="X69" s="17">
        <v>9.7000000000000003E-3</v>
      </c>
      <c r="Y69" s="17">
        <v>9.7000000000000003E-3</v>
      </c>
      <c r="Z69" s="17">
        <v>9.7000000000000003E-3</v>
      </c>
      <c r="AA69" s="17">
        <v>9.7000000000000003E-3</v>
      </c>
      <c r="AB69" s="17">
        <v>9.7000000000000003E-3</v>
      </c>
      <c r="AC69" s="17">
        <v>9.7000000000000003E-3</v>
      </c>
      <c r="AD69" s="17">
        <v>9.7000000000000003E-3</v>
      </c>
      <c r="AE69" s="17">
        <v>9.7000000000000003E-3</v>
      </c>
      <c r="AF69" s="18">
        <v>9.7000000000000003E-3</v>
      </c>
    </row>
    <row r="70" spans="3:32" x14ac:dyDescent="0.3">
      <c r="C70" s="30" t="s">
        <v>191</v>
      </c>
      <c r="D70" s="30" t="s">
        <v>38</v>
      </c>
      <c r="E70" s="30" t="s">
        <v>28</v>
      </c>
      <c r="F70" s="30" t="s">
        <v>4</v>
      </c>
      <c r="G70" s="17">
        <v>2.1095000000000002</v>
      </c>
      <c r="H70" s="17">
        <v>1.2783</v>
      </c>
      <c r="I70" s="17">
        <v>1.2926</v>
      </c>
      <c r="J70" s="17">
        <v>0.94040000000000001</v>
      </c>
      <c r="K70" s="17">
        <v>0.98950000000000005</v>
      </c>
      <c r="L70" s="17">
        <v>0.99380000000000002</v>
      </c>
      <c r="M70" s="17">
        <v>0.8034</v>
      </c>
      <c r="N70" s="17">
        <v>0.20580000000000001</v>
      </c>
      <c r="O70" s="17">
        <v>0.18870000000000001</v>
      </c>
      <c r="P70" s="17">
        <v>2.2100000000000002E-2</v>
      </c>
      <c r="Q70" s="17">
        <v>8.8800000000000004E-2</v>
      </c>
      <c r="R70" s="17">
        <v>7.8899999999999998E-2</v>
      </c>
      <c r="S70" s="17">
        <v>0.21729999999999999</v>
      </c>
      <c r="T70" s="17">
        <v>0.21729999999999999</v>
      </c>
      <c r="U70" s="17">
        <v>0.21729999999999999</v>
      </c>
      <c r="V70" s="17">
        <v>0.21729999999999999</v>
      </c>
      <c r="W70" s="17">
        <v>0.21729999999999999</v>
      </c>
      <c r="X70" s="17">
        <v>0.21729999999999999</v>
      </c>
      <c r="Y70" s="17">
        <v>0.21729999999999999</v>
      </c>
      <c r="Z70" s="17">
        <v>0.21729999999999999</v>
      </c>
      <c r="AA70" s="17">
        <v>0.21729999999999999</v>
      </c>
      <c r="AB70" s="17">
        <v>0.21729999999999999</v>
      </c>
      <c r="AC70" s="17">
        <v>0.21729999999999999</v>
      </c>
      <c r="AD70" s="17">
        <v>0.21729999999999999</v>
      </c>
      <c r="AE70" s="17">
        <v>0.21729999999999999</v>
      </c>
      <c r="AF70" s="18">
        <v>0.21729999999999999</v>
      </c>
    </row>
    <row r="71" spans="3:32" x14ac:dyDescent="0.3">
      <c r="C71" s="30" t="s">
        <v>191</v>
      </c>
      <c r="D71" s="30" t="s">
        <v>38</v>
      </c>
      <c r="E71" s="30" t="s">
        <v>28</v>
      </c>
      <c r="F71" s="30" t="s">
        <v>29</v>
      </c>
      <c r="G71" s="17">
        <v>2.2494999999999998</v>
      </c>
      <c r="H71" s="17">
        <v>2.7321</v>
      </c>
      <c r="I71" s="17">
        <v>2.5869</v>
      </c>
      <c r="J71" s="17">
        <v>2.1063000000000001</v>
      </c>
      <c r="K71" s="17">
        <v>2.3031999999999999</v>
      </c>
      <c r="L71" s="17">
        <v>2.4150999999999998</v>
      </c>
      <c r="M71" s="17">
        <v>2.2763</v>
      </c>
      <c r="N71" s="17">
        <v>2.3721000000000001</v>
      </c>
      <c r="O71" s="17">
        <v>2.2898999999999998</v>
      </c>
      <c r="P71" s="17">
        <v>2.1888999999999998</v>
      </c>
      <c r="Q71" s="17">
        <v>2.0783</v>
      </c>
      <c r="R71" s="17">
        <v>2.2496</v>
      </c>
      <c r="S71" s="17">
        <v>2.3001999999999998</v>
      </c>
      <c r="T71" s="17">
        <v>2.3001999999999998</v>
      </c>
      <c r="U71" s="17">
        <v>2.3001999999999998</v>
      </c>
      <c r="V71" s="17">
        <v>2.3001999999999998</v>
      </c>
      <c r="W71" s="17">
        <v>2.3001999999999998</v>
      </c>
      <c r="X71" s="17">
        <v>2.3001999999999998</v>
      </c>
      <c r="Y71" s="17">
        <v>2.3001999999999998</v>
      </c>
      <c r="Z71" s="17">
        <v>2.3001999999999998</v>
      </c>
      <c r="AA71" s="17">
        <v>2.3001999999999998</v>
      </c>
      <c r="AB71" s="17">
        <v>2.3001999999999998</v>
      </c>
      <c r="AC71" s="17">
        <v>2.3001999999999998</v>
      </c>
      <c r="AD71" s="17">
        <v>2.3001999999999998</v>
      </c>
      <c r="AE71" s="17">
        <v>2.3001999999999998</v>
      </c>
      <c r="AF71" s="18">
        <v>2.3001999999999998</v>
      </c>
    </row>
    <row r="72" spans="3:32" x14ac:dyDescent="0.3">
      <c r="C72" s="30" t="s">
        <v>191</v>
      </c>
      <c r="D72" s="30" t="s">
        <v>38</v>
      </c>
      <c r="E72" s="30" t="s">
        <v>28</v>
      </c>
      <c r="F72" s="30" t="s">
        <v>26</v>
      </c>
      <c r="G72" s="17">
        <v>0</v>
      </c>
      <c r="H72" s="17">
        <v>2.0000000000000001E-4</v>
      </c>
      <c r="I72" s="17">
        <v>1.1999999999999999E-3</v>
      </c>
      <c r="J72" s="17">
        <v>2E-3</v>
      </c>
      <c r="K72" s="17">
        <v>6.4000000000000003E-3</v>
      </c>
      <c r="L72" s="17">
        <v>1.09E-2</v>
      </c>
      <c r="M72" s="17">
        <v>1.17E-2</v>
      </c>
      <c r="N72" s="17">
        <v>1.2800000000000001E-2</v>
      </c>
      <c r="O72" s="17">
        <v>1.2E-2</v>
      </c>
      <c r="P72" s="17">
        <v>1.6299999999999999E-2</v>
      </c>
      <c r="Q72" s="17">
        <v>1.44E-2</v>
      </c>
      <c r="R72" s="17">
        <v>1.2500000000000001E-2</v>
      </c>
      <c r="S72" s="17">
        <v>1.9E-2</v>
      </c>
      <c r="T72" s="17">
        <v>1.9E-2</v>
      </c>
      <c r="U72" s="17">
        <v>1.9E-2</v>
      </c>
      <c r="V72" s="17">
        <v>1.9E-2</v>
      </c>
      <c r="W72" s="17">
        <v>1.9E-2</v>
      </c>
      <c r="X72" s="17">
        <v>1.9E-2</v>
      </c>
      <c r="Y72" s="17">
        <v>1.9E-2</v>
      </c>
      <c r="Z72" s="17">
        <v>1.9E-2</v>
      </c>
      <c r="AA72" s="17">
        <v>1.9E-2</v>
      </c>
      <c r="AB72" s="17">
        <v>1.9E-2</v>
      </c>
      <c r="AC72" s="17">
        <v>1.9E-2</v>
      </c>
      <c r="AD72" s="17">
        <v>1.9E-2</v>
      </c>
      <c r="AE72" s="17">
        <v>1.9E-2</v>
      </c>
      <c r="AF72" s="18">
        <v>1.9E-2</v>
      </c>
    </row>
    <row r="73" spans="3:32" x14ac:dyDescent="0.3">
      <c r="C73" s="30" t="s">
        <v>191</v>
      </c>
      <c r="D73" s="30" t="s">
        <v>38</v>
      </c>
      <c r="E73" s="30" t="s">
        <v>138</v>
      </c>
      <c r="F73" s="30"/>
      <c r="G73" s="17">
        <f>SUM(G68:G71)</f>
        <v>5.7313000000000001</v>
      </c>
      <c r="H73" s="17">
        <f t="shared" ref="H73:AF73" si="9">SUM(H68:H71)</f>
        <v>4.8420000000000005</v>
      </c>
      <c r="I73" s="17">
        <f t="shared" si="9"/>
        <v>4.7203999999999997</v>
      </c>
      <c r="J73" s="17">
        <f t="shared" si="9"/>
        <v>4.2978000000000005</v>
      </c>
      <c r="K73" s="17">
        <f t="shared" si="9"/>
        <v>4.6091999999999995</v>
      </c>
      <c r="L73" s="17">
        <f t="shared" si="9"/>
        <v>4.7561</v>
      </c>
      <c r="M73" s="17">
        <f t="shared" si="9"/>
        <v>3.7641</v>
      </c>
      <c r="N73" s="17">
        <f t="shared" si="9"/>
        <v>2.8384</v>
      </c>
      <c r="O73" s="17">
        <f t="shared" si="9"/>
        <v>2.9417999999999997</v>
      </c>
      <c r="P73" s="17">
        <f t="shared" si="9"/>
        <v>2.6505999999999998</v>
      </c>
      <c r="Q73" s="17">
        <f t="shared" si="9"/>
        <v>2.3944000000000001</v>
      </c>
      <c r="R73" s="17">
        <f t="shared" si="9"/>
        <v>2.5578000000000003</v>
      </c>
      <c r="S73" s="17">
        <f t="shared" si="9"/>
        <v>2.9922999999999997</v>
      </c>
      <c r="T73" s="17">
        <f t="shared" si="9"/>
        <v>2.9912999999999998</v>
      </c>
      <c r="U73" s="17">
        <f t="shared" si="9"/>
        <v>2.9912999999999998</v>
      </c>
      <c r="V73" s="17">
        <f t="shared" si="9"/>
        <v>2.9912999999999998</v>
      </c>
      <c r="W73" s="17">
        <f t="shared" si="9"/>
        <v>2.9912999999999998</v>
      </c>
      <c r="X73" s="17">
        <f t="shared" si="9"/>
        <v>2.9912999999999998</v>
      </c>
      <c r="Y73" s="17">
        <f t="shared" si="9"/>
        <v>2.9912999999999998</v>
      </c>
      <c r="Z73" s="17">
        <f t="shared" si="9"/>
        <v>2.9912999999999998</v>
      </c>
      <c r="AA73" s="17">
        <f t="shared" si="9"/>
        <v>2.9912999999999998</v>
      </c>
      <c r="AB73" s="17">
        <f t="shared" si="9"/>
        <v>2.9912999999999998</v>
      </c>
      <c r="AC73" s="17">
        <f t="shared" si="9"/>
        <v>2.9912999999999998</v>
      </c>
      <c r="AD73" s="17">
        <f t="shared" si="9"/>
        <v>2.9912999999999998</v>
      </c>
      <c r="AE73" s="17">
        <f t="shared" si="9"/>
        <v>2.9912999999999998</v>
      </c>
      <c r="AF73" s="18">
        <f t="shared" si="9"/>
        <v>2.9912999999999998</v>
      </c>
    </row>
    <row r="74" spans="3:32" x14ac:dyDescent="0.3">
      <c r="C74" s="30" t="s">
        <v>191</v>
      </c>
      <c r="D74" s="30" t="s">
        <v>38</v>
      </c>
      <c r="E74" s="30" t="s">
        <v>24</v>
      </c>
      <c r="F74" s="30" t="s">
        <v>5</v>
      </c>
      <c r="G74" s="17">
        <v>2.1139999999999999</v>
      </c>
      <c r="H74" s="17">
        <v>1.66</v>
      </c>
      <c r="I74" s="17">
        <v>1.85</v>
      </c>
      <c r="J74" s="17">
        <v>3.61</v>
      </c>
      <c r="K74" s="17">
        <v>3.88</v>
      </c>
      <c r="L74" s="17">
        <v>3.73</v>
      </c>
      <c r="M74" s="17">
        <v>6.82</v>
      </c>
      <c r="N74" s="17">
        <v>11.4</v>
      </c>
      <c r="O74" s="17">
        <v>13.8</v>
      </c>
      <c r="P74" s="17">
        <v>12.71</v>
      </c>
      <c r="Q74" s="17">
        <v>12.29</v>
      </c>
      <c r="R74" s="17">
        <v>20.04</v>
      </c>
      <c r="S74" s="17">
        <v>20.45</v>
      </c>
      <c r="T74" s="17">
        <v>27.61</v>
      </c>
      <c r="U74" s="17">
        <v>28.642499999999998</v>
      </c>
      <c r="V74" s="17">
        <v>29.675000000000001</v>
      </c>
      <c r="W74" s="17">
        <v>30.7075</v>
      </c>
      <c r="X74" s="17">
        <v>31.74</v>
      </c>
      <c r="Y74" s="17">
        <v>32.772500000000001</v>
      </c>
      <c r="Z74" s="17">
        <v>33.805</v>
      </c>
      <c r="AA74" s="17">
        <v>34.837499999999999</v>
      </c>
      <c r="AB74" s="17">
        <v>35.869999999999997</v>
      </c>
      <c r="AC74" s="17">
        <v>36.902500000000003</v>
      </c>
      <c r="AD74" s="17">
        <v>37.935000000000002</v>
      </c>
      <c r="AE74" s="17">
        <v>38.967500000000001</v>
      </c>
      <c r="AF74" s="18">
        <v>40</v>
      </c>
    </row>
    <row r="75" spans="3:32" x14ac:dyDescent="0.3">
      <c r="C75" s="30" t="s">
        <v>191</v>
      </c>
      <c r="D75" s="30" t="s">
        <v>38</v>
      </c>
      <c r="E75" s="30" t="s">
        <v>24</v>
      </c>
      <c r="F75" s="30" t="s">
        <v>27</v>
      </c>
      <c r="G75" s="17">
        <v>1.24E-2</v>
      </c>
      <c r="H75" s="17">
        <v>1.2E-2</v>
      </c>
      <c r="I75" s="17">
        <v>1.2E-2</v>
      </c>
      <c r="J75" s="17">
        <v>1.2E-2</v>
      </c>
      <c r="K75" s="17">
        <v>1.2E-2</v>
      </c>
      <c r="L75" s="17">
        <v>1.2E-2</v>
      </c>
      <c r="M75" s="17">
        <v>1.2E-2</v>
      </c>
      <c r="N75" s="17">
        <v>1.2E-2</v>
      </c>
      <c r="O75" s="17">
        <v>1.2E-2</v>
      </c>
      <c r="P75" s="17">
        <v>1.2E-2</v>
      </c>
      <c r="Q75" s="17">
        <v>1.2E-2</v>
      </c>
      <c r="R75" s="17">
        <v>1.2E-2</v>
      </c>
      <c r="S75" s="17">
        <v>1.2E-2</v>
      </c>
      <c r="T75" s="17">
        <v>1.2E-2</v>
      </c>
      <c r="U75" s="17">
        <v>1.2E-2</v>
      </c>
      <c r="V75" s="17">
        <v>1.2E-2</v>
      </c>
      <c r="W75" s="17">
        <v>1.2E-2</v>
      </c>
      <c r="X75" s="17">
        <v>1.2E-2</v>
      </c>
      <c r="Y75" s="17">
        <v>1.2E-2</v>
      </c>
      <c r="Z75" s="17">
        <v>1.2E-2</v>
      </c>
      <c r="AA75" s="17">
        <v>1.2E-2</v>
      </c>
      <c r="AB75" s="17">
        <v>1.2E-2</v>
      </c>
      <c r="AC75" s="17">
        <v>1.2E-2</v>
      </c>
      <c r="AD75" s="17">
        <v>1.2E-2</v>
      </c>
      <c r="AE75" s="17">
        <v>1.2E-2</v>
      </c>
      <c r="AF75" s="18">
        <v>1.2E-2</v>
      </c>
    </row>
    <row r="76" spans="3:32" x14ac:dyDescent="0.3">
      <c r="C76" s="30" t="s">
        <v>191</v>
      </c>
      <c r="D76" s="30" t="s">
        <v>38</v>
      </c>
      <c r="E76" s="30" t="s">
        <v>24</v>
      </c>
      <c r="F76" s="30" t="s">
        <v>4</v>
      </c>
      <c r="G76" s="17">
        <v>18.665800000000001</v>
      </c>
      <c r="H76" s="17">
        <v>14.630599999999999</v>
      </c>
      <c r="I76" s="17">
        <v>16.294599999999999</v>
      </c>
      <c r="J76" s="17">
        <v>18.804200000000002</v>
      </c>
      <c r="K76" s="17">
        <v>20.252800000000001</v>
      </c>
      <c r="L76" s="17">
        <v>19.463200000000001</v>
      </c>
      <c r="M76" s="17">
        <v>17.116599999999998</v>
      </c>
      <c r="N76" s="17">
        <v>17.078299999999999</v>
      </c>
      <c r="O76" s="17">
        <v>18.339700000000001</v>
      </c>
      <c r="P76" s="17">
        <v>23.552499999999998</v>
      </c>
      <c r="Q76" s="17">
        <v>23.907299999999999</v>
      </c>
      <c r="R76" s="17">
        <v>21.027200000000001</v>
      </c>
      <c r="S76" s="17">
        <v>23.206399999999999</v>
      </c>
      <c r="T76" s="17">
        <v>22.750900000000001</v>
      </c>
      <c r="U76" s="17">
        <v>25.168199999999999</v>
      </c>
      <c r="V76" s="17">
        <v>26.310099999999998</v>
      </c>
      <c r="W76" s="17">
        <v>28.249600000000001</v>
      </c>
      <c r="X76" s="17">
        <v>29.852799999999998</v>
      </c>
      <c r="Y76" s="17">
        <v>32.244599999999998</v>
      </c>
      <c r="Z76" s="17">
        <v>33.2089</v>
      </c>
      <c r="AA76" s="17">
        <v>35.354300000000002</v>
      </c>
      <c r="AB76" s="17">
        <v>37.196399999999997</v>
      </c>
      <c r="AC76" s="17">
        <v>39.576300000000003</v>
      </c>
      <c r="AD76" s="17">
        <v>41.375300000000003</v>
      </c>
      <c r="AE76" s="17">
        <v>43.656399999999998</v>
      </c>
      <c r="AF76" s="18">
        <v>45.167299999999997</v>
      </c>
    </row>
    <row r="77" spans="3:32" x14ac:dyDescent="0.3">
      <c r="C77" s="30" t="s">
        <v>191</v>
      </c>
      <c r="D77" s="30" t="s">
        <v>38</v>
      </c>
      <c r="E77" s="30" t="s">
        <v>24</v>
      </c>
      <c r="F77" s="30" t="s">
        <v>15</v>
      </c>
      <c r="G77" s="17">
        <v>5.3754</v>
      </c>
      <c r="H77" s="17">
        <v>4.0217999999999998</v>
      </c>
      <c r="I77" s="17">
        <v>4.4791999999999996</v>
      </c>
      <c r="J77" s="17">
        <v>5.2404999999999999</v>
      </c>
      <c r="K77" s="17">
        <v>5.6441999999999997</v>
      </c>
      <c r="L77" s="17">
        <v>5.4241000000000001</v>
      </c>
      <c r="M77" s="17">
        <v>7.9401999999999999</v>
      </c>
      <c r="N77" s="17">
        <v>6.6891999999999996</v>
      </c>
      <c r="O77" s="17">
        <v>4.8596500000000002</v>
      </c>
      <c r="P77" s="17">
        <v>4.4290000000000003</v>
      </c>
      <c r="Q77" s="17">
        <v>3.6995</v>
      </c>
      <c r="R77" s="17">
        <v>3.1267</v>
      </c>
      <c r="S77" s="17">
        <v>2.9497</v>
      </c>
      <c r="T77" s="17">
        <v>2.9497</v>
      </c>
      <c r="U77" s="17">
        <v>2.9497</v>
      </c>
      <c r="V77" s="17">
        <v>2.9497</v>
      </c>
      <c r="W77" s="17">
        <v>2.9497</v>
      </c>
      <c r="X77" s="17">
        <v>2.9497</v>
      </c>
      <c r="Y77" s="17">
        <v>2.9497</v>
      </c>
      <c r="Z77" s="17">
        <v>2.9497</v>
      </c>
      <c r="AA77" s="17">
        <v>2.9497</v>
      </c>
      <c r="AB77" s="17">
        <v>2.9497</v>
      </c>
      <c r="AC77" s="17">
        <v>2.9497</v>
      </c>
      <c r="AD77" s="17">
        <v>2.9497</v>
      </c>
      <c r="AE77" s="17">
        <v>2.9497</v>
      </c>
      <c r="AF77" s="18">
        <v>2.9497</v>
      </c>
    </row>
    <row r="78" spans="3:32" x14ac:dyDescent="0.3">
      <c r="C78" s="30" t="s">
        <v>191</v>
      </c>
      <c r="D78" s="30" t="s">
        <v>38</v>
      </c>
      <c r="E78" s="30" t="s">
        <v>24</v>
      </c>
      <c r="F78" s="30" t="s">
        <v>150</v>
      </c>
      <c r="G78" s="17">
        <v>15.256500000000001</v>
      </c>
      <c r="H78" s="17">
        <v>19.9255</v>
      </c>
      <c r="I78" s="17">
        <v>21.841999999999999</v>
      </c>
      <c r="J78" s="17">
        <v>21.840199999999999</v>
      </c>
      <c r="K78" s="17">
        <v>21.8383</v>
      </c>
      <c r="L78" s="17">
        <v>22.366299999999999</v>
      </c>
      <c r="M78" s="17">
        <v>22.392399999999999</v>
      </c>
      <c r="N78" s="17">
        <v>22.418600000000001</v>
      </c>
      <c r="O78" s="17">
        <v>22.444800000000001</v>
      </c>
      <c r="P78" s="17">
        <v>22.471</v>
      </c>
      <c r="Q78" s="17">
        <v>22.497199999999999</v>
      </c>
      <c r="R78" s="17">
        <v>22.523399999999999</v>
      </c>
      <c r="S78" s="17">
        <v>22.549600000000002</v>
      </c>
      <c r="T78" s="17">
        <v>22.575800000000001</v>
      </c>
      <c r="U78" s="17">
        <v>22.601900000000001</v>
      </c>
      <c r="V78" s="17">
        <v>22.6281</v>
      </c>
      <c r="W78" s="17">
        <v>22.654299999999999</v>
      </c>
      <c r="X78" s="17">
        <v>22.680499999999999</v>
      </c>
      <c r="Y78" s="17">
        <v>22.706700000000001</v>
      </c>
      <c r="Z78" s="17">
        <v>22.732900000000001</v>
      </c>
      <c r="AA78" s="17">
        <v>22.7591</v>
      </c>
      <c r="AB78" s="17">
        <v>22.785299999999999</v>
      </c>
      <c r="AC78" s="17">
        <v>22.811399999999999</v>
      </c>
      <c r="AD78" s="17">
        <v>22.837599999999998</v>
      </c>
      <c r="AE78" s="17">
        <v>22.863800000000001</v>
      </c>
      <c r="AF78" s="18">
        <v>22.89</v>
      </c>
    </row>
    <row r="79" spans="3:32" x14ac:dyDescent="0.3">
      <c r="C79" s="48" t="s">
        <v>191</v>
      </c>
      <c r="D79" s="48" t="s">
        <v>38</v>
      </c>
      <c r="E79" s="48" t="s">
        <v>24</v>
      </c>
      <c r="F79" s="48" t="s">
        <v>140</v>
      </c>
      <c r="G79" s="17">
        <v>4.7373000000000003</v>
      </c>
      <c r="H79" s="17">
        <v>3.7984</v>
      </c>
      <c r="I79" s="17">
        <v>4.4413</v>
      </c>
      <c r="J79" s="17">
        <v>4.5091000000000001</v>
      </c>
      <c r="K79" s="17">
        <v>4.5768000000000004</v>
      </c>
      <c r="L79" s="17">
        <v>4.7363999999999997</v>
      </c>
      <c r="M79" s="17">
        <v>4.8045999999999998</v>
      </c>
      <c r="N79" s="17">
        <v>4.8727999999999998</v>
      </c>
      <c r="O79" s="17">
        <v>4.9409999999999998</v>
      </c>
      <c r="P79" s="17">
        <v>5.0091000000000001</v>
      </c>
      <c r="Q79" s="17">
        <v>5.0773000000000001</v>
      </c>
      <c r="R79" s="17">
        <v>5.1455000000000002</v>
      </c>
      <c r="S79" s="17">
        <v>5.2137000000000002</v>
      </c>
      <c r="T79" s="17">
        <v>5.2819000000000003</v>
      </c>
      <c r="U79" s="17">
        <v>5.35</v>
      </c>
      <c r="V79" s="17">
        <v>5.4181999999999997</v>
      </c>
      <c r="W79" s="17">
        <v>5.4863999999999997</v>
      </c>
      <c r="X79" s="17">
        <v>5.5545999999999998</v>
      </c>
      <c r="Y79" s="17">
        <v>5.6227999999999998</v>
      </c>
      <c r="Z79" s="17">
        <v>5.6909000000000001</v>
      </c>
      <c r="AA79" s="17">
        <v>5.7591000000000001</v>
      </c>
      <c r="AB79" s="17">
        <v>5.8273000000000001</v>
      </c>
      <c r="AC79" s="17">
        <v>5.8955000000000002</v>
      </c>
      <c r="AD79" s="17">
        <v>5.9635999999999996</v>
      </c>
      <c r="AE79" s="17">
        <v>6.0317999999999996</v>
      </c>
      <c r="AF79" s="18">
        <v>6.1</v>
      </c>
    </row>
    <row r="80" spans="3:32" x14ac:dyDescent="0.3">
      <c r="C80" s="30" t="s">
        <v>191</v>
      </c>
      <c r="D80" s="30" t="s">
        <v>38</v>
      </c>
      <c r="E80" s="30" t="s">
        <v>24</v>
      </c>
      <c r="F80" s="30" t="s">
        <v>142</v>
      </c>
      <c r="G80" s="17">
        <v>2.6936</v>
      </c>
      <c r="H80" s="17">
        <v>3.5179</v>
      </c>
      <c r="I80" s="17">
        <v>3.9350000000000001</v>
      </c>
      <c r="J80" s="17">
        <v>3.9169</v>
      </c>
      <c r="K80" s="17">
        <v>3.8208000000000002</v>
      </c>
      <c r="L80" s="17">
        <v>3.8805999999999998</v>
      </c>
      <c r="M80" s="17">
        <v>3.8624999999999998</v>
      </c>
      <c r="N80" s="17">
        <v>3.8443000000000001</v>
      </c>
      <c r="O80" s="17">
        <v>3.8262</v>
      </c>
      <c r="P80" s="17">
        <v>3.8081</v>
      </c>
      <c r="Q80" s="17">
        <v>3.7898999999999998</v>
      </c>
      <c r="R80" s="17">
        <v>3.7717999999999998</v>
      </c>
      <c r="S80" s="17">
        <v>3.7536999999999998</v>
      </c>
      <c r="T80" s="17">
        <v>3.7355</v>
      </c>
      <c r="U80" s="17">
        <v>3.7174</v>
      </c>
      <c r="V80" s="17">
        <v>3.6993</v>
      </c>
      <c r="W80" s="17">
        <v>3.6810999999999998</v>
      </c>
      <c r="X80" s="17">
        <v>3.6629999999999998</v>
      </c>
      <c r="Y80" s="17">
        <v>3.6448999999999998</v>
      </c>
      <c r="Z80" s="17">
        <v>3.6267</v>
      </c>
      <c r="AA80" s="17">
        <v>3.6086</v>
      </c>
      <c r="AB80" s="17">
        <v>3.5905</v>
      </c>
      <c r="AC80" s="17">
        <v>3.5722999999999998</v>
      </c>
      <c r="AD80" s="17">
        <v>3.5541999999999998</v>
      </c>
      <c r="AE80" s="17">
        <v>3.5360999999999998</v>
      </c>
      <c r="AF80" s="18">
        <v>3.5179</v>
      </c>
    </row>
    <row r="81" spans="3:59" x14ac:dyDescent="0.3">
      <c r="C81" s="30" t="s">
        <v>191</v>
      </c>
      <c r="D81" s="30" t="s">
        <v>38</v>
      </c>
      <c r="E81" s="30" t="s">
        <v>24</v>
      </c>
      <c r="F81" s="30" t="s">
        <v>146</v>
      </c>
      <c r="G81" s="17">
        <v>0.34420000000000001</v>
      </c>
      <c r="H81" s="17">
        <v>0.44950000000000001</v>
      </c>
      <c r="I81" s="17">
        <v>0.49270000000000003</v>
      </c>
      <c r="J81" s="17">
        <v>0.49299999999999999</v>
      </c>
      <c r="K81" s="17">
        <v>0.49330000000000002</v>
      </c>
      <c r="L81" s="17">
        <v>0.50570000000000004</v>
      </c>
      <c r="M81" s="17">
        <v>0.50670000000000004</v>
      </c>
      <c r="N81" s="17">
        <v>0.50760000000000005</v>
      </c>
      <c r="O81" s="17">
        <v>0.49459999999999998</v>
      </c>
      <c r="P81" s="17">
        <v>0.50960000000000005</v>
      </c>
      <c r="Q81" s="17">
        <v>0.51049999999999995</v>
      </c>
      <c r="R81" s="17">
        <v>0.51149999999999995</v>
      </c>
      <c r="S81" s="17">
        <v>0.51249999999999996</v>
      </c>
      <c r="T81" s="17">
        <v>0.51339999999999997</v>
      </c>
      <c r="U81" s="17">
        <v>0.51439999999999997</v>
      </c>
      <c r="V81" s="17">
        <v>0.51529999999999998</v>
      </c>
      <c r="W81" s="17">
        <v>0.51629999999999998</v>
      </c>
      <c r="X81" s="17">
        <v>0.51729999999999998</v>
      </c>
      <c r="Y81" s="17">
        <v>0.51819999999999999</v>
      </c>
      <c r="Z81" s="17">
        <v>0.51919999999999999</v>
      </c>
      <c r="AA81" s="17">
        <v>0.5202</v>
      </c>
      <c r="AB81" s="17">
        <v>0.52110000000000001</v>
      </c>
      <c r="AC81" s="17">
        <v>0.52210000000000001</v>
      </c>
      <c r="AD81" s="17">
        <v>0.52310000000000001</v>
      </c>
      <c r="AE81" s="17">
        <v>0.52400000000000002</v>
      </c>
      <c r="AF81" s="18">
        <v>0.52500000000000002</v>
      </c>
    </row>
    <row r="82" spans="3:59" x14ac:dyDescent="0.3">
      <c r="C82" s="30" t="s">
        <v>191</v>
      </c>
      <c r="D82" s="30" t="s">
        <v>38</v>
      </c>
      <c r="E82" s="30" t="s">
        <v>24</v>
      </c>
      <c r="F82" s="30" t="s">
        <v>147</v>
      </c>
      <c r="G82" s="17">
        <v>3.2037</v>
      </c>
      <c r="H82" s="17">
        <v>4.1841999999999997</v>
      </c>
      <c r="I82" s="17">
        <v>4.5865999999999998</v>
      </c>
      <c r="J82" s="17">
        <v>4.5872000000000002</v>
      </c>
      <c r="K82" s="17">
        <v>4.5877999999999997</v>
      </c>
      <c r="L82" s="17">
        <v>4.6997</v>
      </c>
      <c r="M82" s="17">
        <v>4.7062999999999997</v>
      </c>
      <c r="N82" s="17">
        <v>4.7127999999999997</v>
      </c>
      <c r="O82" s="17">
        <v>4.7192999999999996</v>
      </c>
      <c r="P82" s="17">
        <v>4.7257999999999996</v>
      </c>
      <c r="Q82" s="17">
        <v>4.7323000000000004</v>
      </c>
      <c r="R82" s="17">
        <v>4.7388000000000003</v>
      </c>
      <c r="S82" s="17">
        <v>4.7453000000000003</v>
      </c>
      <c r="T82" s="17">
        <v>4.7518000000000002</v>
      </c>
      <c r="U82" s="17">
        <v>4.7584</v>
      </c>
      <c r="V82" s="17">
        <v>4.7648999999999999</v>
      </c>
      <c r="W82" s="17">
        <v>4.7713999999999999</v>
      </c>
      <c r="X82" s="17">
        <v>4.7778999999999998</v>
      </c>
      <c r="Y82" s="17">
        <v>4.7843999999999998</v>
      </c>
      <c r="Z82" s="17">
        <v>4.7908999999999997</v>
      </c>
      <c r="AA82" s="17">
        <v>4.7973999999999997</v>
      </c>
      <c r="AB82" s="17">
        <v>4.8038999999999996</v>
      </c>
      <c r="AC82" s="17">
        <v>4.8105000000000002</v>
      </c>
      <c r="AD82" s="17">
        <v>4.8170000000000002</v>
      </c>
      <c r="AE82" s="17">
        <v>4.8235000000000001</v>
      </c>
      <c r="AF82" s="18">
        <v>4.83</v>
      </c>
    </row>
    <row r="83" spans="3:59" x14ac:dyDescent="0.3">
      <c r="C83" s="30" t="s">
        <v>191</v>
      </c>
      <c r="D83" s="30" t="s">
        <v>38</v>
      </c>
      <c r="E83" s="30" t="s">
        <v>24</v>
      </c>
      <c r="F83" s="30" t="s">
        <v>148</v>
      </c>
      <c r="G83" s="17">
        <v>1.0676000000000001</v>
      </c>
      <c r="H83" s="17">
        <v>1.3944000000000001</v>
      </c>
      <c r="I83" s="17">
        <v>1.5285</v>
      </c>
      <c r="J83" s="17">
        <v>1.5273000000000001</v>
      </c>
      <c r="K83" s="17">
        <v>1.526</v>
      </c>
      <c r="L83" s="17">
        <v>1.5617000000000001</v>
      </c>
      <c r="M83" s="17">
        <v>1.5235000000000001</v>
      </c>
      <c r="N83" s="17">
        <v>1.5629999999999999</v>
      </c>
      <c r="O83" s="17">
        <v>1.5637000000000001</v>
      </c>
      <c r="P83" s="17">
        <v>1.5644</v>
      </c>
      <c r="Q83" s="17">
        <v>1.5649999999999999</v>
      </c>
      <c r="R83" s="17">
        <v>1.5657000000000001</v>
      </c>
      <c r="S83" s="17">
        <v>1.5664</v>
      </c>
      <c r="T83" s="17">
        <v>1.5669999999999999</v>
      </c>
      <c r="U83" s="17">
        <v>1.5677000000000001</v>
      </c>
      <c r="V83" s="17">
        <v>1.5683</v>
      </c>
      <c r="W83" s="17">
        <v>1.569</v>
      </c>
      <c r="X83" s="17">
        <v>1.5697000000000001</v>
      </c>
      <c r="Y83" s="17">
        <v>1.5703</v>
      </c>
      <c r="Z83" s="17">
        <v>1.571</v>
      </c>
      <c r="AA83" s="17">
        <v>1.5717000000000001</v>
      </c>
      <c r="AB83" s="17">
        <v>1.5723</v>
      </c>
      <c r="AC83" s="17">
        <v>1.573</v>
      </c>
      <c r="AD83" s="17">
        <v>1.5737000000000001</v>
      </c>
      <c r="AE83" s="17">
        <v>1.5743</v>
      </c>
      <c r="AF83" s="18">
        <v>1.575</v>
      </c>
    </row>
    <row r="84" spans="3:59" x14ac:dyDescent="0.3">
      <c r="C84" s="30" t="s">
        <v>191</v>
      </c>
      <c r="D84" s="30" t="s">
        <v>38</v>
      </c>
      <c r="E84" s="30" t="s">
        <v>24</v>
      </c>
      <c r="F84" s="30" t="s">
        <v>26</v>
      </c>
      <c r="G84" s="17">
        <v>0</v>
      </c>
      <c r="H84" s="17">
        <v>0</v>
      </c>
      <c r="I84" s="17">
        <v>3.5000000000000001E-3</v>
      </c>
      <c r="J84" s="17">
        <v>2.4500000000000001E-2</v>
      </c>
      <c r="K84" s="17">
        <v>2.3599999999999999E-2</v>
      </c>
      <c r="L84" s="17">
        <v>2.5700000000000001E-2</v>
      </c>
      <c r="M84" s="17">
        <v>2.5700000000000001E-2</v>
      </c>
      <c r="N84" s="17">
        <v>2.5700000000000001E-2</v>
      </c>
      <c r="O84" s="17">
        <v>2.5700000000000001E-2</v>
      </c>
      <c r="P84" s="17">
        <v>2.5700000000000001E-2</v>
      </c>
      <c r="Q84" s="17">
        <v>2.5700000000000001E-2</v>
      </c>
      <c r="R84" s="17">
        <v>2.5700000000000001E-2</v>
      </c>
      <c r="S84" s="17">
        <v>2.5700000000000001E-2</v>
      </c>
      <c r="T84" s="17">
        <v>2.5700000000000001E-2</v>
      </c>
      <c r="U84" s="17">
        <v>2.5700000000000001E-2</v>
      </c>
      <c r="V84" s="17">
        <v>2.5700000000000001E-2</v>
      </c>
      <c r="W84" s="17">
        <v>2.5700000000000001E-2</v>
      </c>
      <c r="X84" s="17">
        <v>2.5700000000000001E-2</v>
      </c>
      <c r="Y84" s="17">
        <v>2.5700000000000001E-2</v>
      </c>
      <c r="Z84" s="17">
        <v>2.5700000000000001E-2</v>
      </c>
      <c r="AA84" s="17">
        <v>2.5700000000000001E-2</v>
      </c>
      <c r="AB84" s="17">
        <v>2.5700000000000001E-2</v>
      </c>
      <c r="AC84" s="17">
        <v>2.5700000000000001E-2</v>
      </c>
      <c r="AD84" s="17">
        <v>2.5700000000000001E-2</v>
      </c>
      <c r="AE84" s="17">
        <v>2.5700000000000001E-2</v>
      </c>
      <c r="AF84" s="18">
        <v>2.5700000000000001E-2</v>
      </c>
    </row>
    <row r="85" spans="3:59" x14ac:dyDescent="0.3">
      <c r="C85" s="30" t="s">
        <v>191</v>
      </c>
      <c r="D85" s="30" t="s">
        <v>38</v>
      </c>
      <c r="E85" s="30" t="s">
        <v>149</v>
      </c>
      <c r="F85" s="30"/>
      <c r="G85" s="17">
        <f>SUM(G74:G84)</f>
        <v>53.470500000000001</v>
      </c>
      <c r="H85" s="17">
        <f t="shared" ref="H85:AF85" si="10">SUM(H74:H84)</f>
        <v>53.59429999999999</v>
      </c>
      <c r="I85" s="17">
        <f t="shared" si="10"/>
        <v>59.465399999999995</v>
      </c>
      <c r="J85" s="17">
        <f t="shared" si="10"/>
        <v>64.564900000000009</v>
      </c>
      <c r="K85" s="17">
        <f t="shared" si="10"/>
        <v>66.655599999999993</v>
      </c>
      <c r="L85" s="17">
        <f t="shared" si="10"/>
        <v>66.4054</v>
      </c>
      <c r="M85" s="17">
        <f t="shared" si="10"/>
        <v>69.710499999999996</v>
      </c>
      <c r="N85" s="17">
        <f t="shared" si="10"/>
        <v>73.124300000000005</v>
      </c>
      <c r="O85" s="17">
        <f t="shared" si="10"/>
        <v>75.026650000000018</v>
      </c>
      <c r="P85" s="17">
        <f t="shared" si="10"/>
        <v>78.817200000000014</v>
      </c>
      <c r="Q85" s="17">
        <f t="shared" si="10"/>
        <v>78.106699999999989</v>
      </c>
      <c r="R85" s="17">
        <f t="shared" si="10"/>
        <v>82.488299999999995</v>
      </c>
      <c r="S85" s="17">
        <f t="shared" si="10"/>
        <v>84.984999999999999</v>
      </c>
      <c r="T85" s="17">
        <f t="shared" si="10"/>
        <v>91.773700000000019</v>
      </c>
      <c r="U85" s="17">
        <f t="shared" si="10"/>
        <v>95.307899999999989</v>
      </c>
      <c r="V85" s="17">
        <f t="shared" si="10"/>
        <v>97.56659999999998</v>
      </c>
      <c r="W85" s="17">
        <f t="shared" si="10"/>
        <v>100.623</v>
      </c>
      <c r="X85" s="17">
        <f t="shared" si="10"/>
        <v>103.34319999999998</v>
      </c>
      <c r="Y85" s="17">
        <f t="shared" si="10"/>
        <v>106.85180000000001</v>
      </c>
      <c r="Z85" s="17">
        <f t="shared" si="10"/>
        <v>108.9329</v>
      </c>
      <c r="AA85" s="17">
        <f t="shared" si="10"/>
        <v>112.19530000000002</v>
      </c>
      <c r="AB85" s="17">
        <f t="shared" si="10"/>
        <v>115.1542</v>
      </c>
      <c r="AC85" s="17">
        <f t="shared" si="10"/>
        <v>118.651</v>
      </c>
      <c r="AD85" s="17">
        <f t="shared" si="10"/>
        <v>121.5669</v>
      </c>
      <c r="AE85" s="17">
        <f t="shared" si="10"/>
        <v>124.9648</v>
      </c>
      <c r="AF85" s="18">
        <f t="shared" si="10"/>
        <v>127.59259999999999</v>
      </c>
    </row>
    <row r="86" spans="3:59" ht="15" thickBot="1" x14ac:dyDescent="0.35">
      <c r="C86" s="32" t="s">
        <v>191</v>
      </c>
      <c r="D86" s="32" t="s">
        <v>105</v>
      </c>
      <c r="E86" s="32"/>
      <c r="F86" s="32"/>
      <c r="G86" s="19">
        <f>G67+G73+G85</f>
        <v>69.405500000000004</v>
      </c>
      <c r="H86" s="19">
        <f t="shared" ref="H86:AF86" si="11">H67+H73+H85</f>
        <v>69.534399999999991</v>
      </c>
      <c r="I86" s="19">
        <f t="shared" si="11"/>
        <v>77.113399999999999</v>
      </c>
      <c r="J86" s="19">
        <f t="shared" si="11"/>
        <v>83.992100000000008</v>
      </c>
      <c r="K86" s="19">
        <f t="shared" si="11"/>
        <v>87.286399999999986</v>
      </c>
      <c r="L86" s="19">
        <f t="shared" si="11"/>
        <v>89.860600000000005</v>
      </c>
      <c r="M86" s="19">
        <f t="shared" si="11"/>
        <v>92.777199999999993</v>
      </c>
      <c r="N86" s="19">
        <f t="shared" si="11"/>
        <v>96.548100000000005</v>
      </c>
      <c r="O86" s="19">
        <f t="shared" si="11"/>
        <v>99.60975000000002</v>
      </c>
      <c r="P86" s="19">
        <f t="shared" si="11"/>
        <v>104.20890000000001</v>
      </c>
      <c r="Q86" s="19">
        <f t="shared" si="11"/>
        <v>102.65499999999999</v>
      </c>
      <c r="R86" s="19">
        <f t="shared" si="11"/>
        <v>108.14619999999999</v>
      </c>
      <c r="S86" s="19">
        <f t="shared" si="11"/>
        <v>110.7186</v>
      </c>
      <c r="T86" s="19">
        <f t="shared" si="11"/>
        <v>117.46320000000001</v>
      </c>
      <c r="U86" s="19">
        <f t="shared" si="11"/>
        <v>120.95439999999999</v>
      </c>
      <c r="V86" s="19">
        <f t="shared" si="11"/>
        <v>123.16999999999997</v>
      </c>
      <c r="W86" s="19">
        <f t="shared" si="11"/>
        <v>126.1833</v>
      </c>
      <c r="X86" s="19">
        <f t="shared" si="11"/>
        <v>128.86049999999997</v>
      </c>
      <c r="Y86" s="19">
        <f t="shared" si="11"/>
        <v>132.3261</v>
      </c>
      <c r="Z86" s="19">
        <f t="shared" si="11"/>
        <v>134.36420000000001</v>
      </c>
      <c r="AA86" s="19">
        <f t="shared" si="11"/>
        <v>137.58350000000002</v>
      </c>
      <c r="AB86" s="19">
        <f t="shared" si="11"/>
        <v>140.49940000000001</v>
      </c>
      <c r="AC86" s="19">
        <f t="shared" si="11"/>
        <v>143.95310000000001</v>
      </c>
      <c r="AD86" s="19">
        <f t="shared" si="11"/>
        <v>146.82599999999999</v>
      </c>
      <c r="AE86" s="19">
        <f t="shared" si="11"/>
        <v>150.18090000000001</v>
      </c>
      <c r="AF86" s="20">
        <f t="shared" si="11"/>
        <v>152.76569999999998</v>
      </c>
    </row>
    <row r="92" spans="3:59" ht="18.600000000000001" thickBot="1" x14ac:dyDescent="0.4">
      <c r="D92" s="33" t="s">
        <v>163</v>
      </c>
    </row>
    <row r="93" spans="3:59" ht="15" thickBot="1" x14ac:dyDescent="0.35">
      <c r="D93" s="5" t="s">
        <v>34</v>
      </c>
      <c r="E93" s="6" t="s">
        <v>35</v>
      </c>
      <c r="F93" s="6" t="s">
        <v>23</v>
      </c>
      <c r="G93" s="6">
        <v>2018</v>
      </c>
      <c r="H93" s="6">
        <v>2019</v>
      </c>
      <c r="I93" s="6">
        <v>2020</v>
      </c>
      <c r="J93" s="6">
        <v>2021</v>
      </c>
      <c r="K93" s="6">
        <v>2022</v>
      </c>
      <c r="L93" s="6">
        <v>2023</v>
      </c>
      <c r="M93" s="6">
        <v>2024</v>
      </c>
      <c r="N93" s="6">
        <v>2025</v>
      </c>
      <c r="O93" s="6">
        <v>2026</v>
      </c>
      <c r="P93" s="6">
        <v>2027</v>
      </c>
      <c r="Q93" s="6">
        <v>2028</v>
      </c>
      <c r="R93" s="6">
        <v>2029</v>
      </c>
      <c r="S93" s="6">
        <v>2030</v>
      </c>
      <c r="T93" s="6">
        <v>2031</v>
      </c>
      <c r="U93" s="6">
        <v>2032</v>
      </c>
      <c r="V93" s="6">
        <v>2033</v>
      </c>
      <c r="W93" s="6">
        <v>2034</v>
      </c>
      <c r="X93" s="6">
        <v>2035</v>
      </c>
      <c r="Y93" s="6">
        <v>2036</v>
      </c>
      <c r="Z93" s="6">
        <v>2037</v>
      </c>
      <c r="AA93" s="6">
        <v>2038</v>
      </c>
      <c r="AB93" s="6">
        <v>2039</v>
      </c>
      <c r="AC93" s="6">
        <v>2040</v>
      </c>
      <c r="AD93" s="6">
        <v>2041</v>
      </c>
      <c r="AE93" s="6">
        <v>2042</v>
      </c>
      <c r="AF93" s="6">
        <v>2043</v>
      </c>
      <c r="AG93" s="6">
        <v>2044</v>
      </c>
      <c r="AH93" s="6">
        <v>2045</v>
      </c>
      <c r="AI93" s="6">
        <v>2046</v>
      </c>
      <c r="AJ93" s="6">
        <v>2047</v>
      </c>
      <c r="AK93" s="6">
        <v>2048</v>
      </c>
      <c r="AL93" s="6">
        <v>2049</v>
      </c>
      <c r="AM93" s="6">
        <v>2050</v>
      </c>
      <c r="AN93" s="6">
        <v>2051</v>
      </c>
      <c r="AO93" s="6">
        <v>2052</v>
      </c>
      <c r="AP93" s="6">
        <v>2053</v>
      </c>
      <c r="AQ93" s="6">
        <v>2054</v>
      </c>
      <c r="AR93" s="6">
        <v>2055</v>
      </c>
      <c r="AS93" s="6">
        <v>2056</v>
      </c>
      <c r="AT93" s="6">
        <v>2057</v>
      </c>
      <c r="AU93" s="6">
        <v>2058</v>
      </c>
      <c r="AV93" s="6">
        <v>2059</v>
      </c>
      <c r="AW93" s="6">
        <v>2060</v>
      </c>
      <c r="AX93" s="6">
        <v>2061</v>
      </c>
      <c r="AY93" s="6">
        <v>2062</v>
      </c>
      <c r="AZ93" s="6">
        <v>2063</v>
      </c>
      <c r="BA93" s="6">
        <v>2064</v>
      </c>
      <c r="BB93" s="6">
        <v>2065</v>
      </c>
      <c r="BC93" s="6">
        <v>2066</v>
      </c>
      <c r="BD93" s="6">
        <v>2067</v>
      </c>
      <c r="BE93" s="6">
        <v>2068</v>
      </c>
      <c r="BF93" s="6">
        <v>2069</v>
      </c>
      <c r="BG93" s="7">
        <v>2070</v>
      </c>
    </row>
    <row r="94" spans="3:59" x14ac:dyDescent="0.3">
      <c r="D94" s="27" t="s">
        <v>24</v>
      </c>
      <c r="E94" s="28" t="s">
        <v>107</v>
      </c>
      <c r="F94" s="28" t="s">
        <v>107</v>
      </c>
      <c r="G94" s="15">
        <v>0</v>
      </c>
      <c r="H94" s="15">
        <v>0</v>
      </c>
      <c r="I94" s="15">
        <v>0</v>
      </c>
      <c r="J94" s="15">
        <v>0</v>
      </c>
      <c r="K94" s="15">
        <v>0</v>
      </c>
      <c r="L94" s="15">
        <v>0</v>
      </c>
      <c r="M94" s="15">
        <v>0</v>
      </c>
      <c r="N94" s="15">
        <v>0</v>
      </c>
      <c r="O94" s="15">
        <v>0</v>
      </c>
      <c r="P94" s="15">
        <v>0</v>
      </c>
      <c r="Q94" s="15">
        <v>0</v>
      </c>
      <c r="R94" s="15">
        <v>0</v>
      </c>
      <c r="S94" s="15">
        <v>0</v>
      </c>
      <c r="T94" s="15">
        <v>1.4</v>
      </c>
      <c r="U94" s="15">
        <v>1.4</v>
      </c>
      <c r="V94" s="15">
        <v>1.4</v>
      </c>
      <c r="W94" s="15">
        <v>1.4</v>
      </c>
      <c r="X94" s="15">
        <v>1.4</v>
      </c>
      <c r="Y94" s="15">
        <v>1.4</v>
      </c>
      <c r="Z94" s="15">
        <v>1.4</v>
      </c>
      <c r="AA94" s="15">
        <v>1.4</v>
      </c>
      <c r="AB94" s="15">
        <v>1.4</v>
      </c>
      <c r="AC94" s="15">
        <v>1.4</v>
      </c>
      <c r="AD94" s="15">
        <v>1.4</v>
      </c>
      <c r="AE94" s="15">
        <v>1.4</v>
      </c>
      <c r="AF94" s="15">
        <v>1.4</v>
      </c>
      <c r="AG94" s="15">
        <v>1.4</v>
      </c>
      <c r="AH94" s="15">
        <v>1.4</v>
      </c>
      <c r="AI94" s="15">
        <v>1.4</v>
      </c>
      <c r="AJ94" s="15">
        <v>1.4</v>
      </c>
      <c r="AK94" s="15">
        <v>1.4</v>
      </c>
      <c r="AL94" s="15">
        <v>1.4</v>
      </c>
      <c r="AM94" s="15">
        <v>1.4</v>
      </c>
      <c r="AN94" s="15">
        <v>1.4</v>
      </c>
      <c r="AO94" s="15">
        <v>1.4</v>
      </c>
      <c r="AP94" s="15">
        <v>1.4</v>
      </c>
      <c r="AQ94" s="15">
        <v>1.4</v>
      </c>
      <c r="AR94" s="15">
        <v>1.4</v>
      </c>
      <c r="AS94" s="15">
        <v>1.4</v>
      </c>
      <c r="AT94" s="15">
        <v>1.4</v>
      </c>
      <c r="AU94" s="15">
        <v>1.4</v>
      </c>
      <c r="AV94" s="15">
        <v>1.4</v>
      </c>
      <c r="AW94" s="15">
        <v>1.4</v>
      </c>
      <c r="AX94" s="15">
        <v>1.4</v>
      </c>
      <c r="AY94" s="15">
        <v>1.4</v>
      </c>
      <c r="AZ94" s="15">
        <v>1.4</v>
      </c>
      <c r="BA94" s="15">
        <v>1.4</v>
      </c>
      <c r="BB94" s="15">
        <v>1.4</v>
      </c>
      <c r="BC94" s="15">
        <v>1.4</v>
      </c>
      <c r="BD94" s="15">
        <v>1.4</v>
      </c>
      <c r="BE94" s="15">
        <v>1.4</v>
      </c>
      <c r="BF94" s="15">
        <v>1.4</v>
      </c>
      <c r="BG94" s="16">
        <v>1.4</v>
      </c>
    </row>
    <row r="95" spans="3:59" x14ac:dyDescent="0.3">
      <c r="D95" s="29" t="s">
        <v>24</v>
      </c>
      <c r="E95" s="30" t="s">
        <v>108</v>
      </c>
      <c r="F95" s="30" t="s">
        <v>5</v>
      </c>
      <c r="G95" s="17">
        <v>0.78700000000000003</v>
      </c>
      <c r="H95" s="17">
        <v>8.4000000000000005E-2</v>
      </c>
      <c r="I95" s="17">
        <v>0.28560000000000002</v>
      </c>
      <c r="J95" s="17">
        <v>0.13619999999999999</v>
      </c>
      <c r="K95" s="17">
        <v>0.32969999999999999</v>
      </c>
      <c r="L95" s="17">
        <v>0.34010000000000001</v>
      </c>
      <c r="M95" s="17">
        <v>0.34260000000000002</v>
      </c>
      <c r="N95" s="17">
        <v>0.35199999999999998</v>
      </c>
      <c r="O95" s="17">
        <v>0.36130000000000001</v>
      </c>
      <c r="P95" s="17">
        <v>0.37259999999999999</v>
      </c>
      <c r="Q95" s="17">
        <v>0.37240000000000001</v>
      </c>
      <c r="R95" s="17">
        <v>0.3805</v>
      </c>
      <c r="S95" s="17">
        <v>0.39090000000000003</v>
      </c>
      <c r="T95" s="17">
        <v>0.39800000000000002</v>
      </c>
      <c r="U95" s="17">
        <v>0.40920000000000001</v>
      </c>
      <c r="V95" s="17">
        <v>0.4209</v>
      </c>
      <c r="W95" s="17">
        <v>0.43209999999999998</v>
      </c>
      <c r="X95" s="17">
        <v>0.44219999999999998</v>
      </c>
      <c r="Y95" s="17">
        <v>0.45440000000000003</v>
      </c>
      <c r="Z95" s="17">
        <v>0.46450000000000002</v>
      </c>
      <c r="AA95" s="17">
        <v>0.47610000000000002</v>
      </c>
      <c r="AB95" s="17">
        <v>0.48770000000000002</v>
      </c>
      <c r="AC95" s="17">
        <v>0.49919999999999998</v>
      </c>
      <c r="AD95" s="17">
        <v>0.5101</v>
      </c>
      <c r="AE95" s="17">
        <v>0.52170000000000005</v>
      </c>
      <c r="AF95" s="17">
        <v>0.53029999999999999</v>
      </c>
      <c r="AG95" s="17">
        <v>0.54179999999999995</v>
      </c>
      <c r="AH95" s="17">
        <v>0.55120000000000002</v>
      </c>
      <c r="AI95" s="17">
        <v>0.5635</v>
      </c>
      <c r="AJ95" s="17">
        <v>0.57310000000000005</v>
      </c>
      <c r="AK95" s="17">
        <v>0.58299999999999996</v>
      </c>
      <c r="AL95" s="17">
        <v>0.5927</v>
      </c>
      <c r="AM95" s="17">
        <v>0.60289999999999999</v>
      </c>
      <c r="AN95" s="17">
        <v>0.62380000000000002</v>
      </c>
      <c r="AO95" s="17">
        <v>0.63460000000000005</v>
      </c>
      <c r="AP95" s="17">
        <v>0.64559999999999995</v>
      </c>
      <c r="AQ95" s="17">
        <v>0.65649999999999997</v>
      </c>
      <c r="AR95" s="17">
        <v>0.66769999999999996</v>
      </c>
      <c r="AS95" s="17">
        <v>0.67889999999999995</v>
      </c>
      <c r="AT95" s="17">
        <v>0.69010000000000005</v>
      </c>
      <c r="AU95" s="17">
        <v>0.70120000000000005</v>
      </c>
      <c r="AV95" s="17">
        <v>0.71250000000000002</v>
      </c>
      <c r="AW95" s="17">
        <v>0.72389999999999999</v>
      </c>
      <c r="AX95" s="17">
        <v>0.73540000000000005</v>
      </c>
      <c r="AY95" s="17">
        <v>0.74709999999999999</v>
      </c>
      <c r="AZ95" s="17">
        <v>0.75880000000000003</v>
      </c>
      <c r="BA95" s="17">
        <v>0.77059999999999995</v>
      </c>
      <c r="BB95" s="17">
        <v>0.78249999999999997</v>
      </c>
      <c r="BC95" s="17">
        <v>0.7944</v>
      </c>
      <c r="BD95" s="17">
        <v>0.80640000000000001</v>
      </c>
      <c r="BE95" s="17">
        <v>0.81840000000000002</v>
      </c>
      <c r="BF95" s="17">
        <v>0.8306</v>
      </c>
      <c r="BG95" s="18">
        <v>0.84289999999999998</v>
      </c>
    </row>
    <row r="96" spans="3:59" x14ac:dyDescent="0.3">
      <c r="D96" s="29" t="s">
        <v>24</v>
      </c>
      <c r="E96" s="30" t="s">
        <v>109</v>
      </c>
      <c r="F96" s="30" t="s">
        <v>5</v>
      </c>
      <c r="G96" s="17">
        <v>0.4269</v>
      </c>
      <c r="H96" s="17">
        <v>0.2442</v>
      </c>
      <c r="I96" s="17">
        <v>8.2500000000000004E-2</v>
      </c>
      <c r="J96" s="17">
        <v>5.4899999999999997E-2</v>
      </c>
      <c r="K96" s="17">
        <v>0.2044</v>
      </c>
      <c r="L96" s="17">
        <v>0.21079999999999999</v>
      </c>
      <c r="M96" s="17">
        <v>0.21240000000000001</v>
      </c>
      <c r="N96" s="17">
        <v>0.21820000000000001</v>
      </c>
      <c r="O96" s="17">
        <v>0.224</v>
      </c>
      <c r="P96" s="17">
        <v>0.23100000000000001</v>
      </c>
      <c r="Q96" s="17">
        <v>0.23089999999999999</v>
      </c>
      <c r="R96" s="17">
        <v>0.2359</v>
      </c>
      <c r="S96" s="17">
        <v>0.2424</v>
      </c>
      <c r="T96" s="17">
        <v>0.2467</v>
      </c>
      <c r="U96" s="17">
        <v>0.25369999999999998</v>
      </c>
      <c r="V96" s="17">
        <v>0.26100000000000001</v>
      </c>
      <c r="W96" s="17">
        <v>0.26790000000000003</v>
      </c>
      <c r="X96" s="17">
        <v>0.27410000000000001</v>
      </c>
      <c r="Y96" s="17">
        <v>0.28170000000000001</v>
      </c>
      <c r="Z96" s="17">
        <v>0.28799999999999998</v>
      </c>
      <c r="AA96" s="17">
        <v>0.29520000000000002</v>
      </c>
      <c r="AB96" s="17">
        <v>0.30230000000000001</v>
      </c>
      <c r="AC96" s="17">
        <v>0.3095</v>
      </c>
      <c r="AD96" s="17">
        <v>0.31619999999999998</v>
      </c>
      <c r="AE96" s="17">
        <v>0.32340000000000002</v>
      </c>
      <c r="AF96" s="17">
        <v>0.32879999999999998</v>
      </c>
      <c r="AG96" s="17">
        <v>0.33589999999999998</v>
      </c>
      <c r="AH96" s="17">
        <v>0.34179999999999999</v>
      </c>
      <c r="AI96" s="17">
        <v>0.34939999999999999</v>
      </c>
      <c r="AJ96" s="17">
        <v>0.3553</v>
      </c>
      <c r="AK96" s="17">
        <v>0.3614</v>
      </c>
      <c r="AL96" s="17">
        <v>0.36749999999999999</v>
      </c>
      <c r="AM96" s="17">
        <v>0.37380000000000002</v>
      </c>
      <c r="AN96" s="17">
        <v>0.38669999999999999</v>
      </c>
      <c r="AO96" s="17">
        <v>0.39340000000000003</v>
      </c>
      <c r="AP96" s="17">
        <v>0.4002</v>
      </c>
      <c r="AQ96" s="17">
        <v>0.40699999999999997</v>
      </c>
      <c r="AR96" s="17">
        <v>0.41399999999999998</v>
      </c>
      <c r="AS96" s="17">
        <v>0.4209</v>
      </c>
      <c r="AT96" s="17">
        <v>0.42780000000000001</v>
      </c>
      <c r="AU96" s="17">
        <v>0.43469999999999998</v>
      </c>
      <c r="AV96" s="17">
        <v>0.44169999999999998</v>
      </c>
      <c r="AW96" s="17">
        <v>0.44879999999999998</v>
      </c>
      <c r="AX96" s="17">
        <v>0.45600000000000002</v>
      </c>
      <c r="AY96" s="17">
        <v>0.4632</v>
      </c>
      <c r="AZ96" s="17">
        <v>0.47039999999999998</v>
      </c>
      <c r="BA96" s="17">
        <v>0.47770000000000001</v>
      </c>
      <c r="BB96" s="17">
        <v>0.48509999999999998</v>
      </c>
      <c r="BC96" s="17">
        <v>0.49249999999999999</v>
      </c>
      <c r="BD96" s="17">
        <v>0.49990000000000001</v>
      </c>
      <c r="BE96" s="17">
        <v>0.50739999999999996</v>
      </c>
      <c r="BF96" s="17">
        <v>0.51500000000000001</v>
      </c>
      <c r="BG96" s="18">
        <v>0.52259999999999995</v>
      </c>
    </row>
    <row r="97" spans="4:59" x14ac:dyDescent="0.3">
      <c r="D97" s="29" t="s">
        <v>24</v>
      </c>
      <c r="E97" s="30" t="s">
        <v>108</v>
      </c>
      <c r="F97" s="30" t="s">
        <v>4</v>
      </c>
      <c r="G97" s="17">
        <v>3.5324</v>
      </c>
      <c r="H97" s="17">
        <v>2.39</v>
      </c>
      <c r="I97" s="17">
        <v>1.9516</v>
      </c>
      <c r="J97" s="17">
        <v>1.5744</v>
      </c>
      <c r="K97" s="17">
        <v>2.3727</v>
      </c>
      <c r="L97" s="17">
        <v>2.4474</v>
      </c>
      <c r="M97" s="17">
        <v>2.4651000000000001</v>
      </c>
      <c r="N97" s="17">
        <v>2.5329000000000002</v>
      </c>
      <c r="O97" s="17">
        <v>2.5998000000000001</v>
      </c>
      <c r="P97" s="17">
        <v>2.6810999999999998</v>
      </c>
      <c r="Q97" s="17">
        <v>2.6797</v>
      </c>
      <c r="R97" s="17">
        <v>2.7381000000000002</v>
      </c>
      <c r="S97" s="17">
        <v>2.8132000000000001</v>
      </c>
      <c r="T97" s="17">
        <v>2.8639000000000001</v>
      </c>
      <c r="U97" s="17">
        <v>2.9445000000000001</v>
      </c>
      <c r="V97" s="17">
        <v>3.0289999999999999</v>
      </c>
      <c r="W97" s="17">
        <v>3.1093000000000002</v>
      </c>
      <c r="X97" s="17">
        <v>3.1821000000000002</v>
      </c>
      <c r="Y97" s="17">
        <v>3.27</v>
      </c>
      <c r="Z97" s="17">
        <v>3.3426999999999998</v>
      </c>
      <c r="AA97" s="17">
        <v>3.4260999999999999</v>
      </c>
      <c r="AB97" s="17">
        <v>3.5095000000000001</v>
      </c>
      <c r="AC97" s="17">
        <v>3.5924</v>
      </c>
      <c r="AD97" s="17">
        <v>3.6707999999999998</v>
      </c>
      <c r="AE97" s="17">
        <v>3.754</v>
      </c>
      <c r="AF97" s="17">
        <v>3.8159999999999998</v>
      </c>
      <c r="AG97" s="17">
        <v>3.8992</v>
      </c>
      <c r="AH97" s="17">
        <v>3.9668999999999999</v>
      </c>
      <c r="AI97" s="17">
        <v>4.0552999999999999</v>
      </c>
      <c r="AJ97" s="17">
        <v>4.1242999999999999</v>
      </c>
      <c r="AK97" s="17">
        <v>4.1954000000000002</v>
      </c>
      <c r="AL97" s="17">
        <v>4.2655000000000003</v>
      </c>
      <c r="AM97" s="17">
        <v>4.3384</v>
      </c>
      <c r="AN97" s="17">
        <v>4.4886999999999997</v>
      </c>
      <c r="AO97" s="17">
        <v>4.5669000000000004</v>
      </c>
      <c r="AP97" s="17">
        <v>4.6456999999999997</v>
      </c>
      <c r="AQ97" s="17">
        <v>4.7241999999999997</v>
      </c>
      <c r="AR97" s="17">
        <v>4.8052000000000001</v>
      </c>
      <c r="AS97" s="17">
        <v>4.8856000000000002</v>
      </c>
      <c r="AT97" s="17">
        <v>4.9659000000000004</v>
      </c>
      <c r="AU97" s="17">
        <v>5.0462999999999996</v>
      </c>
      <c r="AV97" s="17">
        <v>5.1273</v>
      </c>
      <c r="AW97" s="17">
        <v>5.2095000000000002</v>
      </c>
      <c r="AX97" s="17">
        <v>5.2923999999999998</v>
      </c>
      <c r="AY97" s="17">
        <v>5.3765000000000001</v>
      </c>
      <c r="AZ97" s="17">
        <v>5.4603000000000002</v>
      </c>
      <c r="BA97" s="17">
        <v>5.5450999999999997</v>
      </c>
      <c r="BB97" s="17">
        <v>5.6307999999999998</v>
      </c>
      <c r="BC97" s="17">
        <v>5.7164000000000001</v>
      </c>
      <c r="BD97" s="17">
        <v>5.8026999999999997</v>
      </c>
      <c r="BE97" s="17">
        <v>5.8897000000000004</v>
      </c>
      <c r="BF97" s="17">
        <v>5.9775999999999998</v>
      </c>
      <c r="BG97" s="18">
        <v>6.0659999999999998</v>
      </c>
    </row>
    <row r="98" spans="4:59" x14ac:dyDescent="0.3">
      <c r="D98" s="29" t="s">
        <v>24</v>
      </c>
      <c r="E98" s="30" t="s">
        <v>110</v>
      </c>
      <c r="F98" s="30" t="s">
        <v>4</v>
      </c>
      <c r="G98" s="17">
        <v>6.085</v>
      </c>
      <c r="H98" s="17">
        <v>4.3956999999999997</v>
      </c>
      <c r="I98" s="17">
        <v>3.2778999999999998</v>
      </c>
      <c r="J98" s="17">
        <v>3.0028000000000001</v>
      </c>
      <c r="K98" s="17">
        <v>4.2060000000000004</v>
      </c>
      <c r="L98" s="17">
        <v>4.3384</v>
      </c>
      <c r="M98" s="17">
        <v>4.3697999999999997</v>
      </c>
      <c r="N98" s="17">
        <v>4.49</v>
      </c>
      <c r="O98" s="17">
        <v>4.6085000000000003</v>
      </c>
      <c r="P98" s="17">
        <v>4.7526000000000002</v>
      </c>
      <c r="Q98" s="17">
        <v>4.7500999999999998</v>
      </c>
      <c r="R98" s="17">
        <v>4.8536999999999999</v>
      </c>
      <c r="S98" s="17">
        <v>4.9867999999999997</v>
      </c>
      <c r="T98" s="17">
        <v>5.0766</v>
      </c>
      <c r="U98" s="17">
        <v>5.2195</v>
      </c>
      <c r="V98" s="17">
        <v>5.3693</v>
      </c>
      <c r="W98" s="17">
        <v>5.5117000000000003</v>
      </c>
      <c r="X98" s="17">
        <v>5.6406999999999998</v>
      </c>
      <c r="Y98" s="17">
        <v>5.7965999999999998</v>
      </c>
      <c r="Z98" s="17">
        <v>5.9255000000000004</v>
      </c>
      <c r="AA98" s="17">
        <v>6.0732999999999997</v>
      </c>
      <c r="AB98" s="17">
        <v>6.2210999999999999</v>
      </c>
      <c r="AC98" s="17">
        <v>6.3681000000000001</v>
      </c>
      <c r="AD98" s="17">
        <v>6.5069999999999997</v>
      </c>
      <c r="AE98" s="17">
        <v>6.6544999999999996</v>
      </c>
      <c r="AF98" s="17">
        <v>6.7644000000000002</v>
      </c>
      <c r="AG98" s="17">
        <v>6.9119999999999999</v>
      </c>
      <c r="AH98" s="17">
        <v>7.0319000000000003</v>
      </c>
      <c r="AI98" s="17">
        <v>7.1886000000000001</v>
      </c>
      <c r="AJ98" s="17">
        <v>7.3109000000000002</v>
      </c>
      <c r="AK98" s="17">
        <v>7.4370000000000003</v>
      </c>
      <c r="AL98" s="17">
        <v>7.5612000000000004</v>
      </c>
      <c r="AM98" s="17">
        <v>7.6905000000000001</v>
      </c>
      <c r="AN98" s="17">
        <v>7.9569000000000001</v>
      </c>
      <c r="AO98" s="17">
        <v>8.0954999999999995</v>
      </c>
      <c r="AP98" s="17">
        <v>8.2352000000000007</v>
      </c>
      <c r="AQ98" s="17">
        <v>8.3743999999999996</v>
      </c>
      <c r="AR98" s="17">
        <v>8.5178999999999991</v>
      </c>
      <c r="AS98" s="17">
        <v>8.6603999999999992</v>
      </c>
      <c r="AT98" s="17">
        <v>8.8028999999999993</v>
      </c>
      <c r="AU98" s="17">
        <v>8.9452999999999996</v>
      </c>
      <c r="AV98" s="17">
        <v>9.0889000000000006</v>
      </c>
      <c r="AW98" s="17">
        <v>9.2347000000000001</v>
      </c>
      <c r="AX98" s="17">
        <v>9.3816000000000006</v>
      </c>
      <c r="AY98" s="17">
        <v>9.5306999999999995</v>
      </c>
      <c r="AZ98" s="17">
        <v>9.6792999999999996</v>
      </c>
      <c r="BA98" s="17">
        <v>9.8294999999999995</v>
      </c>
      <c r="BB98" s="17">
        <v>9.9814000000000007</v>
      </c>
      <c r="BC98" s="17">
        <v>10.1333</v>
      </c>
      <c r="BD98" s="17">
        <v>10.286199999999999</v>
      </c>
      <c r="BE98" s="17">
        <v>10.440300000000001</v>
      </c>
      <c r="BF98" s="17">
        <v>10.5961</v>
      </c>
      <c r="BG98" s="18">
        <v>10.753</v>
      </c>
    </row>
    <row r="99" spans="4:59" x14ac:dyDescent="0.3">
      <c r="D99" s="29" t="s">
        <v>24</v>
      </c>
      <c r="E99" s="30" t="s">
        <v>167</v>
      </c>
      <c r="F99" s="30" t="s">
        <v>29</v>
      </c>
      <c r="G99" s="17">
        <v>0.37159999999999999</v>
      </c>
      <c r="H99" s="17">
        <v>0.53610000000000002</v>
      </c>
      <c r="I99" s="17">
        <v>0.50829999999999997</v>
      </c>
      <c r="J99" s="17">
        <v>0.53559999999999997</v>
      </c>
      <c r="K99" s="17">
        <v>0.52529999999999999</v>
      </c>
      <c r="L99" s="17">
        <v>0.5343</v>
      </c>
      <c r="M99" s="17">
        <v>0.53639999999999999</v>
      </c>
      <c r="N99" s="17">
        <v>0.54449999999999998</v>
      </c>
      <c r="O99" s="17">
        <v>0.55249999999999999</v>
      </c>
      <c r="P99" s="17">
        <v>0.56220000000000003</v>
      </c>
      <c r="Q99" s="17">
        <v>0.56200000000000006</v>
      </c>
      <c r="R99" s="17">
        <v>0.56900000000000006</v>
      </c>
      <c r="S99" s="17">
        <v>0.57800000000000007</v>
      </c>
      <c r="T99" s="17">
        <v>0.58410000000000006</v>
      </c>
      <c r="U99" s="17">
        <v>0.59380000000000011</v>
      </c>
      <c r="V99" s="17">
        <v>0.6039000000000001</v>
      </c>
      <c r="W99" s="17">
        <v>0.61350000000000016</v>
      </c>
      <c r="X99" s="17">
        <v>0.6222000000000002</v>
      </c>
      <c r="Y99" s="17">
        <v>0.63270000000000015</v>
      </c>
      <c r="Z99" s="17">
        <v>0.64140000000000019</v>
      </c>
      <c r="AA99" s="17">
        <v>0.6514000000000002</v>
      </c>
      <c r="AB99" s="17">
        <v>0.66140000000000021</v>
      </c>
      <c r="AC99" s="17">
        <v>0.67130000000000023</v>
      </c>
      <c r="AD99" s="17">
        <v>0.68070000000000019</v>
      </c>
      <c r="AE99" s="17">
        <v>0.6907000000000002</v>
      </c>
      <c r="AF99" s="17">
        <v>0.69810000000000016</v>
      </c>
      <c r="AG99" s="17">
        <v>0.70810000000000017</v>
      </c>
      <c r="AH99" s="17">
        <v>0.71620000000000017</v>
      </c>
      <c r="AI99" s="17">
        <v>0.72680000000000022</v>
      </c>
      <c r="AJ99" s="17">
        <v>0.7351000000000002</v>
      </c>
      <c r="AK99" s="17">
        <v>0.74360000000000015</v>
      </c>
      <c r="AL99" s="17">
        <v>0.75200000000000011</v>
      </c>
      <c r="AM99" s="17">
        <v>0.76070000000000015</v>
      </c>
      <c r="AN99" s="17">
        <v>0.77870000000000017</v>
      </c>
      <c r="AO99" s="17">
        <v>0.78810000000000013</v>
      </c>
      <c r="AP99" s="17">
        <v>0.7975000000000001</v>
      </c>
      <c r="AQ99" s="17">
        <v>0.80690000000000006</v>
      </c>
      <c r="AR99" s="17">
        <v>0.8166000000000001</v>
      </c>
      <c r="AS99" s="17">
        <v>0.82620000000000016</v>
      </c>
      <c r="AT99" s="17">
        <v>0.83580000000000021</v>
      </c>
      <c r="AU99" s="17">
        <v>0.84540000000000026</v>
      </c>
      <c r="AV99" s="17">
        <v>0.8551000000000003</v>
      </c>
      <c r="AW99" s="17">
        <v>0.86500000000000032</v>
      </c>
      <c r="AX99" s="17">
        <v>0.87490000000000034</v>
      </c>
      <c r="AY99" s="17">
        <v>0.88500000000000034</v>
      </c>
      <c r="AZ99" s="17">
        <v>0.89500000000000035</v>
      </c>
      <c r="BA99" s="17">
        <v>0.90520000000000034</v>
      </c>
      <c r="BB99" s="17">
        <v>0.91550000000000031</v>
      </c>
      <c r="BC99" s="17">
        <v>0.92580000000000029</v>
      </c>
      <c r="BD99" s="17">
        <v>0.93610000000000027</v>
      </c>
      <c r="BE99" s="17">
        <v>0.94650000000000023</v>
      </c>
      <c r="BF99" s="17">
        <v>0.95700000000000018</v>
      </c>
      <c r="BG99" s="18">
        <v>0.96760000000000024</v>
      </c>
    </row>
    <row r="100" spans="4:59" x14ac:dyDescent="0.3">
      <c r="D100" s="29" t="s">
        <v>24</v>
      </c>
      <c r="E100" s="30" t="s">
        <v>111</v>
      </c>
      <c r="F100" s="30" t="s">
        <v>29</v>
      </c>
      <c r="G100" s="17">
        <v>3.1625000000000001</v>
      </c>
      <c r="H100" s="17">
        <v>4.2037000000000004</v>
      </c>
      <c r="I100" s="17">
        <v>3.1303000000000001</v>
      </c>
      <c r="J100" s="17">
        <v>3.7993000000000001</v>
      </c>
      <c r="K100" s="17">
        <v>6.2047999999999996</v>
      </c>
      <c r="L100" s="17">
        <v>6.2047999999999996</v>
      </c>
      <c r="M100" s="17">
        <v>7.3170000000000002</v>
      </c>
      <c r="N100" s="17">
        <v>7.3170000000000002</v>
      </c>
      <c r="O100" s="17">
        <v>7.3170000000000002</v>
      </c>
      <c r="P100" s="17">
        <v>7.3170000000000002</v>
      </c>
      <c r="Q100" s="17">
        <v>7.3170000000000002</v>
      </c>
      <c r="R100" s="17">
        <v>7.3170000000000002</v>
      </c>
      <c r="S100" s="17">
        <v>7.3170000000000002</v>
      </c>
      <c r="T100" s="17">
        <v>7.3170000000000002</v>
      </c>
      <c r="U100" s="17">
        <v>7.3170000000000002</v>
      </c>
      <c r="V100" s="17">
        <v>7.3170000000000002</v>
      </c>
      <c r="W100" s="17">
        <v>7.3170000000000002</v>
      </c>
      <c r="X100" s="17">
        <v>7.3170000000000002</v>
      </c>
      <c r="Y100" s="17">
        <v>7.3170000000000002</v>
      </c>
      <c r="Z100" s="17">
        <v>7.3170000000000002</v>
      </c>
      <c r="AA100" s="17">
        <v>7.3170000000000002</v>
      </c>
      <c r="AB100" s="17">
        <v>7.3170000000000002</v>
      </c>
      <c r="AC100" s="17">
        <v>7.3170000000000002</v>
      </c>
      <c r="AD100" s="17">
        <v>7.3170000000000002</v>
      </c>
      <c r="AE100" s="17">
        <v>7.3170000000000002</v>
      </c>
      <c r="AF100" s="17">
        <v>7.3170000000000002</v>
      </c>
      <c r="AG100" s="17">
        <v>7.3170000000000002</v>
      </c>
      <c r="AH100" s="17">
        <v>7.3170000000000002</v>
      </c>
      <c r="AI100" s="17">
        <v>7.3170000000000002</v>
      </c>
      <c r="AJ100" s="17">
        <v>7.3170000000000002</v>
      </c>
      <c r="AK100" s="17">
        <v>7.3170000000000002</v>
      </c>
      <c r="AL100" s="17">
        <v>7.3170000000000002</v>
      </c>
      <c r="AM100" s="17">
        <v>7.3170000000000002</v>
      </c>
      <c r="AN100" s="17">
        <v>7.3170000000000002</v>
      </c>
      <c r="AO100" s="17">
        <v>7.3170000000000002</v>
      </c>
      <c r="AP100" s="17">
        <v>7.3170000000000002</v>
      </c>
      <c r="AQ100" s="17">
        <v>7.3170000000000002</v>
      </c>
      <c r="AR100" s="17">
        <v>7.3170000000000002</v>
      </c>
      <c r="AS100" s="17">
        <v>7.3170000000000002</v>
      </c>
      <c r="AT100" s="17">
        <v>7.3170000000000002</v>
      </c>
      <c r="AU100" s="17">
        <v>7.3170000000000002</v>
      </c>
      <c r="AV100" s="17">
        <v>7.3170000000000002</v>
      </c>
      <c r="AW100" s="17">
        <v>7.3170000000000002</v>
      </c>
      <c r="AX100" s="17">
        <v>7.3170000000000002</v>
      </c>
      <c r="AY100" s="17">
        <v>7.3170000000000002</v>
      </c>
      <c r="AZ100" s="17">
        <v>7.3170000000000002</v>
      </c>
      <c r="BA100" s="17">
        <v>7.3170000000000002</v>
      </c>
      <c r="BB100" s="17">
        <v>7.3170000000000002</v>
      </c>
      <c r="BC100" s="17">
        <v>7.3170000000000002</v>
      </c>
      <c r="BD100" s="17">
        <v>7.3170000000000002</v>
      </c>
      <c r="BE100" s="17">
        <v>7.3170000000000002</v>
      </c>
      <c r="BF100" s="17">
        <v>7.3170000000000002</v>
      </c>
      <c r="BG100" s="18">
        <v>7.3170000000000002</v>
      </c>
    </row>
    <row r="101" spans="4:59" x14ac:dyDescent="0.3">
      <c r="D101" s="29" t="s">
        <v>24</v>
      </c>
      <c r="E101" s="30" t="s">
        <v>112</v>
      </c>
      <c r="F101" s="30" t="s">
        <v>29</v>
      </c>
      <c r="G101" s="17">
        <v>0</v>
      </c>
      <c r="H101" s="17">
        <v>0</v>
      </c>
      <c r="I101" s="17">
        <v>0</v>
      </c>
      <c r="J101" s="17">
        <v>0</v>
      </c>
      <c r="K101" s="17">
        <v>0</v>
      </c>
      <c r="L101" s="17">
        <v>0</v>
      </c>
      <c r="M101" s="17">
        <v>0</v>
      </c>
      <c r="N101" s="17">
        <v>0</v>
      </c>
      <c r="O101" s="17">
        <v>0</v>
      </c>
      <c r="P101" s="17">
        <v>0</v>
      </c>
      <c r="Q101" s="17">
        <v>0</v>
      </c>
      <c r="R101" s="17">
        <v>0</v>
      </c>
      <c r="S101" s="17">
        <v>0</v>
      </c>
      <c r="T101" s="17">
        <v>0</v>
      </c>
      <c r="U101" s="17">
        <v>0</v>
      </c>
      <c r="V101" s="17">
        <v>0</v>
      </c>
      <c r="W101" s="17">
        <v>0</v>
      </c>
      <c r="X101" s="17">
        <v>0</v>
      </c>
      <c r="Y101" s="17">
        <v>0</v>
      </c>
      <c r="Z101" s="17">
        <v>0</v>
      </c>
      <c r="AA101" s="17">
        <v>0</v>
      </c>
      <c r="AB101" s="17">
        <v>0</v>
      </c>
      <c r="AC101" s="17">
        <v>0</v>
      </c>
      <c r="AD101" s="17">
        <v>0</v>
      </c>
      <c r="AE101" s="17">
        <v>0</v>
      </c>
      <c r="AF101" s="17">
        <v>0</v>
      </c>
      <c r="AG101" s="17">
        <v>0</v>
      </c>
      <c r="AH101" s="17">
        <v>0</v>
      </c>
      <c r="AI101" s="17">
        <v>0</v>
      </c>
      <c r="AJ101" s="17">
        <v>0</v>
      </c>
      <c r="AK101" s="17">
        <v>0</v>
      </c>
      <c r="AL101" s="17">
        <v>0</v>
      </c>
      <c r="AM101" s="17">
        <v>0</v>
      </c>
      <c r="AN101" s="17">
        <v>0</v>
      </c>
      <c r="AO101" s="17">
        <v>0</v>
      </c>
      <c r="AP101" s="17">
        <v>0</v>
      </c>
      <c r="AQ101" s="17">
        <v>0</v>
      </c>
      <c r="AR101" s="17">
        <v>0</v>
      </c>
      <c r="AS101" s="17">
        <v>0</v>
      </c>
      <c r="AT101" s="17">
        <v>0</v>
      </c>
      <c r="AU101" s="17">
        <v>0</v>
      </c>
      <c r="AV101" s="17">
        <v>0</v>
      </c>
      <c r="AW101" s="17">
        <v>0</v>
      </c>
      <c r="AX101" s="17">
        <v>0</v>
      </c>
      <c r="AY101" s="17">
        <v>0</v>
      </c>
      <c r="AZ101" s="17">
        <v>0</v>
      </c>
      <c r="BA101" s="17">
        <v>0</v>
      </c>
      <c r="BB101" s="17">
        <v>0</v>
      </c>
      <c r="BC101" s="17">
        <v>0</v>
      </c>
      <c r="BD101" s="17">
        <v>0</v>
      </c>
      <c r="BE101" s="17">
        <v>0</v>
      </c>
      <c r="BF101" s="17">
        <v>0</v>
      </c>
      <c r="BG101" s="18">
        <v>0</v>
      </c>
    </row>
    <row r="102" spans="4:59" x14ac:dyDescent="0.3">
      <c r="D102" s="29" t="s">
        <v>24</v>
      </c>
      <c r="E102" s="30" t="s">
        <v>113</v>
      </c>
      <c r="F102" s="30" t="s">
        <v>29</v>
      </c>
      <c r="G102" s="17">
        <v>0</v>
      </c>
      <c r="H102" s="17">
        <v>0</v>
      </c>
      <c r="I102" s="17">
        <v>0</v>
      </c>
      <c r="J102" s="17">
        <v>0</v>
      </c>
      <c r="K102" s="17">
        <v>0</v>
      </c>
      <c r="L102" s="17">
        <v>0</v>
      </c>
      <c r="M102" s="17">
        <v>0</v>
      </c>
      <c r="N102" s="17">
        <v>0</v>
      </c>
      <c r="O102" s="17">
        <v>0</v>
      </c>
      <c r="P102" s="17">
        <v>0</v>
      </c>
      <c r="Q102" s="17">
        <v>0</v>
      </c>
      <c r="R102" s="17">
        <v>0</v>
      </c>
      <c r="S102" s="17">
        <v>0</v>
      </c>
      <c r="T102" s="17">
        <v>0</v>
      </c>
      <c r="U102" s="17">
        <v>0</v>
      </c>
      <c r="V102" s="17">
        <v>0</v>
      </c>
      <c r="W102" s="17">
        <v>0</v>
      </c>
      <c r="X102" s="17">
        <v>0</v>
      </c>
      <c r="Y102" s="17">
        <v>0</v>
      </c>
      <c r="Z102" s="17">
        <v>0</v>
      </c>
      <c r="AA102" s="17">
        <v>0</v>
      </c>
      <c r="AB102" s="17">
        <v>0</v>
      </c>
      <c r="AC102" s="17">
        <v>0</v>
      </c>
      <c r="AD102" s="17">
        <v>0</v>
      </c>
      <c r="AE102" s="17">
        <v>0</v>
      </c>
      <c r="AF102" s="17">
        <v>0</v>
      </c>
      <c r="AG102" s="17">
        <v>0</v>
      </c>
      <c r="AH102" s="17">
        <v>0</v>
      </c>
      <c r="AI102" s="17">
        <v>0</v>
      </c>
      <c r="AJ102" s="17">
        <v>0</v>
      </c>
      <c r="AK102" s="17">
        <v>0</v>
      </c>
      <c r="AL102" s="17">
        <v>0</v>
      </c>
      <c r="AM102" s="17">
        <v>0</v>
      </c>
      <c r="AN102" s="17">
        <v>0</v>
      </c>
      <c r="AO102" s="17">
        <v>0</v>
      </c>
      <c r="AP102" s="17">
        <v>0</v>
      </c>
      <c r="AQ102" s="17">
        <v>0</v>
      </c>
      <c r="AR102" s="17">
        <v>0</v>
      </c>
      <c r="AS102" s="17">
        <v>0</v>
      </c>
      <c r="AT102" s="17">
        <v>0</v>
      </c>
      <c r="AU102" s="17">
        <v>0</v>
      </c>
      <c r="AV102" s="17">
        <v>0</v>
      </c>
      <c r="AW102" s="17">
        <v>0</v>
      </c>
      <c r="AX102" s="17">
        <v>0</v>
      </c>
      <c r="AY102" s="17">
        <v>0</v>
      </c>
      <c r="AZ102" s="17">
        <v>0</v>
      </c>
      <c r="BA102" s="17">
        <v>0</v>
      </c>
      <c r="BB102" s="17">
        <v>0</v>
      </c>
      <c r="BC102" s="17">
        <v>0</v>
      </c>
      <c r="BD102" s="17">
        <v>0</v>
      </c>
      <c r="BE102" s="17">
        <v>0</v>
      </c>
      <c r="BF102" s="17">
        <v>0</v>
      </c>
      <c r="BG102" s="18">
        <v>0</v>
      </c>
    </row>
    <row r="103" spans="4:59" x14ac:dyDescent="0.3">
      <c r="D103" s="29" t="s">
        <v>24</v>
      </c>
      <c r="E103" s="30" t="s">
        <v>114</v>
      </c>
      <c r="F103" s="30" t="s">
        <v>29</v>
      </c>
      <c r="G103" s="17">
        <v>6.4592999999999998</v>
      </c>
      <c r="H103" s="17">
        <v>7.1669</v>
      </c>
      <c r="I103" s="17">
        <v>6.6074999999999999</v>
      </c>
      <c r="J103" s="17">
        <v>7.1262999999999996</v>
      </c>
      <c r="K103" s="17">
        <v>6.9811000000000005</v>
      </c>
      <c r="L103" s="17">
        <v>7.1071000000000009</v>
      </c>
      <c r="M103" s="17">
        <v>7.1370000000000005</v>
      </c>
      <c r="N103" s="17">
        <v>7.2513000000000005</v>
      </c>
      <c r="O103" s="17">
        <v>7.3641000000000005</v>
      </c>
      <c r="P103" s="17">
        <v>7.5013000000000005</v>
      </c>
      <c r="Q103" s="17">
        <v>7.4989000000000008</v>
      </c>
      <c r="R103" s="17">
        <v>7.5974000000000004</v>
      </c>
      <c r="S103" s="17">
        <v>7.7241</v>
      </c>
      <c r="T103" s="17">
        <v>7.8094999999999999</v>
      </c>
      <c r="U103" s="17">
        <v>7.9455</v>
      </c>
      <c r="V103" s="17">
        <v>8.0879999999999992</v>
      </c>
      <c r="W103" s="17">
        <v>8.2234999999999996</v>
      </c>
      <c r="X103" s="17">
        <v>8.3462999999999994</v>
      </c>
      <c r="Y103" s="17">
        <v>8.4946999999999999</v>
      </c>
      <c r="Z103" s="17">
        <v>8.6173000000000002</v>
      </c>
      <c r="AA103" s="17">
        <v>8.7580000000000009</v>
      </c>
      <c r="AB103" s="17">
        <v>8.8986000000000001</v>
      </c>
      <c r="AC103" s="17">
        <v>9.0385000000000009</v>
      </c>
      <c r="AD103" s="17">
        <v>9.1707000000000001</v>
      </c>
      <c r="AE103" s="17">
        <v>9.3109999999999999</v>
      </c>
      <c r="AF103" s="17">
        <v>9.4155999999999995</v>
      </c>
      <c r="AG103" s="17">
        <v>9.5560999999999989</v>
      </c>
      <c r="AH103" s="17">
        <v>9.6701999999999995</v>
      </c>
      <c r="AI103" s="17">
        <v>9.8193000000000001</v>
      </c>
      <c r="AJ103" s="17">
        <v>9.9357000000000006</v>
      </c>
      <c r="AK103" s="17">
        <v>10.055800000000001</v>
      </c>
      <c r="AL103" s="17">
        <v>10.173900000000001</v>
      </c>
      <c r="AM103" s="17">
        <v>10.296900000000001</v>
      </c>
      <c r="AN103" s="17">
        <v>10.550400000000002</v>
      </c>
      <c r="AO103" s="17">
        <v>10.682300000000001</v>
      </c>
      <c r="AP103" s="17">
        <v>10.815200000000001</v>
      </c>
      <c r="AQ103" s="17">
        <v>10.947600000000001</v>
      </c>
      <c r="AR103" s="17">
        <v>11.084200000000001</v>
      </c>
      <c r="AS103" s="17">
        <v>11.219800000000001</v>
      </c>
      <c r="AT103" s="17">
        <v>11.355400000000001</v>
      </c>
      <c r="AU103" s="17">
        <v>11.491000000000001</v>
      </c>
      <c r="AV103" s="17">
        <v>11.627600000000001</v>
      </c>
      <c r="AW103" s="17">
        <v>11.766300000000001</v>
      </c>
      <c r="AX103" s="17">
        <v>11.9061</v>
      </c>
      <c r="AY103" s="17">
        <v>12.048</v>
      </c>
      <c r="AZ103" s="17">
        <v>12.189400000000001</v>
      </c>
      <c r="BA103" s="17">
        <v>12.3323</v>
      </c>
      <c r="BB103" s="17">
        <v>12.476800000000001</v>
      </c>
      <c r="BC103" s="17">
        <v>12.621300000000002</v>
      </c>
      <c r="BD103" s="17">
        <v>12.766900000000001</v>
      </c>
      <c r="BE103" s="17">
        <v>12.913500000000001</v>
      </c>
      <c r="BF103" s="17">
        <v>13.0617</v>
      </c>
      <c r="BG103" s="18">
        <v>13.211</v>
      </c>
    </row>
    <row r="104" spans="4:59" x14ac:dyDescent="0.3">
      <c r="D104" s="29" t="s">
        <v>24</v>
      </c>
      <c r="E104" s="30" t="s">
        <v>115</v>
      </c>
      <c r="F104" s="30" t="s">
        <v>29</v>
      </c>
      <c r="G104" s="17">
        <v>17.466100000000001</v>
      </c>
      <c r="H104" s="17">
        <v>19.9786</v>
      </c>
      <c r="I104" s="17">
        <v>18.5183</v>
      </c>
      <c r="J104" s="17">
        <v>19.544899999999998</v>
      </c>
      <c r="K104" s="17">
        <v>15</v>
      </c>
      <c r="L104" s="17">
        <v>15</v>
      </c>
      <c r="M104" s="17">
        <v>15</v>
      </c>
      <c r="N104" s="17">
        <v>15</v>
      </c>
      <c r="O104" s="17">
        <v>15</v>
      </c>
      <c r="P104" s="17">
        <v>15</v>
      </c>
      <c r="Q104" s="17">
        <v>15</v>
      </c>
      <c r="R104" s="17">
        <v>15</v>
      </c>
      <c r="S104" s="17">
        <v>15</v>
      </c>
      <c r="T104" s="17">
        <v>15</v>
      </c>
      <c r="U104" s="17">
        <v>15</v>
      </c>
      <c r="V104" s="17">
        <v>15</v>
      </c>
      <c r="W104" s="17">
        <v>15</v>
      </c>
      <c r="X104" s="17">
        <v>15</v>
      </c>
      <c r="Y104" s="17">
        <v>15</v>
      </c>
      <c r="Z104" s="17">
        <v>15</v>
      </c>
      <c r="AA104" s="17">
        <v>15</v>
      </c>
      <c r="AB104" s="17">
        <v>15</v>
      </c>
      <c r="AC104" s="17">
        <v>15</v>
      </c>
      <c r="AD104" s="17">
        <v>15</v>
      </c>
      <c r="AE104" s="17">
        <v>15</v>
      </c>
      <c r="AF104" s="17">
        <v>15</v>
      </c>
      <c r="AG104" s="17">
        <v>15</v>
      </c>
      <c r="AH104" s="17">
        <v>15</v>
      </c>
      <c r="AI104" s="17">
        <v>15</v>
      </c>
      <c r="AJ104" s="17">
        <v>15</v>
      </c>
      <c r="AK104" s="17">
        <v>15</v>
      </c>
      <c r="AL104" s="17">
        <v>15</v>
      </c>
      <c r="AM104" s="17">
        <v>15</v>
      </c>
      <c r="AN104" s="17">
        <v>15</v>
      </c>
      <c r="AO104" s="17">
        <v>15</v>
      </c>
      <c r="AP104" s="17">
        <v>15</v>
      </c>
      <c r="AQ104" s="17">
        <v>15</v>
      </c>
      <c r="AR104" s="17">
        <v>15</v>
      </c>
      <c r="AS104" s="17">
        <v>15</v>
      </c>
      <c r="AT104" s="17">
        <v>15</v>
      </c>
      <c r="AU104" s="17">
        <v>15</v>
      </c>
      <c r="AV104" s="17">
        <v>15</v>
      </c>
      <c r="AW104" s="17">
        <v>15</v>
      </c>
      <c r="AX104" s="17">
        <v>15</v>
      </c>
      <c r="AY104" s="17">
        <v>15</v>
      </c>
      <c r="AZ104" s="17">
        <v>15</v>
      </c>
      <c r="BA104" s="17">
        <v>15</v>
      </c>
      <c r="BB104" s="17">
        <v>15</v>
      </c>
      <c r="BC104" s="17">
        <v>15</v>
      </c>
      <c r="BD104" s="17">
        <v>15</v>
      </c>
      <c r="BE104" s="17">
        <v>15</v>
      </c>
      <c r="BF104" s="17">
        <v>15</v>
      </c>
      <c r="BG104" s="18">
        <v>15</v>
      </c>
    </row>
    <row r="105" spans="4:59" x14ac:dyDescent="0.3">
      <c r="D105" s="29" t="s">
        <v>24</v>
      </c>
      <c r="E105" s="30" t="s">
        <v>116</v>
      </c>
      <c r="F105" s="30" t="s">
        <v>29</v>
      </c>
      <c r="G105" s="17">
        <v>0.96150000000000002</v>
      </c>
      <c r="H105" s="17">
        <v>0.9667</v>
      </c>
      <c r="I105" s="17">
        <v>1.0781000000000001</v>
      </c>
      <c r="J105" s="17">
        <v>1.331</v>
      </c>
      <c r="K105" s="17">
        <v>1.2837000000000001</v>
      </c>
      <c r="L105" s="17">
        <v>1.3248</v>
      </c>
      <c r="M105" s="17">
        <v>1.3345</v>
      </c>
      <c r="N105" s="17">
        <v>1.3717999999999999</v>
      </c>
      <c r="O105" s="17">
        <v>1.4085999999999999</v>
      </c>
      <c r="P105" s="17">
        <v>1.4533999999999998</v>
      </c>
      <c r="Q105" s="17">
        <v>1.4525999999999999</v>
      </c>
      <c r="R105" s="17">
        <v>1.4846999999999999</v>
      </c>
      <c r="S105" s="17">
        <v>1.5259999999999998</v>
      </c>
      <c r="T105" s="17">
        <v>1.5538999999999998</v>
      </c>
      <c r="U105" s="17">
        <v>1.5982999999999998</v>
      </c>
      <c r="V105" s="17">
        <v>1.6447999999999998</v>
      </c>
      <c r="W105" s="17">
        <v>1.6889999999999998</v>
      </c>
      <c r="X105" s="17">
        <v>1.7289999999999999</v>
      </c>
      <c r="Y105" s="17">
        <v>1.7773999999999999</v>
      </c>
      <c r="Z105" s="17">
        <v>1.8173999999999999</v>
      </c>
      <c r="AA105" s="17">
        <v>1.8633</v>
      </c>
      <c r="AB105" s="17">
        <v>1.9092</v>
      </c>
      <c r="AC105" s="17">
        <v>1.9548000000000001</v>
      </c>
      <c r="AD105" s="17">
        <v>1.9979</v>
      </c>
      <c r="AE105" s="17">
        <v>2.0436999999999999</v>
      </c>
      <c r="AF105" s="17">
        <v>2.0777999999999999</v>
      </c>
      <c r="AG105" s="17">
        <v>2.1235999999999997</v>
      </c>
      <c r="AH105" s="17">
        <v>2.1607999999999996</v>
      </c>
      <c r="AI105" s="17">
        <v>2.2093999999999996</v>
      </c>
      <c r="AJ105" s="17">
        <v>2.2473999999999994</v>
      </c>
      <c r="AK105" s="17">
        <v>2.2865999999999995</v>
      </c>
      <c r="AL105" s="17">
        <v>2.3250999999999995</v>
      </c>
      <c r="AM105" s="17">
        <v>2.3651999999999993</v>
      </c>
      <c r="AN105" s="17">
        <v>2.4478999999999993</v>
      </c>
      <c r="AO105" s="17">
        <v>2.4908999999999994</v>
      </c>
      <c r="AP105" s="17">
        <v>2.5342999999999996</v>
      </c>
      <c r="AQ105" s="17">
        <v>2.5774999999999997</v>
      </c>
      <c r="AR105" s="17">
        <v>2.6220999999999997</v>
      </c>
      <c r="AS105" s="17">
        <v>2.6662999999999997</v>
      </c>
      <c r="AT105" s="17">
        <v>2.7104999999999997</v>
      </c>
      <c r="AU105" s="17">
        <v>2.7546999999999997</v>
      </c>
      <c r="AV105" s="17">
        <v>2.7992999999999997</v>
      </c>
      <c r="AW105" s="17">
        <v>2.8445999999999998</v>
      </c>
      <c r="AX105" s="17">
        <v>2.8901999999999997</v>
      </c>
      <c r="AY105" s="17">
        <v>2.9364999999999997</v>
      </c>
      <c r="AZ105" s="17">
        <v>2.9825999999999997</v>
      </c>
      <c r="BA105" s="17">
        <v>3.0291999999999999</v>
      </c>
      <c r="BB105" s="17">
        <v>3.0762999999999998</v>
      </c>
      <c r="BC105" s="17">
        <v>3.1234999999999999</v>
      </c>
      <c r="BD105" s="17">
        <v>3.1709999999999998</v>
      </c>
      <c r="BE105" s="17">
        <v>3.2187999999999999</v>
      </c>
      <c r="BF105" s="17">
        <v>3.2671999999999999</v>
      </c>
      <c r="BG105" s="18">
        <v>3.3159000000000001</v>
      </c>
    </row>
    <row r="106" spans="4:59" x14ac:dyDescent="0.3">
      <c r="D106" s="29" t="s">
        <v>24</v>
      </c>
      <c r="E106" s="30" t="s">
        <v>117</v>
      </c>
      <c r="F106" s="30" t="s">
        <v>29</v>
      </c>
      <c r="G106" s="17">
        <v>1.3862000000000001</v>
      </c>
      <c r="H106" s="17">
        <v>4.7884000000000002</v>
      </c>
      <c r="I106" s="17">
        <v>4.8201000000000001</v>
      </c>
      <c r="J106" s="17">
        <v>5.4885000000000002</v>
      </c>
      <c r="K106" s="17">
        <v>5.4885000000000002</v>
      </c>
      <c r="L106" s="17">
        <v>5.4885000000000002</v>
      </c>
      <c r="M106" s="17">
        <v>6.7233000000000001</v>
      </c>
      <c r="N106" s="17">
        <v>6.7233000000000001</v>
      </c>
      <c r="O106" s="17">
        <v>6.7233000000000001</v>
      </c>
      <c r="P106" s="17">
        <v>6.7233000000000001</v>
      </c>
      <c r="Q106" s="17">
        <v>9.9172999999999991</v>
      </c>
      <c r="R106" s="17">
        <v>9.9172999999999991</v>
      </c>
      <c r="S106" s="17">
        <v>9.9172999999999991</v>
      </c>
      <c r="T106" s="17">
        <v>9.9172999999999991</v>
      </c>
      <c r="U106" s="17">
        <v>9.9172999999999991</v>
      </c>
      <c r="V106" s="17">
        <v>9.9172999999999991</v>
      </c>
      <c r="W106" s="17">
        <v>9.9172999999999991</v>
      </c>
      <c r="X106" s="17">
        <v>9.9172999999999991</v>
      </c>
      <c r="Y106" s="17">
        <v>9.9172999999999991</v>
      </c>
      <c r="Z106" s="17">
        <v>9.9172999999999991</v>
      </c>
      <c r="AA106" s="17">
        <v>9.9172999999999991</v>
      </c>
      <c r="AB106" s="17">
        <v>9.9172999999999991</v>
      </c>
      <c r="AC106" s="17">
        <v>9.9172999999999991</v>
      </c>
      <c r="AD106" s="17">
        <v>9.9172999999999991</v>
      </c>
      <c r="AE106" s="17">
        <v>9.9172999999999991</v>
      </c>
      <c r="AF106" s="17">
        <v>9.9172999999999991</v>
      </c>
      <c r="AG106" s="17">
        <v>9.9172999999999991</v>
      </c>
      <c r="AH106" s="17">
        <v>9.9172999999999991</v>
      </c>
      <c r="AI106" s="17">
        <v>9.9172999999999991</v>
      </c>
      <c r="AJ106" s="17">
        <v>9.9172999999999991</v>
      </c>
      <c r="AK106" s="17">
        <v>9.9172999999999991</v>
      </c>
      <c r="AL106" s="17">
        <v>9.9172999999999991</v>
      </c>
      <c r="AM106" s="17">
        <v>9.9172999999999991</v>
      </c>
      <c r="AN106" s="17">
        <v>9.9172999999999991</v>
      </c>
      <c r="AO106" s="17">
        <v>9.9172999999999991</v>
      </c>
      <c r="AP106" s="17">
        <v>9.9172999999999991</v>
      </c>
      <c r="AQ106" s="17">
        <v>9.9172999999999991</v>
      </c>
      <c r="AR106" s="17">
        <v>9.9172999999999991</v>
      </c>
      <c r="AS106" s="17">
        <v>9.9172999999999991</v>
      </c>
      <c r="AT106" s="17">
        <v>9.9172999999999991</v>
      </c>
      <c r="AU106" s="17">
        <v>9.9172999999999991</v>
      </c>
      <c r="AV106" s="17">
        <v>9.9172999999999991</v>
      </c>
      <c r="AW106" s="17">
        <v>9.9172999999999991</v>
      </c>
      <c r="AX106" s="17">
        <v>9.9172999999999991</v>
      </c>
      <c r="AY106" s="17">
        <v>9.9172999999999991</v>
      </c>
      <c r="AZ106" s="17">
        <v>9.9172999999999991</v>
      </c>
      <c r="BA106" s="17">
        <v>9.9172999999999991</v>
      </c>
      <c r="BB106" s="17">
        <v>9.9172999999999991</v>
      </c>
      <c r="BC106" s="17">
        <v>9.9172999999999991</v>
      </c>
      <c r="BD106" s="17">
        <v>9.9172999999999991</v>
      </c>
      <c r="BE106" s="17">
        <v>9.9172999999999991</v>
      </c>
      <c r="BF106" s="17">
        <v>9.9172999999999991</v>
      </c>
      <c r="BG106" s="18">
        <v>9.9172999999999991</v>
      </c>
    </row>
    <row r="107" spans="4:59" x14ac:dyDescent="0.3">
      <c r="D107" s="29" t="s">
        <v>24</v>
      </c>
      <c r="E107" s="30" t="s">
        <v>118</v>
      </c>
      <c r="F107" s="30" t="s">
        <v>29</v>
      </c>
      <c r="G107" s="17">
        <v>0</v>
      </c>
      <c r="H107" s="17">
        <v>0</v>
      </c>
      <c r="I107" s="17">
        <v>0</v>
      </c>
      <c r="J107" s="17">
        <v>0</v>
      </c>
      <c r="K107" s="17">
        <v>0</v>
      </c>
      <c r="L107" s="17">
        <v>0</v>
      </c>
      <c r="M107" s="17">
        <v>0</v>
      </c>
      <c r="N107" s="17">
        <v>0</v>
      </c>
      <c r="O107" s="17">
        <v>0</v>
      </c>
      <c r="P107" s="17">
        <v>0</v>
      </c>
      <c r="Q107" s="17">
        <v>0</v>
      </c>
      <c r="R107" s="17">
        <v>0</v>
      </c>
      <c r="S107" s="17">
        <v>0</v>
      </c>
      <c r="T107" s="17">
        <v>0</v>
      </c>
      <c r="U107" s="17">
        <v>0</v>
      </c>
      <c r="V107" s="17">
        <v>0</v>
      </c>
      <c r="W107" s="17">
        <v>0</v>
      </c>
      <c r="X107" s="17">
        <v>0</v>
      </c>
      <c r="Y107" s="17">
        <v>0</v>
      </c>
      <c r="Z107" s="17">
        <v>0</v>
      </c>
      <c r="AA107" s="17">
        <v>0</v>
      </c>
      <c r="AB107" s="17">
        <v>0</v>
      </c>
      <c r="AC107" s="17">
        <v>0</v>
      </c>
      <c r="AD107" s="17">
        <v>0</v>
      </c>
      <c r="AE107" s="17">
        <v>0</v>
      </c>
      <c r="AF107" s="17">
        <v>0</v>
      </c>
      <c r="AG107" s="17">
        <v>0</v>
      </c>
      <c r="AH107" s="17">
        <v>0</v>
      </c>
      <c r="AI107" s="17">
        <v>0</v>
      </c>
      <c r="AJ107" s="17">
        <v>0</v>
      </c>
      <c r="AK107" s="17">
        <v>0</v>
      </c>
      <c r="AL107" s="17">
        <v>0</v>
      </c>
      <c r="AM107" s="17">
        <v>0</v>
      </c>
      <c r="AN107" s="17">
        <v>0</v>
      </c>
      <c r="AO107" s="17">
        <v>0</v>
      </c>
      <c r="AP107" s="17">
        <v>0</v>
      </c>
      <c r="AQ107" s="17">
        <v>0</v>
      </c>
      <c r="AR107" s="17">
        <v>0</v>
      </c>
      <c r="AS107" s="17">
        <v>0</v>
      </c>
      <c r="AT107" s="17">
        <v>0</v>
      </c>
      <c r="AU107" s="17">
        <v>0</v>
      </c>
      <c r="AV107" s="17">
        <v>0</v>
      </c>
      <c r="AW107" s="17">
        <v>0</v>
      </c>
      <c r="AX107" s="17">
        <v>0</v>
      </c>
      <c r="AY107" s="17">
        <v>0</v>
      </c>
      <c r="AZ107" s="17">
        <v>0</v>
      </c>
      <c r="BA107" s="17">
        <v>0</v>
      </c>
      <c r="BB107" s="17">
        <v>0</v>
      </c>
      <c r="BC107" s="17">
        <v>0</v>
      </c>
      <c r="BD107" s="17">
        <v>0</v>
      </c>
      <c r="BE107" s="17">
        <v>0</v>
      </c>
      <c r="BF107" s="17">
        <v>0</v>
      </c>
      <c r="BG107" s="18">
        <v>0</v>
      </c>
    </row>
    <row r="108" spans="4:59" x14ac:dyDescent="0.3">
      <c r="D108" s="29" t="s">
        <v>24</v>
      </c>
      <c r="E108" s="30" t="s">
        <v>119</v>
      </c>
      <c r="F108" s="30" t="s">
        <v>29</v>
      </c>
      <c r="G108" s="17">
        <v>9.6891999999999996</v>
      </c>
      <c r="H108" s="17">
        <v>11.860099999999999</v>
      </c>
      <c r="I108" s="17">
        <v>10.1968</v>
      </c>
      <c r="J108" s="17">
        <v>10.9937</v>
      </c>
      <c r="K108" s="17">
        <v>10.525699999999999</v>
      </c>
      <c r="L108" s="17">
        <v>10.932599999999999</v>
      </c>
      <c r="M108" s="17">
        <v>11.0291</v>
      </c>
      <c r="N108" s="17">
        <v>11.398199999999999</v>
      </c>
      <c r="O108" s="17">
        <v>11.7623</v>
      </c>
      <c r="P108" s="17">
        <v>12.2052</v>
      </c>
      <c r="Q108" s="17">
        <v>12.1975</v>
      </c>
      <c r="R108" s="17">
        <v>12.515599999999999</v>
      </c>
      <c r="S108" s="17">
        <v>12.9247</v>
      </c>
      <c r="T108" s="17">
        <v>13.2005</v>
      </c>
      <c r="U108" s="17">
        <v>13.6395</v>
      </c>
      <c r="V108" s="17">
        <v>14.099500000000001</v>
      </c>
      <c r="W108" s="17">
        <v>14.537000000000001</v>
      </c>
      <c r="X108" s="17">
        <v>14.933300000000001</v>
      </c>
      <c r="Y108" s="17">
        <v>15.4123</v>
      </c>
      <c r="Z108" s="17">
        <v>15.808</v>
      </c>
      <c r="AA108" s="17">
        <v>16.2622</v>
      </c>
      <c r="AB108" s="17">
        <v>16.7163</v>
      </c>
      <c r="AC108" s="17">
        <v>17.167899999999999</v>
      </c>
      <c r="AD108" s="17">
        <v>17.5945</v>
      </c>
      <c r="AE108" s="17">
        <v>18.047499999999999</v>
      </c>
      <c r="AF108" s="17">
        <v>18.385099999999998</v>
      </c>
      <c r="AG108" s="17">
        <v>18.838499999999996</v>
      </c>
      <c r="AH108" s="17">
        <v>19.206799999999998</v>
      </c>
      <c r="AI108" s="17">
        <v>19.688099999999999</v>
      </c>
      <c r="AJ108" s="17">
        <v>20.063699999999997</v>
      </c>
      <c r="AK108" s="17">
        <v>20.451399999999996</v>
      </c>
      <c r="AL108" s="17">
        <v>20.832699999999996</v>
      </c>
      <c r="AM108" s="17">
        <v>21.229899999999997</v>
      </c>
      <c r="AN108" s="17">
        <v>22.048399999999997</v>
      </c>
      <c r="AO108" s="17">
        <v>22.474099999999996</v>
      </c>
      <c r="AP108" s="17">
        <v>22.903199999999995</v>
      </c>
      <c r="AQ108" s="17">
        <v>23.330599999999993</v>
      </c>
      <c r="AR108" s="17">
        <v>23.771699999999992</v>
      </c>
      <c r="AS108" s="17">
        <v>24.209299999999992</v>
      </c>
      <c r="AT108" s="17">
        <v>24.646899999999992</v>
      </c>
      <c r="AU108" s="17">
        <v>25.084599999999991</v>
      </c>
      <c r="AV108" s="17">
        <v>25.52559999999999</v>
      </c>
      <c r="AW108" s="17">
        <v>25.973499999999991</v>
      </c>
      <c r="AX108" s="17">
        <v>26.424699999999991</v>
      </c>
      <c r="AY108" s="17">
        <v>26.882799999999992</v>
      </c>
      <c r="AZ108" s="17">
        <v>27.339199999999991</v>
      </c>
      <c r="BA108" s="17">
        <v>27.800699999999992</v>
      </c>
      <c r="BB108" s="17">
        <v>28.267299999999992</v>
      </c>
      <c r="BC108" s="17">
        <v>28.733899999999991</v>
      </c>
      <c r="BD108" s="17">
        <v>29.20389999999999</v>
      </c>
      <c r="BE108" s="17">
        <v>29.677299999999992</v>
      </c>
      <c r="BF108" s="17">
        <v>30.155799999999992</v>
      </c>
      <c r="BG108" s="18">
        <v>30.637699999999992</v>
      </c>
    </row>
    <row r="109" spans="4:59" x14ac:dyDescent="0.3">
      <c r="D109" s="29" t="s">
        <v>24</v>
      </c>
      <c r="E109" s="30" t="s">
        <v>120</v>
      </c>
      <c r="F109" s="30" t="s">
        <v>29</v>
      </c>
      <c r="G109" s="17">
        <v>4.3959999999999999</v>
      </c>
      <c r="H109" s="17">
        <v>6.8475000000000001</v>
      </c>
      <c r="I109" s="17">
        <v>8.7922999999999991</v>
      </c>
      <c r="J109" s="17">
        <v>9.4085000000000001</v>
      </c>
      <c r="K109" s="17">
        <v>9.0923999999999996</v>
      </c>
      <c r="L109" s="17">
        <v>9.3680000000000003</v>
      </c>
      <c r="M109" s="17">
        <v>9.4333000000000009</v>
      </c>
      <c r="N109" s="17">
        <v>9.6832000000000011</v>
      </c>
      <c r="O109" s="17">
        <v>9.9297000000000004</v>
      </c>
      <c r="P109" s="17">
        <v>10.2296</v>
      </c>
      <c r="Q109" s="17">
        <v>10.224399999999999</v>
      </c>
      <c r="R109" s="17">
        <v>10.4398</v>
      </c>
      <c r="S109" s="17">
        <v>10.716799999999999</v>
      </c>
      <c r="T109" s="17">
        <v>10.903599999999999</v>
      </c>
      <c r="U109" s="17">
        <v>11.200899999999999</v>
      </c>
      <c r="V109" s="17">
        <v>11.5124</v>
      </c>
      <c r="W109" s="17">
        <v>11.8087</v>
      </c>
      <c r="X109" s="17">
        <v>12.0771</v>
      </c>
      <c r="Y109" s="17">
        <v>12.4015</v>
      </c>
      <c r="Z109" s="17">
        <v>12.669500000000001</v>
      </c>
      <c r="AA109" s="17">
        <v>12.977100000000002</v>
      </c>
      <c r="AB109" s="17">
        <v>13.284600000000001</v>
      </c>
      <c r="AC109" s="17">
        <v>13.5905</v>
      </c>
      <c r="AD109" s="17">
        <v>13.8794</v>
      </c>
      <c r="AE109" s="17">
        <v>14.186200000000001</v>
      </c>
      <c r="AF109" s="17">
        <v>14.414800000000001</v>
      </c>
      <c r="AG109" s="17">
        <v>14.721900000000002</v>
      </c>
      <c r="AH109" s="17">
        <v>14.971300000000001</v>
      </c>
      <c r="AI109" s="17">
        <v>15.297200000000002</v>
      </c>
      <c r="AJ109" s="17">
        <v>15.551600000000002</v>
      </c>
      <c r="AK109" s="17">
        <v>15.814200000000003</v>
      </c>
      <c r="AL109" s="17">
        <v>16.072400000000002</v>
      </c>
      <c r="AM109" s="17">
        <v>16.3414</v>
      </c>
      <c r="AN109" s="17">
        <v>16.895700000000001</v>
      </c>
      <c r="AO109" s="17">
        <v>17.184000000000001</v>
      </c>
      <c r="AP109" s="17">
        <v>17.474600000000002</v>
      </c>
      <c r="AQ109" s="17">
        <v>17.764000000000003</v>
      </c>
      <c r="AR109" s="17">
        <v>18.062700000000003</v>
      </c>
      <c r="AS109" s="17">
        <v>18.359100000000002</v>
      </c>
      <c r="AT109" s="17">
        <v>18.6555</v>
      </c>
      <c r="AU109" s="17">
        <v>18.951899999999998</v>
      </c>
      <c r="AV109" s="17">
        <v>19.250599999999999</v>
      </c>
      <c r="AW109" s="17">
        <v>19.553899999999999</v>
      </c>
      <c r="AX109" s="17">
        <v>19.859499999999997</v>
      </c>
      <c r="AY109" s="17">
        <v>20.169699999999995</v>
      </c>
      <c r="AZ109" s="17">
        <v>20.478799999999996</v>
      </c>
      <c r="BA109" s="17">
        <v>20.791299999999996</v>
      </c>
      <c r="BB109" s="17">
        <v>21.107299999999995</v>
      </c>
      <c r="BC109" s="17">
        <v>21.423299999999994</v>
      </c>
      <c r="BD109" s="17">
        <v>21.741599999999995</v>
      </c>
      <c r="BE109" s="17">
        <v>22.062199999999994</v>
      </c>
      <c r="BF109" s="17">
        <v>22.386199999999995</v>
      </c>
      <c r="BG109" s="18">
        <v>22.712599999999995</v>
      </c>
    </row>
    <row r="110" spans="4:59" x14ac:dyDescent="0.3">
      <c r="D110" s="29" t="s">
        <v>24</v>
      </c>
      <c r="E110" s="30" t="s">
        <v>121</v>
      </c>
      <c r="F110" s="30" t="s">
        <v>29</v>
      </c>
      <c r="G110" s="17">
        <v>29.6967</v>
      </c>
      <c r="H110" s="17">
        <v>31.340900000000001</v>
      </c>
      <c r="I110" s="17">
        <v>32.949800000000003</v>
      </c>
      <c r="J110" s="17">
        <v>32.796599999999998</v>
      </c>
      <c r="K110" s="17">
        <v>30</v>
      </c>
      <c r="L110" s="17">
        <v>31.2073</v>
      </c>
      <c r="M110" s="17">
        <v>31.493500000000001</v>
      </c>
      <c r="N110" s="17">
        <v>32.5884</v>
      </c>
      <c r="O110" s="17">
        <v>33.668500000000002</v>
      </c>
      <c r="P110" s="17">
        <v>34.982399999999998</v>
      </c>
      <c r="Q110" s="17">
        <v>34.959499999999998</v>
      </c>
      <c r="R110" s="17">
        <v>35.903300000000002</v>
      </c>
      <c r="S110" s="17">
        <v>37.117000000000004</v>
      </c>
      <c r="T110" s="17">
        <v>37.935200000000002</v>
      </c>
      <c r="U110" s="17">
        <v>39.2376</v>
      </c>
      <c r="V110" s="17">
        <v>40.602400000000003</v>
      </c>
      <c r="W110" s="17">
        <v>41.900400000000005</v>
      </c>
      <c r="X110" s="17">
        <v>43.076200000000007</v>
      </c>
      <c r="Y110" s="17">
        <v>44.49730000000001</v>
      </c>
      <c r="Z110" s="17">
        <v>45.671300000000009</v>
      </c>
      <c r="AA110" s="17">
        <v>47.018900000000009</v>
      </c>
      <c r="AB110" s="17">
        <v>48.366000000000007</v>
      </c>
      <c r="AC110" s="17">
        <v>49.705900000000007</v>
      </c>
      <c r="AD110" s="17">
        <v>50.971600000000009</v>
      </c>
      <c r="AE110" s="17">
        <v>52.315600000000011</v>
      </c>
      <c r="AF110" s="17">
        <v>53.31730000000001</v>
      </c>
      <c r="AG110" s="17">
        <v>54.662500000000009</v>
      </c>
      <c r="AH110" s="17">
        <v>55.75500000000001</v>
      </c>
      <c r="AI110" s="17">
        <v>57.182900000000011</v>
      </c>
      <c r="AJ110" s="17">
        <v>58.29740000000001</v>
      </c>
      <c r="AK110" s="17">
        <v>59.447700000000012</v>
      </c>
      <c r="AL110" s="17">
        <v>60.579000000000015</v>
      </c>
      <c r="AM110" s="17">
        <v>61.757400000000018</v>
      </c>
      <c r="AN110" s="17">
        <v>64.185700000000026</v>
      </c>
      <c r="AO110" s="17">
        <v>65.44880000000002</v>
      </c>
      <c r="AP110" s="17">
        <v>66.722000000000023</v>
      </c>
      <c r="AQ110" s="17">
        <v>67.990000000000023</v>
      </c>
      <c r="AR110" s="17">
        <v>69.298500000000018</v>
      </c>
      <c r="AS110" s="17">
        <v>70.596800000000016</v>
      </c>
      <c r="AT110" s="17">
        <v>71.895200000000017</v>
      </c>
      <c r="AU110" s="17">
        <v>73.193700000000021</v>
      </c>
      <c r="AV110" s="17">
        <v>74.502200000000016</v>
      </c>
      <c r="AW110" s="17">
        <v>75.830900000000014</v>
      </c>
      <c r="AX110" s="17">
        <v>77.169600000000017</v>
      </c>
      <c r="AY110" s="17">
        <v>78.528600000000012</v>
      </c>
      <c r="AZ110" s="17">
        <v>79.882600000000011</v>
      </c>
      <c r="BA110" s="17">
        <v>81.251700000000014</v>
      </c>
      <c r="BB110" s="17">
        <v>82.635900000000021</v>
      </c>
      <c r="BC110" s="17">
        <v>84.020200000000017</v>
      </c>
      <c r="BD110" s="17">
        <v>85.414600000000021</v>
      </c>
      <c r="BE110" s="17">
        <v>86.81910000000002</v>
      </c>
      <c r="BF110" s="17">
        <v>88.238700000000023</v>
      </c>
      <c r="BG110" s="18">
        <v>89.668500000000023</v>
      </c>
    </row>
    <row r="111" spans="4:59" x14ac:dyDescent="0.3">
      <c r="D111" s="29" t="s">
        <v>24</v>
      </c>
      <c r="E111" s="30" t="s">
        <v>26</v>
      </c>
      <c r="F111" s="30" t="s">
        <v>26</v>
      </c>
      <c r="G111" s="17">
        <v>0.12379999999999999</v>
      </c>
      <c r="H111" s="17">
        <v>0.11799999999999999</v>
      </c>
      <c r="I111" s="17">
        <v>0.12039999999999999</v>
      </c>
      <c r="J111" s="17">
        <v>0.1191</v>
      </c>
      <c r="K111" s="17">
        <v>0.1201</v>
      </c>
      <c r="L111" s="17">
        <v>0.1239</v>
      </c>
      <c r="M111" s="17">
        <v>0.12479999999999999</v>
      </c>
      <c r="N111" s="17">
        <v>0.1283</v>
      </c>
      <c r="O111" s="17">
        <v>0.13159999999999999</v>
      </c>
      <c r="P111" s="17">
        <v>0.1358</v>
      </c>
      <c r="Q111" s="17">
        <v>0.13569999999999999</v>
      </c>
      <c r="R111" s="17">
        <v>0.1386</v>
      </c>
      <c r="S111" s="17">
        <v>0.14249999999999999</v>
      </c>
      <c r="T111" s="17">
        <v>0.14499999999999999</v>
      </c>
      <c r="U111" s="17">
        <v>0.14910000000000001</v>
      </c>
      <c r="V111" s="17">
        <v>0.15340000000000001</v>
      </c>
      <c r="W111" s="17">
        <v>0.15740000000000001</v>
      </c>
      <c r="X111" s="17">
        <v>0.16109999999999999</v>
      </c>
      <c r="Y111" s="17">
        <v>0.1656</v>
      </c>
      <c r="Z111" s="17">
        <v>0.16930000000000001</v>
      </c>
      <c r="AA111" s="17">
        <v>0.17349999999999999</v>
      </c>
      <c r="AB111" s="17">
        <v>0.1777</v>
      </c>
      <c r="AC111" s="17">
        <v>0.18190000000000001</v>
      </c>
      <c r="AD111" s="17">
        <v>0.18590000000000001</v>
      </c>
      <c r="AE111" s="17">
        <v>0.19009999999999999</v>
      </c>
      <c r="AF111" s="17">
        <v>0.19320000000000001</v>
      </c>
      <c r="AG111" s="17">
        <v>0.19739999999999999</v>
      </c>
      <c r="AH111" s="17">
        <v>0.2009</v>
      </c>
      <c r="AI111" s="17">
        <v>0.20530000000000001</v>
      </c>
      <c r="AJ111" s="17">
        <v>0.20880000000000001</v>
      </c>
      <c r="AK111" s="17">
        <v>0.21240000000000001</v>
      </c>
      <c r="AL111" s="17">
        <v>0.216</v>
      </c>
      <c r="AM111" s="17">
        <v>0.21970000000000001</v>
      </c>
      <c r="AN111" s="17">
        <v>0.2273</v>
      </c>
      <c r="AO111" s="17">
        <v>0.23130000000000001</v>
      </c>
      <c r="AP111" s="17">
        <v>0.23519999999999999</v>
      </c>
      <c r="AQ111" s="17">
        <v>0.2392</v>
      </c>
      <c r="AR111" s="17">
        <v>0.24329999999999999</v>
      </c>
      <c r="AS111" s="17">
        <v>0.24740000000000001</v>
      </c>
      <c r="AT111" s="17">
        <v>0.2515</v>
      </c>
      <c r="AU111" s="17">
        <v>0.2555</v>
      </c>
      <c r="AV111" s="17">
        <v>0.2596</v>
      </c>
      <c r="AW111" s="17">
        <v>0.26379999999999998</v>
      </c>
      <c r="AX111" s="17">
        <v>0.26800000000000002</v>
      </c>
      <c r="AY111" s="17">
        <v>0.27229999999999999</v>
      </c>
      <c r="AZ111" s="17">
        <v>0.27650000000000002</v>
      </c>
      <c r="BA111" s="17">
        <v>0.28079999999999999</v>
      </c>
      <c r="BB111" s="17">
        <v>0.28510000000000002</v>
      </c>
      <c r="BC111" s="17">
        <v>0.28949999999999998</v>
      </c>
      <c r="BD111" s="17">
        <v>0.29380000000000001</v>
      </c>
      <c r="BE111" s="17">
        <v>0.29820000000000002</v>
      </c>
      <c r="BF111" s="17">
        <v>0.30270000000000002</v>
      </c>
      <c r="BG111" s="18">
        <v>0.30719999999999997</v>
      </c>
    </row>
    <row r="112" spans="4:59" x14ac:dyDescent="0.3">
      <c r="D112" s="29" t="s">
        <v>24</v>
      </c>
      <c r="E112" s="30" t="s">
        <v>122</v>
      </c>
      <c r="F112" s="30" t="s">
        <v>122</v>
      </c>
      <c r="G112" s="17">
        <v>0.26250000000000001</v>
      </c>
      <c r="H112" s="17">
        <v>0.28489999999999999</v>
      </c>
      <c r="I112" s="17">
        <v>0.25519999999999998</v>
      </c>
      <c r="J112" s="17">
        <v>0.21390000000000001</v>
      </c>
      <c r="K112" s="17">
        <v>0.25369999999999998</v>
      </c>
      <c r="L112" s="17">
        <v>0.26169999999999999</v>
      </c>
      <c r="M112" s="17">
        <v>0.2636</v>
      </c>
      <c r="N112" s="17">
        <v>0.27079999999999999</v>
      </c>
      <c r="O112" s="17">
        <v>0.27800000000000002</v>
      </c>
      <c r="P112" s="17">
        <v>0.28670000000000001</v>
      </c>
      <c r="Q112" s="17">
        <v>0.28649999999999998</v>
      </c>
      <c r="R112" s="17">
        <v>0.2928</v>
      </c>
      <c r="S112" s="17">
        <v>0.30080000000000001</v>
      </c>
      <c r="T112" s="17">
        <v>0.30620000000000003</v>
      </c>
      <c r="U112" s="17">
        <v>0.31480000000000002</v>
      </c>
      <c r="V112" s="17">
        <v>0.32390000000000002</v>
      </c>
      <c r="W112" s="17">
        <v>0.33250000000000002</v>
      </c>
      <c r="X112" s="17">
        <v>0.3402</v>
      </c>
      <c r="Y112" s="17">
        <v>0.34960000000000002</v>
      </c>
      <c r="Z112" s="17">
        <v>0.3574</v>
      </c>
      <c r="AA112" s="17">
        <v>0.36630000000000001</v>
      </c>
      <c r="AB112" s="17">
        <v>0.37530000000000002</v>
      </c>
      <c r="AC112" s="17">
        <v>0.3841</v>
      </c>
      <c r="AD112" s="17">
        <v>0.39250000000000002</v>
      </c>
      <c r="AE112" s="17">
        <v>0.40139999999999998</v>
      </c>
      <c r="AF112" s="17">
        <v>0.40799999999999997</v>
      </c>
      <c r="AG112" s="17">
        <v>0.41689999999999999</v>
      </c>
      <c r="AH112" s="17">
        <v>0.42420000000000002</v>
      </c>
      <c r="AI112" s="17">
        <v>0.43359999999999999</v>
      </c>
      <c r="AJ112" s="17">
        <v>0.441</v>
      </c>
      <c r="AK112" s="17">
        <v>0.4486</v>
      </c>
      <c r="AL112" s="17">
        <v>0.45610000000000001</v>
      </c>
      <c r="AM112" s="17">
        <v>0.46389999999999998</v>
      </c>
      <c r="AN112" s="17">
        <v>0.48</v>
      </c>
      <c r="AO112" s="17">
        <v>0.48830000000000001</v>
      </c>
      <c r="AP112" s="17">
        <v>0.49669999999999997</v>
      </c>
      <c r="AQ112" s="17">
        <v>0.50509999999999999</v>
      </c>
      <c r="AR112" s="17">
        <v>0.51380000000000003</v>
      </c>
      <c r="AS112" s="17">
        <v>0.52239999999999998</v>
      </c>
      <c r="AT112" s="17">
        <v>0.53100000000000003</v>
      </c>
      <c r="AU112" s="17">
        <v>0.53959999999999997</v>
      </c>
      <c r="AV112" s="17">
        <v>0.54820000000000002</v>
      </c>
      <c r="AW112" s="17">
        <v>0.55700000000000005</v>
      </c>
      <c r="AX112" s="17">
        <v>0.56589999999999996</v>
      </c>
      <c r="AY112" s="17">
        <v>0.57489999999999997</v>
      </c>
      <c r="AZ112" s="17">
        <v>0.58379999999999999</v>
      </c>
      <c r="BA112" s="17">
        <v>0.59289999999999998</v>
      </c>
      <c r="BB112" s="17">
        <v>0.60209999999999997</v>
      </c>
      <c r="BC112" s="17">
        <v>0.61119999999999997</v>
      </c>
      <c r="BD112" s="17">
        <v>0.62050000000000005</v>
      </c>
      <c r="BE112" s="17">
        <v>0.62980000000000003</v>
      </c>
      <c r="BF112" s="17">
        <v>0.6391</v>
      </c>
      <c r="BG112" s="18">
        <v>0.64859999999999995</v>
      </c>
    </row>
    <row r="113" spans="4:59" x14ac:dyDescent="0.3">
      <c r="D113" s="23" t="s">
        <v>28</v>
      </c>
      <c r="E113" s="24" t="s">
        <v>123</v>
      </c>
      <c r="F113" s="24" t="s">
        <v>29</v>
      </c>
      <c r="G113" s="17">
        <v>1.7000000000000001E-2</v>
      </c>
      <c r="H113" s="17">
        <v>2.01E-2</v>
      </c>
      <c r="I113" s="17">
        <v>1.7399999999999999E-2</v>
      </c>
      <c r="J113" s="17">
        <v>1.2800000000000001E-2</v>
      </c>
      <c r="K113" s="17">
        <v>2.0081156737732194E-2</v>
      </c>
      <c r="L113" s="17">
        <v>2.0415358440804828E-2</v>
      </c>
      <c r="M113" s="17">
        <v>2.0755241047268339E-2</v>
      </c>
      <c r="N113" s="17">
        <v>2.1096373590783462E-2</v>
      </c>
      <c r="O113" s="17">
        <v>2.1442448831436291E-2</v>
      </c>
      <c r="P113" s="17">
        <v>2.1790972081584408E-2</v>
      </c>
      <c r="Q113" s="17">
        <v>2.2143971247398666E-2</v>
      </c>
      <c r="R113" s="17">
        <v>2.249961723703868E-2</v>
      </c>
      <c r="S113" s="17">
        <v>2.2860492907980395E-2</v>
      </c>
      <c r="T113" s="17">
        <v>2.3222443905126962E-2</v>
      </c>
      <c r="U113" s="17">
        <v>2.3587038268458746E-2</v>
      </c>
      <c r="V113" s="17">
        <v>2.3955206103278337E-2</v>
      </c>
      <c r="W113" s="17">
        <v>2.4325718218377312E-2</v>
      </c>
      <c r="X113" s="17">
        <v>2.4697770712332413E-2</v>
      </c>
      <c r="Y113" s="17">
        <v>2.5071880502402902E-2</v>
      </c>
      <c r="Z113" s="17">
        <v>2.5446654159455157E-2</v>
      </c>
      <c r="AA113" s="17">
        <v>2.5823198128458805E-2</v>
      </c>
      <c r="AB113" s="17">
        <v>2.6201882376950553E-2</v>
      </c>
      <c r="AC113" s="17">
        <v>2.6579821503908065E-2</v>
      </c>
      <c r="AD113" s="17">
        <v>2.6959748774170369E-2</v>
      </c>
      <c r="AE113" s="17">
        <v>2.7337101831058044E-2</v>
      </c>
      <c r="AF113" s="17">
        <v>2.7714475633788906E-2</v>
      </c>
      <c r="AG113" s="17">
        <v>2.8087382164954929E-2</v>
      </c>
      <c r="AH113" s="17">
        <v>2.8456174103890206E-2</v>
      </c>
      <c r="AI113" s="17">
        <v>2.8820337990975997E-2</v>
      </c>
      <c r="AJ113" s="17">
        <v>2.9178641177363355E-2</v>
      </c>
      <c r="AK113" s="17">
        <v>2.9530907323385255E-2</v>
      </c>
      <c r="AL113" s="17">
        <v>2.9878460705364679E-2</v>
      </c>
      <c r="AM113" s="17">
        <v>3.0219638198206701E-2</v>
      </c>
      <c r="AN113" s="17">
        <v>3.0614512776091399E-2</v>
      </c>
      <c r="AO113" s="17">
        <v>3.0981503021155134E-2</v>
      </c>
      <c r="AP113" s="17">
        <v>3.1348493266218871E-2</v>
      </c>
      <c r="AQ113" s="17">
        <v>3.1715483511282609E-2</v>
      </c>
      <c r="AR113" s="17">
        <v>3.2082473756346257E-2</v>
      </c>
      <c r="AS113" s="17">
        <v>3.2449464001409994E-2</v>
      </c>
      <c r="AT113" s="17">
        <v>3.2816454246473732E-2</v>
      </c>
      <c r="AU113" s="17">
        <v>3.3183444491537373E-2</v>
      </c>
      <c r="AV113" s="17">
        <v>3.355043473660111E-2</v>
      </c>
      <c r="AW113" s="17">
        <v>3.3917424981664848E-2</v>
      </c>
      <c r="AX113" s="17">
        <v>3.4284415226728586E-2</v>
      </c>
      <c r="AY113" s="17">
        <v>3.4651405471792233E-2</v>
      </c>
      <c r="AZ113" s="17">
        <v>3.5018395716855971E-2</v>
      </c>
      <c r="BA113" s="17">
        <v>3.5385385961919709E-2</v>
      </c>
      <c r="BB113" s="17">
        <v>3.5752376206983447E-2</v>
      </c>
      <c r="BC113" s="17">
        <v>3.6119366452047087E-2</v>
      </c>
      <c r="BD113" s="17">
        <v>3.6486356697110825E-2</v>
      </c>
      <c r="BE113" s="17">
        <v>3.6853346942174563E-2</v>
      </c>
      <c r="BF113" s="17">
        <v>3.72203371872383E-2</v>
      </c>
      <c r="BG113" s="18">
        <v>3.7587327432301948E-2</v>
      </c>
    </row>
    <row r="114" spans="4:59" x14ac:dyDescent="0.3">
      <c r="D114" s="23" t="s">
        <v>28</v>
      </c>
      <c r="E114" s="24" t="s">
        <v>124</v>
      </c>
      <c r="F114" s="24" t="s">
        <v>29</v>
      </c>
      <c r="G114" s="17">
        <v>3.6499999999999998E-2</v>
      </c>
      <c r="H114" s="17">
        <v>4.1000000000000002E-2</v>
      </c>
      <c r="I114" s="17">
        <v>5.4899999999999997E-2</v>
      </c>
      <c r="J114" s="17">
        <v>5.4300000000000001E-2</v>
      </c>
      <c r="K114" s="17">
        <v>5.0145463060173708E-2</v>
      </c>
      <c r="L114" s="17">
        <v>5.0980011556306236E-2</v>
      </c>
      <c r="M114" s="17">
        <v>5.1828746064472637E-2</v>
      </c>
      <c r="N114" s="17">
        <v>5.2680601840655018E-2</v>
      </c>
      <c r="O114" s="17">
        <v>5.354480022438602E-2</v>
      </c>
      <c r="P114" s="17">
        <v>5.4415111630953306E-2</v>
      </c>
      <c r="Q114" s="17">
        <v>5.5296600026308075E-2</v>
      </c>
      <c r="R114" s="17">
        <v>5.618469791174923E-2</v>
      </c>
      <c r="S114" s="17">
        <v>5.708585504442179E-2</v>
      </c>
      <c r="T114" s="17">
        <v>5.7989697417351542E-2</v>
      </c>
      <c r="U114" s="17">
        <v>5.8900140646154613E-2</v>
      </c>
      <c r="V114" s="17">
        <v>5.9819507334140307E-2</v>
      </c>
      <c r="W114" s="17">
        <v>6.0744728018570872E-2</v>
      </c>
      <c r="X114" s="17">
        <v>6.1673795244913239E-2</v>
      </c>
      <c r="Y114" s="17">
        <v>6.2607999828017735E-2</v>
      </c>
      <c r="Z114" s="17">
        <v>6.3543862180026972E-2</v>
      </c>
      <c r="AA114" s="17">
        <v>6.4484145249115554E-2</v>
      </c>
      <c r="AB114" s="17">
        <v>6.5429772896079319E-2</v>
      </c>
      <c r="AC114" s="17">
        <v>6.6373539870131754E-2</v>
      </c>
      <c r="AD114" s="17">
        <v>6.7322271516685434E-2</v>
      </c>
      <c r="AE114" s="17">
        <v>6.8264574991626678E-2</v>
      </c>
      <c r="AF114" s="17">
        <v>6.9206930271846157E-2</v>
      </c>
      <c r="AG114" s="17">
        <v>7.0138130148810804E-2</v>
      </c>
      <c r="AH114" s="17">
        <v>7.1059055312251221E-2</v>
      </c>
      <c r="AI114" s="17">
        <v>7.1968423581530105E-2</v>
      </c>
      <c r="AJ114" s="17">
        <v>7.2863156859696798E-2</v>
      </c>
      <c r="AK114" s="17">
        <v>7.3742814801885923E-2</v>
      </c>
      <c r="AL114" s="17">
        <v>7.4610704311693893E-2</v>
      </c>
      <c r="AM114" s="17">
        <v>7.5462672332645864E-2</v>
      </c>
      <c r="AN114" s="17">
        <v>7.644872950142996E-2</v>
      </c>
      <c r="AO114" s="17">
        <v>7.7365155582737752E-2</v>
      </c>
      <c r="AP114" s="17">
        <v>7.8281581664045433E-2</v>
      </c>
      <c r="AQ114" s="17">
        <v>7.9198007745353211E-2</v>
      </c>
      <c r="AR114" s="17">
        <v>8.0114433826660988E-2</v>
      </c>
      <c r="AS114" s="17">
        <v>8.1030859907968669E-2</v>
      </c>
      <c r="AT114" s="17">
        <v>8.1947285989276461E-2</v>
      </c>
      <c r="AU114" s="17">
        <v>8.2863712070584142E-2</v>
      </c>
      <c r="AV114" s="17">
        <v>8.378013815189192E-2</v>
      </c>
      <c r="AW114" s="17">
        <v>8.4696564233199698E-2</v>
      </c>
      <c r="AX114" s="17">
        <v>8.5612990314507392E-2</v>
      </c>
      <c r="AY114" s="17">
        <v>8.652941639581517E-2</v>
      </c>
      <c r="AZ114" s="17">
        <v>8.7445842477122934E-2</v>
      </c>
      <c r="BA114" s="17">
        <v>8.8362268558430615E-2</v>
      </c>
      <c r="BB114" s="17">
        <v>8.9278694639738407E-2</v>
      </c>
      <c r="BC114" s="17">
        <v>9.0195120721046088E-2</v>
      </c>
      <c r="BD114" s="17">
        <v>9.1111546802353865E-2</v>
      </c>
      <c r="BE114" s="17">
        <v>9.2027972883661643E-2</v>
      </c>
      <c r="BF114" s="17">
        <v>9.2944398964969324E-2</v>
      </c>
      <c r="BG114" s="18">
        <v>9.3860825046277116E-2</v>
      </c>
    </row>
    <row r="115" spans="4:59" x14ac:dyDescent="0.3">
      <c r="D115" s="23" t="s">
        <v>28</v>
      </c>
      <c r="E115" s="24" t="s">
        <v>127</v>
      </c>
      <c r="F115" s="24" t="s">
        <v>26</v>
      </c>
      <c r="G115" s="17">
        <v>9.1000000000000004E-3</v>
      </c>
      <c r="H115" s="17">
        <v>1.34E-2</v>
      </c>
      <c r="I115" s="17">
        <v>1.14E-2</v>
      </c>
      <c r="J115" s="17">
        <v>9.5999999999999992E-3</v>
      </c>
      <c r="K115" s="17">
        <v>1.1305940356146979E-2</v>
      </c>
      <c r="L115" s="17">
        <v>1.1494100060849758E-2</v>
      </c>
      <c r="M115" s="17">
        <v>1.1685458184634923E-2</v>
      </c>
      <c r="N115" s="17">
        <v>1.1877520038485991E-2</v>
      </c>
      <c r="O115" s="17">
        <v>1.2072364692141237E-2</v>
      </c>
      <c r="P115" s="17">
        <v>1.226858760551062E-2</v>
      </c>
      <c r="Q115" s="17">
        <v>1.2467330514925127E-2</v>
      </c>
      <c r="R115" s="17">
        <v>1.2667563618988185E-2</v>
      </c>
      <c r="S115" s="17">
        <v>1.2870741098499873E-2</v>
      </c>
      <c r="T115" s="17">
        <v>1.3074524000004636E-2</v>
      </c>
      <c r="U115" s="17">
        <v>1.327979514946343E-2</v>
      </c>
      <c r="V115" s="17">
        <v>1.3487078207699857E-2</v>
      </c>
      <c r="W115" s="17">
        <v>1.3695681124815071E-2</v>
      </c>
      <c r="X115" s="17">
        <v>1.3905151294335156E-2</v>
      </c>
      <c r="Y115" s="17">
        <v>1.411577974708958E-2</v>
      </c>
      <c r="Z115" s="17">
        <v>1.4326781965190211E-2</v>
      </c>
      <c r="AA115" s="17">
        <v>1.4538780890880726E-2</v>
      </c>
      <c r="AB115" s="17">
        <v>1.4751984820473853E-2</v>
      </c>
      <c r="AC115" s="17">
        <v>1.4964769237399755E-2</v>
      </c>
      <c r="AD115" s="17">
        <v>1.5178673003669763E-2</v>
      </c>
      <c r="AE115" s="17">
        <v>1.5391127455875965E-2</v>
      </c>
      <c r="AF115" s="17">
        <v>1.5603593588249238E-2</v>
      </c>
      <c r="AG115" s="17">
        <v>1.5813544591313664E-2</v>
      </c>
      <c r="AH115" s="17">
        <v>1.6021179027909418E-2</v>
      </c>
      <c r="AI115" s="17">
        <v>1.6226207813901525E-2</v>
      </c>
      <c r="AJ115" s="17">
        <v>1.6427936952696669E-2</v>
      </c>
      <c r="AK115" s="17">
        <v>1.6626267162874745E-2</v>
      </c>
      <c r="AL115" s="17">
        <v>1.6821944028433653E-2</v>
      </c>
      <c r="AM115" s="17">
        <v>1.7014031189313373E-2</v>
      </c>
      <c r="AN115" s="17">
        <v>1.7236350475200647E-2</v>
      </c>
      <c r="AO115" s="17">
        <v>1.7442970535796101E-2</v>
      </c>
      <c r="AP115" s="17">
        <v>1.7649590596391655E-2</v>
      </c>
      <c r="AQ115" s="17">
        <v>1.7856210656987108E-2</v>
      </c>
      <c r="AR115" s="17">
        <v>1.8062830717582662E-2</v>
      </c>
      <c r="AS115" s="17">
        <v>1.8269450778178212E-2</v>
      </c>
      <c r="AT115" s="17">
        <v>1.8476070838773669E-2</v>
      </c>
      <c r="AU115" s="17">
        <v>1.868269089936922E-2</v>
      </c>
      <c r="AV115" s="17">
        <v>1.8889310959964673E-2</v>
      </c>
      <c r="AW115" s="17">
        <v>1.9095931020560227E-2</v>
      </c>
      <c r="AX115" s="17">
        <v>1.9302551081155681E-2</v>
      </c>
      <c r="AY115" s="17">
        <v>1.9509171141751235E-2</v>
      </c>
      <c r="AZ115" s="17">
        <v>1.9715791202346688E-2</v>
      </c>
      <c r="BA115" s="17">
        <v>1.9922411262942242E-2</v>
      </c>
      <c r="BB115" s="17">
        <v>2.0129031323537695E-2</v>
      </c>
      <c r="BC115" s="17">
        <v>2.0335651384133249E-2</v>
      </c>
      <c r="BD115" s="17">
        <v>2.0542271444728703E-2</v>
      </c>
      <c r="BE115" s="17">
        <v>2.0748891505324257E-2</v>
      </c>
      <c r="BF115" s="17">
        <v>2.0955511565919811E-2</v>
      </c>
      <c r="BG115" s="18">
        <v>2.1162131626515264E-2</v>
      </c>
    </row>
    <row r="116" spans="4:59" x14ac:dyDescent="0.3">
      <c r="D116" s="23" t="s">
        <v>28</v>
      </c>
      <c r="E116" s="24" t="s">
        <v>126</v>
      </c>
      <c r="F116" s="24" t="s">
        <v>122</v>
      </c>
      <c r="G116" s="17">
        <v>2.3300000000000001E-2</v>
      </c>
      <c r="H116" s="17">
        <v>1.9699999999999999E-2</v>
      </c>
      <c r="I116" s="17">
        <v>1.95E-2</v>
      </c>
      <c r="J116" s="17">
        <v>7.0000000000000001E-3</v>
      </c>
      <c r="K116" s="17">
        <v>2.5288379845712819E-2</v>
      </c>
      <c r="L116" s="17">
        <v>2.5918073054243845E-2</v>
      </c>
      <c r="M116" s="17">
        <v>2.6547766262774861E-2</v>
      </c>
      <c r="N116" s="17">
        <v>2.7177459471305898E-2</v>
      </c>
      <c r="O116" s="17">
        <v>2.7807152679836931E-2</v>
      </c>
      <c r="P116" s="17">
        <v>2.8436845888367958E-2</v>
      </c>
      <c r="Q116" s="17">
        <v>2.9066539096898988E-2</v>
      </c>
      <c r="R116" s="17">
        <v>2.9696232305430011E-2</v>
      </c>
      <c r="S116" s="17">
        <v>3.0325925513961037E-2</v>
      </c>
      <c r="T116" s="17">
        <v>3.0565500946826914E-2</v>
      </c>
      <c r="U116" s="17">
        <v>3.0805076379692788E-2</v>
      </c>
      <c r="V116" s="17">
        <v>3.1044651812558673E-2</v>
      </c>
      <c r="W116" s="17">
        <v>3.1284227245424547E-2</v>
      </c>
      <c r="X116" s="17">
        <v>3.1523802678290427E-2</v>
      </c>
      <c r="Y116" s="17">
        <v>3.1763378111156301E-2</v>
      </c>
      <c r="Z116" s="17">
        <v>3.2002953544022168E-2</v>
      </c>
      <c r="AA116" s="17">
        <v>3.2242528976888063E-2</v>
      </c>
      <c r="AB116" s="17">
        <v>3.248210440975393E-2</v>
      </c>
      <c r="AC116" s="17">
        <v>3.2721679842619797E-2</v>
      </c>
      <c r="AD116" s="17">
        <v>3.2754401936666136E-2</v>
      </c>
      <c r="AE116" s="17">
        <v>3.2787124030712482E-2</v>
      </c>
      <c r="AF116" s="17">
        <v>3.2819846124758828E-2</v>
      </c>
      <c r="AG116" s="17">
        <v>3.2852568218805167E-2</v>
      </c>
      <c r="AH116" s="17">
        <v>3.288529031285152E-2</v>
      </c>
      <c r="AI116" s="17">
        <v>3.2918012406897852E-2</v>
      </c>
      <c r="AJ116" s="17">
        <v>3.2950734500944205E-2</v>
      </c>
      <c r="AK116" s="17">
        <v>3.2983456594990544E-2</v>
      </c>
      <c r="AL116" s="17">
        <v>3.301617868903689E-2</v>
      </c>
      <c r="AM116" s="17">
        <v>3.3048900783083215E-2</v>
      </c>
      <c r="AN116" s="17">
        <v>3.4766401617825175E-2</v>
      </c>
      <c r="AO116" s="17">
        <v>3.5025042664382368E-2</v>
      </c>
      <c r="AP116" s="17">
        <v>3.5283683710939651E-2</v>
      </c>
      <c r="AQ116" s="17">
        <v>3.554232475749694E-2</v>
      </c>
      <c r="AR116" s="17">
        <v>3.580096580405423E-2</v>
      </c>
      <c r="AS116" s="17">
        <v>3.605960685061152E-2</v>
      </c>
      <c r="AT116" s="17">
        <v>3.6318247897168802E-2</v>
      </c>
      <c r="AU116" s="17">
        <v>3.6576888943726099E-2</v>
      </c>
      <c r="AV116" s="17">
        <v>3.6835529990283389E-2</v>
      </c>
      <c r="AW116" s="17">
        <v>3.7094171036840672E-2</v>
      </c>
      <c r="AX116" s="17">
        <v>3.7352812083397968E-2</v>
      </c>
      <c r="AY116" s="17">
        <v>3.7611453129955251E-2</v>
      </c>
      <c r="AZ116" s="17">
        <v>3.7870094176512444E-2</v>
      </c>
      <c r="BA116" s="17">
        <v>3.8128735223069733E-2</v>
      </c>
      <c r="BB116" s="17">
        <v>3.8387376269627023E-2</v>
      </c>
      <c r="BC116" s="17">
        <v>3.8646017316184313E-2</v>
      </c>
      <c r="BD116" s="17">
        <v>3.8904658362741595E-2</v>
      </c>
      <c r="BE116" s="17">
        <v>3.9163299409298892E-2</v>
      </c>
      <c r="BF116" s="17">
        <v>3.9421940455856175E-2</v>
      </c>
      <c r="BG116" s="18">
        <v>3.9680581502413464E-2</v>
      </c>
    </row>
    <row r="117" spans="4:59" x14ac:dyDescent="0.3">
      <c r="D117" s="23" t="s">
        <v>28</v>
      </c>
      <c r="E117" s="24" t="s">
        <v>128</v>
      </c>
      <c r="F117" s="24" t="s">
        <v>26</v>
      </c>
      <c r="G117" s="17">
        <v>2.7000000000000001E-3</v>
      </c>
      <c r="H117" s="17">
        <v>2.5999999999999999E-3</v>
      </c>
      <c r="I117" s="17">
        <v>2.5999999999999999E-3</v>
      </c>
      <c r="J117" s="17">
        <v>2.5999999999999999E-3</v>
      </c>
      <c r="K117" s="17">
        <v>2.4908329802083625E-3</v>
      </c>
      <c r="L117" s="17">
        <v>2.5528559575913215E-3</v>
      </c>
      <c r="M117" s="17">
        <v>2.61487893497428E-3</v>
      </c>
      <c r="N117" s="17">
        <v>2.6769019123572381E-3</v>
      </c>
      <c r="O117" s="17">
        <v>2.7389248897401971E-3</v>
      </c>
      <c r="P117" s="17">
        <v>2.8009478671231552E-3</v>
      </c>
      <c r="Q117" s="17">
        <v>2.8629708445061137E-3</v>
      </c>
      <c r="R117" s="17">
        <v>2.9249938218890727E-3</v>
      </c>
      <c r="S117" s="17">
        <v>2.9870167992720295E-3</v>
      </c>
      <c r="T117" s="17">
        <v>3.0106142931830998E-3</v>
      </c>
      <c r="U117" s="17">
        <v>3.0342117870941696E-3</v>
      </c>
      <c r="V117" s="17">
        <v>3.0578092810052381E-3</v>
      </c>
      <c r="W117" s="17">
        <v>3.0814067749163074E-3</v>
      </c>
      <c r="X117" s="17">
        <v>3.1050042688273781E-3</v>
      </c>
      <c r="Y117" s="17">
        <v>3.128601762738447E-3</v>
      </c>
      <c r="Z117" s="17">
        <v>3.1521992566495164E-3</v>
      </c>
      <c r="AA117" s="17">
        <v>3.1757967505605862E-3</v>
      </c>
      <c r="AB117" s="17">
        <v>3.199394244471656E-3</v>
      </c>
      <c r="AC117" s="17">
        <v>3.2229917383827236E-3</v>
      </c>
      <c r="AD117" s="17">
        <v>3.2262147709189869E-3</v>
      </c>
      <c r="AE117" s="17">
        <v>3.2294378034552502E-3</v>
      </c>
      <c r="AF117" s="17">
        <v>3.2326608359915135E-3</v>
      </c>
      <c r="AG117" s="17">
        <v>3.2358838685277759E-3</v>
      </c>
      <c r="AH117" s="17">
        <v>3.2391069010640401E-3</v>
      </c>
      <c r="AI117" s="17">
        <v>3.2423299336003021E-3</v>
      </c>
      <c r="AJ117" s="17">
        <v>3.2455529661365654E-3</v>
      </c>
      <c r="AK117" s="17">
        <v>3.2487759986728291E-3</v>
      </c>
      <c r="AL117" s="17">
        <v>3.2519990312090919E-3</v>
      </c>
      <c r="AM117" s="17">
        <v>3.2552220637453535E-3</v>
      </c>
      <c r="AN117" s="17">
        <v>3.4243909764559012E-3</v>
      </c>
      <c r="AO117" s="17">
        <v>3.4498663787051148E-3</v>
      </c>
      <c r="AP117" s="17">
        <v>3.475341780954328E-3</v>
      </c>
      <c r="AQ117" s="17">
        <v>3.5008171832035416E-3</v>
      </c>
      <c r="AR117" s="17">
        <v>3.5262925854527647E-3</v>
      </c>
      <c r="AS117" s="17">
        <v>3.5517679877019783E-3</v>
      </c>
      <c r="AT117" s="17">
        <v>3.577243389951191E-3</v>
      </c>
      <c r="AU117" s="17">
        <v>3.6027187922004046E-3</v>
      </c>
      <c r="AV117" s="17">
        <v>3.6281941944496178E-3</v>
      </c>
      <c r="AW117" s="17">
        <v>3.6536695966988314E-3</v>
      </c>
      <c r="AX117" s="17">
        <v>3.679144998948045E-3</v>
      </c>
      <c r="AY117" s="17">
        <v>3.7046204011972582E-3</v>
      </c>
      <c r="AZ117" s="17">
        <v>3.7300958034464818E-3</v>
      </c>
      <c r="BA117" s="17">
        <v>3.7555712056956949E-3</v>
      </c>
      <c r="BB117" s="17">
        <v>3.7810466079449085E-3</v>
      </c>
      <c r="BC117" s="17">
        <v>3.8065220101941217E-3</v>
      </c>
      <c r="BD117" s="17">
        <v>3.8319974124433353E-3</v>
      </c>
      <c r="BE117" s="17">
        <v>3.8574728146925489E-3</v>
      </c>
      <c r="BF117" s="17">
        <v>3.8829482169417721E-3</v>
      </c>
      <c r="BG117" s="18">
        <v>3.9084236191909852E-3</v>
      </c>
    </row>
    <row r="118" spans="4:59" x14ac:dyDescent="0.3">
      <c r="D118" s="23" t="s">
        <v>28</v>
      </c>
      <c r="E118" s="24" t="s">
        <v>125</v>
      </c>
      <c r="F118" s="24" t="s">
        <v>5</v>
      </c>
      <c r="G118" s="17">
        <v>0.16569999999999999</v>
      </c>
      <c r="H118" s="17">
        <v>0.1709</v>
      </c>
      <c r="I118" s="17">
        <v>0.15</v>
      </c>
      <c r="J118" s="17">
        <v>0.16569999999999999</v>
      </c>
      <c r="K118" s="17">
        <v>0.17642600211707543</v>
      </c>
      <c r="L118" s="17">
        <v>0.18081909712827035</v>
      </c>
      <c r="M118" s="17">
        <v>0.18521219213946527</v>
      </c>
      <c r="N118" s="17">
        <v>0.18960528715066025</v>
      </c>
      <c r="O118" s="17">
        <v>0.19399838216185514</v>
      </c>
      <c r="P118" s="17">
        <v>0.19839147717305008</v>
      </c>
      <c r="Q118" s="17">
        <v>0.202784572184245</v>
      </c>
      <c r="R118" s="17">
        <v>0.20717766719543995</v>
      </c>
      <c r="S118" s="17">
        <v>0.21157076220663487</v>
      </c>
      <c r="T118" s="17">
        <v>0.21324217556264549</v>
      </c>
      <c r="U118" s="17">
        <v>0.21491358891865603</v>
      </c>
      <c r="V118" s="17">
        <v>0.2165850022746667</v>
      </c>
      <c r="W118" s="17">
        <v>0.21825641563067735</v>
      </c>
      <c r="X118" s="17">
        <v>0.21992782898668795</v>
      </c>
      <c r="Y118" s="17">
        <v>0.22159924234269859</v>
      </c>
      <c r="Z118" s="17">
        <v>0.22327065569870921</v>
      </c>
      <c r="AA118" s="17">
        <v>0.22494206905471986</v>
      </c>
      <c r="AB118" s="17">
        <v>0.22661348241073051</v>
      </c>
      <c r="AC118" s="17">
        <v>0.22828489576674105</v>
      </c>
      <c r="AD118" s="17">
        <v>0.22851318355222655</v>
      </c>
      <c r="AE118" s="17">
        <v>0.22874147133771217</v>
      </c>
      <c r="AF118" s="17">
        <v>0.2289697591231977</v>
      </c>
      <c r="AG118" s="17">
        <v>0.22919804690868331</v>
      </c>
      <c r="AH118" s="17">
        <v>0.22942633469416887</v>
      </c>
      <c r="AI118" s="17">
        <v>0.22965462247965437</v>
      </c>
      <c r="AJ118" s="17">
        <v>0.22988291026513999</v>
      </c>
      <c r="AK118" s="17">
        <v>0.23011119805062547</v>
      </c>
      <c r="AL118" s="17">
        <v>0.23033948583611111</v>
      </c>
      <c r="AM118" s="17">
        <v>0.23056777362159644</v>
      </c>
      <c r="AN118" s="17">
        <v>0.24255002822845412</v>
      </c>
      <c r="AO118" s="17">
        <v>0.24435445405983874</v>
      </c>
      <c r="AP118" s="17">
        <v>0.24615887989122343</v>
      </c>
      <c r="AQ118" s="17">
        <v>0.24796330572260908</v>
      </c>
      <c r="AR118" s="17">
        <v>0.24976773155399373</v>
      </c>
      <c r="AS118" s="17">
        <v>0.25157215738537841</v>
      </c>
      <c r="AT118" s="17">
        <v>0.2533765832167631</v>
      </c>
      <c r="AU118" s="17">
        <v>0.25518100904814867</v>
      </c>
      <c r="AV118" s="17">
        <v>0.25698543487953335</v>
      </c>
      <c r="AW118" s="17">
        <v>0.25878986071091803</v>
      </c>
      <c r="AX118" s="17">
        <v>0.26059428654230266</v>
      </c>
      <c r="AY118" s="17">
        <v>0.26239871237368734</v>
      </c>
      <c r="AZ118" s="17">
        <v>0.26420313820507302</v>
      </c>
      <c r="BA118" s="17">
        <v>0.26600756403645764</v>
      </c>
      <c r="BB118" s="17">
        <v>0.26781198986784233</v>
      </c>
      <c r="BC118" s="17">
        <v>0.26961641569922695</v>
      </c>
      <c r="BD118" s="17">
        <v>0.27142084153061258</v>
      </c>
      <c r="BE118" s="17">
        <v>0.27322526736199726</v>
      </c>
      <c r="BF118" s="17">
        <v>0.27502969319338194</v>
      </c>
      <c r="BG118" s="18">
        <v>0.27683411902476662</v>
      </c>
    </row>
    <row r="119" spans="4:59" x14ac:dyDescent="0.3">
      <c r="D119" s="23" t="s">
        <v>28</v>
      </c>
      <c r="E119" s="24" t="s">
        <v>129</v>
      </c>
      <c r="F119" s="24" t="s">
        <v>5</v>
      </c>
      <c r="G119" s="17">
        <v>0.42830000000000001</v>
      </c>
      <c r="H119" s="17">
        <v>0.38700000000000001</v>
      </c>
      <c r="I119" s="17">
        <v>0.42609999999999998</v>
      </c>
      <c r="J119" s="17">
        <v>5.3600000000000002E-2</v>
      </c>
      <c r="K119" s="17">
        <v>0.43914015604799989</v>
      </c>
      <c r="L119" s="17">
        <v>0.43914015604799989</v>
      </c>
      <c r="M119" s="17">
        <v>0.43914015604799989</v>
      </c>
      <c r="N119" s="17">
        <v>0.43928157978061916</v>
      </c>
      <c r="O119" s="17">
        <v>0.44648776987688049</v>
      </c>
      <c r="P119" s="17">
        <v>0.45374493392246906</v>
      </c>
      <c r="Q119" s="17">
        <v>0.46109529821862816</v>
      </c>
      <c r="R119" s="17">
        <v>0.4685007762975697</v>
      </c>
      <c r="S119" s="17">
        <v>0.47601514999566003</v>
      </c>
      <c r="T119" s="17">
        <v>0.48355191479296028</v>
      </c>
      <c r="U119" s="17">
        <v>0.49114372137593942</v>
      </c>
      <c r="V119" s="17">
        <v>0.49880993696545745</v>
      </c>
      <c r="W119" s="17">
        <v>0.5065249665911955</v>
      </c>
      <c r="X119" s="17">
        <v>0.51427207092657379</v>
      </c>
      <c r="Y119" s="17">
        <v>0.52206201353857573</v>
      </c>
      <c r="Z119" s="17">
        <v>0.52986577959446324</v>
      </c>
      <c r="AA119" s="17">
        <v>0.53770640816737814</v>
      </c>
      <c r="AB119" s="17">
        <v>0.54559160294740272</v>
      </c>
      <c r="AC119" s="17">
        <v>0.55346128235160785</v>
      </c>
      <c r="AD119" s="17">
        <v>0.56137236009036551</v>
      </c>
      <c r="AE119" s="17">
        <v>0.56922983598551558</v>
      </c>
      <c r="AF119" s="17">
        <v>0.57708774386328732</v>
      </c>
      <c r="AG119" s="17">
        <v>0.58485263148324729</v>
      </c>
      <c r="AH119" s="17">
        <v>0.59253184254995983</v>
      </c>
      <c r="AI119" s="17">
        <v>0.60011468549354452</v>
      </c>
      <c r="AJ119" s="17">
        <v>0.60757549334657901</v>
      </c>
      <c r="AK119" s="17">
        <v>0.61491059425678141</v>
      </c>
      <c r="AL119" s="17">
        <v>0.62214756311481856</v>
      </c>
      <c r="AM119" s="17">
        <v>0.62925176931387417</v>
      </c>
      <c r="AN119" s="17">
        <v>0.63478422932196699</v>
      </c>
      <c r="AO119" s="17">
        <v>0.64215005106300449</v>
      </c>
      <c r="AP119" s="17">
        <v>0.64951587280404299</v>
      </c>
      <c r="AQ119" s="17">
        <v>0.6568816945450815</v>
      </c>
      <c r="AR119" s="17">
        <v>0.66424751628612</v>
      </c>
      <c r="AS119" s="17">
        <v>0.6716133380271585</v>
      </c>
      <c r="AT119" s="17">
        <v>0.67897915976819512</v>
      </c>
      <c r="AU119" s="17">
        <v>0.68634498150923462</v>
      </c>
      <c r="AV119" s="17">
        <v>0.69371080325027223</v>
      </c>
      <c r="AW119" s="17">
        <v>0.70107662499131174</v>
      </c>
      <c r="AX119" s="17">
        <v>0.70844244673235024</v>
      </c>
      <c r="AY119" s="17">
        <v>0.71580826847338774</v>
      </c>
      <c r="AZ119" s="17">
        <v>0.72317409021442625</v>
      </c>
      <c r="BA119" s="17">
        <v>0.73053991195546486</v>
      </c>
      <c r="BB119" s="17">
        <v>0.73790573369650236</v>
      </c>
      <c r="BC119" s="17">
        <v>0.74527155543754187</v>
      </c>
      <c r="BD119" s="17">
        <v>0.75263737717857937</v>
      </c>
      <c r="BE119" s="17">
        <v>0.76000319891961787</v>
      </c>
      <c r="BF119" s="17">
        <v>0.76736902066065638</v>
      </c>
      <c r="BG119" s="18">
        <v>0.7747348424016951</v>
      </c>
    </row>
    <row r="120" spans="4:59" x14ac:dyDescent="0.3">
      <c r="D120" s="23" t="s">
        <v>28</v>
      </c>
      <c r="E120" s="24" t="s">
        <v>130</v>
      </c>
      <c r="F120" s="24" t="s">
        <v>5</v>
      </c>
      <c r="G120" s="17">
        <v>0</v>
      </c>
      <c r="H120" s="17">
        <v>0</v>
      </c>
      <c r="I120" s="17">
        <v>0</v>
      </c>
      <c r="J120" s="17">
        <v>0</v>
      </c>
      <c r="K120" s="17">
        <v>0</v>
      </c>
      <c r="L120" s="17">
        <v>0</v>
      </c>
      <c r="M120" s="17">
        <v>0</v>
      </c>
      <c r="N120" s="17">
        <v>0</v>
      </c>
      <c r="O120" s="17">
        <v>0</v>
      </c>
      <c r="P120" s="17">
        <v>0</v>
      </c>
      <c r="Q120" s="17">
        <v>0</v>
      </c>
      <c r="R120" s="17">
        <v>0</v>
      </c>
      <c r="S120" s="17">
        <v>0</v>
      </c>
      <c r="T120" s="17">
        <v>0</v>
      </c>
      <c r="U120" s="17">
        <v>0</v>
      </c>
      <c r="V120" s="17">
        <v>0</v>
      </c>
      <c r="W120" s="17">
        <v>0</v>
      </c>
      <c r="X120" s="17">
        <v>0</v>
      </c>
      <c r="Y120" s="17">
        <v>0</v>
      </c>
      <c r="Z120" s="17">
        <v>0</v>
      </c>
      <c r="AA120" s="17">
        <v>0</v>
      </c>
      <c r="AB120" s="17">
        <v>0</v>
      </c>
      <c r="AC120" s="17">
        <v>0</v>
      </c>
      <c r="AD120" s="17">
        <v>0</v>
      </c>
      <c r="AE120" s="17">
        <v>0</v>
      </c>
      <c r="AF120" s="17">
        <v>0</v>
      </c>
      <c r="AG120" s="17">
        <v>0</v>
      </c>
      <c r="AH120" s="17">
        <v>0</v>
      </c>
      <c r="AI120" s="17">
        <v>0</v>
      </c>
      <c r="AJ120" s="17">
        <v>0</v>
      </c>
      <c r="AK120" s="17">
        <v>0</v>
      </c>
      <c r="AL120" s="17">
        <v>0</v>
      </c>
      <c r="AM120" s="17">
        <v>0</v>
      </c>
      <c r="AN120" s="17">
        <v>0</v>
      </c>
      <c r="AO120" s="17">
        <v>0</v>
      </c>
      <c r="AP120" s="17">
        <v>0</v>
      </c>
      <c r="AQ120" s="17">
        <v>0</v>
      </c>
      <c r="AR120" s="17">
        <v>0</v>
      </c>
      <c r="AS120" s="17">
        <v>0</v>
      </c>
      <c r="AT120" s="17">
        <v>0</v>
      </c>
      <c r="AU120" s="17">
        <v>0</v>
      </c>
      <c r="AV120" s="17">
        <v>0</v>
      </c>
      <c r="AW120" s="17">
        <v>0</v>
      </c>
      <c r="AX120" s="17">
        <v>0</v>
      </c>
      <c r="AY120" s="17">
        <v>0</v>
      </c>
      <c r="AZ120" s="17">
        <v>0</v>
      </c>
      <c r="BA120" s="17">
        <v>0</v>
      </c>
      <c r="BB120" s="17">
        <v>0</v>
      </c>
      <c r="BC120" s="17">
        <v>0</v>
      </c>
      <c r="BD120" s="17">
        <v>0</v>
      </c>
      <c r="BE120" s="17">
        <v>0</v>
      </c>
      <c r="BF120" s="17">
        <v>0</v>
      </c>
      <c r="BG120" s="18">
        <v>0</v>
      </c>
    </row>
    <row r="121" spans="4:59" x14ac:dyDescent="0.3">
      <c r="D121" s="29" t="s">
        <v>31</v>
      </c>
      <c r="E121" s="30" t="s">
        <v>131</v>
      </c>
      <c r="F121" s="30" t="s">
        <v>15</v>
      </c>
      <c r="G121" s="17">
        <v>0.53010000000000002</v>
      </c>
      <c r="H121" s="17">
        <v>0.48280000000000001</v>
      </c>
      <c r="I121" s="17">
        <v>0.46179999999999999</v>
      </c>
      <c r="J121" s="17">
        <v>0.62470000000000003</v>
      </c>
      <c r="K121" s="17">
        <v>0.44385356786635954</v>
      </c>
      <c r="L121" s="17">
        <v>0.44385356786635954</v>
      </c>
      <c r="M121" s="17">
        <v>0.44385356786635954</v>
      </c>
      <c r="N121" s="17">
        <v>0.44385356786635954</v>
      </c>
      <c r="O121" s="17">
        <v>0.44385356786635954</v>
      </c>
      <c r="P121" s="17">
        <v>0.44385356786635954</v>
      </c>
      <c r="Q121" s="17">
        <v>0.44385356786635954</v>
      </c>
      <c r="R121" s="17">
        <v>0.44385356786635954</v>
      </c>
      <c r="S121" s="17">
        <v>0.44385356786635954</v>
      </c>
      <c r="T121" s="17">
        <v>0.44385356786635954</v>
      </c>
      <c r="U121" s="17">
        <v>0.44385356786635954</v>
      </c>
      <c r="V121" s="17">
        <v>0.44385356786635954</v>
      </c>
      <c r="W121" s="17">
        <v>0.44385356786635954</v>
      </c>
      <c r="X121" s="17">
        <v>0.44385356786635954</v>
      </c>
      <c r="Y121" s="17">
        <v>0.44385356786635954</v>
      </c>
      <c r="Z121" s="17">
        <v>0.44385356786635954</v>
      </c>
      <c r="AA121" s="17">
        <v>0.44385356786635954</v>
      </c>
      <c r="AB121" s="17">
        <v>0.44385356786635954</v>
      </c>
      <c r="AC121" s="17">
        <v>0.44385356786635954</v>
      </c>
      <c r="AD121" s="17">
        <v>0.44385356786635954</v>
      </c>
      <c r="AE121" s="17">
        <v>0.44385356786635954</v>
      </c>
      <c r="AF121" s="17">
        <v>0.44385356786635954</v>
      </c>
      <c r="AG121" s="17">
        <v>0.44385356786635954</v>
      </c>
      <c r="AH121" s="17">
        <v>0.44385356786635954</v>
      </c>
      <c r="AI121" s="17">
        <v>0.44385356786635954</v>
      </c>
      <c r="AJ121" s="17">
        <v>0.44385356786635954</v>
      </c>
      <c r="AK121" s="17">
        <v>0.44385356786635954</v>
      </c>
      <c r="AL121" s="17">
        <v>0.44385356786635954</v>
      </c>
      <c r="AM121" s="17">
        <v>0.44385356786635954</v>
      </c>
      <c r="AN121" s="17">
        <v>0.44385356786635954</v>
      </c>
      <c r="AO121" s="17">
        <v>0.44385356786635954</v>
      </c>
      <c r="AP121" s="17">
        <v>0.44385356786635954</v>
      </c>
      <c r="AQ121" s="17">
        <v>0.44385356786635954</v>
      </c>
      <c r="AR121" s="17">
        <v>0.44385356786635954</v>
      </c>
      <c r="AS121" s="17">
        <v>0.44385356786635954</v>
      </c>
      <c r="AT121" s="17">
        <v>0.44385356786635954</v>
      </c>
      <c r="AU121" s="17">
        <v>0.44385356786635954</v>
      </c>
      <c r="AV121" s="17">
        <v>0.44385356786635954</v>
      </c>
      <c r="AW121" s="17">
        <v>0.44385356786635954</v>
      </c>
      <c r="AX121" s="17">
        <v>0.44385356786635954</v>
      </c>
      <c r="AY121" s="17">
        <v>0.44385356786635954</v>
      </c>
      <c r="AZ121" s="17">
        <v>0.44385356786635954</v>
      </c>
      <c r="BA121" s="17">
        <v>0.44385356786635954</v>
      </c>
      <c r="BB121" s="17">
        <v>0.44385356786635954</v>
      </c>
      <c r="BC121" s="17">
        <v>0.44385356786635954</v>
      </c>
      <c r="BD121" s="17">
        <v>0.44385356786635954</v>
      </c>
      <c r="BE121" s="17">
        <v>0.44385356786635954</v>
      </c>
      <c r="BF121" s="17">
        <v>0.44385356786635954</v>
      </c>
      <c r="BG121" s="18">
        <v>0.44385356786635954</v>
      </c>
    </row>
    <row r="122" spans="4:59" x14ac:dyDescent="0.3">
      <c r="D122" s="29" t="s">
        <v>31</v>
      </c>
      <c r="E122" s="30" t="s">
        <v>131</v>
      </c>
      <c r="F122" s="30" t="s">
        <v>5</v>
      </c>
      <c r="G122" s="17">
        <v>0.55889999999999995</v>
      </c>
      <c r="H122" s="17">
        <v>0.54859999999999998</v>
      </c>
      <c r="I122" s="17">
        <v>0.48880000000000001</v>
      </c>
      <c r="J122" s="17">
        <v>0.4985</v>
      </c>
      <c r="K122" s="17">
        <v>0.48832458152262437</v>
      </c>
      <c r="L122" s="17">
        <v>0.48832458152262437</v>
      </c>
      <c r="M122" s="17">
        <v>0.48832458152262437</v>
      </c>
      <c r="N122" s="17">
        <v>0.48832458152262437</v>
      </c>
      <c r="O122" s="17">
        <v>0.48832458152262437</v>
      </c>
      <c r="P122" s="17">
        <v>0.48832458152262437</v>
      </c>
      <c r="Q122" s="17">
        <v>0.48832458152262437</v>
      </c>
      <c r="R122" s="17">
        <v>0.48832458152262437</v>
      </c>
      <c r="S122" s="17">
        <v>0.48832458152262437</v>
      </c>
      <c r="T122" s="17">
        <v>0.48832458152262437</v>
      </c>
      <c r="U122" s="17">
        <v>0.48832458152262437</v>
      </c>
      <c r="V122" s="17">
        <v>0.48832458152262437</v>
      </c>
      <c r="W122" s="17">
        <v>0.48832458152262437</v>
      </c>
      <c r="X122" s="17">
        <v>0.48832458152262437</v>
      </c>
      <c r="Y122" s="17">
        <v>0.48832458152262437</v>
      </c>
      <c r="Z122" s="17">
        <v>0.48832458152262437</v>
      </c>
      <c r="AA122" s="17">
        <v>0.48832458152262437</v>
      </c>
      <c r="AB122" s="17">
        <v>0.48832458152262437</v>
      </c>
      <c r="AC122" s="17">
        <v>0.48832458152262437</v>
      </c>
      <c r="AD122" s="17">
        <v>0.48832458152262437</v>
      </c>
      <c r="AE122" s="17">
        <v>0.48832458152262437</v>
      </c>
      <c r="AF122" s="17">
        <v>0.48832458152262437</v>
      </c>
      <c r="AG122" s="17">
        <v>0.48832458152262437</v>
      </c>
      <c r="AH122" s="17">
        <v>0.48832458152262437</v>
      </c>
      <c r="AI122" s="17">
        <v>0.48832458152262437</v>
      </c>
      <c r="AJ122" s="17">
        <v>0.48832458152262437</v>
      </c>
      <c r="AK122" s="17">
        <v>0.48832458152262437</v>
      </c>
      <c r="AL122" s="17">
        <v>0.48832458152262437</v>
      </c>
      <c r="AM122" s="17">
        <v>0.48832458152262437</v>
      </c>
      <c r="AN122" s="17">
        <v>0.48832458152262437</v>
      </c>
      <c r="AO122" s="17">
        <v>0.48832458152262437</v>
      </c>
      <c r="AP122" s="17">
        <v>0.48832458152262437</v>
      </c>
      <c r="AQ122" s="17">
        <v>0.48832458152262437</v>
      </c>
      <c r="AR122" s="17">
        <v>0.48832458152262437</v>
      </c>
      <c r="AS122" s="17">
        <v>0.48832458152262437</v>
      </c>
      <c r="AT122" s="17">
        <v>0.48832458152262437</v>
      </c>
      <c r="AU122" s="17">
        <v>0.48832458152262437</v>
      </c>
      <c r="AV122" s="17">
        <v>0.48832458152262437</v>
      </c>
      <c r="AW122" s="17">
        <v>0.48832458152262437</v>
      </c>
      <c r="AX122" s="17">
        <v>0.48832458152262437</v>
      </c>
      <c r="AY122" s="17">
        <v>0.48832458152262437</v>
      </c>
      <c r="AZ122" s="17">
        <v>0.48832458152262437</v>
      </c>
      <c r="BA122" s="17">
        <v>0.48832458152262437</v>
      </c>
      <c r="BB122" s="17">
        <v>0.48832458152262437</v>
      </c>
      <c r="BC122" s="17">
        <v>0.48832458152262437</v>
      </c>
      <c r="BD122" s="17">
        <v>0.48832458152262437</v>
      </c>
      <c r="BE122" s="17">
        <v>0.48832458152262437</v>
      </c>
      <c r="BF122" s="17">
        <v>0.48832458152262437</v>
      </c>
      <c r="BG122" s="18">
        <v>0.48832458152262437</v>
      </c>
    </row>
    <row r="123" spans="4:59" x14ac:dyDescent="0.3">
      <c r="D123" s="29" t="s">
        <v>31</v>
      </c>
      <c r="E123" s="30" t="s">
        <v>132</v>
      </c>
      <c r="F123" s="30" t="s">
        <v>5</v>
      </c>
      <c r="G123" s="17">
        <v>3.3464</v>
      </c>
      <c r="H123" s="17">
        <v>4.5650000000000004</v>
      </c>
      <c r="I123" s="17">
        <v>4.3478000000000003</v>
      </c>
      <c r="J123" s="17">
        <v>4.2096</v>
      </c>
      <c r="K123" s="17">
        <v>4.2100421417044656</v>
      </c>
      <c r="L123" s="17">
        <v>4.2100421417044656</v>
      </c>
      <c r="M123" s="17">
        <v>4.2100421417044656</v>
      </c>
      <c r="N123" s="17">
        <v>4.2100421417044656</v>
      </c>
      <c r="O123" s="17">
        <v>4.2100421417044656</v>
      </c>
      <c r="P123" s="17">
        <v>4.2100421417044656</v>
      </c>
      <c r="Q123" s="17">
        <v>4.2100421417044656</v>
      </c>
      <c r="R123" s="17">
        <v>4.2100421417044656</v>
      </c>
      <c r="S123" s="17">
        <v>4.2100421417044656</v>
      </c>
      <c r="T123" s="17">
        <v>4.2100421417044656</v>
      </c>
      <c r="U123" s="17">
        <v>4.2100421417044656</v>
      </c>
      <c r="V123" s="17">
        <v>4.2100421417044656</v>
      </c>
      <c r="W123" s="17">
        <v>4.2100421417044656</v>
      </c>
      <c r="X123" s="17">
        <v>4.2100421417044656</v>
      </c>
      <c r="Y123" s="17">
        <v>4.2100421417044656</v>
      </c>
      <c r="Z123" s="17">
        <v>4.2100421417044656</v>
      </c>
      <c r="AA123" s="17">
        <v>4.2100421417044656</v>
      </c>
      <c r="AB123" s="17">
        <v>4.2100421417044656</v>
      </c>
      <c r="AC123" s="17">
        <v>4.2100421417044656</v>
      </c>
      <c r="AD123" s="17">
        <v>4.2100421417044656</v>
      </c>
      <c r="AE123" s="17">
        <v>4.2100421417044656</v>
      </c>
      <c r="AF123" s="17">
        <v>4.2100421417044656</v>
      </c>
      <c r="AG123" s="17">
        <v>4.2100421417044656</v>
      </c>
      <c r="AH123" s="17">
        <v>4.2100421417044656</v>
      </c>
      <c r="AI123" s="17">
        <v>4.2100421417044656</v>
      </c>
      <c r="AJ123" s="17">
        <v>4.2100421417044656</v>
      </c>
      <c r="AK123" s="17">
        <v>4.2100421417044656</v>
      </c>
      <c r="AL123" s="17">
        <v>4.2100421417044656</v>
      </c>
      <c r="AM123" s="17">
        <v>4.2100421417044656</v>
      </c>
      <c r="AN123" s="17">
        <v>4.2100421417044656</v>
      </c>
      <c r="AO123" s="17">
        <v>4.2100421417044656</v>
      </c>
      <c r="AP123" s="17">
        <v>4.2100421417044656</v>
      </c>
      <c r="AQ123" s="17">
        <v>4.2100421417044656</v>
      </c>
      <c r="AR123" s="17">
        <v>4.2100421417044656</v>
      </c>
      <c r="AS123" s="17">
        <v>4.2100421417044656</v>
      </c>
      <c r="AT123" s="17">
        <v>4.2100421417044656</v>
      </c>
      <c r="AU123" s="17">
        <v>4.2100421417044656</v>
      </c>
      <c r="AV123" s="17">
        <v>4.2100421417044656</v>
      </c>
      <c r="AW123" s="17">
        <v>4.2100421417044656</v>
      </c>
      <c r="AX123" s="17">
        <v>4.2100421417044656</v>
      </c>
      <c r="AY123" s="17">
        <v>4.2100421417044656</v>
      </c>
      <c r="AZ123" s="17">
        <v>4.2100421417044656</v>
      </c>
      <c r="BA123" s="17">
        <v>4.2100421417044656</v>
      </c>
      <c r="BB123" s="17">
        <v>4.2100421417044656</v>
      </c>
      <c r="BC123" s="17">
        <v>4.2100421417044656</v>
      </c>
      <c r="BD123" s="17">
        <v>4.2100421417044656</v>
      </c>
      <c r="BE123" s="17">
        <v>4.2100421417044656</v>
      </c>
      <c r="BF123" s="17">
        <v>4.2100421417044656</v>
      </c>
      <c r="BG123" s="18">
        <v>4.2100421417044656</v>
      </c>
    </row>
    <row r="124" spans="4:59" x14ac:dyDescent="0.3">
      <c r="D124" s="29" t="s">
        <v>31</v>
      </c>
      <c r="E124" s="30" t="s">
        <v>132</v>
      </c>
      <c r="F124" s="30" t="s">
        <v>32</v>
      </c>
      <c r="G124" s="17">
        <v>6.1117999999999997</v>
      </c>
      <c r="H124" s="17">
        <v>6.0220000000000002</v>
      </c>
      <c r="I124" s="17">
        <v>5.8303000000000003</v>
      </c>
      <c r="J124" s="17">
        <v>6.18</v>
      </c>
      <c r="K124" s="17">
        <v>5.8093641113343812</v>
      </c>
      <c r="L124" s="17">
        <v>5.8093641113343812</v>
      </c>
      <c r="M124" s="17">
        <v>5.8093641113343812</v>
      </c>
      <c r="N124" s="17">
        <v>5.8093641113343812</v>
      </c>
      <c r="O124" s="17">
        <v>5.8093641113343812</v>
      </c>
      <c r="P124" s="17">
        <v>5.8093641113343812</v>
      </c>
      <c r="Q124" s="17">
        <v>5.8093641113343812</v>
      </c>
      <c r="R124" s="17">
        <v>5.8093641113343812</v>
      </c>
      <c r="S124" s="17">
        <v>5.8093641113343812</v>
      </c>
      <c r="T124" s="17">
        <v>5.8093641113343812</v>
      </c>
      <c r="U124" s="17">
        <v>5.8093641113343812</v>
      </c>
      <c r="V124" s="17">
        <v>5.8093641113343812</v>
      </c>
      <c r="W124" s="17">
        <v>5.8093641113343812</v>
      </c>
      <c r="X124" s="17">
        <v>5.8093641113343812</v>
      </c>
      <c r="Y124" s="17">
        <v>5.8093641113343812</v>
      </c>
      <c r="Z124" s="17">
        <v>5.8093641113343812</v>
      </c>
      <c r="AA124" s="17">
        <v>5.8093641113343812</v>
      </c>
      <c r="AB124" s="17">
        <v>5.8093641113343812</v>
      </c>
      <c r="AC124" s="17">
        <v>5.8093641113343812</v>
      </c>
      <c r="AD124" s="17">
        <v>5.8093641113343812</v>
      </c>
      <c r="AE124" s="17">
        <v>5.8093641113343812</v>
      </c>
      <c r="AF124" s="17">
        <v>5.8093641113343812</v>
      </c>
      <c r="AG124" s="17">
        <v>5.8093641113343812</v>
      </c>
      <c r="AH124" s="17">
        <v>5.8093641113343812</v>
      </c>
      <c r="AI124" s="17">
        <v>5.8093641113343812</v>
      </c>
      <c r="AJ124" s="17">
        <v>5.8093641113343812</v>
      </c>
      <c r="AK124" s="17">
        <v>5.8093641113343812</v>
      </c>
      <c r="AL124" s="17">
        <v>5.8093641113343812</v>
      </c>
      <c r="AM124" s="17">
        <v>5.8093641113343812</v>
      </c>
      <c r="AN124" s="17">
        <v>5.8093641113343812</v>
      </c>
      <c r="AO124" s="17">
        <v>5.8093641113343812</v>
      </c>
      <c r="AP124" s="17">
        <v>5.8093641113343812</v>
      </c>
      <c r="AQ124" s="17">
        <v>5.8093641113343812</v>
      </c>
      <c r="AR124" s="17">
        <v>5.8093641113343812</v>
      </c>
      <c r="AS124" s="17">
        <v>5.8093641113343812</v>
      </c>
      <c r="AT124" s="17">
        <v>5.8093641113343812</v>
      </c>
      <c r="AU124" s="17">
        <v>5.8093641113343812</v>
      </c>
      <c r="AV124" s="17">
        <v>5.8093641113343812</v>
      </c>
      <c r="AW124" s="17">
        <v>5.8093641113343812</v>
      </c>
      <c r="AX124" s="17">
        <v>5.8093641113343812</v>
      </c>
      <c r="AY124" s="17">
        <v>5.8093641113343812</v>
      </c>
      <c r="AZ124" s="17">
        <v>5.8093641113343812</v>
      </c>
      <c r="BA124" s="17">
        <v>5.8093641113343812</v>
      </c>
      <c r="BB124" s="17">
        <v>5.8093641113343812</v>
      </c>
      <c r="BC124" s="17">
        <v>5.8093641113343812</v>
      </c>
      <c r="BD124" s="17">
        <v>5.8093641113343812</v>
      </c>
      <c r="BE124" s="17">
        <v>5.8093641113343812</v>
      </c>
      <c r="BF124" s="17">
        <v>5.8093641113343812</v>
      </c>
      <c r="BG124" s="18">
        <v>5.8093641113343812</v>
      </c>
    </row>
    <row r="125" spans="4:59" x14ac:dyDescent="0.3">
      <c r="D125" s="29" t="s">
        <v>31</v>
      </c>
      <c r="E125" s="30" t="s">
        <v>133</v>
      </c>
      <c r="F125" s="30" t="s">
        <v>32</v>
      </c>
      <c r="G125" s="17">
        <v>4.58E-2</v>
      </c>
      <c r="H125" s="17">
        <v>2.6700000000000002E-2</v>
      </c>
      <c r="I125" s="17">
        <v>2.3699999999999999E-2</v>
      </c>
      <c r="J125" s="17">
        <v>6.8999999999999999E-3</v>
      </c>
      <c r="K125" s="17">
        <v>4.4184194750198885E-2</v>
      </c>
      <c r="L125" s="17">
        <v>4.4184194750198885E-2</v>
      </c>
      <c r="M125" s="17">
        <v>4.4184194750198885E-2</v>
      </c>
      <c r="N125" s="17">
        <v>4.4184194750198885E-2</v>
      </c>
      <c r="O125" s="17">
        <v>4.4184194750198885E-2</v>
      </c>
      <c r="P125" s="17">
        <v>4.4184194750198885E-2</v>
      </c>
      <c r="Q125" s="17">
        <v>4.4184194750198885E-2</v>
      </c>
      <c r="R125" s="17">
        <v>4.4184194750198885E-2</v>
      </c>
      <c r="S125" s="17">
        <v>4.4184194750198885E-2</v>
      </c>
      <c r="T125" s="17">
        <v>4.4184194750198885E-2</v>
      </c>
      <c r="U125" s="17">
        <v>4.4184194750198885E-2</v>
      </c>
      <c r="V125" s="17">
        <v>4.4184194750198885E-2</v>
      </c>
      <c r="W125" s="17">
        <v>4.4184194750198885E-2</v>
      </c>
      <c r="X125" s="17">
        <v>4.4184194750198885E-2</v>
      </c>
      <c r="Y125" s="17">
        <v>4.4184194750198885E-2</v>
      </c>
      <c r="Z125" s="17">
        <v>4.4184194750198885E-2</v>
      </c>
      <c r="AA125" s="17">
        <v>4.4184194750198885E-2</v>
      </c>
      <c r="AB125" s="17">
        <v>4.4184194750198885E-2</v>
      </c>
      <c r="AC125" s="17">
        <v>4.4184194750198885E-2</v>
      </c>
      <c r="AD125" s="17">
        <v>4.4184194750198885E-2</v>
      </c>
      <c r="AE125" s="17">
        <v>4.4184194750198885E-2</v>
      </c>
      <c r="AF125" s="17">
        <v>4.4184194750198885E-2</v>
      </c>
      <c r="AG125" s="17">
        <v>4.4184194750198885E-2</v>
      </c>
      <c r="AH125" s="17">
        <v>4.4184194750198885E-2</v>
      </c>
      <c r="AI125" s="17">
        <v>4.4184194750198885E-2</v>
      </c>
      <c r="AJ125" s="17">
        <v>4.4184194750198885E-2</v>
      </c>
      <c r="AK125" s="17">
        <v>4.4184194750198885E-2</v>
      </c>
      <c r="AL125" s="17">
        <v>4.4184194750198885E-2</v>
      </c>
      <c r="AM125" s="17">
        <v>4.4184194750198885E-2</v>
      </c>
      <c r="AN125" s="17">
        <v>4.4184194750198885E-2</v>
      </c>
      <c r="AO125" s="17">
        <v>4.4184194750198885E-2</v>
      </c>
      <c r="AP125" s="17">
        <v>4.4184194750198885E-2</v>
      </c>
      <c r="AQ125" s="17">
        <v>4.4184194750198885E-2</v>
      </c>
      <c r="AR125" s="17">
        <v>4.4184194750198885E-2</v>
      </c>
      <c r="AS125" s="17">
        <v>4.4184194750198885E-2</v>
      </c>
      <c r="AT125" s="17">
        <v>4.4184194750198885E-2</v>
      </c>
      <c r="AU125" s="17">
        <v>4.4184194750198885E-2</v>
      </c>
      <c r="AV125" s="17">
        <v>4.4184194750198885E-2</v>
      </c>
      <c r="AW125" s="17">
        <v>4.4184194750198885E-2</v>
      </c>
      <c r="AX125" s="17">
        <v>4.4184194750198885E-2</v>
      </c>
      <c r="AY125" s="17">
        <v>4.4184194750198885E-2</v>
      </c>
      <c r="AZ125" s="17">
        <v>4.4184194750198885E-2</v>
      </c>
      <c r="BA125" s="17">
        <v>4.4184194750198885E-2</v>
      </c>
      <c r="BB125" s="17">
        <v>4.4184194750198885E-2</v>
      </c>
      <c r="BC125" s="17">
        <v>4.4184194750198885E-2</v>
      </c>
      <c r="BD125" s="17">
        <v>4.4184194750198885E-2</v>
      </c>
      <c r="BE125" s="17">
        <v>4.4184194750198885E-2</v>
      </c>
      <c r="BF125" s="17">
        <v>4.4184194750198885E-2</v>
      </c>
      <c r="BG125" s="18">
        <v>4.4184194750198885E-2</v>
      </c>
    </row>
    <row r="126" spans="4:59" x14ac:dyDescent="0.3">
      <c r="D126" s="29" t="s">
        <v>31</v>
      </c>
      <c r="E126" s="30" t="s">
        <v>134</v>
      </c>
      <c r="F126" s="30" t="s">
        <v>29</v>
      </c>
      <c r="G126" s="17">
        <v>4.8999999999999998E-3</v>
      </c>
      <c r="H126" s="17">
        <v>1.5299999999999999E-2</v>
      </c>
      <c r="I126" s="17">
        <v>4.0000000000000002E-4</v>
      </c>
      <c r="J126" s="17">
        <v>8.9999999999999998E-4</v>
      </c>
      <c r="K126" s="17">
        <v>4.2078683429492615E-4</v>
      </c>
      <c r="L126" s="17">
        <v>4.2078683429492615E-4</v>
      </c>
      <c r="M126" s="17">
        <v>4.2078683429492615E-4</v>
      </c>
      <c r="N126" s="17">
        <v>4.2078683429492615E-4</v>
      </c>
      <c r="O126" s="17">
        <v>4.2078683429492615E-4</v>
      </c>
      <c r="P126" s="17">
        <v>4.2078683429492615E-4</v>
      </c>
      <c r="Q126" s="17">
        <v>4.2078683429492615E-4</v>
      </c>
      <c r="R126" s="17">
        <v>4.2078683429492615E-4</v>
      </c>
      <c r="S126" s="17">
        <v>4.2078683429492615E-4</v>
      </c>
      <c r="T126" s="17">
        <v>4.2078683429492615E-4</v>
      </c>
      <c r="U126" s="17">
        <v>4.2078683429492615E-4</v>
      </c>
      <c r="V126" s="17">
        <v>4.2078683429492615E-4</v>
      </c>
      <c r="W126" s="17">
        <v>4.2078683429492615E-4</v>
      </c>
      <c r="X126" s="17">
        <v>4.2078683429492615E-4</v>
      </c>
      <c r="Y126" s="17">
        <v>4.2078683429492615E-4</v>
      </c>
      <c r="Z126" s="17">
        <v>4.2078683429492615E-4</v>
      </c>
      <c r="AA126" s="17">
        <v>4.2078683429492615E-4</v>
      </c>
      <c r="AB126" s="17">
        <v>4.2078683429492615E-4</v>
      </c>
      <c r="AC126" s="17">
        <v>4.2078683429492615E-4</v>
      </c>
      <c r="AD126" s="17">
        <v>4.2078683429492615E-4</v>
      </c>
      <c r="AE126" s="17">
        <v>4.2078683429492615E-4</v>
      </c>
      <c r="AF126" s="17">
        <v>4.2078683429492615E-4</v>
      </c>
      <c r="AG126" s="17">
        <v>4.2078683429492615E-4</v>
      </c>
      <c r="AH126" s="17">
        <v>4.2078683429492615E-4</v>
      </c>
      <c r="AI126" s="17">
        <v>4.2078683429492615E-4</v>
      </c>
      <c r="AJ126" s="17">
        <v>4.2078683429492615E-4</v>
      </c>
      <c r="AK126" s="17">
        <v>4.2078683429492615E-4</v>
      </c>
      <c r="AL126" s="17">
        <v>4.2078683429492615E-4</v>
      </c>
      <c r="AM126" s="17">
        <v>4.2078683429492615E-4</v>
      </c>
      <c r="AN126" s="17">
        <v>4.2078683429492615E-4</v>
      </c>
      <c r="AO126" s="17">
        <v>4.2078683429492615E-4</v>
      </c>
      <c r="AP126" s="17">
        <v>4.2078683429492615E-4</v>
      </c>
      <c r="AQ126" s="17">
        <v>4.2078683429492615E-4</v>
      </c>
      <c r="AR126" s="17">
        <v>4.2078683429492615E-4</v>
      </c>
      <c r="AS126" s="17">
        <v>4.2078683429492615E-4</v>
      </c>
      <c r="AT126" s="17">
        <v>4.2078683429492615E-4</v>
      </c>
      <c r="AU126" s="17">
        <v>4.2078683429492615E-4</v>
      </c>
      <c r="AV126" s="17">
        <v>4.2078683429492615E-4</v>
      </c>
      <c r="AW126" s="17">
        <v>4.2078683429492615E-4</v>
      </c>
      <c r="AX126" s="17">
        <v>4.2078683429492615E-4</v>
      </c>
      <c r="AY126" s="17">
        <v>4.2078683429492615E-4</v>
      </c>
      <c r="AZ126" s="17">
        <v>4.2078683429492615E-4</v>
      </c>
      <c r="BA126" s="17">
        <v>4.2078683429492615E-4</v>
      </c>
      <c r="BB126" s="17">
        <v>4.2078683429492615E-4</v>
      </c>
      <c r="BC126" s="17">
        <v>4.2078683429492615E-4</v>
      </c>
      <c r="BD126" s="17">
        <v>4.2078683429492615E-4</v>
      </c>
      <c r="BE126" s="17">
        <v>4.2078683429492615E-4</v>
      </c>
      <c r="BF126" s="17">
        <v>4.2078683429492615E-4</v>
      </c>
      <c r="BG126" s="18">
        <v>4.2078683429492615E-4</v>
      </c>
    </row>
    <row r="127" spans="4:59" x14ac:dyDescent="0.3">
      <c r="D127" s="29" t="s">
        <v>31</v>
      </c>
      <c r="E127" s="30" t="s">
        <v>135</v>
      </c>
      <c r="F127" s="30" t="s">
        <v>29</v>
      </c>
      <c r="G127" s="17">
        <v>0</v>
      </c>
      <c r="H127" s="17">
        <v>0</v>
      </c>
      <c r="I127" s="17">
        <v>0</v>
      </c>
      <c r="J127" s="17">
        <v>0</v>
      </c>
      <c r="K127" s="17">
        <v>0</v>
      </c>
      <c r="L127" s="17">
        <v>0</v>
      </c>
      <c r="M127" s="17">
        <v>0</v>
      </c>
      <c r="N127" s="17">
        <v>0</v>
      </c>
      <c r="O127" s="17">
        <v>0</v>
      </c>
      <c r="P127" s="17">
        <v>0</v>
      </c>
      <c r="Q127" s="17">
        <v>0</v>
      </c>
      <c r="R127" s="17">
        <v>0</v>
      </c>
      <c r="S127" s="17">
        <v>0</v>
      </c>
      <c r="T127" s="17">
        <v>0</v>
      </c>
      <c r="U127" s="17">
        <v>0</v>
      </c>
      <c r="V127" s="17">
        <v>0</v>
      </c>
      <c r="W127" s="17">
        <v>0</v>
      </c>
      <c r="X127" s="17">
        <v>0</v>
      </c>
      <c r="Y127" s="17">
        <v>0</v>
      </c>
      <c r="Z127" s="17">
        <v>0</v>
      </c>
      <c r="AA127" s="17">
        <v>0</v>
      </c>
      <c r="AB127" s="17">
        <v>0</v>
      </c>
      <c r="AC127" s="17">
        <v>0</v>
      </c>
      <c r="AD127" s="17">
        <v>0</v>
      </c>
      <c r="AE127" s="17">
        <v>0</v>
      </c>
      <c r="AF127" s="17">
        <v>0</v>
      </c>
      <c r="AG127" s="17">
        <v>0</v>
      </c>
      <c r="AH127" s="17">
        <v>0</v>
      </c>
      <c r="AI127" s="17">
        <v>0</v>
      </c>
      <c r="AJ127" s="17">
        <v>0</v>
      </c>
      <c r="AK127" s="17">
        <v>0</v>
      </c>
      <c r="AL127" s="17">
        <v>0</v>
      </c>
      <c r="AM127" s="17">
        <v>0</v>
      </c>
      <c r="AN127" s="17">
        <v>0</v>
      </c>
      <c r="AO127" s="17">
        <v>0</v>
      </c>
      <c r="AP127" s="17">
        <v>0</v>
      </c>
      <c r="AQ127" s="17">
        <v>0</v>
      </c>
      <c r="AR127" s="17">
        <v>0</v>
      </c>
      <c r="AS127" s="17">
        <v>0</v>
      </c>
      <c r="AT127" s="17">
        <v>0</v>
      </c>
      <c r="AU127" s="17">
        <v>0</v>
      </c>
      <c r="AV127" s="17">
        <v>0</v>
      </c>
      <c r="AW127" s="17">
        <v>0</v>
      </c>
      <c r="AX127" s="17">
        <v>0</v>
      </c>
      <c r="AY127" s="17">
        <v>0</v>
      </c>
      <c r="AZ127" s="17">
        <v>0</v>
      </c>
      <c r="BA127" s="17">
        <v>0</v>
      </c>
      <c r="BB127" s="17">
        <v>0</v>
      </c>
      <c r="BC127" s="17">
        <v>0</v>
      </c>
      <c r="BD127" s="17">
        <v>0</v>
      </c>
      <c r="BE127" s="17">
        <v>0</v>
      </c>
      <c r="BF127" s="17">
        <v>0</v>
      </c>
      <c r="BG127" s="18">
        <v>0</v>
      </c>
    </row>
    <row r="128" spans="4:59" ht="15" thickBot="1" x14ac:dyDescent="0.35">
      <c r="D128" s="31" t="s">
        <v>31</v>
      </c>
      <c r="E128" s="32" t="s">
        <v>136</v>
      </c>
      <c r="F128" s="32" t="s">
        <v>5</v>
      </c>
      <c r="G128" s="19">
        <v>1E-4</v>
      </c>
      <c r="H128" s="19">
        <v>0</v>
      </c>
      <c r="I128" s="19">
        <v>0</v>
      </c>
      <c r="J128" s="19">
        <v>0</v>
      </c>
      <c r="K128" s="19">
        <v>0</v>
      </c>
      <c r="L128" s="19">
        <v>0</v>
      </c>
      <c r="M128" s="19">
        <v>0</v>
      </c>
      <c r="N128" s="19">
        <v>0</v>
      </c>
      <c r="O128" s="19">
        <v>0</v>
      </c>
      <c r="P128" s="19">
        <v>0</v>
      </c>
      <c r="Q128" s="19">
        <v>0</v>
      </c>
      <c r="R128" s="19">
        <v>0</v>
      </c>
      <c r="S128" s="19">
        <v>0</v>
      </c>
      <c r="T128" s="19">
        <v>0</v>
      </c>
      <c r="U128" s="19">
        <v>0</v>
      </c>
      <c r="V128" s="19">
        <v>0</v>
      </c>
      <c r="W128" s="19">
        <v>0</v>
      </c>
      <c r="X128" s="19">
        <v>0</v>
      </c>
      <c r="Y128" s="19">
        <v>0</v>
      </c>
      <c r="Z128" s="19">
        <v>0</v>
      </c>
      <c r="AA128" s="19">
        <v>0</v>
      </c>
      <c r="AB128" s="19">
        <v>0</v>
      </c>
      <c r="AC128" s="19">
        <v>0</v>
      </c>
      <c r="AD128" s="19">
        <v>0</v>
      </c>
      <c r="AE128" s="19">
        <v>0</v>
      </c>
      <c r="AF128" s="19">
        <v>0</v>
      </c>
      <c r="AG128" s="19">
        <v>0</v>
      </c>
      <c r="AH128" s="19">
        <v>0</v>
      </c>
      <c r="AI128" s="19">
        <v>0</v>
      </c>
      <c r="AJ128" s="19">
        <v>0</v>
      </c>
      <c r="AK128" s="19">
        <v>0</v>
      </c>
      <c r="AL128" s="19">
        <v>0</v>
      </c>
      <c r="AM128" s="19">
        <v>0</v>
      </c>
      <c r="AN128" s="19">
        <v>0</v>
      </c>
      <c r="AO128" s="19">
        <v>0</v>
      </c>
      <c r="AP128" s="19">
        <v>0</v>
      </c>
      <c r="AQ128" s="19">
        <v>0</v>
      </c>
      <c r="AR128" s="19">
        <v>0</v>
      </c>
      <c r="AS128" s="19">
        <v>0</v>
      </c>
      <c r="AT128" s="19">
        <v>0</v>
      </c>
      <c r="AU128" s="19">
        <v>0</v>
      </c>
      <c r="AV128" s="19">
        <v>0</v>
      </c>
      <c r="AW128" s="19">
        <v>0</v>
      </c>
      <c r="AX128" s="19">
        <v>0</v>
      </c>
      <c r="AY128" s="19">
        <v>0</v>
      </c>
      <c r="AZ128" s="19">
        <v>0</v>
      </c>
      <c r="BA128" s="19">
        <v>0</v>
      </c>
      <c r="BB128" s="19">
        <v>0</v>
      </c>
      <c r="BC128" s="19">
        <v>0</v>
      </c>
      <c r="BD128" s="19">
        <v>0</v>
      </c>
      <c r="BE128" s="19">
        <v>0</v>
      </c>
      <c r="BF128" s="19">
        <v>0</v>
      </c>
      <c r="BG128" s="20">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952A1-975E-4C57-92D5-6088F721CA02}">
  <dimension ref="C2:L27"/>
  <sheetViews>
    <sheetView topLeftCell="A25" workbookViewId="0">
      <selection activeCell="D8" sqref="D8:H8"/>
    </sheetView>
  </sheetViews>
  <sheetFormatPr baseColWidth="10" defaultColWidth="8.88671875" defaultRowHeight="14.4" x14ac:dyDescent="0.3"/>
  <cols>
    <col min="3" max="3" width="46" bestFit="1" customWidth="1"/>
    <col min="4" max="4" width="21.21875" bestFit="1" customWidth="1"/>
    <col min="5" max="5" width="10.77734375" bestFit="1" customWidth="1"/>
    <col min="6" max="6" width="6" bestFit="1" customWidth="1"/>
    <col min="7" max="7" width="12" bestFit="1" customWidth="1"/>
    <col min="8" max="8" width="9.21875" bestFit="1" customWidth="1"/>
    <col min="9" max="9" width="15" bestFit="1" customWidth="1"/>
    <col min="10" max="10" width="13" bestFit="1" customWidth="1"/>
    <col min="11" max="11" width="17.77734375" bestFit="1" customWidth="1"/>
    <col min="12" max="12" width="14.33203125" bestFit="1" customWidth="1"/>
  </cols>
  <sheetData>
    <row r="2" spans="3:12" x14ac:dyDescent="0.3">
      <c r="C2" s="51" t="s">
        <v>201</v>
      </c>
      <c r="D2" s="52"/>
      <c r="E2" s="52"/>
      <c r="F2" s="52"/>
      <c r="G2" s="14"/>
    </row>
    <row r="3" spans="3:12" x14ac:dyDescent="0.3">
      <c r="C3" s="53" t="s">
        <v>202</v>
      </c>
      <c r="D3" s="53" t="s">
        <v>203</v>
      </c>
      <c r="E3" s="53" t="s">
        <v>204</v>
      </c>
      <c r="F3" s="53" t="s">
        <v>89</v>
      </c>
      <c r="G3" s="53" t="s">
        <v>205</v>
      </c>
      <c r="H3" s="53" t="s">
        <v>206</v>
      </c>
      <c r="I3" s="54" t="s">
        <v>207</v>
      </c>
      <c r="J3" s="54" t="s">
        <v>0</v>
      </c>
      <c r="K3" s="53" t="s">
        <v>34</v>
      </c>
      <c r="L3" s="53" t="s">
        <v>208</v>
      </c>
    </row>
    <row r="4" spans="3:12" x14ac:dyDescent="0.3">
      <c r="C4" s="55" t="s">
        <v>209</v>
      </c>
      <c r="D4" s="55" t="s">
        <v>210</v>
      </c>
      <c r="E4" s="55" t="s">
        <v>211</v>
      </c>
      <c r="F4" s="55">
        <v>170</v>
      </c>
      <c r="G4" s="55">
        <v>663525</v>
      </c>
      <c r="H4" s="55">
        <v>2010</v>
      </c>
      <c r="I4" s="56">
        <f t="shared" ref="I4:I27" si="0">(G4)/(F4*8760)</f>
        <v>0.44555801772763898</v>
      </c>
      <c r="J4" s="55" t="s">
        <v>90</v>
      </c>
      <c r="K4" s="55" t="s">
        <v>162</v>
      </c>
      <c r="L4" s="55" t="str">
        <f>IF(OR(D4="Hidroeléctrica Embalse", D4="Hidroeléctrica Pasada"),IF(F4&lt;50,"Pequeña",IF(F4&lt;450,"Mediana","Grande")),"-")</f>
        <v>Mediana</v>
      </c>
    </row>
    <row r="5" spans="3:12" x14ac:dyDescent="0.3">
      <c r="C5" s="55" t="s">
        <v>91</v>
      </c>
      <c r="D5" s="55" t="s">
        <v>169</v>
      </c>
      <c r="E5" s="55" t="s">
        <v>93</v>
      </c>
      <c r="F5" s="55">
        <v>16.5</v>
      </c>
      <c r="G5" s="55">
        <v>59200</v>
      </c>
      <c r="H5" s="55">
        <v>2013</v>
      </c>
      <c r="I5" s="56">
        <f t="shared" si="0"/>
        <v>0.40957520409575204</v>
      </c>
      <c r="J5" s="55" t="s">
        <v>90</v>
      </c>
      <c r="K5" s="55" t="s">
        <v>162</v>
      </c>
      <c r="L5" s="55"/>
    </row>
    <row r="6" spans="3:12" x14ac:dyDescent="0.3">
      <c r="C6" s="55" t="s">
        <v>212</v>
      </c>
      <c r="D6" s="57" t="s">
        <v>213</v>
      </c>
      <c r="E6" s="57" t="s">
        <v>211</v>
      </c>
      <c r="F6" s="55">
        <v>1500</v>
      </c>
      <c r="G6" s="55" t="s">
        <v>214</v>
      </c>
      <c r="H6" s="55">
        <v>2015</v>
      </c>
      <c r="I6" s="55" t="s">
        <v>93</v>
      </c>
      <c r="J6" s="55" t="s">
        <v>90</v>
      </c>
      <c r="K6" s="55" t="s">
        <v>162</v>
      </c>
      <c r="L6" s="57" t="str">
        <f t="shared" ref="L6:L13" si="1">IF(OR(D6="Hidroeléctrica Embalse", D6="Hidroeléctrica Pasada"),IF(F6&lt;50,"Pequeña",IF(F6&lt;450,"Mediana","Grande")),"-")</f>
        <v>Grande</v>
      </c>
    </row>
    <row r="7" spans="3:12" x14ac:dyDescent="0.3">
      <c r="C7" s="55" t="s">
        <v>215</v>
      </c>
      <c r="D7" s="55" t="s">
        <v>213</v>
      </c>
      <c r="E7" s="55" t="s">
        <v>124</v>
      </c>
      <c r="F7" s="55">
        <v>65</v>
      </c>
      <c r="G7" s="55" t="s">
        <v>214</v>
      </c>
      <c r="H7" s="55">
        <v>2015</v>
      </c>
      <c r="I7" s="55" t="s">
        <v>93</v>
      </c>
      <c r="J7" s="55" t="s">
        <v>90</v>
      </c>
      <c r="K7" s="55" t="s">
        <v>162</v>
      </c>
      <c r="L7" s="55" t="str">
        <f t="shared" si="1"/>
        <v>Mediana</v>
      </c>
    </row>
    <row r="8" spans="3:12" x14ac:dyDescent="0.3">
      <c r="C8" s="58" t="s">
        <v>216</v>
      </c>
      <c r="D8" s="55" t="s">
        <v>213</v>
      </c>
      <c r="E8" s="55" t="s">
        <v>211</v>
      </c>
      <c r="F8" s="55">
        <v>487</v>
      </c>
      <c r="G8" s="55">
        <v>2456387.5</v>
      </c>
      <c r="H8" s="55">
        <v>2016</v>
      </c>
      <c r="I8" s="56">
        <f t="shared" si="0"/>
        <v>0.57578959335414848</v>
      </c>
      <c r="J8" s="55" t="s">
        <v>90</v>
      </c>
      <c r="K8" s="59"/>
      <c r="L8" s="55" t="str">
        <f t="shared" si="1"/>
        <v>Grande</v>
      </c>
    </row>
    <row r="9" spans="3:12" x14ac:dyDescent="0.3">
      <c r="C9" s="55" t="s">
        <v>217</v>
      </c>
      <c r="D9" s="55" t="s">
        <v>213</v>
      </c>
      <c r="E9" s="55" t="s">
        <v>124</v>
      </c>
      <c r="F9" s="55">
        <v>270</v>
      </c>
      <c r="G9" s="55">
        <v>1045730.92854975</v>
      </c>
      <c r="H9" s="55">
        <v>2017</v>
      </c>
      <c r="I9" s="56">
        <f t="shared" si="0"/>
        <v>0.44213213620402081</v>
      </c>
      <c r="J9" s="55" t="s">
        <v>90</v>
      </c>
      <c r="K9" s="55" t="s">
        <v>162</v>
      </c>
      <c r="L9" s="55" t="str">
        <f t="shared" si="1"/>
        <v>Mediana</v>
      </c>
    </row>
    <row r="10" spans="3:12" x14ac:dyDescent="0.3">
      <c r="C10" s="55" t="s">
        <v>218</v>
      </c>
      <c r="D10" s="55" t="s">
        <v>213</v>
      </c>
      <c r="E10" s="55" t="s">
        <v>211</v>
      </c>
      <c r="F10" s="55">
        <v>180</v>
      </c>
      <c r="G10" s="55" t="s">
        <v>214</v>
      </c>
      <c r="H10" s="55">
        <v>2019</v>
      </c>
      <c r="I10" s="55" t="s">
        <v>93</v>
      </c>
      <c r="J10" s="55" t="s">
        <v>90</v>
      </c>
      <c r="K10" s="55" t="s">
        <v>162</v>
      </c>
      <c r="L10" s="55" t="str">
        <f t="shared" si="1"/>
        <v>Mediana</v>
      </c>
    </row>
    <row r="11" spans="3:12" x14ac:dyDescent="0.3">
      <c r="C11" s="60" t="s">
        <v>219</v>
      </c>
      <c r="D11" s="60" t="s">
        <v>210</v>
      </c>
      <c r="E11" s="60" t="s">
        <v>124</v>
      </c>
      <c r="F11" s="60">
        <v>49</v>
      </c>
      <c r="G11" s="61">
        <v>42995.266767000001</v>
      </c>
      <c r="H11" s="62">
        <v>2022</v>
      </c>
      <c r="I11" s="56">
        <f t="shared" si="0"/>
        <v>0.10016603011601902</v>
      </c>
      <c r="J11" s="55" t="s">
        <v>90</v>
      </c>
      <c r="K11" s="55" t="s">
        <v>162</v>
      </c>
      <c r="L11" s="55" t="str">
        <f t="shared" si="1"/>
        <v>Pequeña</v>
      </c>
    </row>
    <row r="12" spans="3:12" x14ac:dyDescent="0.3">
      <c r="C12" s="60" t="s">
        <v>220</v>
      </c>
      <c r="D12" s="60" t="s">
        <v>210</v>
      </c>
      <c r="E12" s="60" t="s">
        <v>124</v>
      </c>
      <c r="F12" s="60">
        <v>205.4</v>
      </c>
      <c r="G12" s="61">
        <f>1100000-G11</f>
        <v>1057004.7332329999</v>
      </c>
      <c r="H12" s="62">
        <v>2025</v>
      </c>
      <c r="I12" s="56">
        <f t="shared" si="0"/>
        <v>0.58745199990274011</v>
      </c>
      <c r="J12" s="55" t="s">
        <v>90</v>
      </c>
      <c r="K12" s="55" t="s">
        <v>162</v>
      </c>
      <c r="L12" s="55" t="str">
        <f t="shared" si="1"/>
        <v>Mediana</v>
      </c>
    </row>
    <row r="13" spans="3:12" x14ac:dyDescent="0.3">
      <c r="C13" s="58" t="s">
        <v>221</v>
      </c>
      <c r="D13" s="55" t="s">
        <v>210</v>
      </c>
      <c r="E13" s="55" t="s">
        <v>211</v>
      </c>
      <c r="F13" s="55">
        <v>7.2</v>
      </c>
      <c r="G13" s="55">
        <v>33800</v>
      </c>
      <c r="H13" s="55">
        <v>2026</v>
      </c>
      <c r="I13" s="56">
        <f t="shared" si="0"/>
        <v>0.53589548452562152</v>
      </c>
      <c r="J13" s="60" t="s">
        <v>90</v>
      </c>
      <c r="K13" s="59"/>
      <c r="L13" s="55" t="str">
        <f t="shared" si="1"/>
        <v>Pequeña</v>
      </c>
    </row>
    <row r="14" spans="3:12" x14ac:dyDescent="0.3">
      <c r="C14" s="55" t="s">
        <v>222</v>
      </c>
      <c r="D14" s="55" t="s">
        <v>223</v>
      </c>
      <c r="E14" s="55" t="s">
        <v>93</v>
      </c>
      <c r="F14" s="55">
        <v>0.95799999999999996</v>
      </c>
      <c r="G14" s="55">
        <v>1678</v>
      </c>
      <c r="H14" s="60">
        <v>2027</v>
      </c>
      <c r="I14" s="56">
        <f t="shared" si="0"/>
        <v>0.19995042945253144</v>
      </c>
      <c r="J14" s="60" t="s">
        <v>90</v>
      </c>
      <c r="K14" s="55" t="s">
        <v>224</v>
      </c>
      <c r="L14" s="55"/>
    </row>
    <row r="15" spans="3:12" x14ac:dyDescent="0.3">
      <c r="C15" s="55" t="s">
        <v>92</v>
      </c>
      <c r="D15" s="55" t="s">
        <v>223</v>
      </c>
      <c r="E15" s="55" t="s">
        <v>93</v>
      </c>
      <c r="F15" s="55">
        <v>14.8</v>
      </c>
      <c r="G15" s="55">
        <v>26822</v>
      </c>
      <c r="H15" s="60">
        <v>2027</v>
      </c>
      <c r="I15" s="56">
        <f t="shared" si="0"/>
        <v>0.20688325311612982</v>
      </c>
      <c r="J15" s="60" t="s">
        <v>90</v>
      </c>
      <c r="K15" s="55" t="s">
        <v>224</v>
      </c>
      <c r="L15" s="55"/>
    </row>
    <row r="16" spans="3:12" x14ac:dyDescent="0.3">
      <c r="C16" s="55" t="s">
        <v>226</v>
      </c>
      <c r="D16" s="55" t="s">
        <v>26</v>
      </c>
      <c r="E16" s="55" t="s">
        <v>93</v>
      </c>
      <c r="F16" s="55">
        <v>200</v>
      </c>
      <c r="G16" s="55">
        <v>200000</v>
      </c>
      <c r="H16" s="55">
        <v>2025</v>
      </c>
      <c r="I16" s="56">
        <f t="shared" si="0"/>
        <v>0.11415525114155251</v>
      </c>
      <c r="J16" s="55" t="s">
        <v>225</v>
      </c>
      <c r="K16" s="55" t="s">
        <v>162</v>
      </c>
      <c r="L16" s="55"/>
    </row>
    <row r="17" spans="3:12" x14ac:dyDescent="0.3">
      <c r="C17" s="55" t="s">
        <v>227</v>
      </c>
      <c r="D17" s="55" t="s">
        <v>169</v>
      </c>
      <c r="E17" s="55" t="s">
        <v>93</v>
      </c>
      <c r="F17" s="55">
        <v>150</v>
      </c>
      <c r="G17" s="55">
        <v>200000</v>
      </c>
      <c r="H17" s="55">
        <v>2026</v>
      </c>
      <c r="I17" s="56">
        <f t="shared" si="0"/>
        <v>0.15220700152207001</v>
      </c>
      <c r="J17" s="55" t="s">
        <v>225</v>
      </c>
      <c r="K17" s="59"/>
      <c r="L17" s="55"/>
    </row>
    <row r="18" spans="3:12" x14ac:dyDescent="0.3">
      <c r="C18" s="55" t="s">
        <v>228</v>
      </c>
      <c r="D18" s="55" t="s">
        <v>26</v>
      </c>
      <c r="E18" s="55" t="s">
        <v>93</v>
      </c>
      <c r="F18" s="57">
        <v>19.73</v>
      </c>
      <c r="G18" s="55">
        <v>25540</v>
      </c>
      <c r="H18" s="55">
        <v>2026</v>
      </c>
      <c r="I18" s="63">
        <f t="shared" si="0"/>
        <v>0.14777116645490374</v>
      </c>
      <c r="J18" s="55" t="s">
        <v>225</v>
      </c>
      <c r="K18" s="55" t="s">
        <v>162</v>
      </c>
      <c r="L18" s="55"/>
    </row>
    <row r="19" spans="3:12" x14ac:dyDescent="0.3">
      <c r="C19" s="55" t="s">
        <v>229</v>
      </c>
      <c r="D19" s="55" t="s">
        <v>169</v>
      </c>
      <c r="E19" s="55" t="s">
        <v>93</v>
      </c>
      <c r="F19" s="55">
        <v>80.5</v>
      </c>
      <c r="G19" s="55">
        <v>315000</v>
      </c>
      <c r="H19" s="55">
        <v>2028</v>
      </c>
      <c r="I19" s="56">
        <f t="shared" si="0"/>
        <v>0.44669446098868376</v>
      </c>
      <c r="J19" s="55" t="s">
        <v>225</v>
      </c>
      <c r="K19" s="55" t="s">
        <v>162</v>
      </c>
      <c r="L19" s="55"/>
    </row>
    <row r="20" spans="3:12" x14ac:dyDescent="0.3">
      <c r="C20" s="55" t="s">
        <v>230</v>
      </c>
      <c r="D20" s="55" t="s">
        <v>26</v>
      </c>
      <c r="E20" s="55" t="s">
        <v>93</v>
      </c>
      <c r="F20" s="55">
        <v>100</v>
      </c>
      <c r="G20" s="55">
        <v>171400</v>
      </c>
      <c r="H20" s="55">
        <v>2028</v>
      </c>
      <c r="I20" s="56">
        <f t="shared" si="0"/>
        <v>0.195662100456621</v>
      </c>
      <c r="J20" s="55" t="s">
        <v>225</v>
      </c>
      <c r="K20" s="55" t="s">
        <v>162</v>
      </c>
      <c r="L20" s="55"/>
    </row>
    <row r="21" spans="3:12" x14ac:dyDescent="0.3">
      <c r="C21" s="55" t="s">
        <v>231</v>
      </c>
      <c r="D21" s="55" t="s">
        <v>26</v>
      </c>
      <c r="E21" s="55" t="s">
        <v>93</v>
      </c>
      <c r="F21" s="55">
        <v>200</v>
      </c>
      <c r="G21" s="55">
        <v>396800</v>
      </c>
      <c r="H21" s="55">
        <v>2028</v>
      </c>
      <c r="I21" s="56">
        <f t="shared" si="0"/>
        <v>0.22648401826484019</v>
      </c>
      <c r="J21" s="55" t="s">
        <v>225</v>
      </c>
      <c r="K21" s="55" t="s">
        <v>162</v>
      </c>
      <c r="L21" s="55"/>
    </row>
    <row r="22" spans="3:12" x14ac:dyDescent="0.3">
      <c r="C22" s="55" t="s">
        <v>232</v>
      </c>
      <c r="D22" s="55" t="s">
        <v>223</v>
      </c>
      <c r="E22" s="55" t="s">
        <v>93</v>
      </c>
      <c r="F22" s="55">
        <v>2.2599999999999998</v>
      </c>
      <c r="G22" s="55">
        <v>5149</v>
      </c>
      <c r="H22" s="60">
        <v>2029</v>
      </c>
      <c r="I22" s="56">
        <f t="shared" si="0"/>
        <v>0.26008203014506809</v>
      </c>
      <c r="J22" s="55" t="s">
        <v>225</v>
      </c>
      <c r="K22" s="55" t="s">
        <v>224</v>
      </c>
      <c r="L22" s="55"/>
    </row>
    <row r="23" spans="3:12" x14ac:dyDescent="0.3">
      <c r="C23" s="55" t="s">
        <v>233</v>
      </c>
      <c r="D23" s="55" t="s">
        <v>223</v>
      </c>
      <c r="E23" s="55" t="s">
        <v>93</v>
      </c>
      <c r="F23" s="55">
        <v>0.22600000000000001</v>
      </c>
      <c r="G23" s="55">
        <v>444</v>
      </c>
      <c r="H23" s="60">
        <v>2029</v>
      </c>
      <c r="I23" s="56">
        <f t="shared" si="0"/>
        <v>0.22426960843738636</v>
      </c>
      <c r="J23" s="55" t="s">
        <v>225</v>
      </c>
      <c r="K23" s="55" t="s">
        <v>224</v>
      </c>
      <c r="L23" s="55"/>
    </row>
    <row r="24" spans="3:12" x14ac:dyDescent="0.3">
      <c r="C24" s="55" t="s">
        <v>234</v>
      </c>
      <c r="D24" s="55" t="s">
        <v>210</v>
      </c>
      <c r="E24" s="55" t="s">
        <v>211</v>
      </c>
      <c r="F24" s="55">
        <v>2400</v>
      </c>
      <c r="G24" s="55">
        <v>3600000</v>
      </c>
      <c r="H24" s="55">
        <v>2030</v>
      </c>
      <c r="I24" s="56">
        <f t="shared" si="0"/>
        <v>0.17123287671232876</v>
      </c>
      <c r="J24" s="55" t="s">
        <v>225</v>
      </c>
      <c r="K24" s="55" t="s">
        <v>162</v>
      </c>
      <c r="L24" s="55" t="str">
        <f t="shared" ref="L24:L25" si="2">IF(OR(D24="Hidroeléctrica Embalse", D24="Hidroeléctrica Pasada"),IF(F24&lt;50,"Pequeña",IF(F24&lt;450,"Mediana","Grande")),"-")</f>
        <v>Grande</v>
      </c>
    </row>
    <row r="25" spans="3:12" x14ac:dyDescent="0.3">
      <c r="C25" s="55" t="s">
        <v>235</v>
      </c>
      <c r="D25" s="55" t="s">
        <v>210</v>
      </c>
      <c r="E25" s="55" t="s">
        <v>211</v>
      </c>
      <c r="F25" s="55">
        <v>595.6</v>
      </c>
      <c r="G25" s="55">
        <v>595650</v>
      </c>
      <c r="H25" s="55">
        <v>2030</v>
      </c>
      <c r="I25" s="56">
        <f t="shared" si="0"/>
        <v>0.11416483435605398</v>
      </c>
      <c r="J25" s="55" t="s">
        <v>225</v>
      </c>
      <c r="K25" s="59"/>
      <c r="L25" s="55" t="str">
        <f t="shared" si="2"/>
        <v>Grande</v>
      </c>
    </row>
    <row r="26" spans="3:12" x14ac:dyDescent="0.3">
      <c r="C26" s="55" t="s">
        <v>236</v>
      </c>
      <c r="D26" s="55" t="s">
        <v>26</v>
      </c>
      <c r="E26" s="55" t="s">
        <v>93</v>
      </c>
      <c r="F26" s="55">
        <v>180</v>
      </c>
      <c r="G26" s="55" t="s">
        <v>214</v>
      </c>
      <c r="H26" s="60">
        <v>2032</v>
      </c>
      <c r="I26" s="63" t="s">
        <v>93</v>
      </c>
      <c r="J26" s="63" t="s">
        <v>225</v>
      </c>
      <c r="K26" s="55"/>
      <c r="L26" s="55"/>
    </row>
    <row r="27" spans="3:12" x14ac:dyDescent="0.3">
      <c r="C27" s="55" t="s">
        <v>237</v>
      </c>
      <c r="D27" s="55" t="s">
        <v>107</v>
      </c>
      <c r="E27" s="55" t="s">
        <v>93</v>
      </c>
      <c r="F27" s="55">
        <v>50</v>
      </c>
      <c r="G27" s="55">
        <v>394000</v>
      </c>
      <c r="H27" s="55">
        <v>2032</v>
      </c>
      <c r="I27" s="56">
        <f t="shared" si="0"/>
        <v>0.8995433789954338</v>
      </c>
      <c r="J27" s="55" t="s">
        <v>225</v>
      </c>
      <c r="K27" s="55" t="s">
        <v>162</v>
      </c>
      <c r="L27" s="55"/>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2D4FC-F807-4BFD-AFED-46C5FD02F947}">
  <sheetPr>
    <tabColor rgb="FF92D050"/>
  </sheetPr>
  <dimension ref="B4:Q33"/>
  <sheetViews>
    <sheetView zoomScale="85" zoomScaleNormal="85" workbookViewId="0">
      <selection activeCell="T32" sqref="T32"/>
    </sheetView>
  </sheetViews>
  <sheetFormatPr baseColWidth="10" defaultColWidth="9.109375" defaultRowHeight="14.4" x14ac:dyDescent="0.3"/>
  <cols>
    <col min="2" max="2" width="35.6640625" customWidth="1"/>
    <col min="3" max="3" width="39.6640625" bestFit="1" customWidth="1"/>
    <col min="4" max="4" width="12.77734375" bestFit="1" customWidth="1"/>
    <col min="5" max="5" width="6.6640625" bestFit="1" customWidth="1"/>
    <col min="6" max="10" width="8.109375" bestFit="1" customWidth="1"/>
    <col min="11" max="17" width="6.6640625" bestFit="1" customWidth="1"/>
    <col min="18" max="18" width="8" bestFit="1" customWidth="1"/>
    <col min="19" max="24" width="9" bestFit="1" customWidth="1"/>
    <col min="25" max="25" width="11" bestFit="1" customWidth="1"/>
  </cols>
  <sheetData>
    <row r="4" spans="2:17" ht="18.600000000000001" thickBot="1" x14ac:dyDescent="0.4">
      <c r="B4" s="33" t="s">
        <v>166</v>
      </c>
    </row>
    <row r="5" spans="2:17" ht="15" thickBot="1" x14ac:dyDescent="0.35">
      <c r="B5" s="5" t="s">
        <v>34</v>
      </c>
      <c r="C5" s="6" t="s">
        <v>23</v>
      </c>
      <c r="D5" s="6">
        <v>2010</v>
      </c>
      <c r="E5" s="6">
        <v>2011</v>
      </c>
      <c r="F5" s="6">
        <v>2012</v>
      </c>
      <c r="G5" s="6">
        <v>2013</v>
      </c>
      <c r="H5" s="6">
        <v>2014</v>
      </c>
      <c r="I5" s="6">
        <v>2015</v>
      </c>
      <c r="J5" s="6">
        <v>2016</v>
      </c>
      <c r="K5" s="6">
        <v>2017</v>
      </c>
      <c r="L5" s="6">
        <v>2018</v>
      </c>
      <c r="M5" s="6">
        <v>2019</v>
      </c>
      <c r="N5" s="6">
        <v>2020</v>
      </c>
      <c r="O5" s="6">
        <v>2021</v>
      </c>
      <c r="P5" s="6">
        <v>2022</v>
      </c>
      <c r="Q5" s="7">
        <v>2023</v>
      </c>
    </row>
    <row r="6" spans="2:17" x14ac:dyDescent="0.3">
      <c r="B6" s="21" t="s">
        <v>160</v>
      </c>
      <c r="C6" s="22" t="s">
        <v>32</v>
      </c>
      <c r="D6" s="41">
        <v>0.22067400000000001</v>
      </c>
      <c r="E6" s="41">
        <v>0.22411400000000001</v>
      </c>
      <c r="F6" s="41">
        <v>0.21746800000000002</v>
      </c>
      <c r="G6" s="41">
        <v>0.22102000000000002</v>
      </c>
      <c r="H6" s="41">
        <v>0.23670499999999997</v>
      </c>
      <c r="I6" s="41">
        <v>0.23858299999999996</v>
      </c>
      <c r="J6" s="41">
        <v>0.26614100000000002</v>
      </c>
      <c r="K6" s="41">
        <v>0.24476400000000001</v>
      </c>
      <c r="L6" s="41">
        <v>0.247891</v>
      </c>
      <c r="M6" s="41">
        <v>0.247891</v>
      </c>
      <c r="N6" s="41">
        <v>0.24784100000000003</v>
      </c>
      <c r="O6" s="41">
        <v>0.24244099999999999</v>
      </c>
      <c r="P6" s="41">
        <v>0.24244099999999999</v>
      </c>
      <c r="Q6" s="42">
        <v>0.24244099999999999</v>
      </c>
    </row>
    <row r="7" spans="2:17" x14ac:dyDescent="0.3">
      <c r="B7" s="23" t="s">
        <v>160</v>
      </c>
      <c r="C7" s="24" t="s">
        <v>5</v>
      </c>
      <c r="D7" s="43">
        <v>0.30716300000000007</v>
      </c>
      <c r="E7" s="43">
        <v>0.32324399999999998</v>
      </c>
      <c r="F7" s="43">
        <v>0.34894300000000011</v>
      </c>
      <c r="G7" s="43">
        <v>0.39816300000000004</v>
      </c>
      <c r="H7" s="43">
        <v>0.42145800000000011</v>
      </c>
      <c r="I7" s="43">
        <v>0.51195700000000022</v>
      </c>
      <c r="J7" s="43">
        <v>0.61237600000000036</v>
      </c>
      <c r="K7" s="43">
        <v>0.7151095999999999</v>
      </c>
      <c r="L7" s="43">
        <v>0.77127102099999989</v>
      </c>
      <c r="M7" s="43">
        <v>0.79695802099999979</v>
      </c>
      <c r="N7" s="43">
        <v>0.79886302099999984</v>
      </c>
      <c r="O7" s="43">
        <v>0.81540602100000004</v>
      </c>
      <c r="P7" s="43">
        <v>0.8239870210000001</v>
      </c>
      <c r="Q7" s="44">
        <v>0.83905902100000007</v>
      </c>
    </row>
    <row r="8" spans="2:17" x14ac:dyDescent="0.3">
      <c r="B8" s="23" t="s">
        <v>160</v>
      </c>
      <c r="C8" s="24" t="s">
        <v>155</v>
      </c>
      <c r="D8" s="43">
        <v>7.4364E-2</v>
      </c>
      <c r="E8" s="43">
        <v>7.1458999999999995E-2</v>
      </c>
      <c r="F8" s="43">
        <v>7.9368999999999995E-2</v>
      </c>
      <c r="G8" s="43">
        <v>8.1870999999999999E-2</v>
      </c>
      <c r="H8" s="43">
        <v>8.2664999999999988E-2</v>
      </c>
      <c r="I8" s="43">
        <v>8.942399999999999E-2</v>
      </c>
      <c r="J8" s="43">
        <v>8.3158999999999997E-2</v>
      </c>
      <c r="K8" s="43">
        <v>8.3474999999999994E-2</v>
      </c>
      <c r="L8" s="43">
        <v>8.7675000000000003E-2</v>
      </c>
      <c r="M8" s="43">
        <v>9.292499999999998E-2</v>
      </c>
      <c r="N8" s="43">
        <v>9.4473000000000001E-2</v>
      </c>
      <c r="O8" s="43">
        <v>0.11967300000000002</v>
      </c>
      <c r="P8" s="43">
        <v>0.12360500000000002</v>
      </c>
      <c r="Q8" s="44">
        <v>0.12435500000000002</v>
      </c>
    </row>
    <row r="9" spans="2:17" x14ac:dyDescent="0.3">
      <c r="B9" s="23" t="s">
        <v>160</v>
      </c>
      <c r="C9" s="24" t="s">
        <v>159</v>
      </c>
      <c r="D9" s="43">
        <v>8.2718000000000028E-2</v>
      </c>
      <c r="E9" s="43">
        <v>7.6718000000000036E-2</v>
      </c>
      <c r="F9" s="43">
        <v>7.9808000000000018E-2</v>
      </c>
      <c r="G9" s="43">
        <v>7.9808000000000018E-2</v>
      </c>
      <c r="H9" s="43">
        <v>7.864800000000001E-2</v>
      </c>
      <c r="I9" s="43">
        <v>0.13163800000000001</v>
      </c>
      <c r="J9" s="43">
        <v>0.13078800000000002</v>
      </c>
      <c r="K9" s="43">
        <v>0.18052799999999999</v>
      </c>
      <c r="L9" s="43">
        <v>0.23144300000000001</v>
      </c>
      <c r="M9" s="43">
        <v>0.23144300000000001</v>
      </c>
      <c r="N9" s="43">
        <v>0.24088700000000002</v>
      </c>
      <c r="O9" s="43">
        <v>0.24088700000000002</v>
      </c>
      <c r="P9" s="43">
        <v>0.24088700000000002</v>
      </c>
      <c r="Q9" s="44">
        <v>0.24088700000000002</v>
      </c>
    </row>
    <row r="10" spans="2:17" x14ac:dyDescent="0.3">
      <c r="B10" s="29" t="s">
        <v>161</v>
      </c>
      <c r="C10" s="30" t="s">
        <v>5</v>
      </c>
      <c r="D10" s="43">
        <v>0.28508439999999996</v>
      </c>
      <c r="E10" s="43">
        <v>0.29117300000000002</v>
      </c>
      <c r="F10" s="43">
        <v>0.26061359999999995</v>
      </c>
      <c r="G10" s="43">
        <v>0.26246359999999996</v>
      </c>
      <c r="H10" s="43">
        <v>0.24930360000000001</v>
      </c>
      <c r="I10" s="43">
        <v>0.24940359999999998</v>
      </c>
      <c r="J10" s="43">
        <v>0.23304559999999999</v>
      </c>
      <c r="K10" s="43">
        <v>0.23304559999999999</v>
      </c>
      <c r="L10" s="43">
        <v>0.23304559999999999</v>
      </c>
      <c r="M10" s="43">
        <v>0.23280559999999997</v>
      </c>
      <c r="N10" s="43">
        <v>0.23280559999999997</v>
      </c>
      <c r="O10" s="43">
        <v>0.23280559999999997</v>
      </c>
      <c r="P10" s="43">
        <v>0.23280559999999997</v>
      </c>
      <c r="Q10" s="44">
        <v>0.23280559999999997</v>
      </c>
    </row>
    <row r="11" spans="2:17" x14ac:dyDescent="0.3">
      <c r="B11" s="29" t="s">
        <v>161</v>
      </c>
      <c r="C11" s="30" t="s">
        <v>122</v>
      </c>
      <c r="D11" s="43">
        <v>0</v>
      </c>
      <c r="E11" s="43">
        <v>0</v>
      </c>
      <c r="F11" s="43">
        <v>0</v>
      </c>
      <c r="G11" s="43">
        <v>0</v>
      </c>
      <c r="H11" s="43">
        <v>2.2499999999999998E-3</v>
      </c>
      <c r="I11" s="43">
        <v>2.2499999999999998E-3</v>
      </c>
      <c r="J11" s="43">
        <v>4.6500000000000005E-3</v>
      </c>
      <c r="K11" s="43">
        <v>4.6500000000000005E-3</v>
      </c>
      <c r="L11" s="43">
        <v>4.6500000000000005E-3</v>
      </c>
      <c r="M11" s="43">
        <v>4.6500000000000005E-3</v>
      </c>
      <c r="N11" s="43">
        <v>4.6500000000000005E-3</v>
      </c>
      <c r="O11" s="43">
        <v>4.6500000000000005E-3</v>
      </c>
      <c r="P11" s="43">
        <v>4.6500000000000005E-3</v>
      </c>
      <c r="Q11" s="44">
        <v>4.6500000000000005E-3</v>
      </c>
    </row>
    <row r="12" spans="2:17" x14ac:dyDescent="0.3">
      <c r="B12" s="29" t="s">
        <v>161</v>
      </c>
      <c r="C12" s="30" t="s">
        <v>4</v>
      </c>
      <c r="D12" s="43">
        <v>6.8819999999999992E-2</v>
      </c>
      <c r="E12" s="43">
        <v>6.8819999999999992E-2</v>
      </c>
      <c r="F12" s="43">
        <v>6.8819999999999992E-2</v>
      </c>
      <c r="G12" s="43">
        <v>6.8819999999999992E-2</v>
      </c>
      <c r="H12" s="43">
        <v>6.8819999999999992E-2</v>
      </c>
      <c r="I12" s="43">
        <v>6.8819999999999992E-2</v>
      </c>
      <c r="J12" s="43">
        <v>6.8819999999999992E-2</v>
      </c>
      <c r="K12" s="43">
        <v>6.8819999999999992E-2</v>
      </c>
      <c r="L12" s="43">
        <v>6.8819999999999992E-2</v>
      </c>
      <c r="M12" s="43">
        <v>6.8819999999999992E-2</v>
      </c>
      <c r="N12" s="43">
        <v>6.8819999999999992E-2</v>
      </c>
      <c r="O12" s="43">
        <v>6.8819999999999992E-2</v>
      </c>
      <c r="P12" s="43">
        <v>6.8819999999999992E-2</v>
      </c>
      <c r="Q12" s="44">
        <v>6.8819999999999992E-2</v>
      </c>
    </row>
    <row r="13" spans="2:17" x14ac:dyDescent="0.3">
      <c r="B13" s="29" t="s">
        <v>161</v>
      </c>
      <c r="C13" s="30" t="s">
        <v>159</v>
      </c>
      <c r="D13" s="43">
        <v>0.14324400000000001</v>
      </c>
      <c r="E13" s="43">
        <v>0.14324400000000001</v>
      </c>
      <c r="F13" s="43">
        <v>0.14353200000000002</v>
      </c>
      <c r="G13" s="43">
        <v>0.14353298</v>
      </c>
      <c r="H13" s="43">
        <v>0.14204900000000001</v>
      </c>
      <c r="I13" s="43">
        <v>0.14204900000000001</v>
      </c>
      <c r="J13" s="43">
        <v>0.14204900000000001</v>
      </c>
      <c r="K13" s="43">
        <v>0.14215900000000001</v>
      </c>
      <c r="L13" s="43">
        <v>0.14215900000000001</v>
      </c>
      <c r="M13" s="43">
        <v>0.14215900000000001</v>
      </c>
      <c r="N13" s="43">
        <v>0.14216100000000004</v>
      </c>
      <c r="O13" s="43">
        <v>0.14216100000000004</v>
      </c>
      <c r="P13" s="43">
        <v>0.14216100000000004</v>
      </c>
      <c r="Q13" s="44">
        <v>0.14216100000000004</v>
      </c>
    </row>
    <row r="14" spans="2:17" x14ac:dyDescent="0.3">
      <c r="B14" s="29" t="s">
        <v>161</v>
      </c>
      <c r="C14" s="30" t="s">
        <v>26</v>
      </c>
      <c r="D14" s="43">
        <v>1.7999999999999997E-5</v>
      </c>
      <c r="E14" s="43">
        <v>4.1499999999999999E-5</v>
      </c>
      <c r="F14" s="43">
        <v>7.8000000000000012E-5</v>
      </c>
      <c r="G14" s="43">
        <v>4.0559999999999999E-4</v>
      </c>
      <c r="H14" s="43">
        <v>1.9471800000000002E-3</v>
      </c>
      <c r="I14" s="43">
        <v>1.9471800000000002E-3</v>
      </c>
      <c r="J14" s="43">
        <v>2.0164599999999999E-3</v>
      </c>
      <c r="K14" s="43">
        <v>2.0164599999999999E-3</v>
      </c>
      <c r="L14" s="43">
        <v>3.1690199999999998E-3</v>
      </c>
      <c r="M14" s="43">
        <v>3.1690199999999998E-3</v>
      </c>
      <c r="N14" s="43">
        <v>3.1690199999999998E-3</v>
      </c>
      <c r="O14" s="43">
        <v>3.1923599999999996E-3</v>
      </c>
      <c r="P14" s="43">
        <v>4.1923600000000009E-3</v>
      </c>
      <c r="Q14" s="44">
        <v>4.2976265E-2</v>
      </c>
    </row>
    <row r="15" spans="2:17" x14ac:dyDescent="0.3">
      <c r="B15" s="23" t="s">
        <v>162</v>
      </c>
      <c r="C15" s="24" t="s">
        <v>5</v>
      </c>
      <c r="D15" s="43">
        <v>0.74600500000000014</v>
      </c>
      <c r="E15" s="43">
        <v>0.71100500000000011</v>
      </c>
      <c r="F15" s="43">
        <v>0.59078000000000008</v>
      </c>
      <c r="G15" s="43">
        <v>0.55515272999999998</v>
      </c>
      <c r="H15" s="43">
        <v>0.55211500000000002</v>
      </c>
      <c r="I15" s="43">
        <v>0.55711500000000003</v>
      </c>
      <c r="J15" s="43">
        <v>0.613923</v>
      </c>
      <c r="K15" s="43">
        <v>0.433923</v>
      </c>
      <c r="L15" s="43">
        <v>0.43589699999999998</v>
      </c>
      <c r="M15" s="43">
        <v>0.46591199999999999</v>
      </c>
      <c r="N15" s="43">
        <v>0.46744999999999998</v>
      </c>
      <c r="O15" s="43">
        <v>0.43264999999999998</v>
      </c>
      <c r="P15" s="43">
        <v>0.43264999999999998</v>
      </c>
      <c r="Q15" s="44">
        <v>0.43264999999999998</v>
      </c>
    </row>
    <row r="16" spans="2:17" x14ac:dyDescent="0.3">
      <c r="B16" s="23" t="s">
        <v>162</v>
      </c>
      <c r="C16" s="24" t="s">
        <v>122</v>
      </c>
      <c r="D16" s="43">
        <v>2.3999999999999998E-3</v>
      </c>
      <c r="E16" s="43">
        <v>2.3999999999999998E-3</v>
      </c>
      <c r="F16" s="43">
        <v>2.3999999999999998E-3</v>
      </c>
      <c r="G16" s="43">
        <v>1.89E-2</v>
      </c>
      <c r="H16" s="43">
        <v>1.89E-2</v>
      </c>
      <c r="I16" s="43">
        <v>1.89E-2</v>
      </c>
      <c r="J16" s="43">
        <v>1.6500000000000001E-2</v>
      </c>
      <c r="K16" s="43">
        <v>1.6500000000000001E-2</v>
      </c>
      <c r="L16" s="43">
        <v>1.6500000000000001E-2</v>
      </c>
      <c r="M16" s="43">
        <v>1.6500000000000001E-2</v>
      </c>
      <c r="N16" s="43">
        <v>1.6500000000000001E-2</v>
      </c>
      <c r="O16" s="43">
        <v>1.6500000000000001E-2</v>
      </c>
      <c r="P16" s="43">
        <v>4.8500000000000001E-2</v>
      </c>
      <c r="Q16" s="44">
        <v>6.6479999999999984E-2</v>
      </c>
    </row>
    <row r="17" spans="2:17" x14ac:dyDescent="0.3">
      <c r="B17" s="23" t="s">
        <v>162</v>
      </c>
      <c r="C17" s="24" t="s">
        <v>4</v>
      </c>
      <c r="D17" s="43">
        <v>0.56799999999999995</v>
      </c>
      <c r="E17" s="43">
        <v>0.78491600000000006</v>
      </c>
      <c r="F17" s="43">
        <v>1.0164000000000002</v>
      </c>
      <c r="G17" s="43">
        <v>1.0164000000000002</v>
      </c>
      <c r="H17" s="43">
        <v>1.1214000000000002</v>
      </c>
      <c r="I17" s="43">
        <v>1.1214000000000002</v>
      </c>
      <c r="J17" s="43">
        <v>1.1146</v>
      </c>
      <c r="K17" s="43">
        <v>0.96460000000000012</v>
      </c>
      <c r="L17" s="43">
        <v>0.96460000000000012</v>
      </c>
      <c r="M17" s="43">
        <v>0.91700000000000015</v>
      </c>
      <c r="N17" s="43">
        <v>0.91700000000000015</v>
      </c>
      <c r="O17" s="43">
        <v>0.92622000000000015</v>
      </c>
      <c r="P17" s="43">
        <v>0.92622000000000015</v>
      </c>
      <c r="Q17" s="44">
        <v>0.92622000000000015</v>
      </c>
    </row>
    <row r="18" spans="2:17" x14ac:dyDescent="0.3">
      <c r="B18" s="23" t="s">
        <v>162</v>
      </c>
      <c r="C18" s="24" t="s">
        <v>155</v>
      </c>
      <c r="D18" s="43">
        <v>0.14000000000000001</v>
      </c>
      <c r="E18" s="43">
        <v>0.14000000000000001</v>
      </c>
      <c r="F18" s="43">
        <v>0.27679999999999999</v>
      </c>
      <c r="G18" s="43">
        <v>0.27679999999999999</v>
      </c>
      <c r="H18" s="43">
        <v>0.27679999999999999</v>
      </c>
      <c r="I18" s="43">
        <v>0.284105</v>
      </c>
      <c r="J18" s="43">
        <v>0.28496000000000005</v>
      </c>
      <c r="K18" s="43">
        <v>0.27535999999999999</v>
      </c>
      <c r="L18" s="43">
        <v>0.27535999999999999</v>
      </c>
      <c r="M18" s="43">
        <v>0.27535999999999999</v>
      </c>
      <c r="N18" s="43">
        <v>0.27535999999999999</v>
      </c>
      <c r="O18" s="43">
        <v>0.27535999999999999</v>
      </c>
      <c r="P18" s="43">
        <v>0.27535999999999999</v>
      </c>
      <c r="Q18" s="44">
        <v>0.27535999999999999</v>
      </c>
    </row>
    <row r="19" spans="2:17" x14ac:dyDescent="0.3">
      <c r="B19" s="23" t="s">
        <v>162</v>
      </c>
      <c r="C19" s="24" t="s">
        <v>139</v>
      </c>
      <c r="D19" s="43">
        <v>0</v>
      </c>
      <c r="E19" s="43">
        <v>0</v>
      </c>
      <c r="F19" s="43">
        <v>0</v>
      </c>
      <c r="G19" s="43">
        <v>0</v>
      </c>
      <c r="H19" s="43">
        <v>0</v>
      </c>
      <c r="I19" s="43">
        <v>0</v>
      </c>
      <c r="J19" s="43">
        <v>0</v>
      </c>
      <c r="K19" s="43">
        <v>0</v>
      </c>
      <c r="L19" s="43">
        <v>0</v>
      </c>
      <c r="M19" s="43">
        <v>0</v>
      </c>
      <c r="N19" s="43">
        <v>0</v>
      </c>
      <c r="O19" s="43">
        <v>0</v>
      </c>
      <c r="P19" s="43">
        <v>0</v>
      </c>
      <c r="Q19" s="44">
        <v>0</v>
      </c>
    </row>
    <row r="20" spans="2:17" x14ac:dyDescent="0.3">
      <c r="B20" s="23" t="s">
        <v>162</v>
      </c>
      <c r="C20" s="24" t="s">
        <v>26</v>
      </c>
      <c r="D20" s="43">
        <v>0</v>
      </c>
      <c r="E20" s="43">
        <v>0</v>
      </c>
      <c r="F20" s="43">
        <v>0</v>
      </c>
      <c r="G20" s="43">
        <v>3.4976200000000003E-3</v>
      </c>
      <c r="H20" s="43">
        <v>2.4460820000000001E-2</v>
      </c>
      <c r="I20" s="43">
        <v>2.3590740000000002E-2</v>
      </c>
      <c r="J20" s="43">
        <v>2.4460820000000001E-2</v>
      </c>
      <c r="K20" s="43">
        <v>2.4460820000000001E-2</v>
      </c>
      <c r="L20" s="43">
        <v>2.4460820000000001E-2</v>
      </c>
      <c r="M20" s="43">
        <v>2.4460820000000001E-2</v>
      </c>
      <c r="N20" s="43">
        <v>2.4460820000000001E-2</v>
      </c>
      <c r="O20" s="43">
        <v>2.4460820000000001E-2</v>
      </c>
      <c r="P20" s="43">
        <v>2.4460820000000001E-2</v>
      </c>
      <c r="Q20" s="44">
        <v>2.4460820000000001E-2</v>
      </c>
    </row>
    <row r="21" spans="2:17" x14ac:dyDescent="0.3">
      <c r="B21" s="23" t="s">
        <v>162</v>
      </c>
      <c r="C21" s="24" t="s">
        <v>25</v>
      </c>
      <c r="D21" s="43">
        <v>0</v>
      </c>
      <c r="E21" s="43">
        <v>0</v>
      </c>
      <c r="F21" s="43">
        <v>0</v>
      </c>
      <c r="G21" s="43">
        <v>0</v>
      </c>
      <c r="H21" s="43">
        <v>0</v>
      </c>
      <c r="I21" s="43">
        <v>0</v>
      </c>
      <c r="J21" s="43">
        <v>0</v>
      </c>
      <c r="K21" s="43">
        <v>0</v>
      </c>
      <c r="L21" s="43">
        <v>0</v>
      </c>
      <c r="M21" s="43">
        <v>0</v>
      </c>
      <c r="N21" s="43">
        <v>0</v>
      </c>
      <c r="O21" s="43">
        <v>0</v>
      </c>
      <c r="P21" s="43">
        <v>0</v>
      </c>
      <c r="Q21" s="44">
        <v>0</v>
      </c>
    </row>
    <row r="22" spans="2:17" x14ac:dyDescent="0.3">
      <c r="B22" s="23" t="s">
        <v>162</v>
      </c>
      <c r="C22" s="24" t="s">
        <v>150</v>
      </c>
      <c r="D22" s="43">
        <v>1.075</v>
      </c>
      <c r="E22" s="43">
        <v>1.075</v>
      </c>
      <c r="F22" s="43">
        <v>1.075</v>
      </c>
      <c r="G22" s="43">
        <v>1.075</v>
      </c>
      <c r="H22" s="43">
        <v>1.075</v>
      </c>
      <c r="I22" s="43">
        <v>1.075</v>
      </c>
      <c r="J22" s="43">
        <v>1.075</v>
      </c>
      <c r="K22" s="43">
        <v>1.075</v>
      </c>
      <c r="L22" s="43">
        <v>1.075</v>
      </c>
      <c r="M22" s="43">
        <v>1.075</v>
      </c>
      <c r="N22" s="43">
        <v>1.075</v>
      </c>
      <c r="O22" s="43">
        <v>1.075</v>
      </c>
      <c r="P22" s="43">
        <v>1.075</v>
      </c>
      <c r="Q22" s="44">
        <v>1.075</v>
      </c>
    </row>
    <row r="23" spans="2:17" x14ac:dyDescent="0.3">
      <c r="B23" s="23" t="s">
        <v>162</v>
      </c>
      <c r="C23" s="24" t="s">
        <v>140</v>
      </c>
      <c r="D23" s="43">
        <v>0.34370000000000001</v>
      </c>
      <c r="E23" s="43">
        <v>0.34370000000000001</v>
      </c>
      <c r="F23" s="43">
        <v>0.34370000000000001</v>
      </c>
      <c r="G23" s="43">
        <v>0.34370000000000001</v>
      </c>
      <c r="H23" s="43">
        <v>0.33</v>
      </c>
      <c r="I23" s="43">
        <v>0.33</v>
      </c>
      <c r="J23" s="43">
        <v>0.33</v>
      </c>
      <c r="K23" s="43">
        <v>0.33</v>
      </c>
      <c r="L23" s="43">
        <v>0.33</v>
      </c>
      <c r="M23" s="43">
        <v>0.33</v>
      </c>
      <c r="N23" s="43">
        <v>0.33</v>
      </c>
      <c r="O23" s="43">
        <v>0.33</v>
      </c>
      <c r="P23" s="43">
        <v>0.33</v>
      </c>
      <c r="Q23" s="44">
        <v>0.33</v>
      </c>
    </row>
    <row r="24" spans="2:17" x14ac:dyDescent="0.3">
      <c r="B24" s="23" t="s">
        <v>162</v>
      </c>
      <c r="C24" s="24" t="s">
        <v>141</v>
      </c>
      <c r="D24" s="43">
        <v>5.0000000000000001E-4</v>
      </c>
      <c r="E24" s="43">
        <v>5.0000000000000001E-4</v>
      </c>
      <c r="F24" s="43">
        <v>5.0000000000000001E-4</v>
      </c>
      <c r="G24" s="43">
        <v>5.0000000000000001E-4</v>
      </c>
      <c r="H24" s="43">
        <v>5.0000000000000001E-4</v>
      </c>
      <c r="I24" s="43">
        <v>5.0000000000000001E-4</v>
      </c>
      <c r="J24" s="43">
        <v>5.0000000000000001E-4</v>
      </c>
      <c r="K24" s="43">
        <v>5.0000000000000001E-4</v>
      </c>
      <c r="L24" s="43">
        <v>5.0000000000000001E-4</v>
      </c>
      <c r="M24" s="43">
        <v>5.0000000000000001E-4</v>
      </c>
      <c r="N24" s="43">
        <v>5.0000000000000001E-4</v>
      </c>
      <c r="O24" s="43">
        <v>5.0000000000000001E-4</v>
      </c>
      <c r="P24" s="43">
        <v>5.0000000000000001E-4</v>
      </c>
      <c r="Q24" s="44">
        <v>5.0000000000000001E-4</v>
      </c>
    </row>
    <row r="25" spans="2:17" x14ac:dyDescent="0.3">
      <c r="B25" s="23" t="s">
        <v>162</v>
      </c>
      <c r="C25" s="24" t="s">
        <v>142</v>
      </c>
      <c r="D25" s="43">
        <v>0.28599999999999998</v>
      </c>
      <c r="E25" s="43">
        <v>0.28599999999999998</v>
      </c>
      <c r="F25" s="43">
        <v>0.28599999999999998</v>
      </c>
      <c r="G25" s="43">
        <v>0.28599999999999998</v>
      </c>
      <c r="H25" s="43">
        <v>0.28599999999999998</v>
      </c>
      <c r="I25" s="43">
        <v>0.28599999999999998</v>
      </c>
      <c r="J25" s="43">
        <v>0.28599999999999998</v>
      </c>
      <c r="K25" s="43">
        <v>0.28599999999999998</v>
      </c>
      <c r="L25" s="43">
        <v>0.28599999999999998</v>
      </c>
      <c r="M25" s="43">
        <v>0.28599999999999998</v>
      </c>
      <c r="N25" s="43">
        <v>0.28599999999999998</v>
      </c>
      <c r="O25" s="43">
        <v>0.28599999999999998</v>
      </c>
      <c r="P25" s="43">
        <v>0.28599999999999998</v>
      </c>
      <c r="Q25" s="44">
        <v>0.28599999999999998</v>
      </c>
    </row>
    <row r="26" spans="2:17" x14ac:dyDescent="0.3">
      <c r="B26" s="23" t="s">
        <v>162</v>
      </c>
      <c r="C26" s="24" t="s">
        <v>143</v>
      </c>
      <c r="D26" s="43">
        <v>4.2200000000000001E-2</v>
      </c>
      <c r="E26" s="43">
        <v>4.2200000000000001E-2</v>
      </c>
      <c r="F26" s="43">
        <v>4.2200000000000001E-2</v>
      </c>
      <c r="G26" s="43">
        <v>4.2200000000000001E-2</v>
      </c>
      <c r="H26" s="43">
        <v>4.2200000000000001E-2</v>
      </c>
      <c r="I26" s="43">
        <v>4.2200000000000001E-2</v>
      </c>
      <c r="J26" s="43">
        <v>4.2200000000000001E-2</v>
      </c>
      <c r="K26" s="43">
        <v>4.2200000000000001E-2</v>
      </c>
      <c r="L26" s="43">
        <v>4.2200000000000001E-2</v>
      </c>
      <c r="M26" s="43">
        <v>4.2200000000000001E-2</v>
      </c>
      <c r="N26" s="43">
        <v>4.2200000000000001E-2</v>
      </c>
      <c r="O26" s="43">
        <v>4.2200000000000001E-2</v>
      </c>
      <c r="P26" s="43">
        <v>5.8500000000000003E-2</v>
      </c>
      <c r="Q26" s="44">
        <v>7.4800000000000005E-2</v>
      </c>
    </row>
    <row r="27" spans="2:17" x14ac:dyDescent="0.3">
      <c r="B27" s="23" t="s">
        <v>162</v>
      </c>
      <c r="C27" s="24" t="s">
        <v>144</v>
      </c>
      <c r="D27" s="43">
        <v>0</v>
      </c>
      <c r="E27" s="43">
        <v>0</v>
      </c>
      <c r="F27" s="43">
        <v>0</v>
      </c>
      <c r="G27" s="43">
        <v>0</v>
      </c>
      <c r="H27" s="43">
        <v>0</v>
      </c>
      <c r="I27" s="43">
        <v>0.5</v>
      </c>
      <c r="J27" s="43">
        <v>1.9473</v>
      </c>
      <c r="K27" s="43">
        <v>2.6095999999999999</v>
      </c>
      <c r="L27" s="43">
        <v>2.7719</v>
      </c>
      <c r="M27" s="43">
        <v>2.7719</v>
      </c>
      <c r="N27" s="43">
        <v>2.7719</v>
      </c>
      <c r="O27" s="43">
        <v>2.7719</v>
      </c>
      <c r="P27" s="43">
        <v>2.7719</v>
      </c>
      <c r="Q27" s="44">
        <v>2.7719</v>
      </c>
    </row>
    <row r="28" spans="2:17" x14ac:dyDescent="0.3">
      <c r="B28" s="23" t="s">
        <v>162</v>
      </c>
      <c r="C28" s="24" t="s">
        <v>145</v>
      </c>
      <c r="D28" s="43">
        <v>0</v>
      </c>
      <c r="E28" s="43">
        <v>0</v>
      </c>
      <c r="F28" s="43">
        <v>0</v>
      </c>
      <c r="G28" s="43">
        <v>0</v>
      </c>
      <c r="H28" s="43">
        <v>0</v>
      </c>
      <c r="I28" s="43">
        <v>0</v>
      </c>
      <c r="J28" s="43">
        <v>0</v>
      </c>
      <c r="K28" s="43">
        <v>0</v>
      </c>
      <c r="L28" s="43">
        <v>0.44085000000000002</v>
      </c>
      <c r="M28" s="43">
        <v>0.50085000000000002</v>
      </c>
      <c r="N28" s="43">
        <v>0.56084999999999996</v>
      </c>
      <c r="O28" s="43">
        <v>0.56084999999999996</v>
      </c>
      <c r="P28" s="43">
        <v>0.56084999999999996</v>
      </c>
      <c r="Q28" s="44">
        <v>0.56084999999999996</v>
      </c>
    </row>
    <row r="29" spans="2:17" x14ac:dyDescent="0.3">
      <c r="B29" s="23" t="s">
        <v>162</v>
      </c>
      <c r="C29" s="24" t="s">
        <v>146</v>
      </c>
      <c r="D29" s="43">
        <v>2.4E-2</v>
      </c>
      <c r="E29" s="43">
        <v>2.4E-2</v>
      </c>
      <c r="F29" s="43">
        <v>2.4E-2</v>
      </c>
      <c r="G29" s="43">
        <v>2.4E-2</v>
      </c>
      <c r="H29" s="43">
        <v>2.4E-2</v>
      </c>
      <c r="I29" s="43">
        <v>2.4969999999999999E-2</v>
      </c>
      <c r="J29" s="43">
        <v>2.4969999999999999E-2</v>
      </c>
      <c r="K29" s="43">
        <v>2.4969999999999999E-2</v>
      </c>
      <c r="L29" s="43">
        <v>6.3210000000000002E-2</v>
      </c>
      <c r="M29" s="43">
        <v>6.3210000000000002E-2</v>
      </c>
      <c r="N29" s="43">
        <v>6.3210000000000002E-2</v>
      </c>
      <c r="O29" s="43">
        <v>6.3210000000000002E-2</v>
      </c>
      <c r="P29" s="43">
        <v>6.3210000000000002E-2</v>
      </c>
      <c r="Q29" s="44">
        <v>6.3210000000000002E-2</v>
      </c>
    </row>
    <row r="30" spans="2:17" x14ac:dyDescent="0.3">
      <c r="B30" s="23" t="s">
        <v>162</v>
      </c>
      <c r="C30" s="24" t="s">
        <v>147</v>
      </c>
      <c r="D30" s="43">
        <v>0.23002</v>
      </c>
      <c r="E30" s="43">
        <v>0.23002</v>
      </c>
      <c r="F30" s="43">
        <v>0.23002</v>
      </c>
      <c r="G30" s="43">
        <v>0.23002</v>
      </c>
      <c r="H30" s="43">
        <v>0.23002</v>
      </c>
      <c r="I30" s="43">
        <v>0.29333999999999999</v>
      </c>
      <c r="J30" s="43">
        <v>0.31503999999999999</v>
      </c>
      <c r="K30" s="43">
        <v>0.42674000000000001</v>
      </c>
      <c r="L30" s="43">
        <v>0.51673999999999998</v>
      </c>
      <c r="M30" s="43">
        <v>0.60673999999999995</v>
      </c>
      <c r="N30" s="43">
        <v>0.60673999999999995</v>
      </c>
      <c r="O30" s="43">
        <v>0.60673999999999995</v>
      </c>
      <c r="P30" s="43">
        <v>0.60673999999999995</v>
      </c>
      <c r="Q30" s="44">
        <v>0.60673999999999995</v>
      </c>
    </row>
    <row r="31" spans="2:17" ht="15" thickBot="1" x14ac:dyDescent="0.35">
      <c r="B31" s="25" t="s">
        <v>162</v>
      </c>
      <c r="C31" s="26" t="s">
        <v>148</v>
      </c>
      <c r="D31" s="45">
        <v>5.4800000000000001E-2</v>
      </c>
      <c r="E31" s="45">
        <v>5.4800000000000001E-2</v>
      </c>
      <c r="F31" s="45">
        <v>8.0259999999999998E-2</v>
      </c>
      <c r="G31" s="45">
        <v>8.054E-2</v>
      </c>
      <c r="H31" s="45">
        <v>8.2390000000000005E-2</v>
      </c>
      <c r="I31" s="45">
        <v>8.2400000000000001E-2</v>
      </c>
      <c r="J31" s="45">
        <v>0.12445000000000002</v>
      </c>
      <c r="K31" s="45">
        <v>0.14674000000000001</v>
      </c>
      <c r="L31" s="45">
        <v>0.14757999999999999</v>
      </c>
      <c r="M31" s="45">
        <v>0.14757999999999999</v>
      </c>
      <c r="N31" s="45">
        <v>0.14968000000000001</v>
      </c>
      <c r="O31" s="45">
        <v>0.14968000000000001</v>
      </c>
      <c r="P31" s="45">
        <v>0.14968000000000001</v>
      </c>
      <c r="Q31" s="46">
        <v>0.14968000000000001</v>
      </c>
    </row>
    <row r="33" spans="4:17" x14ac:dyDescent="0.3">
      <c r="D33" s="47"/>
      <c r="E33" s="47"/>
      <c r="F33" s="47"/>
      <c r="G33" s="47"/>
      <c r="H33" s="47"/>
      <c r="I33" s="47"/>
      <c r="J33" s="47"/>
      <c r="K33" s="47"/>
      <c r="L33" s="47"/>
      <c r="M33" s="47"/>
      <c r="N33" s="47"/>
      <c r="O33" s="47"/>
      <c r="P33" s="47"/>
      <c r="Q33" s="4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1491-8D46-43A4-9538-E82A64150E3C}">
  <sheetPr>
    <tabColor rgb="FF92D050"/>
  </sheetPr>
  <dimension ref="B5:AD15"/>
  <sheetViews>
    <sheetView topLeftCell="A9" workbookViewId="0">
      <selection activeCell="C20" sqref="C20"/>
    </sheetView>
  </sheetViews>
  <sheetFormatPr baseColWidth="10" defaultColWidth="9.109375" defaultRowHeight="14.4" x14ac:dyDescent="0.3"/>
  <cols>
    <col min="2" max="2" width="15" bestFit="1" customWidth="1"/>
    <col min="3" max="3" width="35.109375" bestFit="1" customWidth="1"/>
    <col min="4" max="4" width="22" bestFit="1" customWidth="1"/>
    <col min="5" max="31" width="8" bestFit="1" customWidth="1"/>
    <col min="32" max="32" width="10.6640625" bestFit="1" customWidth="1"/>
  </cols>
  <sheetData>
    <row r="5" spans="2:30" ht="18.600000000000001" thickBot="1" x14ac:dyDescent="0.4">
      <c r="C5" s="33" t="s">
        <v>168</v>
      </c>
    </row>
    <row r="6" spans="2:30" ht="15" thickBot="1" x14ac:dyDescent="0.35">
      <c r="B6" s="6" t="s">
        <v>182</v>
      </c>
      <c r="C6" s="6" t="s">
        <v>0</v>
      </c>
      <c r="D6" s="6" t="s">
        <v>35</v>
      </c>
      <c r="E6" s="6">
        <v>2010</v>
      </c>
      <c r="F6" s="6">
        <v>2011</v>
      </c>
      <c r="G6" s="6">
        <v>2012</v>
      </c>
      <c r="H6" s="6">
        <v>2013</v>
      </c>
      <c r="I6" s="6">
        <v>2014</v>
      </c>
      <c r="J6" s="6">
        <v>2015</v>
      </c>
      <c r="K6" s="6">
        <v>2016</v>
      </c>
      <c r="L6" s="6">
        <v>2017</v>
      </c>
      <c r="M6" s="6">
        <v>2018</v>
      </c>
      <c r="N6" s="6">
        <v>2019</v>
      </c>
      <c r="O6" s="6">
        <v>2020</v>
      </c>
      <c r="P6" s="6">
        <v>2021</v>
      </c>
      <c r="Q6" s="6">
        <v>2022</v>
      </c>
      <c r="R6" s="6">
        <v>2023</v>
      </c>
      <c r="S6" s="6">
        <v>2024</v>
      </c>
      <c r="T6" s="6">
        <v>2025</v>
      </c>
      <c r="U6" s="6">
        <v>2026</v>
      </c>
      <c r="V6" s="6">
        <v>2027</v>
      </c>
      <c r="W6" s="6">
        <v>2028</v>
      </c>
      <c r="X6" s="6">
        <v>2029</v>
      </c>
      <c r="Y6" s="6">
        <v>2030</v>
      </c>
      <c r="Z6" s="6">
        <v>2031</v>
      </c>
      <c r="AA6" s="6">
        <v>2032</v>
      </c>
      <c r="AB6" s="6">
        <v>2033</v>
      </c>
      <c r="AC6" s="6">
        <v>2034</v>
      </c>
      <c r="AD6" s="7">
        <v>2035</v>
      </c>
    </row>
    <row r="7" spans="2:30" x14ac:dyDescent="0.3">
      <c r="B7" s="28" t="s">
        <v>194</v>
      </c>
      <c r="C7" s="28" t="s">
        <v>39</v>
      </c>
      <c r="D7" s="28" t="s">
        <v>41</v>
      </c>
      <c r="E7" s="15">
        <v>1038.01</v>
      </c>
      <c r="F7" s="15">
        <v>1050</v>
      </c>
      <c r="G7" s="15">
        <v>1048.1500000000001</v>
      </c>
      <c r="H7" s="15">
        <v>1090.97</v>
      </c>
      <c r="I7" s="15">
        <v>1156.82</v>
      </c>
      <c r="J7" s="15">
        <v>1127.25</v>
      </c>
      <c r="K7" s="15">
        <v>1137.1600000000001</v>
      </c>
      <c r="L7" s="15">
        <v>1096.25</v>
      </c>
      <c r="M7" s="15">
        <v>1065.1400000000001</v>
      </c>
      <c r="N7" s="15">
        <v>1096</v>
      </c>
      <c r="O7" s="15">
        <v>992.03</v>
      </c>
      <c r="P7" s="15">
        <v>972.29</v>
      </c>
      <c r="Q7" s="15">
        <v>988.48</v>
      </c>
      <c r="R7" s="15">
        <v>977.29</v>
      </c>
      <c r="S7" s="15">
        <v>940.97</v>
      </c>
      <c r="T7" s="15">
        <v>897.73</v>
      </c>
      <c r="U7" s="15">
        <v>687.2</v>
      </c>
      <c r="V7" s="15">
        <v>692.88</v>
      </c>
      <c r="W7" s="15">
        <v>705.14</v>
      </c>
      <c r="X7" s="15">
        <v>723.08</v>
      </c>
      <c r="Y7" s="15">
        <v>741.4</v>
      </c>
      <c r="Z7" s="15">
        <v>715.21</v>
      </c>
      <c r="AA7" s="15">
        <v>687.32</v>
      </c>
      <c r="AB7" s="15">
        <v>665.72</v>
      </c>
      <c r="AC7" s="15">
        <v>643.86</v>
      </c>
      <c r="AD7" s="16">
        <v>619.33000000000004</v>
      </c>
    </row>
    <row r="8" spans="2:30" x14ac:dyDescent="0.3">
      <c r="B8" s="30" t="s">
        <v>194</v>
      </c>
      <c r="C8" s="30" t="s">
        <v>39</v>
      </c>
      <c r="D8" s="30" t="s">
        <v>40</v>
      </c>
      <c r="E8" s="17">
        <v>56.61</v>
      </c>
      <c r="F8" s="17">
        <v>56.61</v>
      </c>
      <c r="G8" s="17">
        <v>56.61</v>
      </c>
      <c r="H8" s="17">
        <v>56.61</v>
      </c>
      <c r="I8" s="17">
        <v>60.82</v>
      </c>
      <c r="J8" s="17">
        <v>58.28</v>
      </c>
      <c r="K8" s="17">
        <v>61.56</v>
      </c>
      <c r="L8" s="17">
        <v>57.19</v>
      </c>
      <c r="M8" s="17">
        <v>52.89</v>
      </c>
      <c r="N8" s="17">
        <v>50.42</v>
      </c>
      <c r="O8" s="17">
        <v>44.94</v>
      </c>
      <c r="P8" s="17">
        <v>45.37</v>
      </c>
      <c r="Q8" s="17">
        <v>47.13</v>
      </c>
      <c r="R8" s="17">
        <v>48.26</v>
      </c>
      <c r="S8" s="17">
        <v>48.26</v>
      </c>
      <c r="T8" s="17">
        <v>48.26</v>
      </c>
      <c r="U8" s="17">
        <v>48.26</v>
      </c>
      <c r="V8" s="17">
        <v>48.26</v>
      </c>
      <c r="W8" s="17">
        <v>48.26</v>
      </c>
      <c r="X8" s="17">
        <v>48.26</v>
      </c>
      <c r="Y8" s="17">
        <v>48.26</v>
      </c>
      <c r="Z8" s="17">
        <v>48.26</v>
      </c>
      <c r="AA8" s="17">
        <v>48.26</v>
      </c>
      <c r="AB8" s="17">
        <v>48.26</v>
      </c>
      <c r="AC8" s="17">
        <v>48.26</v>
      </c>
      <c r="AD8" s="18">
        <v>48.26</v>
      </c>
    </row>
    <row r="9" spans="2:30" x14ac:dyDescent="0.3">
      <c r="B9" s="30" t="s">
        <v>194</v>
      </c>
      <c r="C9" s="30" t="s">
        <v>151</v>
      </c>
      <c r="D9" s="30" t="s">
        <v>106</v>
      </c>
      <c r="E9" s="17">
        <v>1094.6199999999999</v>
      </c>
      <c r="F9" s="17">
        <v>1106.6099999999999</v>
      </c>
      <c r="G9" s="17">
        <v>1104.76</v>
      </c>
      <c r="H9" s="17">
        <v>1147.58</v>
      </c>
      <c r="I9" s="17">
        <v>1217.6399999999999</v>
      </c>
      <c r="J9" s="17">
        <v>1185.53</v>
      </c>
      <c r="K9" s="17">
        <v>1198.72</v>
      </c>
      <c r="L9" s="17">
        <v>1153.44</v>
      </c>
      <c r="M9" s="17">
        <v>1118.0300000000002</v>
      </c>
      <c r="N9" s="17">
        <v>1146.42</v>
      </c>
      <c r="O9" s="17">
        <v>1036.97</v>
      </c>
      <c r="P9" s="17">
        <v>1017.66</v>
      </c>
      <c r="Q9" s="17">
        <v>1035.6100000000001</v>
      </c>
      <c r="R9" s="17">
        <v>1025.55</v>
      </c>
      <c r="S9" s="17">
        <v>989.23</v>
      </c>
      <c r="T9" s="17">
        <v>945.99</v>
      </c>
      <c r="U9" s="17">
        <v>735.46</v>
      </c>
      <c r="V9" s="17">
        <v>741.14</v>
      </c>
      <c r="W9" s="17">
        <v>753.4</v>
      </c>
      <c r="X9" s="17">
        <v>771.34</v>
      </c>
      <c r="Y9" s="17">
        <v>789.66</v>
      </c>
      <c r="Z9" s="17">
        <v>763.47</v>
      </c>
      <c r="AA9" s="17">
        <v>735.58</v>
      </c>
      <c r="AB9" s="17">
        <v>713.98</v>
      </c>
      <c r="AC9" s="17">
        <v>692.12</v>
      </c>
      <c r="AD9" s="18">
        <v>667.59</v>
      </c>
    </row>
    <row r="10" spans="2:30" x14ac:dyDescent="0.3">
      <c r="B10" s="24" t="s">
        <v>194</v>
      </c>
      <c r="C10" s="24" t="s">
        <v>42</v>
      </c>
      <c r="D10" s="24" t="s">
        <v>41</v>
      </c>
      <c r="E10" s="17">
        <v>1038.01</v>
      </c>
      <c r="F10" s="17">
        <v>1050</v>
      </c>
      <c r="G10" s="17">
        <v>1048.1500000000001</v>
      </c>
      <c r="H10" s="17">
        <v>1090.97</v>
      </c>
      <c r="I10" s="17">
        <v>1156.82</v>
      </c>
      <c r="J10" s="17">
        <v>1127.25</v>
      </c>
      <c r="K10" s="17">
        <v>1137.1600000000001</v>
      </c>
      <c r="L10" s="17">
        <v>1096.25</v>
      </c>
      <c r="M10" s="17">
        <v>1065.1400000000001</v>
      </c>
      <c r="N10" s="17">
        <v>1096</v>
      </c>
      <c r="O10" s="17">
        <v>992.03</v>
      </c>
      <c r="P10" s="17">
        <v>972.29</v>
      </c>
      <c r="Q10" s="17">
        <v>988.48</v>
      </c>
      <c r="R10" s="17">
        <v>977.29</v>
      </c>
      <c r="S10" s="17">
        <v>940.97</v>
      </c>
      <c r="T10" s="17">
        <v>897.73</v>
      </c>
      <c r="U10" s="17">
        <v>687.2</v>
      </c>
      <c r="V10" s="17">
        <v>692.88</v>
      </c>
      <c r="W10" s="17">
        <v>705.14</v>
      </c>
      <c r="X10" s="17">
        <v>723.08</v>
      </c>
      <c r="Y10" s="17">
        <v>741.4</v>
      </c>
      <c r="Z10" s="17">
        <v>715.21</v>
      </c>
      <c r="AA10" s="17">
        <v>687.32</v>
      </c>
      <c r="AB10" s="17">
        <v>665.72</v>
      </c>
      <c r="AC10" s="17">
        <v>643.86</v>
      </c>
      <c r="AD10" s="18">
        <v>619.33000000000004</v>
      </c>
    </row>
    <row r="11" spans="2:30" x14ac:dyDescent="0.3">
      <c r="B11" s="24" t="s">
        <v>194</v>
      </c>
      <c r="C11" s="24" t="s">
        <v>42</v>
      </c>
      <c r="D11" s="24" t="s">
        <v>40</v>
      </c>
      <c r="E11" s="17">
        <v>56.61</v>
      </c>
      <c r="F11" s="17">
        <v>56.61</v>
      </c>
      <c r="G11" s="17">
        <v>56.61</v>
      </c>
      <c r="H11" s="17">
        <v>56.61</v>
      </c>
      <c r="I11" s="17">
        <v>60.82</v>
      </c>
      <c r="J11" s="17">
        <v>58.28</v>
      </c>
      <c r="K11" s="17">
        <v>61.56</v>
      </c>
      <c r="L11" s="17">
        <v>57.19</v>
      </c>
      <c r="M11" s="17">
        <v>52.89</v>
      </c>
      <c r="N11" s="17">
        <v>50.42</v>
      </c>
      <c r="O11" s="17">
        <v>44.94</v>
      </c>
      <c r="P11" s="17">
        <v>45.37</v>
      </c>
      <c r="Q11" s="17">
        <v>47.13</v>
      </c>
      <c r="R11" s="17">
        <v>48.26</v>
      </c>
      <c r="S11" s="17">
        <v>48.26</v>
      </c>
      <c r="T11" s="17">
        <v>48.26</v>
      </c>
      <c r="U11" s="17">
        <v>48.26</v>
      </c>
      <c r="V11" s="17">
        <v>48.26</v>
      </c>
      <c r="W11" s="17">
        <v>48.26</v>
      </c>
      <c r="X11" s="17">
        <v>48.26</v>
      </c>
      <c r="Y11" s="17">
        <v>48.26</v>
      </c>
      <c r="Z11" s="17">
        <v>48.26</v>
      </c>
      <c r="AA11" s="17">
        <v>48.26</v>
      </c>
      <c r="AB11" s="17">
        <v>48.26</v>
      </c>
      <c r="AC11" s="17">
        <v>48.26</v>
      </c>
      <c r="AD11" s="18">
        <v>48.26</v>
      </c>
    </row>
    <row r="12" spans="2:30" x14ac:dyDescent="0.3">
      <c r="B12" s="24" t="s">
        <v>194</v>
      </c>
      <c r="C12" s="24" t="s">
        <v>152</v>
      </c>
      <c r="D12" s="24" t="s">
        <v>106</v>
      </c>
      <c r="E12" s="17">
        <v>1094.6199999999999</v>
      </c>
      <c r="F12" s="17">
        <v>1106.6099999999999</v>
      </c>
      <c r="G12" s="17">
        <v>1104.76</v>
      </c>
      <c r="H12" s="17">
        <v>1147.58</v>
      </c>
      <c r="I12" s="17">
        <v>1217.6399999999999</v>
      </c>
      <c r="J12" s="17">
        <v>1185.53</v>
      </c>
      <c r="K12" s="17">
        <v>1198.72</v>
      </c>
      <c r="L12" s="17">
        <v>1153.44</v>
      </c>
      <c r="M12" s="17">
        <v>1118.0300000000002</v>
      </c>
      <c r="N12" s="17">
        <v>1146.42</v>
      </c>
      <c r="O12" s="17">
        <v>1036.97</v>
      </c>
      <c r="P12" s="17">
        <v>1017.66</v>
      </c>
      <c r="Q12" s="17">
        <v>1035.6100000000001</v>
      </c>
      <c r="R12" s="17">
        <v>1025.55</v>
      </c>
      <c r="S12" s="17">
        <v>989.23</v>
      </c>
      <c r="T12" s="17">
        <v>945.99</v>
      </c>
      <c r="U12" s="17">
        <v>735.46</v>
      </c>
      <c r="V12" s="17">
        <v>741.14</v>
      </c>
      <c r="W12" s="17">
        <v>753.4</v>
      </c>
      <c r="X12" s="17">
        <v>771.34</v>
      </c>
      <c r="Y12" s="17">
        <v>789.66</v>
      </c>
      <c r="Z12" s="17">
        <v>763.47</v>
      </c>
      <c r="AA12" s="17">
        <v>735.58</v>
      </c>
      <c r="AB12" s="17">
        <v>713.98</v>
      </c>
      <c r="AC12" s="17">
        <v>692.12</v>
      </c>
      <c r="AD12" s="18">
        <v>667.59</v>
      </c>
    </row>
    <row r="13" spans="2:30" x14ac:dyDescent="0.3">
      <c r="B13" s="30" t="s">
        <v>194</v>
      </c>
      <c r="C13" s="30" t="s">
        <v>43</v>
      </c>
      <c r="D13" s="30" t="s">
        <v>41</v>
      </c>
      <c r="E13" s="17">
        <v>1038.01</v>
      </c>
      <c r="F13" s="17">
        <v>1050</v>
      </c>
      <c r="G13" s="17">
        <v>1048.1500000000001</v>
      </c>
      <c r="H13" s="17">
        <v>1090.97</v>
      </c>
      <c r="I13" s="17">
        <v>1156.82</v>
      </c>
      <c r="J13" s="17">
        <v>1127.25</v>
      </c>
      <c r="K13" s="17">
        <v>1137.1600000000001</v>
      </c>
      <c r="L13" s="17">
        <v>1096.25</v>
      </c>
      <c r="M13" s="17">
        <v>1065.1400000000001</v>
      </c>
      <c r="N13" s="17">
        <v>1096</v>
      </c>
      <c r="O13" s="17">
        <v>992.03</v>
      </c>
      <c r="P13" s="17">
        <v>972.29</v>
      </c>
      <c r="Q13" s="17">
        <v>988.48</v>
      </c>
      <c r="R13" s="17">
        <v>977.29</v>
      </c>
      <c r="S13" s="17">
        <v>940.97</v>
      </c>
      <c r="T13" s="17">
        <v>897.73</v>
      </c>
      <c r="U13" s="17">
        <v>687.2</v>
      </c>
      <c r="V13" s="17">
        <v>692.88</v>
      </c>
      <c r="W13" s="17">
        <v>705.14</v>
      </c>
      <c r="X13" s="17">
        <v>723.08</v>
      </c>
      <c r="Y13" s="17">
        <v>741.4</v>
      </c>
      <c r="Z13" s="17">
        <v>715.21</v>
      </c>
      <c r="AA13" s="17">
        <v>687.32</v>
      </c>
      <c r="AB13" s="17">
        <v>665.72</v>
      </c>
      <c r="AC13" s="17">
        <v>643.86</v>
      </c>
      <c r="AD13" s="18">
        <v>619.33000000000004</v>
      </c>
    </row>
    <row r="14" spans="2:30" x14ac:dyDescent="0.3">
      <c r="B14" s="30" t="s">
        <v>194</v>
      </c>
      <c r="C14" s="30" t="s">
        <v>43</v>
      </c>
      <c r="D14" s="30" t="s">
        <v>40</v>
      </c>
      <c r="E14" s="17">
        <v>56.61</v>
      </c>
      <c r="F14" s="17">
        <v>56.61</v>
      </c>
      <c r="G14" s="17">
        <v>56.61</v>
      </c>
      <c r="H14" s="17">
        <v>56.61</v>
      </c>
      <c r="I14" s="17">
        <v>60.82</v>
      </c>
      <c r="J14" s="17">
        <v>58.28</v>
      </c>
      <c r="K14" s="17">
        <v>61.56</v>
      </c>
      <c r="L14" s="17">
        <v>57.19</v>
      </c>
      <c r="M14" s="17">
        <v>52.89</v>
      </c>
      <c r="N14" s="17">
        <v>50.42</v>
      </c>
      <c r="O14" s="17">
        <v>44.94</v>
      </c>
      <c r="P14" s="17">
        <v>45.37</v>
      </c>
      <c r="Q14" s="17">
        <v>47.13</v>
      </c>
      <c r="R14" s="17">
        <v>48.26</v>
      </c>
      <c r="S14" s="17">
        <v>48.26</v>
      </c>
      <c r="T14" s="17">
        <v>48.26</v>
      </c>
      <c r="U14" s="17">
        <v>48.26</v>
      </c>
      <c r="V14" s="17">
        <v>48.26</v>
      </c>
      <c r="W14" s="17">
        <v>48.26</v>
      </c>
      <c r="X14" s="17">
        <v>48.26</v>
      </c>
      <c r="Y14" s="17">
        <v>48.26</v>
      </c>
      <c r="Z14" s="17">
        <v>48.26</v>
      </c>
      <c r="AA14" s="17">
        <v>48.26</v>
      </c>
      <c r="AB14" s="17">
        <v>48.26</v>
      </c>
      <c r="AC14" s="17">
        <v>48.26</v>
      </c>
      <c r="AD14" s="18">
        <v>48.26</v>
      </c>
    </row>
    <row r="15" spans="2:30" ht="15" thickBot="1" x14ac:dyDescent="0.35">
      <c r="B15" s="32" t="s">
        <v>194</v>
      </c>
      <c r="C15" s="32" t="s">
        <v>153</v>
      </c>
      <c r="D15" s="32" t="s">
        <v>106</v>
      </c>
      <c r="E15" s="19">
        <v>1094.6199999999999</v>
      </c>
      <c r="F15" s="19">
        <v>1106.6099999999999</v>
      </c>
      <c r="G15" s="19">
        <v>1104.76</v>
      </c>
      <c r="H15" s="19">
        <v>1147.58</v>
      </c>
      <c r="I15" s="19">
        <v>1217.6399999999999</v>
      </c>
      <c r="J15" s="19">
        <v>1185.53</v>
      </c>
      <c r="K15" s="19">
        <v>1198.72</v>
      </c>
      <c r="L15" s="19">
        <v>1153.44</v>
      </c>
      <c r="M15" s="19">
        <v>1118.0300000000002</v>
      </c>
      <c r="N15" s="19">
        <v>1146.42</v>
      </c>
      <c r="O15" s="19">
        <v>1036.97</v>
      </c>
      <c r="P15" s="19">
        <v>1017.66</v>
      </c>
      <c r="Q15" s="19">
        <v>1035.6100000000001</v>
      </c>
      <c r="R15" s="19">
        <v>1025.55</v>
      </c>
      <c r="S15" s="19">
        <v>989.23</v>
      </c>
      <c r="T15" s="19">
        <v>945.99</v>
      </c>
      <c r="U15" s="19">
        <v>735.46</v>
      </c>
      <c r="V15" s="19">
        <v>741.14</v>
      </c>
      <c r="W15" s="19">
        <v>753.4</v>
      </c>
      <c r="X15" s="19">
        <v>771.34</v>
      </c>
      <c r="Y15" s="19">
        <v>789.66</v>
      </c>
      <c r="Z15" s="19">
        <v>763.47</v>
      </c>
      <c r="AA15" s="19">
        <v>735.58</v>
      </c>
      <c r="AB15" s="19">
        <v>713.98</v>
      </c>
      <c r="AC15" s="19">
        <v>692.12</v>
      </c>
      <c r="AD15" s="20">
        <v>667.59</v>
      </c>
    </row>
  </sheetData>
  <autoFilter ref="C6:AD15" xr:uid="{FCA11491-8D46-43A4-9538-E82A64150E3C}"/>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7D134-0EB5-4885-B27B-DE81647A5602}">
  <sheetPr>
    <tabColor rgb="FFFFC000"/>
  </sheetPr>
  <dimension ref="B4:AC23"/>
  <sheetViews>
    <sheetView topLeftCell="B24" workbookViewId="0">
      <selection activeCell="B28" sqref="B28"/>
    </sheetView>
  </sheetViews>
  <sheetFormatPr baseColWidth="10" defaultColWidth="9.109375" defaultRowHeight="14.4" x14ac:dyDescent="0.3"/>
  <cols>
    <col min="2" max="2" width="33.77734375" bestFit="1" customWidth="1"/>
    <col min="3" max="3" width="15.21875" bestFit="1" customWidth="1"/>
    <col min="4" max="30" width="8" bestFit="1" customWidth="1"/>
    <col min="31" max="31" width="10.6640625" bestFit="1" customWidth="1"/>
  </cols>
  <sheetData>
    <row r="4" spans="2:29" ht="18.600000000000001" thickBot="1" x14ac:dyDescent="0.4">
      <c r="B4" s="33" t="s">
        <v>170</v>
      </c>
    </row>
    <row r="5" spans="2:29" ht="15" thickBot="1" x14ac:dyDescent="0.35">
      <c r="B5" s="5" t="s">
        <v>0</v>
      </c>
      <c r="C5" s="6" t="s">
        <v>86</v>
      </c>
      <c r="D5" s="6">
        <v>2010</v>
      </c>
      <c r="E5" s="6">
        <v>2011</v>
      </c>
      <c r="F5" s="6">
        <v>2012</v>
      </c>
      <c r="G5" s="6">
        <v>2013</v>
      </c>
      <c r="H5" s="6">
        <v>2014</v>
      </c>
      <c r="I5" s="6">
        <v>2015</v>
      </c>
      <c r="J5" s="6">
        <v>2016</v>
      </c>
      <c r="K5" s="6">
        <v>2017</v>
      </c>
      <c r="L5" s="6">
        <v>2018</v>
      </c>
      <c r="M5" s="6">
        <v>2019</v>
      </c>
      <c r="N5" s="6">
        <v>2020</v>
      </c>
      <c r="O5" s="6">
        <v>2021</v>
      </c>
      <c r="P5" s="6">
        <v>2022</v>
      </c>
      <c r="Q5" s="6">
        <v>2023</v>
      </c>
      <c r="R5" s="6">
        <v>2024</v>
      </c>
      <c r="S5" s="6">
        <v>2025</v>
      </c>
      <c r="T5" s="6">
        <v>2026</v>
      </c>
      <c r="U5" s="6">
        <v>2027</v>
      </c>
      <c r="V5" s="6">
        <v>2028</v>
      </c>
      <c r="W5" s="6">
        <v>2029</v>
      </c>
      <c r="X5" s="6">
        <v>2030</v>
      </c>
      <c r="Y5" s="6">
        <v>2031</v>
      </c>
      <c r="Z5" s="6">
        <v>2032</v>
      </c>
      <c r="AA5" s="6">
        <v>2033</v>
      </c>
      <c r="AB5" s="6">
        <v>2034</v>
      </c>
      <c r="AC5" s="7">
        <v>2035</v>
      </c>
    </row>
    <row r="6" spans="2:29" x14ac:dyDescent="0.3">
      <c r="B6" s="29" t="s">
        <v>39</v>
      </c>
      <c r="C6" s="30" t="s">
        <v>85</v>
      </c>
      <c r="D6" s="17">
        <v>72.177899999999994</v>
      </c>
      <c r="E6" s="17">
        <v>72.177899999999994</v>
      </c>
      <c r="F6" s="17">
        <v>72.177899999999994</v>
      </c>
      <c r="G6" s="17">
        <v>72.177899999999994</v>
      </c>
      <c r="H6" s="17">
        <v>66.990499999999997</v>
      </c>
      <c r="I6" s="17">
        <v>65.958299999999994</v>
      </c>
      <c r="J6" s="17">
        <v>86.094200000000001</v>
      </c>
      <c r="K6" s="17">
        <v>85.875200000000007</v>
      </c>
      <c r="L6" s="17">
        <v>83.288499999999999</v>
      </c>
      <c r="M6" s="17">
        <v>79.676299999999998</v>
      </c>
      <c r="N6" s="17">
        <v>59.950899999999997</v>
      </c>
      <c r="O6" s="17">
        <v>76.844899999999996</v>
      </c>
      <c r="P6" s="17">
        <v>79.534700000000001</v>
      </c>
      <c r="Q6" s="17">
        <v>71.898499999999999</v>
      </c>
      <c r="R6" s="17">
        <v>76.092699999999994</v>
      </c>
      <c r="S6" s="17">
        <v>76.092699999999994</v>
      </c>
      <c r="T6" s="17">
        <v>76.092699999999994</v>
      </c>
      <c r="U6" s="17">
        <v>76.092699999999994</v>
      </c>
      <c r="V6" s="17">
        <v>76.092699999999994</v>
      </c>
      <c r="W6" s="17">
        <v>76.092699999999994</v>
      </c>
      <c r="X6" s="17">
        <v>76.092699999999994</v>
      </c>
      <c r="Y6" s="17">
        <v>76.092699999999994</v>
      </c>
      <c r="Z6" s="17">
        <v>76.092699999999994</v>
      </c>
      <c r="AA6" s="17">
        <v>76.092699999999994</v>
      </c>
      <c r="AB6" s="17">
        <v>76.092699999999994</v>
      </c>
      <c r="AC6" s="18">
        <v>76.092699999999994</v>
      </c>
    </row>
    <row r="7" spans="2:29" x14ac:dyDescent="0.3">
      <c r="B7" s="29" t="s">
        <v>39</v>
      </c>
      <c r="C7" s="30" t="s">
        <v>84</v>
      </c>
      <c r="D7" s="17">
        <v>111.134</v>
      </c>
      <c r="E7" s="17">
        <v>111.134</v>
      </c>
      <c r="F7" s="17">
        <v>111.134</v>
      </c>
      <c r="G7" s="17">
        <v>111.134</v>
      </c>
      <c r="H7" s="17">
        <v>97.389099999999999</v>
      </c>
      <c r="I7" s="17">
        <v>98.531999999999996</v>
      </c>
      <c r="J7" s="17">
        <v>116.086</v>
      </c>
      <c r="K7" s="17">
        <v>119.91200000000001</v>
      </c>
      <c r="L7" s="17">
        <v>137.815</v>
      </c>
      <c r="M7" s="17">
        <v>110.562</v>
      </c>
      <c r="N7" s="17">
        <v>100.602</v>
      </c>
      <c r="O7" s="17">
        <v>130.429</v>
      </c>
      <c r="P7" s="17">
        <v>136.36099999999999</v>
      </c>
      <c r="Q7" s="17">
        <v>125.483</v>
      </c>
      <c r="R7" s="17">
        <v>130.75800000000001</v>
      </c>
      <c r="S7" s="17">
        <v>130.75800000000001</v>
      </c>
      <c r="T7" s="17">
        <v>130.75800000000001</v>
      </c>
      <c r="U7" s="17">
        <v>130.75800000000001</v>
      </c>
      <c r="V7" s="17">
        <v>130.75800000000001</v>
      </c>
      <c r="W7" s="17">
        <v>130.75800000000001</v>
      </c>
      <c r="X7" s="17">
        <v>130.75800000000001</v>
      </c>
      <c r="Y7" s="17">
        <v>130.75800000000001</v>
      </c>
      <c r="Z7" s="17">
        <v>130.75800000000001</v>
      </c>
      <c r="AA7" s="17">
        <v>130.75800000000001</v>
      </c>
      <c r="AB7" s="17">
        <v>130.75800000000001</v>
      </c>
      <c r="AC7" s="18">
        <v>130.75800000000001</v>
      </c>
    </row>
    <row r="8" spans="2:29" x14ac:dyDescent="0.3">
      <c r="B8" s="29" t="s">
        <v>39</v>
      </c>
      <c r="C8" s="30" t="s">
        <v>83</v>
      </c>
      <c r="D8" s="17">
        <v>54.996899999999997</v>
      </c>
      <c r="E8" s="17">
        <v>54.996899999999997</v>
      </c>
      <c r="F8" s="17">
        <v>54.996899999999997</v>
      </c>
      <c r="G8" s="17">
        <v>54.996899999999997</v>
      </c>
      <c r="H8" s="17">
        <v>42.908799999999999</v>
      </c>
      <c r="I8" s="17">
        <v>41.1599</v>
      </c>
      <c r="J8" s="17">
        <v>67.538300000000007</v>
      </c>
      <c r="K8" s="17">
        <v>63.712800000000001</v>
      </c>
      <c r="L8" s="17">
        <v>67.367599999999996</v>
      </c>
      <c r="M8" s="17">
        <v>62.07</v>
      </c>
      <c r="N8" s="17">
        <v>47.588299999999997</v>
      </c>
      <c r="O8" s="17">
        <v>54.959499999999998</v>
      </c>
      <c r="P8" s="17">
        <v>58.669499999999999</v>
      </c>
      <c r="Q8" s="17">
        <v>57.005899999999997</v>
      </c>
      <c r="R8" s="17">
        <v>56.878300000000003</v>
      </c>
      <c r="S8" s="17">
        <v>56.878300000000003</v>
      </c>
      <c r="T8" s="17">
        <v>56.878300000000003</v>
      </c>
      <c r="U8" s="17">
        <v>56.878300000000003</v>
      </c>
      <c r="V8" s="17">
        <v>56.878300000000003</v>
      </c>
      <c r="W8" s="17">
        <v>56.878300000000003</v>
      </c>
      <c r="X8" s="17">
        <v>56.878300000000003</v>
      </c>
      <c r="Y8" s="17">
        <v>56.878300000000003</v>
      </c>
      <c r="Z8" s="17">
        <v>56.878300000000003</v>
      </c>
      <c r="AA8" s="17">
        <v>56.878300000000003</v>
      </c>
      <c r="AB8" s="17">
        <v>56.878300000000003</v>
      </c>
      <c r="AC8" s="18">
        <v>56.878300000000003</v>
      </c>
    </row>
    <row r="9" spans="2:29" x14ac:dyDescent="0.3">
      <c r="B9" s="29" t="s">
        <v>39</v>
      </c>
      <c r="C9" s="30" t="s">
        <v>82</v>
      </c>
      <c r="D9" s="17">
        <v>16.5945</v>
      </c>
      <c r="E9" s="17">
        <v>16.760400000000001</v>
      </c>
      <c r="F9" s="17">
        <v>16.760400000000001</v>
      </c>
      <c r="G9" s="17">
        <v>16.760400000000001</v>
      </c>
      <c r="H9" s="17">
        <v>15.622</v>
      </c>
      <c r="I9" s="17">
        <v>15.551</v>
      </c>
      <c r="J9" s="17">
        <v>15.214700000000001</v>
      </c>
      <c r="K9" s="17">
        <v>17.511600000000001</v>
      </c>
      <c r="L9" s="17">
        <v>16.679400000000001</v>
      </c>
      <c r="M9" s="17">
        <v>16.4541</v>
      </c>
      <c r="N9" s="17">
        <v>8.7766000000000002</v>
      </c>
      <c r="O9" s="17">
        <v>12.6426</v>
      </c>
      <c r="P9" s="17">
        <v>16.9206</v>
      </c>
      <c r="Q9" s="17">
        <v>16.8813</v>
      </c>
      <c r="R9" s="17">
        <v>15.4815</v>
      </c>
      <c r="S9" s="17">
        <v>15.4815</v>
      </c>
      <c r="T9" s="17">
        <v>15.4815</v>
      </c>
      <c r="U9" s="17">
        <v>15.4815</v>
      </c>
      <c r="V9" s="17">
        <v>15.4815</v>
      </c>
      <c r="W9" s="17">
        <v>15.4815</v>
      </c>
      <c r="X9" s="17">
        <v>15.4815</v>
      </c>
      <c r="Y9" s="17">
        <v>15.4815</v>
      </c>
      <c r="Z9" s="17">
        <v>15.4815</v>
      </c>
      <c r="AA9" s="17">
        <v>15.4815</v>
      </c>
      <c r="AB9" s="17">
        <v>15.4815</v>
      </c>
      <c r="AC9" s="18">
        <v>15.4815</v>
      </c>
    </row>
    <row r="10" spans="2:29" x14ac:dyDescent="0.3">
      <c r="B10" s="29" t="s">
        <v>39</v>
      </c>
      <c r="C10" s="30" t="s">
        <v>81</v>
      </c>
      <c r="D10" s="17">
        <v>6.0336999999999996</v>
      </c>
      <c r="E10" s="17">
        <v>6.0336999999999996</v>
      </c>
      <c r="F10" s="17">
        <v>6.0336999999999996</v>
      </c>
      <c r="G10" s="17">
        <v>6.0336999999999996</v>
      </c>
      <c r="H10" s="17">
        <v>3.8479999999999999</v>
      </c>
      <c r="I10" s="17">
        <v>1.4051</v>
      </c>
      <c r="J10" s="17">
        <v>6.7045000000000003</v>
      </c>
      <c r="K10" s="17">
        <v>6.7922000000000002</v>
      </c>
      <c r="L10" s="17">
        <v>5.9215999999999998</v>
      </c>
      <c r="M10" s="17">
        <v>3.4177</v>
      </c>
      <c r="N10" s="17">
        <v>3.944</v>
      </c>
      <c r="O10" s="17">
        <v>4.0928000000000004</v>
      </c>
      <c r="P10" s="17">
        <v>4.7233000000000001</v>
      </c>
      <c r="Q10" s="17">
        <v>4.7690000000000001</v>
      </c>
      <c r="R10" s="17">
        <v>4.5284000000000004</v>
      </c>
      <c r="S10" s="17">
        <v>4.5284000000000004</v>
      </c>
      <c r="T10" s="17">
        <v>4.5284000000000004</v>
      </c>
      <c r="U10" s="17">
        <v>4.5284000000000004</v>
      </c>
      <c r="V10" s="17">
        <v>4.5284000000000004</v>
      </c>
      <c r="W10" s="17">
        <v>4.5284000000000004</v>
      </c>
      <c r="X10" s="17">
        <v>4.5284000000000004</v>
      </c>
      <c r="Y10" s="17">
        <v>4.5284000000000004</v>
      </c>
      <c r="Z10" s="17">
        <v>4.5284000000000004</v>
      </c>
      <c r="AA10" s="17">
        <v>4.5284000000000004</v>
      </c>
      <c r="AB10" s="17">
        <v>4.5284000000000004</v>
      </c>
      <c r="AC10" s="18">
        <v>4.5284000000000004</v>
      </c>
    </row>
    <row r="11" spans="2:29" x14ac:dyDescent="0.3">
      <c r="B11" s="29" t="s">
        <v>151</v>
      </c>
      <c r="C11" s="30"/>
      <c r="D11" s="17">
        <v>260.93699999999995</v>
      </c>
      <c r="E11" s="17">
        <v>261.10289999999998</v>
      </c>
      <c r="F11" s="17">
        <v>261.10289999999998</v>
      </c>
      <c r="G11" s="17">
        <v>261.10289999999998</v>
      </c>
      <c r="H11" s="17">
        <v>226.75839999999999</v>
      </c>
      <c r="I11" s="17">
        <v>222.60629999999998</v>
      </c>
      <c r="J11" s="17">
        <v>291.6377</v>
      </c>
      <c r="K11" s="17">
        <v>293.80379999999997</v>
      </c>
      <c r="L11" s="17">
        <v>311.07209999999998</v>
      </c>
      <c r="M11" s="17">
        <v>272.18009999999998</v>
      </c>
      <c r="N11" s="17">
        <v>220.86179999999999</v>
      </c>
      <c r="O11" s="17">
        <v>278.96880000000004</v>
      </c>
      <c r="P11" s="17">
        <v>296.20909999999998</v>
      </c>
      <c r="Q11" s="17">
        <v>276.03770000000003</v>
      </c>
      <c r="R11" s="17">
        <v>283.7389</v>
      </c>
      <c r="S11" s="17">
        <v>283.7389</v>
      </c>
      <c r="T11" s="17">
        <v>283.7389</v>
      </c>
      <c r="U11" s="17">
        <v>283.7389</v>
      </c>
      <c r="V11" s="17">
        <v>283.7389</v>
      </c>
      <c r="W11" s="17">
        <v>283.7389</v>
      </c>
      <c r="X11" s="17">
        <v>283.7389</v>
      </c>
      <c r="Y11" s="17">
        <v>283.7389</v>
      </c>
      <c r="Z11" s="17">
        <v>283.7389</v>
      </c>
      <c r="AA11" s="17">
        <v>283.7389</v>
      </c>
      <c r="AB11" s="17">
        <v>283.7389</v>
      </c>
      <c r="AC11" s="18">
        <v>283.7389</v>
      </c>
    </row>
    <row r="12" spans="2:29" x14ac:dyDescent="0.3">
      <c r="B12" s="23" t="s">
        <v>42</v>
      </c>
      <c r="C12" s="24" t="s">
        <v>85</v>
      </c>
      <c r="D12" s="17">
        <v>72.177899999999994</v>
      </c>
      <c r="E12" s="17">
        <v>72.177899999999994</v>
      </c>
      <c r="F12" s="17">
        <v>72.177899999999994</v>
      </c>
      <c r="G12" s="17">
        <v>72.177899999999994</v>
      </c>
      <c r="H12" s="17">
        <v>66.990499999999997</v>
      </c>
      <c r="I12" s="17">
        <v>65.958299999999994</v>
      </c>
      <c r="J12" s="17">
        <v>86.094200000000001</v>
      </c>
      <c r="K12" s="17">
        <v>85.875200000000007</v>
      </c>
      <c r="L12" s="17">
        <v>83.288499999999999</v>
      </c>
      <c r="M12" s="17">
        <v>79.676299999999998</v>
      </c>
      <c r="N12" s="17">
        <v>59.950899999999997</v>
      </c>
      <c r="O12" s="17">
        <v>76.844899999999996</v>
      </c>
      <c r="P12" s="17">
        <v>79.534700000000001</v>
      </c>
      <c r="Q12" s="17">
        <v>71.898499999999999</v>
      </c>
      <c r="R12" s="17">
        <v>76.092699999999994</v>
      </c>
      <c r="S12" s="17">
        <v>76.092699999999994</v>
      </c>
      <c r="T12" s="17">
        <v>76.092699999999994</v>
      </c>
      <c r="U12" s="17">
        <v>76.092699999999994</v>
      </c>
      <c r="V12" s="17">
        <v>76.092699999999994</v>
      </c>
      <c r="W12" s="17">
        <v>76.092699999999994</v>
      </c>
      <c r="X12" s="17">
        <v>76.092699999999994</v>
      </c>
      <c r="Y12" s="17">
        <v>76.092699999999994</v>
      </c>
      <c r="Z12" s="17">
        <v>76.092699999999994</v>
      </c>
      <c r="AA12" s="17">
        <v>76.092699999999994</v>
      </c>
      <c r="AB12" s="17">
        <v>76.092699999999994</v>
      </c>
      <c r="AC12" s="18">
        <v>76.092699999999994</v>
      </c>
    </row>
    <row r="13" spans="2:29" x14ac:dyDescent="0.3">
      <c r="B13" s="23" t="s">
        <v>42</v>
      </c>
      <c r="C13" s="24" t="s">
        <v>84</v>
      </c>
      <c r="D13" s="17">
        <v>111.134</v>
      </c>
      <c r="E13" s="17">
        <v>111.134</v>
      </c>
      <c r="F13" s="17">
        <v>111.134</v>
      </c>
      <c r="G13" s="17">
        <v>111.134</v>
      </c>
      <c r="H13" s="17">
        <v>97.389099999999999</v>
      </c>
      <c r="I13" s="17">
        <v>98.531999999999996</v>
      </c>
      <c r="J13" s="17">
        <v>116.086</v>
      </c>
      <c r="K13" s="17">
        <v>119.91200000000001</v>
      </c>
      <c r="L13" s="17">
        <v>137.815</v>
      </c>
      <c r="M13" s="17">
        <v>110.562</v>
      </c>
      <c r="N13" s="17">
        <v>100.602</v>
      </c>
      <c r="O13" s="17">
        <v>130.429</v>
      </c>
      <c r="P13" s="17">
        <v>136.36099999999999</v>
      </c>
      <c r="Q13" s="17">
        <v>125.483</v>
      </c>
      <c r="R13" s="17">
        <v>130.75800000000001</v>
      </c>
      <c r="S13" s="17">
        <v>130.75800000000001</v>
      </c>
      <c r="T13" s="17">
        <v>130.75800000000001</v>
      </c>
      <c r="U13" s="17">
        <v>130.75800000000001</v>
      </c>
      <c r="V13" s="17">
        <v>130.75800000000001</v>
      </c>
      <c r="W13" s="17">
        <v>130.75800000000001</v>
      </c>
      <c r="X13" s="17">
        <v>130.75800000000001</v>
      </c>
      <c r="Y13" s="17">
        <v>130.75800000000001</v>
      </c>
      <c r="Z13" s="17">
        <v>130.75800000000001</v>
      </c>
      <c r="AA13" s="17">
        <v>130.75800000000001</v>
      </c>
      <c r="AB13" s="17">
        <v>130.75800000000001</v>
      </c>
      <c r="AC13" s="18">
        <v>130.75800000000001</v>
      </c>
    </row>
    <row r="14" spans="2:29" x14ac:dyDescent="0.3">
      <c r="B14" s="23" t="s">
        <v>42</v>
      </c>
      <c r="C14" s="24" t="s">
        <v>83</v>
      </c>
      <c r="D14" s="17">
        <v>54.996899999999997</v>
      </c>
      <c r="E14" s="17">
        <v>54.996899999999997</v>
      </c>
      <c r="F14" s="17">
        <v>54.996899999999997</v>
      </c>
      <c r="G14" s="17">
        <v>54.996899999999997</v>
      </c>
      <c r="H14" s="17">
        <v>42.908799999999999</v>
      </c>
      <c r="I14" s="17">
        <v>41.1599</v>
      </c>
      <c r="J14" s="17">
        <v>67.538300000000007</v>
      </c>
      <c r="K14" s="17">
        <v>63.712800000000001</v>
      </c>
      <c r="L14" s="17">
        <v>67.367599999999996</v>
      </c>
      <c r="M14" s="17">
        <v>62.07</v>
      </c>
      <c r="N14" s="17">
        <v>47.588299999999997</v>
      </c>
      <c r="O14" s="17">
        <v>54.959499999999998</v>
      </c>
      <c r="P14" s="17">
        <v>58.669499999999999</v>
      </c>
      <c r="Q14" s="17">
        <v>57.005899999999997</v>
      </c>
      <c r="R14" s="17">
        <v>56.878300000000003</v>
      </c>
      <c r="S14" s="17">
        <v>56.878300000000003</v>
      </c>
      <c r="T14" s="17">
        <v>56.878300000000003</v>
      </c>
      <c r="U14" s="17">
        <v>56.878300000000003</v>
      </c>
      <c r="V14" s="17">
        <v>56.878300000000003</v>
      </c>
      <c r="W14" s="17">
        <v>56.878300000000003</v>
      </c>
      <c r="X14" s="17">
        <v>56.878300000000003</v>
      </c>
      <c r="Y14" s="17">
        <v>56.878300000000003</v>
      </c>
      <c r="Z14" s="17">
        <v>56.878300000000003</v>
      </c>
      <c r="AA14" s="17">
        <v>56.878300000000003</v>
      </c>
      <c r="AB14" s="17">
        <v>56.878300000000003</v>
      </c>
      <c r="AC14" s="18">
        <v>56.878300000000003</v>
      </c>
    </row>
    <row r="15" spans="2:29" x14ac:dyDescent="0.3">
      <c r="B15" s="23" t="s">
        <v>42</v>
      </c>
      <c r="C15" s="24" t="s">
        <v>82</v>
      </c>
      <c r="D15" s="17">
        <v>16.5945</v>
      </c>
      <c r="E15" s="17">
        <v>16.760400000000001</v>
      </c>
      <c r="F15" s="17">
        <v>16.760400000000001</v>
      </c>
      <c r="G15" s="17">
        <v>16.760400000000001</v>
      </c>
      <c r="H15" s="17">
        <v>15.622</v>
      </c>
      <c r="I15" s="17">
        <v>15.551</v>
      </c>
      <c r="J15" s="17">
        <v>15.214700000000001</v>
      </c>
      <c r="K15" s="17">
        <v>17.511600000000001</v>
      </c>
      <c r="L15" s="17">
        <v>16.679400000000001</v>
      </c>
      <c r="M15" s="17">
        <v>16.4541</v>
      </c>
      <c r="N15" s="17">
        <v>8.7766000000000002</v>
      </c>
      <c r="O15" s="17">
        <v>12.6426</v>
      </c>
      <c r="P15" s="17">
        <v>16.9206</v>
      </c>
      <c r="Q15" s="17">
        <v>16.8813</v>
      </c>
      <c r="R15" s="17">
        <v>15.4815</v>
      </c>
      <c r="S15" s="17">
        <v>15.4815</v>
      </c>
      <c r="T15" s="17">
        <v>15.4815</v>
      </c>
      <c r="U15" s="17">
        <v>15.4815</v>
      </c>
      <c r="V15" s="17">
        <v>15.4815</v>
      </c>
      <c r="W15" s="17">
        <v>15.4815</v>
      </c>
      <c r="X15" s="17">
        <v>15.4815</v>
      </c>
      <c r="Y15" s="17">
        <v>15.4815</v>
      </c>
      <c r="Z15" s="17">
        <v>15.4815</v>
      </c>
      <c r="AA15" s="17">
        <v>15.4815</v>
      </c>
      <c r="AB15" s="17">
        <v>15.4815</v>
      </c>
      <c r="AC15" s="18">
        <v>15.4815</v>
      </c>
    </row>
    <row r="16" spans="2:29" x14ac:dyDescent="0.3">
      <c r="B16" s="23" t="s">
        <v>42</v>
      </c>
      <c r="C16" s="24" t="s">
        <v>81</v>
      </c>
      <c r="D16" s="17">
        <v>6.0336999999999996</v>
      </c>
      <c r="E16" s="17">
        <v>6.0336999999999996</v>
      </c>
      <c r="F16" s="17">
        <v>6.0336999999999996</v>
      </c>
      <c r="G16" s="17">
        <v>6.0336999999999996</v>
      </c>
      <c r="H16" s="17">
        <v>3.8479999999999999</v>
      </c>
      <c r="I16" s="17">
        <v>1.4051</v>
      </c>
      <c r="J16" s="17">
        <v>6.7045000000000003</v>
      </c>
      <c r="K16" s="17">
        <v>6.7922000000000002</v>
      </c>
      <c r="L16" s="17">
        <v>5.9215999999999998</v>
      </c>
      <c r="M16" s="17">
        <v>3.4177</v>
      </c>
      <c r="N16" s="17">
        <v>3.944</v>
      </c>
      <c r="O16" s="17">
        <v>4.0928000000000004</v>
      </c>
      <c r="P16" s="17">
        <v>4.7233000000000001</v>
      </c>
      <c r="Q16" s="17">
        <v>4.7690000000000001</v>
      </c>
      <c r="R16" s="17">
        <v>4.5284000000000004</v>
      </c>
      <c r="S16" s="17">
        <v>4.5284000000000004</v>
      </c>
      <c r="T16" s="17">
        <v>4.5284000000000004</v>
      </c>
      <c r="U16" s="17">
        <v>4.5284000000000004</v>
      </c>
      <c r="V16" s="17">
        <v>4.5284000000000004</v>
      </c>
      <c r="W16" s="17">
        <v>4.5284000000000004</v>
      </c>
      <c r="X16" s="17">
        <v>4.5284000000000004</v>
      </c>
      <c r="Y16" s="17">
        <v>4.5284000000000004</v>
      </c>
      <c r="Z16" s="17">
        <v>4.5284000000000004</v>
      </c>
      <c r="AA16" s="17">
        <v>4.5284000000000004</v>
      </c>
      <c r="AB16" s="17">
        <v>4.5284000000000004</v>
      </c>
      <c r="AC16" s="18">
        <v>4.5284000000000004</v>
      </c>
    </row>
    <row r="17" spans="2:29" x14ac:dyDescent="0.3">
      <c r="B17" s="23" t="s">
        <v>152</v>
      </c>
      <c r="C17" s="24"/>
      <c r="D17" s="17">
        <v>260.93699999999995</v>
      </c>
      <c r="E17" s="17">
        <v>261.10289999999998</v>
      </c>
      <c r="F17" s="17">
        <v>261.10289999999998</v>
      </c>
      <c r="G17" s="17">
        <v>261.10289999999998</v>
      </c>
      <c r="H17" s="17">
        <v>226.75839999999999</v>
      </c>
      <c r="I17" s="17">
        <v>222.60629999999998</v>
      </c>
      <c r="J17" s="17">
        <v>291.6377</v>
      </c>
      <c r="K17" s="17">
        <v>293.80379999999997</v>
      </c>
      <c r="L17" s="17">
        <v>311.07209999999998</v>
      </c>
      <c r="M17" s="17">
        <v>272.18009999999998</v>
      </c>
      <c r="N17" s="17">
        <v>220.86179999999999</v>
      </c>
      <c r="O17" s="17">
        <v>278.96880000000004</v>
      </c>
      <c r="P17" s="17">
        <v>296.20909999999998</v>
      </c>
      <c r="Q17" s="17">
        <v>276.03770000000003</v>
      </c>
      <c r="R17" s="17">
        <v>283.7389</v>
      </c>
      <c r="S17" s="17">
        <v>283.7389</v>
      </c>
      <c r="T17" s="17">
        <v>283.7389</v>
      </c>
      <c r="U17" s="17">
        <v>283.7389</v>
      </c>
      <c r="V17" s="17">
        <v>283.7389</v>
      </c>
      <c r="W17" s="17">
        <v>283.7389</v>
      </c>
      <c r="X17" s="17">
        <v>283.7389</v>
      </c>
      <c r="Y17" s="17">
        <v>283.7389</v>
      </c>
      <c r="Z17" s="17">
        <v>283.7389</v>
      </c>
      <c r="AA17" s="17">
        <v>283.7389</v>
      </c>
      <c r="AB17" s="17">
        <v>283.7389</v>
      </c>
      <c r="AC17" s="18">
        <v>283.7389</v>
      </c>
    </row>
    <row r="18" spans="2:29" x14ac:dyDescent="0.3">
      <c r="B18" s="29" t="s">
        <v>43</v>
      </c>
      <c r="C18" s="30" t="s">
        <v>85</v>
      </c>
      <c r="D18" s="17">
        <v>72.177899999999994</v>
      </c>
      <c r="E18" s="17">
        <v>72.177899999999994</v>
      </c>
      <c r="F18" s="17">
        <v>72.177899999999994</v>
      </c>
      <c r="G18" s="17">
        <v>72.177899999999994</v>
      </c>
      <c r="H18" s="17">
        <v>66.990499999999997</v>
      </c>
      <c r="I18" s="17">
        <v>65.958299999999994</v>
      </c>
      <c r="J18" s="17">
        <v>86.094200000000001</v>
      </c>
      <c r="K18" s="17">
        <v>85.875200000000007</v>
      </c>
      <c r="L18" s="17">
        <v>83.288499999999999</v>
      </c>
      <c r="M18" s="17">
        <v>79.676299999999998</v>
      </c>
      <c r="N18" s="17">
        <v>59.950899999999997</v>
      </c>
      <c r="O18" s="17">
        <v>76.844899999999996</v>
      </c>
      <c r="P18" s="17">
        <v>79.534700000000001</v>
      </c>
      <c r="Q18" s="17">
        <v>71.898499999999999</v>
      </c>
      <c r="R18" s="17">
        <v>76.092699999999994</v>
      </c>
      <c r="S18" s="17">
        <v>76.092699999999994</v>
      </c>
      <c r="T18" s="17">
        <v>76.092699999999994</v>
      </c>
      <c r="U18" s="17">
        <v>76.092699999999994</v>
      </c>
      <c r="V18" s="17">
        <v>76.092699999999994</v>
      </c>
      <c r="W18" s="17">
        <v>76.092699999999994</v>
      </c>
      <c r="X18" s="17">
        <v>76.092699999999994</v>
      </c>
      <c r="Y18" s="17">
        <v>76.092699999999994</v>
      </c>
      <c r="Z18" s="17">
        <v>76.092699999999994</v>
      </c>
      <c r="AA18" s="17">
        <v>76.092699999999994</v>
      </c>
      <c r="AB18" s="17">
        <v>76.092699999999994</v>
      </c>
      <c r="AC18" s="18">
        <v>76.092699999999994</v>
      </c>
    </row>
    <row r="19" spans="2:29" x14ac:dyDescent="0.3">
      <c r="B19" s="29" t="s">
        <v>43</v>
      </c>
      <c r="C19" s="30" t="s">
        <v>84</v>
      </c>
      <c r="D19" s="17">
        <v>111.134</v>
      </c>
      <c r="E19" s="17">
        <v>111.134</v>
      </c>
      <c r="F19" s="17">
        <v>111.134</v>
      </c>
      <c r="G19" s="17">
        <v>111.134</v>
      </c>
      <c r="H19" s="17">
        <v>97.389099999999999</v>
      </c>
      <c r="I19" s="17">
        <v>98.531999999999996</v>
      </c>
      <c r="J19" s="17">
        <v>116.086</v>
      </c>
      <c r="K19" s="17">
        <v>119.91200000000001</v>
      </c>
      <c r="L19" s="17">
        <v>137.815</v>
      </c>
      <c r="M19" s="17">
        <v>110.562</v>
      </c>
      <c r="N19" s="17">
        <v>100.602</v>
      </c>
      <c r="O19" s="17">
        <v>130.429</v>
      </c>
      <c r="P19" s="17">
        <v>136.36099999999999</v>
      </c>
      <c r="Q19" s="17">
        <v>125.483</v>
      </c>
      <c r="R19" s="17">
        <v>130.75800000000001</v>
      </c>
      <c r="S19" s="17">
        <v>130.75800000000001</v>
      </c>
      <c r="T19" s="17">
        <v>130.75800000000001</v>
      </c>
      <c r="U19" s="17">
        <v>130.75800000000001</v>
      </c>
      <c r="V19" s="17">
        <v>130.75800000000001</v>
      </c>
      <c r="W19" s="17">
        <v>130.75800000000001</v>
      </c>
      <c r="X19" s="17">
        <v>130.75800000000001</v>
      </c>
      <c r="Y19" s="17">
        <v>130.75800000000001</v>
      </c>
      <c r="Z19" s="17">
        <v>130.75800000000001</v>
      </c>
      <c r="AA19" s="17">
        <v>130.75800000000001</v>
      </c>
      <c r="AB19" s="17">
        <v>130.75800000000001</v>
      </c>
      <c r="AC19" s="18">
        <v>130.75800000000001</v>
      </c>
    </row>
    <row r="20" spans="2:29" x14ac:dyDescent="0.3">
      <c r="B20" s="29" t="s">
        <v>43</v>
      </c>
      <c r="C20" s="30" t="s">
        <v>83</v>
      </c>
      <c r="D20" s="17">
        <v>54.996899999999997</v>
      </c>
      <c r="E20" s="17">
        <v>54.996899999999997</v>
      </c>
      <c r="F20" s="17">
        <v>54.996899999999997</v>
      </c>
      <c r="G20" s="17">
        <v>54.996899999999997</v>
      </c>
      <c r="H20" s="17">
        <v>42.908799999999999</v>
      </c>
      <c r="I20" s="17">
        <v>41.1599</v>
      </c>
      <c r="J20" s="17">
        <v>67.538300000000007</v>
      </c>
      <c r="K20" s="17">
        <v>63.712800000000001</v>
      </c>
      <c r="L20" s="17">
        <v>67.367599999999996</v>
      </c>
      <c r="M20" s="17">
        <v>62.07</v>
      </c>
      <c r="N20" s="17">
        <v>47.588299999999997</v>
      </c>
      <c r="O20" s="17">
        <v>54.959499999999998</v>
      </c>
      <c r="P20" s="17">
        <v>58.669499999999999</v>
      </c>
      <c r="Q20" s="17">
        <v>57.005899999999997</v>
      </c>
      <c r="R20" s="17">
        <v>56.878300000000003</v>
      </c>
      <c r="S20" s="17">
        <v>56.878300000000003</v>
      </c>
      <c r="T20" s="17">
        <v>56.878300000000003</v>
      </c>
      <c r="U20" s="17">
        <v>56.878300000000003</v>
      </c>
      <c r="V20" s="17">
        <v>56.878300000000003</v>
      </c>
      <c r="W20" s="17">
        <v>56.878300000000003</v>
      </c>
      <c r="X20" s="17">
        <v>56.878300000000003</v>
      </c>
      <c r="Y20" s="17">
        <v>56.878300000000003</v>
      </c>
      <c r="Z20" s="17">
        <v>56.878300000000003</v>
      </c>
      <c r="AA20" s="17">
        <v>56.878300000000003</v>
      </c>
      <c r="AB20" s="17">
        <v>56.878300000000003</v>
      </c>
      <c r="AC20" s="18">
        <v>56.878300000000003</v>
      </c>
    </row>
    <row r="21" spans="2:29" x14ac:dyDescent="0.3">
      <c r="B21" s="29" t="s">
        <v>43</v>
      </c>
      <c r="C21" s="30" t="s">
        <v>82</v>
      </c>
      <c r="D21" s="17">
        <v>16.5945</v>
      </c>
      <c r="E21" s="17">
        <v>16.760400000000001</v>
      </c>
      <c r="F21" s="17">
        <v>16.760400000000001</v>
      </c>
      <c r="G21" s="17">
        <v>16.760400000000001</v>
      </c>
      <c r="H21" s="17">
        <v>15.622</v>
      </c>
      <c r="I21" s="17">
        <v>15.551</v>
      </c>
      <c r="J21" s="17">
        <v>15.214700000000001</v>
      </c>
      <c r="K21" s="17">
        <v>17.511600000000001</v>
      </c>
      <c r="L21" s="17">
        <v>16.679400000000001</v>
      </c>
      <c r="M21" s="17">
        <v>16.4541</v>
      </c>
      <c r="N21" s="17">
        <v>8.7766000000000002</v>
      </c>
      <c r="O21" s="17">
        <v>12.6426</v>
      </c>
      <c r="P21" s="17">
        <v>16.9206</v>
      </c>
      <c r="Q21" s="17">
        <v>16.8813</v>
      </c>
      <c r="R21" s="17">
        <v>15.4815</v>
      </c>
      <c r="S21" s="17">
        <v>15.4815</v>
      </c>
      <c r="T21" s="17">
        <v>15.4815</v>
      </c>
      <c r="U21" s="17">
        <v>15.4815</v>
      </c>
      <c r="V21" s="17">
        <v>15.4815</v>
      </c>
      <c r="W21" s="17">
        <v>15.4815</v>
      </c>
      <c r="X21" s="17">
        <v>15.4815</v>
      </c>
      <c r="Y21" s="17">
        <v>15.4815</v>
      </c>
      <c r="Z21" s="17">
        <v>15.4815</v>
      </c>
      <c r="AA21" s="17">
        <v>15.4815</v>
      </c>
      <c r="AB21" s="17">
        <v>15.4815</v>
      </c>
      <c r="AC21" s="18">
        <v>15.4815</v>
      </c>
    </row>
    <row r="22" spans="2:29" x14ac:dyDescent="0.3">
      <c r="B22" s="29" t="s">
        <v>43</v>
      </c>
      <c r="C22" s="30" t="s">
        <v>81</v>
      </c>
      <c r="D22" s="17">
        <v>6.0336999999999996</v>
      </c>
      <c r="E22" s="17">
        <v>6.0336999999999996</v>
      </c>
      <c r="F22" s="17">
        <v>6.0336999999999996</v>
      </c>
      <c r="G22" s="17">
        <v>6.0336999999999996</v>
      </c>
      <c r="H22" s="17">
        <v>3.8479999999999999</v>
      </c>
      <c r="I22" s="17">
        <v>1.4051</v>
      </c>
      <c r="J22" s="17">
        <v>6.7045000000000003</v>
      </c>
      <c r="K22" s="17">
        <v>6.7922000000000002</v>
      </c>
      <c r="L22" s="17">
        <v>5.9215999999999998</v>
      </c>
      <c r="M22" s="17">
        <v>3.4177</v>
      </c>
      <c r="N22" s="17">
        <v>3.944</v>
      </c>
      <c r="O22" s="17">
        <v>4.0928000000000004</v>
      </c>
      <c r="P22" s="17">
        <v>4.7233000000000001</v>
      </c>
      <c r="Q22" s="17">
        <v>4.7690000000000001</v>
      </c>
      <c r="R22" s="17">
        <v>4.5284000000000004</v>
      </c>
      <c r="S22" s="17">
        <v>4.5284000000000004</v>
      </c>
      <c r="T22" s="17">
        <v>4.5284000000000004</v>
      </c>
      <c r="U22" s="17">
        <v>4.5284000000000004</v>
      </c>
      <c r="V22" s="17">
        <v>4.5284000000000004</v>
      </c>
      <c r="W22" s="17">
        <v>4.5284000000000004</v>
      </c>
      <c r="X22" s="17">
        <v>4.5284000000000004</v>
      </c>
      <c r="Y22" s="17">
        <v>4.5284000000000004</v>
      </c>
      <c r="Z22" s="17">
        <v>4.5284000000000004</v>
      </c>
      <c r="AA22" s="17">
        <v>4.5284000000000004</v>
      </c>
      <c r="AB22" s="17">
        <v>4.5284000000000004</v>
      </c>
      <c r="AC22" s="18">
        <v>4.5284000000000004</v>
      </c>
    </row>
    <row r="23" spans="2:29" ht="15" thickBot="1" x14ac:dyDescent="0.35">
      <c r="B23" s="31" t="s">
        <v>153</v>
      </c>
      <c r="C23" s="32"/>
      <c r="D23" s="19">
        <v>260.93699999999995</v>
      </c>
      <c r="E23" s="19">
        <v>261.10289999999998</v>
      </c>
      <c r="F23" s="19">
        <v>261.10289999999998</v>
      </c>
      <c r="G23" s="19">
        <v>261.10289999999998</v>
      </c>
      <c r="H23" s="19">
        <v>226.75839999999999</v>
      </c>
      <c r="I23" s="19">
        <v>222.60629999999998</v>
      </c>
      <c r="J23" s="19">
        <v>291.6377</v>
      </c>
      <c r="K23" s="19">
        <v>293.80379999999997</v>
      </c>
      <c r="L23" s="19">
        <v>311.07209999999998</v>
      </c>
      <c r="M23" s="19">
        <v>272.18009999999998</v>
      </c>
      <c r="N23" s="19">
        <v>220.86179999999999</v>
      </c>
      <c r="O23" s="19">
        <v>278.96880000000004</v>
      </c>
      <c r="P23" s="19">
        <v>296.20909999999998</v>
      </c>
      <c r="Q23" s="19">
        <v>276.03770000000003</v>
      </c>
      <c r="R23" s="19">
        <v>283.7389</v>
      </c>
      <c r="S23" s="19">
        <v>283.7389</v>
      </c>
      <c r="T23" s="19">
        <v>283.7389</v>
      </c>
      <c r="U23" s="19">
        <v>283.7389</v>
      </c>
      <c r="V23" s="19">
        <v>283.7389</v>
      </c>
      <c r="W23" s="19">
        <v>283.7389</v>
      </c>
      <c r="X23" s="19">
        <v>283.7389</v>
      </c>
      <c r="Y23" s="19">
        <v>283.7389</v>
      </c>
      <c r="Z23" s="19">
        <v>283.7389</v>
      </c>
      <c r="AA23" s="19">
        <v>283.7389</v>
      </c>
      <c r="AB23" s="19">
        <v>283.7389</v>
      </c>
      <c r="AC23" s="20">
        <v>283.7389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C3BC8-81E6-4A66-96D6-29C7E8925DBA}">
  <dimension ref="B3:AC34"/>
  <sheetViews>
    <sheetView zoomScale="70" zoomScaleNormal="70" workbookViewId="0">
      <selection activeCell="B36" sqref="B36"/>
    </sheetView>
  </sheetViews>
  <sheetFormatPr baseColWidth="10" defaultColWidth="9.109375" defaultRowHeight="14.4" x14ac:dyDescent="0.3"/>
  <cols>
    <col min="2" max="2" width="36" customWidth="1"/>
    <col min="3" max="3" width="48.33203125" customWidth="1"/>
    <col min="4" max="4" width="12.77734375" bestFit="1" customWidth="1"/>
    <col min="5" max="29" width="5.33203125" bestFit="1" customWidth="1"/>
  </cols>
  <sheetData>
    <row r="3" spans="2:29" ht="18.600000000000001" thickBot="1" x14ac:dyDescent="0.4">
      <c r="B3" s="33" t="s">
        <v>69</v>
      </c>
    </row>
    <row r="4" spans="2:29" ht="15" thickBot="1" x14ac:dyDescent="0.35">
      <c r="B4" s="34" t="s">
        <v>34</v>
      </c>
      <c r="C4" s="35" t="s">
        <v>35</v>
      </c>
      <c r="D4" s="35">
        <v>2010</v>
      </c>
      <c r="E4" s="35">
        <v>2011</v>
      </c>
      <c r="F4" s="35">
        <v>2012</v>
      </c>
      <c r="G4" s="35">
        <v>2013</v>
      </c>
      <c r="H4" s="35">
        <v>2014</v>
      </c>
      <c r="I4" s="35">
        <v>2015</v>
      </c>
      <c r="J4" s="35">
        <v>2016</v>
      </c>
      <c r="K4" s="35">
        <v>2017</v>
      </c>
      <c r="L4" s="35">
        <v>2018</v>
      </c>
      <c r="M4" s="35">
        <v>2019</v>
      </c>
      <c r="N4" s="35">
        <v>2020</v>
      </c>
      <c r="O4" s="35">
        <v>2021</v>
      </c>
      <c r="P4" s="35">
        <v>2022</v>
      </c>
      <c r="Q4" s="35">
        <v>2023</v>
      </c>
      <c r="R4" s="35">
        <v>2024</v>
      </c>
      <c r="S4" s="35">
        <v>2025</v>
      </c>
      <c r="T4" s="35">
        <v>2026</v>
      </c>
      <c r="U4" s="35">
        <v>2027</v>
      </c>
      <c r="V4" s="35">
        <v>2028</v>
      </c>
      <c r="W4" s="35">
        <v>2029</v>
      </c>
      <c r="X4" s="35">
        <v>2030</v>
      </c>
      <c r="Y4" s="35">
        <v>2031</v>
      </c>
      <c r="Z4" s="35">
        <v>2032</v>
      </c>
      <c r="AA4" s="35">
        <v>2033</v>
      </c>
      <c r="AB4" s="35">
        <v>2034</v>
      </c>
      <c r="AC4" s="36">
        <v>2035</v>
      </c>
    </row>
    <row r="5" spans="2:29" x14ac:dyDescent="0.3">
      <c r="B5" s="27" t="s">
        <v>31</v>
      </c>
      <c r="C5" s="28" t="s">
        <v>65</v>
      </c>
      <c r="D5" s="38">
        <v>0.71603629829239579</v>
      </c>
      <c r="E5" s="38">
        <v>0.7912669600791854</v>
      </c>
      <c r="F5" s="38">
        <v>0.76892507913458763</v>
      </c>
      <c r="G5" s="38">
        <v>0.77349050083062831</v>
      </c>
      <c r="H5" s="38">
        <v>0.79821695807029991</v>
      </c>
      <c r="I5" s="38">
        <v>0.63920160582980579</v>
      </c>
      <c r="J5" s="38">
        <v>0.6736584619942283</v>
      </c>
      <c r="K5" s="38">
        <v>0.72153043111111836</v>
      </c>
      <c r="L5" s="38">
        <v>0.71374502671386086</v>
      </c>
      <c r="M5" s="38">
        <v>0.87072071416814911</v>
      </c>
      <c r="N5" s="38">
        <v>0.79379776633863364</v>
      </c>
      <c r="O5" s="38">
        <v>0.89532351329744175</v>
      </c>
      <c r="P5" s="38">
        <v>0.85363359971734398</v>
      </c>
      <c r="Q5" s="38">
        <v>0.85363359971734398</v>
      </c>
      <c r="R5" s="38">
        <v>0.85363359971734398</v>
      </c>
      <c r="S5" s="38">
        <v>0.85363359971734398</v>
      </c>
      <c r="T5" s="38">
        <v>0.85363359971734398</v>
      </c>
      <c r="U5" s="38">
        <v>0.85363359971734398</v>
      </c>
      <c r="V5" s="38">
        <v>0.85363359971734398</v>
      </c>
      <c r="W5" s="38">
        <v>0.85363359971734398</v>
      </c>
      <c r="X5" s="38">
        <v>0.85363359971734398</v>
      </c>
      <c r="Y5" s="38">
        <v>0.85363359971734398</v>
      </c>
      <c r="Z5" s="38">
        <v>0.85363359971734398</v>
      </c>
      <c r="AA5" s="38">
        <v>0.85363359971734398</v>
      </c>
      <c r="AB5" s="38">
        <v>0.85363359971734398</v>
      </c>
      <c r="AC5" s="39">
        <v>0.85363359971734398</v>
      </c>
    </row>
    <row r="6" spans="2:29" x14ac:dyDescent="0.3">
      <c r="B6" s="29" t="s">
        <v>31</v>
      </c>
      <c r="C6" s="30" t="s">
        <v>55</v>
      </c>
      <c r="D6" s="8">
        <v>0.5381441231664319</v>
      </c>
      <c r="E6" s="8">
        <v>0.58205277269280653</v>
      </c>
      <c r="F6" s="8">
        <v>0.66151011140022387</v>
      </c>
      <c r="G6" s="8">
        <v>0.44179219880633325</v>
      </c>
      <c r="H6" s="8">
        <v>0.42929805412871802</v>
      </c>
      <c r="I6" s="8">
        <v>0.41045708807840375</v>
      </c>
      <c r="J6" s="8">
        <v>0.53163023892176631</v>
      </c>
      <c r="K6" s="8">
        <v>0.54002081546710068</v>
      </c>
      <c r="L6" s="8">
        <v>0.53043737762827048</v>
      </c>
      <c r="M6" s="8">
        <v>0.52730400337070615</v>
      </c>
      <c r="N6" s="8">
        <v>0.51931818458340173</v>
      </c>
      <c r="O6" s="8">
        <v>0.55915726109796404</v>
      </c>
      <c r="P6" s="8">
        <v>0.562715789632388</v>
      </c>
      <c r="Q6" s="8">
        <v>0.562715789632388</v>
      </c>
      <c r="R6" s="8">
        <v>0.562715789632388</v>
      </c>
      <c r="S6" s="8">
        <v>0.562715789632388</v>
      </c>
      <c r="T6" s="8">
        <v>0.562715789632388</v>
      </c>
      <c r="U6" s="8">
        <v>0.562715789632388</v>
      </c>
      <c r="V6" s="8">
        <v>0.562715789632388</v>
      </c>
      <c r="W6" s="8">
        <v>0.562715789632388</v>
      </c>
      <c r="X6" s="8">
        <v>0.562715789632388</v>
      </c>
      <c r="Y6" s="8">
        <v>0.562715789632388</v>
      </c>
      <c r="Z6" s="8">
        <v>0.562715789632388</v>
      </c>
      <c r="AA6" s="8">
        <v>0.562715789632388</v>
      </c>
      <c r="AB6" s="8">
        <v>0.562715789632388</v>
      </c>
      <c r="AC6" s="9">
        <v>0.562715789632388</v>
      </c>
    </row>
    <row r="7" spans="2:29" x14ac:dyDescent="0.3">
      <c r="B7" s="29" t="s">
        <v>31</v>
      </c>
      <c r="C7" s="30" t="s">
        <v>68</v>
      </c>
      <c r="D7" s="8">
        <v>0.5381441231664319</v>
      </c>
      <c r="E7" s="8">
        <v>0.58205277269280653</v>
      </c>
      <c r="F7" s="8">
        <v>0.66151011140022387</v>
      </c>
      <c r="G7" s="8">
        <v>0.44179219880633325</v>
      </c>
      <c r="H7" s="8">
        <v>0.42929805412871802</v>
      </c>
      <c r="I7" s="8">
        <v>0.41045708807840375</v>
      </c>
      <c r="J7" s="8">
        <v>0.53163023892176631</v>
      </c>
      <c r="K7" s="8">
        <v>0.54002081546710068</v>
      </c>
      <c r="L7" s="8">
        <v>0.53043737762827048</v>
      </c>
      <c r="M7" s="8">
        <v>0.52730400337070615</v>
      </c>
      <c r="N7" s="8">
        <v>0.51931818458340173</v>
      </c>
      <c r="O7" s="8">
        <v>0.55915726109796404</v>
      </c>
      <c r="P7" s="8">
        <v>0.562715789632388</v>
      </c>
      <c r="Q7" s="8">
        <v>0.562715789632388</v>
      </c>
      <c r="R7" s="8">
        <v>0.562715789632388</v>
      </c>
      <c r="S7" s="8">
        <v>0.562715789632388</v>
      </c>
      <c r="T7" s="8">
        <v>0.562715789632388</v>
      </c>
      <c r="U7" s="8">
        <v>0.562715789632388</v>
      </c>
      <c r="V7" s="8">
        <v>0.562715789632388</v>
      </c>
      <c r="W7" s="8">
        <v>0.562715789632388</v>
      </c>
      <c r="X7" s="8">
        <v>0.562715789632388</v>
      </c>
      <c r="Y7" s="8">
        <v>0.562715789632388</v>
      </c>
      <c r="Z7" s="8">
        <v>0.562715789632388</v>
      </c>
      <c r="AA7" s="8">
        <v>0.562715789632388</v>
      </c>
      <c r="AB7" s="8">
        <v>0.562715789632388</v>
      </c>
      <c r="AC7" s="9">
        <v>0.562715789632388</v>
      </c>
    </row>
    <row r="8" spans="2:29" x14ac:dyDescent="0.3">
      <c r="B8" s="29" t="s">
        <v>31</v>
      </c>
      <c r="C8" s="30" t="s">
        <v>172</v>
      </c>
      <c r="D8" s="8">
        <v>0.49327316768699642</v>
      </c>
      <c r="E8" s="8">
        <v>0.49655771308747976</v>
      </c>
      <c r="F8" s="8">
        <v>0.5047648484283882</v>
      </c>
      <c r="G8" s="8">
        <v>0.60470488235336683</v>
      </c>
      <c r="H8" s="8">
        <v>0.93947861542645272</v>
      </c>
      <c r="I8" s="8">
        <v>0.7108285802949138</v>
      </c>
      <c r="J8" s="8">
        <v>0.33943889618670248</v>
      </c>
      <c r="K8" s="8">
        <v>0.29479147174693821</v>
      </c>
      <c r="L8" s="8">
        <v>0.29864945069901189</v>
      </c>
      <c r="M8" s="8">
        <v>0.30885922614655109</v>
      </c>
      <c r="N8" s="8">
        <v>0.28285946099688264</v>
      </c>
      <c r="O8" s="8">
        <v>0.30642160825645665</v>
      </c>
      <c r="P8" s="8">
        <v>0.30429480373659662</v>
      </c>
      <c r="Q8" s="8">
        <v>0.30429480373659662</v>
      </c>
      <c r="R8" s="8">
        <v>0.30429480373659662</v>
      </c>
      <c r="S8" s="8">
        <v>0.30429480373659662</v>
      </c>
      <c r="T8" s="8">
        <v>0.30429480373659662</v>
      </c>
      <c r="U8" s="8">
        <v>0.30429480373659662</v>
      </c>
      <c r="V8" s="8">
        <v>0.30429480373659662</v>
      </c>
      <c r="W8" s="8">
        <v>0.30429480373659662</v>
      </c>
      <c r="X8" s="8">
        <v>0.30429480373659662</v>
      </c>
      <c r="Y8" s="8">
        <v>0.30429480373659662</v>
      </c>
      <c r="Z8" s="8">
        <v>0.30429480373659662</v>
      </c>
      <c r="AA8" s="8">
        <v>0.30429480373659662</v>
      </c>
      <c r="AB8" s="8">
        <v>0.30429480373659662</v>
      </c>
      <c r="AC8" s="9">
        <v>0.30429480373659662</v>
      </c>
    </row>
    <row r="9" spans="2:29" x14ac:dyDescent="0.3">
      <c r="B9" s="23" t="s">
        <v>28</v>
      </c>
      <c r="C9" s="24" t="s">
        <v>48</v>
      </c>
      <c r="D9" s="8">
        <v>0.19432159493670886</v>
      </c>
      <c r="E9" s="8">
        <v>0.19432159493670886</v>
      </c>
      <c r="F9" s="8">
        <v>0.19432159493670886</v>
      </c>
      <c r="G9" s="8">
        <v>0.19432159493670886</v>
      </c>
      <c r="H9" s="8">
        <v>0.19432159493670886</v>
      </c>
      <c r="I9" s="8">
        <v>0.19432159493670886</v>
      </c>
      <c r="J9" s="8">
        <v>0.19432159493670886</v>
      </c>
      <c r="K9" s="8">
        <v>0.19432159493670886</v>
      </c>
      <c r="L9" s="8">
        <v>0.19432159493670886</v>
      </c>
      <c r="M9" s="8">
        <v>0.19432159493670886</v>
      </c>
      <c r="N9" s="8">
        <v>0.19432159493670886</v>
      </c>
      <c r="O9" s="8">
        <v>0.19432159493670886</v>
      </c>
      <c r="P9" s="8">
        <v>0.19432159493670886</v>
      </c>
      <c r="Q9" s="8">
        <v>0.19432159493670886</v>
      </c>
      <c r="R9" s="8">
        <v>0.19432159493670886</v>
      </c>
      <c r="S9" s="8">
        <v>0.19432159493670886</v>
      </c>
      <c r="T9" s="8">
        <v>0.19432159493670886</v>
      </c>
      <c r="U9" s="8">
        <v>0.19432159493670886</v>
      </c>
      <c r="V9" s="8">
        <v>0.19432159493670886</v>
      </c>
      <c r="W9" s="8">
        <v>0.19432159493670886</v>
      </c>
      <c r="X9" s="8">
        <v>0.19432159493670886</v>
      </c>
      <c r="Y9" s="8">
        <v>0.19432159493670886</v>
      </c>
      <c r="Z9" s="8">
        <v>0.19432159493670886</v>
      </c>
      <c r="AA9" s="8">
        <v>0.19432159493670886</v>
      </c>
      <c r="AB9" s="8">
        <v>0.19432159493670886</v>
      </c>
      <c r="AC9" s="9">
        <v>0.19432159493670886</v>
      </c>
    </row>
    <row r="10" spans="2:29" x14ac:dyDescent="0.3">
      <c r="B10" s="23" t="s">
        <v>28</v>
      </c>
      <c r="C10" s="24" t="s">
        <v>53</v>
      </c>
      <c r="D10" s="8">
        <v>0.17197638788752706</v>
      </c>
      <c r="E10" s="8">
        <v>0.16746124729632306</v>
      </c>
      <c r="F10" s="8">
        <v>1.5248471254239105E-2</v>
      </c>
      <c r="G10" s="8">
        <v>0.36050917913759545</v>
      </c>
      <c r="H10" s="8">
        <v>0.50674758648269558</v>
      </c>
      <c r="I10" s="8">
        <v>0.6733724629131983</v>
      </c>
      <c r="J10" s="8">
        <v>0.56819749310698908</v>
      </c>
      <c r="K10" s="8">
        <v>0.48933709845389728</v>
      </c>
      <c r="L10" s="8">
        <v>0.53674445973797091</v>
      </c>
      <c r="M10" s="8">
        <v>0.58246846256363194</v>
      </c>
      <c r="N10" s="8">
        <v>0.52173006197519534</v>
      </c>
      <c r="O10" s="8">
        <v>0.14880448544040514</v>
      </c>
      <c r="P10" s="8">
        <v>0.10463118678948501</v>
      </c>
      <c r="Q10" s="8">
        <v>0.10463118678948501</v>
      </c>
      <c r="R10" s="8">
        <v>0.10463118678948501</v>
      </c>
      <c r="S10" s="8">
        <v>0.10463118678948501</v>
      </c>
      <c r="T10" s="8">
        <v>0.10463118678948501</v>
      </c>
      <c r="U10" s="8">
        <v>0.10463118678948501</v>
      </c>
      <c r="V10" s="8">
        <v>0.10463118678948501</v>
      </c>
      <c r="W10" s="8">
        <v>0.10463118678948501</v>
      </c>
      <c r="X10" s="8">
        <v>0.10463118678948501</v>
      </c>
      <c r="Y10" s="8">
        <v>0.10463118678948501</v>
      </c>
      <c r="Z10" s="8">
        <v>0.10463118678948501</v>
      </c>
      <c r="AA10" s="8">
        <v>0.10463118678948501</v>
      </c>
      <c r="AB10" s="8">
        <v>0.10463118678948501</v>
      </c>
      <c r="AC10" s="9">
        <v>0.10463118678948501</v>
      </c>
    </row>
    <row r="11" spans="2:29" x14ac:dyDescent="0.3">
      <c r="B11" s="23" t="s">
        <v>28</v>
      </c>
      <c r="C11" s="24" t="s">
        <v>54</v>
      </c>
      <c r="D11" s="8">
        <v>0.11803148793218639</v>
      </c>
      <c r="E11" s="8">
        <v>0.11796481935018722</v>
      </c>
      <c r="F11" s="8">
        <v>0.13540450162075568</v>
      </c>
      <c r="G11" s="8">
        <v>0.11814144782333</v>
      </c>
      <c r="H11" s="8">
        <v>0.10636431945731636</v>
      </c>
      <c r="I11" s="8">
        <v>0.11855378640506212</v>
      </c>
      <c r="J11" s="8">
        <v>0.111740420515529</v>
      </c>
      <c r="K11" s="8">
        <v>0.11644382946088763</v>
      </c>
      <c r="L11" s="8">
        <v>0.11241065200149922</v>
      </c>
      <c r="M11" s="8">
        <v>0.1074508906931623</v>
      </c>
      <c r="N11" s="8">
        <v>0.10201947666103592</v>
      </c>
      <c r="O11" s="8">
        <v>0.11043195896721485</v>
      </c>
      <c r="P11" s="8">
        <v>0.11291568537559198</v>
      </c>
      <c r="Q11" s="8">
        <v>0.11291568537559198</v>
      </c>
      <c r="R11" s="8">
        <v>0.11291568537559198</v>
      </c>
      <c r="S11" s="8">
        <v>0.11291568537559198</v>
      </c>
      <c r="T11" s="8">
        <v>0.11291568537559198</v>
      </c>
      <c r="U11" s="8">
        <v>0.11291568537559198</v>
      </c>
      <c r="V11" s="8">
        <v>0.11291568537559198</v>
      </c>
      <c r="W11" s="8">
        <v>0.11291568537559198</v>
      </c>
      <c r="X11" s="8">
        <v>0.11291568537559198</v>
      </c>
      <c r="Y11" s="8">
        <v>0.11291568537559198</v>
      </c>
      <c r="Z11" s="8">
        <v>0.11291568537559198</v>
      </c>
      <c r="AA11" s="8">
        <v>0.11291568537559198</v>
      </c>
      <c r="AB11" s="8">
        <v>0.11291568537559198</v>
      </c>
      <c r="AC11" s="9">
        <v>0.11291568537559198</v>
      </c>
    </row>
    <row r="12" spans="2:29" x14ac:dyDescent="0.3">
      <c r="B12" s="23" t="s">
        <v>28</v>
      </c>
      <c r="C12" s="24" t="s">
        <v>53</v>
      </c>
      <c r="D12" s="8">
        <v>0.12016342225426578</v>
      </c>
      <c r="E12" s="8">
        <v>0.12016342225426578</v>
      </c>
      <c r="F12" s="8">
        <v>0.12016342225426578</v>
      </c>
      <c r="G12" s="8">
        <v>0.12016342225426578</v>
      </c>
      <c r="H12" s="8">
        <v>0.12016342225426578</v>
      </c>
      <c r="I12" s="8">
        <v>0.25864171912944778</v>
      </c>
      <c r="J12" s="8">
        <v>0.15344346724448477</v>
      </c>
      <c r="K12" s="8">
        <v>0.16040170730257669</v>
      </c>
      <c r="L12" s="8">
        <v>0.169411801159254</v>
      </c>
      <c r="M12" s="8">
        <v>0.14332899845725672</v>
      </c>
      <c r="N12" s="8">
        <v>0.14118331640708784</v>
      </c>
      <c r="O12" s="8">
        <v>0.14118331640708784</v>
      </c>
      <c r="P12" s="8">
        <v>0.14118331640708784</v>
      </c>
      <c r="Q12" s="8">
        <v>0.14118331640708784</v>
      </c>
      <c r="R12" s="8">
        <v>0.14118331640708784</v>
      </c>
      <c r="S12" s="8">
        <v>0.14118331640708784</v>
      </c>
      <c r="T12" s="8">
        <v>0.14118331640708784</v>
      </c>
      <c r="U12" s="8">
        <v>0.14118331640708784</v>
      </c>
      <c r="V12" s="8">
        <v>0.14118331640708784</v>
      </c>
      <c r="W12" s="8">
        <v>0.14118331640708784</v>
      </c>
      <c r="X12" s="8">
        <v>0.14118331640708784</v>
      </c>
      <c r="Y12" s="8">
        <v>0.14118331640708784</v>
      </c>
      <c r="Z12" s="8">
        <v>0.14118331640708784</v>
      </c>
      <c r="AA12" s="8">
        <v>0.14118331640708784</v>
      </c>
      <c r="AB12" s="8">
        <v>0.14118331640708784</v>
      </c>
      <c r="AC12" s="9">
        <v>0.14118331640708784</v>
      </c>
    </row>
    <row r="13" spans="2:29" x14ac:dyDescent="0.3">
      <c r="B13" s="23" t="s">
        <v>28</v>
      </c>
      <c r="C13" s="24" t="s">
        <v>56</v>
      </c>
      <c r="D13" s="8">
        <v>0.97441015560477939</v>
      </c>
      <c r="E13" s="8">
        <v>0.61997088746226436</v>
      </c>
      <c r="F13" s="8">
        <v>0.62690963832695656</v>
      </c>
      <c r="G13" s="8">
        <v>0.45612821431014533</v>
      </c>
      <c r="H13" s="8">
        <v>0.47990402834881751</v>
      </c>
      <c r="I13" s="8">
        <v>0.48199672963425555</v>
      </c>
      <c r="J13" s="8">
        <v>0.37111543386189177</v>
      </c>
      <c r="K13" s="8">
        <v>9.5083598841765704E-2</v>
      </c>
      <c r="L13" s="8">
        <v>8.7184256971346782E-2</v>
      </c>
      <c r="M13" s="8">
        <v>1.0186209932517816E-2</v>
      </c>
      <c r="N13" s="8">
        <v>4.1033497996682641E-2</v>
      </c>
      <c r="O13" s="8">
        <v>3.6431935702826115E-2</v>
      </c>
      <c r="P13" s="8">
        <v>0.10037592243498239</v>
      </c>
      <c r="Q13" s="8">
        <v>0.10037592243498239</v>
      </c>
      <c r="R13" s="8">
        <v>0.10037592243498239</v>
      </c>
      <c r="S13" s="8">
        <v>0.10037592243498239</v>
      </c>
      <c r="T13" s="8">
        <v>0.10037592243498239</v>
      </c>
      <c r="U13" s="8">
        <v>0.10037592243498239</v>
      </c>
      <c r="V13" s="8">
        <v>0.10037592243498239</v>
      </c>
      <c r="W13" s="8">
        <v>0.10037592243498239</v>
      </c>
      <c r="X13" s="8">
        <v>0.10037592243498239</v>
      </c>
      <c r="Y13" s="8">
        <v>0.10037592243498239</v>
      </c>
      <c r="Z13" s="8">
        <v>0.10037592243498239</v>
      </c>
      <c r="AA13" s="8">
        <v>0.10037592243498239</v>
      </c>
      <c r="AB13" s="8">
        <v>0.10037592243498239</v>
      </c>
      <c r="AC13" s="9">
        <v>0.10037592243498239</v>
      </c>
    </row>
    <row r="14" spans="2:29" x14ac:dyDescent="0.3">
      <c r="B14" s="23" t="s">
        <v>28</v>
      </c>
      <c r="C14" s="24" t="s">
        <v>57</v>
      </c>
      <c r="D14" s="8">
        <v>0.21624025678420022</v>
      </c>
      <c r="E14" s="8">
        <v>0.13005162932095865</v>
      </c>
      <c r="F14" s="8">
        <v>0.1762168120816672</v>
      </c>
      <c r="G14" s="8">
        <v>0.2597253425424727</v>
      </c>
      <c r="H14" s="8">
        <v>0.2194229978696024</v>
      </c>
      <c r="I14" s="8">
        <v>0.22037982832438371</v>
      </c>
      <c r="J14" s="8">
        <v>0.10491746814079973</v>
      </c>
      <c r="K14" s="8">
        <v>3.7443866624453988E-2</v>
      </c>
      <c r="L14" s="8">
        <v>6.9411204938286078E-2</v>
      </c>
      <c r="M14" s="8">
        <v>6.6291574070232534E-2</v>
      </c>
      <c r="N14" s="8">
        <v>3.2662972059688537E-2</v>
      </c>
      <c r="O14" s="8">
        <v>3.5178188605193131E-2</v>
      </c>
      <c r="P14" s="8">
        <v>7.3684857924980737E-2</v>
      </c>
      <c r="Q14" s="8">
        <v>7.3684857924980737E-2</v>
      </c>
      <c r="R14" s="8">
        <v>7.3684857924980737E-2</v>
      </c>
      <c r="S14" s="8">
        <v>7.3684857924980737E-2</v>
      </c>
      <c r="T14" s="8">
        <v>7.3684857924980737E-2</v>
      </c>
      <c r="U14" s="8">
        <v>7.3684857924980737E-2</v>
      </c>
      <c r="V14" s="8">
        <v>7.3684857924980737E-2</v>
      </c>
      <c r="W14" s="8">
        <v>7.3684857924980737E-2</v>
      </c>
      <c r="X14" s="8">
        <v>7.3684857924980737E-2</v>
      </c>
      <c r="Y14" s="8">
        <v>7.3684857924980737E-2</v>
      </c>
      <c r="Z14" s="8">
        <v>7.3684857924980737E-2</v>
      </c>
      <c r="AA14" s="8">
        <v>7.3684857924980737E-2</v>
      </c>
      <c r="AB14" s="8">
        <v>7.3684857924980737E-2</v>
      </c>
      <c r="AC14" s="9">
        <v>7.3684857924980737E-2</v>
      </c>
    </row>
    <row r="15" spans="2:29" x14ac:dyDescent="0.3">
      <c r="B15" s="29" t="s">
        <v>24</v>
      </c>
      <c r="C15" s="30" t="s">
        <v>58</v>
      </c>
      <c r="D15" s="8">
        <v>0.47371390893326304</v>
      </c>
      <c r="E15" s="8">
        <v>0.6186852841631908</v>
      </c>
      <c r="F15" s="8">
        <v>0.69203354304622655</v>
      </c>
      <c r="G15" s="8">
        <v>0.56740061585105106</v>
      </c>
      <c r="H15" s="8">
        <v>0.58770330521622427</v>
      </c>
      <c r="I15" s="8">
        <v>0.67600795112523271</v>
      </c>
      <c r="J15" s="8">
        <v>0.57695978217434318</v>
      </c>
      <c r="K15" s="8">
        <v>0.51578021162108845</v>
      </c>
      <c r="L15" s="8">
        <v>0.54815192809130187</v>
      </c>
      <c r="M15" s="8">
        <v>0.62694505433242231</v>
      </c>
      <c r="N15" s="8">
        <v>0.58112234741514512</v>
      </c>
      <c r="O15" s="8">
        <v>0.61340041272346202</v>
      </c>
      <c r="P15" s="8">
        <v>0.57573928927404527</v>
      </c>
      <c r="Q15" s="8">
        <v>0.57573928927404527</v>
      </c>
      <c r="R15" s="8">
        <v>0.57573928927404527</v>
      </c>
      <c r="S15" s="8">
        <v>0.57573928927404527</v>
      </c>
      <c r="T15" s="8">
        <v>0.57573928927404527</v>
      </c>
      <c r="U15" s="8">
        <v>0.57573928927404527</v>
      </c>
      <c r="V15" s="8">
        <v>0.57573928927404527</v>
      </c>
      <c r="W15" s="8">
        <v>0.57573928927404527</v>
      </c>
      <c r="X15" s="8">
        <v>0.57573928927404527</v>
      </c>
      <c r="Y15" s="8">
        <v>0.57573928927404527</v>
      </c>
      <c r="Z15" s="8">
        <v>0.57573928927404527</v>
      </c>
      <c r="AA15" s="8">
        <v>0.57573928927404527</v>
      </c>
      <c r="AB15" s="8">
        <v>0.57573928927404527</v>
      </c>
      <c r="AC15" s="9">
        <v>0.57573928927404527</v>
      </c>
    </row>
    <row r="16" spans="2:29" x14ac:dyDescent="0.3">
      <c r="B16" s="29" t="s">
        <v>24</v>
      </c>
      <c r="C16" s="30" t="s">
        <v>70</v>
      </c>
      <c r="D16" s="8">
        <v>0.47371390893326304</v>
      </c>
      <c r="E16" s="8">
        <v>0.6186852841631908</v>
      </c>
      <c r="F16" s="8">
        <v>0.69203354304622655</v>
      </c>
      <c r="G16" s="8">
        <v>0.56740061585105106</v>
      </c>
      <c r="H16" s="8">
        <v>0.58770330521622427</v>
      </c>
      <c r="I16" s="8">
        <v>0.67600795112523271</v>
      </c>
      <c r="J16" s="8">
        <v>0.57695978217434318</v>
      </c>
      <c r="K16" s="8">
        <v>0.51578021162108845</v>
      </c>
      <c r="L16" s="8">
        <v>0.54815192809130187</v>
      </c>
      <c r="M16" s="8">
        <v>0.53416984768059073</v>
      </c>
      <c r="N16" s="8">
        <v>0.53416984768059073</v>
      </c>
      <c r="O16" s="8">
        <v>0.53416984768059073</v>
      </c>
      <c r="P16" s="8">
        <v>0.53416984768059073</v>
      </c>
      <c r="Q16" s="8">
        <v>0.53416984768059073</v>
      </c>
      <c r="R16" s="8">
        <v>0.53416984768059073</v>
      </c>
      <c r="S16" s="8">
        <v>0.53416984768059073</v>
      </c>
      <c r="T16" s="8">
        <v>0.53416984768059073</v>
      </c>
      <c r="U16" s="8">
        <v>0.53416984768059073</v>
      </c>
      <c r="V16" s="8">
        <v>0.53416984768059073</v>
      </c>
      <c r="W16" s="8">
        <v>0.53416984768059073</v>
      </c>
      <c r="X16" s="8">
        <v>0.34734808740532469</v>
      </c>
      <c r="Y16" s="8">
        <v>0.33389767772847534</v>
      </c>
      <c r="Z16" s="8">
        <v>0.29716897758252636</v>
      </c>
      <c r="AA16" s="8">
        <v>0.29716897758252636</v>
      </c>
      <c r="AB16" s="8">
        <v>0.29716897758252636</v>
      </c>
      <c r="AC16" s="9">
        <v>0.29716897758252636</v>
      </c>
    </row>
    <row r="17" spans="2:29" x14ac:dyDescent="0.3">
      <c r="B17" s="29" t="s">
        <v>24</v>
      </c>
      <c r="C17" s="30" t="s">
        <v>59</v>
      </c>
      <c r="D17" s="8">
        <v>0.46012281997697529</v>
      </c>
      <c r="E17" s="8">
        <v>0.60093489394994359</v>
      </c>
      <c r="F17" s="8">
        <v>0.67217875460343812</v>
      </c>
      <c r="G17" s="8">
        <v>0.60520161417492213</v>
      </c>
      <c r="H17" s="8">
        <v>0.6528049726038152</v>
      </c>
      <c r="I17" s="8">
        <v>0.75089139043025788</v>
      </c>
      <c r="J17" s="8">
        <v>0.64215406920866924</v>
      </c>
      <c r="K17" s="8">
        <v>0.60992642565707544</v>
      </c>
      <c r="L17" s="8">
        <v>0.58426335609738334</v>
      </c>
      <c r="M17" s="8">
        <v>0.64222492038372181</v>
      </c>
      <c r="N17" s="8">
        <v>0.59003672042377631</v>
      </c>
      <c r="O17" s="8">
        <v>0.64748560804876443</v>
      </c>
      <c r="P17" s="8">
        <v>0.57605649417170979</v>
      </c>
      <c r="Q17" s="8">
        <v>0.57605649417170979</v>
      </c>
      <c r="R17" s="8">
        <v>0.57605649417170979</v>
      </c>
      <c r="S17" s="8">
        <v>0.57605649417170979</v>
      </c>
      <c r="T17" s="8">
        <v>0.57605649417170979</v>
      </c>
      <c r="U17" s="8">
        <v>0.57605649417170979</v>
      </c>
      <c r="V17" s="8">
        <v>0.57605649417170979</v>
      </c>
      <c r="W17" s="8">
        <v>0.57605649417170979</v>
      </c>
      <c r="X17" s="8">
        <v>0.57605649417170979</v>
      </c>
      <c r="Y17" s="8">
        <v>0.57605649417170979</v>
      </c>
      <c r="Z17" s="8">
        <v>0.57605649417170979</v>
      </c>
      <c r="AA17" s="8">
        <v>0.57605649417170979</v>
      </c>
      <c r="AB17" s="8">
        <v>0.57605649417170979</v>
      </c>
      <c r="AC17" s="9">
        <v>0.57605649417170979</v>
      </c>
    </row>
    <row r="18" spans="2:29" x14ac:dyDescent="0.3">
      <c r="B18" s="29" t="s">
        <v>24</v>
      </c>
      <c r="C18" s="30" t="s">
        <v>60</v>
      </c>
      <c r="D18" s="8">
        <v>0.53589548452562152</v>
      </c>
      <c r="E18" s="8">
        <v>0.53589548452562152</v>
      </c>
      <c r="F18" s="8">
        <v>0.53589548452562152</v>
      </c>
      <c r="G18" s="8">
        <v>0.53589548452562152</v>
      </c>
      <c r="H18" s="8">
        <v>0.53589548452562152</v>
      </c>
      <c r="I18" s="8">
        <v>0.53589548452562152</v>
      </c>
      <c r="J18" s="8">
        <v>0.53589548452562152</v>
      </c>
      <c r="K18" s="8">
        <v>0.53589548452562152</v>
      </c>
      <c r="L18" s="8">
        <v>0.53589548452562152</v>
      </c>
      <c r="M18" s="8">
        <v>0.53589548452562152</v>
      </c>
      <c r="N18" s="8">
        <v>0.53589548452562152</v>
      </c>
      <c r="O18" s="8">
        <v>0.53589548452562152</v>
      </c>
      <c r="P18" s="8">
        <v>0.53589548452562152</v>
      </c>
      <c r="Q18" s="8">
        <v>0.53589548452562152</v>
      </c>
      <c r="R18" s="8">
        <v>0.53589548452562152</v>
      </c>
      <c r="S18" s="8">
        <v>0.53589548452562152</v>
      </c>
      <c r="T18" s="8">
        <v>0.53589548452562152</v>
      </c>
      <c r="U18" s="8">
        <v>0.53589548452562152</v>
      </c>
      <c r="V18" s="8">
        <v>0.53589548452562152</v>
      </c>
      <c r="W18" s="8">
        <v>0.53589548452562152</v>
      </c>
      <c r="X18" s="8">
        <v>0.53589548452562152</v>
      </c>
      <c r="Y18" s="8">
        <v>0.53589548452562152</v>
      </c>
      <c r="Z18" s="8">
        <v>0.53589548452562152</v>
      </c>
      <c r="AA18" s="8">
        <v>0.53589548452562152</v>
      </c>
      <c r="AB18" s="8">
        <v>0.53589548452562152</v>
      </c>
      <c r="AC18" s="9">
        <v>0.53589548452562152</v>
      </c>
    </row>
    <row r="19" spans="2:29" x14ac:dyDescent="0.3">
      <c r="B19" s="29" t="s">
        <v>24</v>
      </c>
      <c r="C19" s="30" t="s">
        <v>49</v>
      </c>
      <c r="D19" s="8">
        <v>0.31436817378809606</v>
      </c>
      <c r="E19" s="8">
        <v>0.41057473564567021</v>
      </c>
      <c r="F19" s="8">
        <v>0.45925044003341053</v>
      </c>
      <c r="G19" s="8">
        <v>0.47299143320100639</v>
      </c>
      <c r="H19" s="8">
        <v>0.48991597976016799</v>
      </c>
      <c r="I19" s="8">
        <v>0.56352770992045698</v>
      </c>
      <c r="J19" s="8">
        <v>0.57679847764498193</v>
      </c>
      <c r="K19" s="8">
        <v>0.53511589569562867</v>
      </c>
      <c r="L19" s="8">
        <v>0.46090405238452975</v>
      </c>
      <c r="M19" s="8">
        <v>0.60028385666226358</v>
      </c>
      <c r="N19" s="8">
        <v>0.46783956219381445</v>
      </c>
      <c r="O19" s="8">
        <v>0.54165808912722702</v>
      </c>
      <c r="P19" s="8">
        <v>0.5305404235243848</v>
      </c>
      <c r="Q19" s="8">
        <v>0.5305404235243848</v>
      </c>
      <c r="R19" s="8">
        <v>0.5305404235243848</v>
      </c>
      <c r="S19" s="8">
        <v>0.5305404235243848</v>
      </c>
      <c r="T19" s="8">
        <v>0.5305404235243848</v>
      </c>
      <c r="U19" s="8">
        <v>0.5305404235243848</v>
      </c>
      <c r="V19" s="8">
        <v>0.5305404235243848</v>
      </c>
      <c r="W19" s="8">
        <v>0.5305404235243848</v>
      </c>
      <c r="X19" s="8">
        <v>0.5305404235243848</v>
      </c>
      <c r="Y19" s="8">
        <v>0.5305404235243848</v>
      </c>
      <c r="Z19" s="8">
        <v>0.5305404235243848</v>
      </c>
      <c r="AA19" s="8">
        <v>0.5305404235243848</v>
      </c>
      <c r="AB19" s="8">
        <v>0.5305404235243848</v>
      </c>
      <c r="AC19" s="9">
        <v>0.5305404235243848</v>
      </c>
    </row>
    <row r="20" spans="2:29" x14ac:dyDescent="0.3">
      <c r="B20" s="29" t="s">
        <v>24</v>
      </c>
      <c r="C20" s="30" t="s">
        <v>50</v>
      </c>
      <c r="D20" s="8">
        <v>0.1141311123772881</v>
      </c>
      <c r="E20" s="8">
        <v>0.1141311123772881</v>
      </c>
      <c r="F20" s="8">
        <v>0.1141311123772881</v>
      </c>
      <c r="G20" s="8">
        <v>0.1141311123772881</v>
      </c>
      <c r="H20" s="8">
        <v>0.1141311123772881</v>
      </c>
      <c r="I20" s="8">
        <v>0.1141311123772881</v>
      </c>
      <c r="J20" s="8">
        <v>0.35616014360383202</v>
      </c>
      <c r="K20" s="8">
        <v>0.37500567473185337</v>
      </c>
      <c r="L20" s="8">
        <v>0.29714530966284763</v>
      </c>
      <c r="M20" s="8">
        <v>0.42860302333448369</v>
      </c>
      <c r="N20" s="8">
        <v>0.406303341391686</v>
      </c>
      <c r="O20" s="8">
        <v>0.4281783299220589</v>
      </c>
      <c r="P20" s="8">
        <v>0.39921246362066626</v>
      </c>
      <c r="Q20" s="8">
        <v>0.39921246362066626</v>
      </c>
      <c r="R20" s="8">
        <v>0.39921246362066626</v>
      </c>
      <c r="S20" s="8">
        <v>0.39921246362066626</v>
      </c>
      <c r="T20" s="8">
        <v>0.39921246362066626</v>
      </c>
      <c r="U20" s="8">
        <v>0.39921246362066626</v>
      </c>
      <c r="V20" s="8">
        <v>0.39921246362066626</v>
      </c>
      <c r="W20" s="8">
        <v>0.39921246362066626</v>
      </c>
      <c r="X20" s="8">
        <v>0.39921246362066626</v>
      </c>
      <c r="Y20" s="8">
        <v>0.39921246362066626</v>
      </c>
      <c r="Z20" s="8">
        <v>0.39921246362066626</v>
      </c>
      <c r="AA20" s="8">
        <v>0.39921246362066626</v>
      </c>
      <c r="AB20" s="8">
        <v>0.39921246362066626</v>
      </c>
      <c r="AC20" s="9">
        <v>0.39921246362066626</v>
      </c>
    </row>
    <row r="21" spans="2:29" x14ac:dyDescent="0.3">
      <c r="B21" s="29" t="s">
        <v>24</v>
      </c>
      <c r="C21" s="30" t="s">
        <v>61</v>
      </c>
      <c r="D21" s="8">
        <v>0.23933455730745537</v>
      </c>
      <c r="E21" s="8">
        <v>0.23933455730745537</v>
      </c>
      <c r="F21" s="8">
        <v>0.23933455730745537</v>
      </c>
      <c r="G21" s="8">
        <v>0.23933455730745537</v>
      </c>
      <c r="H21" s="8">
        <v>0.23933455730745537</v>
      </c>
      <c r="I21" s="8">
        <v>0.23933455730745537</v>
      </c>
      <c r="J21" s="8">
        <v>0.23933455730745537</v>
      </c>
      <c r="K21" s="8">
        <v>0.49066101675755497</v>
      </c>
      <c r="L21" s="8">
        <v>0.50426151544657227</v>
      </c>
      <c r="M21" s="8">
        <v>0.53210860224946155</v>
      </c>
      <c r="N21" s="8">
        <v>0.55940398118626644</v>
      </c>
      <c r="O21" s="8">
        <v>0.55681529546983122</v>
      </c>
      <c r="P21" s="8">
        <v>0.56759531543287089</v>
      </c>
      <c r="Q21" s="8">
        <v>0.56759531543287089</v>
      </c>
      <c r="R21" s="8">
        <v>0.56759531543287089</v>
      </c>
      <c r="S21" s="8">
        <v>0.56759531543287089</v>
      </c>
      <c r="T21" s="8">
        <v>0.56759531543287089</v>
      </c>
      <c r="U21" s="8">
        <v>0.56759531543287089</v>
      </c>
      <c r="V21" s="8">
        <v>0.56759531543287089</v>
      </c>
      <c r="W21" s="8">
        <v>0.56759531543287089</v>
      </c>
      <c r="X21" s="8">
        <v>0.56759531543287089</v>
      </c>
      <c r="Y21" s="8">
        <v>0.56759531543287089</v>
      </c>
      <c r="Z21" s="8">
        <v>0.56759531543287089</v>
      </c>
      <c r="AA21" s="8">
        <v>0.56759531543287089</v>
      </c>
      <c r="AB21" s="8">
        <v>0.56759531543287089</v>
      </c>
      <c r="AC21" s="9">
        <v>0.56759531543287089</v>
      </c>
    </row>
    <row r="22" spans="2:29" x14ac:dyDescent="0.3">
      <c r="B22" s="29" t="s">
        <v>24</v>
      </c>
      <c r="C22" s="30" t="s">
        <v>62</v>
      </c>
      <c r="D22" s="8">
        <v>9.6980395488264037E-2</v>
      </c>
      <c r="E22" s="8">
        <v>9.6980395488264037E-2</v>
      </c>
      <c r="F22" s="8">
        <v>9.6980395488264037E-2</v>
      </c>
      <c r="G22" s="8">
        <v>9.6980395488264037E-2</v>
      </c>
      <c r="H22" s="8">
        <v>9.6980395488264037E-2</v>
      </c>
      <c r="I22" s="8">
        <v>9.6980395488264037E-2</v>
      </c>
      <c r="J22" s="8">
        <v>9.6980395488264037E-2</v>
      </c>
      <c r="K22" s="8">
        <v>9.6980395488264037E-2</v>
      </c>
      <c r="L22" s="8">
        <v>9.6980395488264037E-2</v>
      </c>
      <c r="M22" s="8">
        <v>0.43714199933376063</v>
      </c>
      <c r="N22" s="8">
        <v>0.49811333252556816</v>
      </c>
      <c r="O22" s="8">
        <v>0.53745635541456382</v>
      </c>
      <c r="P22" s="8">
        <v>0.47020103147053327</v>
      </c>
      <c r="Q22" s="8">
        <v>0.47020103147053327</v>
      </c>
      <c r="R22" s="8">
        <v>0.47020103147053327</v>
      </c>
      <c r="S22" s="8">
        <v>0.47020103147053327</v>
      </c>
      <c r="T22" s="8">
        <v>0.47020103147053327</v>
      </c>
      <c r="U22" s="8">
        <v>0.47020103147053327</v>
      </c>
      <c r="V22" s="8">
        <v>0.47020103147053327</v>
      </c>
      <c r="W22" s="8">
        <v>0.47020103147053327</v>
      </c>
      <c r="X22" s="8">
        <v>0.47020103147053327</v>
      </c>
      <c r="Y22" s="8">
        <v>0.47020103147053327</v>
      </c>
      <c r="Z22" s="8">
        <v>0.47020103147053327</v>
      </c>
      <c r="AA22" s="8">
        <v>0.47020103147053327</v>
      </c>
      <c r="AB22" s="8">
        <v>0.47020103147053327</v>
      </c>
      <c r="AC22" s="9">
        <v>0.47020103147053327</v>
      </c>
    </row>
    <row r="23" spans="2:29" x14ac:dyDescent="0.3">
      <c r="B23" s="29" t="s">
        <v>24</v>
      </c>
      <c r="C23" s="30" t="s">
        <v>63</v>
      </c>
      <c r="D23" s="8">
        <v>0.47864920793603521</v>
      </c>
      <c r="E23" s="8">
        <v>0.62513094009260239</v>
      </c>
      <c r="F23" s="8">
        <v>0.69924336397500597</v>
      </c>
      <c r="G23" s="8">
        <v>0.62190344091232252</v>
      </c>
      <c r="H23" s="8">
        <v>0.64415634657235044</v>
      </c>
      <c r="I23" s="8">
        <v>0.71216013674472323</v>
      </c>
      <c r="J23" s="8">
        <v>0.7466835346419548</v>
      </c>
      <c r="K23" s="8">
        <v>0.85008437551160887</v>
      </c>
      <c r="L23" s="8">
        <v>0.29613791162624642</v>
      </c>
      <c r="M23" s="8">
        <v>0.82719170156195743</v>
      </c>
      <c r="N23" s="8">
        <v>0.90950925493850399</v>
      </c>
      <c r="O23" s="8">
        <v>0.89075363206013347</v>
      </c>
      <c r="P23" s="8">
        <v>0.81282729969639456</v>
      </c>
      <c r="Q23" s="8">
        <v>0.81282729969639456</v>
      </c>
      <c r="R23" s="8">
        <v>0.81282729969639456</v>
      </c>
      <c r="S23" s="8">
        <v>0.81282729969639456</v>
      </c>
      <c r="T23" s="8">
        <v>0.81282729969639456</v>
      </c>
      <c r="U23" s="8">
        <v>0.81282729969639456</v>
      </c>
      <c r="V23" s="8">
        <v>0.81282729969639456</v>
      </c>
      <c r="W23" s="8">
        <v>0.81282729969639456</v>
      </c>
      <c r="X23" s="8">
        <v>0.81282729969639456</v>
      </c>
      <c r="Y23" s="8">
        <v>0.81282729969639456</v>
      </c>
      <c r="Z23" s="8">
        <v>0.81282729969639456</v>
      </c>
      <c r="AA23" s="8">
        <v>0.81282729969639456</v>
      </c>
      <c r="AB23" s="8">
        <v>0.81282729969639456</v>
      </c>
      <c r="AC23" s="9">
        <v>0.81282729969639456</v>
      </c>
    </row>
    <row r="24" spans="2:29" x14ac:dyDescent="0.3">
      <c r="B24" s="29" t="s">
        <v>24</v>
      </c>
      <c r="C24" s="30" t="s">
        <v>51</v>
      </c>
      <c r="D24" s="8">
        <v>0.46493924107357748</v>
      </c>
      <c r="E24" s="8">
        <v>0.60722529158996874</v>
      </c>
      <c r="F24" s="8">
        <v>0.67921491059005457</v>
      </c>
      <c r="G24" s="8">
        <v>0.7151968423887598</v>
      </c>
      <c r="H24" s="8">
        <v>0.74078796605046449</v>
      </c>
      <c r="I24" s="8">
        <v>0.66805855323124919</v>
      </c>
      <c r="J24" s="8">
        <v>0.59622159784853079</v>
      </c>
      <c r="K24" s="8">
        <v>0.63518926568507872</v>
      </c>
      <c r="L24" s="8">
        <v>0.51614155425021335</v>
      </c>
      <c r="M24" s="8">
        <v>0.66769103983435474</v>
      </c>
      <c r="N24" s="8">
        <v>0.65565492271234183</v>
      </c>
      <c r="O24" s="8">
        <v>0.70084555476727328</v>
      </c>
      <c r="P24" s="8">
        <v>0.62006995571517487</v>
      </c>
      <c r="Q24" s="8">
        <v>0.62006995571517487</v>
      </c>
      <c r="R24" s="8">
        <v>0.62006995571517487</v>
      </c>
      <c r="S24" s="8">
        <v>0.62006995571517487</v>
      </c>
      <c r="T24" s="8">
        <v>0.62006995571517487</v>
      </c>
      <c r="U24" s="8">
        <v>0.62006995571517487</v>
      </c>
      <c r="V24" s="8">
        <v>0.62006995571517487</v>
      </c>
      <c r="W24" s="8">
        <v>0.62006995571517487</v>
      </c>
      <c r="X24" s="8">
        <v>0.62006995571517487</v>
      </c>
      <c r="Y24" s="8">
        <v>0.62006995571517487</v>
      </c>
      <c r="Z24" s="8">
        <v>0.62006995571517487</v>
      </c>
      <c r="AA24" s="8">
        <v>0.62006995571517487</v>
      </c>
      <c r="AB24" s="8">
        <v>0.62006995571517487</v>
      </c>
      <c r="AC24" s="9">
        <v>0.62006995571517487</v>
      </c>
    </row>
    <row r="25" spans="2:29" x14ac:dyDescent="0.3">
      <c r="B25" s="29" t="s">
        <v>24</v>
      </c>
      <c r="C25" s="30" t="s">
        <v>52</v>
      </c>
      <c r="D25" s="8">
        <v>0.65038073832506682</v>
      </c>
      <c r="E25" s="8">
        <v>0.83426812352997792</v>
      </c>
      <c r="F25" s="8">
        <v>0.63574694446284363</v>
      </c>
      <c r="G25" s="8">
        <v>0.7052074252245385</v>
      </c>
      <c r="H25" s="8">
        <v>0.72596413306925556</v>
      </c>
      <c r="I25" s="8">
        <v>0.83504299164354145</v>
      </c>
      <c r="J25" s="8">
        <v>0.54287998145819538</v>
      </c>
      <c r="K25" s="8">
        <v>0.69237866320798769</v>
      </c>
      <c r="L25" s="8">
        <v>0.67768633297539504</v>
      </c>
      <c r="M25" s="8">
        <v>0.72876863886921028</v>
      </c>
      <c r="N25" s="8">
        <v>0.65859342942265597</v>
      </c>
      <c r="O25" s="8">
        <v>0.72363791108105646</v>
      </c>
      <c r="P25" s="8">
        <v>0.72539949418289507</v>
      </c>
      <c r="Q25" s="8">
        <v>0.72539949418289507</v>
      </c>
      <c r="R25" s="8">
        <v>0.72539949418289507</v>
      </c>
      <c r="S25" s="8">
        <v>0.72539949418289507</v>
      </c>
      <c r="T25" s="8">
        <v>0.72539949418289507</v>
      </c>
      <c r="U25" s="8">
        <v>0.72539949418289507</v>
      </c>
      <c r="V25" s="8">
        <v>0.72539949418289507</v>
      </c>
      <c r="W25" s="8">
        <v>0.72539949418289507</v>
      </c>
      <c r="X25" s="8">
        <v>0.72539949418289507</v>
      </c>
      <c r="Y25" s="8">
        <v>0.72539949418289507</v>
      </c>
      <c r="Z25" s="8">
        <v>0.72539949418289507</v>
      </c>
      <c r="AA25" s="8">
        <v>0.72539949418289507</v>
      </c>
      <c r="AB25" s="8">
        <v>0.72539949418289507</v>
      </c>
      <c r="AC25" s="9">
        <v>0.72539949418289507</v>
      </c>
    </row>
    <row r="26" spans="2:29" x14ac:dyDescent="0.3">
      <c r="B26" s="29" t="s">
        <v>24</v>
      </c>
      <c r="C26" s="30" t="s">
        <v>26</v>
      </c>
      <c r="D26" s="8">
        <v>1.5238891806312481E-2</v>
      </c>
      <c r="E26" s="8">
        <v>1.5238891806312481E-2</v>
      </c>
      <c r="F26" s="8">
        <v>1.5238891806312481E-2</v>
      </c>
      <c r="G26" s="8">
        <v>1.5238891806312481E-2</v>
      </c>
      <c r="H26" s="8">
        <v>7.4929910309043349E-2</v>
      </c>
      <c r="I26" s="8">
        <v>0.16359579339968761</v>
      </c>
      <c r="J26" s="8">
        <v>0.17591961379259297</v>
      </c>
      <c r="K26" s="8">
        <v>0.16821748078211776</v>
      </c>
      <c r="L26" s="8">
        <v>0.17079922862172817</v>
      </c>
      <c r="M26" s="8">
        <v>0.16272636043469169</v>
      </c>
      <c r="N26" s="8">
        <v>0.16611938324764669</v>
      </c>
      <c r="O26" s="8">
        <v>0.16429683734298975</v>
      </c>
      <c r="P26" s="8">
        <v>0.16347008773591529</v>
      </c>
      <c r="Q26" s="8">
        <v>0.16347008773591529</v>
      </c>
      <c r="R26" s="8">
        <v>0.16347008773591529</v>
      </c>
      <c r="S26" s="8">
        <v>0.16347008773591529</v>
      </c>
      <c r="T26" s="8">
        <v>0.16347008773591529</v>
      </c>
      <c r="U26" s="8">
        <v>0.16347008773591529</v>
      </c>
      <c r="V26" s="8">
        <v>0.16347008773591529</v>
      </c>
      <c r="W26" s="8">
        <v>0.16347008773591529</v>
      </c>
      <c r="X26" s="8">
        <v>0.16347008773591529</v>
      </c>
      <c r="Y26" s="8">
        <v>0.16347008773591529</v>
      </c>
      <c r="Z26" s="8">
        <v>0.16347008773591529</v>
      </c>
      <c r="AA26" s="8">
        <v>0.16347008773591529</v>
      </c>
      <c r="AB26" s="8">
        <v>0.16347008773591529</v>
      </c>
      <c r="AC26" s="9">
        <v>0.16347008773591529</v>
      </c>
    </row>
    <row r="27" spans="2:29" x14ac:dyDescent="0.3">
      <c r="B27" s="29" t="s">
        <v>24</v>
      </c>
      <c r="C27" s="30" t="s">
        <v>107</v>
      </c>
      <c r="D27" s="8">
        <v>0.95</v>
      </c>
      <c r="E27" s="8">
        <v>0.95</v>
      </c>
      <c r="F27" s="8">
        <v>0.95</v>
      </c>
      <c r="G27" s="8">
        <v>0.95</v>
      </c>
      <c r="H27" s="8">
        <v>0.95</v>
      </c>
      <c r="I27" s="8">
        <v>0.95</v>
      </c>
      <c r="J27" s="8">
        <v>0.95</v>
      </c>
      <c r="K27" s="8">
        <v>0.95</v>
      </c>
      <c r="L27" s="8">
        <v>0.95</v>
      </c>
      <c r="M27" s="8">
        <v>0.95</v>
      </c>
      <c r="N27" s="8">
        <v>0.95</v>
      </c>
      <c r="O27" s="8">
        <v>0.95</v>
      </c>
      <c r="P27" s="8">
        <v>0.95</v>
      </c>
      <c r="Q27" s="8">
        <v>0.95</v>
      </c>
      <c r="R27" s="8">
        <v>0.95</v>
      </c>
      <c r="S27" s="8">
        <v>0.95</v>
      </c>
      <c r="T27" s="8">
        <v>0.95</v>
      </c>
      <c r="U27" s="8">
        <v>0.95</v>
      </c>
      <c r="V27" s="8">
        <v>0.95</v>
      </c>
      <c r="W27" s="8">
        <v>0.95</v>
      </c>
      <c r="X27" s="8">
        <v>0.95</v>
      </c>
      <c r="Y27" s="8">
        <v>0.95</v>
      </c>
      <c r="Z27" s="8">
        <v>0.95</v>
      </c>
      <c r="AA27" s="8">
        <v>0.95</v>
      </c>
      <c r="AB27" s="8">
        <v>0.95</v>
      </c>
      <c r="AC27" s="9">
        <v>0.95</v>
      </c>
    </row>
    <row r="28" spans="2:29" x14ac:dyDescent="0.3">
      <c r="B28" s="29" t="s">
        <v>24</v>
      </c>
      <c r="C28" s="30" t="s">
        <v>169</v>
      </c>
      <c r="D28" s="8">
        <v>0.17197638788752706</v>
      </c>
      <c r="E28" s="8">
        <v>0.16746124729632306</v>
      </c>
      <c r="F28" s="8">
        <v>1.5248471254239105E-2</v>
      </c>
      <c r="G28" s="8">
        <v>0.36050917913759545</v>
      </c>
      <c r="H28" s="8">
        <v>0.50674758648269558</v>
      </c>
      <c r="I28" s="8">
        <v>0.6733724629131983</v>
      </c>
      <c r="J28" s="8">
        <v>0.56819749310698908</v>
      </c>
      <c r="K28" s="8">
        <v>0.48933709845389728</v>
      </c>
      <c r="L28" s="8">
        <v>0.53674445973797091</v>
      </c>
      <c r="M28" s="8">
        <v>0.58246846256363194</v>
      </c>
      <c r="N28" s="8">
        <v>0.52173006197519534</v>
      </c>
      <c r="O28" s="8">
        <v>0.14880448544040514</v>
      </c>
      <c r="P28" s="8">
        <v>0.10463118678948501</v>
      </c>
      <c r="Q28" s="8">
        <v>0.10463118678948501</v>
      </c>
      <c r="R28" s="8">
        <v>0.10463118678948501</v>
      </c>
      <c r="S28" s="8">
        <v>0.10463118678948501</v>
      </c>
      <c r="T28" s="8">
        <v>0.10463118678948501</v>
      </c>
      <c r="U28" s="8">
        <v>0.10463118678948501</v>
      </c>
      <c r="V28" s="8">
        <v>0.10463118678948501</v>
      </c>
      <c r="W28" s="8">
        <v>0.10463118678948501</v>
      </c>
      <c r="X28" s="8">
        <v>0.10463118678948501</v>
      </c>
      <c r="Y28" s="8">
        <v>0.10463118678948501</v>
      </c>
      <c r="Z28" s="8">
        <v>0.10463118678948501</v>
      </c>
      <c r="AA28" s="8">
        <v>0.10463118678948501</v>
      </c>
      <c r="AB28" s="8">
        <v>0.10463118678948501</v>
      </c>
      <c r="AC28" s="9">
        <v>0.10463118678948501</v>
      </c>
    </row>
    <row r="29" spans="2:29" x14ac:dyDescent="0.3">
      <c r="B29" s="29" t="s">
        <v>24</v>
      </c>
      <c r="C29" s="30" t="s">
        <v>64</v>
      </c>
      <c r="D29" s="8">
        <v>0.17069999999999999</v>
      </c>
      <c r="E29" s="8">
        <v>0.17069999999999999</v>
      </c>
      <c r="F29" s="8">
        <v>0.17069999999999999</v>
      </c>
      <c r="G29" s="8">
        <v>0.17069999999999999</v>
      </c>
      <c r="H29" s="8">
        <v>0.17069999999999999</v>
      </c>
      <c r="I29" s="8">
        <v>0.17069999999999999</v>
      </c>
      <c r="J29" s="8">
        <v>0.17069999999999999</v>
      </c>
      <c r="K29" s="8">
        <v>0.17069999999999999</v>
      </c>
      <c r="L29" s="8">
        <v>0.17069999999999999</v>
      </c>
      <c r="M29" s="8">
        <v>0.17069999999999999</v>
      </c>
      <c r="N29" s="8">
        <v>0.17069999999999999</v>
      </c>
      <c r="O29" s="8">
        <v>0.17069999999999999</v>
      </c>
      <c r="P29" s="8">
        <v>0.17069999999999999</v>
      </c>
      <c r="Q29" s="8">
        <v>0.17069999999999999</v>
      </c>
      <c r="R29" s="8">
        <v>0.17069999999999999</v>
      </c>
      <c r="S29" s="8">
        <v>0.17069999999999999</v>
      </c>
      <c r="T29" s="8">
        <v>0.17069999999999999</v>
      </c>
      <c r="U29" s="8">
        <v>0.17069999999999999</v>
      </c>
      <c r="V29" s="8">
        <v>0.17069999999999999</v>
      </c>
      <c r="W29" s="8">
        <v>0.17069999999999999</v>
      </c>
      <c r="X29" s="8">
        <v>0.17069999999999999</v>
      </c>
      <c r="Y29" s="8">
        <v>0.17069999999999999</v>
      </c>
      <c r="Z29" s="8">
        <v>0.17069999999999999</v>
      </c>
      <c r="AA29" s="8">
        <v>0.17069999999999999</v>
      </c>
      <c r="AB29" s="8">
        <v>0.17069999999999999</v>
      </c>
      <c r="AC29" s="9">
        <v>0.17069999999999999</v>
      </c>
    </row>
    <row r="30" spans="2:29" x14ac:dyDescent="0.3">
      <c r="B30" s="29" t="s">
        <v>24</v>
      </c>
      <c r="C30" s="30" t="s">
        <v>171</v>
      </c>
      <c r="D30" s="8">
        <v>0.58927544741636906</v>
      </c>
      <c r="E30" s="8">
        <v>0.48497911842978308</v>
      </c>
      <c r="F30" s="8">
        <v>0.54013933201856834</v>
      </c>
      <c r="G30" s="8">
        <v>0.63194038393957075</v>
      </c>
      <c r="H30" s="8">
        <v>0.66311971168153516</v>
      </c>
      <c r="I30" s="8">
        <v>0.63535491650902376</v>
      </c>
      <c r="J30" s="8">
        <v>0.64166827060965037</v>
      </c>
      <c r="K30" s="8">
        <v>0.5405701349794465</v>
      </c>
      <c r="L30" s="8">
        <v>0.39273804523672823</v>
      </c>
      <c r="M30" s="8">
        <v>0.35791584626329459</v>
      </c>
      <c r="N30" s="8">
        <v>0.29896725420627834</v>
      </c>
      <c r="O30" s="8">
        <v>0.25267546542030461</v>
      </c>
      <c r="P30" s="8">
        <v>0.23837614389721673</v>
      </c>
      <c r="Q30" s="8">
        <v>0.23837614389721673</v>
      </c>
      <c r="R30" s="8">
        <v>0.23837614389721673</v>
      </c>
      <c r="S30" s="8">
        <v>0.23837614389721673</v>
      </c>
      <c r="T30" s="8">
        <v>0.23837614389721673</v>
      </c>
      <c r="U30" s="8">
        <v>0.23837614389721673</v>
      </c>
      <c r="V30" s="8">
        <v>0.23837614389721673</v>
      </c>
      <c r="W30" s="8">
        <v>0.23837614389721673</v>
      </c>
      <c r="X30" s="8">
        <v>0.23837614389721673</v>
      </c>
      <c r="Y30" s="8">
        <v>0.23837614389721673</v>
      </c>
      <c r="Z30" s="8">
        <v>0.23837614389721673</v>
      </c>
      <c r="AA30" s="8">
        <v>0.23837614389721673</v>
      </c>
      <c r="AB30" s="8">
        <v>0.23837614389721673</v>
      </c>
      <c r="AC30" s="9">
        <v>0.23837614389721673</v>
      </c>
    </row>
    <row r="31" spans="2:29" x14ac:dyDescent="0.3">
      <c r="B31" s="29" t="s">
        <v>24</v>
      </c>
      <c r="C31" s="30" t="s">
        <v>66</v>
      </c>
      <c r="D31" s="8">
        <v>9.45274096759426E-2</v>
      </c>
      <c r="E31" s="8">
        <v>9.3628770613521414E-2</v>
      </c>
      <c r="F31" s="8">
        <v>0.11096994961947089</v>
      </c>
      <c r="G31" s="8">
        <v>0.21798091434185071</v>
      </c>
      <c r="H31" s="8">
        <v>0.23266538944050469</v>
      </c>
      <c r="I31" s="8">
        <v>0.20290474988948504</v>
      </c>
      <c r="J31" s="8">
        <v>0.20965822255153507</v>
      </c>
      <c r="K31" s="8">
        <v>8.2629956462604154E-3</v>
      </c>
      <c r="L31" s="8">
        <v>1.8161025168700145E-2</v>
      </c>
      <c r="M31" s="8">
        <v>4.3550586342232384E-2</v>
      </c>
      <c r="N31" s="8">
        <v>5.4492143450490797E-2</v>
      </c>
      <c r="O31" s="8">
        <v>6.7909368530870325E-3</v>
      </c>
      <c r="P31" s="8">
        <v>3.2413475051182292E-2</v>
      </c>
      <c r="Q31" s="8">
        <v>3.2413475051182292E-2</v>
      </c>
      <c r="R31" s="8">
        <v>3.2413475051182292E-2</v>
      </c>
      <c r="S31" s="8">
        <v>3.2413475051182292E-2</v>
      </c>
      <c r="T31" s="8">
        <v>3.2413475051182292E-2</v>
      </c>
      <c r="U31" s="8">
        <v>3.2413475051182292E-2</v>
      </c>
      <c r="V31" s="8">
        <v>3.2413475051182292E-2</v>
      </c>
      <c r="W31" s="8">
        <v>3.2413475051182292E-2</v>
      </c>
      <c r="X31" s="8">
        <v>3.2413475051182292E-2</v>
      </c>
      <c r="Y31" s="8">
        <v>3.2413475051182292E-2</v>
      </c>
      <c r="Z31" s="8">
        <v>3.2413475051182292E-2</v>
      </c>
      <c r="AA31" s="8">
        <v>3.2413475051182292E-2</v>
      </c>
      <c r="AB31" s="8">
        <v>3.2413475051182292E-2</v>
      </c>
      <c r="AC31" s="9">
        <v>3.2413475051182292E-2</v>
      </c>
    </row>
    <row r="32" spans="2:29" ht="15" thickBot="1" x14ac:dyDescent="0.35">
      <c r="B32" s="31" t="s">
        <v>24</v>
      </c>
      <c r="C32" s="32" t="s">
        <v>67</v>
      </c>
      <c r="D32" s="10">
        <v>0.75596759940113767</v>
      </c>
      <c r="E32" s="10">
        <v>0.48047013851998982</v>
      </c>
      <c r="F32" s="10">
        <v>0.53511751292572529</v>
      </c>
      <c r="G32" s="10">
        <v>0.55971231167378255</v>
      </c>
      <c r="H32" s="10">
        <v>0.60282808765125295</v>
      </c>
      <c r="I32" s="10">
        <v>0.58286029873493561</v>
      </c>
      <c r="J32" s="10">
        <v>0.51736809299166453</v>
      </c>
      <c r="K32" s="10">
        <v>0.26822513376994289</v>
      </c>
      <c r="L32" s="10">
        <v>0.36390522720046481</v>
      </c>
      <c r="M32" s="10">
        <v>0.25054515993083198</v>
      </c>
      <c r="N32" s="10">
        <v>0.19215844781344157</v>
      </c>
      <c r="O32" s="10">
        <v>0.16590606040409817</v>
      </c>
      <c r="P32" s="10">
        <v>0.33797685412191669</v>
      </c>
      <c r="Q32" s="10">
        <v>0.33797685412191669</v>
      </c>
      <c r="R32" s="10">
        <v>0.33797685412191669</v>
      </c>
      <c r="S32" s="10">
        <v>0.33797685412191669</v>
      </c>
      <c r="T32" s="10">
        <v>0.33797685412191669</v>
      </c>
      <c r="U32" s="10">
        <v>0.33797685412191669</v>
      </c>
      <c r="V32" s="10">
        <v>0.33797685412191669</v>
      </c>
      <c r="W32" s="10">
        <v>0.33797685412191669</v>
      </c>
      <c r="X32" s="10">
        <v>0.33797685412191669</v>
      </c>
      <c r="Y32" s="10">
        <v>0.33797685412191669</v>
      </c>
      <c r="Z32" s="10">
        <v>0.33797685412191669</v>
      </c>
      <c r="AA32" s="10">
        <v>0.33797685412191669</v>
      </c>
      <c r="AB32" s="10">
        <v>0.33797685412191669</v>
      </c>
      <c r="AC32" s="11">
        <v>0.33797685412191669</v>
      </c>
    </row>
    <row r="34" spans="2:2" x14ac:dyDescent="0.3">
      <c r="B34" s="12" t="s">
        <v>71</v>
      </c>
    </row>
  </sheetData>
  <sortState xmlns:xlrd2="http://schemas.microsoft.com/office/spreadsheetml/2017/richdata2" ref="B5:AC32">
    <sortCondition ref="B5:B32"/>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4ACF8-0B9A-45C5-B94E-8C00FDCCFEAD}">
  <dimension ref="B2:AE58"/>
  <sheetViews>
    <sheetView zoomScaleNormal="100" workbookViewId="0">
      <selection activeCell="F39" sqref="F39"/>
    </sheetView>
  </sheetViews>
  <sheetFormatPr baseColWidth="10" defaultColWidth="8.88671875" defaultRowHeight="14.4" x14ac:dyDescent="0.3"/>
  <cols>
    <col min="2" max="2" width="15" bestFit="1" customWidth="1"/>
    <col min="3" max="3" width="30.21875" bestFit="1" customWidth="1"/>
    <col min="4" max="4" width="16.5546875" bestFit="1" customWidth="1"/>
    <col min="5" max="5" width="36.77734375" bestFit="1" customWidth="1"/>
  </cols>
  <sheetData>
    <row r="2" spans="2:31" ht="15" thickBot="1" x14ac:dyDescent="0.35"/>
    <row r="3" spans="2:31" ht="15" thickBot="1" x14ac:dyDescent="0.35">
      <c r="B3" s="35" t="s">
        <v>182</v>
      </c>
      <c r="C3" s="35" t="s">
        <v>22</v>
      </c>
      <c r="D3" s="35" t="s">
        <v>23</v>
      </c>
      <c r="E3" s="35" t="s">
        <v>157</v>
      </c>
      <c r="F3" s="35">
        <v>2010</v>
      </c>
      <c r="G3" s="35">
        <v>2011</v>
      </c>
      <c r="H3" s="35">
        <v>2012</v>
      </c>
      <c r="I3" s="35">
        <v>2013</v>
      </c>
      <c r="J3" s="35">
        <v>2014</v>
      </c>
      <c r="K3" s="35">
        <v>2015</v>
      </c>
      <c r="L3" s="35">
        <v>2016</v>
      </c>
      <c r="M3" s="35">
        <v>2017</v>
      </c>
      <c r="N3" s="35">
        <v>2018</v>
      </c>
      <c r="O3" s="35">
        <v>2019</v>
      </c>
      <c r="P3" s="35">
        <v>2020</v>
      </c>
      <c r="Q3" s="35">
        <v>2021</v>
      </c>
      <c r="R3" s="35">
        <v>2022</v>
      </c>
      <c r="S3" s="35">
        <v>2023</v>
      </c>
      <c r="T3" s="35">
        <v>2024</v>
      </c>
      <c r="U3" s="35">
        <v>2025</v>
      </c>
      <c r="V3" s="35">
        <v>2026</v>
      </c>
      <c r="W3" s="35">
        <v>2027</v>
      </c>
      <c r="X3" s="35">
        <v>2028</v>
      </c>
      <c r="Y3" s="35">
        <v>2029</v>
      </c>
      <c r="Z3" s="35">
        <v>2030</v>
      </c>
      <c r="AA3" s="35">
        <v>2031</v>
      </c>
      <c r="AB3" s="35">
        <v>2032</v>
      </c>
      <c r="AC3" s="35">
        <v>2033</v>
      </c>
      <c r="AD3" s="35">
        <v>2034</v>
      </c>
      <c r="AE3" s="36">
        <v>2035</v>
      </c>
    </row>
    <row r="4" spans="2:31" x14ac:dyDescent="0.3">
      <c r="B4" s="22" t="s">
        <v>183</v>
      </c>
      <c r="C4" s="22" t="s">
        <v>21</v>
      </c>
      <c r="D4" s="22" t="s">
        <v>5</v>
      </c>
      <c r="E4" s="22" t="s">
        <v>177</v>
      </c>
      <c r="F4" s="41">
        <v>7.4538999999999994E-2</v>
      </c>
      <c r="G4" s="41">
        <f>F4</f>
        <v>7.4538999999999994E-2</v>
      </c>
      <c r="H4" s="41">
        <f t="shared" ref="H4:AE4" si="0">G4</f>
        <v>7.4538999999999994E-2</v>
      </c>
      <c r="I4" s="41">
        <f t="shared" si="0"/>
        <v>7.4538999999999994E-2</v>
      </c>
      <c r="J4" s="41">
        <f t="shared" si="0"/>
        <v>7.4538999999999994E-2</v>
      </c>
      <c r="K4" s="41">
        <f t="shared" si="0"/>
        <v>7.4538999999999994E-2</v>
      </c>
      <c r="L4" s="41">
        <f t="shared" si="0"/>
        <v>7.4538999999999994E-2</v>
      </c>
      <c r="M4" s="41">
        <f t="shared" si="0"/>
        <v>7.4538999999999994E-2</v>
      </c>
      <c r="N4" s="41">
        <f t="shared" si="0"/>
        <v>7.4538999999999994E-2</v>
      </c>
      <c r="O4" s="41">
        <f t="shared" si="0"/>
        <v>7.4538999999999994E-2</v>
      </c>
      <c r="P4" s="41">
        <f t="shared" si="0"/>
        <v>7.4538999999999994E-2</v>
      </c>
      <c r="Q4" s="41">
        <f t="shared" si="0"/>
        <v>7.4538999999999994E-2</v>
      </c>
      <c r="R4" s="41">
        <f t="shared" si="0"/>
        <v>7.4538999999999994E-2</v>
      </c>
      <c r="S4" s="41">
        <f t="shared" si="0"/>
        <v>7.4538999999999994E-2</v>
      </c>
      <c r="T4" s="41">
        <f t="shared" si="0"/>
        <v>7.4538999999999994E-2</v>
      </c>
      <c r="U4" s="41">
        <f t="shared" si="0"/>
        <v>7.4538999999999994E-2</v>
      </c>
      <c r="V4" s="41">
        <f t="shared" si="0"/>
        <v>7.4538999999999994E-2</v>
      </c>
      <c r="W4" s="41">
        <f t="shared" si="0"/>
        <v>7.4538999999999994E-2</v>
      </c>
      <c r="X4" s="41">
        <f t="shared" si="0"/>
        <v>7.4538999999999994E-2</v>
      </c>
      <c r="Y4" s="41">
        <f t="shared" si="0"/>
        <v>7.4538999999999994E-2</v>
      </c>
      <c r="Z4" s="41">
        <f t="shared" si="0"/>
        <v>7.4538999999999994E-2</v>
      </c>
      <c r="AA4" s="41">
        <f t="shared" si="0"/>
        <v>7.4538999999999994E-2</v>
      </c>
      <c r="AB4" s="41">
        <f t="shared" si="0"/>
        <v>7.4538999999999994E-2</v>
      </c>
      <c r="AC4" s="41">
        <f t="shared" si="0"/>
        <v>7.4538999999999994E-2</v>
      </c>
      <c r="AD4" s="41">
        <f t="shared" si="0"/>
        <v>7.4538999999999994E-2</v>
      </c>
      <c r="AE4" s="41">
        <f t="shared" si="0"/>
        <v>7.4538999999999994E-2</v>
      </c>
    </row>
    <row r="5" spans="2:31" x14ac:dyDescent="0.3">
      <c r="B5" s="24" t="s">
        <v>183</v>
      </c>
      <c r="C5" s="24" t="s">
        <v>21</v>
      </c>
      <c r="D5" s="24" t="s">
        <v>3</v>
      </c>
      <c r="E5" s="24" t="s">
        <v>177</v>
      </c>
      <c r="F5" s="43">
        <v>6.9738999999999995E-2</v>
      </c>
      <c r="G5" s="43">
        <f>F5</f>
        <v>6.9738999999999995E-2</v>
      </c>
      <c r="H5" s="43">
        <f t="shared" ref="H5:AE5" si="1">G5</f>
        <v>6.9738999999999995E-2</v>
      </c>
      <c r="I5" s="43">
        <f t="shared" si="1"/>
        <v>6.9738999999999995E-2</v>
      </c>
      <c r="J5" s="43">
        <f t="shared" si="1"/>
        <v>6.9738999999999995E-2</v>
      </c>
      <c r="K5" s="43">
        <f t="shared" si="1"/>
        <v>6.9738999999999995E-2</v>
      </c>
      <c r="L5" s="43">
        <f t="shared" si="1"/>
        <v>6.9738999999999995E-2</v>
      </c>
      <c r="M5" s="43">
        <f t="shared" si="1"/>
        <v>6.9738999999999995E-2</v>
      </c>
      <c r="N5" s="43">
        <f t="shared" si="1"/>
        <v>6.9738999999999995E-2</v>
      </c>
      <c r="O5" s="43">
        <f t="shared" si="1"/>
        <v>6.9738999999999995E-2</v>
      </c>
      <c r="P5" s="43">
        <f t="shared" si="1"/>
        <v>6.9738999999999995E-2</v>
      </c>
      <c r="Q5" s="43">
        <f t="shared" si="1"/>
        <v>6.9738999999999995E-2</v>
      </c>
      <c r="R5" s="43">
        <f t="shared" si="1"/>
        <v>6.9738999999999995E-2</v>
      </c>
      <c r="S5" s="43">
        <f t="shared" si="1"/>
        <v>6.9738999999999995E-2</v>
      </c>
      <c r="T5" s="43">
        <f t="shared" si="1"/>
        <v>6.9738999999999995E-2</v>
      </c>
      <c r="U5" s="43">
        <f t="shared" si="1"/>
        <v>6.9738999999999995E-2</v>
      </c>
      <c r="V5" s="43">
        <f t="shared" si="1"/>
        <v>6.9738999999999995E-2</v>
      </c>
      <c r="W5" s="43">
        <f t="shared" si="1"/>
        <v>6.9738999999999995E-2</v>
      </c>
      <c r="X5" s="43">
        <f t="shared" si="1"/>
        <v>6.9738999999999995E-2</v>
      </c>
      <c r="Y5" s="43">
        <f t="shared" si="1"/>
        <v>6.9738999999999995E-2</v>
      </c>
      <c r="Z5" s="43">
        <f t="shared" si="1"/>
        <v>6.9738999999999995E-2</v>
      </c>
      <c r="AA5" s="43">
        <f t="shared" si="1"/>
        <v>6.9738999999999995E-2</v>
      </c>
      <c r="AB5" s="43">
        <f t="shared" si="1"/>
        <v>6.9738999999999995E-2</v>
      </c>
      <c r="AC5" s="43">
        <f t="shared" si="1"/>
        <v>6.9738999999999995E-2</v>
      </c>
      <c r="AD5" s="43">
        <f t="shared" si="1"/>
        <v>6.9738999999999995E-2</v>
      </c>
      <c r="AE5" s="43">
        <f t="shared" si="1"/>
        <v>6.9738999999999995E-2</v>
      </c>
    </row>
    <row r="6" spans="2:31" x14ac:dyDescent="0.3">
      <c r="B6" s="24" t="s">
        <v>183</v>
      </c>
      <c r="C6" s="24" t="s">
        <v>21</v>
      </c>
      <c r="D6" s="24" t="s">
        <v>8</v>
      </c>
      <c r="E6" s="24" t="s">
        <v>177</v>
      </c>
      <c r="F6" s="43">
        <v>6.3266500000000003E-2</v>
      </c>
      <c r="G6" s="43">
        <f>F6</f>
        <v>6.3266500000000003E-2</v>
      </c>
      <c r="H6" s="43">
        <f t="shared" ref="H6:AE6" si="2">G6</f>
        <v>6.3266500000000003E-2</v>
      </c>
      <c r="I6" s="43">
        <f t="shared" si="2"/>
        <v>6.3266500000000003E-2</v>
      </c>
      <c r="J6" s="43">
        <f t="shared" si="2"/>
        <v>6.3266500000000003E-2</v>
      </c>
      <c r="K6" s="43">
        <f t="shared" si="2"/>
        <v>6.3266500000000003E-2</v>
      </c>
      <c r="L6" s="43">
        <f t="shared" si="2"/>
        <v>6.3266500000000003E-2</v>
      </c>
      <c r="M6" s="43">
        <f t="shared" si="2"/>
        <v>6.3266500000000003E-2</v>
      </c>
      <c r="N6" s="43">
        <f t="shared" si="2"/>
        <v>6.3266500000000003E-2</v>
      </c>
      <c r="O6" s="43">
        <f t="shared" si="2"/>
        <v>6.3266500000000003E-2</v>
      </c>
      <c r="P6" s="43">
        <f t="shared" si="2"/>
        <v>6.3266500000000003E-2</v>
      </c>
      <c r="Q6" s="43">
        <f t="shared" si="2"/>
        <v>6.3266500000000003E-2</v>
      </c>
      <c r="R6" s="43">
        <f t="shared" si="2"/>
        <v>6.3266500000000003E-2</v>
      </c>
      <c r="S6" s="43">
        <f t="shared" si="2"/>
        <v>6.3266500000000003E-2</v>
      </c>
      <c r="T6" s="43">
        <f t="shared" si="2"/>
        <v>6.3266500000000003E-2</v>
      </c>
      <c r="U6" s="43">
        <f t="shared" si="2"/>
        <v>6.3266500000000003E-2</v>
      </c>
      <c r="V6" s="43">
        <f t="shared" si="2"/>
        <v>6.3266500000000003E-2</v>
      </c>
      <c r="W6" s="43">
        <f t="shared" si="2"/>
        <v>6.3266500000000003E-2</v>
      </c>
      <c r="X6" s="43">
        <f t="shared" si="2"/>
        <v>6.3266500000000003E-2</v>
      </c>
      <c r="Y6" s="43">
        <f t="shared" si="2"/>
        <v>6.3266500000000003E-2</v>
      </c>
      <c r="Z6" s="43">
        <f t="shared" si="2"/>
        <v>6.3266500000000003E-2</v>
      </c>
      <c r="AA6" s="43">
        <f t="shared" si="2"/>
        <v>6.3266500000000003E-2</v>
      </c>
      <c r="AB6" s="43">
        <f t="shared" si="2"/>
        <v>6.3266500000000003E-2</v>
      </c>
      <c r="AC6" s="43">
        <f t="shared" si="2"/>
        <v>6.3266500000000003E-2</v>
      </c>
      <c r="AD6" s="43">
        <f t="shared" si="2"/>
        <v>6.3266500000000003E-2</v>
      </c>
      <c r="AE6" s="43">
        <f t="shared" si="2"/>
        <v>6.3266500000000003E-2</v>
      </c>
    </row>
    <row r="7" spans="2:31" x14ac:dyDescent="0.3">
      <c r="B7" s="24" t="s">
        <v>183</v>
      </c>
      <c r="C7" s="24" t="s">
        <v>21</v>
      </c>
      <c r="D7" s="24" t="s">
        <v>176</v>
      </c>
      <c r="E7" s="24" t="s">
        <v>177</v>
      </c>
      <c r="F7" s="43">
        <v>0</v>
      </c>
      <c r="G7" s="43">
        <v>0</v>
      </c>
      <c r="H7" s="43">
        <v>0</v>
      </c>
      <c r="I7" s="43">
        <v>0</v>
      </c>
      <c r="J7" s="43">
        <v>0</v>
      </c>
      <c r="K7" s="43">
        <v>0</v>
      </c>
      <c r="L7" s="43">
        <v>0</v>
      </c>
      <c r="M7" s="43">
        <v>0</v>
      </c>
      <c r="N7" s="43">
        <v>0</v>
      </c>
      <c r="O7" s="43">
        <v>0</v>
      </c>
      <c r="P7" s="43">
        <v>0</v>
      </c>
      <c r="Q7" s="43">
        <v>0</v>
      </c>
      <c r="R7" s="43">
        <v>0</v>
      </c>
      <c r="S7" s="43">
        <v>0</v>
      </c>
      <c r="T7" s="43">
        <v>0</v>
      </c>
      <c r="U7" s="43">
        <v>0</v>
      </c>
      <c r="V7" s="43">
        <v>0</v>
      </c>
      <c r="W7" s="43">
        <v>0</v>
      </c>
      <c r="X7" s="43">
        <v>0</v>
      </c>
      <c r="Y7" s="43">
        <v>0</v>
      </c>
      <c r="Z7" s="43">
        <v>0</v>
      </c>
      <c r="AA7" s="43">
        <v>0</v>
      </c>
      <c r="AB7" s="43">
        <v>0</v>
      </c>
      <c r="AC7" s="43">
        <v>0</v>
      </c>
      <c r="AD7" s="43">
        <v>0</v>
      </c>
      <c r="AE7" s="43">
        <v>0</v>
      </c>
    </row>
    <row r="8" spans="2:31" x14ac:dyDescent="0.3">
      <c r="B8" s="24" t="s">
        <v>184</v>
      </c>
      <c r="C8" s="24" t="s">
        <v>20</v>
      </c>
      <c r="D8" s="24" t="s">
        <v>5</v>
      </c>
      <c r="E8" s="24" t="s">
        <v>177</v>
      </c>
      <c r="F8" s="43">
        <v>7.4538999999999994E-2</v>
      </c>
      <c r="G8" s="43">
        <f>F8</f>
        <v>7.4538999999999994E-2</v>
      </c>
      <c r="H8" s="43">
        <f t="shared" ref="H8:AE8" si="3">G8</f>
        <v>7.4538999999999994E-2</v>
      </c>
      <c r="I8" s="43">
        <f t="shared" si="3"/>
        <v>7.4538999999999994E-2</v>
      </c>
      <c r="J8" s="43">
        <f t="shared" si="3"/>
        <v>7.4538999999999994E-2</v>
      </c>
      <c r="K8" s="43">
        <f t="shared" si="3"/>
        <v>7.4538999999999994E-2</v>
      </c>
      <c r="L8" s="43">
        <f t="shared" si="3"/>
        <v>7.4538999999999994E-2</v>
      </c>
      <c r="M8" s="43">
        <f t="shared" si="3"/>
        <v>7.4538999999999994E-2</v>
      </c>
      <c r="N8" s="43">
        <f t="shared" si="3"/>
        <v>7.4538999999999994E-2</v>
      </c>
      <c r="O8" s="43">
        <f t="shared" si="3"/>
        <v>7.4538999999999994E-2</v>
      </c>
      <c r="P8" s="43">
        <f t="shared" si="3"/>
        <v>7.4538999999999994E-2</v>
      </c>
      <c r="Q8" s="43">
        <f t="shared" si="3"/>
        <v>7.4538999999999994E-2</v>
      </c>
      <c r="R8" s="43">
        <f t="shared" si="3"/>
        <v>7.4538999999999994E-2</v>
      </c>
      <c r="S8" s="43">
        <f t="shared" si="3"/>
        <v>7.4538999999999994E-2</v>
      </c>
      <c r="T8" s="43">
        <f t="shared" si="3"/>
        <v>7.4538999999999994E-2</v>
      </c>
      <c r="U8" s="43">
        <f t="shared" si="3"/>
        <v>7.4538999999999994E-2</v>
      </c>
      <c r="V8" s="43">
        <f t="shared" si="3"/>
        <v>7.4538999999999994E-2</v>
      </c>
      <c r="W8" s="43">
        <f t="shared" si="3"/>
        <v>7.4538999999999994E-2</v>
      </c>
      <c r="X8" s="43">
        <f t="shared" si="3"/>
        <v>7.4538999999999994E-2</v>
      </c>
      <c r="Y8" s="43">
        <f t="shared" si="3"/>
        <v>7.4538999999999994E-2</v>
      </c>
      <c r="Z8" s="43">
        <f t="shared" si="3"/>
        <v>7.4538999999999994E-2</v>
      </c>
      <c r="AA8" s="43">
        <f t="shared" si="3"/>
        <v>7.4538999999999994E-2</v>
      </c>
      <c r="AB8" s="43">
        <f t="shared" si="3"/>
        <v>7.4538999999999994E-2</v>
      </c>
      <c r="AC8" s="43">
        <f t="shared" si="3"/>
        <v>7.4538999999999994E-2</v>
      </c>
      <c r="AD8" s="43">
        <f t="shared" si="3"/>
        <v>7.4538999999999994E-2</v>
      </c>
      <c r="AE8" s="43">
        <f t="shared" si="3"/>
        <v>7.4538999999999994E-2</v>
      </c>
    </row>
    <row r="9" spans="2:31" x14ac:dyDescent="0.3">
      <c r="B9" s="24" t="s">
        <v>184</v>
      </c>
      <c r="C9" s="24" t="s">
        <v>20</v>
      </c>
      <c r="D9" s="24" t="s">
        <v>9</v>
      </c>
      <c r="E9" s="24" t="s">
        <v>177</v>
      </c>
      <c r="F9" s="43">
        <v>0</v>
      </c>
      <c r="G9" s="43">
        <v>0</v>
      </c>
      <c r="H9" s="43">
        <v>0</v>
      </c>
      <c r="I9" s="43">
        <v>0</v>
      </c>
      <c r="J9" s="43">
        <v>0</v>
      </c>
      <c r="K9" s="43">
        <v>0</v>
      </c>
      <c r="L9" s="43">
        <v>0</v>
      </c>
      <c r="M9" s="43">
        <v>0</v>
      </c>
      <c r="N9" s="43">
        <v>0</v>
      </c>
      <c r="O9" s="43">
        <v>0</v>
      </c>
      <c r="P9" s="43">
        <v>0</v>
      </c>
      <c r="Q9" s="43">
        <v>0</v>
      </c>
      <c r="R9" s="43">
        <v>0</v>
      </c>
      <c r="S9" s="43">
        <v>0</v>
      </c>
      <c r="T9" s="43">
        <v>0</v>
      </c>
      <c r="U9" s="43">
        <v>0</v>
      </c>
      <c r="V9" s="43">
        <v>0</v>
      </c>
      <c r="W9" s="43">
        <v>0</v>
      </c>
      <c r="X9" s="43">
        <v>0</v>
      </c>
      <c r="Y9" s="43">
        <v>0</v>
      </c>
      <c r="Z9" s="43">
        <v>0</v>
      </c>
      <c r="AA9" s="43">
        <v>0</v>
      </c>
      <c r="AB9" s="43">
        <v>0</v>
      </c>
      <c r="AC9" s="43">
        <v>0</v>
      </c>
      <c r="AD9" s="43">
        <v>0</v>
      </c>
      <c r="AE9" s="43">
        <v>0</v>
      </c>
    </row>
    <row r="10" spans="2:31" x14ac:dyDescent="0.3">
      <c r="B10" s="24" t="s">
        <v>184</v>
      </c>
      <c r="C10" s="24" t="s">
        <v>20</v>
      </c>
      <c r="D10" s="24" t="s">
        <v>4</v>
      </c>
      <c r="E10" s="24" t="s">
        <v>177</v>
      </c>
      <c r="F10" s="43">
        <v>7.7839000000000005E-2</v>
      </c>
      <c r="G10" s="43">
        <v>7.7839000000000005E-2</v>
      </c>
      <c r="H10" s="43">
        <v>7.7839000000000005E-2</v>
      </c>
      <c r="I10" s="43">
        <v>7.7839000000000005E-2</v>
      </c>
      <c r="J10" s="43">
        <v>7.7839000000000005E-2</v>
      </c>
      <c r="K10" s="43">
        <v>7.7839000000000005E-2</v>
      </c>
      <c r="L10" s="43">
        <v>7.7839000000000005E-2</v>
      </c>
      <c r="M10" s="43">
        <v>7.7839000000000005E-2</v>
      </c>
      <c r="N10" s="43">
        <v>7.7839000000000005E-2</v>
      </c>
      <c r="O10" s="43">
        <v>7.7839000000000005E-2</v>
      </c>
      <c r="P10" s="43">
        <v>7.7839000000000005E-2</v>
      </c>
      <c r="Q10" s="43">
        <v>7.7839000000000005E-2</v>
      </c>
      <c r="R10" s="43">
        <v>7.7839000000000005E-2</v>
      </c>
      <c r="S10" s="43">
        <v>7.7839000000000005E-2</v>
      </c>
      <c r="T10" s="43">
        <v>7.7839000000000005E-2</v>
      </c>
      <c r="U10" s="43">
        <v>7.7839000000000005E-2</v>
      </c>
      <c r="V10" s="43">
        <v>7.7839000000000005E-2</v>
      </c>
      <c r="W10" s="43">
        <v>7.7839000000000005E-2</v>
      </c>
      <c r="X10" s="43">
        <v>7.7839000000000005E-2</v>
      </c>
      <c r="Y10" s="43">
        <v>7.7839000000000005E-2</v>
      </c>
      <c r="Z10" s="43">
        <v>7.7839000000000005E-2</v>
      </c>
      <c r="AA10" s="43">
        <v>7.7839000000000005E-2</v>
      </c>
      <c r="AB10" s="43">
        <v>7.7839000000000005E-2</v>
      </c>
      <c r="AC10" s="43">
        <v>7.7839000000000005E-2</v>
      </c>
      <c r="AD10" s="43">
        <v>7.7839000000000005E-2</v>
      </c>
      <c r="AE10" s="43">
        <v>7.7839000000000005E-2</v>
      </c>
    </row>
    <row r="11" spans="2:31" x14ac:dyDescent="0.3">
      <c r="B11" s="24" t="s">
        <v>184</v>
      </c>
      <c r="C11" s="24" t="s">
        <v>20</v>
      </c>
      <c r="D11" s="24" t="s">
        <v>3</v>
      </c>
      <c r="E11" s="24" t="s">
        <v>177</v>
      </c>
      <c r="F11" s="43">
        <v>6.9738999999999995E-2</v>
      </c>
      <c r="G11" s="43">
        <f>F11</f>
        <v>6.9738999999999995E-2</v>
      </c>
      <c r="H11" s="43">
        <f t="shared" ref="H11:AE12" si="4">G11</f>
        <v>6.9738999999999995E-2</v>
      </c>
      <c r="I11" s="43">
        <f t="shared" si="4"/>
        <v>6.9738999999999995E-2</v>
      </c>
      <c r="J11" s="43">
        <f t="shared" si="4"/>
        <v>6.9738999999999995E-2</v>
      </c>
      <c r="K11" s="43">
        <f t="shared" si="4"/>
        <v>6.9738999999999995E-2</v>
      </c>
      <c r="L11" s="43">
        <f t="shared" si="4"/>
        <v>6.9738999999999995E-2</v>
      </c>
      <c r="M11" s="43">
        <f t="shared" si="4"/>
        <v>6.9738999999999995E-2</v>
      </c>
      <c r="N11" s="43">
        <f t="shared" si="4"/>
        <v>6.9738999999999995E-2</v>
      </c>
      <c r="O11" s="43">
        <f t="shared" si="4"/>
        <v>6.9738999999999995E-2</v>
      </c>
      <c r="P11" s="43">
        <f t="shared" si="4"/>
        <v>6.9738999999999995E-2</v>
      </c>
      <c r="Q11" s="43">
        <f t="shared" si="4"/>
        <v>6.9738999999999995E-2</v>
      </c>
      <c r="R11" s="43">
        <f t="shared" si="4"/>
        <v>6.9738999999999995E-2</v>
      </c>
      <c r="S11" s="43">
        <f t="shared" si="4"/>
        <v>6.9738999999999995E-2</v>
      </c>
      <c r="T11" s="43">
        <f t="shared" si="4"/>
        <v>6.9738999999999995E-2</v>
      </c>
      <c r="U11" s="43">
        <f t="shared" si="4"/>
        <v>6.9738999999999995E-2</v>
      </c>
      <c r="V11" s="43">
        <f t="shared" si="4"/>
        <v>6.9738999999999995E-2</v>
      </c>
      <c r="W11" s="43">
        <f t="shared" si="4"/>
        <v>6.9738999999999995E-2</v>
      </c>
      <c r="X11" s="43">
        <f t="shared" si="4"/>
        <v>6.9738999999999995E-2</v>
      </c>
      <c r="Y11" s="43">
        <f t="shared" si="4"/>
        <v>6.9738999999999995E-2</v>
      </c>
      <c r="Z11" s="43">
        <f t="shared" si="4"/>
        <v>6.9738999999999995E-2</v>
      </c>
      <c r="AA11" s="43">
        <f t="shared" si="4"/>
        <v>6.9738999999999995E-2</v>
      </c>
      <c r="AB11" s="43">
        <f t="shared" si="4"/>
        <v>6.9738999999999995E-2</v>
      </c>
      <c r="AC11" s="43">
        <f t="shared" si="4"/>
        <v>6.9738999999999995E-2</v>
      </c>
      <c r="AD11" s="43">
        <f t="shared" si="4"/>
        <v>6.9738999999999995E-2</v>
      </c>
      <c r="AE11" s="43">
        <f t="shared" si="4"/>
        <v>6.9738999999999995E-2</v>
      </c>
    </row>
    <row r="12" spans="2:31" x14ac:dyDescent="0.3">
      <c r="B12" s="24" t="s">
        <v>184</v>
      </c>
      <c r="C12" s="24" t="s">
        <v>20</v>
      </c>
      <c r="D12" s="24" t="s">
        <v>8</v>
      </c>
      <c r="E12" s="24" t="s">
        <v>177</v>
      </c>
      <c r="F12" s="43">
        <v>6.3266500000000003E-2</v>
      </c>
      <c r="G12" s="43">
        <f>F12</f>
        <v>6.3266500000000003E-2</v>
      </c>
      <c r="H12" s="43">
        <f t="shared" si="4"/>
        <v>6.3266500000000003E-2</v>
      </c>
      <c r="I12" s="43">
        <f t="shared" si="4"/>
        <v>6.3266500000000003E-2</v>
      </c>
      <c r="J12" s="43">
        <f t="shared" si="4"/>
        <v>6.3266500000000003E-2</v>
      </c>
      <c r="K12" s="43">
        <f t="shared" si="4"/>
        <v>6.3266500000000003E-2</v>
      </c>
      <c r="L12" s="43">
        <f t="shared" si="4"/>
        <v>6.3266500000000003E-2</v>
      </c>
      <c r="M12" s="43">
        <f t="shared" si="4"/>
        <v>6.3266500000000003E-2</v>
      </c>
      <c r="N12" s="43">
        <f t="shared" si="4"/>
        <v>6.3266500000000003E-2</v>
      </c>
      <c r="O12" s="43">
        <f t="shared" si="4"/>
        <v>6.3266500000000003E-2</v>
      </c>
      <c r="P12" s="43">
        <f t="shared" si="4"/>
        <v>6.3266500000000003E-2</v>
      </c>
      <c r="Q12" s="43">
        <f t="shared" si="4"/>
        <v>6.3266500000000003E-2</v>
      </c>
      <c r="R12" s="43">
        <f t="shared" si="4"/>
        <v>6.3266500000000003E-2</v>
      </c>
      <c r="S12" s="43">
        <f t="shared" si="4"/>
        <v>6.3266500000000003E-2</v>
      </c>
      <c r="T12" s="43">
        <f t="shared" si="4"/>
        <v>6.3266500000000003E-2</v>
      </c>
      <c r="U12" s="43">
        <f t="shared" si="4"/>
        <v>6.3266500000000003E-2</v>
      </c>
      <c r="V12" s="43">
        <f t="shared" si="4"/>
        <v>6.3266500000000003E-2</v>
      </c>
      <c r="W12" s="43">
        <f t="shared" si="4"/>
        <v>6.3266500000000003E-2</v>
      </c>
      <c r="X12" s="43">
        <f t="shared" si="4"/>
        <v>6.3266500000000003E-2</v>
      </c>
      <c r="Y12" s="43">
        <f t="shared" si="4"/>
        <v>6.3266500000000003E-2</v>
      </c>
      <c r="Z12" s="43">
        <f t="shared" si="4"/>
        <v>6.3266500000000003E-2</v>
      </c>
      <c r="AA12" s="43">
        <f t="shared" si="4"/>
        <v>6.3266500000000003E-2</v>
      </c>
      <c r="AB12" s="43">
        <f t="shared" si="4"/>
        <v>6.3266500000000003E-2</v>
      </c>
      <c r="AC12" s="43">
        <f t="shared" si="4"/>
        <v>6.3266500000000003E-2</v>
      </c>
      <c r="AD12" s="43">
        <f t="shared" si="4"/>
        <v>6.3266500000000003E-2</v>
      </c>
      <c r="AE12" s="43">
        <f t="shared" si="4"/>
        <v>6.3266500000000003E-2</v>
      </c>
    </row>
    <row r="13" spans="2:31" x14ac:dyDescent="0.3">
      <c r="B13" s="24" t="s">
        <v>184</v>
      </c>
      <c r="C13" s="24" t="s">
        <v>18</v>
      </c>
      <c r="D13" s="24" t="s">
        <v>19</v>
      </c>
      <c r="E13" s="24" t="s">
        <v>177</v>
      </c>
      <c r="F13" s="43">
        <v>1.9E-3</v>
      </c>
      <c r="G13" s="43">
        <f>F13</f>
        <v>1.9E-3</v>
      </c>
      <c r="H13" s="43">
        <f t="shared" ref="H13:AE13" si="5">G13</f>
        <v>1.9E-3</v>
      </c>
      <c r="I13" s="43">
        <f t="shared" si="5"/>
        <v>1.9E-3</v>
      </c>
      <c r="J13" s="43">
        <f t="shared" si="5"/>
        <v>1.9E-3</v>
      </c>
      <c r="K13" s="43">
        <f t="shared" si="5"/>
        <v>1.9E-3</v>
      </c>
      <c r="L13" s="43">
        <f t="shared" si="5"/>
        <v>1.9E-3</v>
      </c>
      <c r="M13" s="43">
        <f t="shared" si="5"/>
        <v>1.9E-3</v>
      </c>
      <c r="N13" s="43">
        <f t="shared" si="5"/>
        <v>1.9E-3</v>
      </c>
      <c r="O13" s="43">
        <f t="shared" si="5"/>
        <v>1.9E-3</v>
      </c>
      <c r="P13" s="43">
        <f t="shared" si="5"/>
        <v>1.9E-3</v>
      </c>
      <c r="Q13" s="43">
        <f t="shared" si="5"/>
        <v>1.9E-3</v>
      </c>
      <c r="R13" s="43">
        <f t="shared" si="5"/>
        <v>1.9E-3</v>
      </c>
      <c r="S13" s="43">
        <f t="shared" si="5"/>
        <v>1.9E-3</v>
      </c>
      <c r="T13" s="43">
        <f t="shared" si="5"/>
        <v>1.9E-3</v>
      </c>
      <c r="U13" s="43">
        <f t="shared" si="5"/>
        <v>1.9E-3</v>
      </c>
      <c r="V13" s="43">
        <f t="shared" si="5"/>
        <v>1.9E-3</v>
      </c>
      <c r="W13" s="43">
        <f t="shared" si="5"/>
        <v>1.9E-3</v>
      </c>
      <c r="X13" s="43">
        <f t="shared" si="5"/>
        <v>1.9E-3</v>
      </c>
      <c r="Y13" s="43">
        <f t="shared" si="5"/>
        <v>1.9E-3</v>
      </c>
      <c r="Z13" s="43">
        <f t="shared" si="5"/>
        <v>1.9E-3</v>
      </c>
      <c r="AA13" s="43">
        <f t="shared" si="5"/>
        <v>1.9E-3</v>
      </c>
      <c r="AB13" s="43">
        <f t="shared" si="5"/>
        <v>1.9E-3</v>
      </c>
      <c r="AC13" s="43">
        <f t="shared" si="5"/>
        <v>1.9E-3</v>
      </c>
      <c r="AD13" s="43">
        <f t="shared" si="5"/>
        <v>1.9E-3</v>
      </c>
      <c r="AE13" s="43">
        <f t="shared" si="5"/>
        <v>1.9E-3</v>
      </c>
    </row>
    <row r="14" spans="2:31" x14ac:dyDescent="0.3">
      <c r="B14" s="24" t="s">
        <v>184</v>
      </c>
      <c r="C14" s="24" t="s">
        <v>18</v>
      </c>
      <c r="D14" s="24" t="s">
        <v>174</v>
      </c>
      <c r="E14" s="24" t="s">
        <v>177</v>
      </c>
      <c r="F14" s="43">
        <v>9.5960000000000004E-2</v>
      </c>
      <c r="G14" s="43">
        <v>9.5960000000000004E-2</v>
      </c>
      <c r="H14" s="43">
        <v>9.5960000000000004E-2</v>
      </c>
      <c r="I14" s="43">
        <v>9.5960000000000004E-2</v>
      </c>
      <c r="J14" s="43">
        <v>9.5960000000000004E-2</v>
      </c>
      <c r="K14" s="43">
        <v>9.5960000000000004E-2</v>
      </c>
      <c r="L14" s="43">
        <v>9.5960000000000004E-2</v>
      </c>
      <c r="M14" s="43">
        <v>9.5960000000000004E-2</v>
      </c>
      <c r="N14" s="43">
        <v>9.5960000000000004E-2</v>
      </c>
      <c r="O14" s="43">
        <v>9.5960000000000004E-2</v>
      </c>
      <c r="P14" s="43">
        <v>9.5960000000000004E-2</v>
      </c>
      <c r="Q14" s="43">
        <v>9.5960000000000004E-2</v>
      </c>
      <c r="R14" s="43">
        <v>9.5960000000000004E-2</v>
      </c>
      <c r="S14" s="43">
        <v>9.5960000000000004E-2</v>
      </c>
      <c r="T14" s="43">
        <v>9.5960000000000004E-2</v>
      </c>
      <c r="U14" s="43">
        <v>9.5960000000000004E-2</v>
      </c>
      <c r="V14" s="43">
        <v>9.5960000000000004E-2</v>
      </c>
      <c r="W14" s="43">
        <v>9.5960000000000004E-2</v>
      </c>
      <c r="X14" s="43">
        <v>9.5960000000000004E-2</v>
      </c>
      <c r="Y14" s="43">
        <v>9.5960000000000004E-2</v>
      </c>
      <c r="Z14" s="43">
        <v>9.5960000000000004E-2</v>
      </c>
      <c r="AA14" s="43">
        <v>9.5960000000000004E-2</v>
      </c>
      <c r="AB14" s="43">
        <v>9.5960000000000004E-2</v>
      </c>
      <c r="AC14" s="43">
        <v>9.5960000000000004E-2</v>
      </c>
      <c r="AD14" s="43">
        <v>9.5960000000000004E-2</v>
      </c>
      <c r="AE14" s="43">
        <v>9.5960000000000004E-2</v>
      </c>
    </row>
    <row r="15" spans="2:31" x14ac:dyDescent="0.3">
      <c r="B15" s="24" t="s">
        <v>184</v>
      </c>
      <c r="C15" s="24" t="s">
        <v>18</v>
      </c>
      <c r="D15" s="24" t="s">
        <v>17</v>
      </c>
      <c r="E15" s="24" t="s">
        <v>177</v>
      </c>
      <c r="F15" s="43">
        <v>9.7742999999999997E-2</v>
      </c>
      <c r="G15" s="43">
        <v>9.7742999999999997E-2</v>
      </c>
      <c r="H15" s="43">
        <v>9.7742999999999997E-2</v>
      </c>
      <c r="I15" s="43">
        <v>9.7742999999999997E-2</v>
      </c>
      <c r="J15" s="43">
        <v>9.7742999999999997E-2</v>
      </c>
      <c r="K15" s="43">
        <v>9.7742999999999997E-2</v>
      </c>
      <c r="L15" s="43">
        <v>9.7742999999999997E-2</v>
      </c>
      <c r="M15" s="43">
        <v>9.7742999999999997E-2</v>
      </c>
      <c r="N15" s="43">
        <v>9.7742999999999997E-2</v>
      </c>
      <c r="O15" s="43">
        <v>9.7742999999999997E-2</v>
      </c>
      <c r="P15" s="43">
        <v>9.7742999999999997E-2</v>
      </c>
      <c r="Q15" s="43">
        <v>9.7742999999999997E-2</v>
      </c>
      <c r="R15" s="43">
        <v>9.7742999999999997E-2</v>
      </c>
      <c r="S15" s="43">
        <v>9.7742999999999997E-2</v>
      </c>
      <c r="T15" s="43">
        <v>9.7742999999999997E-2</v>
      </c>
      <c r="U15" s="43">
        <v>9.7742999999999997E-2</v>
      </c>
      <c r="V15" s="43">
        <v>9.7742999999999997E-2</v>
      </c>
      <c r="W15" s="43">
        <v>9.7742999999999997E-2</v>
      </c>
      <c r="X15" s="43">
        <v>9.7742999999999997E-2</v>
      </c>
      <c r="Y15" s="43">
        <v>9.7742999999999997E-2</v>
      </c>
      <c r="Z15" s="43">
        <v>9.7742999999999997E-2</v>
      </c>
      <c r="AA15" s="43">
        <v>9.7742999999999997E-2</v>
      </c>
      <c r="AB15" s="43">
        <v>9.7742999999999997E-2</v>
      </c>
      <c r="AC15" s="43">
        <v>9.7742999999999997E-2</v>
      </c>
      <c r="AD15" s="43">
        <v>9.7742999999999997E-2</v>
      </c>
      <c r="AE15" s="43">
        <v>9.7742999999999997E-2</v>
      </c>
    </row>
    <row r="16" spans="2:31" x14ac:dyDescent="0.3">
      <c r="B16" s="24" t="s">
        <v>184</v>
      </c>
      <c r="C16" s="24" t="s">
        <v>18</v>
      </c>
      <c r="D16" s="24" t="s">
        <v>5</v>
      </c>
      <c r="E16" s="24" t="s">
        <v>177</v>
      </c>
      <c r="F16" s="43">
        <v>7.4538999999999994E-2</v>
      </c>
      <c r="G16" s="43">
        <f>F16</f>
        <v>7.4538999999999994E-2</v>
      </c>
      <c r="H16" s="43">
        <f t="shared" ref="H16:AE16" si="6">G16</f>
        <v>7.4538999999999994E-2</v>
      </c>
      <c r="I16" s="43">
        <f t="shared" si="6"/>
        <v>7.4538999999999994E-2</v>
      </c>
      <c r="J16" s="43">
        <f t="shared" si="6"/>
        <v>7.4538999999999994E-2</v>
      </c>
      <c r="K16" s="43">
        <f t="shared" si="6"/>
        <v>7.4538999999999994E-2</v>
      </c>
      <c r="L16" s="43">
        <f t="shared" si="6"/>
        <v>7.4538999999999994E-2</v>
      </c>
      <c r="M16" s="43">
        <f t="shared" si="6"/>
        <v>7.4538999999999994E-2</v>
      </c>
      <c r="N16" s="43">
        <f t="shared" si="6"/>
        <v>7.4538999999999994E-2</v>
      </c>
      <c r="O16" s="43">
        <f t="shared" si="6"/>
        <v>7.4538999999999994E-2</v>
      </c>
      <c r="P16" s="43">
        <f t="shared" si="6"/>
        <v>7.4538999999999994E-2</v>
      </c>
      <c r="Q16" s="43">
        <f t="shared" si="6"/>
        <v>7.4538999999999994E-2</v>
      </c>
      <c r="R16" s="43">
        <f t="shared" si="6"/>
        <v>7.4538999999999994E-2</v>
      </c>
      <c r="S16" s="43">
        <f t="shared" si="6"/>
        <v>7.4538999999999994E-2</v>
      </c>
      <c r="T16" s="43">
        <f t="shared" si="6"/>
        <v>7.4538999999999994E-2</v>
      </c>
      <c r="U16" s="43">
        <f t="shared" si="6"/>
        <v>7.4538999999999994E-2</v>
      </c>
      <c r="V16" s="43">
        <f t="shared" si="6"/>
        <v>7.4538999999999994E-2</v>
      </c>
      <c r="W16" s="43">
        <f t="shared" si="6"/>
        <v>7.4538999999999994E-2</v>
      </c>
      <c r="X16" s="43">
        <f t="shared" si="6"/>
        <v>7.4538999999999994E-2</v>
      </c>
      <c r="Y16" s="43">
        <f t="shared" si="6"/>
        <v>7.4538999999999994E-2</v>
      </c>
      <c r="Z16" s="43">
        <f t="shared" si="6"/>
        <v>7.4538999999999994E-2</v>
      </c>
      <c r="AA16" s="43">
        <f t="shared" si="6"/>
        <v>7.4538999999999994E-2</v>
      </c>
      <c r="AB16" s="43">
        <f t="shared" si="6"/>
        <v>7.4538999999999994E-2</v>
      </c>
      <c r="AC16" s="43">
        <f t="shared" si="6"/>
        <v>7.4538999999999994E-2</v>
      </c>
      <c r="AD16" s="43">
        <f t="shared" si="6"/>
        <v>7.4538999999999994E-2</v>
      </c>
      <c r="AE16" s="43">
        <f t="shared" si="6"/>
        <v>7.4538999999999994E-2</v>
      </c>
    </row>
    <row r="17" spans="2:31" x14ac:dyDescent="0.3">
      <c r="B17" s="24" t="s">
        <v>184</v>
      </c>
      <c r="C17" s="24" t="s">
        <v>18</v>
      </c>
      <c r="D17" s="24" t="s">
        <v>9</v>
      </c>
      <c r="E17" s="24" t="s">
        <v>177</v>
      </c>
      <c r="F17" s="43">
        <v>0</v>
      </c>
      <c r="G17" s="43">
        <v>0</v>
      </c>
      <c r="H17" s="43">
        <v>0</v>
      </c>
      <c r="I17" s="43">
        <v>0</v>
      </c>
      <c r="J17" s="43">
        <v>0</v>
      </c>
      <c r="K17" s="43">
        <v>0</v>
      </c>
      <c r="L17" s="43">
        <v>0</v>
      </c>
      <c r="M17" s="43">
        <v>0</v>
      </c>
      <c r="N17" s="43">
        <v>0</v>
      </c>
      <c r="O17" s="43">
        <v>0</v>
      </c>
      <c r="P17" s="43">
        <v>0</v>
      </c>
      <c r="Q17" s="43">
        <v>0</v>
      </c>
      <c r="R17" s="43">
        <v>0</v>
      </c>
      <c r="S17" s="43">
        <v>0</v>
      </c>
      <c r="T17" s="43">
        <v>0</v>
      </c>
      <c r="U17" s="43">
        <v>0</v>
      </c>
      <c r="V17" s="43">
        <v>0</v>
      </c>
      <c r="W17" s="43">
        <v>0</v>
      </c>
      <c r="X17" s="43">
        <v>0</v>
      </c>
      <c r="Y17" s="43">
        <v>0</v>
      </c>
      <c r="Z17" s="43">
        <v>0</v>
      </c>
      <c r="AA17" s="43">
        <v>0</v>
      </c>
      <c r="AB17" s="43">
        <v>0</v>
      </c>
      <c r="AC17" s="43">
        <v>0</v>
      </c>
      <c r="AD17" s="43">
        <v>0</v>
      </c>
      <c r="AE17" s="43">
        <v>0</v>
      </c>
    </row>
    <row r="18" spans="2:31" x14ac:dyDescent="0.3">
      <c r="B18" s="24" t="s">
        <v>184</v>
      </c>
      <c r="C18" s="24" t="s">
        <v>18</v>
      </c>
      <c r="D18" s="24" t="s">
        <v>4</v>
      </c>
      <c r="E18" s="24" t="s">
        <v>177</v>
      </c>
      <c r="F18" s="43">
        <v>7.7839000000000005E-2</v>
      </c>
      <c r="G18" s="43">
        <v>7.7839000000000005E-2</v>
      </c>
      <c r="H18" s="43">
        <v>7.7839000000000005E-2</v>
      </c>
      <c r="I18" s="43">
        <v>7.7839000000000005E-2</v>
      </c>
      <c r="J18" s="43">
        <v>7.7839000000000005E-2</v>
      </c>
      <c r="K18" s="43">
        <v>7.7839000000000005E-2</v>
      </c>
      <c r="L18" s="43">
        <v>7.7839000000000005E-2</v>
      </c>
      <c r="M18" s="43">
        <v>7.7839000000000005E-2</v>
      </c>
      <c r="N18" s="43">
        <v>7.7839000000000005E-2</v>
      </c>
      <c r="O18" s="43">
        <v>7.7839000000000005E-2</v>
      </c>
      <c r="P18" s="43">
        <v>7.7839000000000005E-2</v>
      </c>
      <c r="Q18" s="43">
        <v>7.7839000000000005E-2</v>
      </c>
      <c r="R18" s="43">
        <v>7.7839000000000005E-2</v>
      </c>
      <c r="S18" s="43">
        <v>7.7839000000000005E-2</v>
      </c>
      <c r="T18" s="43">
        <v>7.7839000000000005E-2</v>
      </c>
      <c r="U18" s="43">
        <v>7.7839000000000005E-2</v>
      </c>
      <c r="V18" s="43">
        <v>7.7839000000000005E-2</v>
      </c>
      <c r="W18" s="43">
        <v>7.7839000000000005E-2</v>
      </c>
      <c r="X18" s="43">
        <v>7.7839000000000005E-2</v>
      </c>
      <c r="Y18" s="43">
        <v>7.7839000000000005E-2</v>
      </c>
      <c r="Z18" s="43">
        <v>7.7839000000000005E-2</v>
      </c>
      <c r="AA18" s="43">
        <v>7.7839000000000005E-2</v>
      </c>
      <c r="AB18" s="43">
        <v>7.7839000000000005E-2</v>
      </c>
      <c r="AC18" s="43">
        <v>7.7839000000000005E-2</v>
      </c>
      <c r="AD18" s="43">
        <v>7.7839000000000005E-2</v>
      </c>
      <c r="AE18" s="43">
        <v>7.7839000000000005E-2</v>
      </c>
    </row>
    <row r="19" spans="2:31" x14ac:dyDescent="0.3">
      <c r="B19" s="24" t="s">
        <v>184</v>
      </c>
      <c r="C19" s="24" t="s">
        <v>18</v>
      </c>
      <c r="D19" s="24" t="s">
        <v>15</v>
      </c>
      <c r="E19" s="24" t="s">
        <v>177</v>
      </c>
      <c r="F19" s="43">
        <v>5.6154500000000003E-2</v>
      </c>
      <c r="G19" s="43">
        <v>5.6154500000000003E-2</v>
      </c>
      <c r="H19" s="43">
        <v>5.6154500000000003E-2</v>
      </c>
      <c r="I19" s="43">
        <v>5.6154500000000003E-2</v>
      </c>
      <c r="J19" s="43">
        <v>5.6154500000000003E-2</v>
      </c>
      <c r="K19" s="43">
        <v>5.6154500000000003E-2</v>
      </c>
      <c r="L19" s="43">
        <v>5.6154500000000003E-2</v>
      </c>
      <c r="M19" s="43">
        <v>5.6154500000000003E-2</v>
      </c>
      <c r="N19" s="43">
        <v>5.6154500000000003E-2</v>
      </c>
      <c r="O19" s="43">
        <v>5.6154500000000003E-2</v>
      </c>
      <c r="P19" s="43">
        <v>5.6154500000000003E-2</v>
      </c>
      <c r="Q19" s="43">
        <v>5.6154500000000003E-2</v>
      </c>
      <c r="R19" s="43">
        <v>5.6154500000000003E-2</v>
      </c>
      <c r="S19" s="43">
        <v>5.6154500000000003E-2</v>
      </c>
      <c r="T19" s="43">
        <v>5.6154500000000003E-2</v>
      </c>
      <c r="U19" s="43">
        <v>5.6154500000000003E-2</v>
      </c>
      <c r="V19" s="43">
        <v>5.6154500000000003E-2</v>
      </c>
      <c r="W19" s="43">
        <v>5.6154500000000003E-2</v>
      </c>
      <c r="X19" s="43">
        <v>5.6154500000000003E-2</v>
      </c>
      <c r="Y19" s="43">
        <v>5.6154500000000003E-2</v>
      </c>
      <c r="Z19" s="43">
        <v>5.6154500000000003E-2</v>
      </c>
      <c r="AA19" s="43">
        <v>5.6154500000000003E-2</v>
      </c>
      <c r="AB19" s="43">
        <v>5.6154500000000003E-2</v>
      </c>
      <c r="AC19" s="43">
        <v>5.6154500000000003E-2</v>
      </c>
      <c r="AD19" s="43">
        <v>5.6154500000000003E-2</v>
      </c>
      <c r="AE19" s="43">
        <v>5.6154500000000003E-2</v>
      </c>
    </row>
    <row r="20" spans="2:31" x14ac:dyDescent="0.3">
      <c r="B20" s="24" t="s">
        <v>184</v>
      </c>
      <c r="C20" s="24" t="s">
        <v>18</v>
      </c>
      <c r="D20" s="24" t="s">
        <v>3</v>
      </c>
      <c r="E20" s="24" t="s">
        <v>177</v>
      </c>
      <c r="F20" s="43">
        <v>6.9738999999999995E-2</v>
      </c>
      <c r="G20" s="43">
        <f>F20</f>
        <v>6.9738999999999995E-2</v>
      </c>
      <c r="H20" s="43">
        <f t="shared" ref="H20:AE20" si="7">G20</f>
        <v>6.9738999999999995E-2</v>
      </c>
      <c r="I20" s="43">
        <f t="shared" si="7"/>
        <v>6.9738999999999995E-2</v>
      </c>
      <c r="J20" s="43">
        <f t="shared" si="7"/>
        <v>6.9738999999999995E-2</v>
      </c>
      <c r="K20" s="43">
        <f t="shared" si="7"/>
        <v>6.9738999999999995E-2</v>
      </c>
      <c r="L20" s="43">
        <f t="shared" si="7"/>
        <v>6.9738999999999995E-2</v>
      </c>
      <c r="M20" s="43">
        <f t="shared" si="7"/>
        <v>6.9738999999999995E-2</v>
      </c>
      <c r="N20" s="43">
        <f t="shared" si="7"/>
        <v>6.9738999999999995E-2</v>
      </c>
      <c r="O20" s="43">
        <f t="shared" si="7"/>
        <v>6.9738999999999995E-2</v>
      </c>
      <c r="P20" s="43">
        <f t="shared" si="7"/>
        <v>6.9738999999999995E-2</v>
      </c>
      <c r="Q20" s="43">
        <f t="shared" si="7"/>
        <v>6.9738999999999995E-2</v>
      </c>
      <c r="R20" s="43">
        <f t="shared" si="7"/>
        <v>6.9738999999999995E-2</v>
      </c>
      <c r="S20" s="43">
        <f t="shared" si="7"/>
        <v>6.9738999999999995E-2</v>
      </c>
      <c r="T20" s="43">
        <f t="shared" si="7"/>
        <v>6.9738999999999995E-2</v>
      </c>
      <c r="U20" s="43">
        <f t="shared" si="7"/>
        <v>6.9738999999999995E-2</v>
      </c>
      <c r="V20" s="43">
        <f t="shared" si="7"/>
        <v>6.9738999999999995E-2</v>
      </c>
      <c r="W20" s="43">
        <f t="shared" si="7"/>
        <v>6.9738999999999995E-2</v>
      </c>
      <c r="X20" s="43">
        <f t="shared" si="7"/>
        <v>6.9738999999999995E-2</v>
      </c>
      <c r="Y20" s="43">
        <f t="shared" si="7"/>
        <v>6.9738999999999995E-2</v>
      </c>
      <c r="Z20" s="43">
        <f t="shared" si="7"/>
        <v>6.9738999999999995E-2</v>
      </c>
      <c r="AA20" s="43">
        <f t="shared" si="7"/>
        <v>6.9738999999999995E-2</v>
      </c>
      <c r="AB20" s="43">
        <f t="shared" si="7"/>
        <v>6.9738999999999995E-2</v>
      </c>
      <c r="AC20" s="43">
        <f t="shared" si="7"/>
        <v>6.9738999999999995E-2</v>
      </c>
      <c r="AD20" s="43">
        <f t="shared" si="7"/>
        <v>6.9738999999999995E-2</v>
      </c>
      <c r="AE20" s="43">
        <f t="shared" si="7"/>
        <v>6.9738999999999995E-2</v>
      </c>
    </row>
    <row r="21" spans="2:31" x14ac:dyDescent="0.3">
      <c r="B21" s="24" t="s">
        <v>184</v>
      </c>
      <c r="C21" s="24" t="s">
        <v>18</v>
      </c>
      <c r="D21" s="24" t="s">
        <v>13</v>
      </c>
      <c r="E21" s="24" t="s">
        <v>177</v>
      </c>
      <c r="F21" s="43">
        <f>(0*1+300*28+4*265)/1000000</f>
        <v>9.4599999999999997E-3</v>
      </c>
      <c r="G21" s="43">
        <f t="shared" ref="G21:AE21" si="8">(0*1+300*28+4*265)/1000000</f>
        <v>9.4599999999999997E-3</v>
      </c>
      <c r="H21" s="43">
        <f t="shared" si="8"/>
        <v>9.4599999999999997E-3</v>
      </c>
      <c r="I21" s="43">
        <f t="shared" si="8"/>
        <v>9.4599999999999997E-3</v>
      </c>
      <c r="J21" s="43">
        <f t="shared" si="8"/>
        <v>9.4599999999999997E-3</v>
      </c>
      <c r="K21" s="43">
        <f t="shared" si="8"/>
        <v>9.4599999999999997E-3</v>
      </c>
      <c r="L21" s="43">
        <f t="shared" si="8"/>
        <v>9.4599999999999997E-3</v>
      </c>
      <c r="M21" s="43">
        <f t="shared" si="8"/>
        <v>9.4599999999999997E-3</v>
      </c>
      <c r="N21" s="43">
        <f t="shared" si="8"/>
        <v>9.4599999999999997E-3</v>
      </c>
      <c r="O21" s="43">
        <f t="shared" si="8"/>
        <v>9.4599999999999997E-3</v>
      </c>
      <c r="P21" s="43">
        <f t="shared" si="8"/>
        <v>9.4599999999999997E-3</v>
      </c>
      <c r="Q21" s="43">
        <f t="shared" si="8"/>
        <v>9.4599999999999997E-3</v>
      </c>
      <c r="R21" s="43">
        <f t="shared" si="8"/>
        <v>9.4599999999999997E-3</v>
      </c>
      <c r="S21" s="43">
        <f t="shared" si="8"/>
        <v>9.4599999999999997E-3</v>
      </c>
      <c r="T21" s="43">
        <f t="shared" si="8"/>
        <v>9.4599999999999997E-3</v>
      </c>
      <c r="U21" s="43">
        <f t="shared" si="8"/>
        <v>9.4599999999999997E-3</v>
      </c>
      <c r="V21" s="43">
        <f t="shared" si="8"/>
        <v>9.4599999999999997E-3</v>
      </c>
      <c r="W21" s="43">
        <f t="shared" si="8"/>
        <v>9.4599999999999997E-3</v>
      </c>
      <c r="X21" s="43">
        <f t="shared" si="8"/>
        <v>9.4599999999999997E-3</v>
      </c>
      <c r="Y21" s="43">
        <f t="shared" si="8"/>
        <v>9.4599999999999997E-3</v>
      </c>
      <c r="Z21" s="43">
        <f t="shared" si="8"/>
        <v>9.4599999999999997E-3</v>
      </c>
      <c r="AA21" s="43">
        <f t="shared" si="8"/>
        <v>9.4599999999999997E-3</v>
      </c>
      <c r="AB21" s="43">
        <f t="shared" si="8"/>
        <v>9.4599999999999997E-3</v>
      </c>
      <c r="AC21" s="43">
        <f t="shared" si="8"/>
        <v>9.4599999999999997E-3</v>
      </c>
      <c r="AD21" s="43">
        <f t="shared" si="8"/>
        <v>9.4599999999999997E-3</v>
      </c>
      <c r="AE21" s="43">
        <f t="shared" si="8"/>
        <v>9.4599999999999997E-3</v>
      </c>
    </row>
    <row r="22" spans="2:31" x14ac:dyDescent="0.3">
      <c r="B22" s="24" t="s">
        <v>184</v>
      </c>
      <c r="C22" s="24" t="s">
        <v>18</v>
      </c>
      <c r="D22" s="24" t="s">
        <v>8</v>
      </c>
      <c r="E22" s="24" t="s">
        <v>177</v>
      </c>
      <c r="F22" s="43">
        <v>6.3266500000000003E-2</v>
      </c>
      <c r="G22" s="43">
        <f>F22</f>
        <v>6.3266500000000003E-2</v>
      </c>
      <c r="H22" s="43">
        <f t="shared" ref="H22:AE22" si="9">G22</f>
        <v>6.3266500000000003E-2</v>
      </c>
      <c r="I22" s="43">
        <f t="shared" si="9"/>
        <v>6.3266500000000003E-2</v>
      </c>
      <c r="J22" s="43">
        <f t="shared" si="9"/>
        <v>6.3266500000000003E-2</v>
      </c>
      <c r="K22" s="43">
        <f t="shared" si="9"/>
        <v>6.3266500000000003E-2</v>
      </c>
      <c r="L22" s="43">
        <f t="shared" si="9"/>
        <v>6.3266500000000003E-2</v>
      </c>
      <c r="M22" s="43">
        <f t="shared" si="9"/>
        <v>6.3266500000000003E-2</v>
      </c>
      <c r="N22" s="43">
        <f t="shared" si="9"/>
        <v>6.3266500000000003E-2</v>
      </c>
      <c r="O22" s="43">
        <f t="shared" si="9"/>
        <v>6.3266500000000003E-2</v>
      </c>
      <c r="P22" s="43">
        <f t="shared" si="9"/>
        <v>6.3266500000000003E-2</v>
      </c>
      <c r="Q22" s="43">
        <f t="shared" si="9"/>
        <v>6.3266500000000003E-2</v>
      </c>
      <c r="R22" s="43">
        <f t="shared" si="9"/>
        <v>6.3266500000000003E-2</v>
      </c>
      <c r="S22" s="43">
        <f t="shared" si="9"/>
        <v>6.3266500000000003E-2</v>
      </c>
      <c r="T22" s="43">
        <f t="shared" si="9"/>
        <v>6.3266500000000003E-2</v>
      </c>
      <c r="U22" s="43">
        <f t="shared" si="9"/>
        <v>6.3266500000000003E-2</v>
      </c>
      <c r="V22" s="43">
        <f t="shared" si="9"/>
        <v>6.3266500000000003E-2</v>
      </c>
      <c r="W22" s="43">
        <f t="shared" si="9"/>
        <v>6.3266500000000003E-2</v>
      </c>
      <c r="X22" s="43">
        <f t="shared" si="9"/>
        <v>6.3266500000000003E-2</v>
      </c>
      <c r="Y22" s="43">
        <f t="shared" si="9"/>
        <v>6.3266500000000003E-2</v>
      </c>
      <c r="Z22" s="43">
        <f t="shared" si="9"/>
        <v>6.3266500000000003E-2</v>
      </c>
      <c r="AA22" s="43">
        <f t="shared" si="9"/>
        <v>6.3266500000000003E-2</v>
      </c>
      <c r="AB22" s="43">
        <f t="shared" si="9"/>
        <v>6.3266500000000003E-2</v>
      </c>
      <c r="AC22" s="43">
        <f t="shared" si="9"/>
        <v>6.3266500000000003E-2</v>
      </c>
      <c r="AD22" s="43">
        <f t="shared" si="9"/>
        <v>6.3266500000000003E-2</v>
      </c>
      <c r="AE22" s="43">
        <f t="shared" si="9"/>
        <v>6.3266500000000003E-2</v>
      </c>
    </row>
    <row r="23" spans="2:31" x14ac:dyDescent="0.3">
      <c r="B23" s="24" t="s">
        <v>184</v>
      </c>
      <c r="C23" s="24" t="s">
        <v>18</v>
      </c>
      <c r="D23" s="24" t="s">
        <v>154</v>
      </c>
      <c r="E23" s="24" t="s">
        <v>177</v>
      </c>
      <c r="F23" s="43">
        <v>7.5200000000000003E-2</v>
      </c>
      <c r="G23" s="43">
        <v>7.5200000000000003E-2</v>
      </c>
      <c r="H23" s="43">
        <v>7.5200000000000003E-2</v>
      </c>
      <c r="I23" s="43">
        <v>7.5200000000000003E-2</v>
      </c>
      <c r="J23" s="43">
        <v>7.5200000000000003E-2</v>
      </c>
      <c r="K23" s="43">
        <v>7.5200000000000003E-2</v>
      </c>
      <c r="L23" s="43">
        <v>7.5200000000000003E-2</v>
      </c>
      <c r="M23" s="43">
        <v>7.5200000000000003E-2</v>
      </c>
      <c r="N23" s="43">
        <v>7.5200000000000003E-2</v>
      </c>
      <c r="O23" s="43">
        <v>7.5200000000000003E-2</v>
      </c>
      <c r="P23" s="43">
        <v>7.5200000000000003E-2</v>
      </c>
      <c r="Q23" s="43">
        <v>7.5200000000000003E-2</v>
      </c>
      <c r="R23" s="43">
        <v>7.5200000000000003E-2</v>
      </c>
      <c r="S23" s="43">
        <v>7.5200000000000003E-2</v>
      </c>
      <c r="T23" s="43">
        <v>7.5200000000000003E-2</v>
      </c>
      <c r="U23" s="43">
        <v>7.5200000000000003E-2</v>
      </c>
      <c r="V23" s="43">
        <v>7.5200000000000003E-2</v>
      </c>
      <c r="W23" s="43">
        <v>7.5200000000000003E-2</v>
      </c>
      <c r="X23" s="43">
        <v>7.5200000000000003E-2</v>
      </c>
      <c r="Y23" s="43">
        <v>7.5200000000000003E-2</v>
      </c>
      <c r="Z23" s="43">
        <v>7.5200000000000003E-2</v>
      </c>
      <c r="AA23" s="43">
        <v>7.5200000000000003E-2</v>
      </c>
      <c r="AB23" s="43">
        <v>7.5200000000000003E-2</v>
      </c>
      <c r="AC23" s="43">
        <v>7.5200000000000003E-2</v>
      </c>
      <c r="AD23" s="43">
        <v>7.5200000000000003E-2</v>
      </c>
      <c r="AE23" s="43">
        <v>7.5200000000000003E-2</v>
      </c>
    </row>
    <row r="24" spans="2:31" x14ac:dyDescent="0.3">
      <c r="B24" s="24" t="s">
        <v>184</v>
      </c>
      <c r="C24" s="24" t="s">
        <v>18</v>
      </c>
      <c r="D24" s="24" t="s">
        <v>175</v>
      </c>
      <c r="E24" s="24" t="s">
        <v>177</v>
      </c>
      <c r="F24" s="43">
        <v>9.2843999999999996E-2</v>
      </c>
      <c r="G24" s="43">
        <v>9.2843999999999996E-2</v>
      </c>
      <c r="H24" s="43">
        <v>9.2843999999999996E-2</v>
      </c>
      <c r="I24" s="43">
        <v>9.2843999999999996E-2</v>
      </c>
      <c r="J24" s="43">
        <v>9.2843999999999996E-2</v>
      </c>
      <c r="K24" s="43">
        <v>9.2843999999999996E-2</v>
      </c>
      <c r="L24" s="43">
        <v>9.2843999999999996E-2</v>
      </c>
      <c r="M24" s="43">
        <v>9.2843999999999996E-2</v>
      </c>
      <c r="N24" s="43">
        <v>9.2843999999999996E-2</v>
      </c>
      <c r="O24" s="43">
        <v>9.2843999999999996E-2</v>
      </c>
      <c r="P24" s="43">
        <v>9.2843999999999996E-2</v>
      </c>
      <c r="Q24" s="43">
        <v>9.2843999999999996E-2</v>
      </c>
      <c r="R24" s="43">
        <v>9.2843999999999996E-2</v>
      </c>
      <c r="S24" s="43">
        <v>9.2843999999999996E-2</v>
      </c>
      <c r="T24" s="43">
        <v>9.2843999999999996E-2</v>
      </c>
      <c r="U24" s="43">
        <v>9.2843999999999996E-2</v>
      </c>
      <c r="V24" s="43">
        <v>9.2843999999999996E-2</v>
      </c>
      <c r="W24" s="43">
        <v>9.2843999999999996E-2</v>
      </c>
      <c r="X24" s="43">
        <v>9.2843999999999996E-2</v>
      </c>
      <c r="Y24" s="43">
        <v>9.2843999999999996E-2</v>
      </c>
      <c r="Z24" s="43">
        <v>9.2843999999999996E-2</v>
      </c>
      <c r="AA24" s="43">
        <v>9.2843999999999996E-2</v>
      </c>
      <c r="AB24" s="43">
        <v>9.2843999999999996E-2</v>
      </c>
      <c r="AC24" s="43">
        <v>9.2843999999999996E-2</v>
      </c>
      <c r="AD24" s="43">
        <v>9.2843999999999996E-2</v>
      </c>
      <c r="AE24" s="43">
        <v>9.2843999999999996E-2</v>
      </c>
    </row>
    <row r="25" spans="2:31" x14ac:dyDescent="0.3">
      <c r="B25" s="24" t="s">
        <v>185</v>
      </c>
      <c r="C25" s="24" t="s">
        <v>16</v>
      </c>
      <c r="D25" s="24" t="s">
        <v>5</v>
      </c>
      <c r="E25" s="24" t="s">
        <v>177</v>
      </c>
      <c r="F25" s="43">
        <v>7.4538999999999994E-2</v>
      </c>
      <c r="G25" s="43">
        <f>F25</f>
        <v>7.4538999999999994E-2</v>
      </c>
      <c r="H25" s="43">
        <f t="shared" ref="H25:AE25" si="10">G25</f>
        <v>7.4538999999999994E-2</v>
      </c>
      <c r="I25" s="43">
        <f t="shared" si="10"/>
        <v>7.4538999999999994E-2</v>
      </c>
      <c r="J25" s="43">
        <f t="shared" si="10"/>
        <v>7.4538999999999994E-2</v>
      </c>
      <c r="K25" s="43">
        <f t="shared" si="10"/>
        <v>7.4538999999999994E-2</v>
      </c>
      <c r="L25" s="43">
        <f t="shared" si="10"/>
        <v>7.4538999999999994E-2</v>
      </c>
      <c r="M25" s="43">
        <f t="shared" si="10"/>
        <v>7.4538999999999994E-2</v>
      </c>
      <c r="N25" s="43">
        <f t="shared" si="10"/>
        <v>7.4538999999999994E-2</v>
      </c>
      <c r="O25" s="43">
        <f t="shared" si="10"/>
        <v>7.4538999999999994E-2</v>
      </c>
      <c r="P25" s="43">
        <f t="shared" si="10"/>
        <v>7.4538999999999994E-2</v>
      </c>
      <c r="Q25" s="43">
        <f t="shared" si="10"/>
        <v>7.4538999999999994E-2</v>
      </c>
      <c r="R25" s="43">
        <f t="shared" si="10"/>
        <v>7.4538999999999994E-2</v>
      </c>
      <c r="S25" s="43">
        <f t="shared" si="10"/>
        <v>7.4538999999999994E-2</v>
      </c>
      <c r="T25" s="43">
        <f t="shared" si="10"/>
        <v>7.4538999999999994E-2</v>
      </c>
      <c r="U25" s="43">
        <f t="shared" si="10"/>
        <v>7.4538999999999994E-2</v>
      </c>
      <c r="V25" s="43">
        <f t="shared" si="10"/>
        <v>7.4538999999999994E-2</v>
      </c>
      <c r="W25" s="43">
        <f t="shared" si="10"/>
        <v>7.4538999999999994E-2</v>
      </c>
      <c r="X25" s="43">
        <f t="shared" si="10"/>
        <v>7.4538999999999994E-2</v>
      </c>
      <c r="Y25" s="43">
        <f t="shared" si="10"/>
        <v>7.4538999999999994E-2</v>
      </c>
      <c r="Z25" s="43">
        <f t="shared" si="10"/>
        <v>7.4538999999999994E-2</v>
      </c>
      <c r="AA25" s="43">
        <f t="shared" si="10"/>
        <v>7.4538999999999994E-2</v>
      </c>
      <c r="AB25" s="43">
        <f t="shared" si="10"/>
        <v>7.4538999999999994E-2</v>
      </c>
      <c r="AC25" s="43">
        <f t="shared" si="10"/>
        <v>7.4538999999999994E-2</v>
      </c>
      <c r="AD25" s="43">
        <f t="shared" si="10"/>
        <v>7.4538999999999994E-2</v>
      </c>
      <c r="AE25" s="43">
        <f t="shared" si="10"/>
        <v>7.4538999999999994E-2</v>
      </c>
    </row>
    <row r="26" spans="2:31" x14ac:dyDescent="0.3">
      <c r="B26" s="24" t="s">
        <v>185</v>
      </c>
      <c r="C26" s="24" t="s">
        <v>16</v>
      </c>
      <c r="D26" s="24" t="s">
        <v>9</v>
      </c>
      <c r="E26" s="24" t="s">
        <v>177</v>
      </c>
      <c r="F26" s="43">
        <v>0</v>
      </c>
      <c r="G26" s="43">
        <v>0</v>
      </c>
      <c r="H26" s="43">
        <v>0</v>
      </c>
      <c r="I26" s="43">
        <v>0</v>
      </c>
      <c r="J26" s="43">
        <v>0</v>
      </c>
      <c r="K26" s="43">
        <v>0</v>
      </c>
      <c r="L26" s="43">
        <v>0</v>
      </c>
      <c r="M26" s="43">
        <v>0</v>
      </c>
      <c r="N26" s="43">
        <v>0</v>
      </c>
      <c r="O26" s="43">
        <v>0</v>
      </c>
      <c r="P26" s="43">
        <v>0</v>
      </c>
      <c r="Q26" s="43">
        <v>0</v>
      </c>
      <c r="R26" s="43">
        <v>0</v>
      </c>
      <c r="S26" s="43">
        <v>0</v>
      </c>
      <c r="T26" s="43">
        <v>0</v>
      </c>
      <c r="U26" s="43">
        <v>0</v>
      </c>
      <c r="V26" s="43">
        <v>0</v>
      </c>
      <c r="W26" s="43">
        <v>0</v>
      </c>
      <c r="X26" s="43">
        <v>0</v>
      </c>
      <c r="Y26" s="43">
        <v>0</v>
      </c>
      <c r="Z26" s="43">
        <v>0</v>
      </c>
      <c r="AA26" s="43">
        <v>0</v>
      </c>
      <c r="AB26" s="43">
        <v>0</v>
      </c>
      <c r="AC26" s="43">
        <v>0</v>
      </c>
      <c r="AD26" s="43">
        <v>0</v>
      </c>
      <c r="AE26" s="43">
        <v>0</v>
      </c>
    </row>
    <row r="27" spans="2:31" x14ac:dyDescent="0.3">
      <c r="B27" s="24" t="s">
        <v>185</v>
      </c>
      <c r="C27" s="24" t="s">
        <v>16</v>
      </c>
      <c r="D27" s="24" t="s">
        <v>3</v>
      </c>
      <c r="E27" s="24" t="s">
        <v>177</v>
      </c>
      <c r="F27" s="43">
        <v>6.9738999999999995E-2</v>
      </c>
      <c r="G27" s="43">
        <f>F27</f>
        <v>6.9738999999999995E-2</v>
      </c>
      <c r="H27" s="43">
        <f t="shared" ref="H27:AE27" si="11">G27</f>
        <v>6.9738999999999995E-2</v>
      </c>
      <c r="I27" s="43">
        <f t="shared" si="11"/>
        <v>6.9738999999999995E-2</v>
      </c>
      <c r="J27" s="43">
        <f t="shared" si="11"/>
        <v>6.9738999999999995E-2</v>
      </c>
      <c r="K27" s="43">
        <f t="shared" si="11"/>
        <v>6.9738999999999995E-2</v>
      </c>
      <c r="L27" s="43">
        <f t="shared" si="11"/>
        <v>6.9738999999999995E-2</v>
      </c>
      <c r="M27" s="43">
        <f t="shared" si="11"/>
        <v>6.9738999999999995E-2</v>
      </c>
      <c r="N27" s="43">
        <f t="shared" si="11"/>
        <v>6.9738999999999995E-2</v>
      </c>
      <c r="O27" s="43">
        <f t="shared" si="11"/>
        <v>6.9738999999999995E-2</v>
      </c>
      <c r="P27" s="43">
        <f t="shared" si="11"/>
        <v>6.9738999999999995E-2</v>
      </c>
      <c r="Q27" s="43">
        <f t="shared" si="11"/>
        <v>6.9738999999999995E-2</v>
      </c>
      <c r="R27" s="43">
        <f t="shared" si="11"/>
        <v>6.9738999999999995E-2</v>
      </c>
      <c r="S27" s="43">
        <f t="shared" si="11"/>
        <v>6.9738999999999995E-2</v>
      </c>
      <c r="T27" s="43">
        <f t="shared" si="11"/>
        <v>6.9738999999999995E-2</v>
      </c>
      <c r="U27" s="43">
        <f t="shared" si="11"/>
        <v>6.9738999999999995E-2</v>
      </c>
      <c r="V27" s="43">
        <f t="shared" si="11"/>
        <v>6.9738999999999995E-2</v>
      </c>
      <c r="W27" s="43">
        <f t="shared" si="11"/>
        <v>6.9738999999999995E-2</v>
      </c>
      <c r="X27" s="43">
        <f t="shared" si="11"/>
        <v>6.9738999999999995E-2</v>
      </c>
      <c r="Y27" s="43">
        <f t="shared" si="11"/>
        <v>6.9738999999999995E-2</v>
      </c>
      <c r="Z27" s="43">
        <f t="shared" si="11"/>
        <v>6.9738999999999995E-2</v>
      </c>
      <c r="AA27" s="43">
        <f t="shared" si="11"/>
        <v>6.9738999999999995E-2</v>
      </c>
      <c r="AB27" s="43">
        <f t="shared" si="11"/>
        <v>6.9738999999999995E-2</v>
      </c>
      <c r="AC27" s="43">
        <f t="shared" si="11"/>
        <v>6.9738999999999995E-2</v>
      </c>
      <c r="AD27" s="43">
        <f t="shared" si="11"/>
        <v>6.9738999999999995E-2</v>
      </c>
      <c r="AE27" s="43">
        <f t="shared" si="11"/>
        <v>6.9738999999999995E-2</v>
      </c>
    </row>
    <row r="28" spans="2:31" x14ac:dyDescent="0.3">
      <c r="B28" s="24" t="s">
        <v>185</v>
      </c>
      <c r="C28" s="24" t="s">
        <v>16</v>
      </c>
      <c r="D28" s="24" t="s">
        <v>14</v>
      </c>
      <c r="E28" s="24" t="s">
        <v>177</v>
      </c>
      <c r="F28" s="43">
        <v>7.1743000000000001E-2</v>
      </c>
      <c r="G28" s="43">
        <v>7.1743000000000001E-2</v>
      </c>
      <c r="H28" s="43">
        <v>7.1743000000000001E-2</v>
      </c>
      <c r="I28" s="43">
        <v>7.1743000000000001E-2</v>
      </c>
      <c r="J28" s="43">
        <v>7.1743000000000001E-2</v>
      </c>
      <c r="K28" s="43">
        <v>7.1743000000000001E-2</v>
      </c>
      <c r="L28" s="43">
        <v>7.1743000000000001E-2</v>
      </c>
      <c r="M28" s="43">
        <v>7.1743000000000001E-2</v>
      </c>
      <c r="N28" s="43">
        <v>7.1743000000000001E-2</v>
      </c>
      <c r="O28" s="43">
        <v>7.1743000000000001E-2</v>
      </c>
      <c r="P28" s="43">
        <v>7.1743000000000001E-2</v>
      </c>
      <c r="Q28" s="43">
        <v>7.1743000000000001E-2</v>
      </c>
      <c r="R28" s="43">
        <v>7.1743000000000001E-2</v>
      </c>
      <c r="S28" s="43">
        <v>7.1743000000000001E-2</v>
      </c>
      <c r="T28" s="43">
        <v>7.1743000000000001E-2</v>
      </c>
      <c r="U28" s="43">
        <v>7.1743000000000001E-2</v>
      </c>
      <c r="V28" s="43">
        <v>7.1743000000000001E-2</v>
      </c>
      <c r="W28" s="43">
        <v>7.1743000000000001E-2</v>
      </c>
      <c r="X28" s="43">
        <v>7.1743000000000001E-2</v>
      </c>
      <c r="Y28" s="43">
        <v>7.1743000000000001E-2</v>
      </c>
      <c r="Z28" s="43">
        <v>7.1743000000000001E-2</v>
      </c>
      <c r="AA28" s="43">
        <v>7.1743000000000001E-2</v>
      </c>
      <c r="AB28" s="43">
        <v>7.1743000000000001E-2</v>
      </c>
      <c r="AC28" s="43">
        <v>7.1743000000000001E-2</v>
      </c>
      <c r="AD28" s="43">
        <v>7.1743000000000001E-2</v>
      </c>
      <c r="AE28" s="43">
        <v>7.1743000000000001E-2</v>
      </c>
    </row>
    <row r="29" spans="2:31" x14ac:dyDescent="0.3">
      <c r="B29" s="24" t="s">
        <v>185</v>
      </c>
      <c r="C29" s="24" t="s">
        <v>16</v>
      </c>
      <c r="D29" s="24" t="s">
        <v>8</v>
      </c>
      <c r="E29" s="24" t="s">
        <v>177</v>
      </c>
      <c r="F29" s="43">
        <v>6.3266500000000003E-2</v>
      </c>
      <c r="G29" s="43">
        <f>F29</f>
        <v>6.3266500000000003E-2</v>
      </c>
      <c r="H29" s="43">
        <f t="shared" ref="H29:AE29" si="12">G29</f>
        <v>6.3266500000000003E-2</v>
      </c>
      <c r="I29" s="43">
        <f t="shared" si="12"/>
        <v>6.3266500000000003E-2</v>
      </c>
      <c r="J29" s="43">
        <f t="shared" si="12"/>
        <v>6.3266500000000003E-2</v>
      </c>
      <c r="K29" s="43">
        <f t="shared" si="12"/>
        <v>6.3266500000000003E-2</v>
      </c>
      <c r="L29" s="43">
        <f t="shared" si="12"/>
        <v>6.3266500000000003E-2</v>
      </c>
      <c r="M29" s="43">
        <f t="shared" si="12"/>
        <v>6.3266500000000003E-2</v>
      </c>
      <c r="N29" s="43">
        <f t="shared" si="12"/>
        <v>6.3266500000000003E-2</v>
      </c>
      <c r="O29" s="43">
        <f t="shared" si="12"/>
        <v>6.3266500000000003E-2</v>
      </c>
      <c r="P29" s="43">
        <f t="shared" si="12"/>
        <v>6.3266500000000003E-2</v>
      </c>
      <c r="Q29" s="43">
        <f t="shared" si="12"/>
        <v>6.3266500000000003E-2</v>
      </c>
      <c r="R29" s="43">
        <f t="shared" si="12"/>
        <v>6.3266500000000003E-2</v>
      </c>
      <c r="S29" s="43">
        <f t="shared" si="12"/>
        <v>6.3266500000000003E-2</v>
      </c>
      <c r="T29" s="43">
        <f t="shared" si="12"/>
        <v>6.3266500000000003E-2</v>
      </c>
      <c r="U29" s="43">
        <f t="shared" si="12"/>
        <v>6.3266500000000003E-2</v>
      </c>
      <c r="V29" s="43">
        <f t="shared" si="12"/>
        <v>6.3266500000000003E-2</v>
      </c>
      <c r="W29" s="43">
        <f t="shared" si="12"/>
        <v>6.3266500000000003E-2</v>
      </c>
      <c r="X29" s="43">
        <f t="shared" si="12"/>
        <v>6.3266500000000003E-2</v>
      </c>
      <c r="Y29" s="43">
        <f t="shared" si="12"/>
        <v>6.3266500000000003E-2</v>
      </c>
      <c r="Z29" s="43">
        <f t="shared" si="12"/>
        <v>6.3266500000000003E-2</v>
      </c>
      <c r="AA29" s="43">
        <f t="shared" si="12"/>
        <v>6.3266500000000003E-2</v>
      </c>
      <c r="AB29" s="43">
        <f t="shared" si="12"/>
        <v>6.3266500000000003E-2</v>
      </c>
      <c r="AC29" s="43">
        <f t="shared" si="12"/>
        <v>6.3266500000000003E-2</v>
      </c>
      <c r="AD29" s="43">
        <f t="shared" si="12"/>
        <v>6.3266500000000003E-2</v>
      </c>
      <c r="AE29" s="43">
        <f t="shared" si="12"/>
        <v>6.3266500000000003E-2</v>
      </c>
    </row>
    <row r="30" spans="2:31" x14ac:dyDescent="0.3">
      <c r="B30" s="24" t="s">
        <v>185</v>
      </c>
      <c r="C30" s="24" t="s">
        <v>16</v>
      </c>
      <c r="D30" s="24" t="s">
        <v>176</v>
      </c>
      <c r="E30" s="24" t="s">
        <v>177</v>
      </c>
      <c r="F30" s="43">
        <v>0</v>
      </c>
      <c r="G30" s="43">
        <v>0</v>
      </c>
      <c r="H30" s="43">
        <v>0</v>
      </c>
      <c r="I30" s="43">
        <v>0</v>
      </c>
      <c r="J30" s="43">
        <v>0</v>
      </c>
      <c r="K30" s="43">
        <v>0</v>
      </c>
      <c r="L30" s="43">
        <v>0</v>
      </c>
      <c r="M30" s="43">
        <v>0</v>
      </c>
      <c r="N30" s="43">
        <v>0</v>
      </c>
      <c r="O30" s="43">
        <v>0</v>
      </c>
      <c r="P30" s="43">
        <v>0</v>
      </c>
      <c r="Q30" s="43">
        <v>0</v>
      </c>
      <c r="R30" s="43">
        <v>0</v>
      </c>
      <c r="S30" s="43">
        <v>0</v>
      </c>
      <c r="T30" s="43">
        <v>0</v>
      </c>
      <c r="U30" s="43">
        <v>0</v>
      </c>
      <c r="V30" s="43">
        <v>0</v>
      </c>
      <c r="W30" s="43">
        <v>0</v>
      </c>
      <c r="X30" s="43">
        <v>0</v>
      </c>
      <c r="Y30" s="43">
        <v>0</v>
      </c>
      <c r="Z30" s="43">
        <v>0</v>
      </c>
      <c r="AA30" s="43">
        <v>0</v>
      </c>
      <c r="AB30" s="43">
        <v>0</v>
      </c>
      <c r="AC30" s="43">
        <v>0</v>
      </c>
      <c r="AD30" s="43">
        <v>0</v>
      </c>
      <c r="AE30" s="43">
        <v>0</v>
      </c>
    </row>
    <row r="31" spans="2:31" x14ac:dyDescent="0.3">
      <c r="B31" s="24" t="s">
        <v>186</v>
      </c>
      <c r="C31" s="24" t="s">
        <v>12</v>
      </c>
      <c r="D31" s="24" t="s">
        <v>9</v>
      </c>
      <c r="E31" s="24" t="s">
        <v>177</v>
      </c>
      <c r="F31" s="43">
        <v>0</v>
      </c>
      <c r="G31" s="43">
        <v>0</v>
      </c>
      <c r="H31" s="43">
        <v>0</v>
      </c>
      <c r="I31" s="43">
        <v>0</v>
      </c>
      <c r="J31" s="43">
        <v>0</v>
      </c>
      <c r="K31" s="43">
        <v>0</v>
      </c>
      <c r="L31" s="43">
        <v>0</v>
      </c>
      <c r="M31" s="43">
        <v>0</v>
      </c>
      <c r="N31" s="43">
        <v>0</v>
      </c>
      <c r="O31" s="43">
        <v>0</v>
      </c>
      <c r="P31" s="43">
        <v>0</v>
      </c>
      <c r="Q31" s="43">
        <v>0</v>
      </c>
      <c r="R31" s="43">
        <v>0</v>
      </c>
      <c r="S31" s="43">
        <v>0</v>
      </c>
      <c r="T31" s="43">
        <v>0</v>
      </c>
      <c r="U31" s="43">
        <v>0</v>
      </c>
      <c r="V31" s="43">
        <v>0</v>
      </c>
      <c r="W31" s="43">
        <v>0</v>
      </c>
      <c r="X31" s="43">
        <v>0</v>
      </c>
      <c r="Y31" s="43">
        <v>0</v>
      </c>
      <c r="Z31" s="43">
        <v>0</v>
      </c>
      <c r="AA31" s="43">
        <v>0</v>
      </c>
      <c r="AB31" s="43">
        <v>0</v>
      </c>
      <c r="AC31" s="43">
        <v>0</v>
      </c>
      <c r="AD31" s="43">
        <v>0</v>
      </c>
      <c r="AE31" s="43">
        <v>0</v>
      </c>
    </row>
    <row r="32" spans="2:31" x14ac:dyDescent="0.3">
      <c r="B32" s="24" t="s">
        <v>186</v>
      </c>
      <c r="C32" s="24" t="s">
        <v>12</v>
      </c>
      <c r="D32" s="24" t="s">
        <v>15</v>
      </c>
      <c r="E32" s="24" t="s">
        <v>177</v>
      </c>
      <c r="F32" s="43">
        <v>5.6154500000000003E-2</v>
      </c>
      <c r="G32" s="43">
        <v>5.6154500000000003E-2</v>
      </c>
      <c r="H32" s="43">
        <v>5.6154500000000003E-2</v>
      </c>
      <c r="I32" s="43">
        <v>5.6154500000000003E-2</v>
      </c>
      <c r="J32" s="43">
        <v>5.6154500000000003E-2</v>
      </c>
      <c r="K32" s="43">
        <v>5.6154500000000003E-2</v>
      </c>
      <c r="L32" s="43">
        <v>5.6154500000000003E-2</v>
      </c>
      <c r="M32" s="43">
        <v>5.6154500000000003E-2</v>
      </c>
      <c r="N32" s="43">
        <v>5.6154500000000003E-2</v>
      </c>
      <c r="O32" s="43">
        <v>5.6154500000000003E-2</v>
      </c>
      <c r="P32" s="43">
        <v>5.6154500000000003E-2</v>
      </c>
      <c r="Q32" s="43">
        <v>5.6154500000000003E-2</v>
      </c>
      <c r="R32" s="43">
        <v>5.6154500000000003E-2</v>
      </c>
      <c r="S32" s="43">
        <v>5.6154500000000003E-2</v>
      </c>
      <c r="T32" s="43">
        <v>5.6154500000000003E-2</v>
      </c>
      <c r="U32" s="43">
        <v>5.6154500000000003E-2</v>
      </c>
      <c r="V32" s="43">
        <v>5.6154500000000003E-2</v>
      </c>
      <c r="W32" s="43">
        <v>5.6154500000000003E-2</v>
      </c>
      <c r="X32" s="43">
        <v>5.6154500000000003E-2</v>
      </c>
      <c r="Y32" s="43">
        <v>5.6154500000000003E-2</v>
      </c>
      <c r="Z32" s="43">
        <v>5.6154500000000003E-2</v>
      </c>
      <c r="AA32" s="43">
        <v>5.6154500000000003E-2</v>
      </c>
      <c r="AB32" s="43">
        <v>5.6154500000000003E-2</v>
      </c>
      <c r="AC32" s="43">
        <v>5.6154500000000003E-2</v>
      </c>
      <c r="AD32" s="43">
        <v>5.6154500000000003E-2</v>
      </c>
      <c r="AE32" s="43">
        <v>5.6154500000000003E-2</v>
      </c>
    </row>
    <row r="33" spans="2:31" x14ac:dyDescent="0.3">
      <c r="B33" s="24" t="s">
        <v>186</v>
      </c>
      <c r="C33" s="24" t="s">
        <v>12</v>
      </c>
      <c r="D33" s="24" t="s">
        <v>14</v>
      </c>
      <c r="E33" s="24" t="s">
        <v>177</v>
      </c>
      <c r="F33" s="43">
        <v>7.1743000000000001E-2</v>
      </c>
      <c r="G33" s="43">
        <v>7.1743000000000001E-2</v>
      </c>
      <c r="H33" s="43">
        <v>7.1743000000000001E-2</v>
      </c>
      <c r="I33" s="43">
        <v>7.1743000000000001E-2</v>
      </c>
      <c r="J33" s="43">
        <v>7.1743000000000001E-2</v>
      </c>
      <c r="K33" s="43">
        <v>7.1743000000000001E-2</v>
      </c>
      <c r="L33" s="43">
        <v>7.1743000000000001E-2</v>
      </c>
      <c r="M33" s="43">
        <v>7.1743000000000001E-2</v>
      </c>
      <c r="N33" s="43">
        <v>7.1743000000000001E-2</v>
      </c>
      <c r="O33" s="43">
        <v>7.1743000000000001E-2</v>
      </c>
      <c r="P33" s="43">
        <v>7.1743000000000001E-2</v>
      </c>
      <c r="Q33" s="43">
        <v>7.1743000000000001E-2</v>
      </c>
      <c r="R33" s="43">
        <v>7.1743000000000001E-2</v>
      </c>
      <c r="S33" s="43">
        <v>7.1743000000000001E-2</v>
      </c>
      <c r="T33" s="43">
        <v>7.1743000000000001E-2</v>
      </c>
      <c r="U33" s="43">
        <v>7.1743000000000001E-2</v>
      </c>
      <c r="V33" s="43">
        <v>7.1743000000000001E-2</v>
      </c>
      <c r="W33" s="43">
        <v>7.1743000000000001E-2</v>
      </c>
      <c r="X33" s="43">
        <v>7.1743000000000001E-2</v>
      </c>
      <c r="Y33" s="43">
        <v>7.1743000000000001E-2</v>
      </c>
      <c r="Z33" s="43">
        <v>7.1743000000000001E-2</v>
      </c>
      <c r="AA33" s="43">
        <v>7.1743000000000001E-2</v>
      </c>
      <c r="AB33" s="43">
        <v>7.1743000000000001E-2</v>
      </c>
      <c r="AC33" s="43">
        <v>7.1743000000000001E-2</v>
      </c>
      <c r="AD33" s="43">
        <v>7.1743000000000001E-2</v>
      </c>
      <c r="AE33" s="43">
        <v>7.1743000000000001E-2</v>
      </c>
    </row>
    <row r="34" spans="2:31" x14ac:dyDescent="0.3">
      <c r="B34" s="24" t="s">
        <v>186</v>
      </c>
      <c r="C34" s="24" t="s">
        <v>12</v>
      </c>
      <c r="D34" s="24" t="s">
        <v>13</v>
      </c>
      <c r="E34" s="24" t="s">
        <v>177</v>
      </c>
      <c r="F34" s="43">
        <f>(0*1+300*28+4*265)/1000000</f>
        <v>9.4599999999999997E-3</v>
      </c>
      <c r="G34" s="43">
        <f t="shared" ref="G34:AE34" si="13">(0*1+300*28+4*265)/1000000</f>
        <v>9.4599999999999997E-3</v>
      </c>
      <c r="H34" s="43">
        <f t="shared" si="13"/>
        <v>9.4599999999999997E-3</v>
      </c>
      <c r="I34" s="43">
        <f t="shared" si="13"/>
        <v>9.4599999999999997E-3</v>
      </c>
      <c r="J34" s="43">
        <f t="shared" si="13"/>
        <v>9.4599999999999997E-3</v>
      </c>
      <c r="K34" s="43">
        <f t="shared" si="13"/>
        <v>9.4599999999999997E-3</v>
      </c>
      <c r="L34" s="43">
        <f t="shared" si="13"/>
        <v>9.4599999999999997E-3</v>
      </c>
      <c r="M34" s="43">
        <f t="shared" si="13"/>
        <v>9.4599999999999997E-3</v>
      </c>
      <c r="N34" s="43">
        <f t="shared" si="13"/>
        <v>9.4599999999999997E-3</v>
      </c>
      <c r="O34" s="43">
        <f t="shared" si="13"/>
        <v>9.4599999999999997E-3</v>
      </c>
      <c r="P34" s="43">
        <f t="shared" si="13"/>
        <v>9.4599999999999997E-3</v>
      </c>
      <c r="Q34" s="43">
        <f t="shared" si="13"/>
        <v>9.4599999999999997E-3</v>
      </c>
      <c r="R34" s="43">
        <f t="shared" si="13"/>
        <v>9.4599999999999997E-3</v>
      </c>
      <c r="S34" s="43">
        <f t="shared" si="13"/>
        <v>9.4599999999999997E-3</v>
      </c>
      <c r="T34" s="43">
        <f t="shared" si="13"/>
        <v>9.4599999999999997E-3</v>
      </c>
      <c r="U34" s="43">
        <f t="shared" si="13"/>
        <v>9.4599999999999997E-3</v>
      </c>
      <c r="V34" s="43">
        <f t="shared" si="13"/>
        <v>9.4599999999999997E-3</v>
      </c>
      <c r="W34" s="43">
        <f t="shared" si="13"/>
        <v>9.4599999999999997E-3</v>
      </c>
      <c r="X34" s="43">
        <f t="shared" si="13"/>
        <v>9.4599999999999997E-3</v>
      </c>
      <c r="Y34" s="43">
        <f t="shared" si="13"/>
        <v>9.4599999999999997E-3</v>
      </c>
      <c r="Z34" s="43">
        <f t="shared" si="13"/>
        <v>9.4599999999999997E-3</v>
      </c>
      <c r="AA34" s="43">
        <f t="shared" si="13"/>
        <v>9.4599999999999997E-3</v>
      </c>
      <c r="AB34" s="43">
        <f t="shared" si="13"/>
        <v>9.4599999999999997E-3</v>
      </c>
      <c r="AC34" s="43">
        <f t="shared" si="13"/>
        <v>9.4599999999999997E-3</v>
      </c>
      <c r="AD34" s="43">
        <f t="shared" si="13"/>
        <v>9.4599999999999997E-3</v>
      </c>
      <c r="AE34" s="43">
        <f t="shared" si="13"/>
        <v>9.4599999999999997E-3</v>
      </c>
    </row>
    <row r="35" spans="2:31" x14ac:dyDescent="0.3">
      <c r="B35" s="24" t="s">
        <v>186</v>
      </c>
      <c r="C35" s="24" t="s">
        <v>12</v>
      </c>
      <c r="D35" s="24" t="s">
        <v>8</v>
      </c>
      <c r="E35" s="24" t="s">
        <v>177</v>
      </c>
      <c r="F35" s="43">
        <v>6.3266500000000003E-2</v>
      </c>
      <c r="G35" s="43">
        <f>F35</f>
        <v>6.3266500000000003E-2</v>
      </c>
      <c r="H35" s="43">
        <f t="shared" ref="H35:AE35" si="14">G35</f>
        <v>6.3266500000000003E-2</v>
      </c>
      <c r="I35" s="43">
        <f t="shared" si="14"/>
        <v>6.3266500000000003E-2</v>
      </c>
      <c r="J35" s="43">
        <f t="shared" si="14"/>
        <v>6.3266500000000003E-2</v>
      </c>
      <c r="K35" s="43">
        <f t="shared" si="14"/>
        <v>6.3266500000000003E-2</v>
      </c>
      <c r="L35" s="43">
        <f t="shared" si="14"/>
        <v>6.3266500000000003E-2</v>
      </c>
      <c r="M35" s="43">
        <f t="shared" si="14"/>
        <v>6.3266500000000003E-2</v>
      </c>
      <c r="N35" s="43">
        <f t="shared" si="14"/>
        <v>6.3266500000000003E-2</v>
      </c>
      <c r="O35" s="43">
        <f t="shared" si="14"/>
        <v>6.3266500000000003E-2</v>
      </c>
      <c r="P35" s="43">
        <f t="shared" si="14"/>
        <v>6.3266500000000003E-2</v>
      </c>
      <c r="Q35" s="43">
        <f t="shared" si="14"/>
        <v>6.3266500000000003E-2</v>
      </c>
      <c r="R35" s="43">
        <f t="shared" si="14"/>
        <v>6.3266500000000003E-2</v>
      </c>
      <c r="S35" s="43">
        <f t="shared" si="14"/>
        <v>6.3266500000000003E-2</v>
      </c>
      <c r="T35" s="43">
        <f t="shared" si="14"/>
        <v>6.3266500000000003E-2</v>
      </c>
      <c r="U35" s="43">
        <f t="shared" si="14"/>
        <v>6.3266500000000003E-2</v>
      </c>
      <c r="V35" s="43">
        <f t="shared" si="14"/>
        <v>6.3266500000000003E-2</v>
      </c>
      <c r="W35" s="43">
        <f t="shared" si="14"/>
        <v>6.3266500000000003E-2</v>
      </c>
      <c r="X35" s="43">
        <f t="shared" si="14"/>
        <v>6.3266500000000003E-2</v>
      </c>
      <c r="Y35" s="43">
        <f t="shared" si="14"/>
        <v>6.3266500000000003E-2</v>
      </c>
      <c r="Z35" s="43">
        <f t="shared" si="14"/>
        <v>6.3266500000000003E-2</v>
      </c>
      <c r="AA35" s="43">
        <f t="shared" si="14"/>
        <v>6.3266500000000003E-2</v>
      </c>
      <c r="AB35" s="43">
        <f t="shared" si="14"/>
        <v>6.3266500000000003E-2</v>
      </c>
      <c r="AC35" s="43">
        <f t="shared" si="14"/>
        <v>6.3266500000000003E-2</v>
      </c>
      <c r="AD35" s="43">
        <f t="shared" si="14"/>
        <v>6.3266500000000003E-2</v>
      </c>
      <c r="AE35" s="43">
        <f t="shared" si="14"/>
        <v>6.3266500000000003E-2</v>
      </c>
    </row>
    <row r="36" spans="2:31" x14ac:dyDescent="0.3">
      <c r="B36" s="24" t="s">
        <v>187</v>
      </c>
      <c r="C36" s="24" t="s">
        <v>10</v>
      </c>
      <c r="D36" s="24" t="s">
        <v>3</v>
      </c>
      <c r="E36" s="24" t="s">
        <v>177</v>
      </c>
      <c r="F36" s="43">
        <v>7.0608500000000005E-2</v>
      </c>
      <c r="G36" s="43">
        <f>F36</f>
        <v>7.0608500000000005E-2</v>
      </c>
      <c r="H36" s="43">
        <f t="shared" ref="H36:AE36" si="15">G36</f>
        <v>7.0608500000000005E-2</v>
      </c>
      <c r="I36" s="43">
        <f t="shared" si="15"/>
        <v>7.0608500000000005E-2</v>
      </c>
      <c r="J36" s="43">
        <f t="shared" si="15"/>
        <v>7.0608500000000005E-2</v>
      </c>
      <c r="K36" s="43">
        <f t="shared" si="15"/>
        <v>7.0608500000000005E-2</v>
      </c>
      <c r="L36" s="43">
        <f t="shared" si="15"/>
        <v>7.0608500000000005E-2</v>
      </c>
      <c r="M36" s="43">
        <f t="shared" si="15"/>
        <v>7.0608500000000005E-2</v>
      </c>
      <c r="N36" s="43">
        <f t="shared" si="15"/>
        <v>7.0608500000000005E-2</v>
      </c>
      <c r="O36" s="43">
        <f t="shared" si="15"/>
        <v>7.0608500000000005E-2</v>
      </c>
      <c r="P36" s="43">
        <f t="shared" si="15"/>
        <v>7.0608500000000005E-2</v>
      </c>
      <c r="Q36" s="43">
        <f t="shared" si="15"/>
        <v>7.0608500000000005E-2</v>
      </c>
      <c r="R36" s="43">
        <f t="shared" si="15"/>
        <v>7.0608500000000005E-2</v>
      </c>
      <c r="S36" s="43">
        <f t="shared" si="15"/>
        <v>7.0608500000000005E-2</v>
      </c>
      <c r="T36" s="43">
        <f t="shared" si="15"/>
        <v>7.0608500000000005E-2</v>
      </c>
      <c r="U36" s="43">
        <f t="shared" si="15"/>
        <v>7.0608500000000005E-2</v>
      </c>
      <c r="V36" s="43">
        <f t="shared" si="15"/>
        <v>7.0608500000000005E-2</v>
      </c>
      <c r="W36" s="43">
        <f t="shared" si="15"/>
        <v>7.0608500000000005E-2</v>
      </c>
      <c r="X36" s="43">
        <f t="shared" si="15"/>
        <v>7.0608500000000005E-2</v>
      </c>
      <c r="Y36" s="43">
        <f t="shared" si="15"/>
        <v>7.0608500000000005E-2</v>
      </c>
      <c r="Z36" s="43">
        <f t="shared" si="15"/>
        <v>7.0608500000000005E-2</v>
      </c>
      <c r="AA36" s="43">
        <f t="shared" si="15"/>
        <v>7.0608500000000005E-2</v>
      </c>
      <c r="AB36" s="43">
        <f t="shared" si="15"/>
        <v>7.0608500000000005E-2</v>
      </c>
      <c r="AC36" s="43">
        <f t="shared" si="15"/>
        <v>7.0608500000000005E-2</v>
      </c>
      <c r="AD36" s="43">
        <f t="shared" si="15"/>
        <v>7.0608500000000005E-2</v>
      </c>
      <c r="AE36" s="43">
        <f t="shared" si="15"/>
        <v>7.0608500000000005E-2</v>
      </c>
    </row>
    <row r="37" spans="2:31" x14ac:dyDescent="0.3">
      <c r="B37" s="24" t="s">
        <v>187</v>
      </c>
      <c r="C37" s="24" t="s">
        <v>10</v>
      </c>
      <c r="D37" s="24" t="s">
        <v>11</v>
      </c>
      <c r="E37" s="24" t="s">
        <v>177</v>
      </c>
      <c r="F37" s="43">
        <v>7.1743000000000001E-2</v>
      </c>
      <c r="G37" s="43">
        <v>7.1743000000000001E-2</v>
      </c>
      <c r="H37" s="43">
        <v>7.1743000000000001E-2</v>
      </c>
      <c r="I37" s="43">
        <v>7.1743000000000001E-2</v>
      </c>
      <c r="J37" s="43">
        <v>7.1743000000000001E-2</v>
      </c>
      <c r="K37" s="43">
        <v>7.1743000000000001E-2</v>
      </c>
      <c r="L37" s="43">
        <v>7.1743000000000001E-2</v>
      </c>
      <c r="M37" s="43">
        <v>7.1743000000000001E-2</v>
      </c>
      <c r="N37" s="43">
        <v>7.1743000000000001E-2</v>
      </c>
      <c r="O37" s="43">
        <v>7.1743000000000001E-2</v>
      </c>
      <c r="P37" s="43">
        <v>7.1743000000000001E-2</v>
      </c>
      <c r="Q37" s="43">
        <v>7.1743000000000001E-2</v>
      </c>
      <c r="R37" s="43">
        <v>7.1743000000000001E-2</v>
      </c>
      <c r="S37" s="43">
        <v>7.1743000000000001E-2</v>
      </c>
      <c r="T37" s="43">
        <v>7.1743000000000001E-2</v>
      </c>
      <c r="U37" s="43">
        <v>7.1743000000000001E-2</v>
      </c>
      <c r="V37" s="43">
        <v>7.1743000000000001E-2</v>
      </c>
      <c r="W37" s="43">
        <v>7.1743000000000001E-2</v>
      </c>
      <c r="X37" s="43">
        <v>7.1743000000000001E-2</v>
      </c>
      <c r="Y37" s="43">
        <v>7.1743000000000001E-2</v>
      </c>
      <c r="Z37" s="43">
        <v>7.1743000000000001E-2</v>
      </c>
      <c r="AA37" s="43">
        <v>7.1743000000000001E-2</v>
      </c>
      <c r="AB37" s="43">
        <v>7.1743000000000001E-2</v>
      </c>
      <c r="AC37" s="43">
        <v>7.1743000000000001E-2</v>
      </c>
      <c r="AD37" s="43">
        <v>7.1743000000000001E-2</v>
      </c>
      <c r="AE37" s="43">
        <v>7.1743000000000001E-2</v>
      </c>
    </row>
    <row r="38" spans="2:31" x14ac:dyDescent="0.3">
      <c r="B38" s="24" t="s">
        <v>188</v>
      </c>
      <c r="C38" s="24" t="s">
        <v>7</v>
      </c>
      <c r="D38" s="24" t="s">
        <v>156</v>
      </c>
      <c r="E38" s="24" t="s">
        <v>177</v>
      </c>
      <c r="F38" s="43">
        <f>(3*28+0.6*265)/1000000</f>
        <v>2.43E-4</v>
      </c>
      <c r="G38" s="43">
        <f t="shared" ref="G38:AE38" si="16">(3*28+0.6*265)/1000000</f>
        <v>2.43E-4</v>
      </c>
      <c r="H38" s="43">
        <f t="shared" si="16"/>
        <v>2.43E-4</v>
      </c>
      <c r="I38" s="43">
        <f t="shared" si="16"/>
        <v>2.43E-4</v>
      </c>
      <c r="J38" s="43">
        <f t="shared" si="16"/>
        <v>2.43E-4</v>
      </c>
      <c r="K38" s="43">
        <f t="shared" si="16"/>
        <v>2.43E-4</v>
      </c>
      <c r="L38" s="43">
        <f t="shared" si="16"/>
        <v>2.43E-4</v>
      </c>
      <c r="M38" s="43">
        <f t="shared" si="16"/>
        <v>2.43E-4</v>
      </c>
      <c r="N38" s="43">
        <f t="shared" si="16"/>
        <v>2.43E-4</v>
      </c>
      <c r="O38" s="43">
        <f t="shared" si="16"/>
        <v>2.43E-4</v>
      </c>
      <c r="P38" s="43">
        <f t="shared" si="16"/>
        <v>2.43E-4</v>
      </c>
      <c r="Q38" s="43">
        <f t="shared" si="16"/>
        <v>2.43E-4</v>
      </c>
      <c r="R38" s="43">
        <f t="shared" si="16"/>
        <v>2.43E-4</v>
      </c>
      <c r="S38" s="43">
        <f t="shared" si="16"/>
        <v>2.43E-4</v>
      </c>
      <c r="T38" s="43">
        <f t="shared" si="16"/>
        <v>2.43E-4</v>
      </c>
      <c r="U38" s="43">
        <f t="shared" si="16"/>
        <v>2.43E-4</v>
      </c>
      <c r="V38" s="43">
        <f t="shared" si="16"/>
        <v>2.43E-4</v>
      </c>
      <c r="W38" s="43">
        <f t="shared" si="16"/>
        <v>2.43E-4</v>
      </c>
      <c r="X38" s="43">
        <f t="shared" si="16"/>
        <v>2.43E-4</v>
      </c>
      <c r="Y38" s="43">
        <f t="shared" si="16"/>
        <v>2.43E-4</v>
      </c>
      <c r="Z38" s="43">
        <f t="shared" si="16"/>
        <v>2.43E-4</v>
      </c>
      <c r="AA38" s="43">
        <f t="shared" si="16"/>
        <v>2.43E-4</v>
      </c>
      <c r="AB38" s="43">
        <f t="shared" si="16"/>
        <v>2.43E-4</v>
      </c>
      <c r="AC38" s="43">
        <f t="shared" si="16"/>
        <v>2.43E-4</v>
      </c>
      <c r="AD38" s="43">
        <f t="shared" si="16"/>
        <v>2.43E-4</v>
      </c>
      <c r="AE38" s="43">
        <f t="shared" si="16"/>
        <v>2.43E-4</v>
      </c>
    </row>
    <row r="39" spans="2:31" x14ac:dyDescent="0.3">
      <c r="B39" s="24" t="s">
        <v>188</v>
      </c>
      <c r="C39" s="24" t="s">
        <v>7</v>
      </c>
      <c r="D39" s="24" t="s">
        <v>5</v>
      </c>
      <c r="E39" s="24" t="s">
        <v>177</v>
      </c>
      <c r="F39" s="43">
        <v>7.5242699999999996E-2</v>
      </c>
      <c r="G39" s="43">
        <f>F39</f>
        <v>7.5242699999999996E-2</v>
      </c>
      <c r="H39" s="43">
        <f t="shared" ref="H39:AE39" si="17">G39</f>
        <v>7.5242699999999996E-2</v>
      </c>
      <c r="I39" s="43">
        <f t="shared" si="17"/>
        <v>7.5242699999999996E-2</v>
      </c>
      <c r="J39" s="43">
        <f t="shared" si="17"/>
        <v>7.5242699999999996E-2</v>
      </c>
      <c r="K39" s="43">
        <f t="shared" si="17"/>
        <v>7.5242699999999996E-2</v>
      </c>
      <c r="L39" s="43">
        <f t="shared" si="17"/>
        <v>7.5242699999999996E-2</v>
      </c>
      <c r="M39" s="43">
        <f t="shared" si="17"/>
        <v>7.5242699999999996E-2</v>
      </c>
      <c r="N39" s="43">
        <f t="shared" si="17"/>
        <v>7.5242699999999996E-2</v>
      </c>
      <c r="O39" s="43">
        <f t="shared" si="17"/>
        <v>7.5242699999999996E-2</v>
      </c>
      <c r="P39" s="43">
        <f t="shared" si="17"/>
        <v>7.5242699999999996E-2</v>
      </c>
      <c r="Q39" s="43">
        <f t="shared" si="17"/>
        <v>7.5242699999999996E-2</v>
      </c>
      <c r="R39" s="43">
        <f t="shared" si="17"/>
        <v>7.5242699999999996E-2</v>
      </c>
      <c r="S39" s="43">
        <f t="shared" si="17"/>
        <v>7.5242699999999996E-2</v>
      </c>
      <c r="T39" s="43">
        <f t="shared" si="17"/>
        <v>7.5242699999999996E-2</v>
      </c>
      <c r="U39" s="43">
        <f t="shared" si="17"/>
        <v>7.5242699999999996E-2</v>
      </c>
      <c r="V39" s="43">
        <f t="shared" si="17"/>
        <v>7.5242699999999996E-2</v>
      </c>
      <c r="W39" s="43">
        <f t="shared" si="17"/>
        <v>7.5242699999999996E-2</v>
      </c>
      <c r="X39" s="43">
        <f t="shared" si="17"/>
        <v>7.5242699999999996E-2</v>
      </c>
      <c r="Y39" s="43">
        <f t="shared" si="17"/>
        <v>7.5242699999999996E-2</v>
      </c>
      <c r="Z39" s="43">
        <f t="shared" si="17"/>
        <v>7.5242699999999996E-2</v>
      </c>
      <c r="AA39" s="43">
        <f t="shared" si="17"/>
        <v>7.5242699999999996E-2</v>
      </c>
      <c r="AB39" s="43">
        <f t="shared" si="17"/>
        <v>7.5242699999999996E-2</v>
      </c>
      <c r="AC39" s="43">
        <f t="shared" si="17"/>
        <v>7.5242699999999996E-2</v>
      </c>
      <c r="AD39" s="43">
        <f t="shared" si="17"/>
        <v>7.5242699999999996E-2</v>
      </c>
      <c r="AE39" s="43">
        <f t="shared" si="17"/>
        <v>7.5242699999999996E-2</v>
      </c>
    </row>
    <row r="40" spans="2:31" x14ac:dyDescent="0.3">
      <c r="B40" s="24" t="s">
        <v>188</v>
      </c>
      <c r="C40" s="24" t="s">
        <v>7</v>
      </c>
      <c r="D40" s="24" t="s">
        <v>9</v>
      </c>
      <c r="E40" s="24" t="s">
        <v>177</v>
      </c>
      <c r="F40" s="43">
        <v>0</v>
      </c>
      <c r="G40" s="43">
        <v>0</v>
      </c>
      <c r="H40" s="43">
        <v>0</v>
      </c>
      <c r="I40" s="43">
        <v>0</v>
      </c>
      <c r="J40" s="43">
        <v>0</v>
      </c>
      <c r="K40" s="43">
        <v>0</v>
      </c>
      <c r="L40" s="43">
        <v>0</v>
      </c>
      <c r="M40" s="43">
        <v>0</v>
      </c>
      <c r="N40" s="43">
        <v>0</v>
      </c>
      <c r="O40" s="43">
        <v>0</v>
      </c>
      <c r="P40" s="43">
        <v>0</v>
      </c>
      <c r="Q40" s="43">
        <v>0</v>
      </c>
      <c r="R40" s="43">
        <v>0</v>
      </c>
      <c r="S40" s="43">
        <v>0</v>
      </c>
      <c r="T40" s="43">
        <v>0</v>
      </c>
      <c r="U40" s="43">
        <v>0</v>
      </c>
      <c r="V40" s="43">
        <v>0</v>
      </c>
      <c r="W40" s="43">
        <v>0</v>
      </c>
      <c r="X40" s="43">
        <v>0</v>
      </c>
      <c r="Y40" s="43">
        <v>0</v>
      </c>
      <c r="Z40" s="43">
        <v>0</v>
      </c>
      <c r="AA40" s="43">
        <v>0</v>
      </c>
      <c r="AB40" s="43">
        <v>0</v>
      </c>
      <c r="AC40" s="43">
        <v>0</v>
      </c>
      <c r="AD40" s="43">
        <v>0</v>
      </c>
      <c r="AE40" s="43">
        <v>0</v>
      </c>
    </row>
    <row r="41" spans="2:31" x14ac:dyDescent="0.3">
      <c r="B41" s="24" t="s">
        <v>188</v>
      </c>
      <c r="C41" s="24" t="s">
        <v>7</v>
      </c>
      <c r="D41" s="24" t="s">
        <v>3</v>
      </c>
      <c r="E41" s="24" t="s">
        <v>177</v>
      </c>
      <c r="F41" s="43">
        <v>7.1071999999999996E-2</v>
      </c>
      <c r="G41" s="43">
        <f>F41</f>
        <v>7.1071999999999996E-2</v>
      </c>
      <c r="H41" s="43">
        <f t="shared" ref="H41:AE42" si="18">G41</f>
        <v>7.1071999999999996E-2</v>
      </c>
      <c r="I41" s="43">
        <f t="shared" si="18"/>
        <v>7.1071999999999996E-2</v>
      </c>
      <c r="J41" s="43">
        <f t="shared" si="18"/>
        <v>7.1071999999999996E-2</v>
      </c>
      <c r="K41" s="43">
        <f t="shared" si="18"/>
        <v>7.1071999999999996E-2</v>
      </c>
      <c r="L41" s="43">
        <f t="shared" si="18"/>
        <v>7.1071999999999996E-2</v>
      </c>
      <c r="M41" s="43">
        <f t="shared" si="18"/>
        <v>7.1071999999999996E-2</v>
      </c>
      <c r="N41" s="43">
        <f t="shared" si="18"/>
        <v>7.1071999999999996E-2</v>
      </c>
      <c r="O41" s="43">
        <f t="shared" si="18"/>
        <v>7.1071999999999996E-2</v>
      </c>
      <c r="P41" s="43">
        <f t="shared" si="18"/>
        <v>7.1071999999999996E-2</v>
      </c>
      <c r="Q41" s="43">
        <f t="shared" si="18"/>
        <v>7.1071999999999996E-2</v>
      </c>
      <c r="R41" s="43">
        <f t="shared" si="18"/>
        <v>7.1071999999999996E-2</v>
      </c>
      <c r="S41" s="43">
        <f t="shared" si="18"/>
        <v>7.1071999999999996E-2</v>
      </c>
      <c r="T41" s="43">
        <f t="shared" si="18"/>
        <v>7.1071999999999996E-2</v>
      </c>
      <c r="U41" s="43">
        <f t="shared" si="18"/>
        <v>7.1071999999999996E-2</v>
      </c>
      <c r="V41" s="43">
        <f t="shared" si="18"/>
        <v>7.1071999999999996E-2</v>
      </c>
      <c r="W41" s="43">
        <f t="shared" si="18"/>
        <v>7.1071999999999996E-2</v>
      </c>
      <c r="X41" s="43">
        <f t="shared" si="18"/>
        <v>7.1071999999999996E-2</v>
      </c>
      <c r="Y41" s="43">
        <f t="shared" si="18"/>
        <v>7.1071999999999996E-2</v>
      </c>
      <c r="Z41" s="43">
        <f t="shared" si="18"/>
        <v>7.1071999999999996E-2</v>
      </c>
      <c r="AA41" s="43">
        <f t="shared" si="18"/>
        <v>7.1071999999999996E-2</v>
      </c>
      <c r="AB41" s="43">
        <f t="shared" si="18"/>
        <v>7.1071999999999996E-2</v>
      </c>
      <c r="AC41" s="43">
        <f t="shared" si="18"/>
        <v>7.1071999999999996E-2</v>
      </c>
      <c r="AD41" s="43">
        <f t="shared" si="18"/>
        <v>7.1071999999999996E-2</v>
      </c>
      <c r="AE41" s="43">
        <f t="shared" si="18"/>
        <v>7.1071999999999996E-2</v>
      </c>
    </row>
    <row r="42" spans="2:31" x14ac:dyDescent="0.3">
      <c r="B42" s="24" t="s">
        <v>188</v>
      </c>
      <c r="C42" s="24" t="s">
        <v>7</v>
      </c>
      <c r="D42" s="24" t="s">
        <v>8</v>
      </c>
      <c r="E42" s="24" t="s">
        <v>177</v>
      </c>
      <c r="F42" s="43">
        <v>6.3266500000000003E-2</v>
      </c>
      <c r="G42" s="43">
        <f>F42</f>
        <v>6.3266500000000003E-2</v>
      </c>
      <c r="H42" s="43">
        <f t="shared" si="18"/>
        <v>6.3266500000000003E-2</v>
      </c>
      <c r="I42" s="43">
        <f t="shared" si="18"/>
        <v>6.3266500000000003E-2</v>
      </c>
      <c r="J42" s="43">
        <f t="shared" si="18"/>
        <v>6.3266500000000003E-2</v>
      </c>
      <c r="K42" s="43">
        <f t="shared" si="18"/>
        <v>6.3266500000000003E-2</v>
      </c>
      <c r="L42" s="43">
        <f t="shared" si="18"/>
        <v>6.3266500000000003E-2</v>
      </c>
      <c r="M42" s="43">
        <f t="shared" si="18"/>
        <v>6.3266500000000003E-2</v>
      </c>
      <c r="N42" s="43">
        <f t="shared" si="18"/>
        <v>6.3266500000000003E-2</v>
      </c>
      <c r="O42" s="43">
        <f t="shared" si="18"/>
        <v>6.3266500000000003E-2</v>
      </c>
      <c r="P42" s="43">
        <f t="shared" si="18"/>
        <v>6.3266500000000003E-2</v>
      </c>
      <c r="Q42" s="43">
        <f t="shared" si="18"/>
        <v>6.3266500000000003E-2</v>
      </c>
      <c r="R42" s="43">
        <f t="shared" si="18"/>
        <v>6.3266500000000003E-2</v>
      </c>
      <c r="S42" s="43">
        <f t="shared" si="18"/>
        <v>6.3266500000000003E-2</v>
      </c>
      <c r="T42" s="43">
        <f t="shared" si="18"/>
        <v>6.3266500000000003E-2</v>
      </c>
      <c r="U42" s="43">
        <f t="shared" si="18"/>
        <v>6.3266500000000003E-2</v>
      </c>
      <c r="V42" s="43">
        <f t="shared" si="18"/>
        <v>6.3266500000000003E-2</v>
      </c>
      <c r="W42" s="43">
        <f t="shared" si="18"/>
        <v>6.3266500000000003E-2</v>
      </c>
      <c r="X42" s="43">
        <f t="shared" si="18"/>
        <v>6.3266500000000003E-2</v>
      </c>
      <c r="Y42" s="43">
        <f t="shared" si="18"/>
        <v>6.3266500000000003E-2</v>
      </c>
      <c r="Z42" s="43">
        <f t="shared" si="18"/>
        <v>6.3266500000000003E-2</v>
      </c>
      <c r="AA42" s="43">
        <f t="shared" si="18"/>
        <v>6.3266500000000003E-2</v>
      </c>
      <c r="AB42" s="43">
        <f t="shared" si="18"/>
        <v>6.3266500000000003E-2</v>
      </c>
      <c r="AC42" s="43">
        <f t="shared" si="18"/>
        <v>6.3266500000000003E-2</v>
      </c>
      <c r="AD42" s="43">
        <f t="shared" si="18"/>
        <v>6.3266500000000003E-2</v>
      </c>
      <c r="AE42" s="43">
        <f t="shared" si="18"/>
        <v>6.3266500000000003E-2</v>
      </c>
    </row>
    <row r="43" spans="2:31" x14ac:dyDescent="0.3">
      <c r="B43" s="24" t="s">
        <v>188</v>
      </c>
      <c r="C43" s="24" t="s">
        <v>6</v>
      </c>
      <c r="D43" s="24" t="s">
        <v>5</v>
      </c>
      <c r="E43" s="24" t="s">
        <v>177</v>
      </c>
      <c r="F43" s="43">
        <v>7.4538999999999994E-2</v>
      </c>
      <c r="G43" s="43">
        <f>F43</f>
        <v>7.4538999999999994E-2</v>
      </c>
      <c r="H43" s="43">
        <f t="shared" ref="H43:AE43" si="19">G43</f>
        <v>7.4538999999999994E-2</v>
      </c>
      <c r="I43" s="43">
        <f t="shared" si="19"/>
        <v>7.4538999999999994E-2</v>
      </c>
      <c r="J43" s="43">
        <f t="shared" si="19"/>
        <v>7.4538999999999994E-2</v>
      </c>
      <c r="K43" s="43">
        <f t="shared" si="19"/>
        <v>7.4538999999999994E-2</v>
      </c>
      <c r="L43" s="43">
        <f t="shared" si="19"/>
        <v>7.4538999999999994E-2</v>
      </c>
      <c r="M43" s="43">
        <f t="shared" si="19"/>
        <v>7.4538999999999994E-2</v>
      </c>
      <c r="N43" s="43">
        <f t="shared" si="19"/>
        <v>7.4538999999999994E-2</v>
      </c>
      <c r="O43" s="43">
        <f t="shared" si="19"/>
        <v>7.4538999999999994E-2</v>
      </c>
      <c r="P43" s="43">
        <f t="shared" si="19"/>
        <v>7.4538999999999994E-2</v>
      </c>
      <c r="Q43" s="43">
        <f t="shared" si="19"/>
        <v>7.4538999999999994E-2</v>
      </c>
      <c r="R43" s="43">
        <f t="shared" si="19"/>
        <v>7.4538999999999994E-2</v>
      </c>
      <c r="S43" s="43">
        <f t="shared" si="19"/>
        <v>7.4538999999999994E-2</v>
      </c>
      <c r="T43" s="43">
        <f t="shared" si="19"/>
        <v>7.4538999999999994E-2</v>
      </c>
      <c r="U43" s="43">
        <f t="shared" si="19"/>
        <v>7.4538999999999994E-2</v>
      </c>
      <c r="V43" s="43">
        <f t="shared" si="19"/>
        <v>7.4538999999999994E-2</v>
      </c>
      <c r="W43" s="43">
        <f t="shared" si="19"/>
        <v>7.4538999999999994E-2</v>
      </c>
      <c r="X43" s="43">
        <f t="shared" si="19"/>
        <v>7.4538999999999994E-2</v>
      </c>
      <c r="Y43" s="43">
        <f t="shared" si="19"/>
        <v>7.4538999999999994E-2</v>
      </c>
      <c r="Z43" s="43">
        <f t="shared" si="19"/>
        <v>7.4538999999999994E-2</v>
      </c>
      <c r="AA43" s="43">
        <f t="shared" si="19"/>
        <v>7.4538999999999994E-2</v>
      </c>
      <c r="AB43" s="43">
        <f t="shared" si="19"/>
        <v>7.4538999999999994E-2</v>
      </c>
      <c r="AC43" s="43">
        <f t="shared" si="19"/>
        <v>7.4538999999999994E-2</v>
      </c>
      <c r="AD43" s="43">
        <f t="shared" si="19"/>
        <v>7.4538999999999994E-2</v>
      </c>
      <c r="AE43" s="43">
        <f t="shared" si="19"/>
        <v>7.4538999999999994E-2</v>
      </c>
    </row>
    <row r="44" spans="2:31" x14ac:dyDescent="0.3">
      <c r="B44" s="24" t="s">
        <v>188</v>
      </c>
      <c r="C44" s="24" t="s">
        <v>6</v>
      </c>
      <c r="D44" s="24" t="s">
        <v>3</v>
      </c>
      <c r="E44" s="24" t="s">
        <v>177</v>
      </c>
      <c r="F44" s="43">
        <v>7.1071999999999996E-2</v>
      </c>
      <c r="G44" s="43">
        <f>F44</f>
        <v>7.1071999999999996E-2</v>
      </c>
      <c r="H44" s="43">
        <f t="shared" ref="H44:AE44" si="20">G44</f>
        <v>7.1071999999999996E-2</v>
      </c>
      <c r="I44" s="43">
        <f t="shared" si="20"/>
        <v>7.1071999999999996E-2</v>
      </c>
      <c r="J44" s="43">
        <f t="shared" si="20"/>
        <v>7.1071999999999996E-2</v>
      </c>
      <c r="K44" s="43">
        <f t="shared" si="20"/>
        <v>7.1071999999999996E-2</v>
      </c>
      <c r="L44" s="43">
        <f t="shared" si="20"/>
        <v>7.1071999999999996E-2</v>
      </c>
      <c r="M44" s="43">
        <f t="shared" si="20"/>
        <v>7.1071999999999996E-2</v>
      </c>
      <c r="N44" s="43">
        <f t="shared" si="20"/>
        <v>7.1071999999999996E-2</v>
      </c>
      <c r="O44" s="43">
        <f t="shared" si="20"/>
        <v>7.1071999999999996E-2</v>
      </c>
      <c r="P44" s="43">
        <f t="shared" si="20"/>
        <v>7.1071999999999996E-2</v>
      </c>
      <c r="Q44" s="43">
        <f t="shared" si="20"/>
        <v>7.1071999999999996E-2</v>
      </c>
      <c r="R44" s="43">
        <f t="shared" si="20"/>
        <v>7.1071999999999996E-2</v>
      </c>
      <c r="S44" s="43">
        <f t="shared" si="20"/>
        <v>7.1071999999999996E-2</v>
      </c>
      <c r="T44" s="43">
        <f t="shared" si="20"/>
        <v>7.1071999999999996E-2</v>
      </c>
      <c r="U44" s="43">
        <f t="shared" si="20"/>
        <v>7.1071999999999996E-2</v>
      </c>
      <c r="V44" s="43">
        <f t="shared" si="20"/>
        <v>7.1071999999999996E-2</v>
      </c>
      <c r="W44" s="43">
        <f t="shared" si="20"/>
        <v>7.1071999999999996E-2</v>
      </c>
      <c r="X44" s="43">
        <f t="shared" si="20"/>
        <v>7.1071999999999996E-2</v>
      </c>
      <c r="Y44" s="43">
        <f t="shared" si="20"/>
        <v>7.1071999999999996E-2</v>
      </c>
      <c r="Z44" s="43">
        <f t="shared" si="20"/>
        <v>7.1071999999999996E-2</v>
      </c>
      <c r="AA44" s="43">
        <f t="shared" si="20"/>
        <v>7.1071999999999996E-2</v>
      </c>
      <c r="AB44" s="43">
        <f t="shared" si="20"/>
        <v>7.1071999999999996E-2</v>
      </c>
      <c r="AC44" s="43">
        <f t="shared" si="20"/>
        <v>7.1071999999999996E-2</v>
      </c>
      <c r="AD44" s="43">
        <f t="shared" si="20"/>
        <v>7.1071999999999996E-2</v>
      </c>
      <c r="AE44" s="43">
        <f t="shared" si="20"/>
        <v>7.1071999999999996E-2</v>
      </c>
    </row>
    <row r="45" spans="2:31" x14ac:dyDescent="0.3">
      <c r="B45" s="24" t="s">
        <v>189</v>
      </c>
      <c r="C45" s="24" t="s">
        <v>2</v>
      </c>
      <c r="D45" s="24" t="s">
        <v>5</v>
      </c>
      <c r="E45" s="24" t="s">
        <v>177</v>
      </c>
      <c r="F45" s="43">
        <v>7.4538999999999994E-2</v>
      </c>
      <c r="G45" s="43">
        <f>F45</f>
        <v>7.4538999999999994E-2</v>
      </c>
      <c r="H45" s="43">
        <f t="shared" ref="H45:AE45" si="21">G45</f>
        <v>7.4538999999999994E-2</v>
      </c>
      <c r="I45" s="43">
        <f t="shared" si="21"/>
        <v>7.4538999999999994E-2</v>
      </c>
      <c r="J45" s="43">
        <f t="shared" si="21"/>
        <v>7.4538999999999994E-2</v>
      </c>
      <c r="K45" s="43">
        <f t="shared" si="21"/>
        <v>7.4538999999999994E-2</v>
      </c>
      <c r="L45" s="43">
        <f t="shared" si="21"/>
        <v>7.4538999999999994E-2</v>
      </c>
      <c r="M45" s="43">
        <f t="shared" si="21"/>
        <v>7.4538999999999994E-2</v>
      </c>
      <c r="N45" s="43">
        <f t="shared" si="21"/>
        <v>7.4538999999999994E-2</v>
      </c>
      <c r="O45" s="43">
        <f t="shared" si="21"/>
        <v>7.4538999999999994E-2</v>
      </c>
      <c r="P45" s="43">
        <f t="shared" si="21"/>
        <v>7.4538999999999994E-2</v>
      </c>
      <c r="Q45" s="43">
        <f t="shared" si="21"/>
        <v>7.4538999999999994E-2</v>
      </c>
      <c r="R45" s="43">
        <f t="shared" si="21"/>
        <v>7.4538999999999994E-2</v>
      </c>
      <c r="S45" s="43">
        <f t="shared" si="21"/>
        <v>7.4538999999999994E-2</v>
      </c>
      <c r="T45" s="43">
        <f t="shared" si="21"/>
        <v>7.4538999999999994E-2</v>
      </c>
      <c r="U45" s="43">
        <f t="shared" si="21"/>
        <v>7.4538999999999994E-2</v>
      </c>
      <c r="V45" s="43">
        <f t="shared" si="21"/>
        <v>7.4538999999999994E-2</v>
      </c>
      <c r="W45" s="43">
        <f t="shared" si="21"/>
        <v>7.4538999999999994E-2</v>
      </c>
      <c r="X45" s="43">
        <f t="shared" si="21"/>
        <v>7.4538999999999994E-2</v>
      </c>
      <c r="Y45" s="43">
        <f t="shared" si="21"/>
        <v>7.4538999999999994E-2</v>
      </c>
      <c r="Z45" s="43">
        <f t="shared" si="21"/>
        <v>7.4538999999999994E-2</v>
      </c>
      <c r="AA45" s="43">
        <f t="shared" si="21"/>
        <v>7.4538999999999994E-2</v>
      </c>
      <c r="AB45" s="43">
        <f t="shared" si="21"/>
        <v>7.4538999999999994E-2</v>
      </c>
      <c r="AC45" s="43">
        <f t="shared" si="21"/>
        <v>7.4538999999999994E-2</v>
      </c>
      <c r="AD45" s="43">
        <f t="shared" si="21"/>
        <v>7.4538999999999994E-2</v>
      </c>
      <c r="AE45" s="43">
        <f t="shared" si="21"/>
        <v>7.4538999999999994E-2</v>
      </c>
    </row>
    <row r="46" spans="2:31" x14ac:dyDescent="0.3">
      <c r="B46" s="24" t="s">
        <v>189</v>
      </c>
      <c r="C46" s="24" t="s">
        <v>2</v>
      </c>
      <c r="D46" s="24" t="s">
        <v>4</v>
      </c>
      <c r="E46" s="24" t="s">
        <v>177</v>
      </c>
      <c r="F46" s="43">
        <v>7.7839000000000005E-2</v>
      </c>
      <c r="G46" s="43">
        <v>7.7839000000000005E-2</v>
      </c>
      <c r="H46" s="43">
        <v>7.7839000000000005E-2</v>
      </c>
      <c r="I46" s="43">
        <v>7.7839000000000005E-2</v>
      </c>
      <c r="J46" s="43">
        <v>7.7839000000000005E-2</v>
      </c>
      <c r="K46" s="43">
        <v>7.7839000000000005E-2</v>
      </c>
      <c r="L46" s="43">
        <v>7.7839000000000005E-2</v>
      </c>
      <c r="M46" s="43">
        <v>7.7839000000000005E-2</v>
      </c>
      <c r="N46" s="43">
        <v>7.7839000000000005E-2</v>
      </c>
      <c r="O46" s="43">
        <v>7.7839000000000005E-2</v>
      </c>
      <c r="P46" s="43">
        <v>7.7839000000000005E-2</v>
      </c>
      <c r="Q46" s="43">
        <v>7.7839000000000005E-2</v>
      </c>
      <c r="R46" s="43">
        <v>7.7839000000000005E-2</v>
      </c>
      <c r="S46" s="43">
        <v>7.7839000000000005E-2</v>
      </c>
      <c r="T46" s="43">
        <v>7.7839000000000005E-2</v>
      </c>
      <c r="U46" s="43">
        <v>7.7839000000000005E-2</v>
      </c>
      <c r="V46" s="43">
        <v>7.7839000000000005E-2</v>
      </c>
      <c r="W46" s="43">
        <v>7.7839000000000005E-2</v>
      </c>
      <c r="X46" s="43">
        <v>7.7839000000000005E-2</v>
      </c>
      <c r="Y46" s="43">
        <v>7.7839000000000005E-2</v>
      </c>
      <c r="Z46" s="43">
        <v>7.7839000000000005E-2</v>
      </c>
      <c r="AA46" s="43">
        <v>7.7839000000000005E-2</v>
      </c>
      <c r="AB46" s="43">
        <v>7.7839000000000005E-2</v>
      </c>
      <c r="AC46" s="43">
        <v>7.7839000000000005E-2</v>
      </c>
      <c r="AD46" s="43">
        <v>7.7839000000000005E-2</v>
      </c>
      <c r="AE46" s="43">
        <v>7.7839000000000005E-2</v>
      </c>
    </row>
    <row r="47" spans="2:31" x14ac:dyDescent="0.3">
      <c r="B47" s="24" t="s">
        <v>189</v>
      </c>
      <c r="C47" s="24" t="s">
        <v>2</v>
      </c>
      <c r="D47" s="24" t="s">
        <v>3</v>
      </c>
      <c r="E47" s="24" t="s">
        <v>177</v>
      </c>
      <c r="F47" s="43">
        <v>7.1071999999999996E-2</v>
      </c>
      <c r="G47" s="43">
        <f>F47</f>
        <v>7.1071999999999996E-2</v>
      </c>
      <c r="H47" s="43">
        <f t="shared" ref="H47:AE47" si="22">G47</f>
        <v>7.1071999999999996E-2</v>
      </c>
      <c r="I47" s="43">
        <f t="shared" si="22"/>
        <v>7.1071999999999996E-2</v>
      </c>
      <c r="J47" s="43">
        <f t="shared" si="22"/>
        <v>7.1071999999999996E-2</v>
      </c>
      <c r="K47" s="43">
        <f t="shared" si="22"/>
        <v>7.1071999999999996E-2</v>
      </c>
      <c r="L47" s="43">
        <f t="shared" si="22"/>
        <v>7.1071999999999996E-2</v>
      </c>
      <c r="M47" s="43">
        <f t="shared" si="22"/>
        <v>7.1071999999999996E-2</v>
      </c>
      <c r="N47" s="43">
        <f t="shared" si="22"/>
        <v>7.1071999999999996E-2</v>
      </c>
      <c r="O47" s="43">
        <f t="shared" si="22"/>
        <v>7.1071999999999996E-2</v>
      </c>
      <c r="P47" s="43">
        <f t="shared" si="22"/>
        <v>7.1071999999999996E-2</v>
      </c>
      <c r="Q47" s="43">
        <f t="shared" si="22"/>
        <v>7.1071999999999996E-2</v>
      </c>
      <c r="R47" s="43">
        <f t="shared" si="22"/>
        <v>7.1071999999999996E-2</v>
      </c>
      <c r="S47" s="43">
        <f t="shared" si="22"/>
        <v>7.1071999999999996E-2</v>
      </c>
      <c r="T47" s="43">
        <f t="shared" si="22"/>
        <v>7.1071999999999996E-2</v>
      </c>
      <c r="U47" s="43">
        <f t="shared" si="22"/>
        <v>7.1071999999999996E-2</v>
      </c>
      <c r="V47" s="43">
        <f t="shared" si="22"/>
        <v>7.1071999999999996E-2</v>
      </c>
      <c r="W47" s="43">
        <f t="shared" si="22"/>
        <v>7.1071999999999996E-2</v>
      </c>
      <c r="X47" s="43">
        <f t="shared" si="22"/>
        <v>7.1071999999999996E-2</v>
      </c>
      <c r="Y47" s="43">
        <f t="shared" si="22"/>
        <v>7.1071999999999996E-2</v>
      </c>
      <c r="Z47" s="43">
        <f t="shared" si="22"/>
        <v>7.1071999999999996E-2</v>
      </c>
      <c r="AA47" s="43">
        <f t="shared" si="22"/>
        <v>7.1071999999999996E-2</v>
      </c>
      <c r="AB47" s="43">
        <f t="shared" si="22"/>
        <v>7.1071999999999996E-2</v>
      </c>
      <c r="AC47" s="43">
        <f t="shared" si="22"/>
        <v>7.1071999999999996E-2</v>
      </c>
      <c r="AD47" s="43">
        <f t="shared" si="22"/>
        <v>7.1071999999999996E-2</v>
      </c>
      <c r="AE47" s="43">
        <f t="shared" si="22"/>
        <v>7.1071999999999996E-2</v>
      </c>
    </row>
    <row r="48" spans="2:31" x14ac:dyDescent="0.3">
      <c r="B48" s="24" t="s">
        <v>191</v>
      </c>
      <c r="C48" s="24" t="s">
        <v>158</v>
      </c>
      <c r="D48" s="24" t="s">
        <v>32</v>
      </c>
      <c r="E48" s="24" t="s">
        <v>178</v>
      </c>
      <c r="F48" s="43">
        <v>0.16</v>
      </c>
      <c r="G48" s="43">
        <v>0.16</v>
      </c>
      <c r="H48" s="43">
        <v>0.15623044174909703</v>
      </c>
      <c r="I48" s="43">
        <v>0.25601076340738121</v>
      </c>
      <c r="J48" s="43">
        <v>0.25601076340738121</v>
      </c>
      <c r="K48" s="43">
        <v>0.25582688404206855</v>
      </c>
      <c r="L48" s="43">
        <v>0.25582688404206855</v>
      </c>
      <c r="M48" s="43">
        <v>0.25582688404206855</v>
      </c>
      <c r="N48" s="43">
        <v>0.28939516386025393</v>
      </c>
      <c r="O48" s="43">
        <v>0.28939516386025393</v>
      </c>
      <c r="P48" s="43">
        <v>0.28939516386025393</v>
      </c>
      <c r="Q48" s="43">
        <v>0.28939516386025393</v>
      </c>
      <c r="R48" s="43">
        <v>0.28939516386025393</v>
      </c>
      <c r="S48" s="43">
        <v>0.28939516386025393</v>
      </c>
      <c r="T48" s="43">
        <v>0.28939516386025393</v>
      </c>
      <c r="U48" s="43">
        <v>0.28939516386025393</v>
      </c>
      <c r="V48" s="43">
        <v>0.28939516386025393</v>
      </c>
      <c r="W48" s="43">
        <v>0.28939516386025393</v>
      </c>
      <c r="X48" s="43">
        <v>0.28939516386025393</v>
      </c>
      <c r="Y48" s="43">
        <v>0.28939516386025393</v>
      </c>
      <c r="Z48" s="43">
        <v>0.28939516386025393</v>
      </c>
      <c r="AA48" s="43">
        <v>0.28939516386025393</v>
      </c>
      <c r="AB48" s="43">
        <v>0.28939516386025393</v>
      </c>
      <c r="AC48" s="43">
        <v>0.28939516386025393</v>
      </c>
      <c r="AD48" s="43">
        <v>0.28939516386025393</v>
      </c>
      <c r="AE48" s="43">
        <v>0.28939516386025393</v>
      </c>
    </row>
    <row r="49" spans="2:31" x14ac:dyDescent="0.3">
      <c r="B49" s="24" t="s">
        <v>191</v>
      </c>
      <c r="C49" s="24" t="s">
        <v>158</v>
      </c>
      <c r="D49" s="24" t="s">
        <v>5</v>
      </c>
      <c r="E49" s="24" t="s">
        <v>178</v>
      </c>
      <c r="F49" s="43">
        <v>0.47</v>
      </c>
      <c r="G49" s="43">
        <v>0.47</v>
      </c>
      <c r="H49" s="43">
        <v>0.20677544177206184</v>
      </c>
      <c r="I49" s="43">
        <v>0.18847804044522798</v>
      </c>
      <c r="J49" s="43">
        <v>0.18847804044522798</v>
      </c>
      <c r="K49" s="43">
        <v>0.19856163652535005</v>
      </c>
      <c r="L49" s="43">
        <v>0.19856163652535005</v>
      </c>
      <c r="M49" s="43">
        <v>0.19856163652535005</v>
      </c>
      <c r="N49" s="43">
        <v>0.15474833031148547</v>
      </c>
      <c r="O49" s="43">
        <v>0.15474833031148547</v>
      </c>
      <c r="P49" s="43">
        <v>0.15474833031148547</v>
      </c>
      <c r="Q49" s="43">
        <v>0.15474833031148547</v>
      </c>
      <c r="R49" s="43">
        <v>0.15474833031148547</v>
      </c>
      <c r="S49" s="43">
        <v>0.15474833031148547</v>
      </c>
      <c r="T49" s="43">
        <v>0.15474833031148547</v>
      </c>
      <c r="U49" s="43">
        <v>0.15474833031148547</v>
      </c>
      <c r="V49" s="43">
        <v>0.15474833031148547</v>
      </c>
      <c r="W49" s="43">
        <v>0.15474833031148547</v>
      </c>
      <c r="X49" s="43">
        <v>0.15474833031148547</v>
      </c>
      <c r="Y49" s="43">
        <v>0.15474833031148547</v>
      </c>
      <c r="Z49" s="43">
        <v>0.15474833031148547</v>
      </c>
      <c r="AA49" s="43">
        <v>0.15474833031148547</v>
      </c>
      <c r="AB49" s="43">
        <v>0.15474833031148547</v>
      </c>
      <c r="AC49" s="43">
        <v>0.15474833031148547</v>
      </c>
      <c r="AD49" s="43">
        <v>0.15474833031148547</v>
      </c>
      <c r="AE49" s="43">
        <v>0.15474833031148547</v>
      </c>
    </row>
    <row r="50" spans="2:31" x14ac:dyDescent="0.3">
      <c r="B50" s="24" t="s">
        <v>191</v>
      </c>
      <c r="C50" s="24" t="s">
        <v>158</v>
      </c>
      <c r="D50" s="24" t="s">
        <v>15</v>
      </c>
      <c r="E50" s="24" t="s">
        <v>178</v>
      </c>
      <c r="F50" s="43">
        <v>0.2</v>
      </c>
      <c r="G50" s="43">
        <v>0.2</v>
      </c>
      <c r="H50" s="43">
        <v>0.24508862697687936</v>
      </c>
      <c r="I50" s="43">
        <v>0.22800510538799665</v>
      </c>
      <c r="J50" s="43">
        <v>0.22800510538799665</v>
      </c>
      <c r="K50" s="43">
        <v>0.23373129530356007</v>
      </c>
      <c r="L50" s="43">
        <v>0.23373129530356007</v>
      </c>
      <c r="M50" s="43">
        <v>0.23373129530356007</v>
      </c>
      <c r="N50" s="43">
        <v>0.28132346446506262</v>
      </c>
      <c r="O50" s="43">
        <v>0.28132346446506262</v>
      </c>
      <c r="P50" s="43">
        <v>0.28132346446506262</v>
      </c>
      <c r="Q50" s="43">
        <v>0.28132346446506262</v>
      </c>
      <c r="R50" s="43">
        <v>0.28132346446506262</v>
      </c>
      <c r="S50" s="43">
        <v>0.28132346446506262</v>
      </c>
      <c r="T50" s="43">
        <v>0.28132346446506262</v>
      </c>
      <c r="U50" s="43">
        <v>0.28132346446506262</v>
      </c>
      <c r="V50" s="43">
        <v>0.28132346446506262</v>
      </c>
      <c r="W50" s="43">
        <v>0.28132346446506262</v>
      </c>
      <c r="X50" s="43">
        <v>0.28132346446506262</v>
      </c>
      <c r="Y50" s="43">
        <v>0.28132346446506262</v>
      </c>
      <c r="Z50" s="43">
        <v>0.28132346446506262</v>
      </c>
      <c r="AA50" s="43">
        <v>0.28132346446506262</v>
      </c>
      <c r="AB50" s="43">
        <v>0.28132346446506262</v>
      </c>
      <c r="AC50" s="43">
        <v>0.28132346446506262</v>
      </c>
      <c r="AD50" s="43">
        <v>0.28132346446506262</v>
      </c>
      <c r="AE50" s="43">
        <v>0.28132346446506262</v>
      </c>
    </row>
    <row r="51" spans="2:31" x14ac:dyDescent="0.3">
      <c r="B51" s="24" t="s">
        <v>191</v>
      </c>
      <c r="C51" s="24" t="s">
        <v>158</v>
      </c>
      <c r="D51" s="24" t="s">
        <v>4</v>
      </c>
      <c r="E51" s="24" t="s">
        <v>178</v>
      </c>
      <c r="F51" s="43">
        <v>0.14000000000000001</v>
      </c>
      <c r="G51" s="43">
        <v>0.14000000000000001</v>
      </c>
      <c r="H51" s="43">
        <v>0.21227672353036589</v>
      </c>
      <c r="I51" s="43">
        <v>0.2057628041354688</v>
      </c>
      <c r="J51" s="43">
        <v>0.2057628041354688</v>
      </c>
      <c r="K51" s="43">
        <v>0.203553876289956</v>
      </c>
      <c r="L51" s="43">
        <v>0.203553876289956</v>
      </c>
      <c r="M51" s="43">
        <v>0.203553876289956</v>
      </c>
      <c r="N51" s="43">
        <v>0.22598011104673138</v>
      </c>
      <c r="O51" s="43">
        <v>0.22598011104673138</v>
      </c>
      <c r="P51" s="43">
        <v>0.22598011104673138</v>
      </c>
      <c r="Q51" s="43">
        <v>0.22598011104673138</v>
      </c>
      <c r="R51" s="43">
        <v>0.22598011104673138</v>
      </c>
      <c r="S51" s="43">
        <v>0.22598011104673138</v>
      </c>
      <c r="T51" s="43">
        <v>0.22598011104673138</v>
      </c>
      <c r="U51" s="43">
        <v>0.22598011104673138</v>
      </c>
      <c r="V51" s="43">
        <v>0.22598011104673138</v>
      </c>
      <c r="W51" s="43">
        <v>0.22598011104673138</v>
      </c>
      <c r="X51" s="43">
        <v>0.22598011104673138</v>
      </c>
      <c r="Y51" s="43">
        <v>0.22598011104673138</v>
      </c>
      <c r="Z51" s="43">
        <v>0.22598011104673138</v>
      </c>
      <c r="AA51" s="43">
        <v>0.22598011104673138</v>
      </c>
      <c r="AB51" s="43">
        <v>0.22598011104673138</v>
      </c>
      <c r="AC51" s="43">
        <v>0.22598011104673138</v>
      </c>
      <c r="AD51" s="43">
        <v>0.22598011104673138</v>
      </c>
      <c r="AE51" s="43">
        <v>0.22598011104673138</v>
      </c>
    </row>
    <row r="52" spans="2:31" x14ac:dyDescent="0.3">
      <c r="B52" s="24" t="s">
        <v>191</v>
      </c>
      <c r="C52" s="24" t="s">
        <v>158</v>
      </c>
      <c r="D52" s="24" t="s">
        <v>27</v>
      </c>
      <c r="E52" s="24" t="s">
        <v>178</v>
      </c>
      <c r="F52" s="43">
        <v>0</v>
      </c>
      <c r="G52" s="43">
        <v>0</v>
      </c>
      <c r="H52" s="43">
        <v>0</v>
      </c>
      <c r="I52" s="43">
        <v>0</v>
      </c>
      <c r="J52" s="43">
        <v>0</v>
      </c>
      <c r="K52" s="43">
        <v>0</v>
      </c>
      <c r="L52" s="43">
        <v>0</v>
      </c>
      <c r="M52" s="43">
        <v>0</v>
      </c>
      <c r="N52" s="43">
        <v>0</v>
      </c>
      <c r="O52" s="43">
        <v>0</v>
      </c>
      <c r="P52" s="43">
        <v>0</v>
      </c>
      <c r="Q52" s="43">
        <v>0</v>
      </c>
      <c r="R52" s="43">
        <v>0</v>
      </c>
      <c r="S52" s="43">
        <v>0</v>
      </c>
      <c r="T52" s="43">
        <v>0</v>
      </c>
      <c r="U52" s="43">
        <v>0</v>
      </c>
      <c r="V52" s="43">
        <v>0</v>
      </c>
      <c r="W52" s="43">
        <v>0</v>
      </c>
      <c r="X52" s="43">
        <v>0</v>
      </c>
      <c r="Y52" s="43">
        <v>0</v>
      </c>
      <c r="Z52" s="43">
        <v>0</v>
      </c>
      <c r="AA52" s="43">
        <v>0</v>
      </c>
      <c r="AB52" s="43">
        <v>0</v>
      </c>
      <c r="AC52" s="43">
        <v>0</v>
      </c>
      <c r="AD52" s="43">
        <v>0</v>
      </c>
      <c r="AE52" s="43">
        <v>0</v>
      </c>
    </row>
    <row r="53" spans="2:31" x14ac:dyDescent="0.3">
      <c r="B53" s="24" t="s">
        <v>191</v>
      </c>
      <c r="C53" s="24" t="s">
        <v>158</v>
      </c>
      <c r="D53" s="24" t="s">
        <v>29</v>
      </c>
      <c r="E53" s="24" t="s">
        <v>178</v>
      </c>
      <c r="F53" s="43">
        <v>0</v>
      </c>
      <c r="G53" s="43">
        <v>0</v>
      </c>
      <c r="H53" s="43">
        <v>0</v>
      </c>
      <c r="I53" s="43">
        <v>0</v>
      </c>
      <c r="J53" s="43">
        <v>0</v>
      </c>
      <c r="K53" s="43">
        <v>0</v>
      </c>
      <c r="L53" s="43">
        <v>0</v>
      </c>
      <c r="M53" s="43">
        <v>0</v>
      </c>
      <c r="N53" s="43">
        <v>0</v>
      </c>
      <c r="O53" s="43">
        <v>0</v>
      </c>
      <c r="P53" s="43">
        <v>0</v>
      </c>
      <c r="Q53" s="43">
        <v>0</v>
      </c>
      <c r="R53" s="43">
        <v>0</v>
      </c>
      <c r="S53" s="43">
        <v>0</v>
      </c>
      <c r="T53" s="43">
        <v>0</v>
      </c>
      <c r="U53" s="43">
        <v>0</v>
      </c>
      <c r="V53" s="43">
        <v>0</v>
      </c>
      <c r="W53" s="43">
        <v>0</v>
      </c>
      <c r="X53" s="43">
        <v>0</v>
      </c>
      <c r="Y53" s="43">
        <v>0</v>
      </c>
      <c r="Z53" s="43">
        <v>0</v>
      </c>
      <c r="AA53" s="43">
        <v>0</v>
      </c>
      <c r="AB53" s="43">
        <v>0</v>
      </c>
      <c r="AC53" s="43">
        <v>0</v>
      </c>
      <c r="AD53" s="43">
        <v>0</v>
      </c>
      <c r="AE53" s="43">
        <v>0</v>
      </c>
    </row>
    <row r="54" spans="2:31" x14ac:dyDescent="0.3">
      <c r="B54" s="24" t="s">
        <v>191</v>
      </c>
      <c r="C54" s="24" t="s">
        <v>158</v>
      </c>
      <c r="D54" s="24" t="s">
        <v>26</v>
      </c>
      <c r="E54" s="24" t="s">
        <v>178</v>
      </c>
      <c r="F54" s="43">
        <v>0</v>
      </c>
      <c r="G54" s="43">
        <v>0</v>
      </c>
      <c r="H54" s="43">
        <v>0</v>
      </c>
      <c r="I54" s="43">
        <v>0</v>
      </c>
      <c r="J54" s="43">
        <v>0</v>
      </c>
      <c r="K54" s="43">
        <v>0</v>
      </c>
      <c r="L54" s="43">
        <v>0</v>
      </c>
      <c r="M54" s="43">
        <v>0</v>
      </c>
      <c r="N54" s="43">
        <v>0</v>
      </c>
      <c r="O54" s="43">
        <v>0</v>
      </c>
      <c r="P54" s="43">
        <v>0</v>
      </c>
      <c r="Q54" s="43">
        <v>0</v>
      </c>
      <c r="R54" s="43">
        <v>0</v>
      </c>
      <c r="S54" s="43">
        <v>0</v>
      </c>
      <c r="T54" s="43">
        <v>0</v>
      </c>
      <c r="U54" s="43">
        <v>0</v>
      </c>
      <c r="V54" s="43">
        <v>0</v>
      </c>
      <c r="W54" s="43">
        <v>0</v>
      </c>
      <c r="X54" s="43">
        <v>0</v>
      </c>
      <c r="Y54" s="43">
        <v>0</v>
      </c>
      <c r="Z54" s="43">
        <v>0</v>
      </c>
      <c r="AA54" s="43">
        <v>0</v>
      </c>
      <c r="AB54" s="43">
        <v>0</v>
      </c>
      <c r="AC54" s="43">
        <v>0</v>
      </c>
      <c r="AD54" s="43">
        <v>0</v>
      </c>
      <c r="AE54" s="43">
        <v>0</v>
      </c>
    </row>
    <row r="55" spans="2:31" x14ac:dyDescent="0.3">
      <c r="B55" s="24" t="s">
        <v>191</v>
      </c>
      <c r="C55" s="24" t="s">
        <v>158</v>
      </c>
      <c r="D55" s="24" t="s">
        <v>139</v>
      </c>
      <c r="E55" s="24" t="s">
        <v>178</v>
      </c>
      <c r="F55" s="43">
        <v>0</v>
      </c>
      <c r="G55" s="43">
        <v>0</v>
      </c>
      <c r="H55" s="43">
        <v>0</v>
      </c>
      <c r="I55" s="43">
        <v>0</v>
      </c>
      <c r="J55" s="43">
        <v>0</v>
      </c>
      <c r="K55" s="43">
        <v>0</v>
      </c>
      <c r="L55" s="43">
        <v>0</v>
      </c>
      <c r="M55" s="43">
        <v>0</v>
      </c>
      <c r="N55" s="43">
        <v>0</v>
      </c>
      <c r="O55" s="43">
        <v>0</v>
      </c>
      <c r="P55" s="43">
        <v>0</v>
      </c>
      <c r="Q55" s="43">
        <v>0</v>
      </c>
      <c r="R55" s="43">
        <v>0</v>
      </c>
      <c r="S55" s="43">
        <v>0</v>
      </c>
      <c r="T55" s="43">
        <v>0</v>
      </c>
      <c r="U55" s="43">
        <v>0</v>
      </c>
      <c r="V55" s="43">
        <v>0</v>
      </c>
      <c r="W55" s="43">
        <v>0</v>
      </c>
      <c r="X55" s="43">
        <v>0</v>
      </c>
      <c r="Y55" s="43">
        <v>0</v>
      </c>
      <c r="Z55" s="43">
        <v>0</v>
      </c>
      <c r="AA55" s="43">
        <v>0</v>
      </c>
      <c r="AB55" s="43">
        <v>0</v>
      </c>
      <c r="AC55" s="43">
        <v>0</v>
      </c>
      <c r="AD55" s="43">
        <v>0</v>
      </c>
      <c r="AE55" s="43">
        <v>0</v>
      </c>
    </row>
    <row r="56" spans="2:31" x14ac:dyDescent="0.3">
      <c r="B56" s="24" t="s">
        <v>192</v>
      </c>
      <c r="C56" s="24" t="s">
        <v>36</v>
      </c>
      <c r="D56" s="24" t="s">
        <v>93</v>
      </c>
      <c r="E56" s="24" t="s">
        <v>179</v>
      </c>
      <c r="F56" s="43">
        <v>3.9241308896493668E-3</v>
      </c>
      <c r="G56" s="43">
        <v>3.9241308896493668E-3</v>
      </c>
      <c r="H56" s="43">
        <v>3.9241308896493668E-3</v>
      </c>
      <c r="I56" s="43">
        <v>3.9241308896493668E-3</v>
      </c>
      <c r="J56" s="43">
        <v>3.9241308896493668E-3</v>
      </c>
      <c r="K56" s="43">
        <v>3.9241308896493668E-3</v>
      </c>
      <c r="L56" s="43">
        <v>3.9241308896493668E-3</v>
      </c>
      <c r="M56" s="43">
        <v>3.9241308896493668E-3</v>
      </c>
      <c r="N56" s="43">
        <v>3.9241308896493668E-3</v>
      </c>
      <c r="O56" s="43">
        <v>3.9241308896493668E-3</v>
      </c>
      <c r="P56" s="43">
        <v>3.9241308896493668E-3</v>
      </c>
      <c r="Q56" s="43">
        <v>3.9241308896493668E-3</v>
      </c>
      <c r="R56" s="43">
        <v>3.9241308896493668E-3</v>
      </c>
      <c r="S56" s="43">
        <v>3.9241308896493668E-3</v>
      </c>
      <c r="T56" s="43">
        <v>3.9241308896493668E-3</v>
      </c>
      <c r="U56" s="43">
        <v>3.9241308896493668E-3</v>
      </c>
      <c r="V56" s="43">
        <v>3.9241308896493668E-3</v>
      </c>
      <c r="W56" s="43">
        <v>3.9241308896493668E-3</v>
      </c>
      <c r="X56" s="43">
        <v>3.9241308896493668E-3</v>
      </c>
      <c r="Y56" s="43">
        <v>3.9241308896493668E-3</v>
      </c>
      <c r="Z56" s="43">
        <v>3.9241308896493668E-3</v>
      </c>
      <c r="AA56" s="43">
        <v>3.9241308896493668E-3</v>
      </c>
      <c r="AB56" s="43">
        <v>3.9241308896493668E-3</v>
      </c>
      <c r="AC56" s="43">
        <v>3.9241308896493668E-3</v>
      </c>
      <c r="AD56" s="43">
        <v>3.9241308896493668E-3</v>
      </c>
      <c r="AE56" s="43">
        <v>3.9241308896493668E-3</v>
      </c>
    </row>
    <row r="57" spans="2:31" x14ac:dyDescent="0.3">
      <c r="B57" s="24" t="s">
        <v>190</v>
      </c>
      <c r="C57" s="24" t="s">
        <v>37</v>
      </c>
      <c r="D57" s="24" t="s">
        <v>32</v>
      </c>
      <c r="E57" s="24" t="s">
        <v>180</v>
      </c>
      <c r="F57" s="43">
        <v>3.40717185517873E-3</v>
      </c>
      <c r="G57" s="43">
        <v>3.40717185517873E-3</v>
      </c>
      <c r="H57" s="43">
        <v>3.40717185517873E-3</v>
      </c>
      <c r="I57" s="43">
        <v>3.40717185517873E-3</v>
      </c>
      <c r="J57" s="43">
        <v>3.40717185517873E-3</v>
      </c>
      <c r="K57" s="43">
        <v>3.40717185517873E-3</v>
      </c>
      <c r="L57" s="43">
        <v>3.40717185517873E-3</v>
      </c>
      <c r="M57" s="43">
        <v>3.40717185517873E-3</v>
      </c>
      <c r="N57" s="43">
        <v>3.40717185517873E-3</v>
      </c>
      <c r="O57" s="43">
        <v>3.40717185517873E-3</v>
      </c>
      <c r="P57" s="43">
        <v>3.40717185517873E-3</v>
      </c>
      <c r="Q57" s="43">
        <v>3.40717185517873E-3</v>
      </c>
      <c r="R57" s="43">
        <v>3.40717185517873E-3</v>
      </c>
      <c r="S57" s="43">
        <v>3.40717185517873E-3</v>
      </c>
      <c r="T57" s="43">
        <v>3.40717185517873E-3</v>
      </c>
      <c r="U57" s="43">
        <v>3.40717185517873E-3</v>
      </c>
      <c r="V57" s="43">
        <v>3.40717185517873E-3</v>
      </c>
      <c r="W57" s="43">
        <v>3.40717185517873E-3</v>
      </c>
      <c r="X57" s="43">
        <v>3.40717185517873E-3</v>
      </c>
      <c r="Y57" s="43">
        <v>3.40717185517873E-3</v>
      </c>
      <c r="Z57" s="43">
        <v>3.40717185517873E-3</v>
      </c>
      <c r="AA57" s="43">
        <v>3.40717185517873E-3</v>
      </c>
      <c r="AB57" s="43">
        <v>3.40717185517873E-3</v>
      </c>
      <c r="AC57" s="43">
        <v>3.40717185517873E-3</v>
      </c>
      <c r="AD57" s="43">
        <v>3.40717185517873E-3</v>
      </c>
      <c r="AE57" s="43">
        <v>3.40717185517873E-3</v>
      </c>
    </row>
    <row r="58" spans="2:31" x14ac:dyDescent="0.3">
      <c r="B58" s="24" t="s">
        <v>190</v>
      </c>
      <c r="C58" s="24" t="s">
        <v>37</v>
      </c>
      <c r="D58" s="24" t="s">
        <v>15</v>
      </c>
      <c r="E58" s="24" t="s">
        <v>181</v>
      </c>
      <c r="F58" s="43">
        <v>9.4537099999999997E-4</v>
      </c>
      <c r="G58" s="43">
        <v>9.4537099999999997E-4</v>
      </c>
      <c r="H58" s="43">
        <v>9.4537099999999997E-4</v>
      </c>
      <c r="I58" s="43">
        <v>9.4537099999999997E-4</v>
      </c>
      <c r="J58" s="43">
        <v>9.4537099999999997E-4</v>
      </c>
      <c r="K58" s="43">
        <v>9.4537099999999997E-4</v>
      </c>
      <c r="L58" s="43">
        <v>9.4537099999999997E-4</v>
      </c>
      <c r="M58" s="43">
        <v>9.4537099999999997E-4</v>
      </c>
      <c r="N58" s="43">
        <v>9.4537099999999997E-4</v>
      </c>
      <c r="O58" s="43">
        <v>9.4537099999999997E-4</v>
      </c>
      <c r="P58" s="43">
        <v>9.4537099999999997E-4</v>
      </c>
      <c r="Q58" s="43">
        <v>9.4537099999999997E-4</v>
      </c>
      <c r="R58" s="43">
        <v>9.4537099999999997E-4</v>
      </c>
      <c r="S58" s="43">
        <v>9.4537099999999997E-4</v>
      </c>
      <c r="T58" s="43">
        <v>9.4537099999999997E-4</v>
      </c>
      <c r="U58" s="43">
        <v>9.4537099999999997E-4</v>
      </c>
      <c r="V58" s="43">
        <v>9.4537099999999997E-4</v>
      </c>
      <c r="W58" s="43">
        <v>9.4537099999999997E-4</v>
      </c>
      <c r="X58" s="43">
        <v>9.4537099999999997E-4</v>
      </c>
      <c r="Y58" s="43">
        <v>9.4537099999999997E-4</v>
      </c>
      <c r="Z58" s="43">
        <v>9.4537099999999997E-4</v>
      </c>
      <c r="AA58" s="43">
        <v>9.4537099999999997E-4</v>
      </c>
      <c r="AB58" s="43">
        <v>9.4537099999999997E-4</v>
      </c>
      <c r="AC58" s="43">
        <v>9.4537099999999997E-4</v>
      </c>
      <c r="AD58" s="43">
        <v>9.4537099999999997E-4</v>
      </c>
      <c r="AE58" s="43">
        <v>9.4537099999999997E-4</v>
      </c>
    </row>
  </sheetData>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0C9D1-8A9C-43A9-ABE1-6ADF7F402EEF}">
  <dimension ref="R4:S8"/>
  <sheetViews>
    <sheetView tabSelected="1" topLeftCell="Q1" workbookViewId="0">
      <selection activeCell="Y18" sqref="Y18"/>
    </sheetView>
  </sheetViews>
  <sheetFormatPr baseColWidth="10" defaultColWidth="8.88671875" defaultRowHeight="14.4" x14ac:dyDescent="0.3"/>
  <sheetData>
    <row r="4" spans="18:19" ht="15" thickBot="1" x14ac:dyDescent="0.35"/>
    <row r="5" spans="18:19" ht="15" thickBot="1" x14ac:dyDescent="0.35">
      <c r="R5" s="49" t="s">
        <v>47</v>
      </c>
      <c r="S5" s="50" t="s">
        <v>195</v>
      </c>
    </row>
    <row r="6" spans="18:19" x14ac:dyDescent="0.3">
      <c r="R6" s="1" t="s">
        <v>45</v>
      </c>
      <c r="S6" s="2">
        <v>1</v>
      </c>
    </row>
    <row r="7" spans="18:19" x14ac:dyDescent="0.3">
      <c r="R7" s="1" t="s">
        <v>44</v>
      </c>
      <c r="S7" s="2">
        <v>28</v>
      </c>
    </row>
    <row r="8" spans="18:19" ht="15" thickBot="1" x14ac:dyDescent="0.35">
      <c r="R8" s="3" t="s">
        <v>46</v>
      </c>
      <c r="S8" s="4">
        <v>265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8F814574E960A4499025803604D4DF4" ma:contentTypeVersion="9" ma:contentTypeDescription="Crear nuevo documento." ma:contentTypeScope="" ma:versionID="613b0908c48a25395136f5b5d1e9264a">
  <xsd:schema xmlns:xsd="http://www.w3.org/2001/XMLSchema" xmlns:xs="http://www.w3.org/2001/XMLSchema" xmlns:p="http://schemas.microsoft.com/office/2006/metadata/properties" xmlns:ns2="4b2ff61d-e0c4-454b-ba72-44cf85c32a41" targetNamespace="http://schemas.microsoft.com/office/2006/metadata/properties" ma:root="true" ma:fieldsID="f5652efc65d8021725ff526b59607fd6"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6BB5CA-6264-4F56-A268-F06D6FE4C99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02622CB-A9A9-4DFF-A560-E306CF1F0BEC}">
  <ds:schemaRefs>
    <ds:schemaRef ds:uri="http://schemas.microsoft.com/sharepoint/v3/contenttype/forms"/>
  </ds:schemaRefs>
</ds:datastoreItem>
</file>

<file path=customXml/itemProps3.xml><?xml version="1.0" encoding="utf-8"?>
<ds:datastoreItem xmlns:ds="http://schemas.openxmlformats.org/officeDocument/2006/customXml" ds:itemID="{86C6E554-66B1-4398-AA8A-D50C72ABC0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ff61d-e0c4-454b-ba72-44cf85c32a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Contenido</vt:lpstr>
      <vt:lpstr>Demandas_PJ</vt:lpstr>
      <vt:lpstr>Generación_PJ</vt:lpstr>
      <vt:lpstr>Proyectos_Plantas</vt:lpstr>
      <vt:lpstr>Capacidad_GW</vt:lpstr>
      <vt:lpstr>Producción_Fósil_PJ</vt:lpstr>
      <vt:lpstr>Refinerías_PJ</vt:lpstr>
      <vt:lpstr>FP</vt:lpstr>
      <vt:lpstr>FE</vt:lpstr>
      <vt:lpstr>PCG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Susana Solorzano Jiménez</dc:creator>
  <cp:lastModifiedBy>Yoselyn Seas Jiménez</cp:lastModifiedBy>
  <dcterms:created xsi:type="dcterms:W3CDTF">2024-12-02T17:04:18Z</dcterms:created>
  <dcterms:modified xsi:type="dcterms:W3CDTF">2025-02-26T02:14:09Z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ies>
</file>