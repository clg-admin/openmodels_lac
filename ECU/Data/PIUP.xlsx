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02_Data/PIUP/0_Hoja de calculo final/"/>
    </mc:Choice>
  </mc:AlternateContent>
  <xr:revisionPtr revIDLastSave="2984" documentId="11_F0D1C7B13F7141B3488BEC0E2235652F16B28D6E" xr6:coauthVersionLast="47" xr6:coauthVersionMax="47" xr10:uidLastSave="{77AE7404-EFA9-4309-880D-6177D7693935}"/>
  <bookViews>
    <workbookView xWindow="28680" yWindow="-45" windowWidth="29040" windowHeight="15720" tabRatio="693" activeTab="2" xr2:uid="{00000000-000D-0000-FFFF-FFFF00000000}"/>
  </bookViews>
  <sheets>
    <sheet name="Indice" sheetId="13" r:id="rId1"/>
    <sheet name="Metas" sheetId="10" r:id="rId2"/>
    <sheet name="Act_Cemento_Otros_PIUP_sinHFC" sheetId="4" r:id="rId3"/>
    <sheet name="Act_HFC" sheetId="12" r:id="rId4"/>
    <sheet name="Act_5CN_OtrosPIUP" sheetId="2" r:id="rId5"/>
    <sheet name="Otras_CementoMiscelanea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4" l="1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H97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I85" i="4"/>
  <c r="J85" i="4"/>
  <c r="K85" i="4"/>
  <c r="L85" i="4"/>
  <c r="M85" i="4"/>
  <c r="N85" i="4"/>
  <c r="O85" i="4"/>
  <c r="P85" i="4"/>
  <c r="H85" i="4"/>
  <c r="R37" i="4"/>
  <c r="S37" i="4"/>
  <c r="T37" i="4"/>
  <c r="Q37" i="4"/>
  <c r="J25" i="3" l="1"/>
  <c r="P94" i="4"/>
  <c r="P103" i="4" s="1"/>
  <c r="P108" i="4" s="1"/>
  <c r="P93" i="4" l="1"/>
  <c r="P102" i="4" s="1"/>
  <c r="P107" i="4" s="1"/>
  <c r="G12" i="3" l="1"/>
  <c r="H12" i="3"/>
  <c r="I12" i="3"/>
  <c r="J12" i="3"/>
  <c r="K12" i="3"/>
  <c r="L12" i="3"/>
  <c r="M12" i="3"/>
  <c r="N12" i="3"/>
  <c r="F12" i="3"/>
  <c r="I58" i="4" l="1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H58" i="4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E48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F28" i="2"/>
  <c r="G28" i="2"/>
  <c r="H28" i="2"/>
  <c r="I28" i="2"/>
  <c r="J28" i="2"/>
  <c r="K28" i="2"/>
  <c r="L28" i="2"/>
  <c r="M28" i="2"/>
  <c r="N28" i="2"/>
  <c r="O28" i="2"/>
  <c r="P28" i="2"/>
  <c r="Q28" i="2"/>
  <c r="F29" i="2"/>
  <c r="G29" i="2"/>
  <c r="H29" i="2"/>
  <c r="I29" i="2"/>
  <c r="J29" i="2"/>
  <c r="K29" i="2"/>
  <c r="L29" i="2"/>
  <c r="M29" i="2"/>
  <c r="N29" i="2"/>
  <c r="O29" i="2"/>
  <c r="P29" i="2"/>
  <c r="Q29" i="2"/>
  <c r="E29" i="2"/>
  <c r="G20" i="12" l="1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F20" i="12"/>
  <c r="AB41" i="10" l="1"/>
  <c r="AB45" i="10"/>
  <c r="W41" i="10"/>
  <c r="W45" i="10"/>
  <c r="Y45" i="10"/>
  <c r="Y41" i="10"/>
  <c r="Z41" i="10"/>
  <c r="Z45" i="10"/>
  <c r="AA45" i="10"/>
  <c r="AA41" i="10"/>
  <c r="X45" i="10"/>
  <c r="X41" i="10"/>
  <c r="Q45" i="10"/>
  <c r="Q41" i="10"/>
  <c r="P41" i="10"/>
  <c r="P45" i="10"/>
  <c r="V41" i="10"/>
  <c r="V45" i="10"/>
  <c r="U41" i="10"/>
  <c r="U45" i="10"/>
  <c r="T41" i="10"/>
  <c r="T45" i="10"/>
  <c r="S45" i="10"/>
  <c r="S41" i="10"/>
  <c r="R45" i="10"/>
  <c r="R41" i="10"/>
  <c r="G45" i="10"/>
  <c r="G41" i="10"/>
  <c r="I41" i="10"/>
  <c r="I45" i="10"/>
  <c r="H41" i="10"/>
  <c r="H45" i="10"/>
  <c r="F41" i="10"/>
  <c r="F45" i="10"/>
  <c r="O45" i="10"/>
  <c r="O41" i="10"/>
  <c r="M41" i="10"/>
  <c r="M45" i="10"/>
  <c r="E41" i="10"/>
  <c r="E45" i="10"/>
  <c r="N41" i="10"/>
  <c r="N45" i="10"/>
  <c r="L45" i="10"/>
  <c r="L41" i="10"/>
  <c r="D41" i="10"/>
  <c r="D45" i="10"/>
  <c r="K41" i="10"/>
  <c r="K45" i="10"/>
  <c r="C41" i="10"/>
  <c r="C45" i="10"/>
  <c r="J45" i="10"/>
  <c r="J41" i="10"/>
  <c r="G8" i="12"/>
  <c r="H8" i="12"/>
  <c r="I8" i="12"/>
  <c r="J8" i="12"/>
  <c r="K8" i="12"/>
  <c r="L8" i="12"/>
  <c r="M8" i="12"/>
  <c r="N8" i="12"/>
  <c r="O8" i="12"/>
  <c r="P8" i="12"/>
  <c r="Q8" i="12"/>
  <c r="F8" i="12"/>
  <c r="AE19" i="12"/>
  <c r="AB37" i="10" s="1"/>
  <c r="AD19" i="12"/>
  <c r="AA37" i="10" s="1"/>
  <c r="AC19" i="12"/>
  <c r="Z37" i="10" s="1"/>
  <c r="AB19" i="12"/>
  <c r="Y37" i="10" s="1"/>
  <c r="AA19" i="12"/>
  <c r="X37" i="10" s="1"/>
  <c r="Z19" i="12"/>
  <c r="W37" i="10" s="1"/>
  <c r="Y19" i="12"/>
  <c r="V37" i="10" s="1"/>
  <c r="X19" i="12"/>
  <c r="U37" i="10" s="1"/>
  <c r="W19" i="12"/>
  <c r="T37" i="10" s="1"/>
  <c r="V19" i="12"/>
  <c r="S37" i="10" s="1"/>
  <c r="U19" i="12"/>
  <c r="R37" i="10" s="1"/>
  <c r="T19" i="12"/>
  <c r="Q37" i="10" s="1"/>
  <c r="S19" i="12"/>
  <c r="P37" i="10" s="1"/>
  <c r="R19" i="12"/>
  <c r="O37" i="10" s="1"/>
  <c r="Q19" i="12"/>
  <c r="N37" i="10" s="1"/>
  <c r="P19" i="12"/>
  <c r="M37" i="10" s="1"/>
  <c r="O19" i="12"/>
  <c r="L37" i="10" s="1"/>
  <c r="N19" i="12"/>
  <c r="K37" i="10" s="1"/>
  <c r="M19" i="12"/>
  <c r="J37" i="10" s="1"/>
  <c r="L19" i="12"/>
  <c r="I37" i="10" s="1"/>
  <c r="K19" i="12"/>
  <c r="H37" i="10" s="1"/>
  <c r="J19" i="12"/>
  <c r="G37" i="10" s="1"/>
  <c r="I19" i="12"/>
  <c r="F37" i="10" s="1"/>
  <c r="H19" i="12"/>
  <c r="E37" i="10" s="1"/>
  <c r="G19" i="12"/>
  <c r="D37" i="10" s="1"/>
  <c r="F19" i="12"/>
  <c r="C37" i="10" s="1"/>
  <c r="Q9" i="12" l="1"/>
  <c r="D44" i="10" l="1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C44" i="10"/>
  <c r="C40" i="10"/>
  <c r="C36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C15" i="10"/>
  <c r="C12" i="10"/>
  <c r="C9" i="10"/>
  <c r="H37" i="4" l="1"/>
  <c r="F20" i="3"/>
  <c r="P37" i="4" l="1"/>
  <c r="O37" i="4"/>
  <c r="N37" i="4"/>
  <c r="M37" i="4"/>
  <c r="L37" i="4"/>
  <c r="K37" i="4"/>
  <c r="J37" i="4"/>
  <c r="I37" i="4"/>
  <c r="F25" i="3"/>
  <c r="T29" i="3"/>
  <c r="U29" i="3"/>
  <c r="V29" i="3"/>
  <c r="W29" i="3"/>
  <c r="X29" i="3"/>
  <c r="Y29" i="3"/>
  <c r="Z29" i="3"/>
  <c r="AA29" i="3"/>
  <c r="AB29" i="3"/>
  <c r="AC29" i="3"/>
  <c r="AD29" i="3"/>
  <c r="AE29" i="3"/>
  <c r="S29" i="3"/>
  <c r="R29" i="3"/>
  <c r="N76" i="4" l="1"/>
  <c r="R76" i="4"/>
  <c r="K76" i="4"/>
  <c r="S76" i="4"/>
  <c r="H76" i="4"/>
  <c r="I76" i="4"/>
  <c r="J76" i="4"/>
  <c r="O76" i="4"/>
  <c r="L76" i="4"/>
  <c r="R78" i="4" l="1"/>
  <c r="R77" i="4"/>
  <c r="R6" i="4"/>
  <c r="R79" i="4"/>
  <c r="L77" i="4"/>
  <c r="L7" i="4" s="1"/>
  <c r="L78" i="4"/>
  <c r="L79" i="4"/>
  <c r="L6" i="4"/>
  <c r="S6" i="4"/>
  <c r="S78" i="4"/>
  <c r="S77" i="4"/>
  <c r="S79" i="4"/>
  <c r="K77" i="4"/>
  <c r="K7" i="4" s="1"/>
  <c r="K6" i="4"/>
  <c r="K79" i="4"/>
  <c r="K78" i="4"/>
  <c r="O77" i="4"/>
  <c r="O7" i="4" s="1"/>
  <c r="O6" i="4"/>
  <c r="O79" i="4"/>
  <c r="O78" i="4"/>
  <c r="J79" i="4"/>
  <c r="J78" i="4"/>
  <c r="J6" i="4"/>
  <c r="J77" i="4"/>
  <c r="J7" i="4" s="1"/>
  <c r="I78" i="4"/>
  <c r="I79" i="4"/>
  <c r="I6" i="4"/>
  <c r="I77" i="4"/>
  <c r="I7" i="4" s="1"/>
  <c r="H6" i="4"/>
  <c r="H79" i="4"/>
  <c r="H68" i="4" s="1"/>
  <c r="H78" i="4"/>
  <c r="H67" i="4" s="1"/>
  <c r="H77" i="4"/>
  <c r="N77" i="4"/>
  <c r="N7" i="4" s="1"/>
  <c r="N6" i="4"/>
  <c r="N78" i="4"/>
  <c r="N79" i="4"/>
  <c r="M76" i="4"/>
  <c r="T76" i="4"/>
  <c r="T6" i="4" s="1"/>
  <c r="P76" i="4"/>
  <c r="S68" i="4" l="1"/>
  <c r="S9" i="4"/>
  <c r="S67" i="4"/>
  <c r="S8" i="4"/>
  <c r="S66" i="4"/>
  <c r="S38" i="4" s="1"/>
  <c r="S7" i="4"/>
  <c r="R68" i="4"/>
  <c r="R40" i="4" s="1"/>
  <c r="R29" i="4" s="1"/>
  <c r="R9" i="4"/>
  <c r="R66" i="4"/>
  <c r="R38" i="4" s="1"/>
  <c r="R7" i="4"/>
  <c r="R67" i="4"/>
  <c r="R8" i="4"/>
  <c r="H9" i="4"/>
  <c r="C43" i="10"/>
  <c r="C42" i="10" s="1"/>
  <c r="J67" i="4"/>
  <c r="J39" i="4" s="1"/>
  <c r="J50" i="4" s="1"/>
  <c r="J88" i="4" s="1"/>
  <c r="J93" i="4" s="1"/>
  <c r="J102" i="4" s="1"/>
  <c r="J107" i="4" s="1"/>
  <c r="J8" i="4"/>
  <c r="J13" i="4" s="1"/>
  <c r="L9" i="4"/>
  <c r="L68" i="4"/>
  <c r="L40" i="4" s="1"/>
  <c r="L51" i="4" s="1"/>
  <c r="L89" i="4" s="1"/>
  <c r="L94" i="4" s="1"/>
  <c r="L103" i="4" s="1"/>
  <c r="L108" i="4" s="1"/>
  <c r="J68" i="4"/>
  <c r="J40" i="4" s="1"/>
  <c r="J51" i="4" s="1"/>
  <c r="J89" i="4" s="1"/>
  <c r="J94" i="4" s="1"/>
  <c r="J103" i="4" s="1"/>
  <c r="J108" i="4" s="1"/>
  <c r="J9" i="4"/>
  <c r="L8" i="4"/>
  <c r="L67" i="4"/>
  <c r="N67" i="4"/>
  <c r="N39" i="4" s="1"/>
  <c r="N50" i="4" s="1"/>
  <c r="N88" i="4" s="1"/>
  <c r="N93" i="4" s="1"/>
  <c r="N102" i="4" s="1"/>
  <c r="N107" i="4" s="1"/>
  <c r="N8" i="4"/>
  <c r="N13" i="4" s="1"/>
  <c r="O68" i="4"/>
  <c r="O9" i="4"/>
  <c r="L66" i="4"/>
  <c r="L38" i="4" s="1"/>
  <c r="L49" i="4" s="1"/>
  <c r="L87" i="4" s="1"/>
  <c r="L92" i="4" s="1"/>
  <c r="L101" i="4" s="1"/>
  <c r="L106" i="4" s="1"/>
  <c r="I9" i="4"/>
  <c r="I14" i="4" s="1"/>
  <c r="I68" i="4"/>
  <c r="I40" i="4" s="1"/>
  <c r="I51" i="4" s="1"/>
  <c r="I89" i="4" s="1"/>
  <c r="I94" i="4" s="1"/>
  <c r="I103" i="4" s="1"/>
  <c r="I108" i="4" s="1"/>
  <c r="P6" i="4"/>
  <c r="P79" i="4"/>
  <c r="P77" i="4"/>
  <c r="P7" i="4" s="1"/>
  <c r="P78" i="4"/>
  <c r="T79" i="4"/>
  <c r="T78" i="4"/>
  <c r="T77" i="4"/>
  <c r="I8" i="4"/>
  <c r="I67" i="4"/>
  <c r="I39" i="4" s="1"/>
  <c r="I50" i="4" s="1"/>
  <c r="I88" i="4" s="1"/>
  <c r="I93" i="4" s="1"/>
  <c r="I102" i="4" s="1"/>
  <c r="I107" i="4" s="1"/>
  <c r="O67" i="4"/>
  <c r="O39" i="4" s="1"/>
  <c r="O50" i="4" s="1"/>
  <c r="O88" i="4" s="1"/>
  <c r="O93" i="4" s="1"/>
  <c r="O102" i="4" s="1"/>
  <c r="O107" i="4" s="1"/>
  <c r="O8" i="4"/>
  <c r="O13" i="4" s="1"/>
  <c r="M78" i="4"/>
  <c r="M79" i="4"/>
  <c r="M6" i="4"/>
  <c r="M77" i="4"/>
  <c r="M7" i="4" s="1"/>
  <c r="K67" i="4"/>
  <c r="K8" i="4"/>
  <c r="K13" i="4" s="1"/>
  <c r="N68" i="4"/>
  <c r="N40" i="4" s="1"/>
  <c r="N51" i="4" s="1"/>
  <c r="N89" i="4" s="1"/>
  <c r="N94" i="4" s="1"/>
  <c r="N103" i="4" s="1"/>
  <c r="N108" i="4" s="1"/>
  <c r="N9" i="4"/>
  <c r="H39" i="4"/>
  <c r="H50" i="4" s="1"/>
  <c r="H88" i="4" s="1"/>
  <c r="H93" i="4" s="1"/>
  <c r="H102" i="4" s="1"/>
  <c r="H107" i="4" s="1"/>
  <c r="H8" i="4"/>
  <c r="K9" i="4"/>
  <c r="K14" i="4" s="1"/>
  <c r="K68" i="4"/>
  <c r="K40" i="4" s="1"/>
  <c r="K51" i="4" s="1"/>
  <c r="K89" i="4" s="1"/>
  <c r="K94" i="4" s="1"/>
  <c r="K103" i="4" s="1"/>
  <c r="K108" i="4" s="1"/>
  <c r="M43" i="10"/>
  <c r="M42" i="10" s="1"/>
  <c r="M14" i="10"/>
  <c r="M13" i="10" s="1"/>
  <c r="G14" i="10"/>
  <c r="G13" i="10" s="1"/>
  <c r="N66" i="4"/>
  <c r="N38" i="4" s="1"/>
  <c r="N49" i="4" s="1"/>
  <c r="N87" i="4" s="1"/>
  <c r="N92" i="4" s="1"/>
  <c r="N101" i="4" s="1"/>
  <c r="N106" i="4" s="1"/>
  <c r="J66" i="4"/>
  <c r="J38" i="4" s="1"/>
  <c r="J49" i="4" s="1"/>
  <c r="J87" i="4" s="1"/>
  <c r="J92" i="4" s="1"/>
  <c r="J101" i="4" s="1"/>
  <c r="J106" i="4" s="1"/>
  <c r="K66" i="4"/>
  <c r="K38" i="4" s="1"/>
  <c r="K49" i="4" s="1"/>
  <c r="K87" i="4" s="1"/>
  <c r="K92" i="4" s="1"/>
  <c r="K101" i="4" s="1"/>
  <c r="K106" i="4" s="1"/>
  <c r="G43" i="10"/>
  <c r="G42" i="10" s="1"/>
  <c r="E14" i="10"/>
  <c r="E13" i="10" s="1"/>
  <c r="I66" i="4"/>
  <c r="I38" i="4" s="1"/>
  <c r="I49" i="4" s="1"/>
  <c r="I87" i="4" s="1"/>
  <c r="I92" i="4" s="1"/>
  <c r="I101" i="4" s="1"/>
  <c r="I106" i="4" s="1"/>
  <c r="O66" i="4"/>
  <c r="O38" i="4" s="1"/>
  <c r="O49" i="4" s="1"/>
  <c r="O87" i="4" s="1"/>
  <c r="O92" i="4" s="1"/>
  <c r="O101" i="4" s="1"/>
  <c r="O106" i="4" s="1"/>
  <c r="L14" i="4"/>
  <c r="S14" i="4"/>
  <c r="N8" i="10"/>
  <c r="N7" i="10" s="1"/>
  <c r="N35" i="10"/>
  <c r="N34" i="10" s="1"/>
  <c r="L13" i="4"/>
  <c r="O14" i="4"/>
  <c r="J14" i="4"/>
  <c r="N14" i="4"/>
  <c r="I13" i="4"/>
  <c r="S13" i="4"/>
  <c r="G20" i="3"/>
  <c r="H20" i="3"/>
  <c r="I20" i="3"/>
  <c r="J20" i="3"/>
  <c r="K20" i="3"/>
  <c r="L20" i="3"/>
  <c r="M20" i="3"/>
  <c r="N20" i="3"/>
  <c r="T68" i="4" l="1"/>
  <c r="T40" i="4" s="1"/>
  <c r="T29" i="4" s="1"/>
  <c r="T9" i="4"/>
  <c r="S39" i="4"/>
  <c r="S28" i="4" s="1"/>
  <c r="N11" i="10"/>
  <c r="N10" i="10" s="1"/>
  <c r="N39" i="10"/>
  <c r="N38" i="10" s="1"/>
  <c r="N50" i="10" s="1"/>
  <c r="E43" i="10"/>
  <c r="E42" i="10" s="1"/>
  <c r="D14" i="10"/>
  <c r="D13" i="10" s="1"/>
  <c r="R14" i="4"/>
  <c r="T67" i="4"/>
  <c r="T39" i="4" s="1"/>
  <c r="T28" i="4" s="1"/>
  <c r="T8" i="4"/>
  <c r="I14" i="10"/>
  <c r="I13" i="10" s="1"/>
  <c r="I43" i="10"/>
  <c r="I42" i="10" s="1"/>
  <c r="N14" i="10"/>
  <c r="N13" i="10" s="1"/>
  <c r="N21" i="10" s="1"/>
  <c r="S40" i="4"/>
  <c r="S29" i="4" s="1"/>
  <c r="N43" i="10"/>
  <c r="N42" i="10" s="1"/>
  <c r="N51" i="10" s="1"/>
  <c r="R13" i="4"/>
  <c r="I8" i="10"/>
  <c r="I7" i="10" s="1"/>
  <c r="I35" i="10"/>
  <c r="I34" i="10" s="1"/>
  <c r="M8" i="10"/>
  <c r="M7" i="10" s="1"/>
  <c r="M35" i="10"/>
  <c r="M34" i="10" s="1"/>
  <c r="M57" i="10" s="1"/>
  <c r="J35" i="10"/>
  <c r="J34" i="10" s="1"/>
  <c r="T66" i="4"/>
  <c r="O8" i="10" s="1"/>
  <c r="O7" i="10" s="1"/>
  <c r="T7" i="4"/>
  <c r="T14" i="4" s="1"/>
  <c r="G35" i="10"/>
  <c r="G34" i="10" s="1"/>
  <c r="G50" i="10" s="1"/>
  <c r="G8" i="10"/>
  <c r="G7" i="10" s="1"/>
  <c r="F8" i="10"/>
  <c r="F7" i="10" s="1"/>
  <c r="R39" i="4"/>
  <c r="R28" i="4" s="1"/>
  <c r="M11" i="10"/>
  <c r="M10" i="10" s="1"/>
  <c r="M20" i="10" s="1"/>
  <c r="M39" i="10"/>
  <c r="M38" i="10" s="1"/>
  <c r="M56" i="10" s="1"/>
  <c r="J8" i="10"/>
  <c r="J7" i="10" s="1"/>
  <c r="F35" i="10"/>
  <c r="F34" i="10" s="1"/>
  <c r="D11" i="10"/>
  <c r="D10" i="10" s="1"/>
  <c r="G27" i="10"/>
  <c r="K39" i="4"/>
  <c r="K50" i="4" s="1"/>
  <c r="K88" i="4" s="1"/>
  <c r="K93" i="4" s="1"/>
  <c r="K102" i="4" s="1"/>
  <c r="K107" i="4" s="1"/>
  <c r="F11" i="10"/>
  <c r="F10" i="10" s="1"/>
  <c r="F39" i="10"/>
  <c r="F38" i="10" s="1"/>
  <c r="P9" i="4"/>
  <c r="P68" i="4"/>
  <c r="P40" i="4" s="1"/>
  <c r="H40" i="4"/>
  <c r="H51" i="4" s="1"/>
  <c r="H89" i="4" s="1"/>
  <c r="H94" i="4" s="1"/>
  <c r="H103" i="4" s="1"/>
  <c r="H108" i="4" s="1"/>
  <c r="C14" i="10"/>
  <c r="C13" i="10" s="1"/>
  <c r="L39" i="4"/>
  <c r="L50" i="4" s="1"/>
  <c r="L88" i="4" s="1"/>
  <c r="L93" i="4" s="1"/>
  <c r="L102" i="4" s="1"/>
  <c r="L107" i="4" s="1"/>
  <c r="G39" i="10"/>
  <c r="G38" i="10" s="1"/>
  <c r="G11" i="10"/>
  <c r="G10" i="10" s="1"/>
  <c r="G26" i="10" s="1"/>
  <c r="F43" i="10"/>
  <c r="F42" i="10" s="1"/>
  <c r="D43" i="10"/>
  <c r="D42" i="10" s="1"/>
  <c r="M68" i="4"/>
  <c r="M40" i="4" s="1"/>
  <c r="M51" i="4" s="1"/>
  <c r="M89" i="4" s="1"/>
  <c r="M94" i="4" s="1"/>
  <c r="M103" i="4" s="1"/>
  <c r="M108" i="4" s="1"/>
  <c r="M9" i="4"/>
  <c r="M14" i="4" s="1"/>
  <c r="M67" i="4"/>
  <c r="M39" i="4" s="1"/>
  <c r="M50" i="4" s="1"/>
  <c r="M88" i="4" s="1"/>
  <c r="M93" i="4" s="1"/>
  <c r="M102" i="4" s="1"/>
  <c r="M107" i="4" s="1"/>
  <c r="M8" i="4"/>
  <c r="M13" i="4" s="1"/>
  <c r="F14" i="10"/>
  <c r="F13" i="10" s="1"/>
  <c r="D39" i="10"/>
  <c r="D38" i="10" s="1"/>
  <c r="P67" i="4"/>
  <c r="P39" i="4" s="1"/>
  <c r="P8" i="4"/>
  <c r="O40" i="4"/>
  <c r="O51" i="4" s="1"/>
  <c r="O89" i="4" s="1"/>
  <c r="O94" i="4" s="1"/>
  <c r="O103" i="4" s="1"/>
  <c r="O108" i="4" s="1"/>
  <c r="J14" i="10"/>
  <c r="J13" i="10" s="1"/>
  <c r="J43" i="10"/>
  <c r="J42" i="10" s="1"/>
  <c r="D8" i="10"/>
  <c r="D7" i="10" s="1"/>
  <c r="D35" i="10"/>
  <c r="D34" i="10" s="1"/>
  <c r="E8" i="10"/>
  <c r="E7" i="10" s="1"/>
  <c r="E27" i="10" s="1"/>
  <c r="E35" i="10"/>
  <c r="E34" i="10" s="1"/>
  <c r="I27" i="10"/>
  <c r="M66" i="4"/>
  <c r="M38" i="4" s="1"/>
  <c r="M49" i="4" s="1"/>
  <c r="M87" i="4" s="1"/>
  <c r="M92" i="4" s="1"/>
  <c r="M101" i="4" s="1"/>
  <c r="M106" i="4" s="1"/>
  <c r="O14" i="10"/>
  <c r="O13" i="10" s="1"/>
  <c r="O43" i="10"/>
  <c r="O42" i="10" s="1"/>
  <c r="I39" i="10"/>
  <c r="I38" i="10" s="1"/>
  <c r="I50" i="10" s="1"/>
  <c r="I11" i="10"/>
  <c r="I10" i="10" s="1"/>
  <c r="I26" i="10" s="1"/>
  <c r="J11" i="10"/>
  <c r="J10" i="10" s="1"/>
  <c r="J39" i="10"/>
  <c r="J38" i="10" s="1"/>
  <c r="C39" i="10"/>
  <c r="C38" i="10" s="1"/>
  <c r="C11" i="10"/>
  <c r="C10" i="10" s="1"/>
  <c r="E39" i="10"/>
  <c r="E38" i="10" s="1"/>
  <c r="E11" i="10"/>
  <c r="E10" i="10" s="1"/>
  <c r="M51" i="10"/>
  <c r="O35" i="10"/>
  <c r="O34" i="10" s="1"/>
  <c r="G25" i="3"/>
  <c r="H25" i="3"/>
  <c r="N25" i="3"/>
  <c r="I25" i="3"/>
  <c r="M25" i="3"/>
  <c r="L25" i="3"/>
  <c r="K25" i="3"/>
  <c r="M27" i="10"/>
  <c r="M21" i="10"/>
  <c r="G21" i="10"/>
  <c r="D26" i="10"/>
  <c r="I21" i="10"/>
  <c r="N26" i="10"/>
  <c r="N20" i="10"/>
  <c r="I51" i="10"/>
  <c r="F93" i="2"/>
  <c r="G93" i="2"/>
  <c r="H93" i="2"/>
  <c r="I93" i="2"/>
  <c r="J93" i="2"/>
  <c r="K93" i="2"/>
  <c r="L93" i="2"/>
  <c r="M93" i="2"/>
  <c r="E9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S79" i="2"/>
  <c r="T79" i="2"/>
  <c r="U79" i="2"/>
  <c r="V79" i="2"/>
  <c r="W79" i="2"/>
  <c r="X79" i="2"/>
  <c r="Y79" i="2"/>
  <c r="Z79" i="2"/>
  <c r="AA79" i="2"/>
  <c r="AB79" i="2"/>
  <c r="AC79" i="2"/>
  <c r="AD79" i="2"/>
  <c r="R79" i="2"/>
  <c r="S55" i="2"/>
  <c r="T55" i="2"/>
  <c r="U55" i="2"/>
  <c r="V55" i="2"/>
  <c r="W55" i="2"/>
  <c r="X55" i="2"/>
  <c r="Y55" i="2"/>
  <c r="Z55" i="2"/>
  <c r="AA55" i="2"/>
  <c r="AB55" i="2"/>
  <c r="AC55" i="2"/>
  <c r="AD55" i="2"/>
  <c r="R55" i="2"/>
  <c r="S69" i="2"/>
  <c r="T69" i="2"/>
  <c r="U69" i="2"/>
  <c r="V69" i="2"/>
  <c r="W69" i="2"/>
  <c r="X69" i="2"/>
  <c r="Y69" i="2"/>
  <c r="Z69" i="2"/>
  <c r="AA69" i="2"/>
  <c r="AB69" i="2"/>
  <c r="AC69" i="2"/>
  <c r="AD69" i="2"/>
  <c r="R69" i="2"/>
  <c r="F69" i="2"/>
  <c r="G69" i="2"/>
  <c r="H69" i="2"/>
  <c r="I69" i="2"/>
  <c r="J69" i="2"/>
  <c r="K69" i="2"/>
  <c r="L69" i="2"/>
  <c r="M69" i="2"/>
  <c r="E69" i="2"/>
  <c r="Q79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L45" i="2"/>
  <c r="J45" i="2"/>
  <c r="H45" i="2"/>
  <c r="F45" i="2"/>
  <c r="Q55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E52" i="2"/>
  <c r="G57" i="10" l="1"/>
  <c r="E51" i="10"/>
  <c r="G51" i="10"/>
  <c r="D56" i="10"/>
  <c r="G56" i="10"/>
  <c r="E26" i="10"/>
  <c r="N57" i="10"/>
  <c r="N27" i="10"/>
  <c r="D27" i="10"/>
  <c r="M50" i="10"/>
  <c r="M26" i="10"/>
  <c r="S26" i="4"/>
  <c r="S48" i="4" s="1"/>
  <c r="S27" i="4"/>
  <c r="T26" i="4"/>
  <c r="T27" i="4"/>
  <c r="T85" i="4" s="1"/>
  <c r="F27" i="10"/>
  <c r="I57" i="10"/>
  <c r="N56" i="10"/>
  <c r="J27" i="10"/>
  <c r="F56" i="10"/>
  <c r="T13" i="4"/>
  <c r="J56" i="10"/>
  <c r="J20" i="10"/>
  <c r="T38" i="4"/>
  <c r="T49" i="4" s="1"/>
  <c r="T87" i="4" s="1"/>
  <c r="J57" i="10"/>
  <c r="F26" i="10"/>
  <c r="F21" i="10"/>
  <c r="R27" i="4"/>
  <c r="R26" i="4"/>
  <c r="D50" i="10"/>
  <c r="D20" i="10"/>
  <c r="F20" i="10"/>
  <c r="D21" i="10"/>
  <c r="G20" i="10"/>
  <c r="D51" i="10"/>
  <c r="F57" i="10"/>
  <c r="F50" i="10"/>
  <c r="F51" i="10"/>
  <c r="J51" i="10"/>
  <c r="D57" i="10"/>
  <c r="I56" i="10"/>
  <c r="E21" i="10"/>
  <c r="J21" i="10"/>
  <c r="H14" i="10"/>
  <c r="H13" i="10" s="1"/>
  <c r="E57" i="10"/>
  <c r="H43" i="10"/>
  <c r="H42" i="10" s="1"/>
  <c r="E56" i="10"/>
  <c r="O51" i="10"/>
  <c r="H35" i="10"/>
  <c r="H34" i="10" s="1"/>
  <c r="H8" i="10"/>
  <c r="H7" i="10" s="1"/>
  <c r="J50" i="10"/>
  <c r="I20" i="10"/>
  <c r="E20" i="10"/>
  <c r="J26" i="10"/>
  <c r="H11" i="10"/>
  <c r="H10" i="10" s="1"/>
  <c r="H39" i="10"/>
  <c r="H38" i="10" s="1"/>
  <c r="P66" i="4"/>
  <c r="P38" i="4" s="1"/>
  <c r="P49" i="4" s="1"/>
  <c r="P87" i="4" s="1"/>
  <c r="P92" i="4" s="1"/>
  <c r="P101" i="4" s="1"/>
  <c r="P106" i="4" s="1"/>
  <c r="P13" i="4"/>
  <c r="O39" i="10"/>
  <c r="O38" i="10" s="1"/>
  <c r="O50" i="10" s="1"/>
  <c r="O11" i="10"/>
  <c r="O10" i="10" s="1"/>
  <c r="O26" i="10" s="1"/>
  <c r="E50" i="10"/>
  <c r="P14" i="4"/>
  <c r="O21" i="10"/>
  <c r="O27" i="10"/>
  <c r="O57" i="10"/>
  <c r="I20" i="2"/>
  <c r="I36" i="2" s="1"/>
  <c r="K20" i="2"/>
  <c r="M20" i="2"/>
  <c r="G20" i="2"/>
  <c r="N20" i="2"/>
  <c r="O20" i="2"/>
  <c r="P20" i="2"/>
  <c r="Q20" i="2"/>
  <c r="F21" i="2"/>
  <c r="G21" i="2"/>
  <c r="H21" i="2"/>
  <c r="I21" i="2"/>
  <c r="J21" i="2"/>
  <c r="K21" i="2"/>
  <c r="L21" i="2"/>
  <c r="M21" i="2"/>
  <c r="N21" i="2"/>
  <c r="O21" i="2"/>
  <c r="P21" i="2"/>
  <c r="Q21" i="2"/>
  <c r="F22" i="2"/>
  <c r="G22" i="2"/>
  <c r="H22" i="2"/>
  <c r="I22" i="2"/>
  <c r="J22" i="2"/>
  <c r="K22" i="2"/>
  <c r="L22" i="2"/>
  <c r="M22" i="2"/>
  <c r="N22" i="2"/>
  <c r="O22" i="2"/>
  <c r="P22" i="2"/>
  <c r="Q22" i="2"/>
  <c r="F23" i="2"/>
  <c r="G23" i="2"/>
  <c r="H23" i="2"/>
  <c r="I23" i="2"/>
  <c r="J23" i="2"/>
  <c r="K23" i="2"/>
  <c r="L23" i="2"/>
  <c r="M23" i="2"/>
  <c r="N23" i="2"/>
  <c r="O23" i="2"/>
  <c r="P23" i="2"/>
  <c r="Q23" i="2"/>
  <c r="F24" i="2"/>
  <c r="G24" i="2"/>
  <c r="H24" i="2"/>
  <c r="I24" i="2"/>
  <c r="J24" i="2"/>
  <c r="K24" i="2"/>
  <c r="L24" i="2"/>
  <c r="M24" i="2"/>
  <c r="N24" i="2"/>
  <c r="O24" i="2"/>
  <c r="P24" i="2"/>
  <c r="Q24" i="2"/>
  <c r="F25" i="2"/>
  <c r="G25" i="2"/>
  <c r="H25" i="2"/>
  <c r="I25" i="2"/>
  <c r="J25" i="2"/>
  <c r="K25" i="2"/>
  <c r="L25" i="2"/>
  <c r="M25" i="2"/>
  <c r="N25" i="2"/>
  <c r="O25" i="2"/>
  <c r="P25" i="2"/>
  <c r="Q25" i="2"/>
  <c r="F26" i="2"/>
  <c r="G26" i="2"/>
  <c r="H26" i="2"/>
  <c r="I26" i="2"/>
  <c r="J26" i="2"/>
  <c r="K26" i="2"/>
  <c r="L26" i="2"/>
  <c r="M26" i="2"/>
  <c r="N26" i="2"/>
  <c r="O26" i="2"/>
  <c r="P26" i="2"/>
  <c r="Q26" i="2"/>
  <c r="F27" i="2"/>
  <c r="G27" i="2"/>
  <c r="H27" i="2"/>
  <c r="I27" i="2"/>
  <c r="J27" i="2"/>
  <c r="K27" i="2"/>
  <c r="L27" i="2"/>
  <c r="M27" i="2"/>
  <c r="N27" i="2"/>
  <c r="O27" i="2"/>
  <c r="P27" i="2"/>
  <c r="Q27" i="2"/>
  <c r="E21" i="2"/>
  <c r="E22" i="2"/>
  <c r="E23" i="2"/>
  <c r="E24" i="2"/>
  <c r="E25" i="2"/>
  <c r="E41" i="2" s="1"/>
  <c r="E26" i="2"/>
  <c r="E27" i="2"/>
  <c r="E28" i="2"/>
  <c r="E20" i="2"/>
  <c r="N15" i="2"/>
  <c r="O15" i="2"/>
  <c r="P15" i="2"/>
  <c r="Q15" i="2"/>
  <c r="F15" i="2"/>
  <c r="G15" i="2"/>
  <c r="H15" i="2"/>
  <c r="I15" i="2"/>
  <c r="J15" i="2"/>
  <c r="K15" i="2"/>
  <c r="L15" i="2"/>
  <c r="M15" i="2"/>
  <c r="E15" i="2"/>
  <c r="T94" i="4" l="1"/>
  <c r="T103" i="4" s="1"/>
  <c r="T108" i="4" s="1"/>
  <c r="T93" i="4"/>
  <c r="T102" i="4" s="1"/>
  <c r="T107" i="4" s="1"/>
  <c r="T92" i="4"/>
  <c r="T101" i="4" s="1"/>
  <c r="T106" i="4" s="1"/>
  <c r="V26" i="4"/>
  <c r="AD26" i="4"/>
  <c r="W26" i="4"/>
  <c r="AE26" i="4"/>
  <c r="Y26" i="4"/>
  <c r="X26" i="4"/>
  <c r="AF26" i="4"/>
  <c r="AG26" i="4"/>
  <c r="Z26" i="4"/>
  <c r="AA26" i="4"/>
  <c r="AC26" i="4"/>
  <c r="AB26" i="4"/>
  <c r="U26" i="4"/>
  <c r="T48" i="4"/>
  <c r="S85" i="4"/>
  <c r="S49" i="4"/>
  <c r="S87" i="4" s="1"/>
  <c r="R49" i="4"/>
  <c r="R87" i="4" s="1"/>
  <c r="R85" i="4"/>
  <c r="R48" i="4"/>
  <c r="H27" i="10"/>
  <c r="H21" i="10"/>
  <c r="H51" i="10"/>
  <c r="H50" i="10"/>
  <c r="H57" i="10"/>
  <c r="O56" i="10"/>
  <c r="K8" i="10"/>
  <c r="K7" i="10" s="1"/>
  <c r="K35" i="10"/>
  <c r="K34" i="10" s="1"/>
  <c r="H56" i="10"/>
  <c r="O20" i="10"/>
  <c r="H20" i="10"/>
  <c r="H26" i="10"/>
  <c r="K39" i="10"/>
  <c r="K38" i="10" s="1"/>
  <c r="K11" i="10"/>
  <c r="K10" i="10" s="1"/>
  <c r="K14" i="10"/>
  <c r="K13" i="10" s="1"/>
  <c r="K43" i="10"/>
  <c r="K42" i="10" s="1"/>
  <c r="N31" i="2"/>
  <c r="H43" i="2"/>
  <c r="H67" i="2"/>
  <c r="H91" i="2"/>
  <c r="L42" i="2"/>
  <c r="L66" i="2"/>
  <c r="L90" i="2"/>
  <c r="L40" i="2"/>
  <c r="L64" i="2"/>
  <c r="L88" i="2"/>
  <c r="P61" i="2"/>
  <c r="P85" i="2"/>
  <c r="H61" i="2"/>
  <c r="H85" i="2"/>
  <c r="E42" i="2"/>
  <c r="E90" i="2"/>
  <c r="E66" i="2"/>
  <c r="K44" i="2"/>
  <c r="K68" i="2"/>
  <c r="K92" i="2"/>
  <c r="O43" i="2"/>
  <c r="O67" i="2"/>
  <c r="O91" i="2"/>
  <c r="G43" i="2"/>
  <c r="G67" i="2"/>
  <c r="G91" i="2"/>
  <c r="K42" i="2"/>
  <c r="K66" i="2"/>
  <c r="K90" i="2"/>
  <c r="O41" i="2"/>
  <c r="O65" i="2"/>
  <c r="O89" i="2"/>
  <c r="G41" i="2"/>
  <c r="G65" i="2"/>
  <c r="G89" i="2"/>
  <c r="K40" i="2"/>
  <c r="K64" i="2"/>
  <c r="K88" i="2"/>
  <c r="O39" i="2"/>
  <c r="O63" i="2"/>
  <c r="O87" i="2"/>
  <c r="G39" i="2"/>
  <c r="G63" i="2"/>
  <c r="G87" i="2"/>
  <c r="K38" i="2"/>
  <c r="K62" i="2"/>
  <c r="K86" i="2"/>
  <c r="O61" i="2"/>
  <c r="O85" i="2"/>
  <c r="G61" i="2"/>
  <c r="G85" i="2"/>
  <c r="E43" i="2"/>
  <c r="E91" i="2"/>
  <c r="E67" i="2"/>
  <c r="H39" i="2"/>
  <c r="H63" i="2"/>
  <c r="H87" i="2"/>
  <c r="N41" i="2"/>
  <c r="N89" i="2"/>
  <c r="N65" i="2"/>
  <c r="J31" i="2"/>
  <c r="J86" i="2"/>
  <c r="J62" i="2"/>
  <c r="E64" i="2"/>
  <c r="E88" i="2"/>
  <c r="Q44" i="2"/>
  <c r="Q92" i="2"/>
  <c r="Q68" i="2"/>
  <c r="I44" i="2"/>
  <c r="I92" i="2"/>
  <c r="I68" i="2"/>
  <c r="M43" i="2"/>
  <c r="M67" i="2"/>
  <c r="M91" i="2"/>
  <c r="Q42" i="2"/>
  <c r="Q90" i="2"/>
  <c r="Q66" i="2"/>
  <c r="I42" i="2"/>
  <c r="I66" i="2"/>
  <c r="I90" i="2"/>
  <c r="M41" i="2"/>
  <c r="M89" i="2"/>
  <c r="M65" i="2"/>
  <c r="Q40" i="2"/>
  <c r="Q88" i="2"/>
  <c r="Q64" i="2"/>
  <c r="I40" i="2"/>
  <c r="I88" i="2"/>
  <c r="I64" i="2"/>
  <c r="M39" i="2"/>
  <c r="M63" i="2"/>
  <c r="M87" i="2"/>
  <c r="Q86" i="2"/>
  <c r="Q62" i="2"/>
  <c r="I62" i="2"/>
  <c r="I86" i="2"/>
  <c r="M31" i="2"/>
  <c r="M85" i="2"/>
  <c r="M61" i="2"/>
  <c r="P39" i="2"/>
  <c r="P63" i="2"/>
  <c r="P87" i="2"/>
  <c r="N43" i="2"/>
  <c r="N91" i="2"/>
  <c r="N67" i="2"/>
  <c r="N39" i="2"/>
  <c r="N87" i="2"/>
  <c r="N63" i="2"/>
  <c r="P44" i="2"/>
  <c r="P92" i="2"/>
  <c r="P68" i="2"/>
  <c r="P42" i="2"/>
  <c r="P90" i="2"/>
  <c r="P66" i="2"/>
  <c r="L41" i="2"/>
  <c r="L89" i="2"/>
  <c r="L65" i="2"/>
  <c r="P40" i="2"/>
  <c r="P88" i="2"/>
  <c r="P64" i="2"/>
  <c r="H40" i="2"/>
  <c r="H88" i="2"/>
  <c r="H64" i="2"/>
  <c r="H38" i="2"/>
  <c r="H86" i="2"/>
  <c r="H62" i="2"/>
  <c r="L37" i="2"/>
  <c r="L85" i="2"/>
  <c r="L61" i="2"/>
  <c r="E40" i="2"/>
  <c r="L44" i="2"/>
  <c r="L68" i="2"/>
  <c r="L92" i="2"/>
  <c r="P41" i="2"/>
  <c r="P65" i="2"/>
  <c r="P89" i="2"/>
  <c r="E65" i="2"/>
  <c r="E89" i="2"/>
  <c r="J40" i="2"/>
  <c r="J88" i="2"/>
  <c r="J64" i="2"/>
  <c r="F37" i="2"/>
  <c r="F85" i="2"/>
  <c r="F61" i="2"/>
  <c r="L43" i="2"/>
  <c r="L91" i="2"/>
  <c r="L67" i="2"/>
  <c r="P38" i="2"/>
  <c r="P86" i="2"/>
  <c r="P62" i="2"/>
  <c r="E38" i="2"/>
  <c r="E62" i="2"/>
  <c r="E86" i="2"/>
  <c r="O44" i="2"/>
  <c r="O92" i="2"/>
  <c r="O68" i="2"/>
  <c r="G44" i="2"/>
  <c r="G92" i="2"/>
  <c r="G68" i="2"/>
  <c r="K43" i="2"/>
  <c r="K91" i="2"/>
  <c r="K67" i="2"/>
  <c r="O42" i="2"/>
  <c r="O90" i="2"/>
  <c r="O66" i="2"/>
  <c r="G42" i="2"/>
  <c r="G90" i="2"/>
  <c r="G66" i="2"/>
  <c r="K41" i="2"/>
  <c r="K89" i="2"/>
  <c r="K65" i="2"/>
  <c r="O40" i="2"/>
  <c r="O88" i="2"/>
  <c r="O64" i="2"/>
  <c r="G40" i="2"/>
  <c r="G88" i="2"/>
  <c r="G64" i="2"/>
  <c r="K39" i="2"/>
  <c r="K87" i="2"/>
  <c r="K63" i="2"/>
  <c r="O38" i="2"/>
  <c r="O86" i="2"/>
  <c r="O62" i="2"/>
  <c r="G38" i="2"/>
  <c r="G86" i="2"/>
  <c r="G62" i="2"/>
  <c r="K85" i="2"/>
  <c r="K61" i="2"/>
  <c r="L62" i="2"/>
  <c r="L86" i="2"/>
  <c r="J44" i="2"/>
  <c r="J92" i="2"/>
  <c r="J68" i="2"/>
  <c r="J42" i="2"/>
  <c r="J90" i="2"/>
  <c r="J66" i="2"/>
  <c r="F41" i="2"/>
  <c r="F89" i="2"/>
  <c r="F65" i="2"/>
  <c r="F39" i="2"/>
  <c r="F87" i="2"/>
  <c r="F63" i="2"/>
  <c r="E39" i="2"/>
  <c r="E63" i="2"/>
  <c r="E87" i="2"/>
  <c r="H44" i="2"/>
  <c r="H92" i="2"/>
  <c r="H68" i="2"/>
  <c r="H42" i="2"/>
  <c r="H90" i="2"/>
  <c r="H66" i="2"/>
  <c r="L39" i="2"/>
  <c r="L87" i="2"/>
  <c r="L63" i="2"/>
  <c r="E85" i="2"/>
  <c r="E61" i="2"/>
  <c r="N44" i="2"/>
  <c r="N92" i="2"/>
  <c r="N68" i="2"/>
  <c r="F44" i="2"/>
  <c r="F92" i="2"/>
  <c r="F68" i="2"/>
  <c r="J43" i="2"/>
  <c r="J91" i="2"/>
  <c r="J67" i="2"/>
  <c r="N42" i="2"/>
  <c r="N66" i="2"/>
  <c r="N90" i="2"/>
  <c r="F42" i="2"/>
  <c r="F66" i="2"/>
  <c r="F90" i="2"/>
  <c r="J41" i="2"/>
  <c r="J65" i="2"/>
  <c r="J89" i="2"/>
  <c r="N40" i="2"/>
  <c r="N88" i="2"/>
  <c r="N64" i="2"/>
  <c r="F40" i="2"/>
  <c r="F88" i="2"/>
  <c r="F64" i="2"/>
  <c r="J39" i="2"/>
  <c r="J63" i="2"/>
  <c r="J87" i="2"/>
  <c r="N38" i="2"/>
  <c r="N62" i="2"/>
  <c r="N86" i="2"/>
  <c r="F38" i="2"/>
  <c r="F62" i="2"/>
  <c r="F86" i="2"/>
  <c r="J37" i="2"/>
  <c r="J85" i="2"/>
  <c r="J61" i="2"/>
  <c r="P43" i="2"/>
  <c r="P67" i="2"/>
  <c r="P91" i="2"/>
  <c r="H41" i="2"/>
  <c r="H65" i="2"/>
  <c r="H89" i="2"/>
  <c r="F43" i="2"/>
  <c r="F91" i="2"/>
  <c r="F67" i="2"/>
  <c r="N37" i="2"/>
  <c r="N85" i="2"/>
  <c r="N61" i="2"/>
  <c r="E44" i="2"/>
  <c r="E92" i="2"/>
  <c r="E68" i="2"/>
  <c r="M44" i="2"/>
  <c r="M92" i="2"/>
  <c r="M68" i="2"/>
  <c r="Q43" i="2"/>
  <c r="Q67" i="2"/>
  <c r="Q91" i="2"/>
  <c r="I43" i="2"/>
  <c r="I91" i="2"/>
  <c r="I67" i="2"/>
  <c r="M42" i="2"/>
  <c r="M66" i="2"/>
  <c r="M90" i="2"/>
  <c r="Q41" i="2"/>
  <c r="Q65" i="2"/>
  <c r="Q89" i="2"/>
  <c r="I41" i="2"/>
  <c r="I65" i="2"/>
  <c r="I89" i="2"/>
  <c r="M40" i="2"/>
  <c r="M88" i="2"/>
  <c r="M64" i="2"/>
  <c r="Q39" i="2"/>
  <c r="Q63" i="2"/>
  <c r="Q87" i="2"/>
  <c r="I39" i="2"/>
  <c r="I87" i="2"/>
  <c r="I63" i="2"/>
  <c r="M38" i="2"/>
  <c r="M62" i="2"/>
  <c r="M86" i="2"/>
  <c r="Q37" i="2"/>
  <c r="Q61" i="2"/>
  <c r="Q85" i="2"/>
  <c r="I37" i="2"/>
  <c r="I61" i="2"/>
  <c r="I85" i="2"/>
  <c r="P45" i="2"/>
  <c r="P93" i="2"/>
  <c r="P69" i="2"/>
  <c r="O45" i="2"/>
  <c r="O69" i="2"/>
  <c r="O93" i="2"/>
  <c r="N69" i="2"/>
  <c r="N93" i="2"/>
  <c r="N45" i="2"/>
  <c r="Q45" i="2"/>
  <c r="Q93" i="2"/>
  <c r="Q69" i="2"/>
  <c r="K36" i="2"/>
  <c r="K60" i="2"/>
  <c r="K84" i="2"/>
  <c r="P36" i="2"/>
  <c r="P60" i="2"/>
  <c r="P84" i="2"/>
  <c r="O36" i="2"/>
  <c r="O60" i="2"/>
  <c r="O84" i="2"/>
  <c r="Q36" i="2"/>
  <c r="Q84" i="2"/>
  <c r="Q60" i="2"/>
  <c r="E36" i="2"/>
  <c r="E60" i="2"/>
  <c r="E84" i="2"/>
  <c r="M36" i="2"/>
  <c r="M60" i="2"/>
  <c r="M84" i="2"/>
  <c r="N36" i="2"/>
  <c r="N60" i="2"/>
  <c r="N84" i="2"/>
  <c r="I60" i="2"/>
  <c r="I84" i="2"/>
  <c r="G36" i="2"/>
  <c r="G60" i="2"/>
  <c r="G84" i="2"/>
  <c r="J38" i="2"/>
  <c r="E31" i="2"/>
  <c r="K31" i="2"/>
  <c r="K37" i="2"/>
  <c r="Q31" i="2"/>
  <c r="E37" i="2"/>
  <c r="Q38" i="2"/>
  <c r="M37" i="2"/>
  <c r="F31" i="2"/>
  <c r="L31" i="2"/>
  <c r="P31" i="2"/>
  <c r="H31" i="2"/>
  <c r="L38" i="2"/>
  <c r="P37" i="2"/>
  <c r="H37" i="2"/>
  <c r="I31" i="2"/>
  <c r="I38" i="2"/>
  <c r="O31" i="2"/>
  <c r="G31" i="2"/>
  <c r="O37" i="2"/>
  <c r="G37" i="2"/>
  <c r="Y28" i="4" l="1"/>
  <c r="Y39" i="4" s="1"/>
  <c r="Y67" i="4" s="1"/>
  <c r="Y29" i="4"/>
  <c r="Y40" i="4" s="1"/>
  <c r="Y68" i="4" s="1"/>
  <c r="Y27" i="4"/>
  <c r="Y85" i="4" s="1"/>
  <c r="AB29" i="4"/>
  <c r="AB40" i="4" s="1"/>
  <c r="AB68" i="4" s="1"/>
  <c r="AB28" i="4"/>
  <c r="AB39" i="4" s="1"/>
  <c r="AB67" i="4" s="1"/>
  <c r="AB27" i="4"/>
  <c r="AB85" i="4" s="1"/>
  <c r="AE29" i="4"/>
  <c r="AE40" i="4" s="1"/>
  <c r="AE68" i="4" s="1"/>
  <c r="AE27" i="4"/>
  <c r="AE85" i="4" s="1"/>
  <c r="AE28" i="4"/>
  <c r="AE39" i="4" s="1"/>
  <c r="AE67" i="4" s="1"/>
  <c r="AC27" i="4"/>
  <c r="AC85" i="4" s="1"/>
  <c r="AC28" i="4"/>
  <c r="AC39" i="4" s="1"/>
  <c r="AC67" i="4" s="1"/>
  <c r="AC29" i="4"/>
  <c r="AC40" i="4" s="1"/>
  <c r="AC68" i="4" s="1"/>
  <c r="W29" i="4"/>
  <c r="W40" i="4" s="1"/>
  <c r="W68" i="4" s="1"/>
  <c r="W27" i="4"/>
  <c r="W85" i="4" s="1"/>
  <c r="W28" i="4"/>
  <c r="W39" i="4" s="1"/>
  <c r="W67" i="4" s="1"/>
  <c r="U28" i="4"/>
  <c r="U39" i="4" s="1"/>
  <c r="U67" i="4" s="1"/>
  <c r="U29" i="4"/>
  <c r="U40" i="4" s="1"/>
  <c r="U68" i="4" s="1"/>
  <c r="U27" i="4"/>
  <c r="U85" i="4" s="1"/>
  <c r="AA27" i="4"/>
  <c r="AA85" i="4" s="1"/>
  <c r="AA28" i="4"/>
  <c r="AA39" i="4" s="1"/>
  <c r="AA67" i="4" s="1"/>
  <c r="AA29" i="4"/>
  <c r="AA40" i="4" s="1"/>
  <c r="AA68" i="4" s="1"/>
  <c r="AD27" i="4"/>
  <c r="AD85" i="4" s="1"/>
  <c r="AD29" i="4"/>
  <c r="AD40" i="4" s="1"/>
  <c r="AD68" i="4" s="1"/>
  <c r="AD28" i="4"/>
  <c r="AD39" i="4" s="1"/>
  <c r="AD67" i="4" s="1"/>
  <c r="Z27" i="4"/>
  <c r="Z85" i="4" s="1"/>
  <c r="Z28" i="4"/>
  <c r="Z39" i="4" s="1"/>
  <c r="Z67" i="4" s="1"/>
  <c r="Z29" i="4"/>
  <c r="Z40" i="4" s="1"/>
  <c r="Z68" i="4" s="1"/>
  <c r="V29" i="4"/>
  <c r="V40" i="4" s="1"/>
  <c r="V68" i="4" s="1"/>
  <c r="V27" i="4"/>
  <c r="V85" i="4" s="1"/>
  <c r="V28" i="4"/>
  <c r="V39" i="4" s="1"/>
  <c r="V67" i="4" s="1"/>
  <c r="AG28" i="4"/>
  <c r="AG39" i="4" s="1"/>
  <c r="AG67" i="4" s="1"/>
  <c r="AG29" i="4"/>
  <c r="AG40" i="4" s="1"/>
  <c r="AG68" i="4" s="1"/>
  <c r="AG27" i="4"/>
  <c r="AG85" i="4" s="1"/>
  <c r="S93" i="4"/>
  <c r="S102" i="4" s="1"/>
  <c r="S107" i="4" s="1"/>
  <c r="S94" i="4"/>
  <c r="S103" i="4" s="1"/>
  <c r="S108" i="4" s="1"/>
  <c r="S92" i="4"/>
  <c r="S101" i="4" s="1"/>
  <c r="S106" i="4" s="1"/>
  <c r="AF29" i="4"/>
  <c r="AF40" i="4" s="1"/>
  <c r="AF68" i="4" s="1"/>
  <c r="AF27" i="4"/>
  <c r="AF85" i="4" s="1"/>
  <c r="AF28" i="4"/>
  <c r="AF39" i="4" s="1"/>
  <c r="AF67" i="4" s="1"/>
  <c r="X29" i="4"/>
  <c r="X40" i="4" s="1"/>
  <c r="X68" i="4" s="1"/>
  <c r="X27" i="4"/>
  <c r="X85" i="4" s="1"/>
  <c r="X28" i="4"/>
  <c r="X39" i="4" s="1"/>
  <c r="X67" i="4" s="1"/>
  <c r="R93" i="4"/>
  <c r="R102" i="4" s="1"/>
  <c r="R107" i="4" s="1"/>
  <c r="R94" i="4"/>
  <c r="R103" i="4" s="1"/>
  <c r="R108" i="4" s="1"/>
  <c r="R92" i="4"/>
  <c r="R101" i="4" s="1"/>
  <c r="R106" i="4" s="1"/>
  <c r="K20" i="10"/>
  <c r="K50" i="10"/>
  <c r="K51" i="10"/>
  <c r="K57" i="10"/>
  <c r="K27" i="10"/>
  <c r="K21" i="10"/>
  <c r="K56" i="10"/>
  <c r="K26" i="10"/>
  <c r="I47" i="2"/>
  <c r="K71" i="2"/>
  <c r="O47" i="2"/>
  <c r="K47" i="2"/>
  <c r="L71" i="2"/>
  <c r="O95" i="2"/>
  <c r="N71" i="2"/>
  <c r="F71" i="2"/>
  <c r="O71" i="2"/>
  <c r="I95" i="2"/>
  <c r="N95" i="2"/>
  <c r="F95" i="2"/>
  <c r="L47" i="2"/>
  <c r="I71" i="2"/>
  <c r="N47" i="2"/>
  <c r="F47" i="2"/>
  <c r="E71" i="2"/>
  <c r="H95" i="2"/>
  <c r="M47" i="2"/>
  <c r="E95" i="2"/>
  <c r="H71" i="2"/>
  <c r="H47" i="2"/>
  <c r="Q95" i="2"/>
  <c r="J71" i="2"/>
  <c r="P95" i="2"/>
  <c r="P47" i="2"/>
  <c r="E47" i="2"/>
  <c r="Q71" i="2"/>
  <c r="J95" i="2"/>
  <c r="K95" i="2"/>
  <c r="M71" i="2"/>
  <c r="G95" i="2"/>
  <c r="P71" i="2"/>
  <c r="G47" i="2"/>
  <c r="AA95" i="2"/>
  <c r="R95" i="2"/>
  <c r="X71" i="2"/>
  <c r="S47" i="2"/>
  <c r="AA47" i="2"/>
  <c r="AC95" i="2"/>
  <c r="Z95" i="2"/>
  <c r="Y71" i="2"/>
  <c r="T47" i="2"/>
  <c r="AB47" i="2"/>
  <c r="AB95" i="2"/>
  <c r="W71" i="2"/>
  <c r="Y95" i="2"/>
  <c r="Z71" i="2"/>
  <c r="U47" i="2"/>
  <c r="AC47" i="2"/>
  <c r="X95" i="2"/>
  <c r="S71" i="2"/>
  <c r="AA71" i="2"/>
  <c r="V47" i="2"/>
  <c r="AD47" i="2"/>
  <c r="V71" i="2"/>
  <c r="S95" i="2"/>
  <c r="R71" i="2"/>
  <c r="V95" i="2"/>
  <c r="T71" i="2"/>
  <c r="AB71" i="2"/>
  <c r="W47" i="2"/>
  <c r="R47" i="2"/>
  <c r="T95" i="2"/>
  <c r="Y47" i="2"/>
  <c r="AD95" i="2"/>
  <c r="U95" i="2"/>
  <c r="U71" i="2"/>
  <c r="AC71" i="2"/>
  <c r="X47" i="2"/>
  <c r="AD71" i="2"/>
  <c r="Z47" i="2"/>
  <c r="W95" i="2"/>
  <c r="Q47" i="2"/>
  <c r="J47" i="2"/>
  <c r="M95" i="2"/>
  <c r="G71" i="2"/>
  <c r="L95" i="2"/>
  <c r="AG65" i="4" l="1"/>
  <c r="AG78" i="4"/>
  <c r="AG8" i="4" s="1"/>
  <c r="AG66" i="4"/>
  <c r="AB11" i="10"/>
  <c r="AB10" i="10" s="1"/>
  <c r="AB39" i="10"/>
  <c r="AB38" i="10" s="1"/>
  <c r="AF94" i="4"/>
  <c r="AF103" i="4" s="1"/>
  <c r="AF108" i="4" s="1"/>
  <c r="AF93" i="4"/>
  <c r="AF102" i="4" s="1"/>
  <c r="AF107" i="4" s="1"/>
  <c r="V66" i="4"/>
  <c r="V65" i="4"/>
  <c r="V78" i="4"/>
  <c r="V8" i="4" s="1"/>
  <c r="Q39" i="10"/>
  <c r="Q38" i="10" s="1"/>
  <c r="Q11" i="10"/>
  <c r="Q10" i="10" s="1"/>
  <c r="AD94" i="4"/>
  <c r="AD103" i="4" s="1"/>
  <c r="AD108" i="4" s="1"/>
  <c r="AD93" i="4"/>
  <c r="AD102" i="4" s="1"/>
  <c r="AD107" i="4" s="1"/>
  <c r="W94" i="4"/>
  <c r="W103" i="4" s="1"/>
  <c r="W108" i="4" s="1"/>
  <c r="W93" i="4"/>
  <c r="W102" i="4" s="1"/>
  <c r="W107" i="4" s="1"/>
  <c r="AB94" i="4"/>
  <c r="AB103" i="4" s="1"/>
  <c r="AB108" i="4" s="1"/>
  <c r="AB93" i="4"/>
  <c r="AB102" i="4" s="1"/>
  <c r="AB107" i="4" s="1"/>
  <c r="AF78" i="4"/>
  <c r="AF8" i="4" s="1"/>
  <c r="AF66" i="4"/>
  <c r="AF65" i="4"/>
  <c r="AA11" i="10"/>
  <c r="AA10" i="10" s="1"/>
  <c r="AA39" i="10"/>
  <c r="AA38" i="10" s="1"/>
  <c r="AF79" i="4"/>
  <c r="AF9" i="4" s="1"/>
  <c r="AA14" i="10"/>
  <c r="AA13" i="10" s="1"/>
  <c r="AA43" i="10"/>
  <c r="AA42" i="10" s="1"/>
  <c r="V94" i="4"/>
  <c r="V103" i="4" s="1"/>
  <c r="V108" i="4" s="1"/>
  <c r="V93" i="4"/>
  <c r="V102" i="4" s="1"/>
  <c r="V107" i="4" s="1"/>
  <c r="AA79" i="4"/>
  <c r="AA9" i="4" s="1"/>
  <c r="V14" i="10"/>
  <c r="V13" i="10" s="1"/>
  <c r="V43" i="10"/>
  <c r="V42" i="10" s="1"/>
  <c r="W79" i="4"/>
  <c r="W9" i="4" s="1"/>
  <c r="R43" i="10"/>
  <c r="R42" i="10" s="1"/>
  <c r="R14" i="10"/>
  <c r="R13" i="10" s="1"/>
  <c r="AB66" i="4"/>
  <c r="AB65" i="4"/>
  <c r="AB78" i="4"/>
  <c r="AB8" i="4" s="1"/>
  <c r="W39" i="10"/>
  <c r="W38" i="10" s="1"/>
  <c r="W11" i="10"/>
  <c r="W10" i="10" s="1"/>
  <c r="AG79" i="4"/>
  <c r="AG9" i="4" s="1"/>
  <c r="AB14" i="10"/>
  <c r="AB13" i="10" s="1"/>
  <c r="AB43" i="10"/>
  <c r="AB42" i="10" s="1"/>
  <c r="AC79" i="4"/>
  <c r="AC9" i="4" s="1"/>
  <c r="X14" i="10"/>
  <c r="X13" i="10" s="1"/>
  <c r="X43" i="10"/>
  <c r="X42" i="10" s="1"/>
  <c r="AB79" i="4"/>
  <c r="AB9" i="4" s="1"/>
  <c r="W14" i="10"/>
  <c r="W13" i="10" s="1"/>
  <c r="W43" i="10"/>
  <c r="W42" i="10" s="1"/>
  <c r="U66" i="4"/>
  <c r="U38" i="4" s="1"/>
  <c r="U49" i="4" s="1"/>
  <c r="U87" i="4" s="1"/>
  <c r="U65" i="4"/>
  <c r="U78" i="4"/>
  <c r="U8" i="4" s="1"/>
  <c r="P11" i="10"/>
  <c r="P10" i="10" s="1"/>
  <c r="P39" i="10"/>
  <c r="P38" i="10" s="1"/>
  <c r="AD79" i="4"/>
  <c r="AD9" i="4" s="1"/>
  <c r="Y43" i="10"/>
  <c r="Y42" i="10" s="1"/>
  <c r="Y14" i="10"/>
  <c r="Y13" i="10" s="1"/>
  <c r="V79" i="4"/>
  <c r="V9" i="4" s="1"/>
  <c r="Q14" i="10"/>
  <c r="Q13" i="10" s="1"/>
  <c r="Q43" i="10"/>
  <c r="Q42" i="10" s="1"/>
  <c r="Z79" i="4"/>
  <c r="Z9" i="4" s="1"/>
  <c r="U14" i="10"/>
  <c r="U13" i="10" s="1"/>
  <c r="U43" i="10"/>
  <c r="U42" i="10" s="1"/>
  <c r="AA93" i="4"/>
  <c r="AA102" i="4" s="1"/>
  <c r="AA107" i="4" s="1"/>
  <c r="AA94" i="4"/>
  <c r="AA103" i="4" s="1"/>
  <c r="AA108" i="4" s="1"/>
  <c r="AC66" i="4"/>
  <c r="AC65" i="4"/>
  <c r="AC78" i="4"/>
  <c r="AC8" i="4" s="1"/>
  <c r="X39" i="10"/>
  <c r="X38" i="10" s="1"/>
  <c r="X11" i="10"/>
  <c r="X10" i="10" s="1"/>
  <c r="Y93" i="4"/>
  <c r="Y102" i="4" s="1"/>
  <c r="Y107" i="4" s="1"/>
  <c r="Y94" i="4"/>
  <c r="Y103" i="4" s="1"/>
  <c r="Y108" i="4" s="1"/>
  <c r="AD66" i="4"/>
  <c r="AD78" i="4"/>
  <c r="AD8" i="4" s="1"/>
  <c r="AD65" i="4"/>
  <c r="Y11" i="10"/>
  <c r="Y10" i="10" s="1"/>
  <c r="Y39" i="10"/>
  <c r="Y38" i="10" s="1"/>
  <c r="W78" i="4"/>
  <c r="W8" i="4" s="1"/>
  <c r="W66" i="4"/>
  <c r="W65" i="4"/>
  <c r="R11" i="10"/>
  <c r="R10" i="10" s="1"/>
  <c r="R39" i="10"/>
  <c r="R38" i="10" s="1"/>
  <c r="AA66" i="4"/>
  <c r="AA65" i="4"/>
  <c r="AA78" i="4"/>
  <c r="AA8" i="4" s="1"/>
  <c r="V11" i="10"/>
  <c r="V10" i="10" s="1"/>
  <c r="V39" i="10"/>
  <c r="V38" i="10" s="1"/>
  <c r="Z66" i="4"/>
  <c r="Z65" i="4"/>
  <c r="Z78" i="4"/>
  <c r="Z8" i="4" s="1"/>
  <c r="U39" i="10"/>
  <c r="U38" i="10" s="1"/>
  <c r="U11" i="10"/>
  <c r="U10" i="10" s="1"/>
  <c r="U94" i="4"/>
  <c r="U103" i="4" s="1"/>
  <c r="U108" i="4" s="1"/>
  <c r="U92" i="4"/>
  <c r="U101" i="4" s="1"/>
  <c r="U106" i="4" s="1"/>
  <c r="U93" i="4"/>
  <c r="U102" i="4" s="1"/>
  <c r="U107" i="4" s="1"/>
  <c r="AC93" i="4"/>
  <c r="AC102" i="4" s="1"/>
  <c r="AC107" i="4" s="1"/>
  <c r="AC94" i="4"/>
  <c r="AC103" i="4" s="1"/>
  <c r="AC108" i="4" s="1"/>
  <c r="Y79" i="4"/>
  <c r="Y9" i="4" s="1"/>
  <c r="T14" i="10"/>
  <c r="T13" i="10" s="1"/>
  <c r="T43" i="10"/>
  <c r="T42" i="10" s="1"/>
  <c r="X79" i="4"/>
  <c r="X9" i="4" s="1"/>
  <c r="S14" i="10"/>
  <c r="S13" i="10" s="1"/>
  <c r="S43" i="10"/>
  <c r="S42" i="10" s="1"/>
  <c r="AE94" i="4"/>
  <c r="AE103" i="4" s="1"/>
  <c r="AE108" i="4" s="1"/>
  <c r="AE93" i="4"/>
  <c r="AE102" i="4" s="1"/>
  <c r="AE107" i="4" s="1"/>
  <c r="AE79" i="4"/>
  <c r="AE9" i="4" s="1"/>
  <c r="Z43" i="10"/>
  <c r="Z42" i="10" s="1"/>
  <c r="Z14" i="10"/>
  <c r="Z13" i="10" s="1"/>
  <c r="X78" i="4"/>
  <c r="X8" i="4" s="1"/>
  <c r="X66" i="4"/>
  <c r="X65" i="4"/>
  <c r="S11" i="10"/>
  <c r="S10" i="10" s="1"/>
  <c r="S39" i="10"/>
  <c r="S38" i="10" s="1"/>
  <c r="X94" i="4"/>
  <c r="X103" i="4" s="1"/>
  <c r="X108" i="4" s="1"/>
  <c r="X93" i="4"/>
  <c r="X102" i="4" s="1"/>
  <c r="X107" i="4" s="1"/>
  <c r="AG94" i="4"/>
  <c r="AG103" i="4" s="1"/>
  <c r="AG108" i="4" s="1"/>
  <c r="AG93" i="4"/>
  <c r="AG102" i="4" s="1"/>
  <c r="AG107" i="4" s="1"/>
  <c r="Z93" i="4"/>
  <c r="Z102" i="4" s="1"/>
  <c r="Z107" i="4" s="1"/>
  <c r="Z94" i="4"/>
  <c r="Z103" i="4" s="1"/>
  <c r="Z108" i="4" s="1"/>
  <c r="U79" i="4"/>
  <c r="U9" i="4" s="1"/>
  <c r="P14" i="10"/>
  <c r="P13" i="10" s="1"/>
  <c r="P43" i="10"/>
  <c r="P42" i="10" s="1"/>
  <c r="AE78" i="4"/>
  <c r="AE8" i="4" s="1"/>
  <c r="AE66" i="4"/>
  <c r="AE65" i="4"/>
  <c r="Z39" i="10"/>
  <c r="Z38" i="10" s="1"/>
  <c r="Z11" i="10"/>
  <c r="Z10" i="10" s="1"/>
  <c r="Y65" i="4"/>
  <c r="Y78" i="4"/>
  <c r="Y8" i="4" s="1"/>
  <c r="Y66" i="4"/>
  <c r="T11" i="10"/>
  <c r="T10" i="10" s="1"/>
  <c r="T39" i="10"/>
  <c r="T38" i="10" s="1"/>
  <c r="S64" i="2"/>
  <c r="S66" i="2"/>
  <c r="S61" i="2"/>
  <c r="S63" i="2"/>
  <c r="S65" i="2"/>
  <c r="S67" i="2"/>
  <c r="S62" i="2"/>
  <c r="S68" i="2"/>
  <c r="R87" i="2"/>
  <c r="R88" i="2"/>
  <c r="R86" i="2"/>
  <c r="R85" i="2"/>
  <c r="R92" i="2"/>
  <c r="R91" i="2"/>
  <c r="R90" i="2"/>
  <c r="R89" i="2"/>
  <c r="Z90" i="2"/>
  <c r="Z88" i="2"/>
  <c r="Z85" i="2"/>
  <c r="Z87" i="2"/>
  <c r="Z89" i="2"/>
  <c r="Z91" i="2"/>
  <c r="Z86" i="2"/>
  <c r="Z92" i="2"/>
  <c r="AB86" i="2"/>
  <c r="AB88" i="2"/>
  <c r="AB90" i="2"/>
  <c r="AB92" i="2"/>
  <c r="AB85" i="2"/>
  <c r="AB87" i="2"/>
  <c r="AB89" i="2"/>
  <c r="AB91" i="2"/>
  <c r="T62" i="2"/>
  <c r="T64" i="2"/>
  <c r="T66" i="2"/>
  <c r="T68" i="2"/>
  <c r="T61" i="2"/>
  <c r="T63" i="2"/>
  <c r="T65" i="2"/>
  <c r="T67" i="2"/>
  <c r="V86" i="2"/>
  <c r="V88" i="2"/>
  <c r="V90" i="2"/>
  <c r="V92" i="2"/>
  <c r="V91" i="2"/>
  <c r="V85" i="2"/>
  <c r="V87" i="2"/>
  <c r="V89" i="2"/>
  <c r="AD86" i="2"/>
  <c r="AD88" i="2"/>
  <c r="AD90" i="2"/>
  <c r="AD92" i="2"/>
  <c r="AD89" i="2"/>
  <c r="AD85" i="2"/>
  <c r="AD87" i="2"/>
  <c r="AD91" i="2"/>
  <c r="W89" i="2"/>
  <c r="W85" i="2"/>
  <c r="W87" i="2"/>
  <c r="W91" i="2"/>
  <c r="W86" i="2"/>
  <c r="W88" i="2"/>
  <c r="W90" i="2"/>
  <c r="W92" i="2"/>
  <c r="S90" i="2"/>
  <c r="S85" i="2"/>
  <c r="S87" i="2"/>
  <c r="S89" i="2"/>
  <c r="S91" i="2"/>
  <c r="S86" i="2"/>
  <c r="S92" i="2"/>
  <c r="S88" i="2"/>
  <c r="V63" i="2"/>
  <c r="V61" i="2"/>
  <c r="V65" i="2"/>
  <c r="V62" i="2"/>
  <c r="V64" i="2"/>
  <c r="V66" i="2"/>
  <c r="V68" i="2"/>
  <c r="V67" i="2"/>
  <c r="Z68" i="2"/>
  <c r="Z61" i="2"/>
  <c r="Z63" i="2"/>
  <c r="Z65" i="2"/>
  <c r="Z67" i="2"/>
  <c r="Z62" i="2"/>
  <c r="Z64" i="2"/>
  <c r="Z66" i="2"/>
  <c r="AC86" i="2"/>
  <c r="AC88" i="2"/>
  <c r="AC90" i="2"/>
  <c r="AC92" i="2"/>
  <c r="AC85" i="2"/>
  <c r="AC87" i="2"/>
  <c r="AC89" i="2"/>
  <c r="AC91" i="2"/>
  <c r="AC62" i="2"/>
  <c r="AC64" i="2"/>
  <c r="AC66" i="2"/>
  <c r="AC68" i="2"/>
  <c r="AC61" i="2"/>
  <c r="AC63" i="2"/>
  <c r="AC65" i="2"/>
  <c r="AC67" i="2"/>
  <c r="AA61" i="2"/>
  <c r="AA63" i="2"/>
  <c r="AA65" i="2"/>
  <c r="AA67" i="2"/>
  <c r="AA64" i="2"/>
  <c r="AA68" i="2"/>
  <c r="AA62" i="2"/>
  <c r="AA66" i="2"/>
  <c r="U62" i="2"/>
  <c r="U64" i="2"/>
  <c r="U66" i="2"/>
  <c r="U68" i="2"/>
  <c r="U61" i="2"/>
  <c r="U63" i="2"/>
  <c r="U65" i="2"/>
  <c r="U67" i="2"/>
  <c r="U86" i="2"/>
  <c r="U88" i="2"/>
  <c r="U90" i="2"/>
  <c r="U92" i="2"/>
  <c r="U85" i="2"/>
  <c r="U87" i="2"/>
  <c r="U89" i="2"/>
  <c r="U91" i="2"/>
  <c r="T37" i="2"/>
  <c r="T44" i="2"/>
  <c r="T42" i="2"/>
  <c r="T40" i="2"/>
  <c r="T43" i="2"/>
  <c r="T38" i="2"/>
  <c r="T41" i="2"/>
  <c r="T39" i="2"/>
  <c r="AA85" i="2"/>
  <c r="AA87" i="2"/>
  <c r="AA89" i="2"/>
  <c r="AA91" i="2"/>
  <c r="AA88" i="2"/>
  <c r="AA86" i="2"/>
  <c r="AA90" i="2"/>
  <c r="AA92" i="2"/>
  <c r="R63" i="2"/>
  <c r="R62" i="2"/>
  <c r="R65" i="2"/>
  <c r="R64" i="2"/>
  <c r="R61" i="2"/>
  <c r="R68" i="2"/>
  <c r="R67" i="2"/>
  <c r="R66" i="2"/>
  <c r="Y61" i="2"/>
  <c r="Y63" i="2"/>
  <c r="Y65" i="2"/>
  <c r="Y67" i="2"/>
  <c r="Y62" i="2"/>
  <c r="Y64" i="2"/>
  <c r="Y66" i="2"/>
  <c r="Y68" i="2"/>
  <c r="Y40" i="2"/>
  <c r="Y43" i="2"/>
  <c r="Y41" i="2"/>
  <c r="Y42" i="2"/>
  <c r="Y39" i="2"/>
  <c r="Y37" i="2"/>
  <c r="Y38" i="2"/>
  <c r="Y44" i="2"/>
  <c r="T86" i="2"/>
  <c r="T88" i="2"/>
  <c r="T90" i="2"/>
  <c r="T92" i="2"/>
  <c r="T85" i="2"/>
  <c r="T87" i="2"/>
  <c r="T89" i="2"/>
  <c r="T91" i="2"/>
  <c r="R41" i="2"/>
  <c r="R39" i="2"/>
  <c r="R43" i="2"/>
  <c r="R40" i="2"/>
  <c r="R44" i="2"/>
  <c r="R38" i="2"/>
  <c r="R42" i="2"/>
  <c r="R37" i="2"/>
  <c r="AD38" i="2"/>
  <c r="AD43" i="2"/>
  <c r="AD44" i="2"/>
  <c r="AD41" i="2"/>
  <c r="AD39" i="2"/>
  <c r="AD37" i="2"/>
  <c r="AD42" i="2"/>
  <c r="AD40" i="2"/>
  <c r="Y85" i="2"/>
  <c r="Y87" i="2"/>
  <c r="Y89" i="2"/>
  <c r="Y91" i="2"/>
  <c r="Y86" i="2"/>
  <c r="Y88" i="2"/>
  <c r="Y90" i="2"/>
  <c r="Y92" i="2"/>
  <c r="AA38" i="2"/>
  <c r="AA44" i="2"/>
  <c r="AA42" i="2"/>
  <c r="AA41" i="2"/>
  <c r="AA40" i="2"/>
  <c r="AA37" i="2"/>
  <c r="AA43" i="2"/>
  <c r="AA39" i="2"/>
  <c r="AB62" i="2"/>
  <c r="AB64" i="2"/>
  <c r="AB66" i="2"/>
  <c r="AB68" i="2"/>
  <c r="AB61" i="2"/>
  <c r="AB63" i="2"/>
  <c r="AB65" i="2"/>
  <c r="AB67" i="2"/>
  <c r="X61" i="2"/>
  <c r="X63" i="2"/>
  <c r="X65" i="2"/>
  <c r="X67" i="2"/>
  <c r="X62" i="2"/>
  <c r="X64" i="2"/>
  <c r="X66" i="2"/>
  <c r="X68" i="2"/>
  <c r="AB37" i="2"/>
  <c r="AB44" i="2"/>
  <c r="AB43" i="2"/>
  <c r="AB42" i="2"/>
  <c r="AB40" i="2"/>
  <c r="AB38" i="2"/>
  <c r="AB41" i="2"/>
  <c r="AB39" i="2"/>
  <c r="X85" i="2"/>
  <c r="X87" i="2"/>
  <c r="X89" i="2"/>
  <c r="X91" i="2"/>
  <c r="X86" i="2"/>
  <c r="X88" i="2"/>
  <c r="X90" i="2"/>
  <c r="X92" i="2"/>
  <c r="AC40" i="2"/>
  <c r="AC37" i="2"/>
  <c r="AC44" i="2"/>
  <c r="AC42" i="2"/>
  <c r="AC39" i="2"/>
  <c r="AC43" i="2"/>
  <c r="AC41" i="2"/>
  <c r="AC38" i="2"/>
  <c r="U37" i="2"/>
  <c r="U39" i="2"/>
  <c r="U41" i="2"/>
  <c r="U42" i="2"/>
  <c r="U43" i="2"/>
  <c r="U38" i="2"/>
  <c r="U40" i="2"/>
  <c r="U44" i="2"/>
  <c r="Z37" i="2"/>
  <c r="Z43" i="2"/>
  <c r="Z44" i="2"/>
  <c r="Z42" i="2"/>
  <c r="Z40" i="2"/>
  <c r="Z38" i="2"/>
  <c r="Z41" i="2"/>
  <c r="Z39" i="2"/>
  <c r="AD62" i="2"/>
  <c r="AD64" i="2"/>
  <c r="AD66" i="2"/>
  <c r="AD68" i="2"/>
  <c r="AD67" i="2"/>
  <c r="AD61" i="2"/>
  <c r="AD65" i="2"/>
  <c r="AD63" i="2"/>
  <c r="X37" i="2"/>
  <c r="X38" i="2"/>
  <c r="X39" i="2"/>
  <c r="X42" i="2"/>
  <c r="X41" i="2"/>
  <c r="X40" i="2"/>
  <c r="X44" i="2"/>
  <c r="X43" i="2"/>
  <c r="W43" i="2"/>
  <c r="W40" i="2"/>
  <c r="W39" i="2"/>
  <c r="W42" i="2"/>
  <c r="W41" i="2"/>
  <c r="W38" i="2"/>
  <c r="W44" i="2"/>
  <c r="W37" i="2"/>
  <c r="V37" i="2"/>
  <c r="V43" i="2"/>
  <c r="V41" i="2"/>
  <c r="V42" i="2"/>
  <c r="V39" i="2"/>
  <c r="V44" i="2"/>
  <c r="V40" i="2"/>
  <c r="V38" i="2"/>
  <c r="W65" i="2"/>
  <c r="W61" i="2"/>
  <c r="W67" i="2"/>
  <c r="W62" i="2"/>
  <c r="W64" i="2"/>
  <c r="W66" i="2"/>
  <c r="W68" i="2"/>
  <c r="W63" i="2"/>
  <c r="S38" i="2"/>
  <c r="S37" i="2"/>
  <c r="S44" i="2"/>
  <c r="S42" i="2"/>
  <c r="S39" i="2"/>
  <c r="S41" i="2"/>
  <c r="S40" i="2"/>
  <c r="S43" i="2"/>
  <c r="AE77" i="4" l="1"/>
  <c r="AE7" i="4" s="1"/>
  <c r="AE38" i="4"/>
  <c r="AE49" i="4" s="1"/>
  <c r="AE87" i="4" s="1"/>
  <c r="AE92" i="4" s="1"/>
  <c r="AE101" i="4" s="1"/>
  <c r="AE106" i="4" s="1"/>
  <c r="Z35" i="10"/>
  <c r="Z34" i="10" s="1"/>
  <c r="Z51" i="10" s="1"/>
  <c r="Z8" i="10"/>
  <c r="Z7" i="10" s="1"/>
  <c r="Z27" i="10" s="1"/>
  <c r="X37" i="4"/>
  <c r="X48" i="4" s="1"/>
  <c r="X76" i="4"/>
  <c r="X6" i="4" s="1"/>
  <c r="AD38" i="4"/>
  <c r="AD49" i="4" s="1"/>
  <c r="AD87" i="4" s="1"/>
  <c r="AD92" i="4" s="1"/>
  <c r="AD101" i="4" s="1"/>
  <c r="AD106" i="4" s="1"/>
  <c r="AD77" i="4"/>
  <c r="AD7" i="4" s="1"/>
  <c r="Y8" i="10"/>
  <c r="Y7" i="10" s="1"/>
  <c r="Y35" i="10"/>
  <c r="Y34" i="10" s="1"/>
  <c r="Y57" i="10" s="1"/>
  <c r="AE13" i="4"/>
  <c r="X38" i="4"/>
  <c r="X49" i="4" s="1"/>
  <c r="X87" i="4" s="1"/>
  <c r="X92" i="4" s="1"/>
  <c r="X101" i="4" s="1"/>
  <c r="X106" i="4" s="1"/>
  <c r="X77" i="4"/>
  <c r="X7" i="4" s="1"/>
  <c r="S35" i="10"/>
  <c r="S34" i="10" s="1"/>
  <c r="S57" i="10" s="1"/>
  <c r="S8" i="10"/>
  <c r="S7" i="10" s="1"/>
  <c r="S26" i="10" s="1"/>
  <c r="Z38" i="4"/>
  <c r="Z49" i="4" s="1"/>
  <c r="Z87" i="4" s="1"/>
  <c r="Z92" i="4" s="1"/>
  <c r="Z101" i="4" s="1"/>
  <c r="Z106" i="4" s="1"/>
  <c r="Z77" i="4"/>
  <c r="Z7" i="4" s="1"/>
  <c r="U35" i="10"/>
  <c r="U34" i="10" s="1"/>
  <c r="U51" i="10" s="1"/>
  <c r="U8" i="10"/>
  <c r="U7" i="10" s="1"/>
  <c r="U21" i="10" s="1"/>
  <c r="W76" i="4"/>
  <c r="W6" i="4" s="1"/>
  <c r="W37" i="4"/>
  <c r="W48" i="4" s="1"/>
  <c r="AE76" i="4"/>
  <c r="AE6" i="4" s="1"/>
  <c r="AE37" i="4"/>
  <c r="AE48" i="4" s="1"/>
  <c r="AD13" i="4"/>
  <c r="AB57" i="10"/>
  <c r="Y38" i="4"/>
  <c r="Y49" i="4" s="1"/>
  <c r="Y87" i="4" s="1"/>
  <c r="Y92" i="4" s="1"/>
  <c r="Y101" i="4" s="1"/>
  <c r="Y106" i="4" s="1"/>
  <c r="Y77" i="4"/>
  <c r="Y7" i="4" s="1"/>
  <c r="T8" i="10"/>
  <c r="T7" i="10" s="1"/>
  <c r="T26" i="10" s="1"/>
  <c r="T35" i="10"/>
  <c r="T34" i="10" s="1"/>
  <c r="T57" i="10" s="1"/>
  <c r="X13" i="4"/>
  <c r="W77" i="4"/>
  <c r="W7" i="4" s="1"/>
  <c r="W14" i="4" s="1"/>
  <c r="W38" i="4"/>
  <c r="W49" i="4" s="1"/>
  <c r="W87" i="4" s="1"/>
  <c r="W92" i="4" s="1"/>
  <c r="W101" i="4" s="1"/>
  <c r="W106" i="4" s="1"/>
  <c r="R8" i="10"/>
  <c r="R7" i="10" s="1"/>
  <c r="R27" i="10" s="1"/>
  <c r="R35" i="10"/>
  <c r="R34" i="10" s="1"/>
  <c r="R50" i="10" s="1"/>
  <c r="Y21" i="10"/>
  <c r="Y27" i="10"/>
  <c r="AG14" i="4"/>
  <c r="Z13" i="4"/>
  <c r="AC76" i="4"/>
  <c r="AC6" i="4" s="1"/>
  <c r="AC37" i="4"/>
  <c r="AC48" i="4" s="1"/>
  <c r="AF38" i="4"/>
  <c r="AF49" i="4" s="1"/>
  <c r="AF87" i="4" s="1"/>
  <c r="AF92" i="4" s="1"/>
  <c r="AF101" i="4" s="1"/>
  <c r="AF106" i="4" s="1"/>
  <c r="AF77" i="4"/>
  <c r="AF7" i="4" s="1"/>
  <c r="AF14" i="4" s="1"/>
  <c r="AA35" i="10"/>
  <c r="AA34" i="10" s="1"/>
  <c r="AA57" i="10" s="1"/>
  <c r="AA8" i="10"/>
  <c r="AA7" i="10" s="1"/>
  <c r="AA20" i="10" s="1"/>
  <c r="Z37" i="4"/>
  <c r="Z48" i="4" s="1"/>
  <c r="Z76" i="4"/>
  <c r="Z6" i="4" s="1"/>
  <c r="U76" i="4"/>
  <c r="U6" i="4" s="1"/>
  <c r="U37" i="4"/>
  <c r="U48" i="4" s="1"/>
  <c r="Z21" i="10"/>
  <c r="X14" i="4"/>
  <c r="W21" i="10"/>
  <c r="Z57" i="10"/>
  <c r="Y50" i="10"/>
  <c r="AD14" i="4"/>
  <c r="AG38" i="4"/>
  <c r="AG49" i="4" s="1"/>
  <c r="AG87" i="4" s="1"/>
  <c r="AG92" i="4" s="1"/>
  <c r="AG101" i="4" s="1"/>
  <c r="AG106" i="4" s="1"/>
  <c r="AG77" i="4"/>
  <c r="AG7" i="4" s="1"/>
  <c r="AB35" i="10"/>
  <c r="AB34" i="10" s="1"/>
  <c r="AB51" i="10" s="1"/>
  <c r="AB8" i="10"/>
  <c r="AB7" i="10" s="1"/>
  <c r="AB27" i="10" s="1"/>
  <c r="AB77" i="4"/>
  <c r="AB7" i="4" s="1"/>
  <c r="AB14" i="4" s="1"/>
  <c r="AB38" i="4"/>
  <c r="AB49" i="4" s="1"/>
  <c r="AB87" i="4" s="1"/>
  <c r="AB92" i="4" s="1"/>
  <c r="AB101" i="4" s="1"/>
  <c r="AB106" i="4" s="1"/>
  <c r="W35" i="10"/>
  <c r="W34" i="10" s="1"/>
  <c r="W51" i="10" s="1"/>
  <c r="W8" i="10"/>
  <c r="W7" i="10" s="1"/>
  <c r="W20" i="10" s="1"/>
  <c r="Y13" i="4"/>
  <c r="Y37" i="4"/>
  <c r="Y48" i="4" s="1"/>
  <c r="Y76" i="4"/>
  <c r="Y6" i="4" s="1"/>
  <c r="Z20" i="10"/>
  <c r="Z26" i="10"/>
  <c r="AE14" i="4"/>
  <c r="T27" i="10"/>
  <c r="T21" i="10"/>
  <c r="U20" i="10"/>
  <c r="AA37" i="4"/>
  <c r="AA48" i="4" s="1"/>
  <c r="AA76" i="4"/>
  <c r="AA6" i="4" s="1"/>
  <c r="Y20" i="10"/>
  <c r="Y26" i="10"/>
  <c r="AA14" i="4"/>
  <c r="V76" i="4"/>
  <c r="V6" i="4" s="1"/>
  <c r="V37" i="4"/>
  <c r="V48" i="4" s="1"/>
  <c r="AG13" i="4"/>
  <c r="AC38" i="4"/>
  <c r="AC49" i="4" s="1"/>
  <c r="AC87" i="4" s="1"/>
  <c r="AC92" i="4" s="1"/>
  <c r="AC101" i="4" s="1"/>
  <c r="AC106" i="4" s="1"/>
  <c r="AC77" i="4"/>
  <c r="AC7" i="4" s="1"/>
  <c r="AC13" i="4" s="1"/>
  <c r="X35" i="10"/>
  <c r="X34" i="10" s="1"/>
  <c r="X50" i="10" s="1"/>
  <c r="X8" i="10"/>
  <c r="X7" i="10" s="1"/>
  <c r="X27" i="10" s="1"/>
  <c r="Z56" i="10"/>
  <c r="Z50" i="10"/>
  <c r="Y14" i="4"/>
  <c r="AA77" i="4"/>
  <c r="AA7" i="4" s="1"/>
  <c r="AA13" i="4" s="1"/>
  <c r="AA38" i="4"/>
  <c r="AA49" i="4" s="1"/>
  <c r="AA87" i="4" s="1"/>
  <c r="AA92" i="4" s="1"/>
  <c r="AA101" i="4" s="1"/>
  <c r="AA106" i="4" s="1"/>
  <c r="V8" i="10"/>
  <c r="V7" i="10" s="1"/>
  <c r="V27" i="10" s="1"/>
  <c r="V35" i="10"/>
  <c r="V34" i="10" s="1"/>
  <c r="V50" i="10" s="1"/>
  <c r="AD76" i="4"/>
  <c r="AD6" i="4" s="1"/>
  <c r="AD37" i="4"/>
  <c r="AD48" i="4" s="1"/>
  <c r="Z14" i="4"/>
  <c r="AB37" i="4"/>
  <c r="AB48" i="4" s="1"/>
  <c r="AB76" i="4"/>
  <c r="AB6" i="4" s="1"/>
  <c r="AF37" i="4"/>
  <c r="AF48" i="4" s="1"/>
  <c r="AF76" i="4"/>
  <c r="AF6" i="4" s="1"/>
  <c r="V38" i="4"/>
  <c r="V49" i="4" s="1"/>
  <c r="V87" i="4" s="1"/>
  <c r="V92" i="4" s="1"/>
  <c r="V101" i="4" s="1"/>
  <c r="V106" i="4" s="1"/>
  <c r="V77" i="4"/>
  <c r="V7" i="4" s="1"/>
  <c r="V14" i="4" s="1"/>
  <c r="Q8" i="10"/>
  <c r="Q7" i="10" s="1"/>
  <c r="Q21" i="10" s="1"/>
  <c r="Q35" i="10"/>
  <c r="Q34" i="10" s="1"/>
  <c r="Q56" i="10" s="1"/>
  <c r="AG37" i="4"/>
  <c r="AG48" i="4" s="1"/>
  <c r="AG76" i="4"/>
  <c r="AG6" i="4" s="1"/>
  <c r="H66" i="4"/>
  <c r="C35" i="10" s="1"/>
  <c r="C34" i="10" s="1"/>
  <c r="H7" i="4"/>
  <c r="H14" i="4" s="1"/>
  <c r="R51" i="10" l="1"/>
  <c r="W13" i="4"/>
  <c r="AA50" i="10"/>
  <c r="T20" i="10"/>
  <c r="AA26" i="10"/>
  <c r="AA56" i="10"/>
  <c r="R56" i="10"/>
  <c r="U26" i="10"/>
  <c r="W26" i="10"/>
  <c r="AB56" i="10"/>
  <c r="V26" i="10"/>
  <c r="S21" i="10"/>
  <c r="S27" i="10"/>
  <c r="S50" i="10"/>
  <c r="S56" i="10"/>
  <c r="R20" i="10"/>
  <c r="X57" i="10"/>
  <c r="R21" i="10"/>
  <c r="Q57" i="10"/>
  <c r="R26" i="10"/>
  <c r="AB20" i="10"/>
  <c r="S51" i="10"/>
  <c r="S20" i="10"/>
  <c r="U27" i="10"/>
  <c r="V57" i="10"/>
  <c r="AB21" i="10"/>
  <c r="V13" i="4"/>
  <c r="U57" i="10"/>
  <c r="Q51" i="10"/>
  <c r="V51" i="10"/>
  <c r="AB50" i="10"/>
  <c r="W57" i="10"/>
  <c r="R57" i="10"/>
  <c r="AB13" i="4"/>
  <c r="AC14" i="4"/>
  <c r="X20" i="10"/>
  <c r="X21" i="10"/>
  <c r="AF13" i="4"/>
  <c r="X51" i="10"/>
  <c r="X26" i="10"/>
  <c r="AB26" i="10"/>
  <c r="W27" i="10"/>
  <c r="Q26" i="10"/>
  <c r="U50" i="10"/>
  <c r="V21" i="10"/>
  <c r="Q20" i="10"/>
  <c r="U56" i="10"/>
  <c r="W56" i="10"/>
  <c r="Y56" i="10"/>
  <c r="Q50" i="10"/>
  <c r="Y51" i="10"/>
  <c r="AA21" i="10"/>
  <c r="V56" i="10"/>
  <c r="X56" i="10"/>
  <c r="W50" i="10"/>
  <c r="Q27" i="10"/>
  <c r="AA27" i="10"/>
  <c r="AA51" i="10"/>
  <c r="T56" i="10"/>
  <c r="T51" i="10"/>
  <c r="V20" i="10"/>
  <c r="T50" i="10"/>
  <c r="H13" i="4"/>
  <c r="C8" i="10"/>
  <c r="C7" i="10" s="1"/>
  <c r="C20" i="10" s="1"/>
  <c r="C56" i="10"/>
  <c r="C57" i="10"/>
  <c r="C51" i="10"/>
  <c r="C50" i="10"/>
  <c r="H38" i="4"/>
  <c r="H49" i="4" s="1"/>
  <c r="H87" i="4" s="1"/>
  <c r="H92" i="4" s="1"/>
  <c r="H101" i="4" s="1"/>
  <c r="H106" i="4" s="1"/>
  <c r="C21" i="10" l="1"/>
  <c r="C26" i="10"/>
  <c r="C27" i="10"/>
  <c r="Q76" i="4"/>
  <c r="Q6" i="4" l="1"/>
  <c r="Q79" i="4"/>
  <c r="Q77" i="4"/>
  <c r="Q78" i="4"/>
  <c r="Q67" i="4" l="1"/>
  <c r="Q39" i="4" s="1"/>
  <c r="Q28" i="4" s="1"/>
  <c r="Q8" i="4"/>
  <c r="Q68" i="4"/>
  <c r="Q40" i="4" s="1"/>
  <c r="Q29" i="4" s="1"/>
  <c r="Q9" i="4"/>
  <c r="Q66" i="4"/>
  <c r="Q38" i="4" s="1"/>
  <c r="Q7" i="4"/>
  <c r="Q14" i="4" s="1"/>
  <c r="L11" i="10"/>
  <c r="L10" i="10" s="1"/>
  <c r="L39" i="10"/>
  <c r="L38" i="10" s="1"/>
  <c r="L43" i="10" l="1"/>
  <c r="L42" i="10" s="1"/>
  <c r="L14" i="10"/>
  <c r="L13" i="10" s="1"/>
  <c r="Q26" i="4"/>
  <c r="Q48" i="4" s="1"/>
  <c r="Q27" i="4"/>
  <c r="Q85" i="4" s="1"/>
  <c r="L8" i="10"/>
  <c r="L7" i="10" s="1"/>
  <c r="L20" i="10" s="1"/>
  <c r="L35" i="10"/>
  <c r="L34" i="10" s="1"/>
  <c r="L51" i="10" s="1"/>
  <c r="Q13" i="4"/>
  <c r="P8" i="10"/>
  <c r="P7" i="10" s="1"/>
  <c r="P20" i="10" s="1"/>
  <c r="U77" i="4"/>
  <c r="U7" i="4" s="1"/>
  <c r="P35" i="10"/>
  <c r="P34" i="10" s="1"/>
  <c r="Q94" i="4" l="1"/>
  <c r="Q103" i="4" s="1"/>
  <c r="Q108" i="4" s="1"/>
  <c r="Q93" i="4"/>
  <c r="Q102" i="4" s="1"/>
  <c r="Q107" i="4" s="1"/>
  <c r="Q49" i="4"/>
  <c r="Q87" i="4" s="1"/>
  <c r="Q92" i="4" s="1"/>
  <c r="Q101" i="4" s="1"/>
  <c r="Q106" i="4" s="1"/>
  <c r="L57" i="10"/>
  <c r="L27" i="10"/>
  <c r="L21" i="10"/>
  <c r="L26" i="10"/>
  <c r="L56" i="10"/>
  <c r="L50" i="10"/>
  <c r="P57" i="10"/>
  <c r="P56" i="10"/>
  <c r="P50" i="10"/>
  <c r="P26" i="10"/>
  <c r="U13" i="4"/>
  <c r="U14" i="4"/>
  <c r="P51" i="10"/>
  <c r="P27" i="10"/>
  <c r="P21" i="10"/>
</calcChain>
</file>

<file path=xl/sharedStrings.xml><?xml version="1.0" encoding="utf-8"?>
<sst xmlns="http://schemas.openxmlformats.org/spreadsheetml/2006/main" count="235" uniqueCount="103">
  <si>
    <t>NOMENCLATURA</t>
  </si>
  <si>
    <t>INDICE</t>
  </si>
  <si>
    <t>Act</t>
  </si>
  <si>
    <t>Actividad</t>
  </si>
  <si>
    <t>Metas</t>
  </si>
  <si>
    <t>PIUP</t>
  </si>
  <si>
    <t>Procesos Industriales y Uso de Productos</t>
  </si>
  <si>
    <t>Act_Cemento_Otros_PIUP_sinHFC</t>
  </si>
  <si>
    <t>HFC</t>
  </si>
  <si>
    <t>Hidrofluorocarbonos</t>
  </si>
  <si>
    <t>Act_HFC</t>
  </si>
  <si>
    <t>5CN</t>
  </si>
  <si>
    <t>5ta Comunicación Nacional</t>
  </si>
  <si>
    <t>Act_5CN_OtrosPIUP</t>
  </si>
  <si>
    <t>4CN</t>
  </si>
  <si>
    <t>4ta Comunicación Nacional</t>
  </si>
  <si>
    <t>Otras_CementoMiscelanea</t>
  </si>
  <si>
    <t>Emisiones [GgCO2e] - Sin HFC</t>
  </si>
  <si>
    <t>Nuevo Tendencial 1era NDC = Tendencial 5ta Comunicación y PLANMICC - Iniciativas Condicionales 1era NDC</t>
  </si>
  <si>
    <t>Producción de Clinker</t>
  </si>
  <si>
    <t>Otros PI y UP</t>
  </si>
  <si>
    <t>NDC Incondicional de la 2da NDC (5ta Comunicación)</t>
  </si>
  <si>
    <t>NDC Incondicional + Condicional de la 2da NDC (5ta Comunicación)</t>
  </si>
  <si>
    <t>Meta 2da NDC [GgCO2e] - sin HFC</t>
  </si>
  <si>
    <t>Meta 2da NDC [%] - sin HFC</t>
  </si>
  <si>
    <t>Emisiones [GgCO2e] - con HFC</t>
  </si>
  <si>
    <t>Meta 2da NDC [GgCO2e] - con HFC</t>
  </si>
  <si>
    <t>Meta 2da NDC [%] - con HFC</t>
  </si>
  <si>
    <t>Fuente: Emisiones</t>
  </si>
  <si>
    <t>Sector PIUP Emisiones por escenario [GgCO2e] - SIN HFC</t>
  </si>
  <si>
    <t>4CN y 5CN para datos históricos 2010-2022 y PLANMICC para futuro 2023-2050</t>
  </si>
  <si>
    <t>Tendencial 5ta Comunicación y pocos supuestos del PLANMICC</t>
  </si>
  <si>
    <t>Iniciativas 1era NDC</t>
  </si>
  <si>
    <t>Nuevo Tendencial 1era NDC = Tendencial 5ta Comunicación y pocos supuestos del PLANMICC - Iniciativas Condicionales 1era NDC</t>
  </si>
  <si>
    <t>Escenario tendencial + Iniciativas 2da NDC</t>
  </si>
  <si>
    <t>Meta Incondicional</t>
  </si>
  <si>
    <t>Meta Incondicional + Condicional</t>
  </si>
  <si>
    <t>Potencial de reducción de Iniciativa Incondicional de factor de Clinker 1era NDC [GgCO2e]</t>
  </si>
  <si>
    <t>Instituto Ecuatoriano deñ Cemento y del Hormigón</t>
  </si>
  <si>
    <t>Potencial de reducción de Iniciativa 2da NDC convenida por cementeras [GgCO2e]</t>
  </si>
  <si>
    <t>Fuente: Supuestos</t>
  </si>
  <si>
    <t>Producción de cemento [Mt]</t>
  </si>
  <si>
    <t>Producción de Clinker [Mt]</t>
  </si>
  <si>
    <t>Factor de Clinker [%]</t>
  </si>
  <si>
    <t>4CN y 5CN para datos históricos 2010-2022 y PLANMICC para futuro 2023-2050 + 1era NDC y PI</t>
  </si>
  <si>
    <t>Iniciativas 2da NDC</t>
  </si>
  <si>
    <t>NIR histórico</t>
  </si>
  <si>
    <t>Factor de emisión [MtCO2e/Mt Clinker]</t>
  </si>
  <si>
    <t>4CN y 5CN para histórico 2010-2022 y PLANMICC para futuro 2023-2035</t>
  </si>
  <si>
    <t>Emisiones de otros PI y UP [GgCO2e]</t>
  </si>
  <si>
    <t>Comprobación de emisiones por Clinker [GgCO2e]</t>
  </si>
  <si>
    <t>Cálculo comprobación</t>
  </si>
  <si>
    <t>Comprobación de emisiones totales [GgCO2e] - SIN HFC</t>
  </si>
  <si>
    <t>Demanda</t>
  </si>
  <si>
    <t>FC 1</t>
  </si>
  <si>
    <t>FC 2</t>
  </si>
  <si>
    <t>FC 3</t>
  </si>
  <si>
    <t>Valores internos 1</t>
  </si>
  <si>
    <t>Valores internos 2</t>
  </si>
  <si>
    <t>Valores internos 3</t>
  </si>
  <si>
    <t>Restricción 1</t>
  </si>
  <si>
    <t>Restricción 2</t>
  </si>
  <si>
    <t>Restricción 3</t>
  </si>
  <si>
    <t>Interpolación</t>
  </si>
  <si>
    <t>Calculado reconstruyendo figura 6 de la Hoja de ruta de HFC: no es el mejor enfoque pero es al menos numéricamente viable</t>
  </si>
  <si>
    <t>GgCO2e</t>
  </si>
  <si>
    <t xml:space="preserve">2F1  Refrigeración y Aire Acondicionado </t>
  </si>
  <si>
    <t>Reducción establecida por los proponentes de la iniciativa</t>
  </si>
  <si>
    <t>MtCO2e</t>
  </si>
  <si>
    <t>Redondeo Tendencial</t>
  </si>
  <si>
    <t>Redondeo Enmienda de Kigali</t>
  </si>
  <si>
    <t>5ta CN</t>
  </si>
  <si>
    <t>CATEGORÍA</t>
  </si>
  <si>
    <t>2A1 Producción de Cemento</t>
  </si>
  <si>
    <t>2A2 Producción de Cal</t>
  </si>
  <si>
    <t>2A3 Producción de Vidrio</t>
  </si>
  <si>
    <t>2A4a Cerámica</t>
  </si>
  <si>
    <t>2A4b Otros Usos de la Soda Ash</t>
  </si>
  <si>
    <t>2C1 Producción de Hierro y Acero</t>
  </si>
  <si>
    <t>2C5 Producción de Plomo</t>
  </si>
  <si>
    <t>2D1 Uso de Lubricantes</t>
  </si>
  <si>
    <t>2D2 Uso de Cera de Parafina</t>
  </si>
  <si>
    <t xml:space="preserve">2F1 Refrigeración y Aire Acondicionado </t>
  </si>
  <si>
    <t>Interpolado</t>
  </si>
  <si>
    <t>ROUND 4</t>
  </si>
  <si>
    <t>Original 4ta</t>
  </si>
  <si>
    <t>Comportamiento original PLANMICC normalizado con valor de 2022 de otros PIUP</t>
  </si>
  <si>
    <t>ROUNDUP 4</t>
  </si>
  <si>
    <t>ROUNDDOWN 4</t>
  </si>
  <si>
    <t>Calculados usando interpolación de alguna variable</t>
  </si>
  <si>
    <t>Emisiones cuarta</t>
  </si>
  <si>
    <t>Emisiones quinta</t>
  </si>
  <si>
    <t>Como las emisiones de cemento no varían entre 2010 y 2018, los factores de emisión y actividad son los mismos</t>
  </si>
  <si>
    <t>Además, se mantien el ultimo valor conocido del 2018 para el factor de emisión</t>
  </si>
  <si>
    <t>Se mantiene constante el valor del 2018</t>
  </si>
  <si>
    <t>Factor de emisión cuarta</t>
  </si>
  <si>
    <t>MtCO2e/Mt Clinker</t>
  </si>
  <si>
    <t>Factor de emisión quinta</t>
  </si>
  <si>
    <t>Clinker [Mt]</t>
  </si>
  <si>
    <t>Factor de Clinker [%] calculado 4CN</t>
  </si>
  <si>
    <t>Cemento [Mt]</t>
  </si>
  <si>
    <t>PlanMICC cemento [Mt]</t>
  </si>
  <si>
    <t>PlanMICC normalizado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</si>
</sst>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/>
  </cellStyleXfs>
  <cellXfs count="10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3" borderId="1" xfId="0" applyFill="1" applyBorder="1"/>
    <xf numFmtId="0" fontId="0" fillId="0" borderId="2" xfId="0" applyBorder="1"/>
    <xf numFmtId="0" fontId="1" fillId="0" borderId="0" xfId="0" applyFont="1"/>
    <xf numFmtId="2" fontId="0" fillId="0" borderId="0" xfId="0" applyNumberFormat="1"/>
    <xf numFmtId="0" fontId="0" fillId="6" borderId="1" xfId="0" applyFill="1" applyBorder="1" applyAlignment="1">
      <alignment horizontal="left"/>
    </xf>
    <xf numFmtId="2" fontId="0" fillId="6" borderId="1" xfId="0" applyNumberFormat="1" applyFill="1" applyBorder="1"/>
    <xf numFmtId="0" fontId="0" fillId="6" borderId="1" xfId="0" applyFill="1" applyBorder="1"/>
    <xf numFmtId="2" fontId="0" fillId="3" borderId="1" xfId="0" applyNumberFormat="1" applyFill="1" applyBorder="1"/>
    <xf numFmtId="2" fontId="0" fillId="7" borderId="1" xfId="0" applyNumberFormat="1" applyFill="1" applyBorder="1"/>
    <xf numFmtId="1" fontId="0" fillId="0" borderId="0" xfId="0" applyNumberFormat="1"/>
    <xf numFmtId="165" fontId="0" fillId="0" borderId="0" xfId="0" applyNumberFormat="1"/>
    <xf numFmtId="0" fontId="0" fillId="8" borderId="1" xfId="0" applyFill="1" applyBorder="1"/>
    <xf numFmtId="164" fontId="0" fillId="8" borderId="1" xfId="0" applyNumberFormat="1" applyFill="1" applyBorder="1"/>
    <xf numFmtId="165" fontId="0" fillId="0" borderId="1" xfId="0" applyNumberFormat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5" fontId="0" fillId="6" borderId="1" xfId="0" applyNumberFormat="1" applyFill="1" applyBorder="1"/>
    <xf numFmtId="165" fontId="0" fillId="10" borderId="1" xfId="0" applyNumberFormat="1" applyFill="1" applyBorder="1"/>
    <xf numFmtId="0" fontId="0" fillId="3" borderId="0" xfId="0" applyFill="1"/>
    <xf numFmtId="165" fontId="0" fillId="7" borderId="1" xfId="0" applyNumberFormat="1" applyFill="1" applyBorder="1"/>
    <xf numFmtId="0" fontId="0" fillId="0" borderId="3" xfId="0" applyBorder="1"/>
    <xf numFmtId="165" fontId="0" fillId="9" borderId="0" xfId="0" applyNumberFormat="1" applyFill="1"/>
    <xf numFmtId="165" fontId="0" fillId="2" borderId="1" xfId="0" applyNumberFormat="1" applyFill="1" applyBorder="1"/>
    <xf numFmtId="0" fontId="0" fillId="11" borderId="4" xfId="0" applyFill="1" applyBorder="1"/>
    <xf numFmtId="0" fontId="0" fillId="11" borderId="5" xfId="0" applyFill="1" applyBorder="1"/>
    <xf numFmtId="0" fontId="1" fillId="11" borderId="5" xfId="0" applyFont="1" applyFill="1" applyBorder="1"/>
    <xf numFmtId="0" fontId="0" fillId="11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1" fillId="9" borderId="0" xfId="0" applyFont="1" applyFill="1"/>
    <xf numFmtId="0" fontId="0" fillId="9" borderId="11" xfId="0" applyFill="1" applyBorder="1"/>
    <xf numFmtId="0" fontId="0" fillId="9" borderId="0" xfId="0" applyFill="1"/>
    <xf numFmtId="0" fontId="0" fillId="12" borderId="1" xfId="0" applyFill="1" applyBorder="1" applyAlignment="1">
      <alignment horizontal="center" vertical="center" wrapText="1"/>
    </xf>
    <xf numFmtId="0" fontId="0" fillId="13" borderId="0" xfId="0" applyFill="1" applyAlignment="1">
      <alignment vertical="center"/>
    </xf>
    <xf numFmtId="0" fontId="0" fillId="9" borderId="14" xfId="0" applyFill="1" applyBorder="1"/>
    <xf numFmtId="0" fontId="0" fillId="9" borderId="3" xfId="0" applyFill="1" applyBorder="1"/>
    <xf numFmtId="0" fontId="0" fillId="9" borderId="15" xfId="0" applyFill="1" applyBorder="1"/>
    <xf numFmtId="9" fontId="1" fillId="12" borderId="0" xfId="1" applyFont="1" applyFill="1" applyBorder="1"/>
    <xf numFmtId="0" fontId="1" fillId="9" borderId="0" xfId="0" applyFont="1" applyFill="1" applyAlignment="1">
      <alignment wrapText="1"/>
    </xf>
    <xf numFmtId="0" fontId="0" fillId="12" borderId="1" xfId="0" applyFill="1" applyBorder="1" applyAlignment="1">
      <alignment horizontal="center"/>
    </xf>
    <xf numFmtId="165" fontId="0" fillId="0" borderId="0" xfId="0" applyNumberFormat="1" applyAlignment="1">
      <alignment vertical="center"/>
    </xf>
    <xf numFmtId="9" fontId="0" fillId="0" borderId="0" xfId="1" applyFont="1" applyFill="1" applyBorder="1" applyAlignment="1">
      <alignment vertical="center"/>
    </xf>
    <xf numFmtId="167" fontId="0" fillId="0" borderId="0" xfId="0" applyNumberFormat="1"/>
    <xf numFmtId="10" fontId="0" fillId="0" borderId="0" xfId="1" applyNumberFormat="1" applyFont="1" applyFill="1"/>
    <xf numFmtId="166" fontId="0" fillId="9" borderId="0" xfId="0" applyNumberFormat="1" applyFill="1"/>
    <xf numFmtId="0" fontId="1" fillId="7" borderId="0" xfId="0" applyFont="1" applyFill="1"/>
    <xf numFmtId="9" fontId="0" fillId="9" borderId="0" xfId="0" applyNumberFormat="1" applyFill="1"/>
    <xf numFmtId="1" fontId="0" fillId="7" borderId="0" xfId="0" applyNumberFormat="1" applyFill="1"/>
    <xf numFmtId="9" fontId="0" fillId="0" borderId="0" xfId="1" applyFont="1"/>
    <xf numFmtId="164" fontId="0" fillId="0" borderId="1" xfId="0" applyNumberFormat="1" applyBorder="1"/>
    <xf numFmtId="164" fontId="0" fillId="0" borderId="0" xfId="0" applyNumberFormat="1"/>
    <xf numFmtId="0" fontId="1" fillId="0" borderId="17" xfId="0" applyFont="1" applyBorder="1" applyAlignment="1">
      <alignment horizontal="left" vertical="center" wrapText="1"/>
    </xf>
    <xf numFmtId="0" fontId="0" fillId="0" borderId="20" xfId="0" applyBorder="1"/>
    <xf numFmtId="0" fontId="0" fillId="0" borderId="22" xfId="0" applyBorder="1"/>
    <xf numFmtId="0" fontId="1" fillId="0" borderId="25" xfId="0" applyFont="1" applyBorder="1" applyAlignment="1">
      <alignment horizontal="left" vertical="center" wrapText="1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164" fontId="1" fillId="0" borderId="18" xfId="0" applyNumberFormat="1" applyFont="1" applyBorder="1"/>
    <xf numFmtId="164" fontId="1" fillId="0" borderId="19" xfId="0" applyNumberFormat="1" applyFont="1" applyBorder="1"/>
    <xf numFmtId="164" fontId="0" fillId="0" borderId="21" xfId="0" applyNumberFormat="1" applyBorder="1"/>
    <xf numFmtId="164" fontId="0" fillId="0" borderId="23" xfId="0" applyNumberFormat="1" applyBorder="1"/>
    <xf numFmtId="164" fontId="0" fillId="0" borderId="24" xfId="0" applyNumberFormat="1" applyBorder="1"/>
    <xf numFmtId="164" fontId="0" fillId="0" borderId="26" xfId="0" applyNumberFormat="1" applyBorder="1"/>
    <xf numFmtId="164" fontId="0" fillId="0" borderId="27" xfId="0" applyNumberFormat="1" applyBorder="1"/>
    <xf numFmtId="9" fontId="0" fillId="0" borderId="26" xfId="1" applyFont="1" applyBorder="1"/>
    <xf numFmtId="9" fontId="0" fillId="0" borderId="27" xfId="1" applyFont="1" applyBorder="1"/>
    <xf numFmtId="164" fontId="0" fillId="5" borderId="1" xfId="0" applyNumberFormat="1" applyFill="1" applyBorder="1"/>
    <xf numFmtId="0" fontId="1" fillId="7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/>
    </xf>
    <xf numFmtId="164" fontId="0" fillId="7" borderId="1" xfId="0" applyNumberFormat="1" applyFill="1" applyBorder="1"/>
    <xf numFmtId="0" fontId="0" fillId="15" borderId="0" xfId="0" applyFill="1"/>
    <xf numFmtId="0" fontId="0" fillId="4" borderId="0" xfId="0" applyFill="1"/>
    <xf numFmtId="0" fontId="0" fillId="14" borderId="0" xfId="0" applyFill="1"/>
    <xf numFmtId="164" fontId="0" fillId="5" borderId="0" xfId="0" applyNumberFormat="1" applyFill="1"/>
    <xf numFmtId="164" fontId="0" fillId="3" borderId="0" xfId="0" applyNumberFormat="1" applyFill="1"/>
    <xf numFmtId="1" fontId="1" fillId="7" borderId="0" xfId="0" applyNumberFormat="1" applyFont="1" applyFill="1" applyAlignment="1">
      <alignment vertical="center"/>
    </xf>
    <xf numFmtId="1" fontId="0" fillId="7" borderId="0" xfId="0" applyNumberFormat="1" applyFill="1" applyAlignment="1">
      <alignment vertical="center"/>
    </xf>
    <xf numFmtId="0" fontId="0" fillId="16" borderId="0" xfId="0" applyFill="1"/>
    <xf numFmtId="0" fontId="0" fillId="7" borderId="0" xfId="0" applyFill="1"/>
    <xf numFmtId="0" fontId="1" fillId="7" borderId="0" xfId="0" applyFont="1" applyFill="1" applyAlignment="1">
      <alignment vertical="center"/>
    </xf>
    <xf numFmtId="9" fontId="0" fillId="7" borderId="0" xfId="1" applyFont="1" applyFill="1" applyBorder="1" applyAlignment="1">
      <alignment vertical="center"/>
    </xf>
    <xf numFmtId="2" fontId="0" fillId="7" borderId="0" xfId="0" applyNumberFormat="1" applyFill="1" applyAlignment="1">
      <alignment vertical="center"/>
    </xf>
    <xf numFmtId="2" fontId="0" fillId="7" borderId="0" xfId="0" applyNumberFormat="1" applyFill="1"/>
    <xf numFmtId="165" fontId="0" fillId="7" borderId="0" xfId="0" applyNumberFormat="1" applyFill="1"/>
    <xf numFmtId="1" fontId="0" fillId="9" borderId="0" xfId="0" applyNumberFormat="1" applyFill="1"/>
    <xf numFmtId="2" fontId="0" fillId="7" borderId="0" xfId="0" applyNumberFormat="1" applyFill="1" applyAlignment="1">
      <alignment horizontal="right"/>
    </xf>
    <xf numFmtId="164" fontId="0" fillId="7" borderId="27" xfId="0" applyNumberFormat="1" applyFill="1" applyBorder="1"/>
    <xf numFmtId="164" fontId="0" fillId="7" borderId="26" xfId="0" applyNumberFormat="1" applyFill="1" applyBorder="1"/>
    <xf numFmtId="9" fontId="0" fillId="7" borderId="0" xfId="1" applyFont="1" applyFill="1"/>
    <xf numFmtId="10" fontId="0" fillId="7" borderId="0" xfId="1" applyNumberFormat="1" applyFont="1" applyFill="1"/>
    <xf numFmtId="0" fontId="0" fillId="12" borderId="12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</cellXfs>
  <cellStyles count="3">
    <cellStyle name="Normal" xfId="0" builtinId="0"/>
    <cellStyle name="Normal 2" xfId="2" xr:uid="{8C60B3A8-ACFD-42B1-8960-5556B9C03F08}"/>
    <cellStyle name="Percent" xfId="1" builtinId="5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Act_HFC!$F$6:$AE$6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Act_HFC!$F$19:$AE$19</c:f>
              <c:numCache>
                <c:formatCode>0.0000</c:formatCode>
                <c:ptCount val="26"/>
                <c:pt idx="0">
                  <c:v>0.21490000000000001</c:v>
                </c:pt>
                <c:pt idx="1">
                  <c:v>0.252</c:v>
                </c:pt>
                <c:pt idx="2">
                  <c:v>0.28910000000000002</c:v>
                </c:pt>
                <c:pt idx="3">
                  <c:v>0.33179999999999998</c:v>
                </c:pt>
                <c:pt idx="4">
                  <c:v>0.3745</c:v>
                </c:pt>
                <c:pt idx="5">
                  <c:v>0.42370000000000002</c:v>
                </c:pt>
                <c:pt idx="6">
                  <c:v>0.47289999999999999</c:v>
                </c:pt>
                <c:pt idx="7">
                  <c:v>0.496</c:v>
                </c:pt>
                <c:pt idx="8">
                  <c:v>0.51910000000000001</c:v>
                </c:pt>
                <c:pt idx="9">
                  <c:v>0.86109999999999998</c:v>
                </c:pt>
                <c:pt idx="10">
                  <c:v>1.2030000000000001</c:v>
                </c:pt>
                <c:pt idx="11">
                  <c:v>1.3250999999999999</c:v>
                </c:pt>
                <c:pt idx="12">
                  <c:v>1.9576</c:v>
                </c:pt>
                <c:pt idx="13">
                  <c:v>2.3839999999999999</c:v>
                </c:pt>
                <c:pt idx="14">
                  <c:v>2.8102999999999998</c:v>
                </c:pt>
                <c:pt idx="15">
                  <c:v>3.2366999999999999</c:v>
                </c:pt>
                <c:pt idx="16">
                  <c:v>3.6631</c:v>
                </c:pt>
                <c:pt idx="17">
                  <c:v>4.0895000000000001</c:v>
                </c:pt>
                <c:pt idx="18">
                  <c:v>4.5159000000000002</c:v>
                </c:pt>
                <c:pt idx="19">
                  <c:v>4.9421999999999997</c:v>
                </c:pt>
                <c:pt idx="20">
                  <c:v>5.3685999999999998</c:v>
                </c:pt>
                <c:pt idx="21">
                  <c:v>5.38</c:v>
                </c:pt>
                <c:pt idx="22">
                  <c:v>5.3913000000000002</c:v>
                </c:pt>
                <c:pt idx="23">
                  <c:v>5.4025999999999996</c:v>
                </c:pt>
                <c:pt idx="24">
                  <c:v>5.4139999999999997</c:v>
                </c:pt>
                <c:pt idx="25">
                  <c:v>5.4253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C-47F3-A995-8109D9B26D7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Act_HFC!$F$6:$AE$6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Act_HFC!$F$20:$AE$20</c:f>
              <c:numCache>
                <c:formatCode>0.0000</c:formatCode>
                <c:ptCount val="26"/>
                <c:pt idx="0">
                  <c:v>0.21490000000000001</c:v>
                </c:pt>
                <c:pt idx="1">
                  <c:v>0.252</c:v>
                </c:pt>
                <c:pt idx="2">
                  <c:v>0.28910000000000002</c:v>
                </c:pt>
                <c:pt idx="3">
                  <c:v>0.33179999999999998</c:v>
                </c:pt>
                <c:pt idx="4">
                  <c:v>0.3745</c:v>
                </c:pt>
                <c:pt idx="5">
                  <c:v>0.42370000000000002</c:v>
                </c:pt>
                <c:pt idx="6">
                  <c:v>0.47289999999999999</c:v>
                </c:pt>
                <c:pt idx="7">
                  <c:v>0.496</c:v>
                </c:pt>
                <c:pt idx="8">
                  <c:v>0.51910000000000001</c:v>
                </c:pt>
                <c:pt idx="9">
                  <c:v>0.86109999999999998</c:v>
                </c:pt>
                <c:pt idx="10">
                  <c:v>1.2030000000000001</c:v>
                </c:pt>
                <c:pt idx="11">
                  <c:v>1.3250999999999999</c:v>
                </c:pt>
                <c:pt idx="12">
                  <c:v>1.9576</c:v>
                </c:pt>
                <c:pt idx="13">
                  <c:v>2.3839999999999999</c:v>
                </c:pt>
                <c:pt idx="14">
                  <c:v>2.8102999999999998</c:v>
                </c:pt>
                <c:pt idx="15">
                  <c:v>3.2366999999999999</c:v>
                </c:pt>
                <c:pt idx="16">
                  <c:v>3.5838000000000001</c:v>
                </c:pt>
                <c:pt idx="17">
                  <c:v>3.931</c:v>
                </c:pt>
                <c:pt idx="18">
                  <c:v>4.2781000000000002</c:v>
                </c:pt>
                <c:pt idx="19">
                  <c:v>4.6252000000000004</c:v>
                </c:pt>
                <c:pt idx="20">
                  <c:v>4.9984999999999999</c:v>
                </c:pt>
                <c:pt idx="21">
                  <c:v>4.9566999999999997</c:v>
                </c:pt>
                <c:pt idx="22">
                  <c:v>4.9149000000000003</c:v>
                </c:pt>
                <c:pt idx="23">
                  <c:v>4.8731</c:v>
                </c:pt>
                <c:pt idx="24">
                  <c:v>4.8312999999999997</c:v>
                </c:pt>
                <c:pt idx="25">
                  <c:v>4.7895000000000003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2C-47F3-A995-8109D9B26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778384"/>
        <c:axId val="1049776944"/>
      </c:lineChart>
      <c:catAx>
        <c:axId val="104977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776944"/>
        <c:crosses val="autoZero"/>
        <c:auto val="1"/>
        <c:lblAlgn val="ctr"/>
        <c:lblOffset val="100"/>
        <c:noMultiLvlLbl val="0"/>
      </c:catAx>
      <c:valAx>
        <c:axId val="10497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77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569595</xdr:colOff>
      <xdr:row>22</xdr:row>
      <xdr:rowOff>63816</xdr:rowOff>
    </xdr:from>
    <xdr:to>
      <xdr:col>22</xdr:col>
      <xdr:colOff>485775</xdr:colOff>
      <xdr:row>39</xdr:row>
      <xdr:rowOff>70484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40E3B-3F86-DCE5-604C-42D337E4D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3F7D-7911-41EF-8B32-D42787588DD7}">
  <dimension ref="B2:E8"/>
  <sheetViews>
    <sheetView workbookViewId="0"/>
  </sheetViews>
  <sheetFormatPr defaultRowHeight="14.4" x14ac:dyDescent="0.3"/>
  <cols>
    <col min="2" max="2" width="15.6640625" bestFit="1" customWidth="1"/>
    <col min="3" max="3" width="62.6640625" bestFit="1" customWidth="1"/>
    <col min="5" max="5" width="32.44140625" bestFit="1" customWidth="1"/>
  </cols>
  <sheetData>
    <row r="2" spans="2:5" x14ac:dyDescent="0.3">
      <c r="B2" s="7" t="s">
        <v>0</v>
      </c>
      <c r="E2" s="7" t="s">
        <v>1</v>
      </c>
    </row>
    <row r="3" spans="2:5" x14ac:dyDescent="0.3">
      <c r="E3" s="7"/>
    </row>
    <row r="4" spans="2:5" x14ac:dyDescent="0.3">
      <c r="B4" t="s">
        <v>2</v>
      </c>
      <c r="C4" t="s">
        <v>3</v>
      </c>
      <c r="E4" s="78" t="s">
        <v>4</v>
      </c>
    </row>
    <row r="5" spans="2:5" x14ac:dyDescent="0.3">
      <c r="B5" t="s">
        <v>5</v>
      </c>
      <c r="C5" t="s">
        <v>6</v>
      </c>
      <c r="E5" s="80" t="s">
        <v>7</v>
      </c>
    </row>
    <row r="6" spans="2:5" x14ac:dyDescent="0.3">
      <c r="B6" t="s">
        <v>8</v>
      </c>
      <c r="C6" t="s">
        <v>9</v>
      </c>
      <c r="E6" s="80" t="s">
        <v>10</v>
      </c>
    </row>
    <row r="7" spans="2:5" x14ac:dyDescent="0.3">
      <c r="B7" t="s">
        <v>11</v>
      </c>
      <c r="C7" t="s">
        <v>12</v>
      </c>
      <c r="E7" s="80" t="s">
        <v>13</v>
      </c>
    </row>
    <row r="8" spans="2:5" x14ac:dyDescent="0.3">
      <c r="B8" t="s">
        <v>14</v>
      </c>
      <c r="C8" t="s">
        <v>15</v>
      </c>
      <c r="E8" s="7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0CF0-CA2B-4F01-AC31-733EFFC9C391}">
  <sheetPr>
    <tabColor rgb="FFCC99FF"/>
  </sheetPr>
  <dimension ref="B1:AB6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2" max="2" width="96.5546875" bestFit="1" customWidth="1"/>
    <col min="3" max="3" width="21.5546875" bestFit="1" customWidth="1"/>
    <col min="27" max="28" width="9.44140625" bestFit="1" customWidth="1"/>
  </cols>
  <sheetData>
    <row r="1" spans="2:28" ht="15" thickBot="1" x14ac:dyDescent="0.35">
      <c r="C1" s="62">
        <v>2010</v>
      </c>
      <c r="D1" s="63">
        <v>2011</v>
      </c>
      <c r="E1" s="63">
        <v>2012</v>
      </c>
      <c r="F1" s="63">
        <v>2013</v>
      </c>
      <c r="G1" s="63">
        <v>2014</v>
      </c>
      <c r="H1" s="63">
        <v>2015</v>
      </c>
      <c r="I1" s="63">
        <v>2016</v>
      </c>
      <c r="J1" s="63">
        <v>2017</v>
      </c>
      <c r="K1" s="63">
        <v>2018</v>
      </c>
      <c r="L1" s="63">
        <v>2019</v>
      </c>
      <c r="M1" s="63">
        <v>2020</v>
      </c>
      <c r="N1" s="63">
        <v>2021</v>
      </c>
      <c r="O1" s="63">
        <v>2022</v>
      </c>
      <c r="P1" s="63">
        <v>2023</v>
      </c>
      <c r="Q1" s="63">
        <v>2024</v>
      </c>
      <c r="R1" s="63">
        <v>2025</v>
      </c>
      <c r="S1" s="63">
        <v>2026</v>
      </c>
      <c r="T1" s="63">
        <v>2027</v>
      </c>
      <c r="U1" s="63">
        <v>2028</v>
      </c>
      <c r="V1" s="63">
        <v>2029</v>
      </c>
      <c r="W1" s="63">
        <v>2030</v>
      </c>
      <c r="X1" s="63">
        <v>2031</v>
      </c>
      <c r="Y1" s="63">
        <v>2032</v>
      </c>
      <c r="Z1" s="63">
        <v>2033</v>
      </c>
      <c r="AA1" s="63">
        <v>2034</v>
      </c>
      <c r="AB1" s="64">
        <v>2035</v>
      </c>
    </row>
    <row r="4" spans="2:28" x14ac:dyDescent="0.3">
      <c r="B4" s="7" t="s">
        <v>17</v>
      </c>
    </row>
    <row r="6" spans="2:28" ht="15" thickBot="1" x14ac:dyDescent="0.35"/>
    <row r="7" spans="2:28" x14ac:dyDescent="0.3">
      <c r="B7" s="58" t="s">
        <v>18</v>
      </c>
      <c r="C7" s="65">
        <f>SUM(C8:C9)</f>
        <v>2205.4687670000003</v>
      </c>
      <c r="D7" s="65">
        <f t="shared" ref="D7:AB7" si="0">SUM(D8:D9)</f>
        <v>2307.3022984999998</v>
      </c>
      <c r="E7" s="65">
        <f t="shared" si="0"/>
        <v>2409.1358299999997</v>
      </c>
      <c r="F7" s="65">
        <f t="shared" si="0"/>
        <v>2406.0279149999997</v>
      </c>
      <c r="G7" s="65">
        <f t="shared" si="0"/>
        <v>2402.8199999999997</v>
      </c>
      <c r="H7" s="65">
        <f t="shared" si="0"/>
        <v>2348.6800000000003</v>
      </c>
      <c r="I7" s="65">
        <f t="shared" si="0"/>
        <v>2294.44</v>
      </c>
      <c r="J7" s="65">
        <f t="shared" si="0"/>
        <v>2395.2738888888894</v>
      </c>
      <c r="K7" s="65">
        <f t="shared" si="0"/>
        <v>2496.2077777777777</v>
      </c>
      <c r="L7" s="65">
        <f t="shared" si="0"/>
        <v>2135.6968616666668</v>
      </c>
      <c r="M7" s="65">
        <f t="shared" si="0"/>
        <v>1775.0859455555558</v>
      </c>
      <c r="N7" s="65">
        <f t="shared" si="0"/>
        <v>2509.7324164444444</v>
      </c>
      <c r="O7" s="65">
        <f t="shared" si="0"/>
        <v>2503.6045053333332</v>
      </c>
      <c r="P7" s="65">
        <f t="shared" si="0"/>
        <v>2626.5815286361308</v>
      </c>
      <c r="Q7" s="65">
        <f t="shared" si="0"/>
        <v>2748.3328420319813</v>
      </c>
      <c r="R7" s="65">
        <f t="shared" si="0"/>
        <v>2868.8422340230231</v>
      </c>
      <c r="S7" s="65">
        <f t="shared" si="0"/>
        <v>2973.1927503453617</v>
      </c>
      <c r="T7" s="65">
        <f t="shared" si="0"/>
        <v>3075.8185835043741</v>
      </c>
      <c r="U7" s="65">
        <f t="shared" si="0"/>
        <v>3177.6014685149576</v>
      </c>
      <c r="V7" s="65">
        <f t="shared" si="0"/>
        <v>3278.1003667457262</v>
      </c>
      <c r="W7" s="65">
        <f t="shared" si="0"/>
        <v>3377.07560855679</v>
      </c>
      <c r="X7" s="65">
        <f t="shared" si="0"/>
        <v>3496.2933878414947</v>
      </c>
      <c r="Y7" s="65">
        <f t="shared" si="0"/>
        <v>3615.7111671261982</v>
      </c>
      <c r="Z7" s="65">
        <f t="shared" si="0"/>
        <v>3735.1892767710124</v>
      </c>
      <c r="AA7" s="65">
        <f t="shared" si="0"/>
        <v>3855.2070560557167</v>
      </c>
      <c r="AB7" s="66">
        <f t="shared" si="0"/>
        <v>3975.4248353404209</v>
      </c>
    </row>
    <row r="8" spans="2:28" x14ac:dyDescent="0.3">
      <c r="B8" s="59" t="s">
        <v>19</v>
      </c>
      <c r="C8" s="56">
        <f>Act_Cemento_Otros_PIUP_sinHFC!H66</f>
        <v>1781.9687670000003</v>
      </c>
      <c r="D8" s="56">
        <f>Act_Cemento_Otros_PIUP_sinHFC!I66</f>
        <v>1784.8022984999998</v>
      </c>
      <c r="E8" s="56">
        <f>Act_Cemento_Otros_PIUP_sinHFC!J66</f>
        <v>1787.6358299999997</v>
      </c>
      <c r="F8" s="56">
        <f>Act_Cemento_Otros_PIUP_sinHFC!K66</f>
        <v>1836.2279149999997</v>
      </c>
      <c r="G8" s="56">
        <f>Act_Cemento_Otros_PIUP_sinHFC!L66</f>
        <v>1884.8199999999997</v>
      </c>
      <c r="H8" s="56">
        <f>Act_Cemento_Otros_PIUP_sinHFC!M66</f>
        <v>1817.7800000000002</v>
      </c>
      <c r="I8" s="56">
        <f>Act_Cemento_Otros_PIUP_sinHFC!N66</f>
        <v>1750.7400000000002</v>
      </c>
      <c r="J8" s="56">
        <f>Act_Cemento_Otros_PIUP_sinHFC!O66</f>
        <v>1925.7738888888894</v>
      </c>
      <c r="K8" s="56">
        <f>Act_Cemento_Otros_PIUP_sinHFC!P66</f>
        <v>2100.8077777777776</v>
      </c>
      <c r="L8" s="56">
        <f>Act_Cemento_Otros_PIUP_sinHFC!Q66</f>
        <v>1796.0968616666667</v>
      </c>
      <c r="M8" s="56">
        <f>Act_Cemento_Otros_PIUP_sinHFC!R66</f>
        <v>1491.3859455555557</v>
      </c>
      <c r="N8" s="56">
        <f>Act_Cemento_Otros_PIUP_sinHFC!S66</f>
        <v>2144.3324164444448</v>
      </c>
      <c r="O8" s="56">
        <f>Act_Cemento_Otros_PIUP_sinHFC!T66</f>
        <v>2013.2045053333331</v>
      </c>
      <c r="P8" s="56">
        <f>Act_Cemento_Otros_PIUP_sinHFC!U66</f>
        <v>2125.781528636131</v>
      </c>
      <c r="Q8" s="56">
        <f>Act_Cemento_Otros_PIUP_sinHFC!V66</f>
        <v>2236.8328420319813</v>
      </c>
      <c r="R8" s="56">
        <f>Act_Cemento_Otros_PIUP_sinHFC!W66</f>
        <v>2346.442234023023</v>
      </c>
      <c r="S8" s="56">
        <f>Act_Cemento_Otros_PIUP_sinHFC!X66</f>
        <v>2439.3927503453619</v>
      </c>
      <c r="T8" s="56">
        <f>Act_Cemento_Otros_PIUP_sinHFC!Y66</f>
        <v>2530.8185835043741</v>
      </c>
      <c r="U8" s="56">
        <f>Act_Cemento_Otros_PIUP_sinHFC!Z66</f>
        <v>2620.8014685149574</v>
      </c>
      <c r="V8" s="56">
        <f>Act_Cemento_Otros_PIUP_sinHFC!AA66</f>
        <v>2709.3003667457265</v>
      </c>
      <c r="W8" s="56">
        <f>Act_Cemento_Otros_PIUP_sinHFC!AB66</f>
        <v>2796.2756085567898</v>
      </c>
      <c r="X8" s="56">
        <f>Act_Cemento_Otros_PIUP_sinHFC!AC66</f>
        <v>2902.9933878414945</v>
      </c>
      <c r="Y8" s="56">
        <f>Act_Cemento_Otros_PIUP_sinHFC!AD66</f>
        <v>3009.7111671261982</v>
      </c>
      <c r="Z8" s="56">
        <f>Act_Cemento_Otros_PIUP_sinHFC!AE66</f>
        <v>3116.3892767710122</v>
      </c>
      <c r="AA8" s="56">
        <f>Act_Cemento_Otros_PIUP_sinHFC!AF66</f>
        <v>3223.1070560557168</v>
      </c>
      <c r="AB8" s="67">
        <f>Act_Cemento_Otros_PIUP_sinHFC!AG66</f>
        <v>3329.824835340421</v>
      </c>
    </row>
    <row r="9" spans="2:28" ht="15" thickBot="1" x14ac:dyDescent="0.35">
      <c r="B9" s="60" t="s">
        <v>20</v>
      </c>
      <c r="C9" s="68">
        <f>Act_Cemento_Otros_PIUP_sinHFC!H58</f>
        <v>423.50000000000006</v>
      </c>
      <c r="D9" s="68">
        <f>Act_Cemento_Otros_PIUP_sinHFC!I58</f>
        <v>522.5</v>
      </c>
      <c r="E9" s="68">
        <f>Act_Cemento_Otros_PIUP_sinHFC!J58</f>
        <v>621.49999999999989</v>
      </c>
      <c r="F9" s="68">
        <f>Act_Cemento_Otros_PIUP_sinHFC!K58</f>
        <v>569.79999999999995</v>
      </c>
      <c r="G9" s="68">
        <f>Act_Cemento_Otros_PIUP_sinHFC!L58</f>
        <v>518</v>
      </c>
      <c r="H9" s="68">
        <f>Act_Cemento_Otros_PIUP_sinHFC!M58</f>
        <v>530.90000000000009</v>
      </c>
      <c r="I9" s="68">
        <f>Act_Cemento_Otros_PIUP_sinHFC!N58</f>
        <v>543.69999999999993</v>
      </c>
      <c r="J9" s="68">
        <f>Act_Cemento_Otros_PIUP_sinHFC!O58</f>
        <v>469.5</v>
      </c>
      <c r="K9" s="68">
        <f>Act_Cemento_Otros_PIUP_sinHFC!P58</f>
        <v>395.40000000000003</v>
      </c>
      <c r="L9" s="68">
        <f>Act_Cemento_Otros_PIUP_sinHFC!Q58</f>
        <v>339.60000000000008</v>
      </c>
      <c r="M9" s="68">
        <f>Act_Cemento_Otros_PIUP_sinHFC!R58</f>
        <v>283.7</v>
      </c>
      <c r="N9" s="68">
        <f>Act_Cemento_Otros_PIUP_sinHFC!S58</f>
        <v>365.39999999999986</v>
      </c>
      <c r="O9" s="68">
        <f>Act_Cemento_Otros_PIUP_sinHFC!T58</f>
        <v>490.4</v>
      </c>
      <c r="P9" s="68">
        <f>Act_Cemento_Otros_PIUP_sinHFC!U58</f>
        <v>500.7999999999999</v>
      </c>
      <c r="Q9" s="68">
        <f>Act_Cemento_Otros_PIUP_sinHFC!V58</f>
        <v>511.49999999999994</v>
      </c>
      <c r="R9" s="68">
        <f>Act_Cemento_Otros_PIUP_sinHFC!W58</f>
        <v>522.4</v>
      </c>
      <c r="S9" s="68">
        <f>Act_Cemento_Otros_PIUP_sinHFC!X58</f>
        <v>533.79999999999995</v>
      </c>
      <c r="T9" s="68">
        <f>Act_Cemento_Otros_PIUP_sinHFC!Y58</f>
        <v>544.99999999999989</v>
      </c>
      <c r="U9" s="68">
        <f>Act_Cemento_Otros_PIUP_sinHFC!Z58</f>
        <v>556.79999999999995</v>
      </c>
      <c r="V9" s="68">
        <f>Act_Cemento_Otros_PIUP_sinHFC!AA58</f>
        <v>568.79999999999995</v>
      </c>
      <c r="W9" s="68">
        <f>Act_Cemento_Otros_PIUP_sinHFC!AB58</f>
        <v>580.80000000000007</v>
      </c>
      <c r="X9" s="68">
        <f>Act_Cemento_Otros_PIUP_sinHFC!AC58</f>
        <v>593.30000000000007</v>
      </c>
      <c r="Y9" s="68">
        <f>Act_Cemento_Otros_PIUP_sinHFC!AD58</f>
        <v>606</v>
      </c>
      <c r="Z9" s="68">
        <f>Act_Cemento_Otros_PIUP_sinHFC!AE58</f>
        <v>618.80000000000007</v>
      </c>
      <c r="AA9" s="68">
        <f>Act_Cemento_Otros_PIUP_sinHFC!AF58</f>
        <v>632.09999999999991</v>
      </c>
      <c r="AB9" s="69">
        <f>Act_Cemento_Otros_PIUP_sinHFC!AG58</f>
        <v>645.6</v>
      </c>
    </row>
    <row r="10" spans="2:28" x14ac:dyDescent="0.3">
      <c r="B10" s="58" t="s">
        <v>21</v>
      </c>
      <c r="C10" s="65">
        <f>SUM(C11:C12)</f>
        <v>2205.4687670000003</v>
      </c>
      <c r="D10" s="65">
        <f t="shared" ref="D10:AB10" si="1">SUM(D11:D12)</f>
        <v>2307.3022984999998</v>
      </c>
      <c r="E10" s="65">
        <f t="shared" si="1"/>
        <v>2409.1358299999997</v>
      </c>
      <c r="F10" s="65">
        <f t="shared" si="1"/>
        <v>2406.0279149999997</v>
      </c>
      <c r="G10" s="65">
        <f t="shared" si="1"/>
        <v>2402.8199999999997</v>
      </c>
      <c r="H10" s="65">
        <f t="shared" si="1"/>
        <v>2348.6800000000003</v>
      </c>
      <c r="I10" s="65">
        <f t="shared" si="1"/>
        <v>2294.44</v>
      </c>
      <c r="J10" s="65">
        <f t="shared" si="1"/>
        <v>2359.3850000000002</v>
      </c>
      <c r="K10" s="65">
        <f t="shared" si="1"/>
        <v>2424.4299999999998</v>
      </c>
      <c r="L10" s="65">
        <f t="shared" si="1"/>
        <v>2028.030195</v>
      </c>
      <c r="M10" s="65">
        <f t="shared" si="1"/>
        <v>1631.5303900000001</v>
      </c>
      <c r="N10" s="65">
        <f t="shared" si="1"/>
        <v>2330.2879720000001</v>
      </c>
      <c r="O10" s="65">
        <f t="shared" si="1"/>
        <v>2288.2711719999998</v>
      </c>
      <c r="P10" s="65">
        <f t="shared" si="1"/>
        <v>2375.3593064139086</v>
      </c>
      <c r="Q10" s="65">
        <f t="shared" si="1"/>
        <v>2461.22173092087</v>
      </c>
      <c r="R10" s="65">
        <f t="shared" si="1"/>
        <v>2545.8422340230231</v>
      </c>
      <c r="S10" s="65">
        <f t="shared" si="1"/>
        <v>2629.4787503453617</v>
      </c>
      <c r="T10" s="65">
        <f t="shared" si="1"/>
        <v>2711.3905835043743</v>
      </c>
      <c r="U10" s="65">
        <f t="shared" si="1"/>
        <v>2792.4594685149577</v>
      </c>
      <c r="V10" s="65">
        <f t="shared" si="1"/>
        <v>2872.2443667457264</v>
      </c>
      <c r="W10" s="65">
        <f t="shared" si="1"/>
        <v>2950.5056085567899</v>
      </c>
      <c r="X10" s="65">
        <f t="shared" si="1"/>
        <v>3049.0093878414946</v>
      </c>
      <c r="Y10" s="65">
        <f t="shared" si="1"/>
        <v>3147.7131671261982</v>
      </c>
      <c r="Z10" s="65">
        <f t="shared" si="1"/>
        <v>3246.4772767710124</v>
      </c>
      <c r="AA10" s="65">
        <f t="shared" si="1"/>
        <v>3345.7810560557168</v>
      </c>
      <c r="AB10" s="66">
        <f t="shared" si="1"/>
        <v>3445.2848353404211</v>
      </c>
    </row>
    <row r="11" spans="2:28" x14ac:dyDescent="0.3">
      <c r="B11" s="59" t="s">
        <v>19</v>
      </c>
      <c r="C11" s="56">
        <f>Act_Cemento_Otros_PIUP_sinHFC!H67</f>
        <v>1781.9687670000003</v>
      </c>
      <c r="D11" s="56">
        <f>Act_Cemento_Otros_PIUP_sinHFC!I67</f>
        <v>1784.8022984999998</v>
      </c>
      <c r="E11" s="56">
        <f>Act_Cemento_Otros_PIUP_sinHFC!J67</f>
        <v>1787.6358299999997</v>
      </c>
      <c r="F11" s="56">
        <f>Act_Cemento_Otros_PIUP_sinHFC!K67</f>
        <v>1836.2279149999997</v>
      </c>
      <c r="G11" s="56">
        <f>Act_Cemento_Otros_PIUP_sinHFC!L67</f>
        <v>1884.8199999999997</v>
      </c>
      <c r="H11" s="56">
        <f>Act_Cemento_Otros_PIUP_sinHFC!M67</f>
        <v>1817.7800000000002</v>
      </c>
      <c r="I11" s="56">
        <f>Act_Cemento_Otros_PIUP_sinHFC!N67</f>
        <v>1750.7400000000002</v>
      </c>
      <c r="J11" s="56">
        <f>Act_Cemento_Otros_PIUP_sinHFC!O67</f>
        <v>1889.8850000000002</v>
      </c>
      <c r="K11" s="56">
        <f>Act_Cemento_Otros_PIUP_sinHFC!P67</f>
        <v>2029.0299999999997</v>
      </c>
      <c r="L11" s="56">
        <f>Act_Cemento_Otros_PIUP_sinHFC!Q67</f>
        <v>1688.4301949999999</v>
      </c>
      <c r="M11" s="56">
        <f>Act_Cemento_Otros_PIUP_sinHFC!R67</f>
        <v>1347.8303900000001</v>
      </c>
      <c r="N11" s="56">
        <f>Act_Cemento_Otros_PIUP_sinHFC!S67</f>
        <v>1964.8879720000002</v>
      </c>
      <c r="O11" s="56">
        <f>Act_Cemento_Otros_PIUP_sinHFC!T67</f>
        <v>1797.8711719999997</v>
      </c>
      <c r="P11" s="56">
        <f>Act_Cemento_Otros_PIUP_sinHFC!U67</f>
        <v>1874.5593064139089</v>
      </c>
      <c r="Q11" s="56">
        <f>Act_Cemento_Otros_PIUP_sinHFC!V67</f>
        <v>1949.7217309208702</v>
      </c>
      <c r="R11" s="56">
        <f>Act_Cemento_Otros_PIUP_sinHFC!W67</f>
        <v>2023.4422340230233</v>
      </c>
      <c r="S11" s="56">
        <f>Act_Cemento_Otros_PIUP_sinHFC!X67</f>
        <v>2095.678750345362</v>
      </c>
      <c r="T11" s="56">
        <f>Act_Cemento_Otros_PIUP_sinHFC!Y67</f>
        <v>2166.3905835043743</v>
      </c>
      <c r="U11" s="56">
        <f>Act_Cemento_Otros_PIUP_sinHFC!Z67</f>
        <v>2235.6594685149576</v>
      </c>
      <c r="V11" s="56">
        <f>Act_Cemento_Otros_PIUP_sinHFC!AA67</f>
        <v>2303.4443667457263</v>
      </c>
      <c r="W11" s="56">
        <f>Act_Cemento_Otros_PIUP_sinHFC!AB67</f>
        <v>2369.7056085567897</v>
      </c>
      <c r="X11" s="56">
        <f>Act_Cemento_Otros_PIUP_sinHFC!AC67</f>
        <v>2455.7093878414944</v>
      </c>
      <c r="Y11" s="56">
        <f>Act_Cemento_Otros_PIUP_sinHFC!AD67</f>
        <v>2541.7131671261982</v>
      </c>
      <c r="Z11" s="56">
        <f>Act_Cemento_Otros_PIUP_sinHFC!AE67</f>
        <v>2627.6772767710122</v>
      </c>
      <c r="AA11" s="56">
        <f>Act_Cemento_Otros_PIUP_sinHFC!AF67</f>
        <v>2713.6810560557169</v>
      </c>
      <c r="AB11" s="67">
        <f>Act_Cemento_Otros_PIUP_sinHFC!AG67</f>
        <v>2799.6848353404212</v>
      </c>
    </row>
    <row r="12" spans="2:28" ht="15" thickBot="1" x14ac:dyDescent="0.35">
      <c r="B12" s="60" t="s">
        <v>20</v>
      </c>
      <c r="C12" s="68">
        <f>Act_Cemento_Otros_PIUP_sinHFC!H58</f>
        <v>423.50000000000006</v>
      </c>
      <c r="D12" s="68">
        <f>Act_Cemento_Otros_PIUP_sinHFC!I58</f>
        <v>522.5</v>
      </c>
      <c r="E12" s="68">
        <f>Act_Cemento_Otros_PIUP_sinHFC!J58</f>
        <v>621.49999999999989</v>
      </c>
      <c r="F12" s="68">
        <f>Act_Cemento_Otros_PIUP_sinHFC!K58</f>
        <v>569.79999999999995</v>
      </c>
      <c r="G12" s="68">
        <f>Act_Cemento_Otros_PIUP_sinHFC!L58</f>
        <v>518</v>
      </c>
      <c r="H12" s="68">
        <f>Act_Cemento_Otros_PIUP_sinHFC!M58</f>
        <v>530.90000000000009</v>
      </c>
      <c r="I12" s="68">
        <f>Act_Cemento_Otros_PIUP_sinHFC!N58</f>
        <v>543.69999999999993</v>
      </c>
      <c r="J12" s="68">
        <f>Act_Cemento_Otros_PIUP_sinHFC!O58</f>
        <v>469.5</v>
      </c>
      <c r="K12" s="68">
        <f>Act_Cemento_Otros_PIUP_sinHFC!P58</f>
        <v>395.40000000000003</v>
      </c>
      <c r="L12" s="68">
        <f>Act_Cemento_Otros_PIUP_sinHFC!Q58</f>
        <v>339.60000000000008</v>
      </c>
      <c r="M12" s="68">
        <f>Act_Cemento_Otros_PIUP_sinHFC!R58</f>
        <v>283.7</v>
      </c>
      <c r="N12" s="68">
        <f>Act_Cemento_Otros_PIUP_sinHFC!S58</f>
        <v>365.39999999999986</v>
      </c>
      <c r="O12" s="68">
        <f>Act_Cemento_Otros_PIUP_sinHFC!T58</f>
        <v>490.4</v>
      </c>
      <c r="P12" s="68">
        <f>Act_Cemento_Otros_PIUP_sinHFC!U58</f>
        <v>500.7999999999999</v>
      </c>
      <c r="Q12" s="68">
        <f>Act_Cemento_Otros_PIUP_sinHFC!V58</f>
        <v>511.49999999999994</v>
      </c>
      <c r="R12" s="68">
        <f>Act_Cemento_Otros_PIUP_sinHFC!W58</f>
        <v>522.4</v>
      </c>
      <c r="S12" s="68">
        <f>Act_Cemento_Otros_PIUP_sinHFC!X58</f>
        <v>533.79999999999995</v>
      </c>
      <c r="T12" s="68">
        <f>Act_Cemento_Otros_PIUP_sinHFC!Y58</f>
        <v>544.99999999999989</v>
      </c>
      <c r="U12" s="68">
        <f>Act_Cemento_Otros_PIUP_sinHFC!Z58</f>
        <v>556.79999999999995</v>
      </c>
      <c r="V12" s="68">
        <f>Act_Cemento_Otros_PIUP_sinHFC!AA58</f>
        <v>568.79999999999995</v>
      </c>
      <c r="W12" s="68">
        <f>Act_Cemento_Otros_PIUP_sinHFC!AB58</f>
        <v>580.80000000000007</v>
      </c>
      <c r="X12" s="68">
        <f>Act_Cemento_Otros_PIUP_sinHFC!AC58</f>
        <v>593.30000000000007</v>
      </c>
      <c r="Y12" s="68">
        <f>Act_Cemento_Otros_PIUP_sinHFC!AD58</f>
        <v>606</v>
      </c>
      <c r="Z12" s="68">
        <f>Act_Cemento_Otros_PIUP_sinHFC!AE58</f>
        <v>618.80000000000007</v>
      </c>
      <c r="AA12" s="68">
        <f>Act_Cemento_Otros_PIUP_sinHFC!AF58</f>
        <v>632.09999999999991</v>
      </c>
      <c r="AB12" s="69">
        <f>Act_Cemento_Otros_PIUP_sinHFC!AG58</f>
        <v>645.6</v>
      </c>
    </row>
    <row r="13" spans="2:28" x14ac:dyDescent="0.3">
      <c r="B13" s="58" t="s">
        <v>22</v>
      </c>
      <c r="C13" s="65">
        <f>SUM(C14:C15)</f>
        <v>2205.4687670000003</v>
      </c>
      <c r="D13" s="65">
        <f t="shared" ref="D13:AB13" si="2">SUM(D14:D15)</f>
        <v>2307.3022984999998</v>
      </c>
      <c r="E13" s="65">
        <f t="shared" si="2"/>
        <v>2409.1358299999997</v>
      </c>
      <c r="F13" s="65">
        <f t="shared" si="2"/>
        <v>2406.0279149999997</v>
      </c>
      <c r="G13" s="65">
        <f t="shared" si="2"/>
        <v>2402.8199999999997</v>
      </c>
      <c r="H13" s="65">
        <f t="shared" si="2"/>
        <v>2348.6800000000003</v>
      </c>
      <c r="I13" s="65">
        <f t="shared" si="2"/>
        <v>2294.44</v>
      </c>
      <c r="J13" s="65">
        <f t="shared" si="2"/>
        <v>2359.3850000000002</v>
      </c>
      <c r="K13" s="65">
        <f t="shared" si="2"/>
        <v>2424.4299999999998</v>
      </c>
      <c r="L13" s="65">
        <f t="shared" si="2"/>
        <v>2028.030195</v>
      </c>
      <c r="M13" s="65">
        <f t="shared" si="2"/>
        <v>1631.5303900000001</v>
      </c>
      <c r="N13" s="65">
        <f t="shared" si="2"/>
        <v>2330.2879720000001</v>
      </c>
      <c r="O13" s="65">
        <f t="shared" si="2"/>
        <v>2288.2711719999998</v>
      </c>
      <c r="P13" s="65">
        <f t="shared" si="2"/>
        <v>2375.3593064139086</v>
      </c>
      <c r="Q13" s="65">
        <f t="shared" si="2"/>
        <v>2461.22173092087</v>
      </c>
      <c r="R13" s="65">
        <f t="shared" si="2"/>
        <v>2545.8422340230231</v>
      </c>
      <c r="S13" s="65">
        <f t="shared" si="2"/>
        <v>2629.4787503453617</v>
      </c>
      <c r="T13" s="65">
        <f t="shared" si="2"/>
        <v>2711.3905835043743</v>
      </c>
      <c r="U13" s="65">
        <f t="shared" si="2"/>
        <v>2792.4594685149577</v>
      </c>
      <c r="V13" s="65">
        <f t="shared" si="2"/>
        <v>2872.2443667457264</v>
      </c>
      <c r="W13" s="65">
        <f t="shared" si="2"/>
        <v>2950.5056085567899</v>
      </c>
      <c r="X13" s="65">
        <f t="shared" si="2"/>
        <v>3049.0093878414946</v>
      </c>
      <c r="Y13" s="65">
        <f t="shared" si="2"/>
        <v>3147.7131671261982</v>
      </c>
      <c r="Z13" s="65">
        <f t="shared" si="2"/>
        <v>3246.4772767710124</v>
      </c>
      <c r="AA13" s="65">
        <f t="shared" si="2"/>
        <v>3345.7810560557168</v>
      </c>
      <c r="AB13" s="66">
        <f t="shared" si="2"/>
        <v>3445.2848353404211</v>
      </c>
    </row>
    <row r="14" spans="2:28" x14ac:dyDescent="0.3">
      <c r="B14" s="59" t="s">
        <v>19</v>
      </c>
      <c r="C14" s="56">
        <f>Act_Cemento_Otros_PIUP_sinHFC!H68</f>
        <v>1781.9687670000003</v>
      </c>
      <c r="D14" s="56">
        <f>Act_Cemento_Otros_PIUP_sinHFC!I68</f>
        <v>1784.8022984999998</v>
      </c>
      <c r="E14" s="56">
        <f>Act_Cemento_Otros_PIUP_sinHFC!J68</f>
        <v>1787.6358299999997</v>
      </c>
      <c r="F14" s="56">
        <f>Act_Cemento_Otros_PIUP_sinHFC!K68</f>
        <v>1836.2279149999997</v>
      </c>
      <c r="G14" s="56">
        <f>Act_Cemento_Otros_PIUP_sinHFC!L68</f>
        <v>1884.8199999999997</v>
      </c>
      <c r="H14" s="56">
        <f>Act_Cemento_Otros_PIUP_sinHFC!M68</f>
        <v>1817.7800000000002</v>
      </c>
      <c r="I14" s="56">
        <f>Act_Cemento_Otros_PIUP_sinHFC!N68</f>
        <v>1750.7400000000002</v>
      </c>
      <c r="J14" s="56">
        <f>Act_Cemento_Otros_PIUP_sinHFC!O68</f>
        <v>1889.8850000000002</v>
      </c>
      <c r="K14" s="56">
        <f>Act_Cemento_Otros_PIUP_sinHFC!P68</f>
        <v>2029.0299999999997</v>
      </c>
      <c r="L14" s="56">
        <f>Act_Cemento_Otros_PIUP_sinHFC!Q68</f>
        <v>1688.4301949999999</v>
      </c>
      <c r="M14" s="56">
        <f>Act_Cemento_Otros_PIUP_sinHFC!R68</f>
        <v>1347.8303900000001</v>
      </c>
      <c r="N14" s="56">
        <f>Act_Cemento_Otros_PIUP_sinHFC!S68</f>
        <v>1964.8879720000002</v>
      </c>
      <c r="O14" s="56">
        <f>Act_Cemento_Otros_PIUP_sinHFC!T68</f>
        <v>1797.8711719999997</v>
      </c>
      <c r="P14" s="56">
        <f>Act_Cemento_Otros_PIUP_sinHFC!U68</f>
        <v>1874.5593064139089</v>
      </c>
      <c r="Q14" s="56">
        <f>Act_Cemento_Otros_PIUP_sinHFC!V68</f>
        <v>1949.7217309208702</v>
      </c>
      <c r="R14" s="56">
        <f>Act_Cemento_Otros_PIUP_sinHFC!W68</f>
        <v>2023.4422340230233</v>
      </c>
      <c r="S14" s="56">
        <f>Act_Cemento_Otros_PIUP_sinHFC!X68</f>
        <v>2095.678750345362</v>
      </c>
      <c r="T14" s="56">
        <f>Act_Cemento_Otros_PIUP_sinHFC!Y68</f>
        <v>2166.3905835043743</v>
      </c>
      <c r="U14" s="56">
        <f>Act_Cemento_Otros_PIUP_sinHFC!Z68</f>
        <v>2235.6594685149576</v>
      </c>
      <c r="V14" s="56">
        <f>Act_Cemento_Otros_PIUP_sinHFC!AA68</f>
        <v>2303.4443667457263</v>
      </c>
      <c r="W14" s="56">
        <f>Act_Cemento_Otros_PIUP_sinHFC!AB68</f>
        <v>2369.7056085567897</v>
      </c>
      <c r="X14" s="56">
        <f>Act_Cemento_Otros_PIUP_sinHFC!AC68</f>
        <v>2455.7093878414944</v>
      </c>
      <c r="Y14" s="56">
        <f>Act_Cemento_Otros_PIUP_sinHFC!AD68</f>
        <v>2541.7131671261982</v>
      </c>
      <c r="Z14" s="56">
        <f>Act_Cemento_Otros_PIUP_sinHFC!AE68</f>
        <v>2627.6772767710122</v>
      </c>
      <c r="AA14" s="56">
        <f>Act_Cemento_Otros_PIUP_sinHFC!AF68</f>
        <v>2713.6810560557169</v>
      </c>
      <c r="AB14" s="67">
        <f>Act_Cemento_Otros_PIUP_sinHFC!AG68</f>
        <v>2799.6848353404212</v>
      </c>
    </row>
    <row r="15" spans="2:28" ht="15" thickBot="1" x14ac:dyDescent="0.35">
      <c r="B15" s="60" t="s">
        <v>20</v>
      </c>
      <c r="C15" s="68">
        <f>Act_Cemento_Otros_PIUP_sinHFC!H58</f>
        <v>423.50000000000006</v>
      </c>
      <c r="D15" s="68">
        <f>Act_Cemento_Otros_PIUP_sinHFC!I58</f>
        <v>522.5</v>
      </c>
      <c r="E15" s="68">
        <f>Act_Cemento_Otros_PIUP_sinHFC!J58</f>
        <v>621.49999999999989</v>
      </c>
      <c r="F15" s="68">
        <f>Act_Cemento_Otros_PIUP_sinHFC!K58</f>
        <v>569.79999999999995</v>
      </c>
      <c r="G15" s="68">
        <f>Act_Cemento_Otros_PIUP_sinHFC!L58</f>
        <v>518</v>
      </c>
      <c r="H15" s="68">
        <f>Act_Cemento_Otros_PIUP_sinHFC!M58</f>
        <v>530.90000000000009</v>
      </c>
      <c r="I15" s="68">
        <f>Act_Cemento_Otros_PIUP_sinHFC!N58</f>
        <v>543.69999999999993</v>
      </c>
      <c r="J15" s="68">
        <f>Act_Cemento_Otros_PIUP_sinHFC!O58</f>
        <v>469.5</v>
      </c>
      <c r="K15" s="68">
        <f>Act_Cemento_Otros_PIUP_sinHFC!P58</f>
        <v>395.40000000000003</v>
      </c>
      <c r="L15" s="68">
        <f>Act_Cemento_Otros_PIUP_sinHFC!Q58</f>
        <v>339.60000000000008</v>
      </c>
      <c r="M15" s="68">
        <f>Act_Cemento_Otros_PIUP_sinHFC!R58</f>
        <v>283.7</v>
      </c>
      <c r="N15" s="68">
        <f>Act_Cemento_Otros_PIUP_sinHFC!S58</f>
        <v>365.39999999999986</v>
      </c>
      <c r="O15" s="68">
        <f>Act_Cemento_Otros_PIUP_sinHFC!T58</f>
        <v>490.4</v>
      </c>
      <c r="P15" s="68">
        <f>Act_Cemento_Otros_PIUP_sinHFC!U58</f>
        <v>500.7999999999999</v>
      </c>
      <c r="Q15" s="68">
        <f>Act_Cemento_Otros_PIUP_sinHFC!V58</f>
        <v>511.49999999999994</v>
      </c>
      <c r="R15" s="68">
        <f>Act_Cemento_Otros_PIUP_sinHFC!W58</f>
        <v>522.4</v>
      </c>
      <c r="S15" s="68">
        <f>Act_Cemento_Otros_PIUP_sinHFC!X58</f>
        <v>533.79999999999995</v>
      </c>
      <c r="T15" s="68">
        <f>Act_Cemento_Otros_PIUP_sinHFC!Y58</f>
        <v>544.99999999999989</v>
      </c>
      <c r="U15" s="68">
        <f>Act_Cemento_Otros_PIUP_sinHFC!Z58</f>
        <v>556.79999999999995</v>
      </c>
      <c r="V15" s="68">
        <f>Act_Cemento_Otros_PIUP_sinHFC!AA58</f>
        <v>568.79999999999995</v>
      </c>
      <c r="W15" s="68">
        <f>Act_Cemento_Otros_PIUP_sinHFC!AB58</f>
        <v>580.80000000000007</v>
      </c>
      <c r="X15" s="68">
        <f>Act_Cemento_Otros_PIUP_sinHFC!AC58</f>
        <v>593.30000000000007</v>
      </c>
      <c r="Y15" s="68">
        <f>Act_Cemento_Otros_PIUP_sinHFC!AD58</f>
        <v>606</v>
      </c>
      <c r="Z15" s="68">
        <f>Act_Cemento_Otros_PIUP_sinHFC!AE58</f>
        <v>618.80000000000007</v>
      </c>
      <c r="AA15" s="68">
        <f>Act_Cemento_Otros_PIUP_sinHFC!AF58</f>
        <v>632.09999999999991</v>
      </c>
      <c r="AB15" s="69">
        <f>Act_Cemento_Otros_PIUP_sinHFC!AG58</f>
        <v>645.6</v>
      </c>
    </row>
    <row r="18" spans="2:28" x14ac:dyDescent="0.3">
      <c r="B18" s="7" t="s">
        <v>23</v>
      </c>
    </row>
    <row r="19" spans="2:28" ht="15" thickBot="1" x14ac:dyDescent="0.35"/>
    <row r="20" spans="2:28" ht="15" thickBot="1" x14ac:dyDescent="0.35">
      <c r="B20" s="61" t="s">
        <v>21</v>
      </c>
      <c r="C20" s="70">
        <f>C10-C7</f>
        <v>0</v>
      </c>
      <c r="D20" s="70">
        <f t="shared" ref="D20:AB20" si="3">D10-D7</f>
        <v>0</v>
      </c>
      <c r="E20" s="70">
        <f t="shared" si="3"/>
        <v>0</v>
      </c>
      <c r="F20" s="70">
        <f t="shared" si="3"/>
        <v>0</v>
      </c>
      <c r="G20" s="70">
        <f t="shared" si="3"/>
        <v>0</v>
      </c>
      <c r="H20" s="70">
        <f t="shared" si="3"/>
        <v>0</v>
      </c>
      <c r="I20" s="70">
        <f t="shared" si="3"/>
        <v>0</v>
      </c>
      <c r="J20" s="70">
        <f t="shared" si="3"/>
        <v>-35.888888888889142</v>
      </c>
      <c r="K20" s="70">
        <f t="shared" si="3"/>
        <v>-71.777777777777828</v>
      </c>
      <c r="L20" s="70">
        <f t="shared" si="3"/>
        <v>-107.66666666666674</v>
      </c>
      <c r="M20" s="70">
        <f t="shared" si="3"/>
        <v>-143.55555555555566</v>
      </c>
      <c r="N20" s="70">
        <f t="shared" si="3"/>
        <v>-179.44444444444434</v>
      </c>
      <c r="O20" s="70">
        <f t="shared" si="3"/>
        <v>-215.33333333333348</v>
      </c>
      <c r="P20" s="70">
        <f t="shared" si="3"/>
        <v>-251.22222222222217</v>
      </c>
      <c r="Q20" s="70">
        <f t="shared" si="3"/>
        <v>-287.11111111111131</v>
      </c>
      <c r="R20" s="95">
        <f t="shared" si="3"/>
        <v>-323</v>
      </c>
      <c r="S20" s="70">
        <f t="shared" si="3"/>
        <v>-343.71399999999994</v>
      </c>
      <c r="T20" s="70">
        <f t="shared" si="3"/>
        <v>-364.42799999999988</v>
      </c>
      <c r="U20" s="70">
        <f t="shared" si="3"/>
        <v>-385.14199999999983</v>
      </c>
      <c r="V20" s="70">
        <f t="shared" si="3"/>
        <v>-405.85599999999977</v>
      </c>
      <c r="W20" s="70">
        <f t="shared" si="3"/>
        <v>-426.57000000000016</v>
      </c>
      <c r="X20" s="70">
        <f t="shared" si="3"/>
        <v>-447.28400000000011</v>
      </c>
      <c r="Y20" s="70">
        <f t="shared" si="3"/>
        <v>-467.99800000000005</v>
      </c>
      <c r="Z20" s="70">
        <f t="shared" si="3"/>
        <v>-488.71199999999999</v>
      </c>
      <c r="AA20" s="70">
        <f t="shared" si="3"/>
        <v>-509.42599999999993</v>
      </c>
      <c r="AB20" s="94">
        <f t="shared" si="3"/>
        <v>-530.13999999999987</v>
      </c>
    </row>
    <row r="21" spans="2:28" ht="15" thickBot="1" x14ac:dyDescent="0.35">
      <c r="B21" s="61" t="s">
        <v>22</v>
      </c>
      <c r="C21" s="70">
        <f>C13-C7</f>
        <v>0</v>
      </c>
      <c r="D21" s="70">
        <f t="shared" ref="D21:AB21" si="4">D13-D7</f>
        <v>0</v>
      </c>
      <c r="E21" s="70">
        <f t="shared" si="4"/>
        <v>0</v>
      </c>
      <c r="F21" s="70">
        <f t="shared" si="4"/>
        <v>0</v>
      </c>
      <c r="G21" s="70">
        <f t="shared" si="4"/>
        <v>0</v>
      </c>
      <c r="H21" s="70">
        <f t="shared" si="4"/>
        <v>0</v>
      </c>
      <c r="I21" s="70">
        <f t="shared" si="4"/>
        <v>0</v>
      </c>
      <c r="J21" s="70">
        <f t="shared" si="4"/>
        <v>-35.888888888889142</v>
      </c>
      <c r="K21" s="70">
        <f t="shared" si="4"/>
        <v>-71.777777777777828</v>
      </c>
      <c r="L21" s="70">
        <f t="shared" si="4"/>
        <v>-107.66666666666674</v>
      </c>
      <c r="M21" s="70">
        <f t="shared" si="4"/>
        <v>-143.55555555555566</v>
      </c>
      <c r="N21" s="70">
        <f t="shared" si="4"/>
        <v>-179.44444444444434</v>
      </c>
      <c r="O21" s="70">
        <f t="shared" si="4"/>
        <v>-215.33333333333348</v>
      </c>
      <c r="P21" s="70">
        <f t="shared" si="4"/>
        <v>-251.22222222222217</v>
      </c>
      <c r="Q21" s="70">
        <f t="shared" si="4"/>
        <v>-287.11111111111131</v>
      </c>
      <c r="R21" s="95">
        <f t="shared" si="4"/>
        <v>-323</v>
      </c>
      <c r="S21" s="70">
        <f t="shared" si="4"/>
        <v>-343.71399999999994</v>
      </c>
      <c r="T21" s="70">
        <f t="shared" si="4"/>
        <v>-364.42799999999988</v>
      </c>
      <c r="U21" s="70">
        <f t="shared" si="4"/>
        <v>-385.14199999999983</v>
      </c>
      <c r="V21" s="70">
        <f t="shared" si="4"/>
        <v>-405.85599999999977</v>
      </c>
      <c r="W21" s="70">
        <f t="shared" si="4"/>
        <v>-426.57000000000016</v>
      </c>
      <c r="X21" s="70">
        <f t="shared" si="4"/>
        <v>-447.28400000000011</v>
      </c>
      <c r="Y21" s="70">
        <f t="shared" si="4"/>
        <v>-467.99800000000005</v>
      </c>
      <c r="Z21" s="70">
        <f t="shared" si="4"/>
        <v>-488.71199999999999</v>
      </c>
      <c r="AA21" s="70">
        <f t="shared" si="4"/>
        <v>-509.42599999999993</v>
      </c>
      <c r="AB21" s="94">
        <f t="shared" si="4"/>
        <v>-530.13999999999987</v>
      </c>
    </row>
    <row r="24" spans="2:28" x14ac:dyDescent="0.3">
      <c r="B24" s="7" t="s">
        <v>24</v>
      </c>
    </row>
    <row r="25" spans="2:28" ht="15" thickBot="1" x14ac:dyDescent="0.35"/>
    <row r="26" spans="2:28" ht="15" thickBot="1" x14ac:dyDescent="0.35">
      <c r="B26" s="61" t="s">
        <v>21</v>
      </c>
      <c r="C26" s="72">
        <f>(C10-C7)/C7</f>
        <v>0</v>
      </c>
      <c r="D26" s="72">
        <f t="shared" ref="D26:AB26" si="5">(D10-D7)/D7</f>
        <v>0</v>
      </c>
      <c r="E26" s="72">
        <f t="shared" si="5"/>
        <v>0</v>
      </c>
      <c r="F26" s="72">
        <f t="shared" si="5"/>
        <v>0</v>
      </c>
      <c r="G26" s="72">
        <f t="shared" si="5"/>
        <v>0</v>
      </c>
      <c r="H26" s="72">
        <f t="shared" si="5"/>
        <v>0</v>
      </c>
      <c r="I26" s="72">
        <f t="shared" si="5"/>
        <v>0</v>
      </c>
      <c r="J26" s="72">
        <f t="shared" si="5"/>
        <v>-1.4983208832764066E-2</v>
      </c>
      <c r="K26" s="72">
        <f t="shared" si="5"/>
        <v>-2.8754728839791226E-2</v>
      </c>
      <c r="L26" s="72">
        <f t="shared" si="5"/>
        <v>-5.0412897354096049E-2</v>
      </c>
      <c r="M26" s="72">
        <f t="shared" si="5"/>
        <v>-8.0872453480344858E-2</v>
      </c>
      <c r="N26" s="72">
        <f t="shared" si="5"/>
        <v>-7.1499432875264265E-2</v>
      </c>
      <c r="O26" s="72">
        <f t="shared" si="5"/>
        <v>-8.6009324905198525E-2</v>
      </c>
      <c r="P26" s="72">
        <f t="shared" si="5"/>
        <v>-9.5646078175487245E-2</v>
      </c>
      <c r="Q26" s="72">
        <f t="shared" si="5"/>
        <v>-0.10446737262683059</v>
      </c>
      <c r="R26" s="72">
        <f t="shared" si="5"/>
        <v>-0.11258897271149412</v>
      </c>
      <c r="S26" s="72">
        <f t="shared" si="5"/>
        <v>-0.11560434484446884</v>
      </c>
      <c r="T26" s="72">
        <f t="shared" si="5"/>
        <v>-0.11848163020876086</v>
      </c>
      <c r="U26" s="72">
        <f t="shared" si="5"/>
        <v>-0.12120525617077926</v>
      </c>
      <c r="V26" s="72">
        <f t="shared" si="5"/>
        <v>-0.12380828973912895</v>
      </c>
      <c r="W26" s="72">
        <f t="shared" si="5"/>
        <v>-0.1263134289677029</v>
      </c>
      <c r="X26" s="72">
        <f t="shared" si="5"/>
        <v>-0.12793091150629657</v>
      </c>
      <c r="Y26" s="72">
        <f t="shared" si="5"/>
        <v>-0.12943456442400772</v>
      </c>
      <c r="Z26" s="72">
        <f t="shared" si="5"/>
        <v>-0.13083995583283548</v>
      </c>
      <c r="AA26" s="72">
        <f t="shared" si="5"/>
        <v>-0.13213972494675719</v>
      </c>
      <c r="AB26" s="73">
        <f t="shared" si="5"/>
        <v>-0.13335430097613787</v>
      </c>
    </row>
    <row r="27" spans="2:28" ht="15" thickBot="1" x14ac:dyDescent="0.35">
      <c r="B27" s="61" t="s">
        <v>22</v>
      </c>
      <c r="C27" s="72">
        <f>(C13-C7)/C7</f>
        <v>0</v>
      </c>
      <c r="D27" s="72">
        <f t="shared" ref="D27:AB27" si="6">(D13-D7)/D7</f>
        <v>0</v>
      </c>
      <c r="E27" s="72">
        <f t="shared" si="6"/>
        <v>0</v>
      </c>
      <c r="F27" s="72">
        <f t="shared" si="6"/>
        <v>0</v>
      </c>
      <c r="G27" s="72">
        <f t="shared" si="6"/>
        <v>0</v>
      </c>
      <c r="H27" s="72">
        <f t="shared" si="6"/>
        <v>0</v>
      </c>
      <c r="I27" s="72">
        <f t="shared" si="6"/>
        <v>0</v>
      </c>
      <c r="J27" s="72">
        <f t="shared" si="6"/>
        <v>-1.4983208832764066E-2</v>
      </c>
      <c r="K27" s="72">
        <f t="shared" si="6"/>
        <v>-2.8754728839791226E-2</v>
      </c>
      <c r="L27" s="72">
        <f t="shared" si="6"/>
        <v>-5.0412897354096049E-2</v>
      </c>
      <c r="M27" s="72">
        <f t="shared" si="6"/>
        <v>-8.0872453480344858E-2</v>
      </c>
      <c r="N27" s="72">
        <f t="shared" si="6"/>
        <v>-7.1499432875264265E-2</v>
      </c>
      <c r="O27" s="72">
        <f t="shared" si="6"/>
        <v>-8.6009324905198525E-2</v>
      </c>
      <c r="P27" s="72">
        <f t="shared" si="6"/>
        <v>-9.5646078175487245E-2</v>
      </c>
      <c r="Q27" s="72">
        <f t="shared" si="6"/>
        <v>-0.10446737262683059</v>
      </c>
      <c r="R27" s="72">
        <f t="shared" si="6"/>
        <v>-0.11258897271149412</v>
      </c>
      <c r="S27" s="72">
        <f t="shared" si="6"/>
        <v>-0.11560434484446884</v>
      </c>
      <c r="T27" s="72">
        <f t="shared" si="6"/>
        <v>-0.11848163020876086</v>
      </c>
      <c r="U27" s="72">
        <f t="shared" si="6"/>
        <v>-0.12120525617077926</v>
      </c>
      <c r="V27" s="72">
        <f t="shared" si="6"/>
        <v>-0.12380828973912895</v>
      </c>
      <c r="W27" s="72">
        <f t="shared" si="6"/>
        <v>-0.1263134289677029</v>
      </c>
      <c r="X27" s="72">
        <f t="shared" si="6"/>
        <v>-0.12793091150629657</v>
      </c>
      <c r="Y27" s="72">
        <f t="shared" si="6"/>
        <v>-0.12943456442400772</v>
      </c>
      <c r="Z27" s="72">
        <f t="shared" si="6"/>
        <v>-0.13083995583283548</v>
      </c>
      <c r="AA27" s="72">
        <f t="shared" si="6"/>
        <v>-0.13213972494675719</v>
      </c>
      <c r="AB27" s="73">
        <f t="shared" si="6"/>
        <v>-0.13335430097613787</v>
      </c>
    </row>
    <row r="31" spans="2:28" x14ac:dyDescent="0.3">
      <c r="B31" s="7" t="s">
        <v>25</v>
      </c>
    </row>
    <row r="33" spans="2:28" ht="15" thickBot="1" x14ac:dyDescent="0.35"/>
    <row r="34" spans="2:28" x14ac:dyDescent="0.3">
      <c r="B34" s="58" t="s">
        <v>18</v>
      </c>
      <c r="C34" s="65">
        <f>SUM(C35:C37)</f>
        <v>2420.3687670000004</v>
      </c>
      <c r="D34" s="65">
        <f t="shared" ref="D34:AB34" si="7">SUM(D35:D37)</f>
        <v>2559.3022984999998</v>
      </c>
      <c r="E34" s="65">
        <f t="shared" si="7"/>
        <v>2698.2358299999996</v>
      </c>
      <c r="F34" s="65">
        <f t="shared" si="7"/>
        <v>2737.8279149999998</v>
      </c>
      <c r="G34" s="65">
        <f t="shared" si="7"/>
        <v>2777.3199999999997</v>
      </c>
      <c r="H34" s="65">
        <f t="shared" si="7"/>
        <v>2772.38</v>
      </c>
      <c r="I34" s="65">
        <f t="shared" si="7"/>
        <v>2767.34</v>
      </c>
      <c r="J34" s="65">
        <f t="shared" si="7"/>
        <v>2891.2738888888894</v>
      </c>
      <c r="K34" s="65">
        <f t="shared" si="7"/>
        <v>3015.3077777777776</v>
      </c>
      <c r="L34" s="65">
        <f t="shared" si="7"/>
        <v>2996.7968616666667</v>
      </c>
      <c r="M34" s="65">
        <f t="shared" si="7"/>
        <v>2978.0859455555556</v>
      </c>
      <c r="N34" s="65">
        <f t="shared" si="7"/>
        <v>3834.8324164444443</v>
      </c>
      <c r="O34" s="65">
        <f t="shared" si="7"/>
        <v>4461.2045053333331</v>
      </c>
      <c r="P34" s="65">
        <f t="shared" si="7"/>
        <v>5010.5815286361303</v>
      </c>
      <c r="Q34" s="65">
        <f t="shared" si="7"/>
        <v>5558.6328420319805</v>
      </c>
      <c r="R34" s="65">
        <f t="shared" si="7"/>
        <v>6105.5422340230234</v>
      </c>
      <c r="S34" s="65">
        <f t="shared" si="7"/>
        <v>6636.2927503453611</v>
      </c>
      <c r="T34" s="65">
        <f t="shared" si="7"/>
        <v>7165.3185835043741</v>
      </c>
      <c r="U34" s="65">
        <f t="shared" si="7"/>
        <v>7693.5014685149581</v>
      </c>
      <c r="V34" s="65">
        <f t="shared" si="7"/>
        <v>8220.3003667457269</v>
      </c>
      <c r="W34" s="65">
        <f t="shared" si="7"/>
        <v>8745.6756085567904</v>
      </c>
      <c r="X34" s="65">
        <f t="shared" si="7"/>
        <v>8876.2933878414951</v>
      </c>
      <c r="Y34" s="65">
        <f t="shared" si="7"/>
        <v>9007.0111671261984</v>
      </c>
      <c r="Z34" s="65">
        <f t="shared" si="7"/>
        <v>9137.7892767710109</v>
      </c>
      <c r="AA34" s="65">
        <f t="shared" si="7"/>
        <v>9269.2070560557167</v>
      </c>
      <c r="AB34" s="66">
        <f t="shared" si="7"/>
        <v>9400.7248353404211</v>
      </c>
    </row>
    <row r="35" spans="2:28" x14ac:dyDescent="0.3">
      <c r="B35" s="59" t="s">
        <v>19</v>
      </c>
      <c r="C35" s="56">
        <f>Act_Cemento_Otros_PIUP_sinHFC!H66</f>
        <v>1781.9687670000003</v>
      </c>
      <c r="D35" s="56">
        <f>Act_Cemento_Otros_PIUP_sinHFC!I66</f>
        <v>1784.8022984999998</v>
      </c>
      <c r="E35" s="56">
        <f>Act_Cemento_Otros_PIUP_sinHFC!J66</f>
        <v>1787.6358299999997</v>
      </c>
      <c r="F35" s="56">
        <f>Act_Cemento_Otros_PIUP_sinHFC!K66</f>
        <v>1836.2279149999997</v>
      </c>
      <c r="G35" s="56">
        <f>Act_Cemento_Otros_PIUP_sinHFC!L66</f>
        <v>1884.8199999999997</v>
      </c>
      <c r="H35" s="56">
        <f>Act_Cemento_Otros_PIUP_sinHFC!M66</f>
        <v>1817.7800000000002</v>
      </c>
      <c r="I35" s="56">
        <f>Act_Cemento_Otros_PIUP_sinHFC!N66</f>
        <v>1750.7400000000002</v>
      </c>
      <c r="J35" s="56">
        <f>Act_Cemento_Otros_PIUP_sinHFC!O66</f>
        <v>1925.7738888888894</v>
      </c>
      <c r="K35" s="56">
        <f>Act_Cemento_Otros_PIUP_sinHFC!P66</f>
        <v>2100.8077777777776</v>
      </c>
      <c r="L35" s="56">
        <f>Act_Cemento_Otros_PIUP_sinHFC!Q66</f>
        <v>1796.0968616666667</v>
      </c>
      <c r="M35" s="56">
        <f>Act_Cemento_Otros_PIUP_sinHFC!R66</f>
        <v>1491.3859455555557</v>
      </c>
      <c r="N35" s="56">
        <f>Act_Cemento_Otros_PIUP_sinHFC!S66</f>
        <v>2144.3324164444448</v>
      </c>
      <c r="O35" s="56">
        <f>Act_Cemento_Otros_PIUP_sinHFC!T66</f>
        <v>2013.2045053333331</v>
      </c>
      <c r="P35" s="56">
        <f>Act_Cemento_Otros_PIUP_sinHFC!U66</f>
        <v>2125.781528636131</v>
      </c>
      <c r="Q35" s="56">
        <f>Act_Cemento_Otros_PIUP_sinHFC!V66</f>
        <v>2236.8328420319813</v>
      </c>
      <c r="R35" s="56">
        <f>Act_Cemento_Otros_PIUP_sinHFC!W66</f>
        <v>2346.442234023023</v>
      </c>
      <c r="S35" s="56">
        <f>Act_Cemento_Otros_PIUP_sinHFC!X66</f>
        <v>2439.3927503453619</v>
      </c>
      <c r="T35" s="56">
        <f>Act_Cemento_Otros_PIUP_sinHFC!Y66</f>
        <v>2530.8185835043741</v>
      </c>
      <c r="U35" s="56">
        <f>Act_Cemento_Otros_PIUP_sinHFC!Z66</f>
        <v>2620.8014685149574</v>
      </c>
      <c r="V35" s="56">
        <f>Act_Cemento_Otros_PIUP_sinHFC!AA66</f>
        <v>2709.3003667457265</v>
      </c>
      <c r="W35" s="56">
        <f>Act_Cemento_Otros_PIUP_sinHFC!AB66</f>
        <v>2796.2756085567898</v>
      </c>
      <c r="X35" s="56">
        <f>Act_Cemento_Otros_PIUP_sinHFC!AC66</f>
        <v>2902.9933878414945</v>
      </c>
      <c r="Y35" s="56">
        <f>Act_Cemento_Otros_PIUP_sinHFC!AD66</f>
        <v>3009.7111671261982</v>
      </c>
      <c r="Z35" s="56">
        <f>Act_Cemento_Otros_PIUP_sinHFC!AE66</f>
        <v>3116.3892767710122</v>
      </c>
      <c r="AA35" s="56">
        <f>Act_Cemento_Otros_PIUP_sinHFC!AF66</f>
        <v>3223.1070560557168</v>
      </c>
      <c r="AB35" s="67">
        <f>Act_Cemento_Otros_PIUP_sinHFC!AG66</f>
        <v>3329.824835340421</v>
      </c>
    </row>
    <row r="36" spans="2:28" x14ac:dyDescent="0.3">
      <c r="B36" s="59" t="s">
        <v>20</v>
      </c>
      <c r="C36" s="56">
        <f>Act_Cemento_Otros_PIUP_sinHFC!H58</f>
        <v>423.50000000000006</v>
      </c>
      <c r="D36" s="56">
        <f>Act_Cemento_Otros_PIUP_sinHFC!I58</f>
        <v>522.5</v>
      </c>
      <c r="E36" s="56">
        <f>Act_Cemento_Otros_PIUP_sinHFC!J58</f>
        <v>621.49999999999989</v>
      </c>
      <c r="F36" s="56">
        <f>Act_Cemento_Otros_PIUP_sinHFC!K58</f>
        <v>569.79999999999995</v>
      </c>
      <c r="G36" s="56">
        <f>Act_Cemento_Otros_PIUP_sinHFC!L58</f>
        <v>518</v>
      </c>
      <c r="H36" s="56">
        <f>Act_Cemento_Otros_PIUP_sinHFC!M58</f>
        <v>530.90000000000009</v>
      </c>
      <c r="I36" s="56">
        <f>Act_Cemento_Otros_PIUP_sinHFC!N58</f>
        <v>543.69999999999993</v>
      </c>
      <c r="J36" s="56">
        <f>Act_Cemento_Otros_PIUP_sinHFC!O58</f>
        <v>469.5</v>
      </c>
      <c r="K36" s="56">
        <f>Act_Cemento_Otros_PIUP_sinHFC!P58</f>
        <v>395.40000000000003</v>
      </c>
      <c r="L36" s="56">
        <f>Act_Cemento_Otros_PIUP_sinHFC!Q58</f>
        <v>339.60000000000008</v>
      </c>
      <c r="M36" s="56">
        <f>Act_Cemento_Otros_PIUP_sinHFC!R58</f>
        <v>283.7</v>
      </c>
      <c r="N36" s="56">
        <f>Act_Cemento_Otros_PIUP_sinHFC!S58</f>
        <v>365.39999999999986</v>
      </c>
      <c r="O36" s="56">
        <f>Act_Cemento_Otros_PIUP_sinHFC!T58</f>
        <v>490.4</v>
      </c>
      <c r="P36" s="56">
        <f>Act_Cemento_Otros_PIUP_sinHFC!U58</f>
        <v>500.7999999999999</v>
      </c>
      <c r="Q36" s="56">
        <f>Act_Cemento_Otros_PIUP_sinHFC!V58</f>
        <v>511.49999999999994</v>
      </c>
      <c r="R36" s="56">
        <f>Act_Cemento_Otros_PIUP_sinHFC!W58</f>
        <v>522.4</v>
      </c>
      <c r="S36" s="56">
        <f>Act_Cemento_Otros_PIUP_sinHFC!X58</f>
        <v>533.79999999999995</v>
      </c>
      <c r="T36" s="56">
        <f>Act_Cemento_Otros_PIUP_sinHFC!Y58</f>
        <v>544.99999999999989</v>
      </c>
      <c r="U36" s="56">
        <f>Act_Cemento_Otros_PIUP_sinHFC!Z58</f>
        <v>556.79999999999995</v>
      </c>
      <c r="V36" s="56">
        <f>Act_Cemento_Otros_PIUP_sinHFC!AA58</f>
        <v>568.79999999999995</v>
      </c>
      <c r="W36" s="56">
        <f>Act_Cemento_Otros_PIUP_sinHFC!AB58</f>
        <v>580.80000000000007</v>
      </c>
      <c r="X36" s="56">
        <f>Act_Cemento_Otros_PIUP_sinHFC!AC58</f>
        <v>593.30000000000007</v>
      </c>
      <c r="Y36" s="56">
        <f>Act_Cemento_Otros_PIUP_sinHFC!AD58</f>
        <v>606</v>
      </c>
      <c r="Z36" s="56">
        <f>Act_Cemento_Otros_PIUP_sinHFC!AE58</f>
        <v>618.80000000000007</v>
      </c>
      <c r="AA36" s="56">
        <f>Act_Cemento_Otros_PIUP_sinHFC!AF58</f>
        <v>632.09999999999991</v>
      </c>
      <c r="AB36" s="67">
        <f>Act_Cemento_Otros_PIUP_sinHFC!AG58</f>
        <v>645.6</v>
      </c>
    </row>
    <row r="37" spans="2:28" ht="15" thickBot="1" x14ac:dyDescent="0.35">
      <c r="B37" s="60" t="s">
        <v>8</v>
      </c>
      <c r="C37" s="68">
        <f>Act_HFC!F19*1000</f>
        <v>214.9</v>
      </c>
      <c r="D37" s="68">
        <f>Act_HFC!G19*1000</f>
        <v>252</v>
      </c>
      <c r="E37" s="68">
        <f>Act_HFC!H19*1000</f>
        <v>289.10000000000002</v>
      </c>
      <c r="F37" s="68">
        <f>Act_HFC!I19*1000</f>
        <v>331.8</v>
      </c>
      <c r="G37" s="68">
        <f>Act_HFC!J19*1000</f>
        <v>374.5</v>
      </c>
      <c r="H37" s="68">
        <f>Act_HFC!K19*1000</f>
        <v>423.70000000000005</v>
      </c>
      <c r="I37" s="68">
        <f>Act_HFC!L19*1000</f>
        <v>472.9</v>
      </c>
      <c r="J37" s="68">
        <f>Act_HFC!M19*1000</f>
        <v>496</v>
      </c>
      <c r="K37" s="68">
        <f>Act_HFC!N19*1000</f>
        <v>519.1</v>
      </c>
      <c r="L37" s="68">
        <f>Act_HFC!O19*1000</f>
        <v>861.1</v>
      </c>
      <c r="M37" s="68">
        <f>Act_HFC!P19*1000</f>
        <v>1203</v>
      </c>
      <c r="N37" s="68">
        <f>Act_HFC!Q19*1000</f>
        <v>1325.1</v>
      </c>
      <c r="O37" s="68">
        <f>Act_HFC!R19*1000</f>
        <v>1957.6</v>
      </c>
      <c r="P37" s="68">
        <f>Act_HFC!S19*1000</f>
        <v>2384</v>
      </c>
      <c r="Q37" s="68">
        <f>Act_HFC!T19*1000</f>
        <v>2810.2999999999997</v>
      </c>
      <c r="R37" s="68">
        <f>Act_HFC!U19*1000</f>
        <v>3236.7</v>
      </c>
      <c r="S37" s="68">
        <f>Act_HFC!V19*1000</f>
        <v>3663.1</v>
      </c>
      <c r="T37" s="68">
        <f>Act_HFC!W19*1000</f>
        <v>4089.5</v>
      </c>
      <c r="U37" s="68">
        <f>Act_HFC!X19*1000</f>
        <v>4515.9000000000005</v>
      </c>
      <c r="V37" s="68">
        <f>Act_HFC!Y19*1000</f>
        <v>4942.2</v>
      </c>
      <c r="W37" s="68">
        <f>Act_HFC!Z19*1000</f>
        <v>5368.5999999999995</v>
      </c>
      <c r="X37" s="68">
        <f>Act_HFC!AA19*1000</f>
        <v>5380</v>
      </c>
      <c r="Y37" s="68">
        <f>Act_HFC!AB19*1000</f>
        <v>5391.3</v>
      </c>
      <c r="Z37" s="68">
        <f>Act_HFC!AC19*1000</f>
        <v>5402.5999999999995</v>
      </c>
      <c r="AA37" s="68">
        <f>Act_HFC!AD19*1000</f>
        <v>5414</v>
      </c>
      <c r="AB37" s="69">
        <f>Act_HFC!AE19*1000</f>
        <v>5425.3</v>
      </c>
    </row>
    <row r="38" spans="2:28" x14ac:dyDescent="0.3">
      <c r="B38" s="58" t="s">
        <v>21</v>
      </c>
      <c r="C38" s="65">
        <f>SUM(C39:C41)</f>
        <v>2420.3687670000004</v>
      </c>
      <c r="D38" s="65">
        <f t="shared" ref="D38:AB38" si="8">SUM(D39:D41)</f>
        <v>2559.3022984999998</v>
      </c>
      <c r="E38" s="65">
        <f t="shared" si="8"/>
        <v>2698.2358299999996</v>
      </c>
      <c r="F38" s="65">
        <f t="shared" si="8"/>
        <v>2737.8279149999998</v>
      </c>
      <c r="G38" s="65">
        <f t="shared" si="8"/>
        <v>2777.3199999999997</v>
      </c>
      <c r="H38" s="65">
        <f t="shared" si="8"/>
        <v>2772.38</v>
      </c>
      <c r="I38" s="65">
        <f t="shared" si="8"/>
        <v>2767.34</v>
      </c>
      <c r="J38" s="65">
        <f t="shared" si="8"/>
        <v>2855.3850000000002</v>
      </c>
      <c r="K38" s="65">
        <f t="shared" si="8"/>
        <v>2943.5299999999997</v>
      </c>
      <c r="L38" s="65">
        <f t="shared" si="8"/>
        <v>2889.1301950000002</v>
      </c>
      <c r="M38" s="65">
        <f t="shared" si="8"/>
        <v>2834.5303899999999</v>
      </c>
      <c r="N38" s="65">
        <f t="shared" si="8"/>
        <v>3655.387972</v>
      </c>
      <c r="O38" s="65">
        <f t="shared" si="8"/>
        <v>4245.8711719999992</v>
      </c>
      <c r="P38" s="65">
        <f t="shared" si="8"/>
        <v>4759.3593064139086</v>
      </c>
      <c r="Q38" s="65">
        <f t="shared" si="8"/>
        <v>5271.5217309208692</v>
      </c>
      <c r="R38" s="65">
        <f t="shared" si="8"/>
        <v>5782.5422340230234</v>
      </c>
      <c r="S38" s="65">
        <f t="shared" si="8"/>
        <v>6213.2787503453619</v>
      </c>
      <c r="T38" s="65">
        <f t="shared" si="8"/>
        <v>6642.3905835043743</v>
      </c>
      <c r="U38" s="65">
        <f t="shared" si="8"/>
        <v>7070.5594685149581</v>
      </c>
      <c r="V38" s="65">
        <f t="shared" si="8"/>
        <v>7497.4443667457272</v>
      </c>
      <c r="W38" s="65">
        <f t="shared" si="8"/>
        <v>7949.0056085567903</v>
      </c>
      <c r="X38" s="65">
        <f t="shared" si="8"/>
        <v>8005.7093878414944</v>
      </c>
      <c r="Y38" s="65">
        <f t="shared" si="8"/>
        <v>8062.6131671261992</v>
      </c>
      <c r="Z38" s="65">
        <f t="shared" si="8"/>
        <v>8119.5772767710132</v>
      </c>
      <c r="AA38" s="65">
        <f t="shared" si="8"/>
        <v>8177.0810560557165</v>
      </c>
      <c r="AB38" s="66">
        <f t="shared" si="8"/>
        <v>8234.7848353404206</v>
      </c>
    </row>
    <row r="39" spans="2:28" x14ac:dyDescent="0.3">
      <c r="B39" s="59" t="s">
        <v>19</v>
      </c>
      <c r="C39" s="56">
        <f>Act_Cemento_Otros_PIUP_sinHFC!H67</f>
        <v>1781.9687670000003</v>
      </c>
      <c r="D39" s="56">
        <f>Act_Cemento_Otros_PIUP_sinHFC!I67</f>
        <v>1784.8022984999998</v>
      </c>
      <c r="E39" s="56">
        <f>Act_Cemento_Otros_PIUP_sinHFC!J67</f>
        <v>1787.6358299999997</v>
      </c>
      <c r="F39" s="56">
        <f>Act_Cemento_Otros_PIUP_sinHFC!K67</f>
        <v>1836.2279149999997</v>
      </c>
      <c r="G39" s="56">
        <f>Act_Cemento_Otros_PIUP_sinHFC!L67</f>
        <v>1884.8199999999997</v>
      </c>
      <c r="H39" s="56">
        <f>Act_Cemento_Otros_PIUP_sinHFC!M67</f>
        <v>1817.7800000000002</v>
      </c>
      <c r="I39" s="56">
        <f>Act_Cemento_Otros_PIUP_sinHFC!N67</f>
        <v>1750.7400000000002</v>
      </c>
      <c r="J39" s="56">
        <f>Act_Cemento_Otros_PIUP_sinHFC!O67</f>
        <v>1889.8850000000002</v>
      </c>
      <c r="K39" s="56">
        <f>Act_Cemento_Otros_PIUP_sinHFC!P67</f>
        <v>2029.0299999999997</v>
      </c>
      <c r="L39" s="56">
        <f>Act_Cemento_Otros_PIUP_sinHFC!Q67</f>
        <v>1688.4301949999999</v>
      </c>
      <c r="M39" s="56">
        <f>Act_Cemento_Otros_PIUP_sinHFC!R67</f>
        <v>1347.8303900000001</v>
      </c>
      <c r="N39" s="56">
        <f>Act_Cemento_Otros_PIUP_sinHFC!S67</f>
        <v>1964.8879720000002</v>
      </c>
      <c r="O39" s="56">
        <f>Act_Cemento_Otros_PIUP_sinHFC!T67</f>
        <v>1797.8711719999997</v>
      </c>
      <c r="P39" s="56">
        <f>Act_Cemento_Otros_PIUP_sinHFC!U67</f>
        <v>1874.5593064139089</v>
      </c>
      <c r="Q39" s="56">
        <f>Act_Cemento_Otros_PIUP_sinHFC!V67</f>
        <v>1949.7217309208702</v>
      </c>
      <c r="R39" s="56">
        <f>Act_Cemento_Otros_PIUP_sinHFC!W67</f>
        <v>2023.4422340230233</v>
      </c>
      <c r="S39" s="56">
        <f>Act_Cemento_Otros_PIUP_sinHFC!X67</f>
        <v>2095.678750345362</v>
      </c>
      <c r="T39" s="56">
        <f>Act_Cemento_Otros_PIUP_sinHFC!Y67</f>
        <v>2166.3905835043743</v>
      </c>
      <c r="U39" s="56">
        <f>Act_Cemento_Otros_PIUP_sinHFC!Z67</f>
        <v>2235.6594685149576</v>
      </c>
      <c r="V39" s="56">
        <f>Act_Cemento_Otros_PIUP_sinHFC!AA67</f>
        <v>2303.4443667457263</v>
      </c>
      <c r="W39" s="56">
        <f>Act_Cemento_Otros_PIUP_sinHFC!AB67</f>
        <v>2369.7056085567897</v>
      </c>
      <c r="X39" s="56">
        <f>Act_Cemento_Otros_PIUP_sinHFC!AC67</f>
        <v>2455.7093878414944</v>
      </c>
      <c r="Y39" s="56">
        <f>Act_Cemento_Otros_PIUP_sinHFC!AD67</f>
        <v>2541.7131671261982</v>
      </c>
      <c r="Z39" s="56">
        <f>Act_Cemento_Otros_PIUP_sinHFC!AE67</f>
        <v>2627.6772767710122</v>
      </c>
      <c r="AA39" s="56">
        <f>Act_Cemento_Otros_PIUP_sinHFC!AF67</f>
        <v>2713.6810560557169</v>
      </c>
      <c r="AB39" s="67">
        <f>Act_Cemento_Otros_PIUP_sinHFC!AG67</f>
        <v>2799.6848353404212</v>
      </c>
    </row>
    <row r="40" spans="2:28" x14ac:dyDescent="0.3">
      <c r="B40" s="59" t="s">
        <v>20</v>
      </c>
      <c r="C40" s="56">
        <f>Act_Cemento_Otros_PIUP_sinHFC!H58</f>
        <v>423.50000000000006</v>
      </c>
      <c r="D40" s="56">
        <f>Act_Cemento_Otros_PIUP_sinHFC!I58</f>
        <v>522.5</v>
      </c>
      <c r="E40" s="56">
        <f>Act_Cemento_Otros_PIUP_sinHFC!J58</f>
        <v>621.49999999999989</v>
      </c>
      <c r="F40" s="56">
        <f>Act_Cemento_Otros_PIUP_sinHFC!K58</f>
        <v>569.79999999999995</v>
      </c>
      <c r="G40" s="56">
        <f>Act_Cemento_Otros_PIUP_sinHFC!L58</f>
        <v>518</v>
      </c>
      <c r="H40" s="56">
        <f>Act_Cemento_Otros_PIUP_sinHFC!M58</f>
        <v>530.90000000000009</v>
      </c>
      <c r="I40" s="56">
        <f>Act_Cemento_Otros_PIUP_sinHFC!N58</f>
        <v>543.69999999999993</v>
      </c>
      <c r="J40" s="56">
        <f>Act_Cemento_Otros_PIUP_sinHFC!O58</f>
        <v>469.5</v>
      </c>
      <c r="K40" s="56">
        <f>Act_Cemento_Otros_PIUP_sinHFC!P58</f>
        <v>395.40000000000003</v>
      </c>
      <c r="L40" s="56">
        <f>Act_Cemento_Otros_PIUP_sinHFC!Q58</f>
        <v>339.60000000000008</v>
      </c>
      <c r="M40" s="56">
        <f>Act_Cemento_Otros_PIUP_sinHFC!R58</f>
        <v>283.7</v>
      </c>
      <c r="N40" s="56">
        <f>Act_Cemento_Otros_PIUP_sinHFC!S58</f>
        <v>365.39999999999986</v>
      </c>
      <c r="O40" s="56">
        <f>Act_Cemento_Otros_PIUP_sinHFC!T58</f>
        <v>490.4</v>
      </c>
      <c r="P40" s="56">
        <f>Act_Cemento_Otros_PIUP_sinHFC!U58</f>
        <v>500.7999999999999</v>
      </c>
      <c r="Q40" s="56">
        <f>Act_Cemento_Otros_PIUP_sinHFC!V58</f>
        <v>511.49999999999994</v>
      </c>
      <c r="R40" s="56">
        <f>Act_Cemento_Otros_PIUP_sinHFC!W58</f>
        <v>522.4</v>
      </c>
      <c r="S40" s="56">
        <f>Act_Cemento_Otros_PIUP_sinHFC!X58</f>
        <v>533.79999999999995</v>
      </c>
      <c r="T40" s="56">
        <f>Act_Cemento_Otros_PIUP_sinHFC!Y58</f>
        <v>544.99999999999989</v>
      </c>
      <c r="U40" s="56">
        <f>Act_Cemento_Otros_PIUP_sinHFC!Z58</f>
        <v>556.79999999999995</v>
      </c>
      <c r="V40" s="56">
        <f>Act_Cemento_Otros_PIUP_sinHFC!AA58</f>
        <v>568.79999999999995</v>
      </c>
      <c r="W40" s="56">
        <f>Act_Cemento_Otros_PIUP_sinHFC!AB58</f>
        <v>580.80000000000007</v>
      </c>
      <c r="X40" s="56">
        <f>Act_Cemento_Otros_PIUP_sinHFC!AC58</f>
        <v>593.30000000000007</v>
      </c>
      <c r="Y40" s="56">
        <f>Act_Cemento_Otros_PIUP_sinHFC!AD58</f>
        <v>606</v>
      </c>
      <c r="Z40" s="56">
        <f>Act_Cemento_Otros_PIUP_sinHFC!AE58</f>
        <v>618.80000000000007</v>
      </c>
      <c r="AA40" s="56">
        <f>Act_Cemento_Otros_PIUP_sinHFC!AF58</f>
        <v>632.09999999999991</v>
      </c>
      <c r="AB40" s="67">
        <f>Act_Cemento_Otros_PIUP_sinHFC!AG58</f>
        <v>645.6</v>
      </c>
    </row>
    <row r="41" spans="2:28" ht="15" thickBot="1" x14ac:dyDescent="0.35">
      <c r="B41" s="60" t="s">
        <v>8</v>
      </c>
      <c r="C41" s="68">
        <f>Act_HFC!F20*1000</f>
        <v>214.9</v>
      </c>
      <c r="D41" s="68">
        <f>Act_HFC!G20*1000</f>
        <v>252</v>
      </c>
      <c r="E41" s="68">
        <f>Act_HFC!H20*1000</f>
        <v>289.10000000000002</v>
      </c>
      <c r="F41" s="68">
        <f>Act_HFC!I20*1000</f>
        <v>331.8</v>
      </c>
      <c r="G41" s="68">
        <f>Act_HFC!J20*1000</f>
        <v>374.5</v>
      </c>
      <c r="H41" s="68">
        <f>Act_HFC!K20*1000</f>
        <v>423.70000000000005</v>
      </c>
      <c r="I41" s="68">
        <f>Act_HFC!L20*1000</f>
        <v>472.9</v>
      </c>
      <c r="J41" s="68">
        <f>Act_HFC!M20*1000</f>
        <v>496</v>
      </c>
      <c r="K41" s="68">
        <f>Act_HFC!N20*1000</f>
        <v>519.1</v>
      </c>
      <c r="L41" s="68">
        <f>Act_HFC!O20*1000</f>
        <v>861.1</v>
      </c>
      <c r="M41" s="68">
        <f>Act_HFC!P20*1000</f>
        <v>1203</v>
      </c>
      <c r="N41" s="68">
        <f>Act_HFC!Q20*1000</f>
        <v>1325.1</v>
      </c>
      <c r="O41" s="68">
        <f>Act_HFC!R20*1000</f>
        <v>1957.6</v>
      </c>
      <c r="P41" s="68">
        <f>Act_HFC!S20*1000</f>
        <v>2384</v>
      </c>
      <c r="Q41" s="68">
        <f>Act_HFC!T20*1000</f>
        <v>2810.2999999999997</v>
      </c>
      <c r="R41" s="68">
        <f>Act_HFC!U20*1000</f>
        <v>3236.7</v>
      </c>
      <c r="S41" s="68">
        <f>Act_HFC!V20*1000</f>
        <v>3583.8</v>
      </c>
      <c r="T41" s="68">
        <f>Act_HFC!W20*1000</f>
        <v>3931</v>
      </c>
      <c r="U41" s="68">
        <f>Act_HFC!X20*1000</f>
        <v>4278.1000000000004</v>
      </c>
      <c r="V41" s="68">
        <f>Act_HFC!Y20*1000</f>
        <v>4625.2000000000007</v>
      </c>
      <c r="W41" s="68">
        <f>Act_HFC!Z20*1000</f>
        <v>4998.5</v>
      </c>
      <c r="X41" s="68">
        <f>Act_HFC!AA20*1000</f>
        <v>4956.7</v>
      </c>
      <c r="Y41" s="68">
        <f>Act_HFC!AB20*1000</f>
        <v>4914.9000000000005</v>
      </c>
      <c r="Z41" s="68">
        <f>Act_HFC!AC20*1000</f>
        <v>4873.1000000000004</v>
      </c>
      <c r="AA41" s="68">
        <f>Act_HFC!AD20*1000</f>
        <v>4831.2999999999993</v>
      </c>
      <c r="AB41" s="69">
        <f>Act_HFC!AE20*1000</f>
        <v>4789.5</v>
      </c>
    </row>
    <row r="42" spans="2:28" x14ac:dyDescent="0.3">
      <c r="B42" s="58" t="s">
        <v>22</v>
      </c>
      <c r="C42" s="65">
        <f>SUM(C43:C45)</f>
        <v>2420.3687670000004</v>
      </c>
      <c r="D42" s="65">
        <f t="shared" ref="D42:AB42" si="9">SUM(D43:D45)</f>
        <v>2559.3022984999998</v>
      </c>
      <c r="E42" s="65">
        <f t="shared" si="9"/>
        <v>2698.2358299999996</v>
      </c>
      <c r="F42" s="65">
        <f t="shared" si="9"/>
        <v>2737.8279149999998</v>
      </c>
      <c r="G42" s="65">
        <f t="shared" si="9"/>
        <v>2777.3199999999997</v>
      </c>
      <c r="H42" s="65">
        <f t="shared" si="9"/>
        <v>2772.38</v>
      </c>
      <c r="I42" s="65">
        <f t="shared" si="9"/>
        <v>2767.34</v>
      </c>
      <c r="J42" s="65">
        <f t="shared" si="9"/>
        <v>2855.3850000000002</v>
      </c>
      <c r="K42" s="65">
        <f t="shared" si="9"/>
        <v>2943.5299999999997</v>
      </c>
      <c r="L42" s="65">
        <f t="shared" si="9"/>
        <v>2889.1301950000002</v>
      </c>
      <c r="M42" s="65">
        <f t="shared" si="9"/>
        <v>2834.5303899999999</v>
      </c>
      <c r="N42" s="65">
        <f t="shared" si="9"/>
        <v>3655.387972</v>
      </c>
      <c r="O42" s="65">
        <f t="shared" si="9"/>
        <v>4245.8711719999992</v>
      </c>
      <c r="P42" s="65">
        <f t="shared" si="9"/>
        <v>4759.3593064139086</v>
      </c>
      <c r="Q42" s="65">
        <f t="shared" si="9"/>
        <v>5271.5217309208692</v>
      </c>
      <c r="R42" s="65">
        <f t="shared" si="9"/>
        <v>5782.5422340230234</v>
      </c>
      <c r="S42" s="65">
        <f t="shared" si="9"/>
        <v>6213.2787503453619</v>
      </c>
      <c r="T42" s="65">
        <f t="shared" si="9"/>
        <v>6642.3905835043743</v>
      </c>
      <c r="U42" s="65">
        <f t="shared" si="9"/>
        <v>7070.5594685149581</v>
      </c>
      <c r="V42" s="65">
        <f t="shared" si="9"/>
        <v>7497.4443667457272</v>
      </c>
      <c r="W42" s="65">
        <f t="shared" si="9"/>
        <v>7949.0056085567903</v>
      </c>
      <c r="X42" s="65">
        <f t="shared" si="9"/>
        <v>8005.7093878414944</v>
      </c>
      <c r="Y42" s="65">
        <f t="shared" si="9"/>
        <v>8062.6131671261992</v>
      </c>
      <c r="Z42" s="65">
        <f t="shared" si="9"/>
        <v>8119.5772767710132</v>
      </c>
      <c r="AA42" s="65">
        <f t="shared" si="9"/>
        <v>8177.0810560557165</v>
      </c>
      <c r="AB42" s="66">
        <f t="shared" si="9"/>
        <v>8234.7848353404206</v>
      </c>
    </row>
    <row r="43" spans="2:28" x14ac:dyDescent="0.3">
      <c r="B43" s="59" t="s">
        <v>19</v>
      </c>
      <c r="C43" s="56">
        <f>Act_Cemento_Otros_PIUP_sinHFC!H68</f>
        <v>1781.9687670000003</v>
      </c>
      <c r="D43" s="56">
        <f>Act_Cemento_Otros_PIUP_sinHFC!I68</f>
        <v>1784.8022984999998</v>
      </c>
      <c r="E43" s="56">
        <f>Act_Cemento_Otros_PIUP_sinHFC!J68</f>
        <v>1787.6358299999997</v>
      </c>
      <c r="F43" s="56">
        <f>Act_Cemento_Otros_PIUP_sinHFC!K68</f>
        <v>1836.2279149999997</v>
      </c>
      <c r="G43" s="56">
        <f>Act_Cemento_Otros_PIUP_sinHFC!L68</f>
        <v>1884.8199999999997</v>
      </c>
      <c r="H43" s="56">
        <f>Act_Cemento_Otros_PIUP_sinHFC!M68</f>
        <v>1817.7800000000002</v>
      </c>
      <c r="I43" s="56">
        <f>Act_Cemento_Otros_PIUP_sinHFC!N68</f>
        <v>1750.7400000000002</v>
      </c>
      <c r="J43" s="56">
        <f>Act_Cemento_Otros_PIUP_sinHFC!O68</f>
        <v>1889.8850000000002</v>
      </c>
      <c r="K43" s="56">
        <f>Act_Cemento_Otros_PIUP_sinHFC!P68</f>
        <v>2029.0299999999997</v>
      </c>
      <c r="L43" s="56">
        <f>Act_Cemento_Otros_PIUP_sinHFC!Q68</f>
        <v>1688.4301949999999</v>
      </c>
      <c r="M43" s="56">
        <f>Act_Cemento_Otros_PIUP_sinHFC!R68</f>
        <v>1347.8303900000001</v>
      </c>
      <c r="N43" s="56">
        <f>Act_Cemento_Otros_PIUP_sinHFC!S68</f>
        <v>1964.8879720000002</v>
      </c>
      <c r="O43" s="56">
        <f>Act_Cemento_Otros_PIUP_sinHFC!T68</f>
        <v>1797.8711719999997</v>
      </c>
      <c r="P43" s="56">
        <f>Act_Cemento_Otros_PIUP_sinHFC!U68</f>
        <v>1874.5593064139089</v>
      </c>
      <c r="Q43" s="56">
        <f>Act_Cemento_Otros_PIUP_sinHFC!V68</f>
        <v>1949.7217309208702</v>
      </c>
      <c r="R43" s="56">
        <f>Act_Cemento_Otros_PIUP_sinHFC!W68</f>
        <v>2023.4422340230233</v>
      </c>
      <c r="S43" s="56">
        <f>Act_Cemento_Otros_PIUP_sinHFC!X68</f>
        <v>2095.678750345362</v>
      </c>
      <c r="T43" s="56">
        <f>Act_Cemento_Otros_PIUP_sinHFC!Y68</f>
        <v>2166.3905835043743</v>
      </c>
      <c r="U43" s="56">
        <f>Act_Cemento_Otros_PIUP_sinHFC!Z68</f>
        <v>2235.6594685149576</v>
      </c>
      <c r="V43" s="56">
        <f>Act_Cemento_Otros_PIUP_sinHFC!AA68</f>
        <v>2303.4443667457263</v>
      </c>
      <c r="W43" s="56">
        <f>Act_Cemento_Otros_PIUP_sinHFC!AB68</f>
        <v>2369.7056085567897</v>
      </c>
      <c r="X43" s="56">
        <f>Act_Cemento_Otros_PIUP_sinHFC!AC68</f>
        <v>2455.7093878414944</v>
      </c>
      <c r="Y43" s="56">
        <f>Act_Cemento_Otros_PIUP_sinHFC!AD68</f>
        <v>2541.7131671261982</v>
      </c>
      <c r="Z43" s="56">
        <f>Act_Cemento_Otros_PIUP_sinHFC!AE68</f>
        <v>2627.6772767710122</v>
      </c>
      <c r="AA43" s="56">
        <f>Act_Cemento_Otros_PIUP_sinHFC!AF68</f>
        <v>2713.6810560557169</v>
      </c>
      <c r="AB43" s="67">
        <f>Act_Cemento_Otros_PIUP_sinHFC!AG68</f>
        <v>2799.6848353404212</v>
      </c>
    </row>
    <row r="44" spans="2:28" x14ac:dyDescent="0.3">
      <c r="B44" s="59" t="s">
        <v>20</v>
      </c>
      <c r="C44" s="56">
        <f>Act_Cemento_Otros_PIUP_sinHFC!H58</f>
        <v>423.50000000000006</v>
      </c>
      <c r="D44" s="56">
        <f>Act_Cemento_Otros_PIUP_sinHFC!I58</f>
        <v>522.5</v>
      </c>
      <c r="E44" s="56">
        <f>Act_Cemento_Otros_PIUP_sinHFC!J58</f>
        <v>621.49999999999989</v>
      </c>
      <c r="F44" s="56">
        <f>Act_Cemento_Otros_PIUP_sinHFC!K58</f>
        <v>569.79999999999995</v>
      </c>
      <c r="G44" s="56">
        <f>Act_Cemento_Otros_PIUP_sinHFC!L58</f>
        <v>518</v>
      </c>
      <c r="H44" s="56">
        <f>Act_Cemento_Otros_PIUP_sinHFC!M58</f>
        <v>530.90000000000009</v>
      </c>
      <c r="I44" s="56">
        <f>Act_Cemento_Otros_PIUP_sinHFC!N58</f>
        <v>543.69999999999993</v>
      </c>
      <c r="J44" s="56">
        <f>Act_Cemento_Otros_PIUP_sinHFC!O58</f>
        <v>469.5</v>
      </c>
      <c r="K44" s="56">
        <f>Act_Cemento_Otros_PIUP_sinHFC!P58</f>
        <v>395.40000000000003</v>
      </c>
      <c r="L44" s="56">
        <f>Act_Cemento_Otros_PIUP_sinHFC!Q58</f>
        <v>339.60000000000008</v>
      </c>
      <c r="M44" s="56">
        <f>Act_Cemento_Otros_PIUP_sinHFC!R58</f>
        <v>283.7</v>
      </c>
      <c r="N44" s="56">
        <f>Act_Cemento_Otros_PIUP_sinHFC!S58</f>
        <v>365.39999999999986</v>
      </c>
      <c r="O44" s="56">
        <f>Act_Cemento_Otros_PIUP_sinHFC!T58</f>
        <v>490.4</v>
      </c>
      <c r="P44" s="56">
        <f>Act_Cemento_Otros_PIUP_sinHFC!U58</f>
        <v>500.7999999999999</v>
      </c>
      <c r="Q44" s="56">
        <f>Act_Cemento_Otros_PIUP_sinHFC!V58</f>
        <v>511.49999999999994</v>
      </c>
      <c r="R44" s="56">
        <f>Act_Cemento_Otros_PIUP_sinHFC!W58</f>
        <v>522.4</v>
      </c>
      <c r="S44" s="56">
        <f>Act_Cemento_Otros_PIUP_sinHFC!X58</f>
        <v>533.79999999999995</v>
      </c>
      <c r="T44" s="56">
        <f>Act_Cemento_Otros_PIUP_sinHFC!Y58</f>
        <v>544.99999999999989</v>
      </c>
      <c r="U44" s="56">
        <f>Act_Cemento_Otros_PIUP_sinHFC!Z58</f>
        <v>556.79999999999995</v>
      </c>
      <c r="V44" s="56">
        <f>Act_Cemento_Otros_PIUP_sinHFC!AA58</f>
        <v>568.79999999999995</v>
      </c>
      <c r="W44" s="56">
        <f>Act_Cemento_Otros_PIUP_sinHFC!AB58</f>
        <v>580.80000000000007</v>
      </c>
      <c r="X44" s="56">
        <f>Act_Cemento_Otros_PIUP_sinHFC!AC58</f>
        <v>593.30000000000007</v>
      </c>
      <c r="Y44" s="56">
        <f>Act_Cemento_Otros_PIUP_sinHFC!AD58</f>
        <v>606</v>
      </c>
      <c r="Z44" s="56">
        <f>Act_Cemento_Otros_PIUP_sinHFC!AE58</f>
        <v>618.80000000000007</v>
      </c>
      <c r="AA44" s="56">
        <f>Act_Cemento_Otros_PIUP_sinHFC!AF58</f>
        <v>632.09999999999991</v>
      </c>
      <c r="AB44" s="67">
        <f>Act_Cemento_Otros_PIUP_sinHFC!AG58</f>
        <v>645.6</v>
      </c>
    </row>
    <row r="45" spans="2:28" ht="15" thickBot="1" x14ac:dyDescent="0.35">
      <c r="B45" s="60" t="s">
        <v>8</v>
      </c>
      <c r="C45" s="68">
        <f>Act_HFC!F20*1000</f>
        <v>214.9</v>
      </c>
      <c r="D45" s="68">
        <f>Act_HFC!G20*1000</f>
        <v>252</v>
      </c>
      <c r="E45" s="68">
        <f>Act_HFC!H20*1000</f>
        <v>289.10000000000002</v>
      </c>
      <c r="F45" s="68">
        <f>Act_HFC!I20*1000</f>
        <v>331.8</v>
      </c>
      <c r="G45" s="68">
        <f>Act_HFC!J20*1000</f>
        <v>374.5</v>
      </c>
      <c r="H45" s="68">
        <f>Act_HFC!K20*1000</f>
        <v>423.70000000000005</v>
      </c>
      <c r="I45" s="68">
        <f>Act_HFC!L20*1000</f>
        <v>472.9</v>
      </c>
      <c r="J45" s="68">
        <f>Act_HFC!M20*1000</f>
        <v>496</v>
      </c>
      <c r="K45" s="68">
        <f>Act_HFC!N20*1000</f>
        <v>519.1</v>
      </c>
      <c r="L45" s="68">
        <f>Act_HFC!O20*1000</f>
        <v>861.1</v>
      </c>
      <c r="M45" s="68">
        <f>Act_HFC!P20*1000</f>
        <v>1203</v>
      </c>
      <c r="N45" s="68">
        <f>Act_HFC!Q20*1000</f>
        <v>1325.1</v>
      </c>
      <c r="O45" s="68">
        <f>Act_HFC!R20*1000</f>
        <v>1957.6</v>
      </c>
      <c r="P45" s="68">
        <f>Act_HFC!S20*1000</f>
        <v>2384</v>
      </c>
      <c r="Q45" s="68">
        <f>Act_HFC!T20*1000</f>
        <v>2810.2999999999997</v>
      </c>
      <c r="R45" s="68">
        <f>Act_HFC!U20*1000</f>
        <v>3236.7</v>
      </c>
      <c r="S45" s="68">
        <f>Act_HFC!V20*1000</f>
        <v>3583.8</v>
      </c>
      <c r="T45" s="68">
        <f>Act_HFC!W20*1000</f>
        <v>3931</v>
      </c>
      <c r="U45" s="68">
        <f>Act_HFC!X20*1000</f>
        <v>4278.1000000000004</v>
      </c>
      <c r="V45" s="68">
        <f>Act_HFC!Y20*1000</f>
        <v>4625.2000000000007</v>
      </c>
      <c r="W45" s="68">
        <f>Act_HFC!Z20*1000</f>
        <v>4998.5</v>
      </c>
      <c r="X45" s="68">
        <f>Act_HFC!AA20*1000</f>
        <v>4956.7</v>
      </c>
      <c r="Y45" s="68">
        <f>Act_HFC!AB20*1000</f>
        <v>4914.9000000000005</v>
      </c>
      <c r="Z45" s="68">
        <f>Act_HFC!AC20*1000</f>
        <v>4873.1000000000004</v>
      </c>
      <c r="AA45" s="68">
        <f>Act_HFC!AD20*1000</f>
        <v>4831.2999999999993</v>
      </c>
      <c r="AB45" s="69">
        <f>Act_HFC!AE20*1000</f>
        <v>4789.5</v>
      </c>
    </row>
    <row r="47" spans="2:28" x14ac:dyDescent="0.3">
      <c r="AB47" s="57"/>
    </row>
    <row r="48" spans="2:28" x14ac:dyDescent="0.3">
      <c r="B48" s="7" t="s">
        <v>26</v>
      </c>
    </row>
    <row r="49" spans="2:28" ht="15" thickBot="1" x14ac:dyDescent="0.35"/>
    <row r="50" spans="2:28" ht="15" thickBot="1" x14ac:dyDescent="0.35">
      <c r="B50" s="61" t="s">
        <v>21</v>
      </c>
      <c r="C50" s="70">
        <f>C38-C34</f>
        <v>0</v>
      </c>
      <c r="D50" s="70">
        <f t="shared" ref="D50:AB50" si="10">D38-D34</f>
        <v>0</v>
      </c>
      <c r="E50" s="70">
        <f t="shared" si="10"/>
        <v>0</v>
      </c>
      <c r="F50" s="70">
        <f t="shared" si="10"/>
        <v>0</v>
      </c>
      <c r="G50" s="70">
        <f t="shared" si="10"/>
        <v>0</v>
      </c>
      <c r="H50" s="70">
        <f t="shared" si="10"/>
        <v>0</v>
      </c>
      <c r="I50" s="70">
        <f t="shared" si="10"/>
        <v>0</v>
      </c>
      <c r="J50" s="70">
        <f t="shared" si="10"/>
        <v>-35.888888888889142</v>
      </c>
      <c r="K50" s="70">
        <f t="shared" si="10"/>
        <v>-71.777777777777828</v>
      </c>
      <c r="L50" s="70">
        <f t="shared" si="10"/>
        <v>-107.66666666666652</v>
      </c>
      <c r="M50" s="70">
        <f t="shared" si="10"/>
        <v>-143.55555555555566</v>
      </c>
      <c r="N50" s="70">
        <f t="shared" si="10"/>
        <v>-179.44444444444434</v>
      </c>
      <c r="O50" s="70">
        <f t="shared" si="10"/>
        <v>-215.33333333333394</v>
      </c>
      <c r="P50" s="70">
        <f t="shared" si="10"/>
        <v>-251.22222222222172</v>
      </c>
      <c r="Q50" s="70">
        <f t="shared" si="10"/>
        <v>-287.11111111111131</v>
      </c>
      <c r="R50" s="95">
        <f t="shared" si="10"/>
        <v>-323</v>
      </c>
      <c r="S50" s="70">
        <f t="shared" si="10"/>
        <v>-423.01399999999921</v>
      </c>
      <c r="T50" s="70">
        <f t="shared" si="10"/>
        <v>-522.92799999999988</v>
      </c>
      <c r="U50" s="70">
        <f t="shared" si="10"/>
        <v>-622.94200000000001</v>
      </c>
      <c r="V50" s="70">
        <f t="shared" si="10"/>
        <v>-722.85599999999977</v>
      </c>
      <c r="W50" s="70">
        <f t="shared" si="10"/>
        <v>-796.67000000000007</v>
      </c>
      <c r="X50" s="70">
        <f t="shared" si="10"/>
        <v>-870.58400000000074</v>
      </c>
      <c r="Y50" s="70">
        <f t="shared" si="10"/>
        <v>-944.39799999999923</v>
      </c>
      <c r="Z50" s="70">
        <f t="shared" si="10"/>
        <v>-1018.2119999999977</v>
      </c>
      <c r="AA50" s="70">
        <f t="shared" si="10"/>
        <v>-1092.1260000000002</v>
      </c>
      <c r="AB50" s="71">
        <f t="shared" si="10"/>
        <v>-1165.9400000000005</v>
      </c>
    </row>
    <row r="51" spans="2:28" ht="15" thickBot="1" x14ac:dyDescent="0.35">
      <c r="B51" s="61" t="s">
        <v>22</v>
      </c>
      <c r="C51" s="70">
        <f>C42-C34</f>
        <v>0</v>
      </c>
      <c r="D51" s="70">
        <f t="shared" ref="D51:AB51" si="11">D42-D34</f>
        <v>0</v>
      </c>
      <c r="E51" s="70">
        <f t="shared" si="11"/>
        <v>0</v>
      </c>
      <c r="F51" s="70">
        <f t="shared" si="11"/>
        <v>0</v>
      </c>
      <c r="G51" s="70">
        <f t="shared" si="11"/>
        <v>0</v>
      </c>
      <c r="H51" s="70">
        <f t="shared" si="11"/>
        <v>0</v>
      </c>
      <c r="I51" s="70">
        <f t="shared" si="11"/>
        <v>0</v>
      </c>
      <c r="J51" s="70">
        <f t="shared" si="11"/>
        <v>-35.888888888889142</v>
      </c>
      <c r="K51" s="70">
        <f t="shared" si="11"/>
        <v>-71.777777777777828</v>
      </c>
      <c r="L51" s="70">
        <f t="shared" si="11"/>
        <v>-107.66666666666652</v>
      </c>
      <c r="M51" s="70">
        <f t="shared" si="11"/>
        <v>-143.55555555555566</v>
      </c>
      <c r="N51" s="70">
        <f t="shared" si="11"/>
        <v>-179.44444444444434</v>
      </c>
      <c r="O51" s="70">
        <f t="shared" si="11"/>
        <v>-215.33333333333394</v>
      </c>
      <c r="P51" s="70">
        <f t="shared" si="11"/>
        <v>-251.22222222222172</v>
      </c>
      <c r="Q51" s="70">
        <f t="shared" si="11"/>
        <v>-287.11111111111131</v>
      </c>
      <c r="R51" s="95">
        <f t="shared" si="11"/>
        <v>-323</v>
      </c>
      <c r="S51" s="70">
        <f t="shared" si="11"/>
        <v>-423.01399999999921</v>
      </c>
      <c r="T51" s="70">
        <f t="shared" si="11"/>
        <v>-522.92799999999988</v>
      </c>
      <c r="U51" s="70">
        <f t="shared" si="11"/>
        <v>-622.94200000000001</v>
      </c>
      <c r="V51" s="70">
        <f t="shared" si="11"/>
        <v>-722.85599999999977</v>
      </c>
      <c r="W51" s="70">
        <f t="shared" si="11"/>
        <v>-796.67000000000007</v>
      </c>
      <c r="X51" s="70">
        <f t="shared" si="11"/>
        <v>-870.58400000000074</v>
      </c>
      <c r="Y51" s="70">
        <f t="shared" si="11"/>
        <v>-944.39799999999923</v>
      </c>
      <c r="Z51" s="70">
        <f t="shared" si="11"/>
        <v>-1018.2119999999977</v>
      </c>
      <c r="AA51" s="70">
        <f t="shared" si="11"/>
        <v>-1092.1260000000002</v>
      </c>
      <c r="AB51" s="71">
        <f t="shared" si="11"/>
        <v>-1165.9400000000005</v>
      </c>
    </row>
    <row r="54" spans="2:28" x14ac:dyDescent="0.3">
      <c r="B54" s="7" t="s">
        <v>27</v>
      </c>
    </row>
    <row r="55" spans="2:28" ht="15" thickBot="1" x14ac:dyDescent="0.35"/>
    <row r="56" spans="2:28" ht="15" thickBot="1" x14ac:dyDescent="0.35">
      <c r="B56" s="61" t="s">
        <v>21</v>
      </c>
      <c r="C56" s="72">
        <f>(C38-C34)/C34</f>
        <v>0</v>
      </c>
      <c r="D56" s="72">
        <f t="shared" ref="D56:AA56" si="12">(D38-D34)/D34</f>
        <v>0</v>
      </c>
      <c r="E56" s="72">
        <f t="shared" si="12"/>
        <v>0</v>
      </c>
      <c r="F56" s="72">
        <f t="shared" si="12"/>
        <v>0</v>
      </c>
      <c r="G56" s="72">
        <f t="shared" si="12"/>
        <v>0</v>
      </c>
      <c r="H56" s="72">
        <f t="shared" si="12"/>
        <v>0</v>
      </c>
      <c r="I56" s="72">
        <f t="shared" si="12"/>
        <v>0</v>
      </c>
      <c r="J56" s="72">
        <f t="shared" si="12"/>
        <v>-1.2412829177757757E-2</v>
      </c>
      <c r="K56" s="72">
        <f t="shared" si="12"/>
        <v>-2.3804461457223661E-2</v>
      </c>
      <c r="L56" s="72">
        <f t="shared" si="12"/>
        <v>-3.5927248871579429E-2</v>
      </c>
      <c r="M56" s="72">
        <f t="shared" si="12"/>
        <v>-4.8203966634944001E-2</v>
      </c>
      <c r="N56" s="72">
        <f t="shared" si="12"/>
        <v>-4.6793294975539114E-2</v>
      </c>
      <c r="O56" s="72">
        <f t="shared" si="12"/>
        <v>-4.8267980783195372E-2</v>
      </c>
      <c r="P56" s="72">
        <f t="shared" si="12"/>
        <v>-5.0138336395975952E-2</v>
      </c>
      <c r="Q56" s="72">
        <f t="shared" si="12"/>
        <v>-5.1651389697858999E-2</v>
      </c>
      <c r="R56" s="72">
        <f t="shared" si="12"/>
        <v>-5.2902754189478596E-2</v>
      </c>
      <c r="S56" s="72">
        <f t="shared" si="12"/>
        <v>-6.3742516479247391E-2</v>
      </c>
      <c r="T56" s="72">
        <f t="shared" si="12"/>
        <v>-7.29804256301817E-2</v>
      </c>
      <c r="U56" s="72">
        <f t="shared" si="12"/>
        <v>-8.0969894208682544E-2</v>
      </c>
      <c r="V56" s="72">
        <f t="shared" si="12"/>
        <v>-8.7935472884206278E-2</v>
      </c>
      <c r="W56" s="72">
        <f t="shared" si="12"/>
        <v>-9.109301964282053E-2</v>
      </c>
      <c r="X56" s="72">
        <f t="shared" si="12"/>
        <v>-9.8079678302713941E-2</v>
      </c>
      <c r="Y56" s="72">
        <f t="shared" si="12"/>
        <v>-0.10485142990017203</v>
      </c>
      <c r="Z56" s="72">
        <f t="shared" si="12"/>
        <v>-0.11142870219040549</v>
      </c>
      <c r="AA56" s="72">
        <f t="shared" si="12"/>
        <v>-0.11782302341455382</v>
      </c>
      <c r="AB56" s="73">
        <f>(AB38-AB34)/AB34</f>
        <v>-0.12402660650345258</v>
      </c>
    </row>
    <row r="57" spans="2:28" ht="15" thickBot="1" x14ac:dyDescent="0.35">
      <c r="B57" s="61" t="s">
        <v>22</v>
      </c>
      <c r="C57" s="72">
        <f>(C42-C34)/C34</f>
        <v>0</v>
      </c>
      <c r="D57" s="72">
        <f t="shared" ref="D57:AB57" si="13">(D42-D34)/D34</f>
        <v>0</v>
      </c>
      <c r="E57" s="72">
        <f t="shared" si="13"/>
        <v>0</v>
      </c>
      <c r="F57" s="72">
        <f t="shared" si="13"/>
        <v>0</v>
      </c>
      <c r="G57" s="72">
        <f t="shared" si="13"/>
        <v>0</v>
      </c>
      <c r="H57" s="72">
        <f t="shared" si="13"/>
        <v>0</v>
      </c>
      <c r="I57" s="72">
        <f t="shared" si="13"/>
        <v>0</v>
      </c>
      <c r="J57" s="72">
        <f t="shared" si="13"/>
        <v>-1.2412829177757757E-2</v>
      </c>
      <c r="K57" s="72">
        <f t="shared" si="13"/>
        <v>-2.3804461457223661E-2</v>
      </c>
      <c r="L57" s="72">
        <f t="shared" si="13"/>
        <v>-3.5927248871579429E-2</v>
      </c>
      <c r="M57" s="72">
        <f t="shared" si="13"/>
        <v>-4.8203966634944001E-2</v>
      </c>
      <c r="N57" s="72">
        <f t="shared" si="13"/>
        <v>-4.6793294975539114E-2</v>
      </c>
      <c r="O57" s="72">
        <f t="shared" si="13"/>
        <v>-4.8267980783195372E-2</v>
      </c>
      <c r="P57" s="72">
        <f t="shared" si="13"/>
        <v>-5.0138336395975952E-2</v>
      </c>
      <c r="Q57" s="72">
        <f t="shared" si="13"/>
        <v>-5.1651389697858999E-2</v>
      </c>
      <c r="R57" s="72">
        <f t="shared" si="13"/>
        <v>-5.2902754189478596E-2</v>
      </c>
      <c r="S57" s="72">
        <f t="shared" si="13"/>
        <v>-6.3742516479247391E-2</v>
      </c>
      <c r="T57" s="72">
        <f t="shared" si="13"/>
        <v>-7.29804256301817E-2</v>
      </c>
      <c r="U57" s="72">
        <f t="shared" si="13"/>
        <v>-8.0969894208682544E-2</v>
      </c>
      <c r="V57" s="72">
        <f t="shared" si="13"/>
        <v>-8.7935472884206278E-2</v>
      </c>
      <c r="W57" s="72">
        <f t="shared" si="13"/>
        <v>-9.109301964282053E-2</v>
      </c>
      <c r="X57" s="72">
        <f t="shared" si="13"/>
        <v>-9.8079678302713941E-2</v>
      </c>
      <c r="Y57" s="72">
        <f t="shared" si="13"/>
        <v>-0.10485142990017203</v>
      </c>
      <c r="Z57" s="72">
        <f t="shared" si="13"/>
        <v>-0.11142870219040549</v>
      </c>
      <c r="AA57" s="72">
        <f t="shared" si="13"/>
        <v>-0.11782302341455382</v>
      </c>
      <c r="AB57" s="73">
        <f t="shared" si="13"/>
        <v>-0.12402660650345258</v>
      </c>
    </row>
    <row r="61" spans="2:28" x14ac:dyDescent="0.3"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</row>
    <row r="62" spans="2:28" x14ac:dyDescent="0.3"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</row>
    <row r="63" spans="2:28" x14ac:dyDescent="0.3"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9302-D913-4E5D-8CFF-6BCABCC3A323}">
  <sheetPr>
    <tabColor theme="5" tint="0.59999389629810485"/>
  </sheetPr>
  <dimension ref="B1:AH108"/>
  <sheetViews>
    <sheetView tabSelected="1" topLeftCell="E1" zoomScale="70" zoomScaleNormal="70" workbookViewId="0">
      <pane ySplit="1" topLeftCell="A6" activePane="bottomLeft" state="frozen"/>
      <selection pane="bottomLeft" activeCell="X20" sqref="X20"/>
    </sheetView>
  </sheetViews>
  <sheetFormatPr defaultRowHeight="14.4" x14ac:dyDescent="0.3"/>
  <cols>
    <col min="3" max="3" width="15.109375" customWidth="1"/>
    <col min="7" max="7" width="101.33203125" customWidth="1"/>
    <col min="8" max="8" width="12.6640625" bestFit="1" customWidth="1"/>
    <col min="32" max="32" width="8.5546875" bestFit="1" customWidth="1"/>
  </cols>
  <sheetData>
    <row r="1" spans="2:34" ht="15" thickBot="1" x14ac:dyDescent="0.35">
      <c r="F1" s="28"/>
      <c r="G1" s="29"/>
      <c r="H1" s="30">
        <v>2010</v>
      </c>
      <c r="I1" s="29">
        <v>2011</v>
      </c>
      <c r="J1" s="29">
        <v>2012</v>
      </c>
      <c r="K1" s="29">
        <v>2013</v>
      </c>
      <c r="L1" s="29">
        <v>2014</v>
      </c>
      <c r="M1" s="30">
        <v>2015</v>
      </c>
      <c r="N1" s="29">
        <v>2016</v>
      </c>
      <c r="O1" s="29">
        <v>2017</v>
      </c>
      <c r="P1" s="29">
        <v>2018</v>
      </c>
      <c r="Q1" s="29">
        <v>2019</v>
      </c>
      <c r="R1" s="30">
        <v>2020</v>
      </c>
      <c r="S1" s="29">
        <v>2021</v>
      </c>
      <c r="T1" s="29">
        <v>2022</v>
      </c>
      <c r="U1" s="29">
        <v>2023</v>
      </c>
      <c r="V1" s="29">
        <v>2024</v>
      </c>
      <c r="W1" s="30">
        <v>2025</v>
      </c>
      <c r="X1" s="29">
        <v>2026</v>
      </c>
      <c r="Y1" s="29">
        <v>2027</v>
      </c>
      <c r="Z1" s="29">
        <v>2028</v>
      </c>
      <c r="AA1" s="29">
        <v>2029</v>
      </c>
      <c r="AB1" s="30">
        <v>2030</v>
      </c>
      <c r="AC1" s="29">
        <v>2031</v>
      </c>
      <c r="AD1" s="29">
        <v>2032</v>
      </c>
      <c r="AE1" s="29">
        <v>2033</v>
      </c>
      <c r="AF1" s="29">
        <v>2034</v>
      </c>
      <c r="AG1" s="30">
        <v>2035</v>
      </c>
      <c r="AH1" s="31"/>
    </row>
    <row r="2" spans="2:34" ht="15" thickBot="1" x14ac:dyDescent="0.35"/>
    <row r="3" spans="2:34" x14ac:dyDescent="0.3">
      <c r="B3" s="32"/>
      <c r="C3" s="33"/>
      <c r="D3" s="34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4"/>
    </row>
    <row r="4" spans="2:34" x14ac:dyDescent="0.3">
      <c r="B4" s="35"/>
      <c r="C4" s="36" t="s">
        <v>28</v>
      </c>
      <c r="D4" s="37"/>
      <c r="F4" s="35"/>
      <c r="G4" s="36" t="s">
        <v>29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7"/>
    </row>
    <row r="5" spans="2:34" x14ac:dyDescent="0.3">
      <c r="B5" s="35"/>
      <c r="C5" s="38"/>
      <c r="D5" s="37"/>
      <c r="F5" s="35"/>
      <c r="G5" s="36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7"/>
    </row>
    <row r="6" spans="2:34" ht="84.6" customHeight="1" x14ac:dyDescent="0.3">
      <c r="B6" s="35"/>
      <c r="C6" s="39" t="s">
        <v>30</v>
      </c>
      <c r="D6" s="37"/>
      <c r="F6" s="35"/>
      <c r="G6" s="40" t="s">
        <v>31</v>
      </c>
      <c r="H6" s="83">
        <f>H76</f>
        <v>2205.4687670000003</v>
      </c>
      <c r="I6" s="84">
        <f t="shared" ref="I6:S6" si="0">I76</f>
        <v>2307.3022984999998</v>
      </c>
      <c r="J6" s="84">
        <f t="shared" si="0"/>
        <v>2409.1358299999997</v>
      </c>
      <c r="K6" s="84">
        <f t="shared" si="0"/>
        <v>2406.0279149999997</v>
      </c>
      <c r="L6" s="84">
        <f t="shared" si="0"/>
        <v>2402.8199999999997</v>
      </c>
      <c r="M6" s="83">
        <f t="shared" si="0"/>
        <v>2348.6800000000003</v>
      </c>
      <c r="N6" s="84">
        <f t="shared" si="0"/>
        <v>2294.44</v>
      </c>
      <c r="O6" s="84">
        <f t="shared" si="0"/>
        <v>2359.3850000000002</v>
      </c>
      <c r="P6" s="84">
        <f t="shared" si="0"/>
        <v>2424.4299999999998</v>
      </c>
      <c r="Q6" s="84">
        <f>Q76</f>
        <v>2028.030195</v>
      </c>
      <c r="R6" s="83">
        <f t="shared" si="0"/>
        <v>1631.5303900000001</v>
      </c>
      <c r="S6" s="84">
        <f t="shared" si="0"/>
        <v>2330.2879720000001</v>
      </c>
      <c r="T6" s="84">
        <f>T76</f>
        <v>2288.2711719999998</v>
      </c>
      <c r="U6" s="84">
        <f t="shared" ref="U6:AG6" si="1">U76</f>
        <v>2375.3593064139086</v>
      </c>
      <c r="V6" s="84">
        <f t="shared" si="1"/>
        <v>2461.22173092087</v>
      </c>
      <c r="W6" s="83">
        <f t="shared" si="1"/>
        <v>2545.8422340230231</v>
      </c>
      <c r="X6" s="84">
        <f t="shared" si="1"/>
        <v>2973.1927503453617</v>
      </c>
      <c r="Y6" s="84">
        <f t="shared" si="1"/>
        <v>3075.8185835043741</v>
      </c>
      <c r="Z6" s="84">
        <f t="shared" si="1"/>
        <v>3177.6014685149576</v>
      </c>
      <c r="AA6" s="84">
        <f t="shared" si="1"/>
        <v>3278.1003667457262</v>
      </c>
      <c r="AB6" s="83">
        <f t="shared" si="1"/>
        <v>3377.07560855679</v>
      </c>
      <c r="AC6" s="84">
        <f t="shared" si="1"/>
        <v>3496.2933878414947</v>
      </c>
      <c r="AD6" s="84">
        <f t="shared" si="1"/>
        <v>3615.7111671261982</v>
      </c>
      <c r="AE6" s="84">
        <f t="shared" si="1"/>
        <v>3735.1892767710124</v>
      </c>
      <c r="AF6" s="84">
        <f t="shared" si="1"/>
        <v>3855.2070560557167</v>
      </c>
      <c r="AG6" s="83">
        <f t="shared" si="1"/>
        <v>3975.4248353404209</v>
      </c>
      <c r="AH6" s="37"/>
    </row>
    <row r="7" spans="2:34" ht="28.8" x14ac:dyDescent="0.3">
      <c r="B7" s="35"/>
      <c r="C7" s="39" t="s">
        <v>32</v>
      </c>
      <c r="D7" s="37"/>
      <c r="F7" s="35"/>
      <c r="G7" s="75" t="s">
        <v>33</v>
      </c>
      <c r="H7" s="83">
        <f>H77</f>
        <v>2205.4687670000003</v>
      </c>
      <c r="I7" s="84">
        <f t="shared" ref="I7:T7" si="2">I77</f>
        <v>2307.3022984999998</v>
      </c>
      <c r="J7" s="84">
        <f t="shared" si="2"/>
        <v>2409.1358299999997</v>
      </c>
      <c r="K7" s="84">
        <f t="shared" si="2"/>
        <v>2406.0279149999997</v>
      </c>
      <c r="L7" s="84">
        <f t="shared" si="2"/>
        <v>2402.8199999999997</v>
      </c>
      <c r="M7" s="83">
        <f t="shared" si="2"/>
        <v>2348.6800000000003</v>
      </c>
      <c r="N7" s="84">
        <f t="shared" si="2"/>
        <v>2294.44</v>
      </c>
      <c r="O7" s="84">
        <f t="shared" si="2"/>
        <v>2395.2738888888894</v>
      </c>
      <c r="P7" s="84">
        <f t="shared" si="2"/>
        <v>2496.2077777777777</v>
      </c>
      <c r="Q7" s="84">
        <f t="shared" si="2"/>
        <v>2135.6968616666668</v>
      </c>
      <c r="R7" s="83">
        <f t="shared" si="2"/>
        <v>1775.0859455555558</v>
      </c>
      <c r="S7" s="84">
        <f t="shared" si="2"/>
        <v>2509.7324164444444</v>
      </c>
      <c r="T7" s="84">
        <f t="shared" si="2"/>
        <v>2503.6045053333332</v>
      </c>
      <c r="U7" s="84">
        <f t="shared" ref="U7:AG7" si="3">U77</f>
        <v>2626.5815286361308</v>
      </c>
      <c r="V7" s="84">
        <f t="shared" si="3"/>
        <v>2748.3328420319813</v>
      </c>
      <c r="W7" s="83">
        <f t="shared" si="3"/>
        <v>2868.8422340230231</v>
      </c>
      <c r="X7" s="84">
        <f t="shared" si="3"/>
        <v>2973.1927503453617</v>
      </c>
      <c r="Y7" s="84">
        <f t="shared" si="3"/>
        <v>3075.8185835043741</v>
      </c>
      <c r="Z7" s="84">
        <f t="shared" si="3"/>
        <v>3177.6014685149576</v>
      </c>
      <c r="AA7" s="84">
        <f t="shared" si="3"/>
        <v>3278.1003667457262</v>
      </c>
      <c r="AB7" s="83">
        <f t="shared" si="3"/>
        <v>3377.07560855679</v>
      </c>
      <c r="AC7" s="84">
        <f t="shared" si="3"/>
        <v>3496.2933878414947</v>
      </c>
      <c r="AD7" s="84">
        <f t="shared" si="3"/>
        <v>3615.7111671261982</v>
      </c>
      <c r="AE7" s="84">
        <f t="shared" si="3"/>
        <v>3735.1892767710124</v>
      </c>
      <c r="AF7" s="84">
        <f t="shared" si="3"/>
        <v>3855.2070560557167</v>
      </c>
      <c r="AG7" s="83">
        <f t="shared" si="3"/>
        <v>3975.4248353404209</v>
      </c>
      <c r="AH7" s="37"/>
    </row>
    <row r="8" spans="2:34" ht="31.2" customHeight="1" x14ac:dyDescent="0.3">
      <c r="B8" s="35"/>
      <c r="C8" s="101" t="s">
        <v>34</v>
      </c>
      <c r="D8" s="37"/>
      <c r="F8" s="35"/>
      <c r="G8" s="76" t="s">
        <v>21</v>
      </c>
      <c r="H8" s="83">
        <f t="shared" ref="H8:T9" si="4">H78</f>
        <v>2205.4687670000003</v>
      </c>
      <c r="I8" s="84">
        <f t="shared" si="4"/>
        <v>2307.3022984999998</v>
      </c>
      <c r="J8" s="84">
        <f t="shared" si="4"/>
        <v>2409.1358299999997</v>
      </c>
      <c r="K8" s="84">
        <f t="shared" si="4"/>
        <v>2406.0279149999997</v>
      </c>
      <c r="L8" s="84">
        <f t="shared" si="4"/>
        <v>2402.8199999999997</v>
      </c>
      <c r="M8" s="83">
        <f t="shared" si="4"/>
        <v>2348.6800000000003</v>
      </c>
      <c r="N8" s="84">
        <f t="shared" si="4"/>
        <v>2294.44</v>
      </c>
      <c r="O8" s="84">
        <f t="shared" si="4"/>
        <v>2359.3850000000002</v>
      </c>
      <c r="P8" s="84">
        <f t="shared" si="4"/>
        <v>2424.4299999999998</v>
      </c>
      <c r="Q8" s="84">
        <f t="shared" si="4"/>
        <v>2028.030195</v>
      </c>
      <c r="R8" s="83">
        <f t="shared" si="4"/>
        <v>1631.5303900000001</v>
      </c>
      <c r="S8" s="84">
        <f t="shared" si="4"/>
        <v>2330.2879720000001</v>
      </c>
      <c r="T8" s="84">
        <f t="shared" si="4"/>
        <v>2288.2711719999998</v>
      </c>
      <c r="U8" s="84">
        <f t="shared" ref="U8:AG8" si="5">U78</f>
        <v>2375.3593064139086</v>
      </c>
      <c r="V8" s="84">
        <f t="shared" si="5"/>
        <v>2461.22173092087</v>
      </c>
      <c r="W8" s="83">
        <f t="shared" si="5"/>
        <v>2545.8422340230231</v>
      </c>
      <c r="X8" s="84">
        <f t="shared" si="5"/>
        <v>2629.4787503453617</v>
      </c>
      <c r="Y8" s="84">
        <f t="shared" si="5"/>
        <v>2711.3905835043743</v>
      </c>
      <c r="Z8" s="84">
        <f t="shared" si="5"/>
        <v>2792.4594685149577</v>
      </c>
      <c r="AA8" s="84">
        <f t="shared" si="5"/>
        <v>2872.2443667457264</v>
      </c>
      <c r="AB8" s="83">
        <f t="shared" si="5"/>
        <v>2950.5056085567899</v>
      </c>
      <c r="AC8" s="84">
        <f t="shared" si="5"/>
        <v>3049.0093878414946</v>
      </c>
      <c r="AD8" s="84">
        <f t="shared" si="5"/>
        <v>3147.7131671261982</v>
      </c>
      <c r="AE8" s="84">
        <f t="shared" si="5"/>
        <v>3246.4772767710124</v>
      </c>
      <c r="AF8" s="84">
        <f t="shared" si="5"/>
        <v>3345.7810560557168</v>
      </c>
      <c r="AG8" s="83">
        <f t="shared" si="5"/>
        <v>3445.2848353404211</v>
      </c>
      <c r="AH8" s="37"/>
    </row>
    <row r="9" spans="2:34" ht="28.2" customHeight="1" x14ac:dyDescent="0.3">
      <c r="B9" s="35"/>
      <c r="C9" s="102"/>
      <c r="D9" s="37"/>
      <c r="F9" s="35"/>
      <c r="G9" s="76" t="s">
        <v>22</v>
      </c>
      <c r="H9" s="83">
        <f t="shared" si="4"/>
        <v>2205.4687670000003</v>
      </c>
      <c r="I9" s="84">
        <f t="shared" si="4"/>
        <v>2307.3022984999998</v>
      </c>
      <c r="J9" s="84">
        <f t="shared" si="4"/>
        <v>2409.1358299999997</v>
      </c>
      <c r="K9" s="84">
        <f t="shared" si="4"/>
        <v>2406.0279149999997</v>
      </c>
      <c r="L9" s="84">
        <f t="shared" si="4"/>
        <v>2402.8199999999997</v>
      </c>
      <c r="M9" s="83">
        <f t="shared" si="4"/>
        <v>2348.6800000000003</v>
      </c>
      <c r="N9" s="84">
        <f t="shared" si="4"/>
        <v>2294.44</v>
      </c>
      <c r="O9" s="84">
        <f t="shared" si="4"/>
        <v>2359.3850000000002</v>
      </c>
      <c r="P9" s="84">
        <f t="shared" si="4"/>
        <v>2424.4299999999998</v>
      </c>
      <c r="Q9" s="84">
        <f t="shared" si="4"/>
        <v>2028.030195</v>
      </c>
      <c r="R9" s="83">
        <f t="shared" si="4"/>
        <v>1631.5303900000001</v>
      </c>
      <c r="S9" s="84">
        <f t="shared" si="4"/>
        <v>2330.2879720000001</v>
      </c>
      <c r="T9" s="84">
        <f t="shared" si="4"/>
        <v>2288.2711719999998</v>
      </c>
      <c r="U9" s="84">
        <f t="shared" ref="U9:AG9" si="6">U79</f>
        <v>2375.3593064139086</v>
      </c>
      <c r="V9" s="84">
        <f t="shared" si="6"/>
        <v>2461.22173092087</v>
      </c>
      <c r="W9" s="83">
        <f t="shared" si="6"/>
        <v>2545.8422340230231</v>
      </c>
      <c r="X9" s="84">
        <f t="shared" si="6"/>
        <v>2629.4787503453617</v>
      </c>
      <c r="Y9" s="84">
        <f t="shared" si="6"/>
        <v>2711.3905835043743</v>
      </c>
      <c r="Z9" s="84">
        <f t="shared" si="6"/>
        <v>2792.4594685149577</v>
      </c>
      <c r="AA9" s="84">
        <f t="shared" si="6"/>
        <v>2872.2443667457264</v>
      </c>
      <c r="AB9" s="83">
        <f t="shared" si="6"/>
        <v>2950.5056085567899</v>
      </c>
      <c r="AC9" s="84">
        <f t="shared" si="6"/>
        <v>3049.0093878414946</v>
      </c>
      <c r="AD9" s="84">
        <f t="shared" si="6"/>
        <v>3147.7131671261982</v>
      </c>
      <c r="AE9" s="84">
        <f t="shared" si="6"/>
        <v>3246.4772767710124</v>
      </c>
      <c r="AF9" s="84">
        <f t="shared" si="6"/>
        <v>3345.7810560557168</v>
      </c>
      <c r="AG9" s="83">
        <f t="shared" si="6"/>
        <v>3445.2848353404211</v>
      </c>
      <c r="AH9" s="37"/>
    </row>
    <row r="10" spans="2:34" ht="15" thickBot="1" x14ac:dyDescent="0.35">
      <c r="B10" s="35"/>
      <c r="C10" s="38"/>
      <c r="D10" s="37"/>
      <c r="F10" s="41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3"/>
    </row>
    <row r="11" spans="2:34" ht="15" thickBot="1" x14ac:dyDescent="0.35">
      <c r="B11" s="35"/>
      <c r="C11" s="38"/>
      <c r="D11" s="37"/>
    </row>
    <row r="12" spans="2:34" x14ac:dyDescent="0.3">
      <c r="B12" s="35"/>
      <c r="C12" s="38"/>
      <c r="D12" s="37"/>
      <c r="F12" s="3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4"/>
    </row>
    <row r="13" spans="2:34" x14ac:dyDescent="0.3">
      <c r="B13" s="35"/>
      <c r="C13" s="38"/>
      <c r="D13" s="37"/>
      <c r="F13" s="35"/>
      <c r="G13" s="36" t="s">
        <v>35</v>
      </c>
      <c r="H13" s="44">
        <f t="shared" ref="H13:AG13" si="7">(H8-H7)/H7</f>
        <v>0</v>
      </c>
      <c r="I13" s="44">
        <f t="shared" si="7"/>
        <v>0</v>
      </c>
      <c r="J13" s="44">
        <f t="shared" si="7"/>
        <v>0</v>
      </c>
      <c r="K13" s="44">
        <f t="shared" si="7"/>
        <v>0</v>
      </c>
      <c r="L13" s="44">
        <f t="shared" si="7"/>
        <v>0</v>
      </c>
      <c r="M13" s="44">
        <f t="shared" si="7"/>
        <v>0</v>
      </c>
      <c r="N13" s="44">
        <f t="shared" si="7"/>
        <v>0</v>
      </c>
      <c r="O13" s="44">
        <f t="shared" si="7"/>
        <v>-1.4983208832764066E-2</v>
      </c>
      <c r="P13" s="44">
        <f t="shared" si="7"/>
        <v>-2.8754728839791226E-2</v>
      </c>
      <c r="Q13" s="44">
        <f t="shared" si="7"/>
        <v>-5.0412897354096049E-2</v>
      </c>
      <c r="R13" s="44">
        <f t="shared" si="7"/>
        <v>-8.0872453480344858E-2</v>
      </c>
      <c r="S13" s="44">
        <f t="shared" si="7"/>
        <v>-7.1499432875264265E-2</v>
      </c>
      <c r="T13" s="44">
        <f t="shared" si="7"/>
        <v>-8.6009324905198525E-2</v>
      </c>
      <c r="U13" s="44">
        <f t="shared" si="7"/>
        <v>-9.5646078175487245E-2</v>
      </c>
      <c r="V13" s="44">
        <f t="shared" si="7"/>
        <v>-0.10446737262683059</v>
      </c>
      <c r="W13" s="44">
        <f t="shared" si="7"/>
        <v>-0.11258897271149412</v>
      </c>
      <c r="X13" s="44">
        <f t="shared" si="7"/>
        <v>-0.11560434484446884</v>
      </c>
      <c r="Y13" s="44">
        <f t="shared" si="7"/>
        <v>-0.11848163020876086</v>
      </c>
      <c r="Z13" s="44">
        <f t="shared" si="7"/>
        <v>-0.12120525617077926</v>
      </c>
      <c r="AA13" s="44">
        <f t="shared" si="7"/>
        <v>-0.12380828973912895</v>
      </c>
      <c r="AB13" s="44">
        <f t="shared" si="7"/>
        <v>-0.1263134289677029</v>
      </c>
      <c r="AC13" s="44">
        <f t="shared" si="7"/>
        <v>-0.12793091150629657</v>
      </c>
      <c r="AD13" s="44">
        <f t="shared" si="7"/>
        <v>-0.12943456442400772</v>
      </c>
      <c r="AE13" s="44">
        <f t="shared" si="7"/>
        <v>-0.13083995583283548</v>
      </c>
      <c r="AF13" s="44">
        <f t="shared" si="7"/>
        <v>-0.13213972494675719</v>
      </c>
      <c r="AG13" s="44">
        <f t="shared" si="7"/>
        <v>-0.13335430097613787</v>
      </c>
      <c r="AH13" s="37"/>
    </row>
    <row r="14" spans="2:34" x14ac:dyDescent="0.3">
      <c r="B14" s="35"/>
      <c r="C14" s="38"/>
      <c r="D14" s="37"/>
      <c r="F14" s="35"/>
      <c r="G14" s="45" t="s">
        <v>36</v>
      </c>
      <c r="H14" s="44">
        <f t="shared" ref="H14:AG14" si="8">(H9-H7)/H7</f>
        <v>0</v>
      </c>
      <c r="I14" s="44">
        <f t="shared" si="8"/>
        <v>0</v>
      </c>
      <c r="J14" s="44">
        <f t="shared" si="8"/>
        <v>0</v>
      </c>
      <c r="K14" s="44">
        <f t="shared" si="8"/>
        <v>0</v>
      </c>
      <c r="L14" s="44">
        <f t="shared" si="8"/>
        <v>0</v>
      </c>
      <c r="M14" s="44">
        <f t="shared" si="8"/>
        <v>0</v>
      </c>
      <c r="N14" s="44">
        <f t="shared" si="8"/>
        <v>0</v>
      </c>
      <c r="O14" s="44">
        <f t="shared" si="8"/>
        <v>-1.4983208832764066E-2</v>
      </c>
      <c r="P14" s="44">
        <f t="shared" si="8"/>
        <v>-2.8754728839791226E-2</v>
      </c>
      <c r="Q14" s="44">
        <f t="shared" si="8"/>
        <v>-5.0412897354096049E-2</v>
      </c>
      <c r="R14" s="44">
        <f t="shared" si="8"/>
        <v>-8.0872453480344858E-2</v>
      </c>
      <c r="S14" s="44">
        <f t="shared" si="8"/>
        <v>-7.1499432875264265E-2</v>
      </c>
      <c r="T14" s="44">
        <f t="shared" si="8"/>
        <v>-8.6009324905198525E-2</v>
      </c>
      <c r="U14" s="44">
        <f t="shared" si="8"/>
        <v>-9.5646078175487245E-2</v>
      </c>
      <c r="V14" s="44">
        <f t="shared" si="8"/>
        <v>-0.10446737262683059</v>
      </c>
      <c r="W14" s="44">
        <f t="shared" si="8"/>
        <v>-0.11258897271149412</v>
      </c>
      <c r="X14" s="44">
        <f t="shared" si="8"/>
        <v>-0.11560434484446884</v>
      </c>
      <c r="Y14" s="44">
        <f t="shared" si="8"/>
        <v>-0.11848163020876086</v>
      </c>
      <c r="Z14" s="44">
        <f t="shared" si="8"/>
        <v>-0.12120525617077926</v>
      </c>
      <c r="AA14" s="44">
        <f t="shared" si="8"/>
        <v>-0.12380828973912895</v>
      </c>
      <c r="AB14" s="44">
        <f t="shared" si="8"/>
        <v>-0.1263134289677029</v>
      </c>
      <c r="AC14" s="44">
        <f t="shared" si="8"/>
        <v>-0.12793091150629657</v>
      </c>
      <c r="AD14" s="44">
        <f t="shared" si="8"/>
        <v>-0.12943456442400772</v>
      </c>
      <c r="AE14" s="44">
        <f t="shared" si="8"/>
        <v>-0.13083995583283548</v>
      </c>
      <c r="AF14" s="44">
        <f t="shared" si="8"/>
        <v>-0.13213972494675719</v>
      </c>
      <c r="AG14" s="44">
        <f t="shared" si="8"/>
        <v>-0.13335430097613787</v>
      </c>
      <c r="AH14" s="37"/>
    </row>
    <row r="15" spans="2:34" ht="15" thickBot="1" x14ac:dyDescent="0.35">
      <c r="B15" s="35"/>
      <c r="C15" s="38"/>
      <c r="D15" s="37"/>
      <c r="F15" s="41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3"/>
    </row>
    <row r="16" spans="2:34" x14ac:dyDescent="0.3">
      <c r="B16" s="35"/>
      <c r="C16" s="38"/>
      <c r="D16" s="37"/>
    </row>
    <row r="17" spans="2:34" x14ac:dyDescent="0.3">
      <c r="B17" s="35"/>
      <c r="C17" s="38"/>
      <c r="D17" s="37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2:34" x14ac:dyDescent="0.3">
      <c r="B18" s="35"/>
      <c r="C18" s="38"/>
      <c r="D18" s="37"/>
    </row>
    <row r="19" spans="2:34" ht="28.8" x14ac:dyDescent="0.3">
      <c r="B19" s="35"/>
      <c r="C19" s="39" t="s">
        <v>32</v>
      </c>
      <c r="D19" s="37"/>
      <c r="G19" s="52" t="s">
        <v>37</v>
      </c>
      <c r="H19" s="54">
        <v>2.8421709430404007E-14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35.888888888888928</v>
      </c>
      <c r="P19" s="54">
        <v>71.7777777777778</v>
      </c>
      <c r="Q19" s="54">
        <v>107.66666666666669</v>
      </c>
      <c r="R19" s="54">
        <v>143.55555555555557</v>
      </c>
      <c r="S19" s="54">
        <v>179.44444444444443</v>
      </c>
      <c r="T19" s="54">
        <v>215.33333333333331</v>
      </c>
      <c r="U19" s="54">
        <v>251.2222222222222</v>
      </c>
      <c r="V19" s="54">
        <v>287.11111111111109</v>
      </c>
      <c r="W19" s="54">
        <v>323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14"/>
    </row>
    <row r="20" spans="2:34" ht="57.6" x14ac:dyDescent="0.3">
      <c r="B20" s="35"/>
      <c r="C20" s="39" t="s">
        <v>38</v>
      </c>
      <c r="D20" s="37"/>
      <c r="G20" s="52" t="s">
        <v>39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54">
        <v>0</v>
      </c>
      <c r="Q20" s="54">
        <v>0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343.71400000000006</v>
      </c>
      <c r="Y20" s="54">
        <v>364.42800000000005</v>
      </c>
      <c r="Z20" s="54">
        <v>385.14200000000005</v>
      </c>
      <c r="AA20" s="54">
        <v>405.85600000000005</v>
      </c>
      <c r="AB20" s="54">
        <v>426.57000000000005</v>
      </c>
      <c r="AC20" s="54">
        <v>447.28399999999999</v>
      </c>
      <c r="AD20" s="54">
        <v>467.99800000000005</v>
      </c>
      <c r="AE20" s="54">
        <v>488.71199999999999</v>
      </c>
      <c r="AF20" s="54">
        <v>509.42600000000004</v>
      </c>
      <c r="AG20" s="54">
        <v>530.14</v>
      </c>
    </row>
    <row r="21" spans="2:34" x14ac:dyDescent="0.3">
      <c r="B21" s="35"/>
      <c r="C21" s="38"/>
      <c r="D21" s="37"/>
    </row>
    <row r="22" spans="2:34" ht="15" thickBot="1" x14ac:dyDescent="0.35">
      <c r="B22" s="35"/>
      <c r="C22" s="38"/>
      <c r="D22" s="37"/>
    </row>
    <row r="23" spans="2:34" x14ac:dyDescent="0.3">
      <c r="B23" s="35"/>
      <c r="C23" s="38"/>
      <c r="D23" s="37"/>
      <c r="F23" s="32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4"/>
    </row>
    <row r="24" spans="2:34" x14ac:dyDescent="0.3">
      <c r="B24" s="35"/>
      <c r="C24" s="36" t="s">
        <v>40</v>
      </c>
      <c r="D24" s="37"/>
      <c r="F24" s="35"/>
      <c r="G24" s="36" t="s">
        <v>41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7"/>
    </row>
    <row r="25" spans="2:34" x14ac:dyDescent="0.3">
      <c r="B25" s="35"/>
      <c r="C25" s="38"/>
      <c r="D25" s="37"/>
      <c r="F25" s="35"/>
      <c r="G25" s="36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37"/>
    </row>
    <row r="26" spans="2:34" ht="21" customHeight="1" x14ac:dyDescent="0.3">
      <c r="B26" s="35"/>
      <c r="C26" s="103" t="s">
        <v>30</v>
      </c>
      <c r="D26" s="37"/>
      <c r="F26" s="35"/>
      <c r="G26" s="40" t="s">
        <v>31</v>
      </c>
      <c r="H26" s="89">
        <v>5.2748999999999997</v>
      </c>
      <c r="I26" s="89">
        <v>5.6681999999999997</v>
      </c>
      <c r="J26" s="89">
        <v>6.0614999999999997</v>
      </c>
      <c r="K26" s="89">
        <v>6.3077999999999994</v>
      </c>
      <c r="L26" s="89">
        <v>6.5541</v>
      </c>
      <c r="M26" s="89">
        <v>5.7818999999999994</v>
      </c>
      <c r="N26" s="89">
        <v>5.0096999999999996</v>
      </c>
      <c r="O26" s="89">
        <v>5.0327999999999999</v>
      </c>
      <c r="P26" s="89">
        <v>5.0559000000000003</v>
      </c>
      <c r="Q26" s="89">
        <f>Q28</f>
        <v>4.2404072213282209</v>
      </c>
      <c r="R26" s="89">
        <f t="shared" ref="R26:T26" si="9">R28</f>
        <v>3.4118925408871084</v>
      </c>
      <c r="S26" s="89">
        <f t="shared" si="9"/>
        <v>5.013729911275651</v>
      </c>
      <c r="T26" s="89">
        <f t="shared" si="9"/>
        <v>4.624583085482274</v>
      </c>
      <c r="U26" s="89">
        <f>$T$26*Otras_CementoMiscelanea!S29</f>
        <v>4.8610755050913221</v>
      </c>
      <c r="V26" s="89">
        <f>$T$26*Otras_CementoMiscelanea!T29</f>
        <v>5.0974588414809929</v>
      </c>
      <c r="W26" s="89">
        <f>$T$26*Otras_CementoMiscelanea!U29</f>
        <v>5.333951261090041</v>
      </c>
      <c r="X26" s="89">
        <f>$T$26*Otras_CementoMiscelanea!V29</f>
        <v>5.5704436806990882</v>
      </c>
      <c r="Y26" s="89">
        <f>$T$26*Otras_CementoMiscelanea!W29</f>
        <v>5.806827017088759</v>
      </c>
      <c r="Z26" s="89">
        <f>$T$26*Otras_CementoMiscelanea!X29</f>
        <v>6.0433194366978054</v>
      </c>
      <c r="AA26" s="89">
        <f>$T$26*Otras_CementoMiscelanea!Y29</f>
        <v>6.2798118563068535</v>
      </c>
      <c r="AB26" s="89">
        <f>$T$26*Otras_CementoMiscelanea!Z29</f>
        <v>6.5161951926965243</v>
      </c>
      <c r="AC26" s="89">
        <f>$T$26*Otras_CementoMiscelanea!AA29</f>
        <v>6.7526876123055724</v>
      </c>
      <c r="AD26" s="89">
        <f>$T$26*Otras_CementoMiscelanea!AB29</f>
        <v>6.9891800319146187</v>
      </c>
      <c r="AE26" s="89">
        <f>$T$26*Otras_CementoMiscelanea!AC29</f>
        <v>7.2255633683042904</v>
      </c>
      <c r="AF26" s="89">
        <f>$T$26*Otras_CementoMiscelanea!AD29</f>
        <v>7.4620557879133376</v>
      </c>
      <c r="AG26" s="89">
        <f>$T$26*Otras_CementoMiscelanea!AE29</f>
        <v>7.6985482075223857</v>
      </c>
      <c r="AH26" s="37"/>
    </row>
    <row r="27" spans="2:34" ht="27.6" customHeight="1" x14ac:dyDescent="0.3">
      <c r="B27" s="35"/>
      <c r="C27" s="103"/>
      <c r="D27" s="37"/>
      <c r="F27" s="35"/>
      <c r="G27" s="75" t="s">
        <v>33</v>
      </c>
      <c r="H27" s="89">
        <v>5.2748999999999997</v>
      </c>
      <c r="I27" s="89">
        <v>5.6681999999999997</v>
      </c>
      <c r="J27" s="89">
        <v>6.0614999999999997</v>
      </c>
      <c r="K27" s="89">
        <v>6.3077999999999994</v>
      </c>
      <c r="L27" s="89">
        <v>6.5541</v>
      </c>
      <c r="M27" s="89">
        <v>5.7818999999999994</v>
      </c>
      <c r="N27" s="89">
        <v>5.0096999999999996</v>
      </c>
      <c r="O27" s="89">
        <v>5.0327999999999999</v>
      </c>
      <c r="P27" s="89">
        <v>5.0559000000000003</v>
      </c>
      <c r="Q27" s="89">
        <f>Q28</f>
        <v>4.2404072213282209</v>
      </c>
      <c r="R27" s="89">
        <f t="shared" ref="R27:T27" si="10">R28</f>
        <v>3.4118925408871084</v>
      </c>
      <c r="S27" s="89">
        <f t="shared" si="10"/>
        <v>5.013729911275651</v>
      </c>
      <c r="T27" s="89">
        <f t="shared" si="10"/>
        <v>4.624583085482274</v>
      </c>
      <c r="U27" s="89">
        <f>U26</f>
        <v>4.8610755050913221</v>
      </c>
      <c r="V27" s="89">
        <f t="shared" ref="V27:AG27" si="11">V26</f>
        <v>5.0974588414809929</v>
      </c>
      <c r="W27" s="89">
        <f t="shared" si="11"/>
        <v>5.333951261090041</v>
      </c>
      <c r="X27" s="89">
        <f t="shared" si="11"/>
        <v>5.5704436806990882</v>
      </c>
      <c r="Y27" s="89">
        <f t="shared" si="11"/>
        <v>5.806827017088759</v>
      </c>
      <c r="Z27" s="89">
        <f t="shared" si="11"/>
        <v>6.0433194366978054</v>
      </c>
      <c r="AA27" s="89">
        <f t="shared" si="11"/>
        <v>6.2798118563068535</v>
      </c>
      <c r="AB27" s="89">
        <f t="shared" si="11"/>
        <v>6.5161951926965243</v>
      </c>
      <c r="AC27" s="89">
        <f t="shared" si="11"/>
        <v>6.7526876123055724</v>
      </c>
      <c r="AD27" s="89">
        <f t="shared" si="11"/>
        <v>6.9891800319146187</v>
      </c>
      <c r="AE27" s="89">
        <f t="shared" si="11"/>
        <v>7.2255633683042904</v>
      </c>
      <c r="AF27" s="89">
        <f t="shared" si="11"/>
        <v>7.4620557879133376</v>
      </c>
      <c r="AG27" s="89">
        <f t="shared" si="11"/>
        <v>7.6985482075223857</v>
      </c>
      <c r="AH27" s="37"/>
    </row>
    <row r="28" spans="2:34" ht="20.399999999999999" customHeight="1" x14ac:dyDescent="0.3">
      <c r="B28" s="35"/>
      <c r="C28" s="103"/>
      <c r="D28" s="37"/>
      <c r="F28" s="35"/>
      <c r="G28" s="76" t="s">
        <v>21</v>
      </c>
      <c r="H28" s="89">
        <v>5.2748999999999997</v>
      </c>
      <c r="I28" s="89">
        <v>5.6681999999999997</v>
      </c>
      <c r="J28" s="89">
        <v>6.0614999999999997</v>
      </c>
      <c r="K28" s="89">
        <v>6.3077999999999994</v>
      </c>
      <c r="L28" s="89">
        <v>6.5541</v>
      </c>
      <c r="M28" s="89">
        <v>5.7818999999999994</v>
      </c>
      <c r="N28" s="89">
        <v>5.0096999999999996</v>
      </c>
      <c r="O28" s="89">
        <v>5.0327999999999999</v>
      </c>
      <c r="P28" s="89">
        <v>5.0559000000000003</v>
      </c>
      <c r="Q28" s="89">
        <f>Q39/Q50</f>
        <v>4.2404072213282209</v>
      </c>
      <c r="R28" s="89">
        <f t="shared" ref="R28:T28" si="12">R39/R50</f>
        <v>3.4118925408871084</v>
      </c>
      <c r="S28" s="89">
        <f t="shared" si="12"/>
        <v>5.013729911275651</v>
      </c>
      <c r="T28" s="89">
        <f t="shared" si="12"/>
        <v>4.624583085482274</v>
      </c>
      <c r="U28" s="89">
        <f>U26</f>
        <v>4.8610755050913221</v>
      </c>
      <c r="V28" s="89">
        <f t="shared" ref="V28:AG28" si="13">V26</f>
        <v>5.0974588414809929</v>
      </c>
      <c r="W28" s="89">
        <f t="shared" si="13"/>
        <v>5.333951261090041</v>
      </c>
      <c r="X28" s="89">
        <f t="shared" si="13"/>
        <v>5.5704436806990882</v>
      </c>
      <c r="Y28" s="89">
        <f t="shared" si="13"/>
        <v>5.806827017088759</v>
      </c>
      <c r="Z28" s="89">
        <f t="shared" si="13"/>
        <v>6.0433194366978054</v>
      </c>
      <c r="AA28" s="89">
        <f t="shared" si="13"/>
        <v>6.2798118563068535</v>
      </c>
      <c r="AB28" s="89">
        <f t="shared" si="13"/>
        <v>6.5161951926965243</v>
      </c>
      <c r="AC28" s="89">
        <f t="shared" si="13"/>
        <v>6.7526876123055724</v>
      </c>
      <c r="AD28" s="89">
        <f t="shared" si="13"/>
        <v>6.9891800319146187</v>
      </c>
      <c r="AE28" s="89">
        <f t="shared" si="13"/>
        <v>7.2255633683042904</v>
      </c>
      <c r="AF28" s="89">
        <f t="shared" si="13"/>
        <v>7.4620557879133376</v>
      </c>
      <c r="AG28" s="89">
        <f t="shared" si="13"/>
        <v>7.6985482075223857</v>
      </c>
      <c r="AH28" s="37"/>
    </row>
    <row r="29" spans="2:34" ht="17.399999999999999" customHeight="1" x14ac:dyDescent="0.3">
      <c r="B29" s="35"/>
      <c r="C29" s="103"/>
      <c r="D29" s="37"/>
      <c r="F29" s="35"/>
      <c r="G29" s="76" t="s">
        <v>22</v>
      </c>
      <c r="H29" s="89">
        <v>5.2748999999999997</v>
      </c>
      <c r="I29" s="89">
        <v>5.6681999999999997</v>
      </c>
      <c r="J29" s="89">
        <v>6.0614999999999997</v>
      </c>
      <c r="K29" s="89">
        <v>6.3077999999999994</v>
      </c>
      <c r="L29" s="89">
        <v>6.5541</v>
      </c>
      <c r="M29" s="89">
        <v>5.7818999999999994</v>
      </c>
      <c r="N29" s="89">
        <v>5.0096999999999996</v>
      </c>
      <c r="O29" s="89">
        <v>5.0327999999999999</v>
      </c>
      <c r="P29" s="89">
        <v>5.0559000000000003</v>
      </c>
      <c r="Q29" s="89">
        <f>Q40/Q51</f>
        <v>4.2404072213282209</v>
      </c>
      <c r="R29" s="89">
        <f t="shared" ref="R29:T29" si="14">R40/R51</f>
        <v>3.4118925408871084</v>
      </c>
      <c r="S29" s="89">
        <f t="shared" si="14"/>
        <v>5.013729911275651</v>
      </c>
      <c r="T29" s="89">
        <f t="shared" si="14"/>
        <v>4.624583085482274</v>
      </c>
      <c r="U29" s="89">
        <f>U26</f>
        <v>4.8610755050913221</v>
      </c>
      <c r="V29" s="89">
        <f t="shared" ref="V29:AG29" si="15">V26</f>
        <v>5.0974588414809929</v>
      </c>
      <c r="W29" s="89">
        <f t="shared" si="15"/>
        <v>5.333951261090041</v>
      </c>
      <c r="X29" s="89">
        <f t="shared" si="15"/>
        <v>5.5704436806990882</v>
      </c>
      <c r="Y29" s="89">
        <f t="shared" si="15"/>
        <v>5.806827017088759</v>
      </c>
      <c r="Z29" s="89">
        <f t="shared" si="15"/>
        <v>6.0433194366978054</v>
      </c>
      <c r="AA29" s="89">
        <f t="shared" si="15"/>
        <v>6.2798118563068535</v>
      </c>
      <c r="AB29" s="89">
        <f t="shared" si="15"/>
        <v>6.5161951926965243</v>
      </c>
      <c r="AC29" s="89">
        <f t="shared" si="15"/>
        <v>6.7526876123055724</v>
      </c>
      <c r="AD29" s="89">
        <f t="shared" si="15"/>
        <v>6.9891800319146187</v>
      </c>
      <c r="AE29" s="89">
        <f t="shared" si="15"/>
        <v>7.2255633683042904</v>
      </c>
      <c r="AF29" s="89">
        <f t="shared" si="15"/>
        <v>7.4620557879133376</v>
      </c>
      <c r="AG29" s="89">
        <f t="shared" si="15"/>
        <v>7.6985482075223857</v>
      </c>
      <c r="AH29" s="37"/>
    </row>
    <row r="30" spans="2:34" x14ac:dyDescent="0.3">
      <c r="B30" s="35"/>
      <c r="C30" s="38"/>
      <c r="D30" s="37"/>
      <c r="F30" s="35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7"/>
    </row>
    <row r="31" spans="2:34" ht="15" thickBot="1" x14ac:dyDescent="0.35">
      <c r="B31" s="35"/>
      <c r="C31" s="38"/>
      <c r="D31" s="37"/>
      <c r="F31" s="41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3"/>
    </row>
    <row r="32" spans="2:34" x14ac:dyDescent="0.3">
      <c r="B32" s="35"/>
      <c r="C32" s="38"/>
      <c r="D32" s="37"/>
    </row>
    <row r="33" spans="2:34" ht="15" thickBot="1" x14ac:dyDescent="0.35">
      <c r="B33" s="35"/>
      <c r="C33" s="38"/>
      <c r="D33" s="37"/>
    </row>
    <row r="34" spans="2:34" x14ac:dyDescent="0.3">
      <c r="B34" s="35"/>
      <c r="C34" s="38"/>
      <c r="D34" s="37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4"/>
    </row>
    <row r="35" spans="2:34" x14ac:dyDescent="0.3">
      <c r="B35" s="35"/>
      <c r="C35" s="38"/>
      <c r="D35" s="37"/>
      <c r="F35" s="35"/>
      <c r="G35" s="36" t="s">
        <v>42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7"/>
    </row>
    <row r="36" spans="2:34" x14ac:dyDescent="0.3">
      <c r="B36" s="35"/>
      <c r="C36" s="38"/>
      <c r="D36" s="37"/>
      <c r="F36" s="35"/>
      <c r="G36" s="36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7"/>
    </row>
    <row r="37" spans="2:34" x14ac:dyDescent="0.3">
      <c r="B37" s="35"/>
      <c r="C37" s="103" t="s">
        <v>30</v>
      </c>
      <c r="D37" s="37"/>
      <c r="F37" s="35"/>
      <c r="G37" s="40" t="s">
        <v>31</v>
      </c>
      <c r="H37" s="90">
        <f t="shared" ref="H37:P37" si="16">H26*H48</f>
        <v>3.3289893899999998</v>
      </c>
      <c r="I37" s="90">
        <f t="shared" si="16"/>
        <v>3.3283670399999994</v>
      </c>
      <c r="J37" s="90">
        <f t="shared" si="16"/>
        <v>3.3277635000000001</v>
      </c>
      <c r="K37" s="90">
        <f t="shared" si="16"/>
        <v>3.4339663199999997</v>
      </c>
      <c r="L37" s="90">
        <f t="shared" si="16"/>
        <v>3.5398694100000001</v>
      </c>
      <c r="M37" s="90">
        <f t="shared" si="16"/>
        <v>3.4107428099999995</v>
      </c>
      <c r="N37" s="90">
        <f t="shared" si="16"/>
        <v>3.2818544699999999</v>
      </c>
      <c r="O37" s="90">
        <f t="shared" si="16"/>
        <v>3.5380583999999997</v>
      </c>
      <c r="P37" s="90">
        <f t="shared" si="16"/>
        <v>3.7939473599999998</v>
      </c>
      <c r="Q37" s="93">
        <f>Q65/(Q57*1000)</f>
        <v>3.1571245231862375</v>
      </c>
      <c r="R37" s="93">
        <f t="shared" ref="R37:T37" si="17">R65/(R57*1000)</f>
        <v>2.5202512902019443</v>
      </c>
      <c r="S37" s="93">
        <f t="shared" si="17"/>
        <v>3.6740612789827969</v>
      </c>
      <c r="T37" s="93">
        <f t="shared" si="17"/>
        <v>3.3617635976065814</v>
      </c>
      <c r="U37" s="90">
        <f>U65/(U57*1000)</f>
        <v>3.505159510871183</v>
      </c>
      <c r="V37" s="90">
        <f t="shared" ref="V37:AG37" si="18">V65/(V57*1000)</f>
        <v>3.6457025634272062</v>
      </c>
      <c r="W37" s="90">
        <f t="shared" si="18"/>
        <v>3.7835494278665354</v>
      </c>
      <c r="X37" s="90">
        <f t="shared" si="18"/>
        <v>4.561317782994319</v>
      </c>
      <c r="Y37" s="90">
        <f t="shared" si="18"/>
        <v>4.7322710985496892</v>
      </c>
      <c r="Z37" s="90">
        <f t="shared" si="18"/>
        <v>4.9005263061237043</v>
      </c>
      <c r="AA37" s="90">
        <f t="shared" si="18"/>
        <v>5.0660066693076402</v>
      </c>
      <c r="AB37" s="90">
        <f t="shared" si="18"/>
        <v>5.228638011512321</v>
      </c>
      <c r="AC37" s="90">
        <f t="shared" si="18"/>
        <v>5.428185093196511</v>
      </c>
      <c r="AD37" s="90">
        <f t="shared" si="18"/>
        <v>5.6277321748806992</v>
      </c>
      <c r="AE37" s="90">
        <f t="shared" si="18"/>
        <v>5.8272050799757142</v>
      </c>
      <c r="AF37" s="90">
        <f t="shared" si="18"/>
        <v>6.0267521616599034</v>
      </c>
      <c r="AG37" s="90">
        <f t="shared" si="18"/>
        <v>6.2262992433440925</v>
      </c>
      <c r="AH37" s="37"/>
    </row>
    <row r="38" spans="2:34" ht="28.8" x14ac:dyDescent="0.3">
      <c r="B38" s="35"/>
      <c r="C38" s="103"/>
      <c r="D38" s="37"/>
      <c r="F38" s="35"/>
      <c r="G38" s="75" t="s">
        <v>33</v>
      </c>
      <c r="H38" s="90">
        <f>H66/(H57*1000)</f>
        <v>3.328916060153186</v>
      </c>
      <c r="I38" s="90">
        <f t="shared" ref="I38:P38" si="19">I66/(I57*1000)</f>
        <v>3.3286130147333077</v>
      </c>
      <c r="J38" s="90">
        <f t="shared" si="19"/>
        <v>3.3276914184661197</v>
      </c>
      <c r="K38" s="90">
        <f t="shared" si="19"/>
        <v>3.4341273891902002</v>
      </c>
      <c r="L38" s="90">
        <f t="shared" si="19"/>
        <v>3.5395680751173701</v>
      </c>
      <c r="M38" s="90">
        <f t="shared" si="19"/>
        <v>3.4111090260836927</v>
      </c>
      <c r="N38" s="90">
        <f t="shared" si="19"/>
        <v>3.2816119962511721</v>
      </c>
      <c r="O38" s="90">
        <f t="shared" si="19"/>
        <v>3.6053054177457446</v>
      </c>
      <c r="P38" s="90">
        <f t="shared" si="19"/>
        <v>3.9282120003324184</v>
      </c>
      <c r="Q38" s="93">
        <f>Q66/(Q57*1000)</f>
        <v>3.3584458894290696</v>
      </c>
      <c r="R38" s="93">
        <f t="shared" ref="R38:T38" si="20">R66/(R57*1000)</f>
        <v>2.7886797785257209</v>
      </c>
      <c r="S38" s="93">
        <f t="shared" si="20"/>
        <v>4.0095968893875176</v>
      </c>
      <c r="T38" s="93">
        <f t="shared" si="20"/>
        <v>3.7644063300922457</v>
      </c>
      <c r="U38" s="90">
        <f>U66/(U57*1000)</f>
        <v>3.9749093654377914</v>
      </c>
      <c r="V38" s="90">
        <f t="shared" ref="V38:AG38" si="21">V66/(V57*1000)</f>
        <v>4.1825595400747586</v>
      </c>
      <c r="W38" s="90">
        <f t="shared" si="21"/>
        <v>4.3875135265950309</v>
      </c>
      <c r="X38" s="90">
        <f t="shared" si="21"/>
        <v>4.561317782994319</v>
      </c>
      <c r="Y38" s="90">
        <f t="shared" si="21"/>
        <v>4.7322710985496892</v>
      </c>
      <c r="Z38" s="90">
        <f t="shared" si="21"/>
        <v>4.9005263061237043</v>
      </c>
      <c r="AA38" s="90">
        <f t="shared" si="21"/>
        <v>5.0660066693076402</v>
      </c>
      <c r="AB38" s="90">
        <f t="shared" si="21"/>
        <v>5.228638011512321</v>
      </c>
      <c r="AC38" s="90">
        <f t="shared" si="21"/>
        <v>5.428185093196511</v>
      </c>
      <c r="AD38" s="90">
        <f t="shared" si="21"/>
        <v>5.6277321748806992</v>
      </c>
      <c r="AE38" s="90">
        <f t="shared" si="21"/>
        <v>5.8272050799757142</v>
      </c>
      <c r="AF38" s="90">
        <f t="shared" si="21"/>
        <v>6.0267521616599034</v>
      </c>
      <c r="AG38" s="90">
        <f t="shared" si="21"/>
        <v>6.2262992433440925</v>
      </c>
      <c r="AH38" s="37"/>
    </row>
    <row r="39" spans="2:34" x14ac:dyDescent="0.3">
      <c r="B39" s="35"/>
      <c r="C39" s="103"/>
      <c r="D39" s="37"/>
      <c r="F39" s="35"/>
      <c r="G39" s="76" t="s">
        <v>21</v>
      </c>
      <c r="H39" s="90">
        <f>H67/(H57*1000)</f>
        <v>3.328916060153186</v>
      </c>
      <c r="I39" s="90">
        <f t="shared" ref="I39:P39" si="22">I67/(I57*1000)</f>
        <v>3.3286130147333077</v>
      </c>
      <c r="J39" s="90">
        <f t="shared" si="22"/>
        <v>3.3276914184661197</v>
      </c>
      <c r="K39" s="90">
        <f t="shared" si="22"/>
        <v>3.4341273891902002</v>
      </c>
      <c r="L39" s="90">
        <f t="shared" si="22"/>
        <v>3.5395680751173701</v>
      </c>
      <c r="M39" s="90">
        <f t="shared" si="22"/>
        <v>3.4111090260836927</v>
      </c>
      <c r="N39" s="90">
        <f t="shared" si="22"/>
        <v>3.2816119962511721</v>
      </c>
      <c r="O39" s="90">
        <f t="shared" si="22"/>
        <v>3.5381166339043344</v>
      </c>
      <c r="P39" s="90">
        <f t="shared" si="22"/>
        <v>3.7939977561705303</v>
      </c>
      <c r="Q39" s="93">
        <f>Q67/(Q57*1000)</f>
        <v>3.1571245231862375</v>
      </c>
      <c r="R39" s="93">
        <f t="shared" ref="R39:T39" si="23">R67/(R57*1000)</f>
        <v>2.5202512902019443</v>
      </c>
      <c r="S39" s="93">
        <f t="shared" si="23"/>
        <v>3.6740612789827973</v>
      </c>
      <c r="T39" s="93">
        <f t="shared" si="23"/>
        <v>3.3617635976065809</v>
      </c>
      <c r="U39" s="90">
        <f>U28*U50</f>
        <v>3.505159510871183</v>
      </c>
      <c r="V39" s="90">
        <f t="shared" ref="V39:AG39" si="24">V28*V50</f>
        <v>3.6457025634272062</v>
      </c>
      <c r="W39" s="90">
        <f t="shared" si="24"/>
        <v>3.7835494278665358</v>
      </c>
      <c r="X39" s="90">
        <f t="shared" si="24"/>
        <v>3.9186214479157853</v>
      </c>
      <c r="Y39" s="90">
        <f t="shared" si="24"/>
        <v>4.0508425271211186</v>
      </c>
      <c r="Z39" s="90">
        <f t="shared" si="24"/>
        <v>4.180365498345096</v>
      </c>
      <c r="AA39" s="90">
        <f t="shared" si="24"/>
        <v>4.3071136251789941</v>
      </c>
      <c r="AB39" s="90">
        <f t="shared" si="24"/>
        <v>4.4310127310336371</v>
      </c>
      <c r="AC39" s="90">
        <f t="shared" si="24"/>
        <v>4.5918275763677894</v>
      </c>
      <c r="AD39" s="90">
        <f t="shared" si="24"/>
        <v>4.7526424217019407</v>
      </c>
      <c r="AE39" s="90">
        <f t="shared" si="24"/>
        <v>4.913383090446918</v>
      </c>
      <c r="AF39" s="90">
        <f t="shared" si="24"/>
        <v>5.0741979357810703</v>
      </c>
      <c r="AG39" s="90">
        <f t="shared" si="24"/>
        <v>5.2350127811152225</v>
      </c>
      <c r="AH39" s="37"/>
    </row>
    <row r="40" spans="2:34" x14ac:dyDescent="0.3">
      <c r="B40" s="35"/>
      <c r="C40" s="103"/>
      <c r="D40" s="37"/>
      <c r="F40" s="35"/>
      <c r="G40" s="76" t="s">
        <v>22</v>
      </c>
      <c r="H40" s="90">
        <f>H68/(H57*1000)</f>
        <v>3.328916060153186</v>
      </c>
      <c r="I40" s="90">
        <f t="shared" ref="I40:P40" si="25">I68/(I57*1000)</f>
        <v>3.3286130147333077</v>
      </c>
      <c r="J40" s="90">
        <f t="shared" si="25"/>
        <v>3.3276914184661197</v>
      </c>
      <c r="K40" s="90">
        <f t="shared" si="25"/>
        <v>3.4341273891902002</v>
      </c>
      <c r="L40" s="90">
        <f t="shared" si="25"/>
        <v>3.5395680751173701</v>
      </c>
      <c r="M40" s="90">
        <f t="shared" si="25"/>
        <v>3.4111090260836927</v>
      </c>
      <c r="N40" s="90">
        <f t="shared" si="25"/>
        <v>3.2816119962511721</v>
      </c>
      <c r="O40" s="90">
        <f t="shared" si="25"/>
        <v>3.5381166339043344</v>
      </c>
      <c r="P40" s="90">
        <f t="shared" si="25"/>
        <v>3.7939977561705303</v>
      </c>
      <c r="Q40" s="93">
        <f>Q68/(Q57*1000)</f>
        <v>3.1571245231862375</v>
      </c>
      <c r="R40" s="93">
        <f t="shared" ref="R40:T40" si="26">R68/(R57*1000)</f>
        <v>2.5202512902019443</v>
      </c>
      <c r="S40" s="93">
        <f t="shared" si="26"/>
        <v>3.6740612789827973</v>
      </c>
      <c r="T40" s="93">
        <f t="shared" si="26"/>
        <v>3.3617635976065809</v>
      </c>
      <c r="U40" s="90">
        <f>U29*U51</f>
        <v>3.505159510871183</v>
      </c>
      <c r="V40" s="90">
        <f t="shared" ref="V40:AG40" si="27">V29*V51</f>
        <v>3.6457025634272062</v>
      </c>
      <c r="W40" s="90">
        <f t="shared" si="27"/>
        <v>3.7835494278665358</v>
      </c>
      <c r="X40" s="90">
        <f t="shared" si="27"/>
        <v>3.9186214479157853</v>
      </c>
      <c r="Y40" s="90">
        <f t="shared" si="27"/>
        <v>4.0508425271211186</v>
      </c>
      <c r="Z40" s="90">
        <f t="shared" si="27"/>
        <v>4.180365498345096</v>
      </c>
      <c r="AA40" s="90">
        <f t="shared" si="27"/>
        <v>4.3071136251789941</v>
      </c>
      <c r="AB40" s="90">
        <f t="shared" si="27"/>
        <v>4.4310127310336371</v>
      </c>
      <c r="AC40" s="90">
        <f t="shared" si="27"/>
        <v>4.5918275763677894</v>
      </c>
      <c r="AD40" s="90">
        <f t="shared" si="27"/>
        <v>4.7526424217019407</v>
      </c>
      <c r="AE40" s="90">
        <f t="shared" si="27"/>
        <v>4.913383090446918</v>
      </c>
      <c r="AF40" s="90">
        <f t="shared" si="27"/>
        <v>5.0741979357810703</v>
      </c>
      <c r="AG40" s="90">
        <f t="shared" si="27"/>
        <v>5.2350127811152225</v>
      </c>
      <c r="AH40" s="37"/>
    </row>
    <row r="41" spans="2:34" x14ac:dyDescent="0.3">
      <c r="B41" s="35"/>
      <c r="C41" s="38"/>
      <c r="D41" s="37"/>
      <c r="F41" s="35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7"/>
    </row>
    <row r="42" spans="2:34" ht="15" thickBot="1" x14ac:dyDescent="0.35">
      <c r="B42" s="35"/>
      <c r="C42" s="38"/>
      <c r="D42" s="37"/>
      <c r="F42" s="41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3"/>
    </row>
    <row r="43" spans="2:34" x14ac:dyDescent="0.3">
      <c r="B43" s="35"/>
      <c r="C43" s="38"/>
      <c r="D43" s="37"/>
    </row>
    <row r="44" spans="2:34" ht="15" thickBot="1" x14ac:dyDescent="0.35">
      <c r="B44" s="35"/>
      <c r="C44" s="38"/>
      <c r="D44" s="37"/>
    </row>
    <row r="45" spans="2:34" x14ac:dyDescent="0.3">
      <c r="B45" s="35"/>
      <c r="C45" s="38"/>
      <c r="D45" s="37"/>
      <c r="F45" s="32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4"/>
    </row>
    <row r="46" spans="2:34" x14ac:dyDescent="0.3">
      <c r="B46" s="35"/>
      <c r="C46" s="38"/>
      <c r="D46" s="37"/>
      <c r="F46" s="35"/>
      <c r="G46" s="36" t="s">
        <v>43</v>
      </c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7"/>
    </row>
    <row r="47" spans="2:34" x14ac:dyDescent="0.3">
      <c r="B47" s="35"/>
      <c r="C47" s="38"/>
      <c r="D47" s="37"/>
      <c r="F47" s="35"/>
      <c r="G47" s="36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7"/>
    </row>
    <row r="48" spans="2:34" ht="86.4" x14ac:dyDescent="0.3">
      <c r="B48" s="35"/>
      <c r="C48" s="39" t="s">
        <v>30</v>
      </c>
      <c r="D48" s="37"/>
      <c r="F48" s="35"/>
      <c r="G48" s="40" t="s">
        <v>31</v>
      </c>
      <c r="H48" s="88">
        <v>0.63109999999999999</v>
      </c>
      <c r="I48" s="88">
        <v>0.58719999999999994</v>
      </c>
      <c r="J48" s="88">
        <v>0.54900000000000004</v>
      </c>
      <c r="K48" s="88">
        <v>0.5444</v>
      </c>
      <c r="L48" s="88">
        <v>0.54010000000000002</v>
      </c>
      <c r="M48" s="88">
        <v>0.58989999999999998</v>
      </c>
      <c r="N48" s="88">
        <v>0.65510000000000002</v>
      </c>
      <c r="O48" s="88">
        <v>0.70299999999999996</v>
      </c>
      <c r="P48" s="88">
        <v>0.75039999999999996</v>
      </c>
      <c r="Q48" s="88">
        <f>Q37/Q26</f>
        <v>0.74453333333333316</v>
      </c>
      <c r="R48" s="88">
        <f t="shared" ref="R48:T48" si="28">R37/R26</f>
        <v>0.73866666666666669</v>
      </c>
      <c r="S48" s="88">
        <f t="shared" si="28"/>
        <v>0.73280000000000001</v>
      </c>
      <c r="T48" s="88">
        <f t="shared" si="28"/>
        <v>0.72693333333333343</v>
      </c>
      <c r="U48" s="88">
        <f>U37/U26</f>
        <v>0.72106666666666674</v>
      </c>
      <c r="V48" s="88">
        <f t="shared" ref="V48:AG48" si="29">V37/V26</f>
        <v>0.71520000000000006</v>
      </c>
      <c r="W48" s="88">
        <f t="shared" si="29"/>
        <v>0.70933333333333326</v>
      </c>
      <c r="X48" s="88">
        <f t="shared" si="29"/>
        <v>0.81884281476513832</v>
      </c>
      <c r="Y48" s="88">
        <f t="shared" si="29"/>
        <v>0.81494955586298901</v>
      </c>
      <c r="Z48" s="88">
        <f t="shared" si="29"/>
        <v>0.81089976418679155</v>
      </c>
      <c r="AA48" s="88">
        <f t="shared" si="29"/>
        <v>0.80671312855015209</v>
      </c>
      <c r="AB48" s="88">
        <f t="shared" si="29"/>
        <v>0.80240659723832064</v>
      </c>
      <c r="AC48" s="88">
        <f t="shared" si="29"/>
        <v>0.80385550240834613</v>
      </c>
      <c r="AD48" s="88">
        <f t="shared" si="29"/>
        <v>0.80520635456274492</v>
      </c>
      <c r="AE48" s="88">
        <f t="shared" si="29"/>
        <v>0.80647069065055532</v>
      </c>
      <c r="AF48" s="88">
        <f t="shared" si="29"/>
        <v>0.80765305606823967</v>
      </c>
      <c r="AG48" s="88">
        <f t="shared" si="29"/>
        <v>0.80876277909908612</v>
      </c>
      <c r="AH48" s="37"/>
    </row>
    <row r="49" spans="2:34" ht="100.8" x14ac:dyDescent="0.3">
      <c r="B49" s="35"/>
      <c r="C49" s="39" t="s">
        <v>44</v>
      </c>
      <c r="D49" s="37"/>
      <c r="F49" s="35"/>
      <c r="G49" s="75" t="s">
        <v>33</v>
      </c>
      <c r="H49" s="88">
        <f>H38/H27</f>
        <v>0.63108609834370055</v>
      </c>
      <c r="I49" s="88">
        <f t="shared" ref="I49:P49" si="30">I38/I27</f>
        <v>0.58724339556354888</v>
      </c>
      <c r="J49" s="88">
        <f t="shared" si="30"/>
        <v>0.54898810830093536</v>
      </c>
      <c r="K49" s="88">
        <f t="shared" si="30"/>
        <v>0.54442553492345991</v>
      </c>
      <c r="L49" s="88">
        <f t="shared" si="30"/>
        <v>0.54005402345361986</v>
      </c>
      <c r="M49" s="88">
        <f t="shared" si="30"/>
        <v>0.5899633383634606</v>
      </c>
      <c r="N49" s="88">
        <f t="shared" si="30"/>
        <v>0.65505159914788758</v>
      </c>
      <c r="O49" s="88">
        <f t="shared" si="30"/>
        <v>0.71636175046609141</v>
      </c>
      <c r="P49" s="88">
        <f t="shared" si="30"/>
        <v>0.77695603163282856</v>
      </c>
      <c r="Q49" s="88">
        <f>Q38/Q27</f>
        <v>0.79201022782361574</v>
      </c>
      <c r="R49" s="88">
        <f t="shared" ref="R49:T49" si="31">R38/R27</f>
        <v>0.81734103436934469</v>
      </c>
      <c r="S49" s="88">
        <f t="shared" si="31"/>
        <v>0.79972335174459963</v>
      </c>
      <c r="T49" s="88">
        <f t="shared" si="31"/>
        <v>0.8139990698641919</v>
      </c>
      <c r="U49" s="88">
        <f>U38/U27</f>
        <v>0.81770163028214826</v>
      </c>
      <c r="V49" s="88">
        <f t="shared" ref="V49:AG49" si="32">V38/V27</f>
        <v>0.82051855054499601</v>
      </c>
      <c r="W49" s="88">
        <f t="shared" si="32"/>
        <v>0.82256348283512493</v>
      </c>
      <c r="X49" s="88">
        <f t="shared" si="32"/>
        <v>0.81884281476513832</v>
      </c>
      <c r="Y49" s="88">
        <f t="shared" si="32"/>
        <v>0.81494955586298901</v>
      </c>
      <c r="Z49" s="88">
        <f t="shared" si="32"/>
        <v>0.81089976418679155</v>
      </c>
      <c r="AA49" s="88">
        <f t="shared" si="32"/>
        <v>0.80671312855015209</v>
      </c>
      <c r="AB49" s="88">
        <f t="shared" si="32"/>
        <v>0.80240659723832064</v>
      </c>
      <c r="AC49" s="88">
        <f t="shared" si="32"/>
        <v>0.80385550240834613</v>
      </c>
      <c r="AD49" s="88">
        <f t="shared" si="32"/>
        <v>0.80520635456274492</v>
      </c>
      <c r="AE49" s="88">
        <f t="shared" si="32"/>
        <v>0.80647069065055532</v>
      </c>
      <c r="AF49" s="88">
        <f t="shared" si="32"/>
        <v>0.80765305606823967</v>
      </c>
      <c r="AG49" s="88">
        <f t="shared" si="32"/>
        <v>0.80876277909908612</v>
      </c>
      <c r="AH49" s="37"/>
    </row>
    <row r="50" spans="2:34" x14ac:dyDescent="0.3">
      <c r="B50" s="35"/>
      <c r="C50" s="98" t="s">
        <v>45</v>
      </c>
      <c r="D50" s="37"/>
      <c r="F50" s="35"/>
      <c r="G50" s="76" t="s">
        <v>21</v>
      </c>
      <c r="H50" s="88">
        <f>H39/H28</f>
        <v>0.63108609834370055</v>
      </c>
      <c r="I50" s="88">
        <f t="shared" ref="I50:O50" si="33">I39/I28</f>
        <v>0.58724339556354888</v>
      </c>
      <c r="J50" s="88">
        <f t="shared" si="33"/>
        <v>0.54898810830093536</v>
      </c>
      <c r="K50" s="88">
        <f t="shared" si="33"/>
        <v>0.54442553492345991</v>
      </c>
      <c r="L50" s="88">
        <f t="shared" si="33"/>
        <v>0.54005402345361986</v>
      </c>
      <c r="M50" s="88">
        <f t="shared" si="33"/>
        <v>0.5899633383634606</v>
      </c>
      <c r="N50" s="88">
        <f t="shared" si="33"/>
        <v>0.65505159914788758</v>
      </c>
      <c r="O50" s="88">
        <f t="shared" si="33"/>
        <v>0.70301157087592081</v>
      </c>
      <c r="P50" s="88">
        <v>0.75039999999999996</v>
      </c>
      <c r="Q50" s="88">
        <v>0.74453333333333327</v>
      </c>
      <c r="R50" s="88">
        <v>0.73866666666666669</v>
      </c>
      <c r="S50" s="88">
        <v>0.73280000000000001</v>
      </c>
      <c r="T50" s="88">
        <v>0.72693333333333332</v>
      </c>
      <c r="U50" s="88">
        <v>0.72106666666666674</v>
      </c>
      <c r="V50" s="88">
        <v>0.71520000000000006</v>
      </c>
      <c r="W50" s="88">
        <v>0.70933333333333337</v>
      </c>
      <c r="X50" s="88">
        <v>0.70346666666666668</v>
      </c>
      <c r="Y50" s="88">
        <v>0.6976</v>
      </c>
      <c r="Z50" s="88">
        <v>0.69173333333333342</v>
      </c>
      <c r="AA50" s="88">
        <v>0.68586666666666674</v>
      </c>
      <c r="AB50" s="88">
        <v>0.68</v>
      </c>
      <c r="AC50" s="88">
        <v>0.68</v>
      </c>
      <c r="AD50" s="88">
        <v>0.68</v>
      </c>
      <c r="AE50" s="88">
        <v>0.68</v>
      </c>
      <c r="AF50" s="88">
        <v>0.68</v>
      </c>
      <c r="AG50" s="88">
        <v>0.68</v>
      </c>
      <c r="AH50" s="37"/>
    </row>
    <row r="51" spans="2:34" x14ac:dyDescent="0.3">
      <c r="B51" s="35"/>
      <c r="C51" s="99"/>
      <c r="D51" s="37"/>
      <c r="F51" s="35"/>
      <c r="G51" s="76" t="s">
        <v>22</v>
      </c>
      <c r="H51" s="88">
        <f>H40/H29</f>
        <v>0.63108609834370055</v>
      </c>
      <c r="I51" s="88">
        <f t="shared" ref="I51:O51" si="34">I40/I29</f>
        <v>0.58724339556354888</v>
      </c>
      <c r="J51" s="88">
        <f t="shared" si="34"/>
        <v>0.54898810830093536</v>
      </c>
      <c r="K51" s="88">
        <f t="shared" si="34"/>
        <v>0.54442553492345991</v>
      </c>
      <c r="L51" s="88">
        <f t="shared" si="34"/>
        <v>0.54005402345361986</v>
      </c>
      <c r="M51" s="88">
        <f t="shared" si="34"/>
        <v>0.5899633383634606</v>
      </c>
      <c r="N51" s="88">
        <f t="shared" si="34"/>
        <v>0.65505159914788758</v>
      </c>
      <c r="O51" s="88">
        <f t="shared" si="34"/>
        <v>0.70301157087592081</v>
      </c>
      <c r="P51" s="88">
        <v>0.75039999999999996</v>
      </c>
      <c r="Q51" s="88">
        <v>0.74453333333333327</v>
      </c>
      <c r="R51" s="88">
        <v>0.73866666666666669</v>
      </c>
      <c r="S51" s="88">
        <v>0.73280000000000001</v>
      </c>
      <c r="T51" s="88">
        <v>0.72693333333333332</v>
      </c>
      <c r="U51" s="88">
        <v>0.72106666666666674</v>
      </c>
      <c r="V51" s="88">
        <v>0.71520000000000006</v>
      </c>
      <c r="W51" s="88">
        <v>0.70933333333333337</v>
      </c>
      <c r="X51" s="88">
        <v>0.70346666666666668</v>
      </c>
      <c r="Y51" s="88">
        <v>0.6976</v>
      </c>
      <c r="Z51" s="88">
        <v>0.69173333333333342</v>
      </c>
      <c r="AA51" s="88">
        <v>0.68586666666666674</v>
      </c>
      <c r="AB51" s="88">
        <v>0.68</v>
      </c>
      <c r="AC51" s="88">
        <v>0.68</v>
      </c>
      <c r="AD51" s="88">
        <v>0.68</v>
      </c>
      <c r="AE51" s="88">
        <v>0.68</v>
      </c>
      <c r="AF51" s="88">
        <v>0.68</v>
      </c>
      <c r="AG51" s="88">
        <v>0.68</v>
      </c>
      <c r="AH51" s="37"/>
    </row>
    <row r="52" spans="2:34" x14ac:dyDescent="0.3">
      <c r="B52" s="35"/>
      <c r="C52" s="38"/>
      <c r="D52" s="37"/>
      <c r="F52" s="35"/>
      <c r="G52" s="38"/>
      <c r="H52" s="53"/>
      <c r="I52" s="53"/>
      <c r="J52" s="53"/>
      <c r="K52" s="53"/>
      <c r="L52" s="53"/>
      <c r="M52" s="53"/>
      <c r="N52" s="53"/>
      <c r="O52" s="53"/>
      <c r="P52" s="53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7"/>
    </row>
    <row r="53" spans="2:34" ht="15" thickBot="1" x14ac:dyDescent="0.35">
      <c r="B53" s="35"/>
      <c r="C53" s="38"/>
      <c r="D53" s="37"/>
      <c r="F53" s="41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3"/>
    </row>
    <row r="54" spans="2:34" x14ac:dyDescent="0.3">
      <c r="B54" s="35"/>
      <c r="C54" s="38"/>
      <c r="D54" s="37"/>
    </row>
    <row r="55" spans="2:34" ht="15" thickBot="1" x14ac:dyDescent="0.35">
      <c r="B55" s="35"/>
      <c r="C55" s="38"/>
      <c r="D55" s="37"/>
    </row>
    <row r="56" spans="2:34" x14ac:dyDescent="0.3">
      <c r="B56" s="35"/>
      <c r="C56" s="38"/>
      <c r="D56" s="37"/>
      <c r="F56" s="32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4"/>
    </row>
    <row r="57" spans="2:34" x14ac:dyDescent="0.3">
      <c r="B57" s="35"/>
      <c r="C57" s="46" t="s">
        <v>46</v>
      </c>
      <c r="D57" s="37"/>
      <c r="F57" s="35"/>
      <c r="G57" s="52" t="s">
        <v>47</v>
      </c>
      <c r="H57" s="86">
        <v>0.5353</v>
      </c>
      <c r="I57" s="86">
        <v>0.53620000000000001</v>
      </c>
      <c r="J57" s="86">
        <v>0.53720000000000001</v>
      </c>
      <c r="K57" s="86">
        <v>0.53469999999999995</v>
      </c>
      <c r="L57" s="86">
        <v>0.53249999999999997</v>
      </c>
      <c r="M57" s="86">
        <v>0.53290000000000004</v>
      </c>
      <c r="N57" s="86">
        <v>0.53349999999999997</v>
      </c>
      <c r="O57" s="86">
        <v>0.53415000000000001</v>
      </c>
      <c r="P57" s="86">
        <v>0.53480000000000005</v>
      </c>
      <c r="Q57" s="86">
        <v>0.53480000000000005</v>
      </c>
      <c r="R57" s="86">
        <v>0.53480000000000005</v>
      </c>
      <c r="S57" s="86">
        <v>0.53480000000000005</v>
      </c>
      <c r="T57" s="86">
        <v>0.53480000000000005</v>
      </c>
      <c r="U57" s="86">
        <v>0.53480000000000005</v>
      </c>
      <c r="V57" s="86">
        <v>0.53480000000000005</v>
      </c>
      <c r="W57" s="86">
        <v>0.53480000000000005</v>
      </c>
      <c r="X57" s="86">
        <v>0.53480000000000005</v>
      </c>
      <c r="Y57" s="86">
        <v>0.53480000000000005</v>
      </c>
      <c r="Z57" s="86">
        <v>0.53480000000000005</v>
      </c>
      <c r="AA57" s="86">
        <v>0.53480000000000005</v>
      </c>
      <c r="AB57" s="86">
        <v>0.53480000000000005</v>
      </c>
      <c r="AC57" s="86">
        <v>0.53480000000000005</v>
      </c>
      <c r="AD57" s="86">
        <v>0.53480000000000005</v>
      </c>
      <c r="AE57" s="86">
        <v>0.53480000000000005</v>
      </c>
      <c r="AF57" s="86">
        <v>0.53480000000000005</v>
      </c>
      <c r="AG57" s="86">
        <v>0.53480000000000005</v>
      </c>
      <c r="AH57" s="37"/>
    </row>
    <row r="58" spans="2:34" ht="86.4" x14ac:dyDescent="0.3">
      <c r="B58" s="35"/>
      <c r="C58" s="39" t="s">
        <v>48</v>
      </c>
      <c r="D58" s="37"/>
      <c r="F58" s="35"/>
      <c r="G58" s="87" t="s">
        <v>49</v>
      </c>
      <c r="H58" s="84">
        <f>Act_5CN_OtrosPIUP!E48</f>
        <v>423.50000000000006</v>
      </c>
      <c r="I58" s="84">
        <f>Act_5CN_OtrosPIUP!F48</f>
        <v>522.5</v>
      </c>
      <c r="J58" s="84">
        <f>Act_5CN_OtrosPIUP!G48</f>
        <v>621.49999999999989</v>
      </c>
      <c r="K58" s="84">
        <f>Act_5CN_OtrosPIUP!H48</f>
        <v>569.79999999999995</v>
      </c>
      <c r="L58" s="84">
        <f>Act_5CN_OtrosPIUP!I48</f>
        <v>518</v>
      </c>
      <c r="M58" s="84">
        <f>Act_5CN_OtrosPIUP!J48</f>
        <v>530.90000000000009</v>
      </c>
      <c r="N58" s="84">
        <f>Act_5CN_OtrosPIUP!K48</f>
        <v>543.69999999999993</v>
      </c>
      <c r="O58" s="84">
        <f>Act_5CN_OtrosPIUP!L48</f>
        <v>469.5</v>
      </c>
      <c r="P58" s="84">
        <f>Act_5CN_OtrosPIUP!M48</f>
        <v>395.40000000000003</v>
      </c>
      <c r="Q58" s="84">
        <f>Act_5CN_OtrosPIUP!N48</f>
        <v>339.60000000000008</v>
      </c>
      <c r="R58" s="84">
        <f>Act_5CN_OtrosPIUP!O48</f>
        <v>283.7</v>
      </c>
      <c r="S58" s="84">
        <f>Act_5CN_OtrosPIUP!P48</f>
        <v>365.39999999999986</v>
      </c>
      <c r="T58" s="84">
        <f>Act_5CN_OtrosPIUP!Q48</f>
        <v>490.4</v>
      </c>
      <c r="U58" s="84">
        <f>Act_5CN_OtrosPIUP!R48</f>
        <v>500.7999999999999</v>
      </c>
      <c r="V58" s="84">
        <f>Act_5CN_OtrosPIUP!S48</f>
        <v>511.49999999999994</v>
      </c>
      <c r="W58" s="84">
        <f>Act_5CN_OtrosPIUP!T48</f>
        <v>522.4</v>
      </c>
      <c r="X58" s="84">
        <f>Act_5CN_OtrosPIUP!U48</f>
        <v>533.79999999999995</v>
      </c>
      <c r="Y58" s="84">
        <f>Act_5CN_OtrosPIUP!V48</f>
        <v>544.99999999999989</v>
      </c>
      <c r="Z58" s="84">
        <f>Act_5CN_OtrosPIUP!W48</f>
        <v>556.79999999999995</v>
      </c>
      <c r="AA58" s="84">
        <f>Act_5CN_OtrosPIUP!X48</f>
        <v>568.79999999999995</v>
      </c>
      <c r="AB58" s="84">
        <f>Act_5CN_OtrosPIUP!Y48</f>
        <v>580.80000000000007</v>
      </c>
      <c r="AC58" s="84">
        <f>Act_5CN_OtrosPIUP!Z48</f>
        <v>593.30000000000007</v>
      </c>
      <c r="AD58" s="84">
        <f>Act_5CN_OtrosPIUP!AA48</f>
        <v>606</v>
      </c>
      <c r="AE58" s="84">
        <f>Act_5CN_OtrosPIUP!AB48</f>
        <v>618.80000000000007</v>
      </c>
      <c r="AF58" s="84">
        <f>Act_5CN_OtrosPIUP!AC48</f>
        <v>632.09999999999991</v>
      </c>
      <c r="AG58" s="84">
        <f>Act_5CN_OtrosPIUP!AD48</f>
        <v>645.6</v>
      </c>
      <c r="AH58" s="37"/>
    </row>
    <row r="59" spans="2:34" ht="15" thickBot="1" x14ac:dyDescent="0.35">
      <c r="B59" s="35"/>
      <c r="C59" s="38"/>
      <c r="D59" s="37"/>
      <c r="F59" s="41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3"/>
    </row>
    <row r="60" spans="2:34" x14ac:dyDescent="0.3">
      <c r="B60" s="35"/>
      <c r="C60" s="38"/>
      <c r="D60" s="37"/>
    </row>
    <row r="61" spans="2:34" ht="15" thickBot="1" x14ac:dyDescent="0.35">
      <c r="B61" s="35"/>
      <c r="C61" s="38"/>
      <c r="D61" s="37"/>
    </row>
    <row r="62" spans="2:34" x14ac:dyDescent="0.3">
      <c r="B62" s="35"/>
      <c r="C62" s="38"/>
      <c r="D62" s="37"/>
      <c r="F62" s="32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4"/>
    </row>
    <row r="63" spans="2:34" x14ac:dyDescent="0.3">
      <c r="B63" s="35"/>
      <c r="C63" s="38"/>
      <c r="D63" s="37"/>
      <c r="F63" s="35"/>
      <c r="G63" s="36" t="s">
        <v>50</v>
      </c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7"/>
    </row>
    <row r="64" spans="2:34" x14ac:dyDescent="0.3">
      <c r="B64" s="35"/>
      <c r="C64" s="38"/>
      <c r="D64" s="37"/>
      <c r="F64" s="35"/>
      <c r="G64" s="36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7"/>
    </row>
    <row r="65" spans="2:34" x14ac:dyDescent="0.3">
      <c r="B65" s="35"/>
      <c r="C65" s="98" t="s">
        <v>51</v>
      </c>
      <c r="D65" s="37"/>
      <c r="F65" s="35"/>
      <c r="G65" s="40" t="s">
        <v>31</v>
      </c>
      <c r="H65" s="54">
        <v>1781.9687670000001</v>
      </c>
      <c r="I65" s="54">
        <v>1784.8022985</v>
      </c>
      <c r="J65" s="54">
        <v>1787.6358299999999</v>
      </c>
      <c r="K65" s="54">
        <v>1836.2279149999999</v>
      </c>
      <c r="L65" s="54">
        <v>1884.82</v>
      </c>
      <c r="M65" s="54">
        <v>1817.78</v>
      </c>
      <c r="N65" s="54">
        <v>1750.74</v>
      </c>
      <c r="O65" s="54">
        <v>1889.885</v>
      </c>
      <c r="P65" s="54">
        <v>2029.0299999999997</v>
      </c>
      <c r="Q65" s="54">
        <v>1688.4301949999999</v>
      </c>
      <c r="R65" s="54">
        <v>1347.8303900000001</v>
      </c>
      <c r="S65" s="54">
        <v>1964.887972</v>
      </c>
      <c r="T65" s="54">
        <v>1797.8711719999999</v>
      </c>
      <c r="U65" s="54">
        <f>U67+U20</f>
        <v>1874.5593064139089</v>
      </c>
      <c r="V65" s="54">
        <f t="shared" ref="V65:AG65" si="35">V67+V20</f>
        <v>1949.7217309208702</v>
      </c>
      <c r="W65" s="54">
        <f t="shared" si="35"/>
        <v>2023.4422340230233</v>
      </c>
      <c r="X65" s="54">
        <f t="shared" si="35"/>
        <v>2439.3927503453619</v>
      </c>
      <c r="Y65" s="54">
        <f t="shared" si="35"/>
        <v>2530.8185835043741</v>
      </c>
      <c r="Z65" s="54">
        <f t="shared" si="35"/>
        <v>2620.8014685149574</v>
      </c>
      <c r="AA65" s="54">
        <f t="shared" si="35"/>
        <v>2709.3003667457265</v>
      </c>
      <c r="AB65" s="54">
        <f t="shared" si="35"/>
        <v>2796.2756085567898</v>
      </c>
      <c r="AC65" s="54">
        <f t="shared" si="35"/>
        <v>2902.9933878414945</v>
      </c>
      <c r="AD65" s="54">
        <f t="shared" si="35"/>
        <v>3009.7111671261982</v>
      </c>
      <c r="AE65" s="54">
        <f t="shared" si="35"/>
        <v>3116.3892767710122</v>
      </c>
      <c r="AF65" s="54">
        <f t="shared" si="35"/>
        <v>3223.1070560557168</v>
      </c>
      <c r="AG65" s="54">
        <f t="shared" si="35"/>
        <v>3329.824835340421</v>
      </c>
      <c r="AH65" s="37"/>
    </row>
    <row r="66" spans="2:34" ht="28.8" x14ac:dyDescent="0.3">
      <c r="B66" s="35"/>
      <c r="C66" s="100"/>
      <c r="D66" s="37"/>
      <c r="F66" s="35"/>
      <c r="G66" s="75" t="s">
        <v>33</v>
      </c>
      <c r="H66" s="54">
        <f>H77-H58</f>
        <v>1781.9687670000003</v>
      </c>
      <c r="I66" s="54">
        <f t="shared" ref="I66:P66" si="36">I77-I58</f>
        <v>1784.8022984999998</v>
      </c>
      <c r="J66" s="54">
        <f t="shared" si="36"/>
        <v>1787.6358299999997</v>
      </c>
      <c r="K66" s="54">
        <f t="shared" si="36"/>
        <v>1836.2279149999997</v>
      </c>
      <c r="L66" s="54">
        <f t="shared" si="36"/>
        <v>1884.8199999999997</v>
      </c>
      <c r="M66" s="54">
        <f t="shared" si="36"/>
        <v>1817.7800000000002</v>
      </c>
      <c r="N66" s="54">
        <f t="shared" si="36"/>
        <v>1750.7400000000002</v>
      </c>
      <c r="O66" s="54">
        <f t="shared" si="36"/>
        <v>1925.7738888888894</v>
      </c>
      <c r="P66" s="54">
        <f t="shared" si="36"/>
        <v>2100.8077777777776</v>
      </c>
      <c r="Q66" s="54">
        <f t="shared" ref="Q66:T66" si="37">Q77-Q58</f>
        <v>1796.0968616666667</v>
      </c>
      <c r="R66" s="54">
        <f t="shared" si="37"/>
        <v>1491.3859455555557</v>
      </c>
      <c r="S66" s="54">
        <f t="shared" si="37"/>
        <v>2144.3324164444448</v>
      </c>
      <c r="T66" s="54">
        <f t="shared" si="37"/>
        <v>2013.2045053333331</v>
      </c>
      <c r="U66" s="54">
        <f>U67+U20+U19</f>
        <v>2125.781528636131</v>
      </c>
      <c r="V66" s="54">
        <f t="shared" ref="V66:AG66" si="38">V67+V20+V19</f>
        <v>2236.8328420319813</v>
      </c>
      <c r="W66" s="54">
        <f t="shared" si="38"/>
        <v>2346.442234023023</v>
      </c>
      <c r="X66" s="54">
        <f t="shared" si="38"/>
        <v>2439.3927503453619</v>
      </c>
      <c r="Y66" s="54">
        <f t="shared" si="38"/>
        <v>2530.8185835043741</v>
      </c>
      <c r="Z66" s="54">
        <f t="shared" si="38"/>
        <v>2620.8014685149574</v>
      </c>
      <c r="AA66" s="54">
        <f t="shared" si="38"/>
        <v>2709.3003667457265</v>
      </c>
      <c r="AB66" s="54">
        <f t="shared" si="38"/>
        <v>2796.2756085567898</v>
      </c>
      <c r="AC66" s="54">
        <f t="shared" si="38"/>
        <v>2902.9933878414945</v>
      </c>
      <c r="AD66" s="54">
        <f t="shared" si="38"/>
        <v>3009.7111671261982</v>
      </c>
      <c r="AE66" s="54">
        <f t="shared" si="38"/>
        <v>3116.3892767710122</v>
      </c>
      <c r="AF66" s="54">
        <f t="shared" si="38"/>
        <v>3223.1070560557168</v>
      </c>
      <c r="AG66" s="54">
        <f t="shared" si="38"/>
        <v>3329.824835340421</v>
      </c>
      <c r="AH66" s="37"/>
    </row>
    <row r="67" spans="2:34" x14ac:dyDescent="0.3">
      <c r="B67" s="35"/>
      <c r="C67" s="100"/>
      <c r="D67" s="37"/>
      <c r="F67" s="35"/>
      <c r="G67" s="76" t="s">
        <v>21</v>
      </c>
      <c r="H67" s="54">
        <f>H78-H58</f>
        <v>1781.9687670000003</v>
      </c>
      <c r="I67" s="54">
        <f t="shared" ref="I67:P67" si="39">I78-I58</f>
        <v>1784.8022984999998</v>
      </c>
      <c r="J67" s="54">
        <f t="shared" si="39"/>
        <v>1787.6358299999997</v>
      </c>
      <c r="K67" s="54">
        <f t="shared" si="39"/>
        <v>1836.2279149999997</v>
      </c>
      <c r="L67" s="54">
        <f t="shared" si="39"/>
        <v>1884.8199999999997</v>
      </c>
      <c r="M67" s="54">
        <f t="shared" si="39"/>
        <v>1817.7800000000002</v>
      </c>
      <c r="N67" s="54">
        <f t="shared" si="39"/>
        <v>1750.7400000000002</v>
      </c>
      <c r="O67" s="54">
        <f t="shared" si="39"/>
        <v>1889.8850000000002</v>
      </c>
      <c r="P67" s="54">
        <f t="shared" si="39"/>
        <v>2029.0299999999997</v>
      </c>
      <c r="Q67" s="54">
        <f t="shared" ref="Q67:T67" si="40">Q78-Q58</f>
        <v>1688.4301949999999</v>
      </c>
      <c r="R67" s="54">
        <f t="shared" si="40"/>
        <v>1347.8303900000001</v>
      </c>
      <c r="S67" s="54">
        <f t="shared" si="40"/>
        <v>1964.8879720000002</v>
      </c>
      <c r="T67" s="54">
        <f t="shared" si="40"/>
        <v>1797.8711719999997</v>
      </c>
      <c r="U67" s="54">
        <f>U39*U57*1000</f>
        <v>1874.5593064139089</v>
      </c>
      <c r="V67" s="54">
        <f t="shared" ref="V67:AG67" si="41">V39*V57*1000</f>
        <v>1949.7217309208702</v>
      </c>
      <c r="W67" s="54">
        <f t="shared" si="41"/>
        <v>2023.4422340230233</v>
      </c>
      <c r="X67" s="54">
        <f t="shared" si="41"/>
        <v>2095.678750345362</v>
      </c>
      <c r="Y67" s="54">
        <f t="shared" si="41"/>
        <v>2166.3905835043743</v>
      </c>
      <c r="Z67" s="54">
        <f t="shared" si="41"/>
        <v>2235.6594685149576</v>
      </c>
      <c r="AA67" s="54">
        <f t="shared" si="41"/>
        <v>2303.4443667457263</v>
      </c>
      <c r="AB67" s="54">
        <f t="shared" si="41"/>
        <v>2369.7056085567897</v>
      </c>
      <c r="AC67" s="54">
        <f t="shared" si="41"/>
        <v>2455.7093878414944</v>
      </c>
      <c r="AD67" s="54">
        <f t="shared" si="41"/>
        <v>2541.7131671261982</v>
      </c>
      <c r="AE67" s="54">
        <f t="shared" si="41"/>
        <v>2627.6772767710122</v>
      </c>
      <c r="AF67" s="54">
        <f t="shared" si="41"/>
        <v>2713.6810560557169</v>
      </c>
      <c r="AG67" s="54">
        <f t="shared" si="41"/>
        <v>2799.6848353404212</v>
      </c>
      <c r="AH67" s="37"/>
    </row>
    <row r="68" spans="2:34" x14ac:dyDescent="0.3">
      <c r="B68" s="35"/>
      <c r="C68" s="100"/>
      <c r="D68" s="37"/>
      <c r="F68" s="35"/>
      <c r="G68" s="76" t="s">
        <v>22</v>
      </c>
      <c r="H68" s="54">
        <f>H79-H58</f>
        <v>1781.9687670000003</v>
      </c>
      <c r="I68" s="54">
        <f t="shared" ref="I68:P68" si="42">I79-I58</f>
        <v>1784.8022984999998</v>
      </c>
      <c r="J68" s="54">
        <f t="shared" si="42"/>
        <v>1787.6358299999997</v>
      </c>
      <c r="K68" s="54">
        <f t="shared" si="42"/>
        <v>1836.2279149999997</v>
      </c>
      <c r="L68" s="54">
        <f t="shared" si="42"/>
        <v>1884.8199999999997</v>
      </c>
      <c r="M68" s="54">
        <f t="shared" si="42"/>
        <v>1817.7800000000002</v>
      </c>
      <c r="N68" s="54">
        <f t="shared" si="42"/>
        <v>1750.7400000000002</v>
      </c>
      <c r="O68" s="54">
        <f t="shared" si="42"/>
        <v>1889.8850000000002</v>
      </c>
      <c r="P68" s="54">
        <f t="shared" si="42"/>
        <v>2029.0299999999997</v>
      </c>
      <c r="Q68" s="54">
        <f t="shared" ref="Q68:T68" si="43">Q79-Q58</f>
        <v>1688.4301949999999</v>
      </c>
      <c r="R68" s="54">
        <f t="shared" si="43"/>
        <v>1347.8303900000001</v>
      </c>
      <c r="S68" s="54">
        <f t="shared" si="43"/>
        <v>1964.8879720000002</v>
      </c>
      <c r="T68" s="54">
        <f t="shared" si="43"/>
        <v>1797.8711719999997</v>
      </c>
      <c r="U68" s="54">
        <f>U40*U57*1000</f>
        <v>1874.5593064139089</v>
      </c>
      <c r="V68" s="54">
        <f t="shared" ref="V68:AG68" si="44">V40*V57*1000</f>
        <v>1949.7217309208702</v>
      </c>
      <c r="W68" s="54">
        <f t="shared" si="44"/>
        <v>2023.4422340230233</v>
      </c>
      <c r="X68" s="54">
        <f t="shared" si="44"/>
        <v>2095.678750345362</v>
      </c>
      <c r="Y68" s="54">
        <f t="shared" si="44"/>
        <v>2166.3905835043743</v>
      </c>
      <c r="Z68" s="54">
        <f t="shared" si="44"/>
        <v>2235.6594685149576</v>
      </c>
      <c r="AA68" s="54">
        <f t="shared" si="44"/>
        <v>2303.4443667457263</v>
      </c>
      <c r="AB68" s="54">
        <f t="shared" si="44"/>
        <v>2369.7056085567897</v>
      </c>
      <c r="AC68" s="54">
        <f t="shared" si="44"/>
        <v>2455.7093878414944</v>
      </c>
      <c r="AD68" s="54">
        <f t="shared" si="44"/>
        <v>2541.7131671261982</v>
      </c>
      <c r="AE68" s="54">
        <f t="shared" si="44"/>
        <v>2627.6772767710122</v>
      </c>
      <c r="AF68" s="54">
        <f t="shared" si="44"/>
        <v>2713.6810560557169</v>
      </c>
      <c r="AG68" s="54">
        <f t="shared" si="44"/>
        <v>2799.6848353404212</v>
      </c>
      <c r="AH68" s="37"/>
    </row>
    <row r="69" spans="2:34" x14ac:dyDescent="0.3">
      <c r="B69" s="35"/>
      <c r="C69" s="99"/>
      <c r="D69" s="37"/>
      <c r="F69" s="35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7"/>
    </row>
    <row r="70" spans="2:34" ht="15" thickBot="1" x14ac:dyDescent="0.35">
      <c r="B70" s="35"/>
      <c r="C70" s="38"/>
      <c r="D70" s="37"/>
      <c r="F70" s="41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3"/>
    </row>
    <row r="71" spans="2:34" x14ac:dyDescent="0.3">
      <c r="B71" s="35"/>
      <c r="C71" s="38"/>
      <c r="D71" s="37"/>
    </row>
    <row r="72" spans="2:34" ht="15" thickBot="1" x14ac:dyDescent="0.35">
      <c r="B72" s="35"/>
      <c r="C72" s="38"/>
      <c r="D72" s="37"/>
    </row>
    <row r="73" spans="2:34" x14ac:dyDescent="0.3">
      <c r="B73" s="35"/>
      <c r="C73" s="38"/>
      <c r="D73" s="37"/>
      <c r="F73" s="32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4"/>
    </row>
    <row r="74" spans="2:34" x14ac:dyDescent="0.3">
      <c r="B74" s="35"/>
      <c r="C74" s="38"/>
      <c r="D74" s="37"/>
      <c r="F74" s="35"/>
      <c r="G74" s="36" t="s">
        <v>52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7"/>
    </row>
    <row r="75" spans="2:34" x14ac:dyDescent="0.3">
      <c r="B75" s="35"/>
      <c r="C75" s="38"/>
      <c r="D75" s="37"/>
      <c r="F75" s="35"/>
      <c r="G75" s="36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7"/>
    </row>
    <row r="76" spans="2:34" x14ac:dyDescent="0.3">
      <c r="B76" s="35"/>
      <c r="C76" s="98" t="s">
        <v>51</v>
      </c>
      <c r="D76" s="37"/>
      <c r="F76" s="35"/>
      <c r="G76" s="40" t="s">
        <v>31</v>
      </c>
      <c r="H76" s="54">
        <f t="shared" ref="H76:T76" si="45">H58+H65</f>
        <v>2205.4687670000003</v>
      </c>
      <c r="I76" s="54">
        <f t="shared" si="45"/>
        <v>2307.3022984999998</v>
      </c>
      <c r="J76" s="54">
        <f t="shared" si="45"/>
        <v>2409.1358299999997</v>
      </c>
      <c r="K76" s="54">
        <f t="shared" si="45"/>
        <v>2406.0279149999997</v>
      </c>
      <c r="L76" s="54">
        <f t="shared" si="45"/>
        <v>2402.8199999999997</v>
      </c>
      <c r="M76" s="54">
        <f t="shared" si="45"/>
        <v>2348.6800000000003</v>
      </c>
      <c r="N76" s="54">
        <f t="shared" si="45"/>
        <v>2294.44</v>
      </c>
      <c r="O76" s="54">
        <f t="shared" si="45"/>
        <v>2359.3850000000002</v>
      </c>
      <c r="P76" s="54">
        <f t="shared" si="45"/>
        <v>2424.4299999999998</v>
      </c>
      <c r="Q76" s="54">
        <f t="shared" si="45"/>
        <v>2028.030195</v>
      </c>
      <c r="R76" s="54">
        <f t="shared" si="45"/>
        <v>1631.5303900000001</v>
      </c>
      <c r="S76" s="54">
        <f t="shared" si="45"/>
        <v>2330.2879720000001</v>
      </c>
      <c r="T76" s="54">
        <f t="shared" si="45"/>
        <v>2288.2711719999998</v>
      </c>
      <c r="U76" s="54">
        <f>U65+U58</f>
        <v>2375.3593064139086</v>
      </c>
      <c r="V76" s="54">
        <f t="shared" ref="V76:AG76" si="46">V65+V58</f>
        <v>2461.22173092087</v>
      </c>
      <c r="W76" s="54">
        <f t="shared" si="46"/>
        <v>2545.8422340230231</v>
      </c>
      <c r="X76" s="54">
        <f t="shared" si="46"/>
        <v>2973.1927503453617</v>
      </c>
      <c r="Y76" s="54">
        <f t="shared" si="46"/>
        <v>3075.8185835043741</v>
      </c>
      <c r="Z76" s="54">
        <f t="shared" si="46"/>
        <v>3177.6014685149576</v>
      </c>
      <c r="AA76" s="54">
        <f t="shared" si="46"/>
        <v>3278.1003667457262</v>
      </c>
      <c r="AB76" s="54">
        <f t="shared" si="46"/>
        <v>3377.07560855679</v>
      </c>
      <c r="AC76" s="54">
        <f t="shared" si="46"/>
        <v>3496.2933878414947</v>
      </c>
      <c r="AD76" s="54">
        <f t="shared" si="46"/>
        <v>3615.7111671261982</v>
      </c>
      <c r="AE76" s="54">
        <f t="shared" si="46"/>
        <v>3735.1892767710124</v>
      </c>
      <c r="AF76" s="54">
        <f t="shared" si="46"/>
        <v>3855.2070560557167</v>
      </c>
      <c r="AG76" s="54">
        <f t="shared" si="46"/>
        <v>3975.4248353404209</v>
      </c>
      <c r="AH76" s="37"/>
    </row>
    <row r="77" spans="2:34" ht="28.8" x14ac:dyDescent="0.3">
      <c r="B77" s="35"/>
      <c r="C77" s="100"/>
      <c r="D77" s="37"/>
      <c r="F77" s="35"/>
      <c r="G77" s="75" t="s">
        <v>33</v>
      </c>
      <c r="H77" s="54">
        <f>H76+H19</f>
        <v>2205.4687670000003</v>
      </c>
      <c r="I77" s="54">
        <f t="shared" ref="I77:P77" si="47">I76+I19</f>
        <v>2307.3022984999998</v>
      </c>
      <c r="J77" s="54">
        <f t="shared" si="47"/>
        <v>2409.1358299999997</v>
      </c>
      <c r="K77" s="54">
        <f t="shared" si="47"/>
        <v>2406.0279149999997</v>
      </c>
      <c r="L77" s="54">
        <f t="shared" si="47"/>
        <v>2402.8199999999997</v>
      </c>
      <c r="M77" s="54">
        <f t="shared" si="47"/>
        <v>2348.6800000000003</v>
      </c>
      <c r="N77" s="54">
        <f t="shared" si="47"/>
        <v>2294.44</v>
      </c>
      <c r="O77" s="54">
        <f t="shared" si="47"/>
        <v>2395.2738888888894</v>
      </c>
      <c r="P77" s="54">
        <f t="shared" si="47"/>
        <v>2496.2077777777777</v>
      </c>
      <c r="Q77" s="54">
        <f t="shared" ref="Q77" si="48">Q76+Q19</f>
        <v>2135.6968616666668</v>
      </c>
      <c r="R77" s="54">
        <f t="shared" ref="R77" si="49">R76+R19</f>
        <v>1775.0859455555558</v>
      </c>
      <c r="S77" s="54">
        <f t="shared" ref="S77" si="50">S76+S19</f>
        <v>2509.7324164444444</v>
      </c>
      <c r="T77" s="54">
        <f t="shared" ref="T77" si="51">T76+T19</f>
        <v>2503.6045053333332</v>
      </c>
      <c r="U77" s="54">
        <f>U66+U58</f>
        <v>2626.5815286361308</v>
      </c>
      <c r="V77" s="54">
        <f t="shared" ref="V77:AG77" si="52">V66+V58</f>
        <v>2748.3328420319813</v>
      </c>
      <c r="W77" s="54">
        <f t="shared" si="52"/>
        <v>2868.8422340230231</v>
      </c>
      <c r="X77" s="54">
        <f t="shared" si="52"/>
        <v>2973.1927503453617</v>
      </c>
      <c r="Y77" s="54">
        <f t="shared" si="52"/>
        <v>3075.8185835043741</v>
      </c>
      <c r="Z77" s="54">
        <f t="shared" si="52"/>
        <v>3177.6014685149576</v>
      </c>
      <c r="AA77" s="54">
        <f t="shared" si="52"/>
        <v>3278.1003667457262</v>
      </c>
      <c r="AB77" s="54">
        <f t="shared" si="52"/>
        <v>3377.07560855679</v>
      </c>
      <c r="AC77" s="54">
        <f t="shared" si="52"/>
        <v>3496.2933878414947</v>
      </c>
      <c r="AD77" s="54">
        <f t="shared" si="52"/>
        <v>3615.7111671261982</v>
      </c>
      <c r="AE77" s="54">
        <f t="shared" si="52"/>
        <v>3735.1892767710124</v>
      </c>
      <c r="AF77" s="54">
        <f t="shared" si="52"/>
        <v>3855.2070560557167</v>
      </c>
      <c r="AG77" s="54">
        <f t="shared" si="52"/>
        <v>3975.4248353404209</v>
      </c>
      <c r="AH77" s="37"/>
    </row>
    <row r="78" spans="2:34" x14ac:dyDescent="0.3">
      <c r="B78" s="35"/>
      <c r="C78" s="100"/>
      <c r="D78" s="37"/>
      <c r="F78" s="35"/>
      <c r="G78" s="76" t="s">
        <v>21</v>
      </c>
      <c r="H78" s="54">
        <f>H76</f>
        <v>2205.4687670000003</v>
      </c>
      <c r="I78" s="54">
        <f t="shared" ref="I78:P78" si="53">I76</f>
        <v>2307.3022984999998</v>
      </c>
      <c r="J78" s="54">
        <f t="shared" si="53"/>
        <v>2409.1358299999997</v>
      </c>
      <c r="K78" s="54">
        <f t="shared" si="53"/>
        <v>2406.0279149999997</v>
      </c>
      <c r="L78" s="54">
        <f t="shared" si="53"/>
        <v>2402.8199999999997</v>
      </c>
      <c r="M78" s="54">
        <f t="shared" si="53"/>
        <v>2348.6800000000003</v>
      </c>
      <c r="N78" s="54">
        <f t="shared" si="53"/>
        <v>2294.44</v>
      </c>
      <c r="O78" s="54">
        <f t="shared" si="53"/>
        <v>2359.3850000000002</v>
      </c>
      <c r="P78" s="54">
        <f t="shared" si="53"/>
        <v>2424.4299999999998</v>
      </c>
      <c r="Q78" s="54">
        <f t="shared" ref="Q78:T78" si="54">Q76</f>
        <v>2028.030195</v>
      </c>
      <c r="R78" s="54">
        <f t="shared" si="54"/>
        <v>1631.5303900000001</v>
      </c>
      <c r="S78" s="54">
        <f t="shared" si="54"/>
        <v>2330.2879720000001</v>
      </c>
      <c r="T78" s="54">
        <f t="shared" si="54"/>
        <v>2288.2711719999998</v>
      </c>
      <c r="U78" s="54">
        <f>U67+U58</f>
        <v>2375.3593064139086</v>
      </c>
      <c r="V78" s="54">
        <f t="shared" ref="V78:AG78" si="55">V67+V58</f>
        <v>2461.22173092087</v>
      </c>
      <c r="W78" s="54">
        <f t="shared" si="55"/>
        <v>2545.8422340230231</v>
      </c>
      <c r="X78" s="54">
        <f t="shared" si="55"/>
        <v>2629.4787503453617</v>
      </c>
      <c r="Y78" s="54">
        <f t="shared" si="55"/>
        <v>2711.3905835043743</v>
      </c>
      <c r="Z78" s="54">
        <f t="shared" si="55"/>
        <v>2792.4594685149577</v>
      </c>
      <c r="AA78" s="54">
        <f t="shared" si="55"/>
        <v>2872.2443667457264</v>
      </c>
      <c r="AB78" s="54">
        <f t="shared" si="55"/>
        <v>2950.5056085567899</v>
      </c>
      <c r="AC78" s="54">
        <f t="shared" si="55"/>
        <v>3049.0093878414946</v>
      </c>
      <c r="AD78" s="54">
        <f t="shared" si="55"/>
        <v>3147.7131671261982</v>
      </c>
      <c r="AE78" s="54">
        <f t="shared" si="55"/>
        <v>3246.4772767710124</v>
      </c>
      <c r="AF78" s="54">
        <f t="shared" si="55"/>
        <v>3345.7810560557168</v>
      </c>
      <c r="AG78" s="54">
        <f t="shared" si="55"/>
        <v>3445.2848353404211</v>
      </c>
      <c r="AH78" s="37"/>
    </row>
    <row r="79" spans="2:34" x14ac:dyDescent="0.3">
      <c r="B79" s="35"/>
      <c r="C79" s="100"/>
      <c r="D79" s="37"/>
      <c r="F79" s="35"/>
      <c r="G79" s="76" t="s">
        <v>22</v>
      </c>
      <c r="H79" s="54">
        <f>H76</f>
        <v>2205.4687670000003</v>
      </c>
      <c r="I79" s="54">
        <f t="shared" ref="I79:P79" si="56">I76</f>
        <v>2307.3022984999998</v>
      </c>
      <c r="J79" s="54">
        <f t="shared" si="56"/>
        <v>2409.1358299999997</v>
      </c>
      <c r="K79" s="54">
        <f t="shared" si="56"/>
        <v>2406.0279149999997</v>
      </c>
      <c r="L79" s="54">
        <f t="shared" si="56"/>
        <v>2402.8199999999997</v>
      </c>
      <c r="M79" s="54">
        <f t="shared" si="56"/>
        <v>2348.6800000000003</v>
      </c>
      <c r="N79" s="54">
        <f t="shared" si="56"/>
        <v>2294.44</v>
      </c>
      <c r="O79" s="54">
        <f t="shared" si="56"/>
        <v>2359.3850000000002</v>
      </c>
      <c r="P79" s="54">
        <f t="shared" si="56"/>
        <v>2424.4299999999998</v>
      </c>
      <c r="Q79" s="54">
        <f t="shared" ref="Q79:T79" si="57">Q76</f>
        <v>2028.030195</v>
      </c>
      <c r="R79" s="54">
        <f t="shared" si="57"/>
        <v>1631.5303900000001</v>
      </c>
      <c r="S79" s="54">
        <f t="shared" si="57"/>
        <v>2330.2879720000001</v>
      </c>
      <c r="T79" s="54">
        <f t="shared" si="57"/>
        <v>2288.2711719999998</v>
      </c>
      <c r="U79" s="54">
        <f>U68+U58</f>
        <v>2375.3593064139086</v>
      </c>
      <c r="V79" s="54">
        <f t="shared" ref="V79:AG79" si="58">V68+V58</f>
        <v>2461.22173092087</v>
      </c>
      <c r="W79" s="54">
        <f t="shared" si="58"/>
        <v>2545.8422340230231</v>
      </c>
      <c r="X79" s="54">
        <f t="shared" si="58"/>
        <v>2629.4787503453617</v>
      </c>
      <c r="Y79" s="54">
        <f t="shared" si="58"/>
        <v>2711.3905835043743</v>
      </c>
      <c r="Z79" s="54">
        <f t="shared" si="58"/>
        <v>2792.4594685149577</v>
      </c>
      <c r="AA79" s="54">
        <f t="shared" si="58"/>
        <v>2872.2443667457264</v>
      </c>
      <c r="AB79" s="54">
        <f t="shared" si="58"/>
        <v>2950.5056085567899</v>
      </c>
      <c r="AC79" s="54">
        <f t="shared" si="58"/>
        <v>3049.0093878414946</v>
      </c>
      <c r="AD79" s="54">
        <f t="shared" si="58"/>
        <v>3147.7131671261982</v>
      </c>
      <c r="AE79" s="54">
        <f t="shared" si="58"/>
        <v>3246.4772767710124</v>
      </c>
      <c r="AF79" s="54">
        <f t="shared" si="58"/>
        <v>3345.7810560557168</v>
      </c>
      <c r="AG79" s="54">
        <f t="shared" si="58"/>
        <v>3445.2848353404211</v>
      </c>
      <c r="AH79" s="37"/>
    </row>
    <row r="80" spans="2:34" x14ac:dyDescent="0.3">
      <c r="B80" s="35"/>
      <c r="C80" s="99"/>
      <c r="D80" s="37"/>
      <c r="F80" s="35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7"/>
    </row>
    <row r="81" spans="2:34" ht="15" thickBot="1" x14ac:dyDescent="0.35">
      <c r="B81" s="41"/>
      <c r="C81" s="42"/>
      <c r="D81" s="43"/>
      <c r="F81" s="41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3"/>
    </row>
    <row r="84" spans="2:34" x14ac:dyDescent="0.3"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2:34" x14ac:dyDescent="0.3">
      <c r="G85" t="s">
        <v>53</v>
      </c>
      <c r="H85" s="91">
        <f>ROUND(H27,4)</f>
        <v>5.2748999999999997</v>
      </c>
      <c r="I85" s="91">
        <f t="shared" ref="I85:AG85" si="59">ROUND(I27,4)</f>
        <v>5.6681999999999997</v>
      </c>
      <c r="J85" s="91">
        <f t="shared" si="59"/>
        <v>6.0614999999999997</v>
      </c>
      <c r="K85" s="91">
        <f t="shared" si="59"/>
        <v>6.3078000000000003</v>
      </c>
      <c r="L85" s="91">
        <f t="shared" si="59"/>
        <v>6.5541</v>
      </c>
      <c r="M85" s="91">
        <f t="shared" si="59"/>
        <v>5.7819000000000003</v>
      </c>
      <c r="N85" s="91">
        <f t="shared" si="59"/>
        <v>5.0096999999999996</v>
      </c>
      <c r="O85" s="91">
        <f t="shared" si="59"/>
        <v>5.0327999999999999</v>
      </c>
      <c r="P85" s="91">
        <f t="shared" si="59"/>
        <v>5.0559000000000003</v>
      </c>
      <c r="Q85" s="91">
        <f t="shared" si="59"/>
        <v>4.2404000000000002</v>
      </c>
      <c r="R85" s="91">
        <f t="shared" si="59"/>
        <v>3.4119000000000002</v>
      </c>
      <c r="S85" s="91">
        <f t="shared" si="59"/>
        <v>5.0137</v>
      </c>
      <c r="T85" s="91">
        <f t="shared" si="59"/>
        <v>4.6246</v>
      </c>
      <c r="U85" s="91">
        <f t="shared" si="59"/>
        <v>4.8611000000000004</v>
      </c>
      <c r="V85" s="91">
        <f t="shared" si="59"/>
        <v>5.0975000000000001</v>
      </c>
      <c r="W85" s="91">
        <f t="shared" si="59"/>
        <v>5.3339999999999996</v>
      </c>
      <c r="X85" s="91">
        <f t="shared" si="59"/>
        <v>5.5704000000000002</v>
      </c>
      <c r="Y85" s="91">
        <f t="shared" si="59"/>
        <v>5.8068</v>
      </c>
      <c r="Z85" s="91">
        <f t="shared" si="59"/>
        <v>6.0433000000000003</v>
      </c>
      <c r="AA85" s="91">
        <f t="shared" si="59"/>
        <v>6.2797999999999998</v>
      </c>
      <c r="AB85" s="91">
        <f t="shared" si="59"/>
        <v>6.5162000000000004</v>
      </c>
      <c r="AC85" s="91">
        <f t="shared" si="59"/>
        <v>6.7526999999999999</v>
      </c>
      <c r="AD85" s="91">
        <f t="shared" si="59"/>
        <v>6.9892000000000003</v>
      </c>
      <c r="AE85" s="91">
        <f t="shared" si="59"/>
        <v>7.2256</v>
      </c>
      <c r="AF85" s="91">
        <f t="shared" si="59"/>
        <v>7.4621000000000004</v>
      </c>
      <c r="AG85" s="91">
        <f t="shared" si="59"/>
        <v>7.6985000000000001</v>
      </c>
    </row>
    <row r="86" spans="2:34" x14ac:dyDescent="0.3"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2:34" x14ac:dyDescent="0.3">
      <c r="G87" t="s">
        <v>54</v>
      </c>
      <c r="H87" s="91">
        <f>ROUND(H49,4)</f>
        <v>0.63109999999999999</v>
      </c>
      <c r="I87" s="91">
        <f t="shared" ref="I87:AG89" si="60">ROUND(I49,4)</f>
        <v>0.58720000000000006</v>
      </c>
      <c r="J87" s="91">
        <f t="shared" si="60"/>
        <v>0.54900000000000004</v>
      </c>
      <c r="K87" s="91">
        <f t="shared" si="60"/>
        <v>0.5444</v>
      </c>
      <c r="L87" s="91">
        <f t="shared" si="60"/>
        <v>0.54010000000000002</v>
      </c>
      <c r="M87" s="91">
        <f t="shared" si="60"/>
        <v>0.59</v>
      </c>
      <c r="N87" s="91">
        <f t="shared" si="60"/>
        <v>0.65510000000000002</v>
      </c>
      <c r="O87" s="91">
        <f t="shared" si="60"/>
        <v>0.71640000000000004</v>
      </c>
      <c r="P87" s="91">
        <f t="shared" si="60"/>
        <v>0.77700000000000002</v>
      </c>
      <c r="Q87" s="91">
        <f t="shared" si="60"/>
        <v>0.79200000000000004</v>
      </c>
      <c r="R87" s="91">
        <f t="shared" si="60"/>
        <v>0.81730000000000003</v>
      </c>
      <c r="S87" s="91">
        <f t="shared" si="60"/>
        <v>0.79969999999999997</v>
      </c>
      <c r="T87" s="91">
        <f t="shared" si="60"/>
        <v>0.81399999999999995</v>
      </c>
      <c r="U87" s="91">
        <f t="shared" si="60"/>
        <v>0.81769999999999998</v>
      </c>
      <c r="V87" s="91">
        <f t="shared" si="60"/>
        <v>0.82050000000000001</v>
      </c>
      <c r="W87" s="91">
        <f t="shared" si="60"/>
        <v>0.8226</v>
      </c>
      <c r="X87" s="91">
        <f t="shared" si="60"/>
        <v>0.81879999999999997</v>
      </c>
      <c r="Y87" s="91">
        <f t="shared" si="60"/>
        <v>0.81489999999999996</v>
      </c>
      <c r="Z87" s="91">
        <f t="shared" si="60"/>
        <v>0.81089999999999995</v>
      </c>
      <c r="AA87" s="91">
        <f t="shared" si="60"/>
        <v>0.80669999999999997</v>
      </c>
      <c r="AB87" s="91">
        <f t="shared" si="60"/>
        <v>0.8024</v>
      </c>
      <c r="AC87" s="91">
        <f t="shared" si="60"/>
        <v>0.80389999999999995</v>
      </c>
      <c r="AD87" s="91">
        <f t="shared" si="60"/>
        <v>0.80520000000000003</v>
      </c>
      <c r="AE87" s="91">
        <f t="shared" si="60"/>
        <v>0.80649999999999999</v>
      </c>
      <c r="AF87" s="91">
        <f t="shared" si="60"/>
        <v>0.80769999999999997</v>
      </c>
      <c r="AG87" s="91">
        <f t="shared" si="60"/>
        <v>0.80879999999999996</v>
      </c>
    </row>
    <row r="88" spans="2:34" x14ac:dyDescent="0.3">
      <c r="G88" t="s">
        <v>55</v>
      </c>
      <c r="H88" s="91">
        <f t="shared" ref="H88:W89" si="61">ROUND(H50,4)</f>
        <v>0.63109999999999999</v>
      </c>
      <c r="I88" s="91">
        <f t="shared" si="61"/>
        <v>0.58720000000000006</v>
      </c>
      <c r="J88" s="91">
        <f t="shared" si="61"/>
        <v>0.54900000000000004</v>
      </c>
      <c r="K88" s="91">
        <f t="shared" si="61"/>
        <v>0.5444</v>
      </c>
      <c r="L88" s="91">
        <f t="shared" si="61"/>
        <v>0.54010000000000002</v>
      </c>
      <c r="M88" s="91">
        <f t="shared" si="61"/>
        <v>0.59</v>
      </c>
      <c r="N88" s="91">
        <f t="shared" si="61"/>
        <v>0.65510000000000002</v>
      </c>
      <c r="O88" s="91">
        <f t="shared" si="61"/>
        <v>0.70299999999999996</v>
      </c>
      <c r="P88" s="91">
        <f t="shared" si="61"/>
        <v>0.75039999999999996</v>
      </c>
      <c r="Q88" s="91">
        <f t="shared" si="61"/>
        <v>0.74450000000000005</v>
      </c>
      <c r="R88" s="91">
        <f t="shared" si="61"/>
        <v>0.73870000000000002</v>
      </c>
      <c r="S88" s="91">
        <f t="shared" si="61"/>
        <v>0.73280000000000001</v>
      </c>
      <c r="T88" s="91">
        <f t="shared" si="61"/>
        <v>0.72689999999999999</v>
      </c>
      <c r="U88" s="91">
        <f t="shared" si="61"/>
        <v>0.72109999999999996</v>
      </c>
      <c r="V88" s="91">
        <f t="shared" si="61"/>
        <v>0.71519999999999995</v>
      </c>
      <c r="W88" s="91">
        <f t="shared" si="61"/>
        <v>0.70930000000000004</v>
      </c>
      <c r="X88" s="91">
        <f t="shared" si="60"/>
        <v>0.70350000000000001</v>
      </c>
      <c r="Y88" s="91">
        <f t="shared" si="60"/>
        <v>0.6976</v>
      </c>
      <c r="Z88" s="91">
        <f t="shared" si="60"/>
        <v>0.69169999999999998</v>
      </c>
      <c r="AA88" s="91">
        <f t="shared" si="60"/>
        <v>0.68589999999999995</v>
      </c>
      <c r="AB88" s="91">
        <f t="shared" si="60"/>
        <v>0.68</v>
      </c>
      <c r="AC88" s="91">
        <f t="shared" si="60"/>
        <v>0.68</v>
      </c>
      <c r="AD88" s="91">
        <f t="shared" si="60"/>
        <v>0.68</v>
      </c>
      <c r="AE88" s="91">
        <f t="shared" si="60"/>
        <v>0.68</v>
      </c>
      <c r="AF88" s="91">
        <f t="shared" si="60"/>
        <v>0.68</v>
      </c>
      <c r="AG88" s="91">
        <f t="shared" si="60"/>
        <v>0.68</v>
      </c>
    </row>
    <row r="89" spans="2:34" x14ac:dyDescent="0.3">
      <c r="G89" t="s">
        <v>56</v>
      </c>
      <c r="H89" s="91">
        <f t="shared" si="61"/>
        <v>0.63109999999999999</v>
      </c>
      <c r="I89" s="91">
        <f t="shared" si="60"/>
        <v>0.58720000000000006</v>
      </c>
      <c r="J89" s="91">
        <f t="shared" si="60"/>
        <v>0.54900000000000004</v>
      </c>
      <c r="K89" s="91">
        <f t="shared" si="60"/>
        <v>0.5444</v>
      </c>
      <c r="L89" s="91">
        <f t="shared" si="60"/>
        <v>0.54010000000000002</v>
      </c>
      <c r="M89" s="91">
        <f t="shared" si="60"/>
        <v>0.59</v>
      </c>
      <c r="N89" s="91">
        <f t="shared" si="60"/>
        <v>0.65510000000000002</v>
      </c>
      <c r="O89" s="91">
        <f t="shared" si="60"/>
        <v>0.70299999999999996</v>
      </c>
      <c r="P89" s="91">
        <f t="shared" si="60"/>
        <v>0.75039999999999996</v>
      </c>
      <c r="Q89" s="91">
        <f t="shared" si="60"/>
        <v>0.74450000000000005</v>
      </c>
      <c r="R89" s="91">
        <f t="shared" si="60"/>
        <v>0.73870000000000002</v>
      </c>
      <c r="S89" s="91">
        <f t="shared" si="60"/>
        <v>0.73280000000000001</v>
      </c>
      <c r="T89" s="91">
        <f t="shared" si="60"/>
        <v>0.72689999999999999</v>
      </c>
      <c r="U89" s="91">
        <f t="shared" si="60"/>
        <v>0.72109999999999996</v>
      </c>
      <c r="V89" s="91">
        <f t="shared" si="60"/>
        <v>0.71519999999999995</v>
      </c>
      <c r="W89" s="91">
        <f t="shared" si="60"/>
        <v>0.70930000000000004</v>
      </c>
      <c r="X89" s="91">
        <f t="shared" si="60"/>
        <v>0.70350000000000001</v>
      </c>
      <c r="Y89" s="91">
        <f t="shared" si="60"/>
        <v>0.6976</v>
      </c>
      <c r="Z89" s="91">
        <f t="shared" si="60"/>
        <v>0.69169999999999998</v>
      </c>
      <c r="AA89" s="91">
        <f t="shared" si="60"/>
        <v>0.68589999999999995</v>
      </c>
      <c r="AB89" s="91">
        <f t="shared" si="60"/>
        <v>0.68</v>
      </c>
      <c r="AC89" s="91">
        <f t="shared" si="60"/>
        <v>0.68</v>
      </c>
      <c r="AD89" s="91">
        <f t="shared" si="60"/>
        <v>0.68</v>
      </c>
      <c r="AE89" s="91">
        <f t="shared" si="60"/>
        <v>0.68</v>
      </c>
      <c r="AF89" s="91">
        <f t="shared" si="60"/>
        <v>0.68</v>
      </c>
      <c r="AG89" s="91">
        <f t="shared" si="60"/>
        <v>0.68</v>
      </c>
    </row>
    <row r="92" spans="2:34" x14ac:dyDescent="0.3">
      <c r="G92" t="s">
        <v>57</v>
      </c>
      <c r="H92" s="15">
        <f>H85*H87</f>
        <v>3.3289893899999998</v>
      </c>
      <c r="I92" s="15">
        <f t="shared" ref="I92:AG92" si="62">I85*I87</f>
        <v>3.3283670400000003</v>
      </c>
      <c r="J92" s="15">
        <f t="shared" si="62"/>
        <v>3.3277635000000001</v>
      </c>
      <c r="K92" s="15">
        <f t="shared" si="62"/>
        <v>3.4339663200000001</v>
      </c>
      <c r="L92" s="15">
        <f t="shared" si="62"/>
        <v>3.5398694100000001</v>
      </c>
      <c r="M92" s="15">
        <f t="shared" si="62"/>
        <v>3.411321</v>
      </c>
      <c r="N92" s="15">
        <f t="shared" si="62"/>
        <v>3.2818544699999999</v>
      </c>
      <c r="O92" s="15">
        <f t="shared" si="62"/>
        <v>3.6054979200000004</v>
      </c>
      <c r="P92" s="15">
        <f t="shared" si="62"/>
        <v>3.9284343000000002</v>
      </c>
      <c r="Q92" s="15">
        <f t="shared" si="62"/>
        <v>3.3583968000000004</v>
      </c>
      <c r="R92" s="15">
        <f t="shared" si="62"/>
        <v>2.7885458700000001</v>
      </c>
      <c r="S92" s="15">
        <f t="shared" si="62"/>
        <v>4.0094558899999999</v>
      </c>
      <c r="T92" s="15">
        <f t="shared" si="62"/>
        <v>3.7644243999999998</v>
      </c>
      <c r="U92" s="15">
        <f t="shared" si="62"/>
        <v>3.9749214700000004</v>
      </c>
      <c r="V92" s="15">
        <f t="shared" si="62"/>
        <v>4.1824987499999997</v>
      </c>
      <c r="W92" s="15">
        <f t="shared" si="62"/>
        <v>4.3877483999999995</v>
      </c>
      <c r="X92" s="15">
        <f t="shared" si="62"/>
        <v>4.5610435200000001</v>
      </c>
      <c r="Y92" s="15">
        <f t="shared" si="62"/>
        <v>4.7319613199999999</v>
      </c>
      <c r="Z92" s="15">
        <f t="shared" si="62"/>
        <v>4.9005119700000002</v>
      </c>
      <c r="AA92" s="15">
        <f t="shared" si="62"/>
        <v>5.0659146599999998</v>
      </c>
      <c r="AB92" s="15">
        <f t="shared" si="62"/>
        <v>5.2285988800000007</v>
      </c>
      <c r="AC92" s="15">
        <f t="shared" si="62"/>
        <v>5.4284955299999993</v>
      </c>
      <c r="AD92" s="15">
        <f t="shared" si="62"/>
        <v>5.6277038400000006</v>
      </c>
      <c r="AE92" s="15">
        <f t="shared" si="62"/>
        <v>5.8274464000000004</v>
      </c>
      <c r="AF92" s="15">
        <f t="shared" si="62"/>
        <v>6.0271381699999997</v>
      </c>
      <c r="AG92" s="15">
        <f t="shared" si="62"/>
        <v>6.2265467999999995</v>
      </c>
    </row>
    <row r="93" spans="2:34" x14ac:dyDescent="0.3">
      <c r="G93" t="s">
        <v>58</v>
      </c>
      <c r="H93" s="15">
        <f>H85*H88</f>
        <v>3.3289893899999998</v>
      </c>
      <c r="I93" s="15">
        <f t="shared" ref="I93:AG93" si="63">I85*I88</f>
        <v>3.3283670400000003</v>
      </c>
      <c r="J93" s="15">
        <f t="shared" si="63"/>
        <v>3.3277635000000001</v>
      </c>
      <c r="K93" s="15">
        <f t="shared" si="63"/>
        <v>3.4339663200000001</v>
      </c>
      <c r="L93" s="15">
        <f t="shared" si="63"/>
        <v>3.5398694100000001</v>
      </c>
      <c r="M93" s="15">
        <f t="shared" si="63"/>
        <v>3.411321</v>
      </c>
      <c r="N93" s="15">
        <f t="shared" si="63"/>
        <v>3.2818544699999999</v>
      </c>
      <c r="O93" s="15">
        <f t="shared" si="63"/>
        <v>3.5380583999999997</v>
      </c>
      <c r="P93" s="15">
        <f t="shared" si="63"/>
        <v>3.7939473599999998</v>
      </c>
      <c r="Q93" s="15">
        <f t="shared" si="63"/>
        <v>3.1569778000000004</v>
      </c>
      <c r="R93" s="15">
        <f t="shared" si="63"/>
        <v>2.5203705300000001</v>
      </c>
      <c r="S93" s="15">
        <f t="shared" si="63"/>
        <v>3.6740393600000001</v>
      </c>
      <c r="T93" s="15">
        <f t="shared" si="63"/>
        <v>3.3616217399999999</v>
      </c>
      <c r="U93" s="15">
        <f t="shared" si="63"/>
        <v>3.5053392100000003</v>
      </c>
      <c r="V93" s="15">
        <f t="shared" si="63"/>
        <v>3.6457319999999998</v>
      </c>
      <c r="W93" s="15">
        <f t="shared" si="63"/>
        <v>3.7834061999999999</v>
      </c>
      <c r="X93" s="15">
        <f t="shared" si="63"/>
        <v>3.9187764</v>
      </c>
      <c r="Y93" s="15">
        <f t="shared" si="63"/>
        <v>4.0508236799999997</v>
      </c>
      <c r="Z93" s="15">
        <f t="shared" si="63"/>
        <v>4.1801506100000001</v>
      </c>
      <c r="AA93" s="15">
        <f t="shared" si="63"/>
        <v>4.3073148199999993</v>
      </c>
      <c r="AB93" s="15">
        <f t="shared" si="63"/>
        <v>4.4310160000000005</v>
      </c>
      <c r="AC93" s="15">
        <f t="shared" si="63"/>
        <v>4.5918360000000007</v>
      </c>
      <c r="AD93" s="15">
        <f t="shared" si="63"/>
        <v>4.7526560000000009</v>
      </c>
      <c r="AE93" s="15">
        <f t="shared" si="63"/>
        <v>4.9134080000000004</v>
      </c>
      <c r="AF93" s="15">
        <f t="shared" si="63"/>
        <v>5.0742280000000006</v>
      </c>
      <c r="AG93" s="15">
        <f t="shared" si="63"/>
        <v>5.2349800000000002</v>
      </c>
    </row>
    <row r="94" spans="2:34" x14ac:dyDescent="0.3">
      <c r="G94" t="s">
        <v>59</v>
      </c>
      <c r="H94" s="15">
        <f>H85*H89</f>
        <v>3.3289893899999998</v>
      </c>
      <c r="I94" s="15">
        <f t="shared" ref="I94:AG94" si="64">I85*I89</f>
        <v>3.3283670400000003</v>
      </c>
      <c r="J94" s="15">
        <f t="shared" si="64"/>
        <v>3.3277635000000001</v>
      </c>
      <c r="K94" s="15">
        <f t="shared" si="64"/>
        <v>3.4339663200000001</v>
      </c>
      <c r="L94" s="15">
        <f t="shared" si="64"/>
        <v>3.5398694100000001</v>
      </c>
      <c r="M94" s="15">
        <f t="shared" si="64"/>
        <v>3.411321</v>
      </c>
      <c r="N94" s="15">
        <f t="shared" si="64"/>
        <v>3.2818544699999999</v>
      </c>
      <c r="O94" s="15">
        <f t="shared" si="64"/>
        <v>3.5380583999999997</v>
      </c>
      <c r="P94" s="15">
        <f t="shared" si="64"/>
        <v>3.7939473599999998</v>
      </c>
      <c r="Q94" s="15">
        <f t="shared" si="64"/>
        <v>3.1569778000000004</v>
      </c>
      <c r="R94" s="15">
        <f t="shared" si="64"/>
        <v>2.5203705300000001</v>
      </c>
      <c r="S94" s="15">
        <f t="shared" si="64"/>
        <v>3.6740393600000001</v>
      </c>
      <c r="T94" s="15">
        <f t="shared" si="64"/>
        <v>3.3616217399999999</v>
      </c>
      <c r="U94" s="15">
        <f t="shared" si="64"/>
        <v>3.5053392100000003</v>
      </c>
      <c r="V94" s="15">
        <f t="shared" si="64"/>
        <v>3.6457319999999998</v>
      </c>
      <c r="W94" s="15">
        <f t="shared" si="64"/>
        <v>3.7834061999999999</v>
      </c>
      <c r="X94" s="15">
        <f t="shared" si="64"/>
        <v>3.9187764</v>
      </c>
      <c r="Y94" s="15">
        <f t="shared" si="64"/>
        <v>4.0508236799999997</v>
      </c>
      <c r="Z94" s="15">
        <f t="shared" si="64"/>
        <v>4.1801506100000001</v>
      </c>
      <c r="AA94" s="15">
        <f t="shared" si="64"/>
        <v>4.3073148199999993</v>
      </c>
      <c r="AB94" s="15">
        <f t="shared" si="64"/>
        <v>4.4310160000000005</v>
      </c>
      <c r="AC94" s="15">
        <f t="shared" si="64"/>
        <v>4.5918360000000007</v>
      </c>
      <c r="AD94" s="15">
        <f t="shared" si="64"/>
        <v>4.7526560000000009</v>
      </c>
      <c r="AE94" s="15">
        <f t="shared" si="64"/>
        <v>4.9134080000000004</v>
      </c>
      <c r="AF94" s="15">
        <f t="shared" si="64"/>
        <v>5.0742280000000006</v>
      </c>
      <c r="AG94" s="15">
        <f t="shared" si="64"/>
        <v>5.2349800000000002</v>
      </c>
    </row>
    <row r="97" spans="7:33" x14ac:dyDescent="0.3">
      <c r="H97" s="15">
        <f>1-H88</f>
        <v>0.36890000000000001</v>
      </c>
      <c r="I97" s="15">
        <f t="shared" ref="I97:AG97" si="65">1-I88</f>
        <v>0.41279999999999994</v>
      </c>
      <c r="J97" s="15">
        <f t="shared" si="65"/>
        <v>0.45099999999999996</v>
      </c>
      <c r="K97" s="15">
        <f t="shared" si="65"/>
        <v>0.4556</v>
      </c>
      <c r="L97" s="15">
        <f t="shared" si="65"/>
        <v>0.45989999999999998</v>
      </c>
      <c r="M97" s="15">
        <f t="shared" si="65"/>
        <v>0.41000000000000003</v>
      </c>
      <c r="N97" s="15">
        <f t="shared" si="65"/>
        <v>0.34489999999999998</v>
      </c>
      <c r="O97" s="15">
        <f t="shared" si="65"/>
        <v>0.29700000000000004</v>
      </c>
      <c r="P97" s="15">
        <f t="shared" si="65"/>
        <v>0.24960000000000004</v>
      </c>
      <c r="Q97" s="15">
        <f t="shared" si="65"/>
        <v>0.25549999999999995</v>
      </c>
      <c r="R97" s="15">
        <f t="shared" si="65"/>
        <v>0.26129999999999998</v>
      </c>
      <c r="S97" s="15">
        <f t="shared" si="65"/>
        <v>0.26719999999999999</v>
      </c>
      <c r="T97" s="15">
        <f t="shared" si="65"/>
        <v>0.27310000000000001</v>
      </c>
      <c r="U97" s="15">
        <f t="shared" si="65"/>
        <v>0.27890000000000004</v>
      </c>
      <c r="V97" s="15">
        <f t="shared" si="65"/>
        <v>0.28480000000000005</v>
      </c>
      <c r="W97" s="15">
        <f t="shared" si="65"/>
        <v>0.29069999999999996</v>
      </c>
      <c r="X97" s="15">
        <f t="shared" si="65"/>
        <v>0.29649999999999999</v>
      </c>
      <c r="Y97" s="15">
        <f t="shared" si="65"/>
        <v>0.3024</v>
      </c>
      <c r="Z97" s="15">
        <f t="shared" si="65"/>
        <v>0.30830000000000002</v>
      </c>
      <c r="AA97" s="15">
        <f t="shared" si="65"/>
        <v>0.31410000000000005</v>
      </c>
      <c r="AB97" s="15">
        <f t="shared" si="65"/>
        <v>0.31999999999999995</v>
      </c>
      <c r="AC97" s="15">
        <f t="shared" si="65"/>
        <v>0.31999999999999995</v>
      </c>
      <c r="AD97" s="15">
        <f t="shared" si="65"/>
        <v>0.31999999999999995</v>
      </c>
      <c r="AE97" s="15">
        <f t="shared" si="65"/>
        <v>0.31999999999999995</v>
      </c>
      <c r="AF97" s="15">
        <f t="shared" si="65"/>
        <v>0.31999999999999995</v>
      </c>
      <c r="AG97" s="15">
        <f t="shared" si="65"/>
        <v>0.31999999999999995</v>
      </c>
    </row>
    <row r="98" spans="7:33" x14ac:dyDescent="0.3"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</row>
    <row r="99" spans="7:33" x14ac:dyDescent="0.3"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</row>
    <row r="101" spans="7:33" x14ac:dyDescent="0.3">
      <c r="G101" s="7" t="s">
        <v>60</v>
      </c>
      <c r="H101" s="91">
        <f>ROUNDUP(H92,4)</f>
        <v>3.3290000000000002</v>
      </c>
      <c r="I101" s="91">
        <f t="shared" ref="I101:AG103" si="66">ROUNDUP(I92,4)</f>
        <v>3.3284000000000002</v>
      </c>
      <c r="J101" s="91">
        <f t="shared" si="66"/>
        <v>3.3278000000000003</v>
      </c>
      <c r="K101" s="91">
        <f t="shared" si="66"/>
        <v>3.4340000000000002</v>
      </c>
      <c r="L101" s="91">
        <f t="shared" si="66"/>
        <v>3.5399000000000003</v>
      </c>
      <c r="M101" s="91">
        <f t="shared" si="66"/>
        <v>3.4114000000000004</v>
      </c>
      <c r="N101" s="91">
        <f t="shared" si="66"/>
        <v>3.2819000000000003</v>
      </c>
      <c r="O101" s="91">
        <f t="shared" si="66"/>
        <v>3.6055000000000001</v>
      </c>
      <c r="P101" s="91">
        <f t="shared" si="66"/>
        <v>3.9285000000000001</v>
      </c>
      <c r="Q101" s="91">
        <f t="shared" si="66"/>
        <v>3.3584000000000001</v>
      </c>
      <c r="R101" s="91">
        <f t="shared" si="66"/>
        <v>2.7886000000000002</v>
      </c>
      <c r="S101" s="91">
        <f t="shared" si="66"/>
        <v>4.0095000000000001</v>
      </c>
      <c r="T101" s="91">
        <f t="shared" si="66"/>
        <v>3.7645000000000004</v>
      </c>
      <c r="U101" s="91">
        <f t="shared" si="66"/>
        <v>3.9750000000000001</v>
      </c>
      <c r="V101" s="91">
        <f t="shared" si="66"/>
        <v>4.1825000000000001</v>
      </c>
      <c r="W101" s="91">
        <f t="shared" si="66"/>
        <v>4.3877999999999995</v>
      </c>
      <c r="X101" s="91">
        <f t="shared" si="66"/>
        <v>4.5610999999999997</v>
      </c>
      <c r="Y101" s="91">
        <f t="shared" si="66"/>
        <v>4.7320000000000002</v>
      </c>
      <c r="Z101" s="91">
        <f t="shared" si="66"/>
        <v>4.9005999999999998</v>
      </c>
      <c r="AA101" s="91">
        <f t="shared" si="66"/>
        <v>5.0659999999999998</v>
      </c>
      <c r="AB101" s="91">
        <f t="shared" si="66"/>
        <v>5.2286000000000001</v>
      </c>
      <c r="AC101" s="91">
        <f t="shared" si="66"/>
        <v>5.4284999999999997</v>
      </c>
      <c r="AD101" s="91">
        <f t="shared" si="66"/>
        <v>5.6277999999999997</v>
      </c>
      <c r="AE101" s="91">
        <f t="shared" si="66"/>
        <v>5.8274999999999997</v>
      </c>
      <c r="AF101" s="91">
        <f t="shared" si="66"/>
        <v>6.0271999999999997</v>
      </c>
      <c r="AG101" s="91">
        <f t="shared" si="66"/>
        <v>6.2265999999999995</v>
      </c>
    </row>
    <row r="102" spans="7:33" x14ac:dyDescent="0.3">
      <c r="G102" s="7" t="s">
        <v>61</v>
      </c>
      <c r="H102" s="91">
        <f t="shared" ref="H102:W103" si="67">ROUNDUP(H93,4)</f>
        <v>3.3290000000000002</v>
      </c>
      <c r="I102" s="91">
        <f t="shared" si="67"/>
        <v>3.3284000000000002</v>
      </c>
      <c r="J102" s="91">
        <f t="shared" si="67"/>
        <v>3.3278000000000003</v>
      </c>
      <c r="K102" s="91">
        <f t="shared" si="67"/>
        <v>3.4340000000000002</v>
      </c>
      <c r="L102" s="91">
        <f t="shared" si="67"/>
        <v>3.5399000000000003</v>
      </c>
      <c r="M102" s="91">
        <f t="shared" si="67"/>
        <v>3.4114000000000004</v>
      </c>
      <c r="N102" s="91">
        <f t="shared" si="67"/>
        <v>3.2819000000000003</v>
      </c>
      <c r="O102" s="91">
        <f t="shared" si="67"/>
        <v>3.5381</v>
      </c>
      <c r="P102" s="91">
        <f t="shared" si="67"/>
        <v>3.794</v>
      </c>
      <c r="Q102" s="91">
        <f t="shared" si="67"/>
        <v>3.157</v>
      </c>
      <c r="R102" s="91">
        <f t="shared" si="67"/>
        <v>2.5204000000000004</v>
      </c>
      <c r="S102" s="91">
        <f t="shared" si="67"/>
        <v>3.6741000000000001</v>
      </c>
      <c r="T102" s="91">
        <f t="shared" si="67"/>
        <v>3.3617000000000004</v>
      </c>
      <c r="U102" s="91">
        <f t="shared" si="67"/>
        <v>3.5054000000000003</v>
      </c>
      <c r="V102" s="91">
        <f t="shared" si="67"/>
        <v>3.6458000000000004</v>
      </c>
      <c r="W102" s="91">
        <f t="shared" si="67"/>
        <v>3.7835000000000001</v>
      </c>
      <c r="X102" s="91">
        <f t="shared" si="66"/>
        <v>3.9188000000000001</v>
      </c>
      <c r="Y102" s="91">
        <f t="shared" si="66"/>
        <v>4.0508999999999995</v>
      </c>
      <c r="Z102" s="91">
        <f t="shared" si="66"/>
        <v>4.1802000000000001</v>
      </c>
      <c r="AA102" s="91">
        <f t="shared" si="66"/>
        <v>4.3073999999999995</v>
      </c>
      <c r="AB102" s="91">
        <f t="shared" si="66"/>
        <v>4.4310999999999998</v>
      </c>
      <c r="AC102" s="91">
        <f t="shared" si="66"/>
        <v>4.5918999999999999</v>
      </c>
      <c r="AD102" s="91">
        <f t="shared" si="66"/>
        <v>4.7526999999999999</v>
      </c>
      <c r="AE102" s="91">
        <f t="shared" si="66"/>
        <v>4.9135</v>
      </c>
      <c r="AF102" s="91">
        <f t="shared" si="66"/>
        <v>5.0743</v>
      </c>
      <c r="AG102" s="91">
        <f t="shared" si="66"/>
        <v>5.2349999999999994</v>
      </c>
    </row>
    <row r="103" spans="7:33" x14ac:dyDescent="0.3">
      <c r="G103" s="7" t="s">
        <v>62</v>
      </c>
      <c r="H103" s="91">
        <f t="shared" si="67"/>
        <v>3.3290000000000002</v>
      </c>
      <c r="I103" s="91">
        <f t="shared" si="66"/>
        <v>3.3284000000000002</v>
      </c>
      <c r="J103" s="91">
        <f t="shared" si="66"/>
        <v>3.3278000000000003</v>
      </c>
      <c r="K103" s="91">
        <f t="shared" si="66"/>
        <v>3.4340000000000002</v>
      </c>
      <c r="L103" s="91">
        <f t="shared" si="66"/>
        <v>3.5399000000000003</v>
      </c>
      <c r="M103" s="91">
        <f t="shared" si="66"/>
        <v>3.4114000000000004</v>
      </c>
      <c r="N103" s="91">
        <f t="shared" si="66"/>
        <v>3.2819000000000003</v>
      </c>
      <c r="O103" s="91">
        <f t="shared" si="66"/>
        <v>3.5381</v>
      </c>
      <c r="P103" s="91">
        <f t="shared" si="66"/>
        <v>3.794</v>
      </c>
      <c r="Q103" s="91">
        <f t="shared" si="66"/>
        <v>3.157</v>
      </c>
      <c r="R103" s="91">
        <f t="shared" si="66"/>
        <v>2.5204000000000004</v>
      </c>
      <c r="S103" s="91">
        <f t="shared" si="66"/>
        <v>3.6741000000000001</v>
      </c>
      <c r="T103" s="91">
        <f t="shared" si="66"/>
        <v>3.3617000000000004</v>
      </c>
      <c r="U103" s="91">
        <f t="shared" si="66"/>
        <v>3.5054000000000003</v>
      </c>
      <c r="V103" s="91">
        <f t="shared" ref="V103" si="68">ROUNDUP(V94,4)</f>
        <v>3.6458000000000004</v>
      </c>
      <c r="W103" s="91">
        <f t="shared" si="66"/>
        <v>3.7835000000000001</v>
      </c>
      <c r="X103" s="91">
        <f t="shared" si="66"/>
        <v>3.9188000000000001</v>
      </c>
      <c r="Y103" s="91">
        <f t="shared" si="66"/>
        <v>4.0508999999999995</v>
      </c>
      <c r="Z103" s="91">
        <f t="shared" si="66"/>
        <v>4.1802000000000001</v>
      </c>
      <c r="AA103" s="91">
        <f t="shared" si="66"/>
        <v>4.3073999999999995</v>
      </c>
      <c r="AB103" s="91">
        <f t="shared" si="66"/>
        <v>4.4310999999999998</v>
      </c>
      <c r="AC103" s="91">
        <f t="shared" si="66"/>
        <v>4.5918999999999999</v>
      </c>
      <c r="AD103" s="91">
        <f t="shared" si="66"/>
        <v>4.7526999999999999</v>
      </c>
      <c r="AE103" s="91">
        <f t="shared" si="66"/>
        <v>4.9135</v>
      </c>
      <c r="AF103" s="91">
        <f t="shared" si="66"/>
        <v>5.0743</v>
      </c>
      <c r="AG103" s="91">
        <f t="shared" si="66"/>
        <v>5.2349999999999994</v>
      </c>
    </row>
    <row r="106" spans="7:33" x14ac:dyDescent="0.3">
      <c r="H106" s="15">
        <f>H101-H92</f>
        <v>1.0610000000355058E-5</v>
      </c>
      <c r="I106" s="15">
        <f t="shared" ref="I106:AG108" si="69">I101-I92</f>
        <v>3.295999999997079E-5</v>
      </c>
      <c r="J106" s="15">
        <f t="shared" si="69"/>
        <v>3.6500000000216914E-5</v>
      </c>
      <c r="K106" s="15">
        <f t="shared" si="69"/>
        <v>3.3680000000035903E-5</v>
      </c>
      <c r="L106" s="15">
        <f t="shared" si="69"/>
        <v>3.0590000000163542E-5</v>
      </c>
      <c r="M106" s="15">
        <f t="shared" si="69"/>
        <v>7.9000000000384318E-5</v>
      </c>
      <c r="N106" s="15">
        <f t="shared" si="69"/>
        <v>4.5530000000404414E-5</v>
      </c>
      <c r="O106" s="15">
        <f t="shared" si="69"/>
        <v>2.0799999997933583E-6</v>
      </c>
      <c r="P106" s="15">
        <f t="shared" si="69"/>
        <v>6.5699999999946357E-5</v>
      </c>
      <c r="Q106" s="15">
        <f t="shared" si="69"/>
        <v>3.1999999996479289E-6</v>
      </c>
      <c r="R106" s="15">
        <f t="shared" si="69"/>
        <v>5.4130000000096601E-5</v>
      </c>
      <c r="S106" s="15">
        <f t="shared" si="69"/>
        <v>4.4110000000152638E-5</v>
      </c>
      <c r="T106" s="15">
        <f t="shared" si="69"/>
        <v>7.5600000000619616E-5</v>
      </c>
      <c r="U106" s="15">
        <f t="shared" si="69"/>
        <v>7.8529999999688016E-5</v>
      </c>
      <c r="V106" s="15">
        <f t="shared" si="69"/>
        <v>1.2500000003967671E-6</v>
      </c>
      <c r="W106" s="15">
        <f t="shared" si="69"/>
        <v>5.159999999992948E-5</v>
      </c>
      <c r="X106" s="15">
        <f t="shared" si="69"/>
        <v>5.647999999958131E-5</v>
      </c>
      <c r="Y106" s="15">
        <f t="shared" si="69"/>
        <v>3.8680000000290704E-5</v>
      </c>
      <c r="Z106" s="15">
        <f t="shared" si="69"/>
        <v>8.8029999999683639E-5</v>
      </c>
      <c r="AA106" s="15">
        <f t="shared" si="69"/>
        <v>8.5340000000044824E-5</v>
      </c>
      <c r="AB106" s="15">
        <f t="shared" si="69"/>
        <v>1.1199999994104815E-6</v>
      </c>
      <c r="AC106" s="15">
        <f t="shared" si="69"/>
        <v>4.4700000003672358E-6</v>
      </c>
      <c r="AD106" s="15">
        <f t="shared" si="69"/>
        <v>9.6159999999123613E-5</v>
      </c>
      <c r="AE106" s="15">
        <f t="shared" si="69"/>
        <v>5.3599999999320858E-5</v>
      </c>
      <c r="AF106" s="15">
        <f t="shared" si="69"/>
        <v>6.1829999999929441E-5</v>
      </c>
      <c r="AG106" s="15">
        <f t="shared" si="69"/>
        <v>5.3199999999975489E-5</v>
      </c>
    </row>
    <row r="107" spans="7:33" x14ac:dyDescent="0.3">
      <c r="H107" s="15">
        <f t="shared" ref="H107:W108" si="70">H102-H93</f>
        <v>1.0610000000355058E-5</v>
      </c>
      <c r="I107" s="15">
        <f t="shared" si="70"/>
        <v>3.295999999997079E-5</v>
      </c>
      <c r="J107" s="15">
        <f t="shared" si="70"/>
        <v>3.6500000000216914E-5</v>
      </c>
      <c r="K107" s="15">
        <f t="shared" si="70"/>
        <v>3.3680000000035903E-5</v>
      </c>
      <c r="L107" s="15">
        <f t="shared" si="70"/>
        <v>3.0590000000163542E-5</v>
      </c>
      <c r="M107" s="15">
        <f t="shared" si="70"/>
        <v>7.9000000000384318E-5</v>
      </c>
      <c r="N107" s="15">
        <f t="shared" si="70"/>
        <v>4.5530000000404414E-5</v>
      </c>
      <c r="O107" s="15">
        <f t="shared" si="70"/>
        <v>4.1600000000308057E-5</v>
      </c>
      <c r="P107" s="15">
        <f t="shared" si="70"/>
        <v>5.2640000000270248E-5</v>
      </c>
      <c r="Q107" s="15">
        <f t="shared" si="70"/>
        <v>2.2199999999639175E-5</v>
      </c>
      <c r="R107" s="15">
        <f t="shared" si="70"/>
        <v>2.9470000000308971E-5</v>
      </c>
      <c r="S107" s="15">
        <f t="shared" si="70"/>
        <v>6.0640000000056204E-5</v>
      </c>
      <c r="T107" s="15">
        <f t="shared" si="70"/>
        <v>7.8260000000440755E-5</v>
      </c>
      <c r="U107" s="15">
        <f t="shared" si="70"/>
        <v>6.0790000000032762E-5</v>
      </c>
      <c r="V107" s="15">
        <f t="shared" si="70"/>
        <v>6.8000000000623118E-5</v>
      </c>
      <c r="W107" s="15">
        <f t="shared" si="70"/>
        <v>9.3800000000143768E-5</v>
      </c>
      <c r="X107" s="15">
        <f t="shared" si="69"/>
        <v>2.36000000000125E-5</v>
      </c>
      <c r="Y107" s="15">
        <f t="shared" si="69"/>
        <v>7.6319999999796551E-5</v>
      </c>
      <c r="Z107" s="15">
        <f t="shared" si="69"/>
        <v>4.9390000000038015E-5</v>
      </c>
      <c r="AA107" s="15">
        <f t="shared" si="69"/>
        <v>8.5180000000129041E-5</v>
      </c>
      <c r="AB107" s="15">
        <f t="shared" si="69"/>
        <v>8.3999999999306851E-5</v>
      </c>
      <c r="AC107" s="15">
        <f t="shared" si="69"/>
        <v>6.3999999999175827E-5</v>
      </c>
      <c r="AD107" s="15">
        <f t="shared" si="69"/>
        <v>4.3999999999044803E-5</v>
      </c>
      <c r="AE107" s="15">
        <f t="shared" si="69"/>
        <v>9.1999999999536897E-5</v>
      </c>
      <c r="AF107" s="15">
        <f t="shared" si="69"/>
        <v>7.1999999999405873E-5</v>
      </c>
      <c r="AG107" s="15">
        <f t="shared" si="69"/>
        <v>1.9999999999242846E-5</v>
      </c>
    </row>
    <row r="108" spans="7:33" x14ac:dyDescent="0.3">
      <c r="H108" s="15">
        <f t="shared" si="70"/>
        <v>1.0610000000355058E-5</v>
      </c>
      <c r="I108" s="15">
        <f t="shared" si="69"/>
        <v>3.295999999997079E-5</v>
      </c>
      <c r="J108" s="15">
        <f t="shared" si="69"/>
        <v>3.6500000000216914E-5</v>
      </c>
      <c r="K108" s="15">
        <f t="shared" si="69"/>
        <v>3.3680000000035903E-5</v>
      </c>
      <c r="L108" s="15">
        <f t="shared" si="69"/>
        <v>3.0590000000163542E-5</v>
      </c>
      <c r="M108" s="15">
        <f t="shared" si="69"/>
        <v>7.9000000000384318E-5</v>
      </c>
      <c r="N108" s="15">
        <f t="shared" si="69"/>
        <v>4.5530000000404414E-5</v>
      </c>
      <c r="O108" s="15">
        <f t="shared" si="69"/>
        <v>4.1600000000308057E-5</v>
      </c>
      <c r="P108" s="15">
        <f t="shared" si="69"/>
        <v>5.2640000000270248E-5</v>
      </c>
      <c r="Q108" s="15">
        <f t="shared" si="69"/>
        <v>2.2199999999639175E-5</v>
      </c>
      <c r="R108" s="15">
        <f t="shared" si="69"/>
        <v>2.9470000000308971E-5</v>
      </c>
      <c r="S108" s="15">
        <f t="shared" si="69"/>
        <v>6.0640000000056204E-5</v>
      </c>
      <c r="T108" s="15">
        <f t="shared" si="69"/>
        <v>7.8260000000440755E-5</v>
      </c>
      <c r="U108" s="15">
        <f t="shared" si="69"/>
        <v>6.0790000000032762E-5</v>
      </c>
      <c r="V108" s="15">
        <f t="shared" si="69"/>
        <v>6.8000000000623118E-5</v>
      </c>
      <c r="W108" s="15">
        <f t="shared" si="69"/>
        <v>9.3800000000143768E-5</v>
      </c>
      <c r="X108" s="15">
        <f t="shared" si="69"/>
        <v>2.36000000000125E-5</v>
      </c>
      <c r="Y108" s="15">
        <f t="shared" si="69"/>
        <v>7.6319999999796551E-5</v>
      </c>
      <c r="Z108" s="15">
        <f t="shared" si="69"/>
        <v>4.9390000000038015E-5</v>
      </c>
      <c r="AA108" s="15">
        <f t="shared" si="69"/>
        <v>8.5180000000129041E-5</v>
      </c>
      <c r="AB108" s="15">
        <f t="shared" si="69"/>
        <v>8.3999999999306851E-5</v>
      </c>
      <c r="AC108" s="15">
        <f t="shared" si="69"/>
        <v>6.3999999999175827E-5</v>
      </c>
      <c r="AD108" s="15">
        <f t="shared" si="69"/>
        <v>4.3999999999044803E-5</v>
      </c>
      <c r="AE108" s="15">
        <f t="shared" si="69"/>
        <v>9.1999999999536897E-5</v>
      </c>
      <c r="AF108" s="15">
        <f t="shared" si="69"/>
        <v>7.1999999999405873E-5</v>
      </c>
      <c r="AG108" s="15">
        <f t="shared" si="69"/>
        <v>1.9999999999242846E-5</v>
      </c>
    </row>
  </sheetData>
  <mergeCells count="6">
    <mergeCell ref="C50:C51"/>
    <mergeCell ref="C65:C69"/>
    <mergeCell ref="C76:C80"/>
    <mergeCell ref="C8:C9"/>
    <mergeCell ref="C26:C29"/>
    <mergeCell ref="C37:C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4D81-B9A6-428A-B09C-7110844D3F74}">
  <sheetPr>
    <tabColor theme="5" tint="0.59999389629810485"/>
  </sheetPr>
  <dimension ref="C5:AE20"/>
  <sheetViews>
    <sheetView topLeftCell="E1" workbookViewId="0">
      <selection activeCell="E39" sqref="E39"/>
    </sheetView>
  </sheetViews>
  <sheetFormatPr defaultRowHeight="14.4" x14ac:dyDescent="0.3"/>
  <cols>
    <col min="5" max="5" width="52.109375" bestFit="1" customWidth="1"/>
    <col min="6" max="25" width="9" bestFit="1" customWidth="1"/>
    <col min="26" max="26" width="9.5546875" bestFit="1" customWidth="1"/>
    <col min="27" max="29" width="9" bestFit="1" customWidth="1"/>
    <col min="30" max="31" width="9.5546875" bestFit="1" customWidth="1"/>
  </cols>
  <sheetData>
    <row r="5" spans="3:31" x14ac:dyDescent="0.3">
      <c r="G5" t="s">
        <v>63</v>
      </c>
      <c r="R5" s="23" t="s">
        <v>64</v>
      </c>
    </row>
    <row r="6" spans="3:31" x14ac:dyDescent="0.3">
      <c r="E6" s="1"/>
      <c r="F6" s="1">
        <v>2010</v>
      </c>
      <c r="G6" s="5">
        <v>2011</v>
      </c>
      <c r="H6" s="1">
        <v>2012</v>
      </c>
      <c r="I6" s="5">
        <v>2013</v>
      </c>
      <c r="J6" s="1">
        <v>2014</v>
      </c>
      <c r="K6" s="5">
        <v>2015</v>
      </c>
      <c r="L6" s="1">
        <v>2016</v>
      </c>
      <c r="M6" s="5">
        <v>2017</v>
      </c>
      <c r="N6" s="1">
        <v>2018</v>
      </c>
      <c r="O6" s="5">
        <v>2019</v>
      </c>
      <c r="P6" s="1">
        <v>2020</v>
      </c>
      <c r="Q6" s="1">
        <v>2021</v>
      </c>
      <c r="R6" s="1">
        <v>2022</v>
      </c>
      <c r="S6" s="1">
        <v>2023</v>
      </c>
      <c r="T6" s="1">
        <v>2024</v>
      </c>
      <c r="U6" s="1">
        <v>2025</v>
      </c>
      <c r="V6" s="1">
        <v>2026</v>
      </c>
      <c r="W6" s="1">
        <v>2027</v>
      </c>
      <c r="X6" s="1">
        <v>2028</v>
      </c>
      <c r="Y6" s="1">
        <v>2029</v>
      </c>
      <c r="Z6" s="1">
        <v>2030</v>
      </c>
      <c r="AA6" s="1">
        <v>2031</v>
      </c>
      <c r="AB6" s="1">
        <v>2032</v>
      </c>
      <c r="AC6" s="1">
        <v>2033</v>
      </c>
      <c r="AD6" s="1">
        <v>2034</v>
      </c>
      <c r="AE6" s="1">
        <v>2035</v>
      </c>
    </row>
    <row r="7" spans="3:31" x14ac:dyDescent="0.3">
      <c r="C7" t="s">
        <v>65</v>
      </c>
      <c r="E7" s="1" t="s">
        <v>66</v>
      </c>
      <c r="F7" s="56">
        <v>214.93</v>
      </c>
      <c r="G7" s="56">
        <v>252.02</v>
      </c>
      <c r="H7" s="56">
        <v>289.11</v>
      </c>
      <c r="I7" s="56">
        <v>331.79500000000002</v>
      </c>
      <c r="J7" s="56">
        <v>374.48</v>
      </c>
      <c r="K7" s="56">
        <v>423.69</v>
      </c>
      <c r="L7" s="56">
        <v>472.9</v>
      </c>
      <c r="M7" s="56">
        <v>496</v>
      </c>
      <c r="N7" s="56">
        <v>519.09999999999991</v>
      </c>
      <c r="O7" s="56">
        <v>861.05</v>
      </c>
      <c r="P7" s="56">
        <v>1203</v>
      </c>
      <c r="Q7" s="56">
        <v>1325.05</v>
      </c>
      <c r="R7" s="77">
        <v>1957.579999999999</v>
      </c>
      <c r="S7" s="19">
        <v>2383.9598749999996</v>
      </c>
      <c r="T7" s="19">
        <v>2810.3397499999996</v>
      </c>
      <c r="U7" s="19">
        <v>3236.7196249999997</v>
      </c>
      <c r="V7" s="19">
        <v>3663.0994999999998</v>
      </c>
      <c r="W7" s="19">
        <v>4089.4793750000003</v>
      </c>
      <c r="X7" s="19">
        <v>4515.8592500000004</v>
      </c>
      <c r="Y7" s="19">
        <v>4942.2391250000001</v>
      </c>
      <c r="Z7" s="74">
        <v>5368.6190000000006</v>
      </c>
      <c r="AA7" s="19">
        <v>5379.960156000001</v>
      </c>
      <c r="AB7" s="19">
        <v>5391.3013120000005</v>
      </c>
      <c r="AC7" s="19">
        <v>5402.6424680000009</v>
      </c>
      <c r="AD7" s="19">
        <v>5413.9836240000004</v>
      </c>
      <c r="AE7" s="74">
        <v>5425.3247799999999</v>
      </c>
    </row>
    <row r="8" spans="3:31" x14ac:dyDescent="0.3">
      <c r="F8">
        <f>(G7-F7)/F7</f>
        <v>0.17256781277625274</v>
      </c>
      <c r="G8">
        <f t="shared" ref="G8:Q8" si="0">(H7-G7)/G7</f>
        <v>0.14717085945559877</v>
      </c>
      <c r="H8">
        <f t="shared" si="0"/>
        <v>0.14764276572930718</v>
      </c>
      <c r="I8">
        <f t="shared" si="0"/>
        <v>0.12864871381425277</v>
      </c>
      <c r="J8">
        <f t="shared" si="0"/>
        <v>0.13140888698995934</v>
      </c>
      <c r="K8">
        <f t="shared" si="0"/>
        <v>0.11614623899549194</v>
      </c>
      <c r="L8">
        <f t="shared" si="0"/>
        <v>4.8847536477056509E-2</v>
      </c>
      <c r="M8">
        <f t="shared" si="0"/>
        <v>4.6572580645161107E-2</v>
      </c>
      <c r="N8">
        <f t="shared" si="0"/>
        <v>0.65873627432094028</v>
      </c>
      <c r="O8">
        <f t="shared" si="0"/>
        <v>0.39713140932582319</v>
      </c>
      <c r="P8">
        <f t="shared" si="0"/>
        <v>0.10145469659185366</v>
      </c>
      <c r="Q8">
        <f t="shared" si="0"/>
        <v>0.47736311837289092</v>
      </c>
    </row>
    <row r="9" spans="3:31" x14ac:dyDescent="0.3">
      <c r="Q9" s="55">
        <f>AVERAGE(F8:Q8)</f>
        <v>0.21447424112454905</v>
      </c>
    </row>
    <row r="11" spans="3:31" x14ac:dyDescent="0.3"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</row>
    <row r="12" spans="3:31" x14ac:dyDescent="0.3"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</row>
    <row r="14" spans="3:31" x14ac:dyDescent="0.3">
      <c r="E14" t="s">
        <v>67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57">
        <v>0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82">
        <v>79.25</v>
      </c>
      <c r="W14" s="82">
        <v>158.5</v>
      </c>
      <c r="X14" s="82">
        <v>237.75</v>
      </c>
      <c r="Y14" s="81">
        <v>317</v>
      </c>
      <c r="Z14" s="82">
        <v>370.13666666666671</v>
      </c>
      <c r="AA14" s="82">
        <v>423.27333333333337</v>
      </c>
      <c r="AB14" s="82">
        <v>476.41000000000008</v>
      </c>
      <c r="AC14" s="82">
        <v>529.54666666666674</v>
      </c>
      <c r="AD14" s="82">
        <v>582.68333333333339</v>
      </c>
      <c r="AE14" s="81">
        <v>635.82000000000016</v>
      </c>
    </row>
    <row r="17" spans="3:31" x14ac:dyDescent="0.3">
      <c r="F17" s="57"/>
    </row>
    <row r="18" spans="3:31" x14ac:dyDescent="0.3">
      <c r="C18" t="s">
        <v>68</v>
      </c>
    </row>
    <row r="19" spans="3:31" x14ac:dyDescent="0.3">
      <c r="E19" t="s">
        <v>69</v>
      </c>
      <c r="F19" s="15">
        <f t="shared" ref="F19:AE19" si="1">ROUND(F7/1000,4)</f>
        <v>0.21490000000000001</v>
      </c>
      <c r="G19" s="15">
        <f t="shared" si="1"/>
        <v>0.252</v>
      </c>
      <c r="H19" s="15">
        <f t="shared" si="1"/>
        <v>0.28910000000000002</v>
      </c>
      <c r="I19" s="15">
        <f t="shared" si="1"/>
        <v>0.33179999999999998</v>
      </c>
      <c r="J19" s="15">
        <f t="shared" si="1"/>
        <v>0.3745</v>
      </c>
      <c r="K19" s="15">
        <f t="shared" si="1"/>
        <v>0.42370000000000002</v>
      </c>
      <c r="L19" s="15">
        <f t="shared" si="1"/>
        <v>0.47289999999999999</v>
      </c>
      <c r="M19" s="15">
        <f t="shared" si="1"/>
        <v>0.496</v>
      </c>
      <c r="N19" s="15">
        <f t="shared" si="1"/>
        <v>0.51910000000000001</v>
      </c>
      <c r="O19" s="15">
        <f t="shared" si="1"/>
        <v>0.86109999999999998</v>
      </c>
      <c r="P19" s="15">
        <f t="shared" si="1"/>
        <v>1.2030000000000001</v>
      </c>
      <c r="Q19" s="15">
        <f t="shared" si="1"/>
        <v>1.3250999999999999</v>
      </c>
      <c r="R19" s="15">
        <f t="shared" si="1"/>
        <v>1.9576</v>
      </c>
      <c r="S19" s="15">
        <f t="shared" si="1"/>
        <v>2.3839999999999999</v>
      </c>
      <c r="T19" s="15">
        <f t="shared" si="1"/>
        <v>2.8102999999999998</v>
      </c>
      <c r="U19" s="15">
        <f t="shared" si="1"/>
        <v>3.2366999999999999</v>
      </c>
      <c r="V19" s="15">
        <f t="shared" si="1"/>
        <v>3.6631</v>
      </c>
      <c r="W19" s="15">
        <f t="shared" si="1"/>
        <v>4.0895000000000001</v>
      </c>
      <c r="X19" s="15">
        <f t="shared" si="1"/>
        <v>4.5159000000000002</v>
      </c>
      <c r="Y19" s="15">
        <f t="shared" si="1"/>
        <v>4.9421999999999997</v>
      </c>
      <c r="Z19" s="15">
        <f t="shared" si="1"/>
        <v>5.3685999999999998</v>
      </c>
      <c r="AA19" s="15">
        <f t="shared" si="1"/>
        <v>5.38</v>
      </c>
      <c r="AB19" s="15">
        <f t="shared" si="1"/>
        <v>5.3913000000000002</v>
      </c>
      <c r="AC19" s="15">
        <f t="shared" si="1"/>
        <v>5.4025999999999996</v>
      </c>
      <c r="AD19" s="15">
        <f t="shared" si="1"/>
        <v>5.4139999999999997</v>
      </c>
      <c r="AE19" s="15">
        <f t="shared" si="1"/>
        <v>5.4253</v>
      </c>
    </row>
    <row r="20" spans="3:31" x14ac:dyDescent="0.3">
      <c r="E20" t="s">
        <v>70</v>
      </c>
      <c r="F20" s="15">
        <f>ROUND((F7-F14)/1000,4)</f>
        <v>0.21490000000000001</v>
      </c>
      <c r="G20" s="15">
        <f t="shared" ref="G20:AE20" si="2">ROUND((G7-G14)/1000,4)</f>
        <v>0.252</v>
      </c>
      <c r="H20" s="15">
        <f t="shared" si="2"/>
        <v>0.28910000000000002</v>
      </c>
      <c r="I20" s="15">
        <f t="shared" si="2"/>
        <v>0.33179999999999998</v>
      </c>
      <c r="J20" s="15">
        <f t="shared" si="2"/>
        <v>0.3745</v>
      </c>
      <c r="K20" s="15">
        <f t="shared" si="2"/>
        <v>0.42370000000000002</v>
      </c>
      <c r="L20" s="15">
        <f t="shared" si="2"/>
        <v>0.47289999999999999</v>
      </c>
      <c r="M20" s="15">
        <f t="shared" si="2"/>
        <v>0.496</v>
      </c>
      <c r="N20" s="15">
        <f t="shared" si="2"/>
        <v>0.51910000000000001</v>
      </c>
      <c r="O20" s="15">
        <f t="shared" si="2"/>
        <v>0.86109999999999998</v>
      </c>
      <c r="P20" s="15">
        <f t="shared" si="2"/>
        <v>1.2030000000000001</v>
      </c>
      <c r="Q20" s="15">
        <f t="shared" si="2"/>
        <v>1.3250999999999999</v>
      </c>
      <c r="R20" s="15">
        <f t="shared" si="2"/>
        <v>1.9576</v>
      </c>
      <c r="S20" s="15">
        <f t="shared" si="2"/>
        <v>2.3839999999999999</v>
      </c>
      <c r="T20" s="15">
        <f t="shared" si="2"/>
        <v>2.8102999999999998</v>
      </c>
      <c r="U20" s="15">
        <f t="shared" si="2"/>
        <v>3.2366999999999999</v>
      </c>
      <c r="V20" s="15">
        <f t="shared" si="2"/>
        <v>3.5838000000000001</v>
      </c>
      <c r="W20" s="15">
        <f t="shared" si="2"/>
        <v>3.931</v>
      </c>
      <c r="X20" s="15">
        <f t="shared" si="2"/>
        <v>4.2781000000000002</v>
      </c>
      <c r="Y20" s="15">
        <f t="shared" si="2"/>
        <v>4.6252000000000004</v>
      </c>
      <c r="Z20" s="15">
        <f t="shared" si="2"/>
        <v>4.9984999999999999</v>
      </c>
      <c r="AA20" s="15">
        <f t="shared" si="2"/>
        <v>4.9566999999999997</v>
      </c>
      <c r="AB20" s="15">
        <f t="shared" si="2"/>
        <v>4.9149000000000003</v>
      </c>
      <c r="AC20" s="15">
        <f t="shared" si="2"/>
        <v>4.8731</v>
      </c>
      <c r="AD20" s="15">
        <f t="shared" si="2"/>
        <v>4.8312999999999997</v>
      </c>
      <c r="AE20" s="15">
        <f t="shared" si="2"/>
        <v>4.7895000000000003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2559-4E67-405E-94AD-EBA74973EFDD}">
  <sheetPr>
    <tabColor theme="5" tint="0.59999389629810485"/>
  </sheetPr>
  <dimension ref="B1:AD105"/>
  <sheetViews>
    <sheetView workbookViewId="0">
      <selection activeCell="F20" sqref="F20"/>
    </sheetView>
  </sheetViews>
  <sheetFormatPr defaultRowHeight="14.4" x14ac:dyDescent="0.3"/>
  <cols>
    <col min="2" max="2" width="11.6640625" customWidth="1"/>
    <col min="4" max="4" width="44.33203125" bestFit="1" customWidth="1"/>
    <col min="11" max="11" width="13" bestFit="1" customWidth="1"/>
  </cols>
  <sheetData>
    <row r="1" spans="2:30" x14ac:dyDescent="0.3">
      <c r="B1" s="7" t="s">
        <v>71</v>
      </c>
    </row>
    <row r="3" spans="2:30" x14ac:dyDescent="0.3">
      <c r="B3" t="s">
        <v>65</v>
      </c>
      <c r="D3" s="1" t="s">
        <v>72</v>
      </c>
      <c r="E3" s="6">
        <v>2010</v>
      </c>
      <c r="F3" s="5">
        <v>2011</v>
      </c>
      <c r="G3" s="6">
        <v>2012</v>
      </c>
      <c r="H3" s="5">
        <v>2013</v>
      </c>
      <c r="I3" s="6">
        <v>2014</v>
      </c>
      <c r="J3" s="5">
        <v>2015</v>
      </c>
      <c r="K3" s="6">
        <v>2016</v>
      </c>
      <c r="L3" s="5">
        <v>2017</v>
      </c>
      <c r="M3" s="6">
        <v>2018</v>
      </c>
      <c r="N3" s="1">
        <v>2019</v>
      </c>
      <c r="O3" s="1">
        <v>2020</v>
      </c>
      <c r="P3" s="1">
        <v>2021</v>
      </c>
      <c r="Q3" s="1">
        <v>2022</v>
      </c>
      <c r="R3" s="1">
        <v>2023</v>
      </c>
      <c r="S3" s="1">
        <v>2024</v>
      </c>
      <c r="T3" s="1">
        <v>2025</v>
      </c>
      <c r="U3" s="1">
        <v>2026</v>
      </c>
      <c r="V3" s="1">
        <v>2027</v>
      </c>
      <c r="W3" s="1">
        <v>2028</v>
      </c>
      <c r="X3" s="1">
        <v>2029</v>
      </c>
      <c r="Y3" s="1">
        <v>2030</v>
      </c>
      <c r="Z3" s="1">
        <v>2031</v>
      </c>
      <c r="AA3" s="1">
        <v>2032</v>
      </c>
      <c r="AB3" s="1">
        <v>2033</v>
      </c>
      <c r="AC3" s="1">
        <v>2034</v>
      </c>
      <c r="AD3" s="1">
        <v>2035</v>
      </c>
    </row>
    <row r="4" spans="2:30" x14ac:dyDescent="0.3">
      <c r="D4" s="9" t="s">
        <v>73</v>
      </c>
      <c r="E4" s="10">
        <v>1781.9687670000001</v>
      </c>
      <c r="F4" s="10"/>
      <c r="G4" s="10">
        <v>1787.6358299999999</v>
      </c>
      <c r="H4" s="10"/>
      <c r="I4" s="10">
        <v>1884.82</v>
      </c>
      <c r="J4" s="10"/>
      <c r="K4" s="10">
        <v>1750.74</v>
      </c>
      <c r="L4" s="10"/>
      <c r="M4" s="10">
        <v>2029.03</v>
      </c>
      <c r="N4" s="10"/>
      <c r="O4" s="10">
        <v>1347.8303900000001</v>
      </c>
      <c r="P4" s="10">
        <v>1964.887972</v>
      </c>
      <c r="Q4" s="10">
        <v>1797.8711719999999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2:30" x14ac:dyDescent="0.3">
      <c r="D5" s="2" t="s">
        <v>74</v>
      </c>
      <c r="E5" s="3">
        <v>66.497979799999996</v>
      </c>
      <c r="F5" s="12">
        <v>69.184431899999993</v>
      </c>
      <c r="G5" s="3">
        <v>71.870884000000018</v>
      </c>
      <c r="H5" s="12">
        <v>74.235442000000006</v>
      </c>
      <c r="I5" s="3">
        <v>76.599999999999994</v>
      </c>
      <c r="J5" s="12">
        <v>85.19</v>
      </c>
      <c r="K5" s="3">
        <v>93.78000000000003</v>
      </c>
      <c r="L5" s="12">
        <v>100.45500000000001</v>
      </c>
      <c r="M5" s="3">
        <v>107.13</v>
      </c>
      <c r="N5" s="12">
        <v>114.35281995</v>
      </c>
      <c r="O5" s="3">
        <v>121.57563989999998</v>
      </c>
      <c r="P5" s="13">
        <v>219.89981399999999</v>
      </c>
      <c r="Q5" s="13">
        <v>179.0571486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2:30" x14ac:dyDescent="0.3">
      <c r="D6" s="2" t="s">
        <v>75</v>
      </c>
      <c r="E6" s="3">
        <v>7.5096794329999987</v>
      </c>
      <c r="F6" s="12">
        <v>9.1974451664999997</v>
      </c>
      <c r="G6" s="3">
        <v>10.885210900000001</v>
      </c>
      <c r="H6" s="12">
        <v>12.592605450000001</v>
      </c>
      <c r="I6" s="3">
        <v>14.300000000000002</v>
      </c>
      <c r="J6" s="12">
        <v>12.510000000000003</v>
      </c>
      <c r="K6" s="3">
        <v>10.720000000000002</v>
      </c>
      <c r="L6" s="12">
        <v>12.420000000000002</v>
      </c>
      <c r="M6" s="3">
        <v>14.120000000000001</v>
      </c>
      <c r="N6" s="12">
        <v>9.4119149499999999</v>
      </c>
      <c r="O6" s="3">
        <v>4.7038298999999988</v>
      </c>
      <c r="P6" s="13">
        <v>8.9208316720000003</v>
      </c>
      <c r="Q6" s="13">
        <v>8.1065265620000009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2:30" x14ac:dyDescent="0.3">
      <c r="D7" s="2" t="s">
        <v>76</v>
      </c>
      <c r="E7" s="3">
        <v>318.0637888</v>
      </c>
      <c r="F7" s="12">
        <v>409.63545190000002</v>
      </c>
      <c r="G7" s="3">
        <v>501.20711500000004</v>
      </c>
      <c r="H7" s="12">
        <v>440.0635575</v>
      </c>
      <c r="I7" s="3">
        <v>378.91999999999996</v>
      </c>
      <c r="J7" s="12">
        <v>383.03999999999996</v>
      </c>
      <c r="K7" s="3">
        <v>387.15999999999997</v>
      </c>
      <c r="L7" s="12">
        <v>296.02999999999997</v>
      </c>
      <c r="M7" s="3">
        <v>204.89999999999998</v>
      </c>
      <c r="N7" s="12">
        <v>152.17843961999998</v>
      </c>
      <c r="O7" s="3">
        <v>99.456879239999978</v>
      </c>
      <c r="P7" s="13">
        <v>44.588128480000002</v>
      </c>
      <c r="Q7" s="13">
        <v>211.67638959999999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2:30" x14ac:dyDescent="0.3">
      <c r="D8" s="2" t="s">
        <v>77</v>
      </c>
      <c r="E8" s="3">
        <v>-1.1102230246251565E-16</v>
      </c>
      <c r="F8" s="12">
        <v>0.89995110499999997</v>
      </c>
      <c r="G8" s="3">
        <v>1.7999022100000002</v>
      </c>
      <c r="H8" s="12">
        <v>1.7999511050000001</v>
      </c>
      <c r="I8" s="3">
        <v>1.8</v>
      </c>
      <c r="J8" s="12">
        <v>0.89999999999999991</v>
      </c>
      <c r="K8" s="3">
        <v>0</v>
      </c>
      <c r="L8" s="12">
        <v>1.53</v>
      </c>
      <c r="M8" s="3">
        <v>3.06</v>
      </c>
      <c r="N8" s="12">
        <v>5.7675779600000006</v>
      </c>
      <c r="O8" s="3">
        <v>8.4751559200000024</v>
      </c>
      <c r="P8" s="13">
        <v>1.2234899560000001</v>
      </c>
      <c r="Q8" s="13">
        <v>1.67876632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2:30" x14ac:dyDescent="0.3">
      <c r="D9" s="2" t="s">
        <v>78</v>
      </c>
      <c r="E9" s="3">
        <v>29.76</v>
      </c>
      <c r="F9" s="12">
        <v>31.68</v>
      </c>
      <c r="G9" s="3">
        <v>33.6</v>
      </c>
      <c r="H9" s="12">
        <v>35.72</v>
      </c>
      <c r="I9" s="3">
        <v>37.839999999999996</v>
      </c>
      <c r="J9" s="12">
        <v>40.36</v>
      </c>
      <c r="K9" s="3">
        <v>42.88</v>
      </c>
      <c r="L9" s="12">
        <v>49.64</v>
      </c>
      <c r="M9" s="3">
        <v>56.400000000000013</v>
      </c>
      <c r="N9" s="12">
        <v>45.895758400000005</v>
      </c>
      <c r="O9" s="3">
        <v>35.391516800000005</v>
      </c>
      <c r="P9" s="13">
        <v>77.936107199999995</v>
      </c>
      <c r="Q9" s="13">
        <v>80.062921599999996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2:30" x14ac:dyDescent="0.3">
      <c r="D10" s="2" t="s">
        <v>79</v>
      </c>
      <c r="E10" s="3">
        <v>1.2835778</v>
      </c>
      <c r="F10" s="12">
        <v>1.5765538050000001</v>
      </c>
      <c r="G10" s="3">
        <v>1.8695298100000004</v>
      </c>
      <c r="H10" s="12">
        <v>2.3047649050000003</v>
      </c>
      <c r="I10" s="3">
        <v>2.74</v>
      </c>
      <c r="J10" s="12">
        <v>2.88</v>
      </c>
      <c r="K10" s="3">
        <v>3.0199999999999996</v>
      </c>
      <c r="L10" s="12">
        <v>3.51</v>
      </c>
      <c r="M10" s="3">
        <v>4</v>
      </c>
      <c r="N10" s="12">
        <v>6.9922839999999997</v>
      </c>
      <c r="O10" s="3">
        <v>9.9845679999999994</v>
      </c>
      <c r="P10" s="13">
        <v>8.7039159999999995</v>
      </c>
      <c r="Q10" s="13">
        <v>6.6041460000000001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2:30" x14ac:dyDescent="0.3">
      <c r="D11" s="4" t="s">
        <v>80</v>
      </c>
      <c r="E11" s="3">
        <v>-1.3877787807814457E-17</v>
      </c>
      <c r="F11" s="12">
        <v>0.119386665</v>
      </c>
      <c r="G11" s="3">
        <v>0.23877332999999901</v>
      </c>
      <c r="H11" s="12">
        <v>2.8343866649999998</v>
      </c>
      <c r="I11" s="3">
        <v>5.43</v>
      </c>
      <c r="J11" s="12">
        <v>5.5600000000000005</v>
      </c>
      <c r="K11" s="3">
        <v>5.6900000000000013</v>
      </c>
      <c r="L11" s="12">
        <v>5.3150000000000013</v>
      </c>
      <c r="M11" s="3">
        <v>4.9400000000000013</v>
      </c>
      <c r="N11" s="12">
        <v>4.2985666665000011</v>
      </c>
      <c r="O11" s="3">
        <v>3.657133333</v>
      </c>
      <c r="P11" s="13">
        <v>3.555053333</v>
      </c>
      <c r="Q11" s="13">
        <v>3.01708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2:30" x14ac:dyDescent="0.3">
      <c r="D12" s="4" t="s">
        <v>81</v>
      </c>
      <c r="E12" s="3">
        <v>0.28673333000000001</v>
      </c>
      <c r="F12" s="12">
        <v>0.16529333000000002</v>
      </c>
      <c r="G12" s="3">
        <v>4.3853329999999857E-2</v>
      </c>
      <c r="H12" s="12">
        <v>0.26192666499999995</v>
      </c>
      <c r="I12" s="3">
        <v>0.47999999999999993</v>
      </c>
      <c r="J12" s="12">
        <v>0.43499999999999994</v>
      </c>
      <c r="K12" s="3">
        <v>0.3899999999999999</v>
      </c>
      <c r="L12" s="12">
        <v>0.66</v>
      </c>
      <c r="M12" s="3">
        <v>0.93000000000000016</v>
      </c>
      <c r="N12" s="12">
        <v>0.60345333350000008</v>
      </c>
      <c r="O12" s="3">
        <v>0.276906667</v>
      </c>
      <c r="P12" s="13">
        <v>0.59326666699999997</v>
      </c>
      <c r="Q12" s="13">
        <v>0.127021943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2:30" x14ac:dyDescent="0.3">
      <c r="D13" s="11" t="s">
        <v>82</v>
      </c>
      <c r="E13" s="10">
        <v>214.93</v>
      </c>
      <c r="F13" s="10">
        <v>252.02</v>
      </c>
      <c r="G13" s="10">
        <v>289.11</v>
      </c>
      <c r="H13" s="10">
        <v>331.79500000000002</v>
      </c>
      <c r="I13" s="10">
        <v>374.48</v>
      </c>
      <c r="J13" s="10">
        <v>423.69</v>
      </c>
      <c r="K13" s="10">
        <v>472.9</v>
      </c>
      <c r="L13" s="10">
        <v>496</v>
      </c>
      <c r="M13" s="10">
        <v>519.09999999999991</v>
      </c>
      <c r="N13" s="10">
        <v>861.05</v>
      </c>
      <c r="O13" s="10">
        <v>1203</v>
      </c>
      <c r="P13" s="10">
        <v>1325.05</v>
      </c>
      <c r="Q13" s="10">
        <v>1957.579999999999</v>
      </c>
      <c r="R13" s="11">
        <v>2383.9598749999996</v>
      </c>
      <c r="S13" s="11">
        <v>2810.3397499999996</v>
      </c>
      <c r="T13" s="11">
        <v>3236.7196249999997</v>
      </c>
      <c r="U13" s="11">
        <v>3663.0994999999998</v>
      </c>
      <c r="V13" s="11">
        <v>4089.4793750000003</v>
      </c>
      <c r="W13" s="11">
        <v>4515.8592500000004</v>
      </c>
      <c r="X13" s="11">
        <v>4942.2391250000001</v>
      </c>
      <c r="Y13" s="11">
        <v>5368.6190000000006</v>
      </c>
      <c r="Z13" s="11">
        <v>5379.960156000001</v>
      </c>
      <c r="AA13" s="11">
        <v>5391.3013120000005</v>
      </c>
      <c r="AB13" s="11">
        <v>5402.6424680000009</v>
      </c>
      <c r="AC13" s="11">
        <v>5413.9836240000004</v>
      </c>
      <c r="AD13" s="11">
        <v>5425.3247799999999</v>
      </c>
    </row>
    <row r="14" spans="2:30" x14ac:dyDescent="0.3"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2:30" x14ac:dyDescent="0.3">
      <c r="D15" t="s">
        <v>20</v>
      </c>
      <c r="E15" s="14">
        <f>SUM(E5:E12)</f>
        <v>423.40175916300001</v>
      </c>
      <c r="F15" s="14">
        <f t="shared" ref="F15:Q15" si="0">SUM(F5:F12)</f>
        <v>522.45851387150003</v>
      </c>
      <c r="G15" s="14">
        <f t="shared" si="0"/>
        <v>621.51526858000011</v>
      </c>
      <c r="H15" s="14">
        <f t="shared" si="0"/>
        <v>569.81263429000001</v>
      </c>
      <c r="I15" s="14">
        <f t="shared" si="0"/>
        <v>518.1099999999999</v>
      </c>
      <c r="J15" s="14">
        <f t="shared" si="0"/>
        <v>530.87499999999977</v>
      </c>
      <c r="K15" s="14">
        <f t="shared" si="0"/>
        <v>543.64</v>
      </c>
      <c r="L15" s="14">
        <f t="shared" si="0"/>
        <v>469.55999999999995</v>
      </c>
      <c r="M15" s="14">
        <f t="shared" si="0"/>
        <v>395.48</v>
      </c>
      <c r="N15" s="14">
        <f>SUM(N5:N12)</f>
        <v>339.50081487999995</v>
      </c>
      <c r="O15" s="14">
        <f t="shared" si="0"/>
        <v>283.52162975999994</v>
      </c>
      <c r="P15" s="14">
        <f t="shared" si="0"/>
        <v>365.42060730799994</v>
      </c>
      <c r="Q15" s="14">
        <f t="shared" si="0"/>
        <v>490.33000062500003</v>
      </c>
    </row>
    <row r="18" spans="2:30" x14ac:dyDescent="0.3">
      <c r="F18" s="23" t="s">
        <v>83</v>
      </c>
      <c r="H18" s="23" t="s">
        <v>83</v>
      </c>
      <c r="J18" s="23" t="s">
        <v>83</v>
      </c>
      <c r="L18" s="23" t="s">
        <v>83</v>
      </c>
    </row>
    <row r="19" spans="2:30" x14ac:dyDescent="0.3">
      <c r="B19" t="s">
        <v>68</v>
      </c>
      <c r="D19" s="1" t="s">
        <v>72</v>
      </c>
      <c r="E19" s="6">
        <v>2010</v>
      </c>
      <c r="F19" s="5">
        <v>2011</v>
      </c>
      <c r="G19" s="6">
        <v>2012</v>
      </c>
      <c r="H19" s="5">
        <v>2013</v>
      </c>
      <c r="I19" s="6">
        <v>2014</v>
      </c>
      <c r="J19" s="5">
        <v>2015</v>
      </c>
      <c r="K19" s="6">
        <v>2016</v>
      </c>
      <c r="L19" s="5">
        <v>2017</v>
      </c>
      <c r="M19" s="6">
        <v>2018</v>
      </c>
      <c r="N19" s="1">
        <v>2019</v>
      </c>
      <c r="O19" s="1">
        <v>2020</v>
      </c>
      <c r="P19" s="1">
        <v>2021</v>
      </c>
      <c r="Q19" s="1">
        <v>2022</v>
      </c>
      <c r="R19" s="1">
        <v>2023</v>
      </c>
      <c r="S19" s="1">
        <v>2024</v>
      </c>
      <c r="T19" s="1">
        <v>2025</v>
      </c>
      <c r="U19" s="1">
        <v>2026</v>
      </c>
      <c r="V19" s="1">
        <v>2027</v>
      </c>
      <c r="W19" s="1">
        <v>2028</v>
      </c>
      <c r="X19" s="1">
        <v>2029</v>
      </c>
      <c r="Y19" s="1">
        <v>2030</v>
      </c>
      <c r="Z19" s="1">
        <v>2031</v>
      </c>
      <c r="AA19" s="1">
        <v>2032</v>
      </c>
      <c r="AB19" s="1">
        <v>2033</v>
      </c>
      <c r="AC19" s="1">
        <v>2034</v>
      </c>
      <c r="AD19" s="1">
        <v>2035</v>
      </c>
    </row>
    <row r="20" spans="2:30" x14ac:dyDescent="0.3">
      <c r="D20" s="9" t="s">
        <v>73</v>
      </c>
      <c r="E20" s="10">
        <f>E4/1000</f>
        <v>1.7819687670000002</v>
      </c>
      <c r="F20" s="10"/>
      <c r="G20" s="10">
        <f t="shared" ref="G20:Q20" si="1">G4/1000</f>
        <v>1.7876358299999999</v>
      </c>
      <c r="H20" s="10"/>
      <c r="I20" s="10">
        <f t="shared" si="1"/>
        <v>1.8848199999999999</v>
      </c>
      <c r="J20" s="10"/>
      <c r="K20" s="10">
        <f t="shared" si="1"/>
        <v>1.75074</v>
      </c>
      <c r="L20" s="10"/>
      <c r="M20" s="10">
        <f t="shared" si="1"/>
        <v>2.0290300000000001</v>
      </c>
      <c r="N20" s="10">
        <f t="shared" si="1"/>
        <v>0</v>
      </c>
      <c r="O20" s="10">
        <f t="shared" si="1"/>
        <v>1.3478303900000002</v>
      </c>
      <c r="P20" s="10">
        <f t="shared" si="1"/>
        <v>1.9648879720000001</v>
      </c>
      <c r="Q20" s="10">
        <f t="shared" si="1"/>
        <v>1.7978711719999998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2:30" x14ac:dyDescent="0.3">
      <c r="D21" s="2" t="s">
        <v>74</v>
      </c>
      <c r="E21" s="3">
        <f t="shared" ref="E21:Q29" si="2">E5/1000</f>
        <v>6.6497979799999996E-2</v>
      </c>
      <c r="F21" s="12">
        <f t="shared" si="2"/>
        <v>6.9184431899999996E-2</v>
      </c>
      <c r="G21" s="3">
        <f t="shared" si="2"/>
        <v>7.1870884000000024E-2</v>
      </c>
      <c r="H21" s="12">
        <f t="shared" si="2"/>
        <v>7.4235442000000013E-2</v>
      </c>
      <c r="I21" s="3">
        <f t="shared" si="2"/>
        <v>7.6599999999999988E-2</v>
      </c>
      <c r="J21" s="12">
        <f t="shared" si="2"/>
        <v>8.5190000000000002E-2</v>
      </c>
      <c r="K21" s="3">
        <f t="shared" si="2"/>
        <v>9.378000000000003E-2</v>
      </c>
      <c r="L21" s="12">
        <f t="shared" si="2"/>
        <v>0.10045500000000002</v>
      </c>
      <c r="M21" s="3">
        <f t="shared" si="2"/>
        <v>0.10712999999999999</v>
      </c>
      <c r="N21" s="13">
        <f t="shared" si="2"/>
        <v>0.11435281995</v>
      </c>
      <c r="O21" s="13">
        <f t="shared" si="2"/>
        <v>0.12157563989999999</v>
      </c>
      <c r="P21" s="13">
        <f t="shared" si="2"/>
        <v>0.219899814</v>
      </c>
      <c r="Q21" s="13">
        <f t="shared" si="2"/>
        <v>0.17905714859999999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2:30" x14ac:dyDescent="0.3">
      <c r="D22" s="2" t="s">
        <v>75</v>
      </c>
      <c r="E22" s="3">
        <f t="shared" si="2"/>
        <v>7.5096794329999987E-3</v>
      </c>
      <c r="F22" s="12">
        <f t="shared" si="2"/>
        <v>9.1974451664999998E-3</v>
      </c>
      <c r="G22" s="3">
        <f t="shared" si="2"/>
        <v>1.0885210900000001E-2</v>
      </c>
      <c r="H22" s="12">
        <f t="shared" si="2"/>
        <v>1.2592605450000001E-2</v>
      </c>
      <c r="I22" s="3">
        <f t="shared" si="2"/>
        <v>1.4300000000000002E-2</v>
      </c>
      <c r="J22" s="12">
        <f t="shared" si="2"/>
        <v>1.2510000000000004E-2</v>
      </c>
      <c r="K22" s="3">
        <f t="shared" si="2"/>
        <v>1.0720000000000002E-2</v>
      </c>
      <c r="L22" s="12">
        <f t="shared" si="2"/>
        <v>1.2420000000000002E-2</v>
      </c>
      <c r="M22" s="3">
        <f t="shared" si="2"/>
        <v>1.4120000000000001E-2</v>
      </c>
      <c r="N22" s="13">
        <f t="shared" si="2"/>
        <v>9.4119149499999992E-3</v>
      </c>
      <c r="O22" s="13">
        <f t="shared" si="2"/>
        <v>4.7038298999999987E-3</v>
      </c>
      <c r="P22" s="13">
        <f t="shared" si="2"/>
        <v>8.9208316719999996E-3</v>
      </c>
      <c r="Q22" s="13">
        <f t="shared" si="2"/>
        <v>8.1065265620000014E-3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2:30" x14ac:dyDescent="0.3">
      <c r="D23" s="2" t="s">
        <v>76</v>
      </c>
      <c r="E23" s="3">
        <f t="shared" si="2"/>
        <v>0.31806378880000002</v>
      </c>
      <c r="F23" s="12">
        <f t="shared" si="2"/>
        <v>0.4096354519</v>
      </c>
      <c r="G23" s="3">
        <f t="shared" si="2"/>
        <v>0.50120711500000004</v>
      </c>
      <c r="H23" s="12">
        <f t="shared" si="2"/>
        <v>0.44006355749999998</v>
      </c>
      <c r="I23" s="3">
        <f t="shared" si="2"/>
        <v>0.37891999999999998</v>
      </c>
      <c r="J23" s="12">
        <f t="shared" si="2"/>
        <v>0.38303999999999994</v>
      </c>
      <c r="K23" s="3">
        <f t="shared" si="2"/>
        <v>0.38715999999999995</v>
      </c>
      <c r="L23" s="12">
        <f t="shared" si="2"/>
        <v>0.29602999999999996</v>
      </c>
      <c r="M23" s="3">
        <f t="shared" si="2"/>
        <v>0.20489999999999997</v>
      </c>
      <c r="N23" s="13">
        <f t="shared" si="2"/>
        <v>0.15217843961999997</v>
      </c>
      <c r="O23" s="13">
        <f t="shared" si="2"/>
        <v>9.9456879239999976E-2</v>
      </c>
      <c r="P23" s="13">
        <f t="shared" si="2"/>
        <v>4.4588128480000003E-2</v>
      </c>
      <c r="Q23" s="13">
        <f t="shared" si="2"/>
        <v>0.21167638959999999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2:30" x14ac:dyDescent="0.3">
      <c r="D24" s="2" t="s">
        <v>77</v>
      </c>
      <c r="E24" s="3">
        <f t="shared" si="2"/>
        <v>-1.1102230246251566E-19</v>
      </c>
      <c r="F24" s="12">
        <f t="shared" si="2"/>
        <v>8.9995110499999998E-4</v>
      </c>
      <c r="G24" s="3">
        <f t="shared" si="2"/>
        <v>1.7999022100000002E-3</v>
      </c>
      <c r="H24" s="12">
        <f t="shared" si="2"/>
        <v>1.7999511050000002E-3</v>
      </c>
      <c r="I24" s="3">
        <f t="shared" si="2"/>
        <v>1.8E-3</v>
      </c>
      <c r="J24" s="12">
        <f t="shared" si="2"/>
        <v>8.9999999999999987E-4</v>
      </c>
      <c r="K24" s="3">
        <f t="shared" si="2"/>
        <v>0</v>
      </c>
      <c r="L24" s="12">
        <f t="shared" si="2"/>
        <v>1.5300000000000001E-3</v>
      </c>
      <c r="M24" s="3">
        <f t="shared" si="2"/>
        <v>3.0600000000000002E-3</v>
      </c>
      <c r="N24" s="13">
        <f t="shared" si="2"/>
        <v>5.7675779600000008E-3</v>
      </c>
      <c r="O24" s="13">
        <f t="shared" si="2"/>
        <v>8.4751559200000031E-3</v>
      </c>
      <c r="P24" s="13">
        <f t="shared" si="2"/>
        <v>1.223489956E-3</v>
      </c>
      <c r="Q24" s="13">
        <f t="shared" si="2"/>
        <v>1.67876632E-3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2:30" x14ac:dyDescent="0.3">
      <c r="D25" s="2" t="s">
        <v>78</v>
      </c>
      <c r="E25" s="3">
        <f t="shared" si="2"/>
        <v>2.9760000000000002E-2</v>
      </c>
      <c r="F25" s="12">
        <f t="shared" si="2"/>
        <v>3.168E-2</v>
      </c>
      <c r="G25" s="3">
        <f t="shared" si="2"/>
        <v>3.3600000000000005E-2</v>
      </c>
      <c r="H25" s="12">
        <f t="shared" si="2"/>
        <v>3.5720000000000002E-2</v>
      </c>
      <c r="I25" s="3">
        <f t="shared" si="2"/>
        <v>3.7839999999999999E-2</v>
      </c>
      <c r="J25" s="12">
        <f t="shared" si="2"/>
        <v>4.036E-2</v>
      </c>
      <c r="K25" s="3">
        <f t="shared" si="2"/>
        <v>4.2880000000000001E-2</v>
      </c>
      <c r="L25" s="12">
        <f t="shared" si="2"/>
        <v>4.9640000000000004E-2</v>
      </c>
      <c r="M25" s="3">
        <f t="shared" si="2"/>
        <v>5.6400000000000013E-2</v>
      </c>
      <c r="N25" s="13">
        <f t="shared" si="2"/>
        <v>4.5895758400000007E-2</v>
      </c>
      <c r="O25" s="13">
        <f t="shared" si="2"/>
        <v>3.5391516800000009E-2</v>
      </c>
      <c r="P25" s="13">
        <f t="shared" si="2"/>
        <v>7.7936107199999993E-2</v>
      </c>
      <c r="Q25" s="13">
        <f t="shared" si="2"/>
        <v>8.0062921599999989E-2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2:30" x14ac:dyDescent="0.3">
      <c r="D26" s="2" t="s">
        <v>79</v>
      </c>
      <c r="E26" s="3">
        <f t="shared" si="2"/>
        <v>1.2835778E-3</v>
      </c>
      <c r="F26" s="12">
        <f t="shared" si="2"/>
        <v>1.5765538050000001E-3</v>
      </c>
      <c r="G26" s="3">
        <f t="shared" si="2"/>
        <v>1.8695298100000004E-3</v>
      </c>
      <c r="H26" s="12">
        <f t="shared" si="2"/>
        <v>2.3047649050000002E-3</v>
      </c>
      <c r="I26" s="3">
        <f t="shared" si="2"/>
        <v>2.7400000000000002E-3</v>
      </c>
      <c r="J26" s="12">
        <f t="shared" si="2"/>
        <v>2.8799999999999997E-3</v>
      </c>
      <c r="K26" s="3">
        <f t="shared" si="2"/>
        <v>3.0199999999999997E-3</v>
      </c>
      <c r="L26" s="12">
        <f t="shared" si="2"/>
        <v>3.5099999999999997E-3</v>
      </c>
      <c r="M26" s="3">
        <f t="shared" si="2"/>
        <v>4.0000000000000001E-3</v>
      </c>
      <c r="N26" s="13">
        <f t="shared" si="2"/>
        <v>6.9922839999999997E-3</v>
      </c>
      <c r="O26" s="13">
        <f t="shared" si="2"/>
        <v>9.9845679999999992E-3</v>
      </c>
      <c r="P26" s="13">
        <f t="shared" si="2"/>
        <v>8.703915999999999E-3</v>
      </c>
      <c r="Q26" s="13">
        <f t="shared" si="2"/>
        <v>6.604146E-3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2:30" x14ac:dyDescent="0.3">
      <c r="D27" s="4" t="s">
        <v>80</v>
      </c>
      <c r="E27" s="3">
        <f t="shared" si="2"/>
        <v>-1.3877787807814457E-20</v>
      </c>
      <c r="F27" s="12">
        <f t="shared" si="2"/>
        <v>1.19386665E-4</v>
      </c>
      <c r="G27" s="3">
        <f t="shared" si="2"/>
        <v>2.3877332999999902E-4</v>
      </c>
      <c r="H27" s="12">
        <f t="shared" si="2"/>
        <v>2.8343866649999999E-3</v>
      </c>
      <c r="I27" s="3">
        <f t="shared" si="2"/>
        <v>5.4299999999999999E-3</v>
      </c>
      <c r="J27" s="12">
        <f t="shared" si="2"/>
        <v>5.5600000000000007E-3</v>
      </c>
      <c r="K27" s="3">
        <f t="shared" si="2"/>
        <v>5.6900000000000015E-3</v>
      </c>
      <c r="L27" s="12">
        <f t="shared" si="2"/>
        <v>5.3150000000000011E-3</v>
      </c>
      <c r="M27" s="3">
        <f t="shared" si="2"/>
        <v>4.9400000000000017E-3</v>
      </c>
      <c r="N27" s="13">
        <f t="shared" si="2"/>
        <v>4.2985666665000012E-3</v>
      </c>
      <c r="O27" s="13">
        <f t="shared" si="2"/>
        <v>3.6571333329999999E-3</v>
      </c>
      <c r="P27" s="13">
        <f t="shared" si="2"/>
        <v>3.5550533329999998E-3</v>
      </c>
      <c r="Q27" s="13">
        <f t="shared" si="2"/>
        <v>3.0170800000000001E-3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2:30" x14ac:dyDescent="0.3">
      <c r="D28" s="4" t="s">
        <v>81</v>
      </c>
      <c r="E28" s="3">
        <f t="shared" si="2"/>
        <v>2.8673332999999999E-4</v>
      </c>
      <c r="F28" s="12">
        <f t="shared" ref="F28:Q28" si="3">F12/1000</f>
        <v>1.6529333000000001E-4</v>
      </c>
      <c r="G28" s="3">
        <f t="shared" si="3"/>
        <v>4.3853329999999855E-5</v>
      </c>
      <c r="H28" s="12">
        <f t="shared" si="3"/>
        <v>2.6192666499999994E-4</v>
      </c>
      <c r="I28" s="3">
        <f t="shared" si="3"/>
        <v>4.799999999999999E-4</v>
      </c>
      <c r="J28" s="12">
        <f t="shared" si="3"/>
        <v>4.3499999999999995E-4</v>
      </c>
      <c r="K28" s="3">
        <f t="shared" si="3"/>
        <v>3.8999999999999988E-4</v>
      </c>
      <c r="L28" s="12">
        <f t="shared" si="3"/>
        <v>6.6E-4</v>
      </c>
      <c r="M28" s="3">
        <f t="shared" si="3"/>
        <v>9.3000000000000016E-4</v>
      </c>
      <c r="N28" s="13">
        <f t="shared" si="3"/>
        <v>6.0345333350000007E-4</v>
      </c>
      <c r="O28" s="13">
        <f t="shared" si="3"/>
        <v>2.7690666699999999E-4</v>
      </c>
      <c r="P28" s="13">
        <f t="shared" si="3"/>
        <v>5.93266667E-4</v>
      </c>
      <c r="Q28" s="13">
        <f t="shared" si="3"/>
        <v>1.27021943E-4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2:30" x14ac:dyDescent="0.3">
      <c r="D29" s="11" t="s">
        <v>82</v>
      </c>
      <c r="E29" s="10">
        <f t="shared" si="2"/>
        <v>0.21493000000000001</v>
      </c>
      <c r="F29" s="12">
        <f t="shared" ref="F29:AD29" si="4">F13/1000</f>
        <v>0.25202000000000002</v>
      </c>
      <c r="G29" s="10">
        <f t="shared" si="4"/>
        <v>0.28911000000000003</v>
      </c>
      <c r="H29" s="12">
        <f t="shared" si="4"/>
        <v>0.33179500000000001</v>
      </c>
      <c r="I29" s="10">
        <f t="shared" si="4"/>
        <v>0.37448000000000004</v>
      </c>
      <c r="J29" s="12">
        <f t="shared" si="4"/>
        <v>0.42369000000000001</v>
      </c>
      <c r="K29" s="10">
        <f t="shared" si="4"/>
        <v>0.47289999999999999</v>
      </c>
      <c r="L29" s="12">
        <f t="shared" si="4"/>
        <v>0.496</v>
      </c>
      <c r="M29" s="10">
        <f t="shared" si="4"/>
        <v>0.51909999999999989</v>
      </c>
      <c r="N29" s="10">
        <f t="shared" si="4"/>
        <v>0.86104999999999998</v>
      </c>
      <c r="O29" s="10">
        <f t="shared" si="4"/>
        <v>1.2030000000000001</v>
      </c>
      <c r="P29" s="10">
        <f t="shared" si="4"/>
        <v>1.3250500000000001</v>
      </c>
      <c r="Q29" s="10">
        <f t="shared" si="4"/>
        <v>1.957579999999999</v>
      </c>
      <c r="R29" s="10">
        <f t="shared" si="4"/>
        <v>2.3839598749999995</v>
      </c>
      <c r="S29" s="10">
        <f t="shared" si="4"/>
        <v>2.8103397499999998</v>
      </c>
      <c r="T29" s="10">
        <f t="shared" si="4"/>
        <v>3.2367196249999997</v>
      </c>
      <c r="U29" s="10">
        <f t="shared" si="4"/>
        <v>3.6630995</v>
      </c>
      <c r="V29" s="10">
        <f t="shared" si="4"/>
        <v>4.0894793750000007</v>
      </c>
      <c r="W29" s="10">
        <f t="shared" si="4"/>
        <v>4.5158592500000001</v>
      </c>
      <c r="X29" s="10">
        <f t="shared" si="4"/>
        <v>4.9422391250000004</v>
      </c>
      <c r="Y29" s="10">
        <f t="shared" si="4"/>
        <v>5.3686190000000007</v>
      </c>
      <c r="Z29" s="10">
        <f t="shared" si="4"/>
        <v>5.379960156000001</v>
      </c>
      <c r="AA29" s="10">
        <f t="shared" si="4"/>
        <v>5.3913013120000004</v>
      </c>
      <c r="AB29" s="10">
        <f t="shared" si="4"/>
        <v>5.4026424680000007</v>
      </c>
      <c r="AC29" s="10">
        <f t="shared" si="4"/>
        <v>5.4139836240000001</v>
      </c>
      <c r="AD29" s="10">
        <f t="shared" si="4"/>
        <v>5.4253247799999995</v>
      </c>
    </row>
    <row r="30" spans="2:30" x14ac:dyDescent="0.3"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30" x14ac:dyDescent="0.3">
      <c r="D31" t="s">
        <v>20</v>
      </c>
      <c r="E31" s="15">
        <f>SUM(E21:E28)</f>
        <v>0.42340175916300005</v>
      </c>
      <c r="F31" s="15">
        <f t="shared" ref="F31:M31" si="5">SUM(F21:F28)</f>
        <v>0.5224585138715</v>
      </c>
      <c r="G31" s="15">
        <f t="shared" si="5"/>
        <v>0.62151526858000006</v>
      </c>
      <c r="H31" s="15">
        <f t="shared" si="5"/>
        <v>0.56981263428999995</v>
      </c>
      <c r="I31" s="15">
        <f t="shared" si="5"/>
        <v>0.51811000000000007</v>
      </c>
      <c r="J31" s="15">
        <f t="shared" si="5"/>
        <v>0.53087499999999987</v>
      </c>
      <c r="K31" s="15">
        <f t="shared" si="5"/>
        <v>0.54364000000000001</v>
      </c>
      <c r="L31" s="15">
        <f t="shared" si="5"/>
        <v>0.46955999999999998</v>
      </c>
      <c r="M31" s="15">
        <f t="shared" si="5"/>
        <v>0.39547999999999994</v>
      </c>
      <c r="N31" s="15">
        <f>SUM(N21:N28)</f>
        <v>0.33950081487999995</v>
      </c>
      <c r="O31" s="15">
        <f t="shared" ref="O31:Q31" si="6">SUM(O21:O28)</f>
        <v>0.28352162975999995</v>
      </c>
      <c r="P31" s="15">
        <f t="shared" si="6"/>
        <v>0.36542060730799997</v>
      </c>
      <c r="Q31" s="15">
        <f t="shared" si="6"/>
        <v>0.49033000062499998</v>
      </c>
    </row>
    <row r="34" spans="2:30" x14ac:dyDescent="0.3">
      <c r="F34" s="23" t="s">
        <v>83</v>
      </c>
      <c r="H34" s="23" t="s">
        <v>83</v>
      </c>
      <c r="J34" s="23" t="s">
        <v>83</v>
      </c>
      <c r="L34" s="23" t="s">
        <v>83</v>
      </c>
    </row>
    <row r="35" spans="2:30" x14ac:dyDescent="0.3">
      <c r="B35" t="s">
        <v>68</v>
      </c>
      <c r="D35" s="1" t="s">
        <v>72</v>
      </c>
      <c r="E35" s="6">
        <v>2010</v>
      </c>
      <c r="F35" s="5">
        <v>2011</v>
      </c>
      <c r="G35" s="6">
        <v>2012</v>
      </c>
      <c r="H35" s="5">
        <v>2013</v>
      </c>
      <c r="I35" s="6">
        <v>2014</v>
      </c>
      <c r="J35" s="5">
        <v>2015</v>
      </c>
      <c r="K35" s="6">
        <v>2016</v>
      </c>
      <c r="L35" s="5">
        <v>2017</v>
      </c>
      <c r="M35" s="6">
        <v>2018</v>
      </c>
      <c r="N35" s="1">
        <v>2019</v>
      </c>
      <c r="O35" s="1">
        <v>2020</v>
      </c>
      <c r="P35" s="1">
        <v>2021</v>
      </c>
      <c r="Q35" s="1">
        <v>2022</v>
      </c>
      <c r="R35" s="1">
        <v>2023</v>
      </c>
      <c r="S35" s="1">
        <v>2024</v>
      </c>
      <c r="T35" s="1">
        <v>2025</v>
      </c>
      <c r="U35" s="1">
        <v>2026</v>
      </c>
      <c r="V35" s="1">
        <v>2027</v>
      </c>
      <c r="W35" s="1">
        <v>2028</v>
      </c>
      <c r="X35" s="1">
        <v>2029</v>
      </c>
      <c r="Y35" s="1">
        <v>2030</v>
      </c>
      <c r="Z35" s="1">
        <v>2031</v>
      </c>
      <c r="AA35" s="1">
        <v>2032</v>
      </c>
      <c r="AB35" s="1">
        <v>2033</v>
      </c>
      <c r="AC35" s="1">
        <v>2034</v>
      </c>
      <c r="AD35" s="1">
        <v>2035</v>
      </c>
    </row>
    <row r="36" spans="2:30" x14ac:dyDescent="0.3">
      <c r="B36" t="s">
        <v>84</v>
      </c>
      <c r="D36" s="9" t="s">
        <v>73</v>
      </c>
      <c r="E36" s="21">
        <f>ROUND(E20,4)</f>
        <v>1.782</v>
      </c>
      <c r="F36" s="21"/>
      <c r="G36" s="21">
        <f t="shared" ref="G36:Q36" si="7">ROUND(G20,4)</f>
        <v>1.7876000000000001</v>
      </c>
      <c r="H36" s="21"/>
      <c r="I36" s="21">
        <f t="shared" si="7"/>
        <v>1.8848</v>
      </c>
      <c r="J36" s="21"/>
      <c r="K36" s="21">
        <f t="shared" si="7"/>
        <v>1.7506999999999999</v>
      </c>
      <c r="L36" s="21"/>
      <c r="M36" s="21">
        <f t="shared" si="7"/>
        <v>2.0289999999999999</v>
      </c>
      <c r="N36" s="21">
        <f t="shared" si="7"/>
        <v>0</v>
      </c>
      <c r="O36" s="21">
        <f t="shared" si="7"/>
        <v>1.3478000000000001</v>
      </c>
      <c r="P36" s="21">
        <f t="shared" si="7"/>
        <v>1.9649000000000001</v>
      </c>
      <c r="Q36" s="21">
        <f t="shared" si="7"/>
        <v>1.7979000000000001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2:30" x14ac:dyDescent="0.3">
      <c r="D37" s="2" t="s">
        <v>74</v>
      </c>
      <c r="E37" s="18">
        <f t="shared" ref="E37:Q45" si="8">ROUND(E21,4)</f>
        <v>6.6500000000000004E-2</v>
      </c>
      <c r="F37" s="20">
        <f t="shared" si="8"/>
        <v>6.9199999999999998E-2</v>
      </c>
      <c r="G37" s="18">
        <f t="shared" si="8"/>
        <v>7.1900000000000006E-2</v>
      </c>
      <c r="H37" s="20">
        <f t="shared" si="8"/>
        <v>7.4200000000000002E-2</v>
      </c>
      <c r="I37" s="18">
        <f t="shared" si="8"/>
        <v>7.6600000000000001E-2</v>
      </c>
      <c r="J37" s="20">
        <f t="shared" si="8"/>
        <v>8.5199999999999998E-2</v>
      </c>
      <c r="K37" s="18">
        <f t="shared" si="8"/>
        <v>9.3799999999999994E-2</v>
      </c>
      <c r="L37" s="20">
        <f t="shared" si="8"/>
        <v>0.10050000000000001</v>
      </c>
      <c r="M37" s="18">
        <f t="shared" si="8"/>
        <v>0.1071</v>
      </c>
      <c r="N37" s="24">
        <f t="shared" si="8"/>
        <v>0.1144</v>
      </c>
      <c r="O37" s="24">
        <f t="shared" si="8"/>
        <v>0.1216</v>
      </c>
      <c r="P37" s="24">
        <f t="shared" si="8"/>
        <v>0.21990000000000001</v>
      </c>
      <c r="Q37" s="24">
        <f t="shared" si="8"/>
        <v>0.17910000000000001</v>
      </c>
      <c r="R37" s="18">
        <f>ROUND(R47*$Q$37/SUM($Q$37:$Q$44),4)</f>
        <v>0.18290000000000001</v>
      </c>
      <c r="S37" s="18">
        <f t="shared" ref="S37:AD37" si="9">ROUND(S47*$Q$37/SUM($Q$37:$Q$44),4)</f>
        <v>0.18679999999999999</v>
      </c>
      <c r="T37" s="18">
        <f t="shared" si="9"/>
        <v>0.1908</v>
      </c>
      <c r="U37" s="18">
        <f t="shared" si="9"/>
        <v>0.19489999999999999</v>
      </c>
      <c r="V37" s="18">
        <f t="shared" si="9"/>
        <v>0.1991</v>
      </c>
      <c r="W37" s="18">
        <f t="shared" si="9"/>
        <v>0.2034</v>
      </c>
      <c r="X37" s="18">
        <f t="shared" si="9"/>
        <v>0.2077</v>
      </c>
      <c r="Y37" s="18">
        <f t="shared" si="9"/>
        <v>0.21210000000000001</v>
      </c>
      <c r="Z37" s="18">
        <f t="shared" si="9"/>
        <v>0.2167</v>
      </c>
      <c r="AA37" s="18">
        <f t="shared" si="9"/>
        <v>0.2213</v>
      </c>
      <c r="AB37" s="18">
        <f t="shared" si="9"/>
        <v>0.22600000000000001</v>
      </c>
      <c r="AC37" s="18">
        <f t="shared" si="9"/>
        <v>0.23089999999999999</v>
      </c>
      <c r="AD37" s="18">
        <f t="shared" si="9"/>
        <v>0.23580000000000001</v>
      </c>
    </row>
    <row r="38" spans="2:30" x14ac:dyDescent="0.3">
      <c r="D38" s="2" t="s">
        <v>75</v>
      </c>
      <c r="E38" s="18">
        <f t="shared" si="8"/>
        <v>7.4999999999999997E-3</v>
      </c>
      <c r="F38" s="20">
        <f t="shared" si="8"/>
        <v>9.1999999999999998E-3</v>
      </c>
      <c r="G38" s="18">
        <f t="shared" si="8"/>
        <v>1.09E-2</v>
      </c>
      <c r="H38" s="20">
        <f t="shared" si="8"/>
        <v>1.26E-2</v>
      </c>
      <c r="I38" s="18">
        <f t="shared" si="8"/>
        <v>1.43E-2</v>
      </c>
      <c r="J38" s="20">
        <f t="shared" si="8"/>
        <v>1.2500000000000001E-2</v>
      </c>
      <c r="K38" s="18">
        <f t="shared" si="8"/>
        <v>1.0699999999999999E-2</v>
      </c>
      <c r="L38" s="20">
        <f t="shared" si="8"/>
        <v>1.24E-2</v>
      </c>
      <c r="M38" s="18">
        <f t="shared" si="8"/>
        <v>1.41E-2</v>
      </c>
      <c r="N38" s="24">
        <f t="shared" si="8"/>
        <v>9.4000000000000004E-3</v>
      </c>
      <c r="O38" s="24">
        <f t="shared" si="8"/>
        <v>4.7000000000000002E-3</v>
      </c>
      <c r="P38" s="24">
        <f t="shared" si="8"/>
        <v>8.8999999999999999E-3</v>
      </c>
      <c r="Q38" s="24">
        <f t="shared" si="8"/>
        <v>8.0999999999999996E-3</v>
      </c>
      <c r="R38" s="18">
        <f>ROUND(R47*$Q$38/SUM($Q$37:$Q$44),4)</f>
        <v>8.3000000000000001E-3</v>
      </c>
      <c r="S38" s="18">
        <f t="shared" ref="S38:AD38" si="10">ROUND(S47*$Q$38/SUM($Q$37:$Q$44),4)</f>
        <v>8.3999999999999995E-3</v>
      </c>
      <c r="T38" s="18">
        <f t="shared" si="10"/>
        <v>8.6E-3</v>
      </c>
      <c r="U38" s="18">
        <f t="shared" si="10"/>
        <v>8.8000000000000005E-3</v>
      </c>
      <c r="V38" s="18">
        <f t="shared" si="10"/>
        <v>8.9999999999999993E-3</v>
      </c>
      <c r="W38" s="18">
        <f t="shared" si="10"/>
        <v>9.1999999999999998E-3</v>
      </c>
      <c r="X38" s="18">
        <f t="shared" si="10"/>
        <v>9.4000000000000004E-3</v>
      </c>
      <c r="Y38" s="18">
        <f t="shared" si="10"/>
        <v>9.5999999999999992E-3</v>
      </c>
      <c r="Z38" s="18">
        <f t="shared" si="10"/>
        <v>9.7999999999999997E-3</v>
      </c>
      <c r="AA38" s="18">
        <f t="shared" si="10"/>
        <v>0.01</v>
      </c>
      <c r="AB38" s="18">
        <f t="shared" si="10"/>
        <v>1.0200000000000001E-2</v>
      </c>
      <c r="AC38" s="18">
        <f t="shared" si="10"/>
        <v>1.04E-2</v>
      </c>
      <c r="AD38" s="18">
        <f t="shared" si="10"/>
        <v>1.0699999999999999E-2</v>
      </c>
    </row>
    <row r="39" spans="2:30" x14ac:dyDescent="0.3">
      <c r="D39" s="2" t="s">
        <v>76</v>
      </c>
      <c r="E39" s="18">
        <f t="shared" si="8"/>
        <v>0.31809999999999999</v>
      </c>
      <c r="F39" s="20">
        <f t="shared" si="8"/>
        <v>0.40960000000000002</v>
      </c>
      <c r="G39" s="18">
        <f t="shared" si="8"/>
        <v>0.50119999999999998</v>
      </c>
      <c r="H39" s="20">
        <f t="shared" si="8"/>
        <v>0.44009999999999999</v>
      </c>
      <c r="I39" s="18">
        <f t="shared" si="8"/>
        <v>0.37890000000000001</v>
      </c>
      <c r="J39" s="20">
        <f t="shared" si="8"/>
        <v>0.38300000000000001</v>
      </c>
      <c r="K39" s="18">
        <f t="shared" si="8"/>
        <v>0.38719999999999999</v>
      </c>
      <c r="L39" s="20">
        <f t="shared" si="8"/>
        <v>0.29599999999999999</v>
      </c>
      <c r="M39" s="18">
        <f t="shared" si="8"/>
        <v>0.2049</v>
      </c>
      <c r="N39" s="24">
        <f t="shared" si="8"/>
        <v>0.1522</v>
      </c>
      <c r="O39" s="24">
        <f t="shared" si="8"/>
        <v>9.9500000000000005E-2</v>
      </c>
      <c r="P39" s="24">
        <f t="shared" si="8"/>
        <v>4.4600000000000001E-2</v>
      </c>
      <c r="Q39" s="24">
        <f t="shared" si="8"/>
        <v>0.2117</v>
      </c>
      <c r="R39" s="18">
        <f>ROUND(R47*$Q$39/SUM($Q$37:$Q$44),4)</f>
        <v>0.2162</v>
      </c>
      <c r="S39" s="18">
        <f t="shared" ref="S39:AD39" si="11">ROUND(S47*$Q$39/SUM($Q$37:$Q$44),4)</f>
        <v>0.2208</v>
      </c>
      <c r="T39" s="18">
        <f t="shared" si="11"/>
        <v>0.22559999999999999</v>
      </c>
      <c r="U39" s="18">
        <f t="shared" si="11"/>
        <v>0.23039999999999999</v>
      </c>
      <c r="V39" s="18">
        <f t="shared" si="11"/>
        <v>0.23530000000000001</v>
      </c>
      <c r="W39" s="18">
        <f t="shared" si="11"/>
        <v>0.2404</v>
      </c>
      <c r="X39" s="18">
        <f t="shared" si="11"/>
        <v>0.2455</v>
      </c>
      <c r="Y39" s="18">
        <f t="shared" si="11"/>
        <v>0.25069999999999998</v>
      </c>
      <c r="Z39" s="18">
        <f t="shared" si="11"/>
        <v>0.25609999999999999</v>
      </c>
      <c r="AA39" s="18">
        <f t="shared" si="11"/>
        <v>0.2616</v>
      </c>
      <c r="AB39" s="18">
        <f t="shared" si="11"/>
        <v>0.26719999999999999</v>
      </c>
      <c r="AC39" s="18">
        <f t="shared" si="11"/>
        <v>0.27289999999999998</v>
      </c>
      <c r="AD39" s="18">
        <f t="shared" si="11"/>
        <v>0.2787</v>
      </c>
    </row>
    <row r="40" spans="2:30" x14ac:dyDescent="0.3">
      <c r="D40" s="2" t="s">
        <v>77</v>
      </c>
      <c r="E40" s="18">
        <f t="shared" si="8"/>
        <v>0</v>
      </c>
      <c r="F40" s="20">
        <f t="shared" si="8"/>
        <v>8.9999999999999998E-4</v>
      </c>
      <c r="G40" s="18">
        <f t="shared" si="8"/>
        <v>1.8E-3</v>
      </c>
      <c r="H40" s="20">
        <f t="shared" si="8"/>
        <v>1.8E-3</v>
      </c>
      <c r="I40" s="18">
        <f t="shared" si="8"/>
        <v>1.8E-3</v>
      </c>
      <c r="J40" s="20">
        <f t="shared" si="8"/>
        <v>8.9999999999999998E-4</v>
      </c>
      <c r="K40" s="18">
        <f t="shared" si="8"/>
        <v>0</v>
      </c>
      <c r="L40" s="20">
        <f t="shared" si="8"/>
        <v>1.5E-3</v>
      </c>
      <c r="M40" s="18">
        <f t="shared" si="8"/>
        <v>3.0999999999999999E-3</v>
      </c>
      <c r="N40" s="24">
        <f t="shared" si="8"/>
        <v>5.7999999999999996E-3</v>
      </c>
      <c r="O40" s="24">
        <f t="shared" si="8"/>
        <v>8.5000000000000006E-3</v>
      </c>
      <c r="P40" s="24">
        <f t="shared" si="8"/>
        <v>1.1999999999999999E-3</v>
      </c>
      <c r="Q40" s="24">
        <f t="shared" si="8"/>
        <v>1.6999999999999999E-3</v>
      </c>
      <c r="R40" s="18">
        <f>ROUND(R47*$Q$40/SUM($Q$37:$Q$44),4)</f>
        <v>1.6999999999999999E-3</v>
      </c>
      <c r="S40" s="18">
        <f t="shared" ref="S40:AD40" si="12">ROUND(S47*$Q$40/SUM($Q$37:$Q$44),4)</f>
        <v>1.8E-3</v>
      </c>
      <c r="T40" s="18">
        <f t="shared" si="12"/>
        <v>1.8E-3</v>
      </c>
      <c r="U40" s="18">
        <f t="shared" si="12"/>
        <v>1.9E-3</v>
      </c>
      <c r="V40" s="18">
        <f t="shared" si="12"/>
        <v>1.9E-3</v>
      </c>
      <c r="W40" s="18">
        <f t="shared" si="12"/>
        <v>1.9E-3</v>
      </c>
      <c r="X40" s="18">
        <f t="shared" si="12"/>
        <v>2E-3</v>
      </c>
      <c r="Y40" s="18">
        <f t="shared" si="12"/>
        <v>2E-3</v>
      </c>
      <c r="Z40" s="18">
        <f t="shared" si="12"/>
        <v>2.0999999999999999E-3</v>
      </c>
      <c r="AA40" s="18">
        <f t="shared" si="12"/>
        <v>2.0999999999999999E-3</v>
      </c>
      <c r="AB40" s="18">
        <f t="shared" si="12"/>
        <v>2.0999999999999999E-3</v>
      </c>
      <c r="AC40" s="18">
        <f t="shared" si="12"/>
        <v>2.2000000000000001E-3</v>
      </c>
      <c r="AD40" s="18">
        <f t="shared" si="12"/>
        <v>2.2000000000000001E-3</v>
      </c>
    </row>
    <row r="41" spans="2:30" x14ac:dyDescent="0.3">
      <c r="D41" s="2" t="s">
        <v>78</v>
      </c>
      <c r="E41" s="18">
        <f t="shared" si="8"/>
        <v>2.98E-2</v>
      </c>
      <c r="F41" s="20">
        <f t="shared" si="8"/>
        <v>3.1699999999999999E-2</v>
      </c>
      <c r="G41" s="18">
        <f t="shared" si="8"/>
        <v>3.3599999999999998E-2</v>
      </c>
      <c r="H41" s="20">
        <f t="shared" si="8"/>
        <v>3.5700000000000003E-2</v>
      </c>
      <c r="I41" s="18">
        <f t="shared" si="8"/>
        <v>3.78E-2</v>
      </c>
      <c r="J41" s="20">
        <f t="shared" si="8"/>
        <v>4.0399999999999998E-2</v>
      </c>
      <c r="K41" s="18">
        <f t="shared" si="8"/>
        <v>4.2900000000000001E-2</v>
      </c>
      <c r="L41" s="20">
        <f t="shared" si="8"/>
        <v>4.9599999999999998E-2</v>
      </c>
      <c r="M41" s="18">
        <f t="shared" si="8"/>
        <v>5.6399999999999999E-2</v>
      </c>
      <c r="N41" s="24">
        <f t="shared" si="8"/>
        <v>4.5900000000000003E-2</v>
      </c>
      <c r="O41" s="24">
        <f t="shared" si="8"/>
        <v>3.5400000000000001E-2</v>
      </c>
      <c r="P41" s="24">
        <f t="shared" si="8"/>
        <v>7.7899999999999997E-2</v>
      </c>
      <c r="Q41" s="24">
        <f t="shared" si="8"/>
        <v>8.0100000000000005E-2</v>
      </c>
      <c r="R41" s="18">
        <f>ROUND(R47*$Q$41/SUM($Q$37:$Q$44),4)</f>
        <v>8.1799999999999998E-2</v>
      </c>
      <c r="S41" s="18">
        <f t="shared" ref="S41:AD41" si="13">ROUND(S47*$Q$41/SUM($Q$37:$Q$44),4)</f>
        <v>8.3599999999999994E-2</v>
      </c>
      <c r="T41" s="18">
        <f t="shared" si="13"/>
        <v>8.5300000000000001E-2</v>
      </c>
      <c r="U41" s="18">
        <f t="shared" si="13"/>
        <v>8.72E-2</v>
      </c>
      <c r="V41" s="18">
        <f t="shared" si="13"/>
        <v>8.8999999999999996E-2</v>
      </c>
      <c r="W41" s="18">
        <f t="shared" si="13"/>
        <v>9.0899999999999995E-2</v>
      </c>
      <c r="X41" s="18">
        <f t="shared" si="13"/>
        <v>9.2899999999999996E-2</v>
      </c>
      <c r="Y41" s="18">
        <f t="shared" si="13"/>
        <v>9.4899999999999998E-2</v>
      </c>
      <c r="Z41" s="18">
        <f t="shared" si="13"/>
        <v>9.69E-2</v>
      </c>
      <c r="AA41" s="18">
        <f t="shared" si="13"/>
        <v>9.9000000000000005E-2</v>
      </c>
      <c r="AB41" s="18">
        <f t="shared" si="13"/>
        <v>0.1011</v>
      </c>
      <c r="AC41" s="18">
        <f t="shared" si="13"/>
        <v>0.1032</v>
      </c>
      <c r="AD41" s="18">
        <f t="shared" si="13"/>
        <v>0.1055</v>
      </c>
    </row>
    <row r="42" spans="2:30" x14ac:dyDescent="0.3">
      <c r="D42" s="2" t="s">
        <v>79</v>
      </c>
      <c r="E42" s="18">
        <f t="shared" si="8"/>
        <v>1.2999999999999999E-3</v>
      </c>
      <c r="F42" s="20">
        <f t="shared" si="8"/>
        <v>1.6000000000000001E-3</v>
      </c>
      <c r="G42" s="18">
        <f t="shared" si="8"/>
        <v>1.9E-3</v>
      </c>
      <c r="H42" s="20">
        <f t="shared" si="8"/>
        <v>2.3E-3</v>
      </c>
      <c r="I42" s="18">
        <f t="shared" si="8"/>
        <v>2.7000000000000001E-3</v>
      </c>
      <c r="J42" s="20">
        <f t="shared" si="8"/>
        <v>2.8999999999999998E-3</v>
      </c>
      <c r="K42" s="18">
        <f t="shared" si="8"/>
        <v>3.0000000000000001E-3</v>
      </c>
      <c r="L42" s="20">
        <f t="shared" si="8"/>
        <v>3.5000000000000001E-3</v>
      </c>
      <c r="M42" s="18">
        <f t="shared" si="8"/>
        <v>4.0000000000000001E-3</v>
      </c>
      <c r="N42" s="24">
        <f t="shared" si="8"/>
        <v>7.0000000000000001E-3</v>
      </c>
      <c r="O42" s="24">
        <f t="shared" si="8"/>
        <v>0.01</v>
      </c>
      <c r="P42" s="24">
        <f t="shared" si="8"/>
        <v>8.6999999999999994E-3</v>
      </c>
      <c r="Q42" s="24">
        <f t="shared" si="8"/>
        <v>6.6E-3</v>
      </c>
      <c r="R42" s="18">
        <f>ROUND(R47*$Q$42/SUM($Q$37:$Q$44),4)</f>
        <v>6.7000000000000002E-3</v>
      </c>
      <c r="S42" s="18">
        <f t="shared" ref="S42:AD42" si="14">ROUND(S47*$Q$42/SUM($Q$37:$Q$44),4)</f>
        <v>6.8999999999999999E-3</v>
      </c>
      <c r="T42" s="18">
        <f t="shared" si="14"/>
        <v>7.0000000000000001E-3</v>
      </c>
      <c r="U42" s="18">
        <f t="shared" si="14"/>
        <v>7.1999999999999998E-3</v>
      </c>
      <c r="V42" s="18">
        <f t="shared" si="14"/>
        <v>7.3000000000000001E-3</v>
      </c>
      <c r="W42" s="18">
        <f t="shared" si="14"/>
        <v>7.4999999999999997E-3</v>
      </c>
      <c r="X42" s="18">
        <f t="shared" si="14"/>
        <v>7.7000000000000002E-3</v>
      </c>
      <c r="Y42" s="18">
        <f t="shared" si="14"/>
        <v>7.7999999999999996E-3</v>
      </c>
      <c r="Z42" s="18">
        <f t="shared" si="14"/>
        <v>8.0000000000000002E-3</v>
      </c>
      <c r="AA42" s="18">
        <f t="shared" si="14"/>
        <v>8.2000000000000007E-3</v>
      </c>
      <c r="AB42" s="18">
        <f t="shared" si="14"/>
        <v>8.3000000000000001E-3</v>
      </c>
      <c r="AC42" s="18">
        <f t="shared" si="14"/>
        <v>8.5000000000000006E-3</v>
      </c>
      <c r="AD42" s="18">
        <f t="shared" si="14"/>
        <v>8.6999999999999994E-3</v>
      </c>
    </row>
    <row r="43" spans="2:30" x14ac:dyDescent="0.3">
      <c r="D43" s="4" t="s">
        <v>80</v>
      </c>
      <c r="E43" s="18">
        <f t="shared" si="8"/>
        <v>0</v>
      </c>
      <c r="F43" s="20">
        <f t="shared" si="8"/>
        <v>1E-4</v>
      </c>
      <c r="G43" s="18">
        <f t="shared" si="8"/>
        <v>2.0000000000000001E-4</v>
      </c>
      <c r="H43" s="20">
        <f t="shared" si="8"/>
        <v>2.8E-3</v>
      </c>
      <c r="I43" s="18">
        <f t="shared" si="8"/>
        <v>5.4000000000000003E-3</v>
      </c>
      <c r="J43" s="20">
        <f t="shared" si="8"/>
        <v>5.5999999999999999E-3</v>
      </c>
      <c r="K43" s="18">
        <f t="shared" si="8"/>
        <v>5.7000000000000002E-3</v>
      </c>
      <c r="L43" s="20">
        <f t="shared" si="8"/>
        <v>5.3E-3</v>
      </c>
      <c r="M43" s="18">
        <f t="shared" si="8"/>
        <v>4.8999999999999998E-3</v>
      </c>
      <c r="N43" s="24">
        <f t="shared" si="8"/>
        <v>4.3E-3</v>
      </c>
      <c r="O43" s="24">
        <f t="shared" si="8"/>
        <v>3.7000000000000002E-3</v>
      </c>
      <c r="P43" s="24">
        <f t="shared" si="8"/>
        <v>3.5999999999999999E-3</v>
      </c>
      <c r="Q43" s="24">
        <f t="shared" si="8"/>
        <v>3.0000000000000001E-3</v>
      </c>
      <c r="R43" s="18">
        <f>ROUND(R47*$Q$43/SUM($Q$37:$Q$44),4)</f>
        <v>3.0999999999999999E-3</v>
      </c>
      <c r="S43" s="18">
        <f t="shared" ref="S43:AD43" si="15">ROUND(S47*$Q$43/SUM($Q$37:$Q$44),4)</f>
        <v>3.0999999999999999E-3</v>
      </c>
      <c r="T43" s="18">
        <f t="shared" si="15"/>
        <v>3.2000000000000002E-3</v>
      </c>
      <c r="U43" s="18">
        <f t="shared" si="15"/>
        <v>3.3E-3</v>
      </c>
      <c r="V43" s="18">
        <f t="shared" si="15"/>
        <v>3.3E-3</v>
      </c>
      <c r="W43" s="18">
        <f t="shared" si="15"/>
        <v>3.3999999999999998E-3</v>
      </c>
      <c r="X43" s="18">
        <f t="shared" si="15"/>
        <v>3.5000000000000001E-3</v>
      </c>
      <c r="Y43" s="18">
        <f t="shared" si="15"/>
        <v>3.5999999999999999E-3</v>
      </c>
      <c r="Z43" s="18">
        <f t="shared" si="15"/>
        <v>3.5999999999999999E-3</v>
      </c>
      <c r="AA43" s="18">
        <f t="shared" si="15"/>
        <v>3.7000000000000002E-3</v>
      </c>
      <c r="AB43" s="18">
        <f t="shared" si="15"/>
        <v>3.8E-3</v>
      </c>
      <c r="AC43" s="18">
        <f t="shared" si="15"/>
        <v>3.8999999999999998E-3</v>
      </c>
      <c r="AD43" s="18">
        <f t="shared" si="15"/>
        <v>3.8999999999999998E-3</v>
      </c>
    </row>
    <row r="44" spans="2:30" x14ac:dyDescent="0.3">
      <c r="D44" s="4" t="s">
        <v>81</v>
      </c>
      <c r="E44" s="18">
        <f t="shared" si="8"/>
        <v>2.9999999999999997E-4</v>
      </c>
      <c r="F44" s="20">
        <f t="shared" si="8"/>
        <v>2.0000000000000001E-4</v>
      </c>
      <c r="G44" s="18">
        <f t="shared" si="8"/>
        <v>0</v>
      </c>
      <c r="H44" s="20">
        <f t="shared" si="8"/>
        <v>2.9999999999999997E-4</v>
      </c>
      <c r="I44" s="18">
        <f t="shared" si="8"/>
        <v>5.0000000000000001E-4</v>
      </c>
      <c r="J44" s="20">
        <f t="shared" si="8"/>
        <v>4.0000000000000002E-4</v>
      </c>
      <c r="K44" s="18">
        <f t="shared" si="8"/>
        <v>4.0000000000000002E-4</v>
      </c>
      <c r="L44" s="20">
        <f t="shared" si="8"/>
        <v>6.9999999999999999E-4</v>
      </c>
      <c r="M44" s="18">
        <f t="shared" si="8"/>
        <v>8.9999999999999998E-4</v>
      </c>
      <c r="N44" s="24">
        <f t="shared" si="8"/>
        <v>5.9999999999999995E-4</v>
      </c>
      <c r="O44" s="24">
        <f t="shared" si="8"/>
        <v>2.9999999999999997E-4</v>
      </c>
      <c r="P44" s="24">
        <f t="shared" si="8"/>
        <v>5.9999999999999995E-4</v>
      </c>
      <c r="Q44" s="24">
        <f t="shared" si="8"/>
        <v>1E-4</v>
      </c>
      <c r="R44" s="18">
        <f>ROUND(R47*$Q$44/SUM($Q$37:$Q$44),4)</f>
        <v>1E-4</v>
      </c>
      <c r="S44" s="18">
        <f t="shared" ref="S44:AD44" si="16">ROUND(S47*$Q$44/SUM($Q$37:$Q$44),4)</f>
        <v>1E-4</v>
      </c>
      <c r="T44" s="18">
        <f t="shared" si="16"/>
        <v>1E-4</v>
      </c>
      <c r="U44" s="18">
        <f t="shared" si="16"/>
        <v>1E-4</v>
      </c>
      <c r="V44" s="18">
        <f t="shared" si="16"/>
        <v>1E-4</v>
      </c>
      <c r="W44" s="18">
        <f t="shared" si="16"/>
        <v>1E-4</v>
      </c>
      <c r="X44" s="18">
        <f t="shared" si="16"/>
        <v>1E-4</v>
      </c>
      <c r="Y44" s="18">
        <f t="shared" si="16"/>
        <v>1E-4</v>
      </c>
      <c r="Z44" s="18">
        <f t="shared" si="16"/>
        <v>1E-4</v>
      </c>
      <c r="AA44" s="18">
        <f t="shared" si="16"/>
        <v>1E-4</v>
      </c>
      <c r="AB44" s="18">
        <f t="shared" si="16"/>
        <v>1E-4</v>
      </c>
      <c r="AC44" s="18">
        <f t="shared" si="16"/>
        <v>1E-4</v>
      </c>
      <c r="AD44" s="18">
        <f t="shared" si="16"/>
        <v>1E-4</v>
      </c>
    </row>
    <row r="45" spans="2:30" x14ac:dyDescent="0.3">
      <c r="D45" s="11" t="s">
        <v>82</v>
      </c>
      <c r="E45" s="21">
        <v>0.17099999999999999</v>
      </c>
      <c r="F45" s="20">
        <f t="shared" si="8"/>
        <v>0.252</v>
      </c>
      <c r="G45" s="21">
        <v>0.25069999999999992</v>
      </c>
      <c r="H45" s="20">
        <f t="shared" si="8"/>
        <v>0.33179999999999998</v>
      </c>
      <c r="I45" s="21">
        <v>0.36759999999999993</v>
      </c>
      <c r="J45" s="20">
        <f t="shared" si="8"/>
        <v>0.42370000000000002</v>
      </c>
      <c r="K45" s="21">
        <v>0.48030000000000012</v>
      </c>
      <c r="L45" s="20">
        <f t="shared" si="8"/>
        <v>0.496</v>
      </c>
      <c r="M45" s="21">
        <v>0.55889999999999995</v>
      </c>
      <c r="N45" s="21">
        <f t="shared" si="8"/>
        <v>0.86109999999999998</v>
      </c>
      <c r="O45" s="21">
        <f t="shared" si="8"/>
        <v>1.2030000000000001</v>
      </c>
      <c r="P45" s="21">
        <f t="shared" si="8"/>
        <v>1.3250999999999999</v>
      </c>
      <c r="Q45" s="21">
        <f t="shared" si="8"/>
        <v>1.9576</v>
      </c>
      <c r="R45" s="22">
        <v>1.5228999999999999</v>
      </c>
      <c r="S45" s="22">
        <v>1.5228999999999999</v>
      </c>
      <c r="T45" s="22">
        <v>1.5228999999999999</v>
      </c>
      <c r="U45" s="22">
        <v>1.5228999999999999</v>
      </c>
      <c r="V45" s="22">
        <v>1.5228999999999999</v>
      </c>
      <c r="W45" s="22">
        <v>1.5228999999999999</v>
      </c>
      <c r="X45" s="22">
        <v>1.5228999999999999</v>
      </c>
      <c r="Y45" s="22">
        <v>1.5228999999999999</v>
      </c>
      <c r="Z45" s="22">
        <v>1.5228999999999999</v>
      </c>
      <c r="AA45" s="22">
        <v>1.5228999999999999</v>
      </c>
      <c r="AB45" s="22">
        <v>1.5228999999999999</v>
      </c>
      <c r="AC45" s="22">
        <v>1.5228999999999999</v>
      </c>
      <c r="AD45" s="22">
        <v>1.5228999999999999</v>
      </c>
    </row>
    <row r="46" spans="2:30" x14ac:dyDescent="0.3"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2:30" x14ac:dyDescent="0.3">
      <c r="D47" t="s">
        <v>20</v>
      </c>
      <c r="E47" s="15">
        <f>SUM(E37:E44)</f>
        <v>0.42350000000000004</v>
      </c>
      <c r="F47" s="15">
        <f t="shared" ref="F47:Q47" si="17">SUM(F37:F44)</f>
        <v>0.52249999999999996</v>
      </c>
      <c r="G47" s="15">
        <f t="shared" si="17"/>
        <v>0.62149999999999994</v>
      </c>
      <c r="H47" s="15">
        <f t="shared" si="17"/>
        <v>0.56979999999999997</v>
      </c>
      <c r="I47" s="15">
        <f t="shared" si="17"/>
        <v>0.51800000000000002</v>
      </c>
      <c r="J47" s="15">
        <f t="shared" si="17"/>
        <v>0.53090000000000004</v>
      </c>
      <c r="K47" s="15">
        <f t="shared" si="17"/>
        <v>0.54369999999999996</v>
      </c>
      <c r="L47" s="15">
        <f t="shared" si="17"/>
        <v>0.46949999999999997</v>
      </c>
      <c r="M47" s="15">
        <f t="shared" si="17"/>
        <v>0.39540000000000003</v>
      </c>
      <c r="N47" s="15">
        <f t="shared" si="17"/>
        <v>0.33960000000000007</v>
      </c>
      <c r="O47" s="15">
        <f t="shared" si="17"/>
        <v>0.28370000000000001</v>
      </c>
      <c r="P47" s="15">
        <f t="shared" si="17"/>
        <v>0.36539999999999989</v>
      </c>
      <c r="Q47" s="15">
        <f t="shared" si="17"/>
        <v>0.4904</v>
      </c>
      <c r="R47" s="26">
        <f>$Q$31*R55</f>
        <v>0.50089210150009511</v>
      </c>
      <c r="S47" s="26">
        <f t="shared" ref="S47:AD47" si="18">$Q$31*S55</f>
        <v>0.51157846238548521</v>
      </c>
      <c r="T47" s="26">
        <f t="shared" si="18"/>
        <v>0.52251334329146604</v>
      </c>
      <c r="U47" s="26">
        <f t="shared" si="18"/>
        <v>0.53369674421803714</v>
      </c>
      <c r="V47" s="26">
        <f t="shared" si="18"/>
        <v>0.54512866516519887</v>
      </c>
      <c r="W47" s="26">
        <f t="shared" si="18"/>
        <v>0.55680910613295109</v>
      </c>
      <c r="X47" s="26">
        <f t="shared" si="18"/>
        <v>0.5686138071109984</v>
      </c>
      <c r="Y47" s="26">
        <f t="shared" si="18"/>
        <v>0.58079128811993153</v>
      </c>
      <c r="Z47" s="26">
        <f t="shared" si="18"/>
        <v>0.59321728914945504</v>
      </c>
      <c r="AA47" s="26">
        <f t="shared" si="18"/>
        <v>0.60589181019956917</v>
      </c>
      <c r="AB47" s="26">
        <f t="shared" si="18"/>
        <v>0.61893911128056889</v>
      </c>
      <c r="AC47" s="26">
        <f t="shared" si="18"/>
        <v>0.63211067237186391</v>
      </c>
      <c r="AD47" s="26">
        <f t="shared" si="18"/>
        <v>0.64565501349404453</v>
      </c>
    </row>
    <row r="48" spans="2:30" x14ac:dyDescent="0.3">
      <c r="E48" s="57">
        <f>(E37+E38+E39+E40+E41+E42+E43+E44)*1000</f>
        <v>423.50000000000006</v>
      </c>
      <c r="F48" s="57">
        <f t="shared" ref="F48:AD48" si="19">(F37+F38+F39+F40+F41+F42+F43+F44)*1000</f>
        <v>522.5</v>
      </c>
      <c r="G48" s="57">
        <f t="shared" si="19"/>
        <v>621.49999999999989</v>
      </c>
      <c r="H48" s="57">
        <f t="shared" si="19"/>
        <v>569.79999999999995</v>
      </c>
      <c r="I48" s="57">
        <f t="shared" si="19"/>
        <v>518</v>
      </c>
      <c r="J48" s="57">
        <f t="shared" si="19"/>
        <v>530.90000000000009</v>
      </c>
      <c r="K48" s="57">
        <f t="shared" si="19"/>
        <v>543.69999999999993</v>
      </c>
      <c r="L48" s="57">
        <f t="shared" si="19"/>
        <v>469.5</v>
      </c>
      <c r="M48" s="57">
        <f t="shared" si="19"/>
        <v>395.40000000000003</v>
      </c>
      <c r="N48" s="57">
        <f t="shared" si="19"/>
        <v>339.60000000000008</v>
      </c>
      <c r="O48" s="57">
        <f t="shared" si="19"/>
        <v>283.7</v>
      </c>
      <c r="P48" s="57">
        <f t="shared" si="19"/>
        <v>365.39999999999986</v>
      </c>
      <c r="Q48" s="57">
        <f t="shared" si="19"/>
        <v>490.4</v>
      </c>
      <c r="R48" s="57">
        <f t="shared" si="19"/>
        <v>500.7999999999999</v>
      </c>
      <c r="S48" s="57">
        <f t="shared" si="19"/>
        <v>511.49999999999994</v>
      </c>
      <c r="T48" s="57">
        <f t="shared" si="19"/>
        <v>522.4</v>
      </c>
      <c r="U48" s="57">
        <f t="shared" si="19"/>
        <v>533.79999999999995</v>
      </c>
      <c r="V48" s="57">
        <f t="shared" si="19"/>
        <v>544.99999999999989</v>
      </c>
      <c r="W48" s="57">
        <f t="shared" si="19"/>
        <v>556.79999999999995</v>
      </c>
      <c r="X48" s="57">
        <f t="shared" si="19"/>
        <v>568.79999999999995</v>
      </c>
      <c r="Y48" s="57">
        <f t="shared" si="19"/>
        <v>580.80000000000007</v>
      </c>
      <c r="Z48" s="57">
        <f t="shared" si="19"/>
        <v>593.30000000000007</v>
      </c>
      <c r="AA48" s="57">
        <f t="shared" si="19"/>
        <v>606</v>
      </c>
      <c r="AB48" s="57">
        <f t="shared" si="19"/>
        <v>618.80000000000007</v>
      </c>
      <c r="AC48" s="57">
        <f t="shared" si="19"/>
        <v>632.09999999999991</v>
      </c>
      <c r="AD48" s="57">
        <f t="shared" si="19"/>
        <v>645.6</v>
      </c>
    </row>
    <row r="49" spans="2:30" x14ac:dyDescent="0.3"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2:30" x14ac:dyDescent="0.3">
      <c r="E50">
        <v>2010</v>
      </c>
      <c r="F50">
        <v>2011</v>
      </c>
      <c r="G50">
        <v>2012</v>
      </c>
      <c r="H50">
        <v>2013</v>
      </c>
      <c r="I50">
        <v>2014</v>
      </c>
      <c r="J50">
        <v>2015</v>
      </c>
      <c r="K50">
        <v>2016</v>
      </c>
      <c r="L50">
        <v>2017</v>
      </c>
      <c r="M50">
        <v>2018</v>
      </c>
      <c r="N50">
        <v>2019</v>
      </c>
      <c r="O50">
        <v>2020</v>
      </c>
      <c r="P50">
        <v>2021</v>
      </c>
      <c r="Q50">
        <v>2022</v>
      </c>
      <c r="R50">
        <v>2023</v>
      </c>
      <c r="S50">
        <v>2024</v>
      </c>
      <c r="T50">
        <v>2025</v>
      </c>
      <c r="U50">
        <v>2026</v>
      </c>
      <c r="V50">
        <v>2027</v>
      </c>
      <c r="W50">
        <v>2028</v>
      </c>
      <c r="X50">
        <v>2029</v>
      </c>
      <c r="Y50">
        <v>2030</v>
      </c>
      <c r="Z50">
        <v>2031</v>
      </c>
      <c r="AA50">
        <v>2032</v>
      </c>
      <c r="AB50">
        <v>2033</v>
      </c>
      <c r="AC50">
        <v>2034</v>
      </c>
      <c r="AD50">
        <v>2035</v>
      </c>
    </row>
    <row r="51" spans="2:30" x14ac:dyDescent="0.3">
      <c r="B51" t="s">
        <v>85</v>
      </c>
      <c r="C51" t="s">
        <v>65</v>
      </c>
      <c r="D51" s="16" t="s">
        <v>20</v>
      </c>
      <c r="E51" s="19">
        <v>423.4</v>
      </c>
      <c r="F51" s="19">
        <v>522.5</v>
      </c>
      <c r="G51" s="19">
        <v>621.6</v>
      </c>
      <c r="H51" s="19">
        <v>569.9</v>
      </c>
      <c r="I51" s="19">
        <v>518.20000000000005</v>
      </c>
      <c r="J51" s="19">
        <v>530.9</v>
      </c>
      <c r="K51" s="19">
        <v>543.70000000000005</v>
      </c>
      <c r="L51" s="19">
        <v>469.4</v>
      </c>
      <c r="M51" s="19">
        <v>395.1</v>
      </c>
      <c r="N51" s="19">
        <v>397.5</v>
      </c>
      <c r="O51" s="19">
        <v>374.8</v>
      </c>
      <c r="P51" s="19">
        <v>386.4</v>
      </c>
      <c r="Q51" s="19">
        <v>394.6</v>
      </c>
      <c r="R51" s="17">
        <v>403.1</v>
      </c>
      <c r="S51" s="17">
        <v>411.7</v>
      </c>
      <c r="T51" s="17">
        <v>420.5</v>
      </c>
      <c r="U51" s="17">
        <v>429.5</v>
      </c>
      <c r="V51" s="17">
        <v>438.7</v>
      </c>
      <c r="W51" s="17">
        <v>448.1</v>
      </c>
      <c r="X51" s="17">
        <v>457.6</v>
      </c>
      <c r="Y51" s="17">
        <v>467.4</v>
      </c>
      <c r="Z51" s="17">
        <v>477.4</v>
      </c>
      <c r="AA51" s="17">
        <v>487.6</v>
      </c>
      <c r="AB51" s="17">
        <v>498.1</v>
      </c>
      <c r="AC51" s="17">
        <v>508.7</v>
      </c>
      <c r="AD51" s="17">
        <v>519.6</v>
      </c>
    </row>
    <row r="52" spans="2:30" x14ac:dyDescent="0.3">
      <c r="C52" t="s">
        <v>68</v>
      </c>
      <c r="D52" s="16" t="s">
        <v>20</v>
      </c>
      <c r="E52" s="20">
        <f>E51/1000</f>
        <v>0.4234</v>
      </c>
      <c r="F52" s="20">
        <f t="shared" ref="F52:AD52" si="20">F51/1000</f>
        <v>0.52249999999999996</v>
      </c>
      <c r="G52" s="20">
        <f t="shared" si="20"/>
        <v>0.62160000000000004</v>
      </c>
      <c r="H52" s="20">
        <f t="shared" si="20"/>
        <v>0.56989999999999996</v>
      </c>
      <c r="I52" s="20">
        <f t="shared" si="20"/>
        <v>0.51819999999999999</v>
      </c>
      <c r="J52" s="20">
        <f t="shared" si="20"/>
        <v>0.53089999999999993</v>
      </c>
      <c r="K52" s="20">
        <f t="shared" si="20"/>
        <v>0.54370000000000007</v>
      </c>
      <c r="L52" s="20">
        <f t="shared" si="20"/>
        <v>0.46939999999999998</v>
      </c>
      <c r="M52" s="20">
        <f t="shared" si="20"/>
        <v>0.39510000000000001</v>
      </c>
      <c r="N52" s="20">
        <f t="shared" si="20"/>
        <v>0.39750000000000002</v>
      </c>
      <c r="O52" s="20">
        <f t="shared" si="20"/>
        <v>0.37480000000000002</v>
      </c>
      <c r="P52" s="20">
        <f t="shared" si="20"/>
        <v>0.38639999999999997</v>
      </c>
      <c r="Q52" s="20">
        <f t="shared" si="20"/>
        <v>0.39460000000000001</v>
      </c>
      <c r="R52" s="18">
        <f t="shared" si="20"/>
        <v>0.40310000000000001</v>
      </c>
      <c r="S52" s="18">
        <f t="shared" si="20"/>
        <v>0.41170000000000001</v>
      </c>
      <c r="T52" s="18">
        <f t="shared" si="20"/>
        <v>0.42049999999999998</v>
      </c>
      <c r="U52" s="18">
        <f t="shared" si="20"/>
        <v>0.42949999999999999</v>
      </c>
      <c r="V52" s="18">
        <f t="shared" si="20"/>
        <v>0.43869999999999998</v>
      </c>
      <c r="W52" s="18">
        <f t="shared" si="20"/>
        <v>0.4481</v>
      </c>
      <c r="X52" s="18">
        <f t="shared" si="20"/>
        <v>0.45760000000000001</v>
      </c>
      <c r="Y52" s="18">
        <f t="shared" si="20"/>
        <v>0.46739999999999998</v>
      </c>
      <c r="Z52" s="18">
        <f t="shared" si="20"/>
        <v>0.47739999999999999</v>
      </c>
      <c r="AA52" s="18">
        <f t="shared" si="20"/>
        <v>0.48760000000000003</v>
      </c>
      <c r="AB52" s="18">
        <f t="shared" si="20"/>
        <v>0.49810000000000004</v>
      </c>
      <c r="AC52" s="18">
        <f t="shared" si="20"/>
        <v>0.50870000000000004</v>
      </c>
      <c r="AD52" s="18">
        <f t="shared" si="20"/>
        <v>0.51960000000000006</v>
      </c>
    </row>
    <row r="55" spans="2:30" x14ac:dyDescent="0.3">
      <c r="B55" t="s">
        <v>86</v>
      </c>
      <c r="Q55">
        <f>Q51/$Q$51</f>
        <v>1</v>
      </c>
      <c r="R55" s="26">
        <f>R51/$Q$51</f>
        <v>1.0215408008109479</v>
      </c>
      <c r="S55" s="26">
        <f t="shared" ref="S55:AD55" si="21">S51/$Q$51</f>
        <v>1.0433350228079066</v>
      </c>
      <c r="T55" s="26">
        <f t="shared" si="21"/>
        <v>1.065636087176888</v>
      </c>
      <c r="U55" s="26">
        <f t="shared" si="21"/>
        <v>1.0884439939178914</v>
      </c>
      <c r="V55" s="26">
        <f t="shared" si="21"/>
        <v>1.1117587430309173</v>
      </c>
      <c r="W55" s="26">
        <f t="shared" si="21"/>
        <v>1.1355803345159656</v>
      </c>
      <c r="X55" s="26">
        <f t="shared" si="21"/>
        <v>1.1596553471870248</v>
      </c>
      <c r="Y55" s="26">
        <f t="shared" si="21"/>
        <v>1.1844906234161174</v>
      </c>
      <c r="Z55" s="26">
        <f t="shared" si="21"/>
        <v>1.2098327420172326</v>
      </c>
      <c r="AA55" s="26">
        <f t="shared" si="21"/>
        <v>1.2356817029903699</v>
      </c>
      <c r="AB55" s="26">
        <f t="shared" si="21"/>
        <v>1.2622909275215408</v>
      </c>
      <c r="AC55" s="26">
        <f t="shared" si="21"/>
        <v>1.2891535732387227</v>
      </c>
      <c r="AD55" s="26">
        <f t="shared" si="21"/>
        <v>1.3167764825139381</v>
      </c>
    </row>
    <row r="57" spans="2:30" s="25" customFormat="1" ht="15" thickBot="1" x14ac:dyDescent="0.35"/>
    <row r="58" spans="2:30" hidden="1" x14ac:dyDescent="0.3"/>
    <row r="59" spans="2:30" hidden="1" x14ac:dyDescent="0.3">
      <c r="B59" t="s">
        <v>68</v>
      </c>
      <c r="D59" s="1" t="s">
        <v>72</v>
      </c>
      <c r="E59" s="6">
        <v>2010</v>
      </c>
      <c r="F59" s="5">
        <v>2011</v>
      </c>
      <c r="G59" s="6">
        <v>2012</v>
      </c>
      <c r="H59" s="5">
        <v>2013</v>
      </c>
      <c r="I59" s="6">
        <v>2014</v>
      </c>
      <c r="J59" s="5">
        <v>2015</v>
      </c>
      <c r="K59" s="6">
        <v>2016</v>
      </c>
      <c r="L59" s="5">
        <v>2017</v>
      </c>
      <c r="M59" s="6">
        <v>2018</v>
      </c>
      <c r="N59" s="1">
        <v>2019</v>
      </c>
      <c r="O59" s="1">
        <v>2020</v>
      </c>
      <c r="P59" s="1">
        <v>2021</v>
      </c>
      <c r="Q59" s="1">
        <v>2022</v>
      </c>
      <c r="R59" s="1">
        <v>2023</v>
      </c>
      <c r="S59" s="1">
        <v>2024</v>
      </c>
      <c r="T59" s="1">
        <v>2025</v>
      </c>
      <c r="U59" s="1">
        <v>2026</v>
      </c>
      <c r="V59" s="1">
        <v>2027</v>
      </c>
      <c r="W59" s="1">
        <v>2028</v>
      </c>
      <c r="X59" s="1">
        <v>2029</v>
      </c>
      <c r="Y59" s="1">
        <v>2030</v>
      </c>
      <c r="Z59" s="1">
        <v>2031</v>
      </c>
      <c r="AA59" s="1">
        <v>2032</v>
      </c>
      <c r="AB59" s="1">
        <v>2033</v>
      </c>
      <c r="AC59" s="1">
        <v>2034</v>
      </c>
      <c r="AD59" s="1">
        <v>2035</v>
      </c>
    </row>
    <row r="60" spans="2:30" hidden="1" x14ac:dyDescent="0.3">
      <c r="B60" s="85" t="s">
        <v>87</v>
      </c>
      <c r="D60" s="9" t="s">
        <v>73</v>
      </c>
      <c r="E60" s="21">
        <f>ROUNDUP(E20,4)</f>
        <v>1.782</v>
      </c>
      <c r="F60" s="21"/>
      <c r="G60" s="21">
        <f t="shared" ref="F60:Q69" si="22">ROUNDUP(G20,4)</f>
        <v>1.7877000000000001</v>
      </c>
      <c r="H60" s="21"/>
      <c r="I60" s="21">
        <f t="shared" si="22"/>
        <v>1.8849</v>
      </c>
      <c r="J60" s="21"/>
      <c r="K60" s="21">
        <f t="shared" si="22"/>
        <v>1.7507999999999999</v>
      </c>
      <c r="L60" s="21"/>
      <c r="M60" s="21">
        <f t="shared" si="22"/>
        <v>2.0291000000000001</v>
      </c>
      <c r="N60" s="21">
        <f t="shared" si="22"/>
        <v>0</v>
      </c>
      <c r="O60" s="21">
        <f t="shared" si="22"/>
        <v>1.3479000000000001</v>
      </c>
      <c r="P60" s="21">
        <f t="shared" si="22"/>
        <v>1.9649000000000001</v>
      </c>
      <c r="Q60" s="21">
        <f t="shared" si="22"/>
        <v>1.7979000000000001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2:30" hidden="1" x14ac:dyDescent="0.3">
      <c r="D61" s="2" t="s">
        <v>74</v>
      </c>
      <c r="E61" s="18">
        <f t="shared" ref="E61:Q69" si="23">ROUNDUP(E21,4)</f>
        <v>6.6500000000000004E-2</v>
      </c>
      <c r="F61" s="20">
        <f t="shared" si="23"/>
        <v>6.9199999999999998E-2</v>
      </c>
      <c r="G61" s="18">
        <f t="shared" si="23"/>
        <v>7.1900000000000006E-2</v>
      </c>
      <c r="H61" s="20">
        <f t="shared" si="23"/>
        <v>7.4300000000000005E-2</v>
      </c>
      <c r="I61" s="18">
        <f t="shared" si="23"/>
        <v>7.6600000000000001E-2</v>
      </c>
      <c r="J61" s="20">
        <f t="shared" si="23"/>
        <v>8.5199999999999998E-2</v>
      </c>
      <c r="K61" s="18">
        <f t="shared" si="23"/>
        <v>9.3800000000000008E-2</v>
      </c>
      <c r="L61" s="20">
        <f t="shared" si="23"/>
        <v>0.10050000000000001</v>
      </c>
      <c r="M61" s="18">
        <f t="shared" si="23"/>
        <v>0.1072</v>
      </c>
      <c r="N61" s="24">
        <f t="shared" si="23"/>
        <v>0.1144</v>
      </c>
      <c r="O61" s="24">
        <f t="shared" si="23"/>
        <v>0.1216</v>
      </c>
      <c r="P61" s="24">
        <f t="shared" si="23"/>
        <v>0.21989999999999998</v>
      </c>
      <c r="Q61" s="24">
        <f t="shared" si="23"/>
        <v>0.17909999999999998</v>
      </c>
      <c r="R61" s="18">
        <f>ROUNDUP(R71*$Q$37/SUM($Q$37:$Q$44),4)</f>
        <v>0.183</v>
      </c>
      <c r="S61" s="18">
        <f t="shared" ref="S61:AD61" si="24">ROUNDUP(S71*$Q$37/SUM($Q$37:$Q$44),4)</f>
        <v>0.18689999999999998</v>
      </c>
      <c r="T61" s="18">
        <f t="shared" si="24"/>
        <v>0.19089999999999999</v>
      </c>
      <c r="U61" s="18">
        <f t="shared" si="24"/>
        <v>0.19499999999999998</v>
      </c>
      <c r="V61" s="18">
        <f t="shared" si="24"/>
        <v>0.1991</v>
      </c>
      <c r="W61" s="18">
        <f t="shared" si="24"/>
        <v>0.2034</v>
      </c>
      <c r="X61" s="18">
        <f t="shared" si="24"/>
        <v>0.2077</v>
      </c>
      <c r="Y61" s="18">
        <f t="shared" si="24"/>
        <v>0.2122</v>
      </c>
      <c r="Z61" s="18">
        <f t="shared" si="24"/>
        <v>0.21669999999999998</v>
      </c>
      <c r="AA61" s="18">
        <f t="shared" si="24"/>
        <v>0.2213</v>
      </c>
      <c r="AB61" s="18">
        <f t="shared" si="24"/>
        <v>0.2261</v>
      </c>
      <c r="AC61" s="18">
        <f t="shared" si="24"/>
        <v>0.23089999999999999</v>
      </c>
      <c r="AD61" s="18">
        <f t="shared" si="24"/>
        <v>0.2359</v>
      </c>
    </row>
    <row r="62" spans="2:30" hidden="1" x14ac:dyDescent="0.3">
      <c r="D62" s="2" t="s">
        <v>75</v>
      </c>
      <c r="E62" s="18">
        <f t="shared" si="23"/>
        <v>7.6E-3</v>
      </c>
      <c r="F62" s="20">
        <f t="shared" si="22"/>
        <v>9.1999999999999998E-3</v>
      </c>
      <c r="G62" s="18">
        <f t="shared" si="22"/>
        <v>1.09E-2</v>
      </c>
      <c r="H62" s="20">
        <f t="shared" si="22"/>
        <v>1.26E-2</v>
      </c>
      <c r="I62" s="18">
        <f t="shared" si="22"/>
        <v>1.43E-2</v>
      </c>
      <c r="J62" s="20">
        <f t="shared" si="22"/>
        <v>1.26E-2</v>
      </c>
      <c r="K62" s="18">
        <f t="shared" si="22"/>
        <v>1.0799999999999999E-2</v>
      </c>
      <c r="L62" s="20">
        <f t="shared" si="22"/>
        <v>1.2499999999999999E-2</v>
      </c>
      <c r="M62" s="18">
        <f t="shared" si="22"/>
        <v>1.4199999999999999E-2</v>
      </c>
      <c r="N62" s="24">
        <f t="shared" si="22"/>
        <v>9.4999999999999998E-3</v>
      </c>
      <c r="O62" s="24">
        <f t="shared" si="22"/>
        <v>4.8000000000000004E-3</v>
      </c>
      <c r="P62" s="24">
        <f t="shared" si="22"/>
        <v>8.9999999999999993E-3</v>
      </c>
      <c r="Q62" s="24">
        <f t="shared" si="22"/>
        <v>8.199999999999999E-3</v>
      </c>
      <c r="R62" s="18">
        <f>ROUNDUP(R71*$Q$38/SUM($Q$37:$Q$44),4)</f>
        <v>8.3000000000000001E-3</v>
      </c>
      <c r="S62" s="18">
        <f t="shared" ref="S62:AD62" si="25">ROUNDUP(S71*$Q$38/SUM($Q$37:$Q$44),4)</f>
        <v>8.4999999999999989E-3</v>
      </c>
      <c r="T62" s="18">
        <f t="shared" si="25"/>
        <v>8.6999999999999994E-3</v>
      </c>
      <c r="U62" s="18">
        <f t="shared" si="25"/>
        <v>8.8999999999999999E-3</v>
      </c>
      <c r="V62" s="18">
        <f t="shared" si="25"/>
        <v>9.0999999999999987E-3</v>
      </c>
      <c r="W62" s="18">
        <f t="shared" si="25"/>
        <v>9.1999999999999998E-3</v>
      </c>
      <c r="X62" s="18">
        <f t="shared" si="25"/>
        <v>9.3999999999999986E-3</v>
      </c>
      <c r="Y62" s="18">
        <f t="shared" si="25"/>
        <v>9.5999999999999992E-3</v>
      </c>
      <c r="Z62" s="18">
        <f t="shared" si="25"/>
        <v>9.7999999999999997E-3</v>
      </c>
      <c r="AA62" s="18">
        <f t="shared" si="25"/>
        <v>1.01E-2</v>
      </c>
      <c r="AB62" s="18">
        <f t="shared" si="25"/>
        <v>1.03E-2</v>
      </c>
      <c r="AC62" s="18">
        <f t="shared" si="25"/>
        <v>1.0499999999999999E-2</v>
      </c>
      <c r="AD62" s="18">
        <f t="shared" si="25"/>
        <v>1.0699999999999999E-2</v>
      </c>
    </row>
    <row r="63" spans="2:30" hidden="1" x14ac:dyDescent="0.3">
      <c r="D63" s="2" t="s">
        <v>76</v>
      </c>
      <c r="E63" s="18">
        <f t="shared" si="23"/>
        <v>0.31809999999999999</v>
      </c>
      <c r="F63" s="20">
        <f t="shared" si="22"/>
        <v>0.40970000000000001</v>
      </c>
      <c r="G63" s="18">
        <f t="shared" si="22"/>
        <v>0.50129999999999997</v>
      </c>
      <c r="H63" s="20">
        <f t="shared" si="22"/>
        <v>0.44009999999999999</v>
      </c>
      <c r="I63" s="18">
        <f t="shared" si="22"/>
        <v>0.379</v>
      </c>
      <c r="J63" s="20">
        <f t="shared" si="22"/>
        <v>0.3831</v>
      </c>
      <c r="K63" s="18">
        <f t="shared" si="22"/>
        <v>0.38719999999999999</v>
      </c>
      <c r="L63" s="20">
        <f t="shared" si="22"/>
        <v>0.29609999999999997</v>
      </c>
      <c r="M63" s="18">
        <f t="shared" si="22"/>
        <v>0.2049</v>
      </c>
      <c r="N63" s="24">
        <f t="shared" si="22"/>
        <v>0.1522</v>
      </c>
      <c r="O63" s="24">
        <f t="shared" si="22"/>
        <v>9.9500000000000005E-2</v>
      </c>
      <c r="P63" s="24">
        <f t="shared" si="22"/>
        <v>4.4600000000000001E-2</v>
      </c>
      <c r="Q63" s="24">
        <f t="shared" si="22"/>
        <v>0.2117</v>
      </c>
      <c r="R63" s="18">
        <f>ROUNDUP(R71*$Q$39/SUM($Q$37:$Q$44),4)</f>
        <v>0.21629999999999999</v>
      </c>
      <c r="S63" s="18">
        <f t="shared" ref="S63:AD63" si="26">ROUNDUP(S71*$Q$39/SUM($Q$37:$Q$44),4)</f>
        <v>0.22089999999999999</v>
      </c>
      <c r="T63" s="18">
        <f t="shared" si="26"/>
        <v>0.22559999999999999</v>
      </c>
      <c r="U63" s="18">
        <f t="shared" si="26"/>
        <v>0.23039999999999999</v>
      </c>
      <c r="V63" s="18">
        <f t="shared" si="26"/>
        <v>0.2354</v>
      </c>
      <c r="W63" s="18">
        <f t="shared" si="26"/>
        <v>0.2404</v>
      </c>
      <c r="X63" s="18">
        <f t="shared" si="26"/>
        <v>0.2455</v>
      </c>
      <c r="Y63" s="18">
        <f t="shared" si="26"/>
        <v>0.25079999999999997</v>
      </c>
      <c r="Z63" s="18">
        <f t="shared" si="26"/>
        <v>0.25609999999999999</v>
      </c>
      <c r="AA63" s="18">
        <f t="shared" si="26"/>
        <v>0.2616</v>
      </c>
      <c r="AB63" s="18">
        <f t="shared" si="26"/>
        <v>0.26719999999999999</v>
      </c>
      <c r="AC63" s="18">
        <f t="shared" si="26"/>
        <v>0.27289999999999998</v>
      </c>
      <c r="AD63" s="18">
        <f t="shared" si="26"/>
        <v>0.27879999999999999</v>
      </c>
    </row>
    <row r="64" spans="2:30" hidden="1" x14ac:dyDescent="0.3">
      <c r="D64" s="2" t="s">
        <v>77</v>
      </c>
      <c r="E64" s="18">
        <f t="shared" si="23"/>
        <v>-1E-4</v>
      </c>
      <c r="F64" s="20">
        <f t="shared" si="22"/>
        <v>9.0000000000000008E-4</v>
      </c>
      <c r="G64" s="18">
        <f t="shared" si="22"/>
        <v>1.8E-3</v>
      </c>
      <c r="H64" s="20">
        <f t="shared" si="22"/>
        <v>1.8E-3</v>
      </c>
      <c r="I64" s="18">
        <f t="shared" si="22"/>
        <v>1.8E-3</v>
      </c>
      <c r="J64" s="20">
        <f t="shared" si="22"/>
        <v>8.9999999999999998E-4</v>
      </c>
      <c r="K64" s="18">
        <f t="shared" si="22"/>
        <v>0</v>
      </c>
      <c r="L64" s="20">
        <f t="shared" si="22"/>
        <v>1.6000000000000001E-3</v>
      </c>
      <c r="M64" s="18">
        <f t="shared" si="22"/>
        <v>3.0999999999999999E-3</v>
      </c>
      <c r="N64" s="24">
        <f t="shared" si="22"/>
        <v>5.8000000000000005E-3</v>
      </c>
      <c r="O64" s="24">
        <f t="shared" si="22"/>
        <v>8.4999999999999989E-3</v>
      </c>
      <c r="P64" s="24">
        <f t="shared" si="22"/>
        <v>1.2999999999999999E-3</v>
      </c>
      <c r="Q64" s="24">
        <f t="shared" si="22"/>
        <v>1.7000000000000001E-3</v>
      </c>
      <c r="R64" s="18">
        <f>ROUNDUP(R71*$Q$40/SUM($Q$37:$Q$44),4)</f>
        <v>1.8E-3</v>
      </c>
      <c r="S64" s="18">
        <f t="shared" ref="S64:AD64" si="27">ROUNDUP(S71*$Q$40/SUM($Q$37:$Q$44),4)</f>
        <v>1.8E-3</v>
      </c>
      <c r="T64" s="18">
        <f t="shared" si="27"/>
        <v>1.9E-3</v>
      </c>
      <c r="U64" s="18">
        <f t="shared" si="27"/>
        <v>1.9E-3</v>
      </c>
      <c r="V64" s="18">
        <f t="shared" si="27"/>
        <v>1.9E-3</v>
      </c>
      <c r="W64" s="18">
        <f t="shared" si="27"/>
        <v>2E-3</v>
      </c>
      <c r="X64" s="18">
        <f t="shared" si="27"/>
        <v>2E-3</v>
      </c>
      <c r="Y64" s="18">
        <f t="shared" si="27"/>
        <v>2.0999999999999999E-3</v>
      </c>
      <c r="Z64" s="18">
        <f t="shared" si="27"/>
        <v>2.0999999999999999E-3</v>
      </c>
      <c r="AA64" s="18">
        <f t="shared" si="27"/>
        <v>2.1999999999999997E-3</v>
      </c>
      <c r="AB64" s="18">
        <f t="shared" si="27"/>
        <v>2.1999999999999997E-3</v>
      </c>
      <c r="AC64" s="18">
        <f t="shared" si="27"/>
        <v>2.1999999999999997E-3</v>
      </c>
      <c r="AD64" s="18">
        <f t="shared" si="27"/>
        <v>2.3E-3</v>
      </c>
    </row>
    <row r="65" spans="2:30" hidden="1" x14ac:dyDescent="0.3">
      <c r="D65" s="2" t="s">
        <v>78</v>
      </c>
      <c r="E65" s="18">
        <f t="shared" si="23"/>
        <v>2.98E-2</v>
      </c>
      <c r="F65" s="20">
        <f t="shared" si="22"/>
        <v>3.1700000000000006E-2</v>
      </c>
      <c r="G65" s="18">
        <f t="shared" si="22"/>
        <v>3.3599999999999998E-2</v>
      </c>
      <c r="H65" s="20">
        <f t="shared" si="22"/>
        <v>3.5800000000000005E-2</v>
      </c>
      <c r="I65" s="18">
        <f t="shared" si="22"/>
        <v>3.7900000000000003E-2</v>
      </c>
      <c r="J65" s="20">
        <f t="shared" si="22"/>
        <v>4.0400000000000005E-2</v>
      </c>
      <c r="K65" s="18">
        <f t="shared" si="22"/>
        <v>4.2900000000000001E-2</v>
      </c>
      <c r="L65" s="20">
        <f t="shared" si="22"/>
        <v>4.9700000000000001E-2</v>
      </c>
      <c r="M65" s="18">
        <f t="shared" si="22"/>
        <v>5.6399999999999999E-2</v>
      </c>
      <c r="N65" s="24">
        <f t="shared" si="22"/>
        <v>4.5900000000000003E-2</v>
      </c>
      <c r="O65" s="24">
        <f t="shared" si="22"/>
        <v>3.5400000000000001E-2</v>
      </c>
      <c r="P65" s="24">
        <f t="shared" si="22"/>
        <v>7.8E-2</v>
      </c>
      <c r="Q65" s="24">
        <f t="shared" si="22"/>
        <v>8.0100000000000005E-2</v>
      </c>
      <c r="R65" s="18">
        <f>ROUNDUP(R71*$Q$41/SUM($Q$37:$Q$44),4)</f>
        <v>8.1900000000000001E-2</v>
      </c>
      <c r="S65" s="18">
        <f t="shared" ref="S65:AD65" si="28">ROUNDUP(S71*$Q$41/SUM($Q$37:$Q$44),4)</f>
        <v>8.3600000000000008E-2</v>
      </c>
      <c r="T65" s="18">
        <f t="shared" si="28"/>
        <v>8.5400000000000004E-2</v>
      </c>
      <c r="U65" s="18">
        <f t="shared" si="28"/>
        <v>8.72E-2</v>
      </c>
      <c r="V65" s="18">
        <f t="shared" si="28"/>
        <v>8.9099999999999999E-2</v>
      </c>
      <c r="W65" s="18">
        <f t="shared" si="28"/>
        <v>9.0999999999999998E-2</v>
      </c>
      <c r="X65" s="18">
        <f t="shared" si="28"/>
        <v>9.2899999999999996E-2</v>
      </c>
      <c r="Y65" s="18">
        <f t="shared" si="28"/>
        <v>9.4899999999999998E-2</v>
      </c>
      <c r="Z65" s="18">
        <f t="shared" si="28"/>
        <v>9.69E-2</v>
      </c>
      <c r="AA65" s="18">
        <f t="shared" si="28"/>
        <v>9.9000000000000005E-2</v>
      </c>
      <c r="AB65" s="18">
        <f t="shared" si="28"/>
        <v>0.10110000000000001</v>
      </c>
      <c r="AC65" s="18">
        <f t="shared" si="28"/>
        <v>0.1033</v>
      </c>
      <c r="AD65" s="18">
        <f t="shared" si="28"/>
        <v>0.1055</v>
      </c>
    </row>
    <row r="66" spans="2:30" hidden="1" x14ac:dyDescent="0.3">
      <c r="D66" s="2" t="s">
        <v>79</v>
      </c>
      <c r="E66" s="18">
        <f t="shared" si="23"/>
        <v>1.2999999999999999E-3</v>
      </c>
      <c r="F66" s="20">
        <f t="shared" si="22"/>
        <v>1.6000000000000001E-3</v>
      </c>
      <c r="G66" s="18">
        <f t="shared" si="22"/>
        <v>1.9E-3</v>
      </c>
      <c r="H66" s="20">
        <f t="shared" si="22"/>
        <v>2.3999999999999998E-3</v>
      </c>
      <c r="I66" s="18">
        <f t="shared" si="22"/>
        <v>2.8E-3</v>
      </c>
      <c r="J66" s="20">
        <f t="shared" si="22"/>
        <v>2.8999999999999998E-3</v>
      </c>
      <c r="K66" s="18">
        <f t="shared" si="22"/>
        <v>3.0999999999999999E-3</v>
      </c>
      <c r="L66" s="20">
        <f t="shared" si="22"/>
        <v>3.5999999999999999E-3</v>
      </c>
      <c r="M66" s="18">
        <f t="shared" si="22"/>
        <v>4.0000000000000001E-3</v>
      </c>
      <c r="N66" s="24">
        <f t="shared" si="22"/>
        <v>7.0000000000000001E-3</v>
      </c>
      <c r="O66" s="24">
        <f t="shared" si="22"/>
        <v>0.01</v>
      </c>
      <c r="P66" s="24">
        <f t="shared" si="22"/>
        <v>8.7999999999999988E-3</v>
      </c>
      <c r="Q66" s="24">
        <f t="shared" si="22"/>
        <v>6.7000000000000002E-3</v>
      </c>
      <c r="R66" s="18">
        <f>ROUNDUP(R71*$Q$42/SUM($Q$37:$Q$44),4)</f>
        <v>6.8000000000000005E-3</v>
      </c>
      <c r="S66" s="18">
        <f t="shared" ref="S66:AD66" si="29">ROUNDUP(S71*$Q$42/SUM($Q$37:$Q$44),4)</f>
        <v>6.8999999999999999E-3</v>
      </c>
      <c r="T66" s="18">
        <f t="shared" si="29"/>
        <v>7.1000000000000004E-3</v>
      </c>
      <c r="U66" s="18">
        <f t="shared" si="29"/>
        <v>7.2000000000000007E-3</v>
      </c>
      <c r="V66" s="18">
        <f t="shared" si="29"/>
        <v>7.4000000000000003E-3</v>
      </c>
      <c r="W66" s="18">
        <f t="shared" si="29"/>
        <v>7.5000000000000006E-3</v>
      </c>
      <c r="X66" s="18">
        <f t="shared" si="29"/>
        <v>7.7000000000000002E-3</v>
      </c>
      <c r="Y66" s="18">
        <f t="shared" si="29"/>
        <v>7.899999999999999E-3</v>
      </c>
      <c r="Z66" s="18">
        <f t="shared" si="29"/>
        <v>8.0000000000000002E-3</v>
      </c>
      <c r="AA66" s="18">
        <f t="shared" si="29"/>
        <v>8.199999999999999E-3</v>
      </c>
      <c r="AB66" s="18">
        <f t="shared" si="29"/>
        <v>8.3999999999999995E-3</v>
      </c>
      <c r="AC66" s="18">
        <f t="shared" si="29"/>
        <v>8.6E-3</v>
      </c>
      <c r="AD66" s="18">
        <f t="shared" si="29"/>
        <v>8.6999999999999994E-3</v>
      </c>
    </row>
    <row r="67" spans="2:30" hidden="1" x14ac:dyDescent="0.3">
      <c r="D67" s="4" t="s">
        <v>80</v>
      </c>
      <c r="E67" s="27">
        <f t="shared" si="23"/>
        <v>-1E-4</v>
      </c>
      <c r="F67" s="20">
        <f t="shared" si="22"/>
        <v>2.0000000000000001E-4</v>
      </c>
      <c r="G67" s="18">
        <f t="shared" si="22"/>
        <v>3.0000000000000003E-4</v>
      </c>
      <c r="H67" s="20">
        <f t="shared" si="22"/>
        <v>2.8999999999999998E-3</v>
      </c>
      <c r="I67" s="18">
        <f t="shared" si="22"/>
        <v>5.5000000000000005E-3</v>
      </c>
      <c r="J67" s="20">
        <f t="shared" si="22"/>
        <v>5.5999999999999999E-3</v>
      </c>
      <c r="K67" s="18">
        <f t="shared" si="22"/>
        <v>5.7000000000000002E-3</v>
      </c>
      <c r="L67" s="20">
        <f t="shared" si="22"/>
        <v>5.4000000000000003E-3</v>
      </c>
      <c r="M67" s="18">
        <f t="shared" si="22"/>
        <v>5.0000000000000001E-3</v>
      </c>
      <c r="N67" s="24">
        <f t="shared" si="22"/>
        <v>4.3E-3</v>
      </c>
      <c r="O67" s="24">
        <f t="shared" si="22"/>
        <v>3.6999999999999997E-3</v>
      </c>
      <c r="P67" s="24">
        <f t="shared" si="22"/>
        <v>3.5999999999999999E-3</v>
      </c>
      <c r="Q67" s="24">
        <f t="shared" si="22"/>
        <v>3.0999999999999999E-3</v>
      </c>
      <c r="R67" s="18">
        <f>ROUNDUP(R71*$Q$43/SUM($Q$37:$Q$44),4)</f>
        <v>3.0999999999999999E-3</v>
      </c>
      <c r="S67" s="18">
        <f t="shared" ref="S67:AD67" si="30">ROUNDUP(S71*$Q$43/SUM($Q$37:$Q$44),4)</f>
        <v>3.1999999999999997E-3</v>
      </c>
      <c r="T67" s="18">
        <f t="shared" si="30"/>
        <v>3.1999999999999997E-3</v>
      </c>
      <c r="U67" s="18">
        <f t="shared" si="30"/>
        <v>3.3E-3</v>
      </c>
      <c r="V67" s="18">
        <f t="shared" si="30"/>
        <v>3.3999999999999998E-3</v>
      </c>
      <c r="W67" s="18">
        <f t="shared" si="30"/>
        <v>3.4999999999999996E-3</v>
      </c>
      <c r="X67" s="18">
        <f t="shared" si="30"/>
        <v>3.4999999999999996E-3</v>
      </c>
      <c r="Y67" s="18">
        <f t="shared" si="30"/>
        <v>3.5999999999999999E-3</v>
      </c>
      <c r="Z67" s="18">
        <f t="shared" si="30"/>
        <v>3.6999999999999997E-3</v>
      </c>
      <c r="AA67" s="18">
        <f t="shared" si="30"/>
        <v>3.8E-3</v>
      </c>
      <c r="AB67" s="18">
        <f t="shared" si="30"/>
        <v>3.8E-3</v>
      </c>
      <c r="AC67" s="18">
        <f t="shared" si="30"/>
        <v>3.8999999999999998E-3</v>
      </c>
      <c r="AD67" s="18">
        <f t="shared" si="30"/>
        <v>4.0000000000000001E-3</v>
      </c>
    </row>
    <row r="68" spans="2:30" hidden="1" x14ac:dyDescent="0.3">
      <c r="D68" s="4" t="s">
        <v>81</v>
      </c>
      <c r="E68" s="18">
        <f t="shared" si="23"/>
        <v>3.0000000000000003E-4</v>
      </c>
      <c r="F68" s="20">
        <f t="shared" si="22"/>
        <v>2.0000000000000001E-4</v>
      </c>
      <c r="G68" s="18">
        <f t="shared" si="22"/>
        <v>1E-4</v>
      </c>
      <c r="H68" s="20">
        <f t="shared" si="22"/>
        <v>3.0000000000000003E-4</v>
      </c>
      <c r="I68" s="18">
        <f t="shared" si="22"/>
        <v>5.0000000000000001E-4</v>
      </c>
      <c r="J68" s="20">
        <f t="shared" si="22"/>
        <v>5.0000000000000001E-4</v>
      </c>
      <c r="K68" s="18">
        <f t="shared" si="22"/>
        <v>3.9999999999999996E-4</v>
      </c>
      <c r="L68" s="20">
        <f t="shared" si="22"/>
        <v>6.9999999999999999E-4</v>
      </c>
      <c r="M68" s="18">
        <f t="shared" si="22"/>
        <v>1E-3</v>
      </c>
      <c r="N68" s="24">
        <f t="shared" si="22"/>
        <v>6.9999999999999999E-4</v>
      </c>
      <c r="O68" s="24">
        <f t="shared" si="22"/>
        <v>3.0000000000000003E-4</v>
      </c>
      <c r="P68" s="24">
        <f t="shared" si="22"/>
        <v>6.0000000000000006E-4</v>
      </c>
      <c r="Q68" s="24">
        <f t="shared" si="22"/>
        <v>2.0000000000000001E-4</v>
      </c>
      <c r="R68" s="18">
        <f>ROUNDUP(R71*$Q$44/SUM($Q$37:$Q$44),4)</f>
        <v>2.0000000000000001E-4</v>
      </c>
      <c r="S68" s="18">
        <f t="shared" ref="S68:AD68" si="31">ROUNDUP(S71*$Q$44/SUM($Q$37:$Q$44),4)</f>
        <v>2.0000000000000001E-4</v>
      </c>
      <c r="T68" s="18">
        <f t="shared" si="31"/>
        <v>2.0000000000000001E-4</v>
      </c>
      <c r="U68" s="18">
        <f t="shared" si="31"/>
        <v>2.0000000000000001E-4</v>
      </c>
      <c r="V68" s="18">
        <f t="shared" si="31"/>
        <v>2.0000000000000001E-4</v>
      </c>
      <c r="W68" s="18">
        <f t="shared" si="31"/>
        <v>2.0000000000000001E-4</v>
      </c>
      <c r="X68" s="18">
        <f t="shared" si="31"/>
        <v>2.0000000000000001E-4</v>
      </c>
      <c r="Y68" s="18">
        <f t="shared" si="31"/>
        <v>2.0000000000000001E-4</v>
      </c>
      <c r="Z68" s="18">
        <f t="shared" si="31"/>
        <v>2.0000000000000001E-4</v>
      </c>
      <c r="AA68" s="18">
        <f t="shared" si="31"/>
        <v>2.0000000000000001E-4</v>
      </c>
      <c r="AB68" s="18">
        <f t="shared" si="31"/>
        <v>2.0000000000000001E-4</v>
      </c>
      <c r="AC68" s="18">
        <f t="shared" si="31"/>
        <v>2.0000000000000001E-4</v>
      </c>
      <c r="AD68" s="18">
        <f t="shared" si="31"/>
        <v>2.0000000000000001E-4</v>
      </c>
    </row>
    <row r="69" spans="2:30" hidden="1" x14ac:dyDescent="0.3">
      <c r="D69" s="11" t="s">
        <v>82</v>
      </c>
      <c r="E69" s="21">
        <f t="shared" si="23"/>
        <v>0.215</v>
      </c>
      <c r="F69" s="21">
        <f t="shared" si="22"/>
        <v>0.25209999999999999</v>
      </c>
      <c r="G69" s="21">
        <f t="shared" si="22"/>
        <v>0.28920000000000001</v>
      </c>
      <c r="H69" s="21">
        <f t="shared" si="22"/>
        <v>0.33179999999999998</v>
      </c>
      <c r="I69" s="21">
        <f t="shared" si="22"/>
        <v>0.3745</v>
      </c>
      <c r="J69" s="21">
        <f t="shared" si="22"/>
        <v>0.42369999999999997</v>
      </c>
      <c r="K69" s="21">
        <f t="shared" si="22"/>
        <v>0.47289999999999999</v>
      </c>
      <c r="L69" s="21">
        <f t="shared" si="22"/>
        <v>0.496</v>
      </c>
      <c r="M69" s="21">
        <f t="shared" si="22"/>
        <v>0.51910000000000001</v>
      </c>
      <c r="N69" s="21">
        <f t="shared" si="22"/>
        <v>0.86109999999999998</v>
      </c>
      <c r="O69" s="21">
        <f t="shared" si="22"/>
        <v>1.2030000000000001</v>
      </c>
      <c r="P69" s="21">
        <f t="shared" si="22"/>
        <v>1.3250999999999999</v>
      </c>
      <c r="Q69" s="21">
        <f t="shared" si="22"/>
        <v>1.9576</v>
      </c>
      <c r="R69" s="22">
        <f>ROUNDUP(R45,4)</f>
        <v>1.5228999999999999</v>
      </c>
      <c r="S69" s="22">
        <f t="shared" ref="S69:AD69" si="32">ROUNDUP(S45,4)</f>
        <v>1.5228999999999999</v>
      </c>
      <c r="T69" s="22">
        <f t="shared" si="32"/>
        <v>1.5228999999999999</v>
      </c>
      <c r="U69" s="22">
        <f t="shared" si="32"/>
        <v>1.5228999999999999</v>
      </c>
      <c r="V69" s="22">
        <f t="shared" si="32"/>
        <v>1.5228999999999999</v>
      </c>
      <c r="W69" s="22">
        <f t="shared" si="32"/>
        <v>1.5228999999999999</v>
      </c>
      <c r="X69" s="22">
        <f t="shared" si="32"/>
        <v>1.5228999999999999</v>
      </c>
      <c r="Y69" s="22">
        <f t="shared" si="32"/>
        <v>1.5228999999999999</v>
      </c>
      <c r="Z69" s="22">
        <f t="shared" si="32"/>
        <v>1.5228999999999999</v>
      </c>
      <c r="AA69" s="22">
        <f t="shared" si="32"/>
        <v>1.5228999999999999</v>
      </c>
      <c r="AB69" s="22">
        <f t="shared" si="32"/>
        <v>1.5228999999999999</v>
      </c>
      <c r="AC69" s="22">
        <f t="shared" si="32"/>
        <v>1.5228999999999999</v>
      </c>
      <c r="AD69" s="22">
        <f t="shared" si="32"/>
        <v>1.5228999999999999</v>
      </c>
    </row>
    <row r="70" spans="2:30" hidden="1" x14ac:dyDescent="0.3"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2:30" hidden="1" x14ac:dyDescent="0.3">
      <c r="D71" t="s">
        <v>20</v>
      </c>
      <c r="E71" s="15">
        <f>SUM(E61:E68)</f>
        <v>0.42340000000000005</v>
      </c>
      <c r="F71" s="15">
        <f t="shared" ref="F71:Q71" si="33">SUM(F61:F68)</f>
        <v>0.52269999999999994</v>
      </c>
      <c r="G71" s="15">
        <f t="shared" si="33"/>
        <v>0.62179999999999991</v>
      </c>
      <c r="H71" s="15">
        <f t="shared" si="33"/>
        <v>0.57020000000000004</v>
      </c>
      <c r="I71" s="15">
        <f t="shared" si="33"/>
        <v>0.51839999999999997</v>
      </c>
      <c r="J71" s="15">
        <f t="shared" si="33"/>
        <v>0.53120000000000001</v>
      </c>
      <c r="K71" s="15">
        <f t="shared" si="33"/>
        <v>0.54390000000000005</v>
      </c>
      <c r="L71" s="15">
        <f t="shared" si="33"/>
        <v>0.47009999999999996</v>
      </c>
      <c r="M71" s="15">
        <f t="shared" si="33"/>
        <v>0.39580000000000004</v>
      </c>
      <c r="N71" s="15">
        <f t="shared" si="33"/>
        <v>0.33980000000000005</v>
      </c>
      <c r="O71" s="15">
        <f t="shared" si="33"/>
        <v>0.28380000000000005</v>
      </c>
      <c r="P71" s="15">
        <f t="shared" si="33"/>
        <v>0.36579999999999996</v>
      </c>
      <c r="Q71" s="15">
        <f t="shared" si="33"/>
        <v>0.4907999999999999</v>
      </c>
      <c r="R71" s="26">
        <f>$Q$31*R79</f>
        <v>0.50089210150009511</v>
      </c>
      <c r="S71" s="26">
        <f t="shared" ref="S71:AD71" si="34">$Q$31*S79</f>
        <v>0.51157846238548521</v>
      </c>
      <c r="T71" s="26">
        <f t="shared" si="34"/>
        <v>0.52251334329146604</v>
      </c>
      <c r="U71" s="26">
        <f t="shared" si="34"/>
        <v>0.53369674421803714</v>
      </c>
      <c r="V71" s="26">
        <f t="shared" si="34"/>
        <v>0.54512866516519887</v>
      </c>
      <c r="W71" s="26">
        <f t="shared" si="34"/>
        <v>0.55680910613295109</v>
      </c>
      <c r="X71" s="26">
        <f t="shared" si="34"/>
        <v>0.5686138071109984</v>
      </c>
      <c r="Y71" s="26">
        <f t="shared" si="34"/>
        <v>0.58079128811993153</v>
      </c>
      <c r="Z71" s="26">
        <f t="shared" si="34"/>
        <v>0.59321728914945504</v>
      </c>
      <c r="AA71" s="26">
        <f t="shared" si="34"/>
        <v>0.60589181019956917</v>
      </c>
      <c r="AB71" s="26">
        <f t="shared" si="34"/>
        <v>0.61893911128056889</v>
      </c>
      <c r="AC71" s="26">
        <f t="shared" si="34"/>
        <v>0.63211067237186391</v>
      </c>
      <c r="AD71" s="26">
        <f t="shared" si="34"/>
        <v>0.64565501349404453</v>
      </c>
    </row>
    <row r="72" spans="2:30" hidden="1" x14ac:dyDescent="0.3"/>
    <row r="73" spans="2:30" hidden="1" x14ac:dyDescent="0.3"/>
    <row r="74" spans="2:30" hidden="1" x14ac:dyDescent="0.3">
      <c r="E74">
        <v>2010</v>
      </c>
      <c r="F74">
        <v>2011</v>
      </c>
      <c r="G74">
        <v>2012</v>
      </c>
      <c r="H74">
        <v>2013</v>
      </c>
      <c r="I74">
        <v>2014</v>
      </c>
      <c r="J74">
        <v>2015</v>
      </c>
      <c r="K74">
        <v>2016</v>
      </c>
      <c r="L74">
        <v>2017</v>
      </c>
      <c r="M74">
        <v>2018</v>
      </c>
      <c r="N74">
        <v>2019</v>
      </c>
      <c r="O74">
        <v>2020</v>
      </c>
      <c r="P74">
        <v>2021</v>
      </c>
      <c r="Q74">
        <v>2022</v>
      </c>
      <c r="R74">
        <v>2023</v>
      </c>
      <c r="S74">
        <v>2024</v>
      </c>
      <c r="T74">
        <v>2025</v>
      </c>
      <c r="U74">
        <v>2026</v>
      </c>
      <c r="V74">
        <v>2027</v>
      </c>
      <c r="W74">
        <v>2028</v>
      </c>
      <c r="X74">
        <v>2029</v>
      </c>
      <c r="Y74">
        <v>2030</v>
      </c>
      <c r="Z74">
        <v>2031</v>
      </c>
      <c r="AA74">
        <v>2032</v>
      </c>
      <c r="AB74">
        <v>2033</v>
      </c>
      <c r="AC74">
        <v>2034</v>
      </c>
      <c r="AD74">
        <v>2035</v>
      </c>
    </row>
    <row r="75" spans="2:30" hidden="1" x14ac:dyDescent="0.3">
      <c r="B75" t="s">
        <v>85</v>
      </c>
      <c r="C75" t="s">
        <v>65</v>
      </c>
      <c r="D75" s="16" t="s">
        <v>20</v>
      </c>
      <c r="E75" s="19">
        <v>423.4</v>
      </c>
      <c r="F75" s="19">
        <v>522.5</v>
      </c>
      <c r="G75" s="19">
        <v>621.6</v>
      </c>
      <c r="H75" s="19">
        <v>569.9</v>
      </c>
      <c r="I75" s="19">
        <v>518.20000000000005</v>
      </c>
      <c r="J75" s="19">
        <v>530.9</v>
      </c>
      <c r="K75" s="19">
        <v>543.70000000000005</v>
      </c>
      <c r="L75" s="19">
        <v>469.4</v>
      </c>
      <c r="M75" s="19">
        <v>395.1</v>
      </c>
      <c r="N75" s="19">
        <v>397.5</v>
      </c>
      <c r="O75" s="19">
        <v>374.8</v>
      </c>
      <c r="P75" s="19">
        <v>386.4</v>
      </c>
      <c r="Q75" s="19">
        <v>394.6</v>
      </c>
      <c r="R75" s="17">
        <v>403.1</v>
      </c>
      <c r="S75" s="17">
        <v>411.7</v>
      </c>
      <c r="T75" s="17">
        <v>420.5</v>
      </c>
      <c r="U75" s="17">
        <v>429.5</v>
      </c>
      <c r="V75" s="17">
        <v>438.7</v>
      </c>
      <c r="W75" s="17">
        <v>448.1</v>
      </c>
      <c r="X75" s="17">
        <v>457.6</v>
      </c>
      <c r="Y75" s="17">
        <v>467.4</v>
      </c>
      <c r="Z75" s="17">
        <v>477.4</v>
      </c>
      <c r="AA75" s="17">
        <v>487.6</v>
      </c>
      <c r="AB75" s="17">
        <v>498.1</v>
      </c>
      <c r="AC75" s="17">
        <v>508.7</v>
      </c>
      <c r="AD75" s="17">
        <v>519.6</v>
      </c>
    </row>
    <row r="76" spans="2:30" hidden="1" x14ac:dyDescent="0.3">
      <c r="C76" t="s">
        <v>68</v>
      </c>
      <c r="D76" s="16" t="s">
        <v>20</v>
      </c>
      <c r="E76" s="20">
        <f>E75/1000</f>
        <v>0.4234</v>
      </c>
      <c r="F76" s="20">
        <f t="shared" ref="F76" si="35">F75/1000</f>
        <v>0.52249999999999996</v>
      </c>
      <c r="G76" s="20">
        <f t="shared" ref="G76" si="36">G75/1000</f>
        <v>0.62160000000000004</v>
      </c>
      <c r="H76" s="20">
        <f t="shared" ref="H76" si="37">H75/1000</f>
        <v>0.56989999999999996</v>
      </c>
      <c r="I76" s="20">
        <f t="shared" ref="I76" si="38">I75/1000</f>
        <v>0.51819999999999999</v>
      </c>
      <c r="J76" s="20">
        <f t="shared" ref="J76" si="39">J75/1000</f>
        <v>0.53089999999999993</v>
      </c>
      <c r="K76" s="20">
        <f t="shared" ref="K76" si="40">K75/1000</f>
        <v>0.54370000000000007</v>
      </c>
      <c r="L76" s="20">
        <f t="shared" ref="L76" si="41">L75/1000</f>
        <v>0.46939999999999998</v>
      </c>
      <c r="M76" s="20">
        <f t="shared" ref="M76" si="42">M75/1000</f>
        <v>0.39510000000000001</v>
      </c>
      <c r="N76" s="20">
        <f t="shared" ref="N76" si="43">N75/1000</f>
        <v>0.39750000000000002</v>
      </c>
      <c r="O76" s="20">
        <f t="shared" ref="O76" si="44">O75/1000</f>
        <v>0.37480000000000002</v>
      </c>
      <c r="P76" s="20">
        <f t="shared" ref="P76" si="45">P75/1000</f>
        <v>0.38639999999999997</v>
      </c>
      <c r="Q76" s="20">
        <f t="shared" ref="Q76" si="46">Q75/1000</f>
        <v>0.39460000000000001</v>
      </c>
      <c r="R76" s="18">
        <f t="shared" ref="R76" si="47">R75/1000</f>
        <v>0.40310000000000001</v>
      </c>
      <c r="S76" s="18">
        <f t="shared" ref="S76" si="48">S75/1000</f>
        <v>0.41170000000000001</v>
      </c>
      <c r="T76" s="18">
        <f t="shared" ref="T76" si="49">T75/1000</f>
        <v>0.42049999999999998</v>
      </c>
      <c r="U76" s="18">
        <f t="shared" ref="U76" si="50">U75/1000</f>
        <v>0.42949999999999999</v>
      </c>
      <c r="V76" s="18">
        <f t="shared" ref="V76" si="51">V75/1000</f>
        <v>0.43869999999999998</v>
      </c>
      <c r="W76" s="18">
        <f t="shared" ref="W76" si="52">W75/1000</f>
        <v>0.4481</v>
      </c>
      <c r="X76" s="18">
        <f t="shared" ref="X76" si="53">X75/1000</f>
        <v>0.45760000000000001</v>
      </c>
      <c r="Y76" s="18">
        <f t="shared" ref="Y76" si="54">Y75/1000</f>
        <v>0.46739999999999998</v>
      </c>
      <c r="Z76" s="18">
        <f t="shared" ref="Z76" si="55">Z75/1000</f>
        <v>0.47739999999999999</v>
      </c>
      <c r="AA76" s="18">
        <f t="shared" ref="AA76" si="56">AA75/1000</f>
        <v>0.48760000000000003</v>
      </c>
      <c r="AB76" s="18">
        <f t="shared" ref="AB76" si="57">AB75/1000</f>
        <v>0.49810000000000004</v>
      </c>
      <c r="AC76" s="18">
        <f t="shared" ref="AC76" si="58">AC75/1000</f>
        <v>0.50870000000000004</v>
      </c>
      <c r="AD76" s="18">
        <f t="shared" ref="AD76" si="59">AD75/1000</f>
        <v>0.51960000000000006</v>
      </c>
    </row>
    <row r="77" spans="2:30" hidden="1" x14ac:dyDescent="0.3"/>
    <row r="78" spans="2:30" hidden="1" x14ac:dyDescent="0.3"/>
    <row r="79" spans="2:30" hidden="1" x14ac:dyDescent="0.3">
      <c r="B79" t="s">
        <v>86</v>
      </c>
      <c r="Q79">
        <f>Q75/$Q$51</f>
        <v>1</v>
      </c>
      <c r="R79" s="26">
        <f>R75/$Q$51</f>
        <v>1.0215408008109479</v>
      </c>
      <c r="S79" s="26">
        <f t="shared" ref="S79:AD79" si="60">S75/$Q$51</f>
        <v>1.0433350228079066</v>
      </c>
      <c r="T79" s="26">
        <f t="shared" si="60"/>
        <v>1.065636087176888</v>
      </c>
      <c r="U79" s="26">
        <f t="shared" si="60"/>
        <v>1.0884439939178914</v>
      </c>
      <c r="V79" s="26">
        <f t="shared" si="60"/>
        <v>1.1117587430309173</v>
      </c>
      <c r="W79" s="26">
        <f t="shared" si="60"/>
        <v>1.1355803345159656</v>
      </c>
      <c r="X79" s="26">
        <f t="shared" si="60"/>
        <v>1.1596553471870248</v>
      </c>
      <c r="Y79" s="26">
        <f t="shared" si="60"/>
        <v>1.1844906234161174</v>
      </c>
      <c r="Z79" s="26">
        <f t="shared" si="60"/>
        <v>1.2098327420172326</v>
      </c>
      <c r="AA79" s="26">
        <f t="shared" si="60"/>
        <v>1.2356817029903699</v>
      </c>
      <c r="AB79" s="26">
        <f t="shared" si="60"/>
        <v>1.2622909275215408</v>
      </c>
      <c r="AC79" s="26">
        <f t="shared" si="60"/>
        <v>1.2891535732387227</v>
      </c>
      <c r="AD79" s="26">
        <f t="shared" si="60"/>
        <v>1.3167764825139381</v>
      </c>
    </row>
    <row r="80" spans="2:30" hidden="1" x14ac:dyDescent="0.3"/>
    <row r="81" spans="2:30" s="25" customFormat="1" ht="15" hidden="1" thickBot="1" x14ac:dyDescent="0.35"/>
    <row r="82" spans="2:30" hidden="1" x14ac:dyDescent="0.3"/>
    <row r="83" spans="2:30" hidden="1" x14ac:dyDescent="0.3">
      <c r="B83" t="s">
        <v>68</v>
      </c>
      <c r="D83" s="1" t="s">
        <v>72</v>
      </c>
      <c r="E83" s="6">
        <v>2010</v>
      </c>
      <c r="F83" s="5">
        <v>2011</v>
      </c>
      <c r="G83" s="6">
        <v>2012</v>
      </c>
      <c r="H83" s="5">
        <v>2013</v>
      </c>
      <c r="I83" s="6">
        <v>2014</v>
      </c>
      <c r="J83" s="5">
        <v>2015</v>
      </c>
      <c r="K83" s="6">
        <v>2016</v>
      </c>
      <c r="L83" s="5">
        <v>2017</v>
      </c>
      <c r="M83" s="6">
        <v>2018</v>
      </c>
      <c r="N83" s="1">
        <v>2019</v>
      </c>
      <c r="O83" s="1">
        <v>2020</v>
      </c>
      <c r="P83" s="1">
        <v>2021</v>
      </c>
      <c r="Q83" s="1">
        <v>2022</v>
      </c>
      <c r="R83" s="1">
        <v>2023</v>
      </c>
      <c r="S83" s="1">
        <v>2024</v>
      </c>
      <c r="T83" s="1">
        <v>2025</v>
      </c>
      <c r="U83" s="1">
        <v>2026</v>
      </c>
      <c r="V83" s="1">
        <v>2027</v>
      </c>
      <c r="W83" s="1">
        <v>2028</v>
      </c>
      <c r="X83" s="1">
        <v>2029</v>
      </c>
      <c r="Y83" s="1">
        <v>2030</v>
      </c>
      <c r="Z83" s="1">
        <v>2031</v>
      </c>
      <c r="AA83" s="1">
        <v>2032</v>
      </c>
      <c r="AB83" s="1">
        <v>2033</v>
      </c>
      <c r="AC83" s="1">
        <v>2034</v>
      </c>
      <c r="AD83" s="1">
        <v>2035</v>
      </c>
    </row>
    <row r="84" spans="2:30" hidden="1" x14ac:dyDescent="0.3">
      <c r="B84" s="85" t="s">
        <v>88</v>
      </c>
      <c r="D84" s="9" t="s">
        <v>73</v>
      </c>
      <c r="E84" s="21">
        <f>ROUNDDOWN(E20,4)</f>
        <v>1.7819</v>
      </c>
      <c r="F84" s="21"/>
      <c r="G84" s="21">
        <f t="shared" ref="G84:Q84" si="61">ROUNDDOWN(G20,4)</f>
        <v>1.7876000000000001</v>
      </c>
      <c r="H84" s="21"/>
      <c r="I84" s="21">
        <f t="shared" si="61"/>
        <v>1.8848</v>
      </c>
      <c r="J84" s="21"/>
      <c r="K84" s="21">
        <f t="shared" si="61"/>
        <v>1.7506999999999999</v>
      </c>
      <c r="L84" s="21"/>
      <c r="M84" s="21">
        <f t="shared" si="61"/>
        <v>2.0289999999999999</v>
      </c>
      <c r="N84" s="21">
        <f t="shared" si="61"/>
        <v>0</v>
      </c>
      <c r="O84" s="21">
        <f t="shared" si="61"/>
        <v>1.3478000000000001</v>
      </c>
      <c r="P84" s="21">
        <f t="shared" si="61"/>
        <v>1.9648000000000001</v>
      </c>
      <c r="Q84" s="21">
        <f t="shared" si="61"/>
        <v>1.7978000000000001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2:30" hidden="1" x14ac:dyDescent="0.3">
      <c r="D85" s="2" t="s">
        <v>74</v>
      </c>
      <c r="E85" s="18">
        <f t="shared" ref="E85:Q93" si="62">ROUNDDOWN(E21,4)</f>
        <v>6.6400000000000001E-2</v>
      </c>
      <c r="F85" s="20">
        <f t="shared" si="62"/>
        <v>6.9099999999999995E-2</v>
      </c>
      <c r="G85" s="18">
        <f t="shared" si="62"/>
        <v>7.1800000000000003E-2</v>
      </c>
      <c r="H85" s="20">
        <f t="shared" si="62"/>
        <v>7.4200000000000002E-2</v>
      </c>
      <c r="I85" s="18">
        <f t="shared" si="62"/>
        <v>7.6600000000000001E-2</v>
      </c>
      <c r="J85" s="20">
        <f t="shared" si="62"/>
        <v>8.5099999999999995E-2</v>
      </c>
      <c r="K85" s="18">
        <f t="shared" si="62"/>
        <v>9.3700000000000006E-2</v>
      </c>
      <c r="L85" s="20">
        <f t="shared" si="62"/>
        <v>0.1004</v>
      </c>
      <c r="M85" s="18">
        <f t="shared" si="62"/>
        <v>0.1071</v>
      </c>
      <c r="N85" s="24">
        <f t="shared" si="62"/>
        <v>0.1143</v>
      </c>
      <c r="O85" s="24">
        <f t="shared" si="62"/>
        <v>0.1215</v>
      </c>
      <c r="P85" s="24">
        <f t="shared" si="62"/>
        <v>0.2198</v>
      </c>
      <c r="Q85" s="24">
        <f t="shared" si="62"/>
        <v>0.17899999999999999</v>
      </c>
      <c r="R85" s="18">
        <f>ROUNDDOWN(R95*$Q$37/SUM($Q$37:$Q$44),4)</f>
        <v>0.18290000000000001</v>
      </c>
      <c r="S85" s="18">
        <f t="shared" ref="S85:AD85" si="63">ROUNDDOWN(S95*$Q$37/SUM($Q$37:$Q$44),4)</f>
        <v>0.18679999999999999</v>
      </c>
      <c r="T85" s="18">
        <f t="shared" si="63"/>
        <v>0.1908</v>
      </c>
      <c r="U85" s="18">
        <f t="shared" si="63"/>
        <v>0.19489999999999999</v>
      </c>
      <c r="V85" s="18">
        <f t="shared" si="63"/>
        <v>0.19900000000000001</v>
      </c>
      <c r="W85" s="18">
        <f t="shared" si="63"/>
        <v>0.20330000000000001</v>
      </c>
      <c r="X85" s="18">
        <f t="shared" si="63"/>
        <v>0.20760000000000001</v>
      </c>
      <c r="Y85" s="18">
        <f t="shared" si="63"/>
        <v>0.21210000000000001</v>
      </c>
      <c r="Z85" s="18">
        <f t="shared" si="63"/>
        <v>0.21659999999999999</v>
      </c>
      <c r="AA85" s="18">
        <f t="shared" si="63"/>
        <v>0.22120000000000001</v>
      </c>
      <c r="AB85" s="18">
        <f t="shared" si="63"/>
        <v>0.22600000000000001</v>
      </c>
      <c r="AC85" s="18">
        <f t="shared" si="63"/>
        <v>0.23080000000000001</v>
      </c>
      <c r="AD85" s="18">
        <f t="shared" si="63"/>
        <v>0.23580000000000001</v>
      </c>
    </row>
    <row r="86" spans="2:30" hidden="1" x14ac:dyDescent="0.3">
      <c r="D86" s="2" t="s">
        <v>75</v>
      </c>
      <c r="E86" s="18">
        <f t="shared" si="62"/>
        <v>7.4999999999999997E-3</v>
      </c>
      <c r="F86" s="20">
        <f t="shared" si="62"/>
        <v>9.1000000000000004E-3</v>
      </c>
      <c r="G86" s="18">
        <f t="shared" si="62"/>
        <v>1.0800000000000001E-2</v>
      </c>
      <c r="H86" s="20">
        <f t="shared" si="62"/>
        <v>1.2500000000000001E-2</v>
      </c>
      <c r="I86" s="18">
        <f t="shared" si="62"/>
        <v>1.43E-2</v>
      </c>
      <c r="J86" s="20">
        <f t="shared" si="62"/>
        <v>1.2500000000000001E-2</v>
      </c>
      <c r="K86" s="18">
        <f t="shared" si="62"/>
        <v>1.0699999999999999E-2</v>
      </c>
      <c r="L86" s="20">
        <f t="shared" si="62"/>
        <v>1.24E-2</v>
      </c>
      <c r="M86" s="18">
        <f t="shared" si="62"/>
        <v>1.41E-2</v>
      </c>
      <c r="N86" s="24">
        <f t="shared" si="62"/>
        <v>9.4000000000000004E-3</v>
      </c>
      <c r="O86" s="24">
        <f t="shared" si="62"/>
        <v>4.7000000000000002E-3</v>
      </c>
      <c r="P86" s="24">
        <f t="shared" si="62"/>
        <v>8.8999999999999999E-3</v>
      </c>
      <c r="Q86" s="24">
        <f t="shared" si="62"/>
        <v>8.0999999999999996E-3</v>
      </c>
      <c r="R86" s="18">
        <f>ROUNDDOWN(R95*$Q$38/SUM($Q$37:$Q$44),4)</f>
        <v>8.2000000000000007E-3</v>
      </c>
      <c r="S86" s="18">
        <f t="shared" ref="S86:AD86" si="64">ROUNDDOWN(S95*$Q$38/SUM($Q$37:$Q$44),4)</f>
        <v>8.3999999999999995E-3</v>
      </c>
      <c r="T86" s="18">
        <f t="shared" si="64"/>
        <v>8.6E-3</v>
      </c>
      <c r="U86" s="18">
        <f t="shared" si="64"/>
        <v>8.8000000000000005E-3</v>
      </c>
      <c r="V86" s="18">
        <f t="shared" si="64"/>
        <v>8.9999999999999993E-3</v>
      </c>
      <c r="W86" s="18">
        <f t="shared" si="64"/>
        <v>9.1000000000000004E-3</v>
      </c>
      <c r="X86" s="18">
        <f t="shared" si="64"/>
        <v>9.2999999999999992E-3</v>
      </c>
      <c r="Y86" s="18">
        <f t="shared" si="64"/>
        <v>9.4999999999999998E-3</v>
      </c>
      <c r="Z86" s="18">
        <f t="shared" si="64"/>
        <v>9.7000000000000003E-3</v>
      </c>
      <c r="AA86" s="18">
        <f t="shared" si="64"/>
        <v>0.01</v>
      </c>
      <c r="AB86" s="18">
        <f t="shared" si="64"/>
        <v>1.0200000000000001E-2</v>
      </c>
      <c r="AC86" s="18">
        <f t="shared" si="64"/>
        <v>1.04E-2</v>
      </c>
      <c r="AD86" s="18">
        <f t="shared" si="64"/>
        <v>1.06E-2</v>
      </c>
    </row>
    <row r="87" spans="2:30" hidden="1" x14ac:dyDescent="0.3">
      <c r="D87" s="2" t="s">
        <v>76</v>
      </c>
      <c r="E87" s="18">
        <f t="shared" si="62"/>
        <v>0.318</v>
      </c>
      <c r="F87" s="20">
        <f t="shared" si="62"/>
        <v>0.40960000000000002</v>
      </c>
      <c r="G87" s="18">
        <f t="shared" si="62"/>
        <v>0.50119999999999998</v>
      </c>
      <c r="H87" s="20">
        <f t="shared" si="62"/>
        <v>0.44</v>
      </c>
      <c r="I87" s="18">
        <f t="shared" si="62"/>
        <v>0.37890000000000001</v>
      </c>
      <c r="J87" s="20">
        <f t="shared" si="62"/>
        <v>0.38300000000000001</v>
      </c>
      <c r="K87" s="18">
        <f t="shared" si="62"/>
        <v>0.3871</v>
      </c>
      <c r="L87" s="20">
        <f t="shared" si="62"/>
        <v>0.29599999999999999</v>
      </c>
      <c r="M87" s="18">
        <f t="shared" si="62"/>
        <v>0.2049</v>
      </c>
      <c r="N87" s="24">
        <f t="shared" si="62"/>
        <v>0.15210000000000001</v>
      </c>
      <c r="O87" s="24">
        <f t="shared" si="62"/>
        <v>9.9400000000000002E-2</v>
      </c>
      <c r="P87" s="24">
        <f t="shared" si="62"/>
        <v>4.4499999999999998E-2</v>
      </c>
      <c r="Q87" s="24">
        <f t="shared" si="62"/>
        <v>0.21160000000000001</v>
      </c>
      <c r="R87" s="18">
        <f>ROUNDDOWN(R95*$Q$39/SUM($Q$37:$Q$44),4)</f>
        <v>0.2162</v>
      </c>
      <c r="S87" s="18">
        <f t="shared" ref="S87:AD87" si="65">ROUNDDOWN(S95*$Q$39/SUM($Q$37:$Q$44),4)</f>
        <v>0.2208</v>
      </c>
      <c r="T87" s="18">
        <f t="shared" si="65"/>
        <v>0.22550000000000001</v>
      </c>
      <c r="U87" s="18">
        <f t="shared" si="65"/>
        <v>0.2303</v>
      </c>
      <c r="V87" s="18">
        <f t="shared" si="65"/>
        <v>0.23530000000000001</v>
      </c>
      <c r="W87" s="18">
        <f t="shared" si="65"/>
        <v>0.24030000000000001</v>
      </c>
      <c r="X87" s="18">
        <f t="shared" si="65"/>
        <v>0.24540000000000001</v>
      </c>
      <c r="Y87" s="18">
        <f t="shared" si="65"/>
        <v>0.25069999999999998</v>
      </c>
      <c r="Z87" s="18">
        <f t="shared" si="65"/>
        <v>0.25600000000000001</v>
      </c>
      <c r="AA87" s="18">
        <f t="shared" si="65"/>
        <v>0.26150000000000001</v>
      </c>
      <c r="AB87" s="18">
        <f t="shared" si="65"/>
        <v>0.2671</v>
      </c>
      <c r="AC87" s="18">
        <f t="shared" si="65"/>
        <v>0.27279999999999999</v>
      </c>
      <c r="AD87" s="18">
        <f t="shared" si="65"/>
        <v>0.2787</v>
      </c>
    </row>
    <row r="88" spans="2:30" hidden="1" x14ac:dyDescent="0.3">
      <c r="D88" s="2" t="s">
        <v>77</v>
      </c>
      <c r="E88" s="18">
        <f t="shared" si="62"/>
        <v>0</v>
      </c>
      <c r="F88" s="20">
        <f t="shared" si="62"/>
        <v>8.0000000000000004E-4</v>
      </c>
      <c r="G88" s="18">
        <f t="shared" si="62"/>
        <v>1.6999999999999999E-3</v>
      </c>
      <c r="H88" s="20">
        <f t="shared" si="62"/>
        <v>1.6999999999999999E-3</v>
      </c>
      <c r="I88" s="18">
        <f t="shared" si="62"/>
        <v>1.8E-3</v>
      </c>
      <c r="J88" s="20">
        <f t="shared" si="62"/>
        <v>8.9999999999999998E-4</v>
      </c>
      <c r="K88" s="18">
        <f t="shared" si="62"/>
        <v>0</v>
      </c>
      <c r="L88" s="20">
        <f t="shared" si="62"/>
        <v>1.5E-3</v>
      </c>
      <c r="M88" s="18">
        <f t="shared" si="62"/>
        <v>3.0000000000000001E-3</v>
      </c>
      <c r="N88" s="24">
        <f t="shared" si="62"/>
        <v>5.7000000000000002E-3</v>
      </c>
      <c r="O88" s="24">
        <f t="shared" si="62"/>
        <v>8.3999999999999995E-3</v>
      </c>
      <c r="P88" s="24">
        <f t="shared" si="62"/>
        <v>1.1999999999999999E-3</v>
      </c>
      <c r="Q88" s="24">
        <f t="shared" si="62"/>
        <v>1.6000000000000001E-3</v>
      </c>
      <c r="R88" s="18">
        <f>ROUNDDOWN(R95*$Q$40/SUM($Q$37:$Q$44),4)</f>
        <v>1.6999999999999999E-3</v>
      </c>
      <c r="S88" s="18">
        <f t="shared" ref="S88:AD88" si="66">ROUNDDOWN(S95*$Q$40/SUM($Q$37:$Q$44),4)</f>
        <v>1.6999999999999999E-3</v>
      </c>
      <c r="T88" s="18">
        <f t="shared" si="66"/>
        <v>1.8E-3</v>
      </c>
      <c r="U88" s="18">
        <f t="shared" si="66"/>
        <v>1.8E-3</v>
      </c>
      <c r="V88" s="18">
        <f t="shared" si="66"/>
        <v>1.8E-3</v>
      </c>
      <c r="W88" s="18">
        <f t="shared" si="66"/>
        <v>1.9E-3</v>
      </c>
      <c r="X88" s="18">
        <f t="shared" si="66"/>
        <v>1.9E-3</v>
      </c>
      <c r="Y88" s="18">
        <f t="shared" si="66"/>
        <v>2E-3</v>
      </c>
      <c r="Z88" s="18">
        <f t="shared" si="66"/>
        <v>2E-3</v>
      </c>
      <c r="AA88" s="18">
        <f t="shared" si="66"/>
        <v>2.0999999999999999E-3</v>
      </c>
      <c r="AB88" s="18">
        <f t="shared" si="66"/>
        <v>2.0999999999999999E-3</v>
      </c>
      <c r="AC88" s="18">
        <f t="shared" si="66"/>
        <v>2.0999999999999999E-3</v>
      </c>
      <c r="AD88" s="18">
        <f t="shared" si="66"/>
        <v>2.2000000000000001E-3</v>
      </c>
    </row>
    <row r="89" spans="2:30" hidden="1" x14ac:dyDescent="0.3">
      <c r="D89" s="2" t="s">
        <v>78</v>
      </c>
      <c r="E89" s="18">
        <f t="shared" si="62"/>
        <v>2.9700000000000001E-2</v>
      </c>
      <c r="F89" s="20">
        <f t="shared" si="62"/>
        <v>3.1600000000000003E-2</v>
      </c>
      <c r="G89" s="18">
        <f t="shared" si="62"/>
        <v>3.3599999999999998E-2</v>
      </c>
      <c r="H89" s="20">
        <f t="shared" si="62"/>
        <v>3.5700000000000003E-2</v>
      </c>
      <c r="I89" s="18">
        <f t="shared" si="62"/>
        <v>3.78E-2</v>
      </c>
      <c r="J89" s="20">
        <f t="shared" si="62"/>
        <v>4.0300000000000002E-2</v>
      </c>
      <c r="K89" s="18">
        <f t="shared" si="62"/>
        <v>4.2799999999999998E-2</v>
      </c>
      <c r="L89" s="20">
        <f t="shared" si="62"/>
        <v>4.9599999999999998E-2</v>
      </c>
      <c r="M89" s="18">
        <f t="shared" si="62"/>
        <v>5.6399999999999999E-2</v>
      </c>
      <c r="N89" s="24">
        <f t="shared" si="62"/>
        <v>4.58E-2</v>
      </c>
      <c r="O89" s="24">
        <f t="shared" si="62"/>
        <v>3.5299999999999998E-2</v>
      </c>
      <c r="P89" s="24">
        <f t="shared" si="62"/>
        <v>7.7899999999999997E-2</v>
      </c>
      <c r="Q89" s="24">
        <f t="shared" si="62"/>
        <v>0.08</v>
      </c>
      <c r="R89" s="18">
        <f>ROUNDDOWN(R95*$Q$41/SUM($Q$37:$Q$44),4)</f>
        <v>8.1799999999999998E-2</v>
      </c>
      <c r="S89" s="18">
        <f t="shared" ref="S89:AD89" si="67">ROUNDDOWN(S95*$Q$41/SUM($Q$37:$Q$44),4)</f>
        <v>8.3500000000000005E-2</v>
      </c>
      <c r="T89" s="18">
        <f t="shared" si="67"/>
        <v>8.5300000000000001E-2</v>
      </c>
      <c r="U89" s="18">
        <f t="shared" si="67"/>
        <v>8.7099999999999997E-2</v>
      </c>
      <c r="V89" s="18">
        <f t="shared" si="67"/>
        <v>8.8999999999999996E-2</v>
      </c>
      <c r="W89" s="18">
        <f t="shared" si="67"/>
        <v>9.0899999999999995E-2</v>
      </c>
      <c r="X89" s="18">
        <f t="shared" si="67"/>
        <v>9.2799999999999994E-2</v>
      </c>
      <c r="Y89" s="18">
        <f t="shared" si="67"/>
        <v>9.4799999999999995E-2</v>
      </c>
      <c r="Z89" s="18">
        <f t="shared" si="67"/>
        <v>9.6799999999999997E-2</v>
      </c>
      <c r="AA89" s="18">
        <f t="shared" si="67"/>
        <v>9.8900000000000002E-2</v>
      </c>
      <c r="AB89" s="18">
        <f t="shared" si="67"/>
        <v>0.10100000000000001</v>
      </c>
      <c r="AC89" s="18">
        <f t="shared" si="67"/>
        <v>0.1032</v>
      </c>
      <c r="AD89" s="18">
        <f t="shared" si="67"/>
        <v>0.10539999999999999</v>
      </c>
    </row>
    <row r="90" spans="2:30" hidden="1" x14ac:dyDescent="0.3">
      <c r="D90" s="2" t="s">
        <v>79</v>
      </c>
      <c r="E90" s="18">
        <f t="shared" si="62"/>
        <v>1.1999999999999999E-3</v>
      </c>
      <c r="F90" s="20">
        <f t="shared" si="62"/>
        <v>1.5E-3</v>
      </c>
      <c r="G90" s="18">
        <f t="shared" si="62"/>
        <v>1.8E-3</v>
      </c>
      <c r="H90" s="20">
        <f t="shared" si="62"/>
        <v>2.3E-3</v>
      </c>
      <c r="I90" s="18">
        <f t="shared" si="62"/>
        <v>2.7000000000000001E-3</v>
      </c>
      <c r="J90" s="20">
        <f t="shared" si="62"/>
        <v>2.8E-3</v>
      </c>
      <c r="K90" s="18">
        <f t="shared" si="62"/>
        <v>3.0000000000000001E-3</v>
      </c>
      <c r="L90" s="20">
        <f t="shared" si="62"/>
        <v>3.5000000000000001E-3</v>
      </c>
      <c r="M90" s="18">
        <f t="shared" si="62"/>
        <v>4.0000000000000001E-3</v>
      </c>
      <c r="N90" s="24">
        <f t="shared" si="62"/>
        <v>6.8999999999999999E-3</v>
      </c>
      <c r="O90" s="24">
        <f t="shared" si="62"/>
        <v>9.9000000000000008E-3</v>
      </c>
      <c r="P90" s="24">
        <f t="shared" si="62"/>
        <v>8.6999999999999994E-3</v>
      </c>
      <c r="Q90" s="24">
        <f t="shared" si="62"/>
        <v>6.6E-3</v>
      </c>
      <c r="R90" s="18">
        <f>ROUNDDOWN(R95*$Q$42/SUM($Q$37:$Q$44),4)</f>
        <v>6.7000000000000002E-3</v>
      </c>
      <c r="S90" s="18">
        <f t="shared" ref="S90:AD90" si="68">ROUNDDOWN(S95*$Q$42/SUM($Q$37:$Q$44),4)</f>
        <v>6.7999999999999996E-3</v>
      </c>
      <c r="T90" s="18">
        <f t="shared" si="68"/>
        <v>7.0000000000000001E-3</v>
      </c>
      <c r="U90" s="18">
        <f t="shared" si="68"/>
        <v>7.1000000000000004E-3</v>
      </c>
      <c r="V90" s="18">
        <f t="shared" si="68"/>
        <v>7.3000000000000001E-3</v>
      </c>
      <c r="W90" s="18">
        <f t="shared" si="68"/>
        <v>7.4000000000000003E-3</v>
      </c>
      <c r="X90" s="18">
        <f t="shared" si="68"/>
        <v>7.6E-3</v>
      </c>
      <c r="Y90" s="18">
        <f t="shared" si="68"/>
        <v>7.7999999999999996E-3</v>
      </c>
      <c r="Z90" s="18">
        <f t="shared" si="68"/>
        <v>7.9000000000000008E-3</v>
      </c>
      <c r="AA90" s="18">
        <f t="shared" si="68"/>
        <v>8.0999999999999996E-3</v>
      </c>
      <c r="AB90" s="18">
        <f t="shared" si="68"/>
        <v>8.3000000000000001E-3</v>
      </c>
      <c r="AC90" s="18">
        <f t="shared" si="68"/>
        <v>8.5000000000000006E-3</v>
      </c>
      <c r="AD90" s="18">
        <f t="shared" si="68"/>
        <v>8.6E-3</v>
      </c>
    </row>
    <row r="91" spans="2:30" hidden="1" x14ac:dyDescent="0.3">
      <c r="D91" s="4" t="s">
        <v>80</v>
      </c>
      <c r="E91" s="27">
        <f t="shared" si="62"/>
        <v>0</v>
      </c>
      <c r="F91" s="20">
        <f t="shared" si="62"/>
        <v>1E-4</v>
      </c>
      <c r="G91" s="18">
        <f t="shared" si="62"/>
        <v>2.0000000000000001E-4</v>
      </c>
      <c r="H91" s="20">
        <f t="shared" si="62"/>
        <v>2.8E-3</v>
      </c>
      <c r="I91" s="18">
        <f t="shared" si="62"/>
        <v>5.4000000000000003E-3</v>
      </c>
      <c r="J91" s="20">
        <f t="shared" si="62"/>
        <v>5.4999999999999997E-3</v>
      </c>
      <c r="K91" s="18">
        <f t="shared" si="62"/>
        <v>5.5999999999999999E-3</v>
      </c>
      <c r="L91" s="20">
        <f t="shared" si="62"/>
        <v>5.3E-3</v>
      </c>
      <c r="M91" s="18">
        <f t="shared" si="62"/>
        <v>4.8999999999999998E-3</v>
      </c>
      <c r="N91" s="24">
        <f t="shared" si="62"/>
        <v>4.1999999999999997E-3</v>
      </c>
      <c r="O91" s="24">
        <f t="shared" si="62"/>
        <v>3.5999999999999999E-3</v>
      </c>
      <c r="P91" s="24">
        <f t="shared" si="62"/>
        <v>3.5000000000000001E-3</v>
      </c>
      <c r="Q91" s="24">
        <f t="shared" si="62"/>
        <v>3.0000000000000001E-3</v>
      </c>
      <c r="R91" s="18">
        <f>ROUNDDOWN(R95*$Q$43/SUM($Q$37:$Q$44),4)</f>
        <v>3.0000000000000001E-3</v>
      </c>
      <c r="S91" s="18">
        <f t="shared" ref="S91:AD91" si="69">ROUNDDOWN(S95*$Q$43/SUM($Q$37:$Q$44),4)</f>
        <v>3.0999999999999999E-3</v>
      </c>
      <c r="T91" s="18">
        <f t="shared" si="69"/>
        <v>3.0999999999999999E-3</v>
      </c>
      <c r="U91" s="18">
        <f t="shared" si="69"/>
        <v>3.2000000000000002E-3</v>
      </c>
      <c r="V91" s="18">
        <f t="shared" si="69"/>
        <v>3.3E-3</v>
      </c>
      <c r="W91" s="18">
        <f t="shared" si="69"/>
        <v>3.3999999999999998E-3</v>
      </c>
      <c r="X91" s="18">
        <f t="shared" si="69"/>
        <v>3.3999999999999998E-3</v>
      </c>
      <c r="Y91" s="18">
        <f t="shared" si="69"/>
        <v>3.5000000000000001E-3</v>
      </c>
      <c r="Z91" s="18">
        <f t="shared" si="69"/>
        <v>3.5999999999999999E-3</v>
      </c>
      <c r="AA91" s="18">
        <f t="shared" si="69"/>
        <v>3.7000000000000002E-3</v>
      </c>
      <c r="AB91" s="18">
        <f t="shared" si="69"/>
        <v>3.7000000000000002E-3</v>
      </c>
      <c r="AC91" s="18">
        <f t="shared" si="69"/>
        <v>3.8E-3</v>
      </c>
      <c r="AD91" s="18">
        <f t="shared" si="69"/>
        <v>3.8999999999999998E-3</v>
      </c>
    </row>
    <row r="92" spans="2:30" hidden="1" x14ac:dyDescent="0.3">
      <c r="D92" s="4" t="s">
        <v>81</v>
      </c>
      <c r="E92" s="18">
        <f t="shared" si="62"/>
        <v>2.0000000000000001E-4</v>
      </c>
      <c r="F92" s="20">
        <f t="shared" si="62"/>
        <v>1E-4</v>
      </c>
      <c r="G92" s="18">
        <f t="shared" si="62"/>
        <v>0</v>
      </c>
      <c r="H92" s="20">
        <f t="shared" si="62"/>
        <v>2.0000000000000001E-4</v>
      </c>
      <c r="I92" s="18">
        <f t="shared" si="62"/>
        <v>4.0000000000000002E-4</v>
      </c>
      <c r="J92" s="20">
        <f t="shared" si="62"/>
        <v>4.0000000000000002E-4</v>
      </c>
      <c r="K92" s="18">
        <f t="shared" si="62"/>
        <v>2.9999999999999997E-4</v>
      </c>
      <c r="L92" s="20">
        <f t="shared" si="62"/>
        <v>5.9999999999999995E-4</v>
      </c>
      <c r="M92" s="18">
        <f t="shared" si="62"/>
        <v>8.9999999999999998E-4</v>
      </c>
      <c r="N92" s="24">
        <f t="shared" si="62"/>
        <v>5.9999999999999995E-4</v>
      </c>
      <c r="O92" s="24">
        <f t="shared" si="62"/>
        <v>2.0000000000000001E-4</v>
      </c>
      <c r="P92" s="24">
        <f t="shared" si="62"/>
        <v>5.0000000000000001E-4</v>
      </c>
      <c r="Q92" s="24">
        <f t="shared" si="62"/>
        <v>1E-4</v>
      </c>
      <c r="R92" s="18">
        <f>ROUNDDOWN(R95*$Q$44/SUM($Q$37:$Q$44),4)</f>
        <v>1E-4</v>
      </c>
      <c r="S92" s="18">
        <f t="shared" ref="S92:AD92" si="70">ROUNDDOWN(S95*$Q$44/SUM($Q$37:$Q$44),4)</f>
        <v>1E-4</v>
      </c>
      <c r="T92" s="18">
        <f t="shared" si="70"/>
        <v>1E-4</v>
      </c>
      <c r="U92" s="18">
        <f t="shared" si="70"/>
        <v>1E-4</v>
      </c>
      <c r="V92" s="18">
        <f t="shared" si="70"/>
        <v>1E-4</v>
      </c>
      <c r="W92" s="18">
        <f t="shared" si="70"/>
        <v>1E-4</v>
      </c>
      <c r="X92" s="18">
        <f t="shared" si="70"/>
        <v>1E-4</v>
      </c>
      <c r="Y92" s="18">
        <f t="shared" si="70"/>
        <v>1E-4</v>
      </c>
      <c r="Z92" s="18">
        <f t="shared" si="70"/>
        <v>1E-4</v>
      </c>
      <c r="AA92" s="18">
        <f t="shared" si="70"/>
        <v>1E-4</v>
      </c>
      <c r="AB92" s="18">
        <f t="shared" si="70"/>
        <v>1E-4</v>
      </c>
      <c r="AC92" s="18">
        <f t="shared" si="70"/>
        <v>1E-4</v>
      </c>
      <c r="AD92" s="18">
        <f t="shared" si="70"/>
        <v>1E-4</v>
      </c>
    </row>
    <row r="93" spans="2:30" hidden="1" x14ac:dyDescent="0.3">
      <c r="D93" s="11" t="s">
        <v>82</v>
      </c>
      <c r="E93" s="21">
        <f t="shared" si="62"/>
        <v>0.21490000000000001</v>
      </c>
      <c r="F93" s="21">
        <f t="shared" si="62"/>
        <v>0.252</v>
      </c>
      <c r="G93" s="21">
        <f t="shared" si="62"/>
        <v>0.28910000000000002</v>
      </c>
      <c r="H93" s="21">
        <f t="shared" si="62"/>
        <v>0.33169999999999999</v>
      </c>
      <c r="I93" s="21">
        <f t="shared" si="62"/>
        <v>0.37440000000000001</v>
      </c>
      <c r="J93" s="21">
        <f t="shared" si="62"/>
        <v>0.42359999999999998</v>
      </c>
      <c r="K93" s="21">
        <f t="shared" si="62"/>
        <v>0.47289999999999999</v>
      </c>
      <c r="L93" s="21">
        <f t="shared" si="62"/>
        <v>0.496</v>
      </c>
      <c r="M93" s="21">
        <f t="shared" si="62"/>
        <v>0.51910000000000001</v>
      </c>
      <c r="N93" s="21">
        <f t="shared" si="62"/>
        <v>0.86099999999999999</v>
      </c>
      <c r="O93" s="21">
        <f t="shared" si="62"/>
        <v>1.2030000000000001</v>
      </c>
      <c r="P93" s="21">
        <f t="shared" si="62"/>
        <v>1.325</v>
      </c>
      <c r="Q93" s="21">
        <f t="shared" si="62"/>
        <v>1.9575</v>
      </c>
      <c r="R93" s="22">
        <f>ROUNDUP(R69,4)</f>
        <v>1.5228999999999999</v>
      </c>
      <c r="S93" s="22">
        <f t="shared" ref="S93:AD93" si="71">ROUNDUP(S69,4)</f>
        <v>1.5228999999999999</v>
      </c>
      <c r="T93" s="22">
        <f t="shared" si="71"/>
        <v>1.5228999999999999</v>
      </c>
      <c r="U93" s="22">
        <f t="shared" si="71"/>
        <v>1.5228999999999999</v>
      </c>
      <c r="V93" s="22">
        <f t="shared" si="71"/>
        <v>1.5228999999999999</v>
      </c>
      <c r="W93" s="22">
        <f t="shared" si="71"/>
        <v>1.5228999999999999</v>
      </c>
      <c r="X93" s="22">
        <f t="shared" si="71"/>
        <v>1.5228999999999999</v>
      </c>
      <c r="Y93" s="22">
        <f t="shared" si="71"/>
        <v>1.5228999999999999</v>
      </c>
      <c r="Z93" s="22">
        <f t="shared" si="71"/>
        <v>1.5228999999999999</v>
      </c>
      <c r="AA93" s="22">
        <f t="shared" si="71"/>
        <v>1.5228999999999999</v>
      </c>
      <c r="AB93" s="22">
        <f t="shared" si="71"/>
        <v>1.5228999999999999</v>
      </c>
      <c r="AC93" s="22">
        <f t="shared" si="71"/>
        <v>1.5228999999999999</v>
      </c>
      <c r="AD93" s="22">
        <f t="shared" si="71"/>
        <v>1.5228999999999999</v>
      </c>
    </row>
    <row r="94" spans="2:30" hidden="1" x14ac:dyDescent="0.3"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2:30" hidden="1" x14ac:dyDescent="0.3">
      <c r="D95" t="s">
        <v>20</v>
      </c>
      <c r="E95" s="15">
        <f>SUM(E85:E92)</f>
        <v>0.42299999999999999</v>
      </c>
      <c r="F95" s="15">
        <f t="shared" ref="F95:Q95" si="72">SUM(F85:F92)</f>
        <v>0.52189999999999992</v>
      </c>
      <c r="G95" s="15">
        <f t="shared" si="72"/>
        <v>0.62109999999999999</v>
      </c>
      <c r="H95" s="15">
        <f t="shared" si="72"/>
        <v>0.56939999999999991</v>
      </c>
      <c r="I95" s="15">
        <f t="shared" si="72"/>
        <v>0.51790000000000003</v>
      </c>
      <c r="J95" s="15">
        <f t="shared" si="72"/>
        <v>0.53049999999999997</v>
      </c>
      <c r="K95" s="15">
        <f t="shared" si="72"/>
        <v>0.54320000000000002</v>
      </c>
      <c r="L95" s="15">
        <f t="shared" si="72"/>
        <v>0.46929999999999999</v>
      </c>
      <c r="M95" s="15">
        <f t="shared" si="72"/>
        <v>0.39530000000000004</v>
      </c>
      <c r="N95" s="15">
        <f t="shared" si="72"/>
        <v>0.33900000000000002</v>
      </c>
      <c r="O95" s="15">
        <f t="shared" si="72"/>
        <v>0.28299999999999997</v>
      </c>
      <c r="P95" s="15">
        <f t="shared" si="72"/>
        <v>0.36499999999999994</v>
      </c>
      <c r="Q95" s="15">
        <f t="shared" si="72"/>
        <v>0.49</v>
      </c>
      <c r="R95" s="26">
        <f>$Q$31*R103</f>
        <v>0.50089210150009511</v>
      </c>
      <c r="S95" s="26">
        <f t="shared" ref="S95:AD95" si="73">$Q$31*S103</f>
        <v>0.51157846238548521</v>
      </c>
      <c r="T95" s="26">
        <f t="shared" si="73"/>
        <v>0.52251334329146604</v>
      </c>
      <c r="U95" s="26">
        <f t="shared" si="73"/>
        <v>0.53369674421803714</v>
      </c>
      <c r="V95" s="26">
        <f t="shared" si="73"/>
        <v>0.54512866516519887</v>
      </c>
      <c r="W95" s="26">
        <f t="shared" si="73"/>
        <v>0.55680910613295109</v>
      </c>
      <c r="X95" s="26">
        <f t="shared" si="73"/>
        <v>0.5686138071109984</v>
      </c>
      <c r="Y95" s="26">
        <f t="shared" si="73"/>
        <v>0.58079128811993153</v>
      </c>
      <c r="Z95" s="26">
        <f t="shared" si="73"/>
        <v>0.59321728914945504</v>
      </c>
      <c r="AA95" s="26">
        <f t="shared" si="73"/>
        <v>0.60589181019956917</v>
      </c>
      <c r="AB95" s="26">
        <f t="shared" si="73"/>
        <v>0.61893911128056889</v>
      </c>
      <c r="AC95" s="26">
        <f t="shared" si="73"/>
        <v>0.63211067237186391</v>
      </c>
      <c r="AD95" s="26">
        <f t="shared" si="73"/>
        <v>0.64565501349404453</v>
      </c>
    </row>
    <row r="96" spans="2:30" hidden="1" x14ac:dyDescent="0.3"/>
    <row r="97" spans="2:30" hidden="1" x14ac:dyDescent="0.3"/>
    <row r="98" spans="2:30" hidden="1" x14ac:dyDescent="0.3">
      <c r="E98">
        <v>2010</v>
      </c>
      <c r="F98">
        <v>2011</v>
      </c>
      <c r="G98">
        <v>2012</v>
      </c>
      <c r="H98">
        <v>2013</v>
      </c>
      <c r="I98">
        <v>2014</v>
      </c>
      <c r="J98">
        <v>2015</v>
      </c>
      <c r="K98">
        <v>2016</v>
      </c>
      <c r="L98">
        <v>2017</v>
      </c>
      <c r="M98">
        <v>2018</v>
      </c>
      <c r="N98">
        <v>2019</v>
      </c>
      <c r="O98">
        <v>2020</v>
      </c>
      <c r="P98">
        <v>2021</v>
      </c>
      <c r="Q98">
        <v>2022</v>
      </c>
      <c r="R98">
        <v>2023</v>
      </c>
      <c r="S98">
        <v>2024</v>
      </c>
      <c r="T98">
        <v>2025</v>
      </c>
      <c r="U98">
        <v>2026</v>
      </c>
      <c r="V98">
        <v>2027</v>
      </c>
      <c r="W98">
        <v>2028</v>
      </c>
      <c r="X98">
        <v>2029</v>
      </c>
      <c r="Y98">
        <v>2030</v>
      </c>
      <c r="Z98">
        <v>2031</v>
      </c>
      <c r="AA98">
        <v>2032</v>
      </c>
      <c r="AB98">
        <v>2033</v>
      </c>
      <c r="AC98">
        <v>2034</v>
      </c>
      <c r="AD98">
        <v>2035</v>
      </c>
    </row>
    <row r="99" spans="2:30" hidden="1" x14ac:dyDescent="0.3">
      <c r="B99" t="s">
        <v>85</v>
      </c>
      <c r="C99" t="s">
        <v>65</v>
      </c>
      <c r="D99" s="16" t="s">
        <v>20</v>
      </c>
      <c r="E99" s="19">
        <v>423.4</v>
      </c>
      <c r="F99" s="19">
        <v>522.5</v>
      </c>
      <c r="G99" s="19">
        <v>621.6</v>
      </c>
      <c r="H99" s="19">
        <v>569.9</v>
      </c>
      <c r="I99" s="19">
        <v>518.20000000000005</v>
      </c>
      <c r="J99" s="19">
        <v>530.9</v>
      </c>
      <c r="K99" s="19">
        <v>543.70000000000005</v>
      </c>
      <c r="L99" s="19">
        <v>469.4</v>
      </c>
      <c r="M99" s="19">
        <v>395.1</v>
      </c>
      <c r="N99" s="19">
        <v>397.5</v>
      </c>
      <c r="O99" s="19">
        <v>374.8</v>
      </c>
      <c r="P99" s="19">
        <v>386.4</v>
      </c>
      <c r="Q99" s="19">
        <v>394.6</v>
      </c>
      <c r="R99" s="17">
        <v>403.1</v>
      </c>
      <c r="S99" s="17">
        <v>411.7</v>
      </c>
      <c r="T99" s="17">
        <v>420.5</v>
      </c>
      <c r="U99" s="17">
        <v>429.5</v>
      </c>
      <c r="V99" s="17">
        <v>438.7</v>
      </c>
      <c r="W99" s="17">
        <v>448.1</v>
      </c>
      <c r="X99" s="17">
        <v>457.6</v>
      </c>
      <c r="Y99" s="17">
        <v>467.4</v>
      </c>
      <c r="Z99" s="17">
        <v>477.4</v>
      </c>
      <c r="AA99" s="17">
        <v>487.6</v>
      </c>
      <c r="AB99" s="17">
        <v>498.1</v>
      </c>
      <c r="AC99" s="17">
        <v>508.7</v>
      </c>
      <c r="AD99" s="17">
        <v>519.6</v>
      </c>
    </row>
    <row r="100" spans="2:30" hidden="1" x14ac:dyDescent="0.3">
      <c r="C100" t="s">
        <v>68</v>
      </c>
      <c r="D100" s="16" t="s">
        <v>20</v>
      </c>
      <c r="E100" s="20">
        <f>E99/1000</f>
        <v>0.4234</v>
      </c>
      <c r="F100" s="20">
        <f t="shared" ref="F100" si="74">F99/1000</f>
        <v>0.52249999999999996</v>
      </c>
      <c r="G100" s="20">
        <f t="shared" ref="G100" si="75">G99/1000</f>
        <v>0.62160000000000004</v>
      </c>
      <c r="H100" s="20">
        <f t="shared" ref="H100" si="76">H99/1000</f>
        <v>0.56989999999999996</v>
      </c>
      <c r="I100" s="20">
        <f t="shared" ref="I100" si="77">I99/1000</f>
        <v>0.51819999999999999</v>
      </c>
      <c r="J100" s="20">
        <f t="shared" ref="J100" si="78">J99/1000</f>
        <v>0.53089999999999993</v>
      </c>
      <c r="K100" s="20">
        <f t="shared" ref="K100" si="79">K99/1000</f>
        <v>0.54370000000000007</v>
      </c>
      <c r="L100" s="20">
        <f t="shared" ref="L100" si="80">L99/1000</f>
        <v>0.46939999999999998</v>
      </c>
      <c r="M100" s="20">
        <f t="shared" ref="M100" si="81">M99/1000</f>
        <v>0.39510000000000001</v>
      </c>
      <c r="N100" s="20">
        <f t="shared" ref="N100" si="82">N99/1000</f>
        <v>0.39750000000000002</v>
      </c>
      <c r="O100" s="20">
        <f t="shared" ref="O100" si="83">O99/1000</f>
        <v>0.37480000000000002</v>
      </c>
      <c r="P100" s="20">
        <f t="shared" ref="P100" si="84">P99/1000</f>
        <v>0.38639999999999997</v>
      </c>
      <c r="Q100" s="20">
        <f t="shared" ref="Q100" si="85">Q99/1000</f>
        <v>0.39460000000000001</v>
      </c>
      <c r="R100" s="18">
        <f t="shared" ref="R100" si="86">R99/1000</f>
        <v>0.40310000000000001</v>
      </c>
      <c r="S100" s="18">
        <f t="shared" ref="S100" si="87">S99/1000</f>
        <v>0.41170000000000001</v>
      </c>
      <c r="T100" s="18">
        <f t="shared" ref="T100" si="88">T99/1000</f>
        <v>0.42049999999999998</v>
      </c>
      <c r="U100" s="18">
        <f t="shared" ref="U100" si="89">U99/1000</f>
        <v>0.42949999999999999</v>
      </c>
      <c r="V100" s="18">
        <f t="shared" ref="V100" si="90">V99/1000</f>
        <v>0.43869999999999998</v>
      </c>
      <c r="W100" s="18">
        <f t="shared" ref="W100" si="91">W99/1000</f>
        <v>0.4481</v>
      </c>
      <c r="X100" s="18">
        <f t="shared" ref="X100" si="92">X99/1000</f>
        <v>0.45760000000000001</v>
      </c>
      <c r="Y100" s="18">
        <f t="shared" ref="Y100" si="93">Y99/1000</f>
        <v>0.46739999999999998</v>
      </c>
      <c r="Z100" s="18">
        <f t="shared" ref="Z100" si="94">Z99/1000</f>
        <v>0.47739999999999999</v>
      </c>
      <c r="AA100" s="18">
        <f t="shared" ref="AA100" si="95">AA99/1000</f>
        <v>0.48760000000000003</v>
      </c>
      <c r="AB100" s="18">
        <f t="shared" ref="AB100" si="96">AB99/1000</f>
        <v>0.49810000000000004</v>
      </c>
      <c r="AC100" s="18">
        <f t="shared" ref="AC100" si="97">AC99/1000</f>
        <v>0.50870000000000004</v>
      </c>
      <c r="AD100" s="18">
        <f t="shared" ref="AD100" si="98">AD99/1000</f>
        <v>0.51960000000000006</v>
      </c>
    </row>
    <row r="101" spans="2:30" hidden="1" x14ac:dyDescent="0.3"/>
    <row r="102" spans="2:30" hidden="1" x14ac:dyDescent="0.3"/>
    <row r="103" spans="2:30" hidden="1" x14ac:dyDescent="0.3">
      <c r="B103" t="s">
        <v>86</v>
      </c>
      <c r="Q103">
        <f>Q99/$Q$51</f>
        <v>1</v>
      </c>
      <c r="R103" s="26">
        <f>R99/$Q$51</f>
        <v>1.0215408008109479</v>
      </c>
      <c r="S103" s="26">
        <f t="shared" ref="S103:AD103" si="99">S99/$Q$51</f>
        <v>1.0433350228079066</v>
      </c>
      <c r="T103" s="26">
        <f t="shared" si="99"/>
        <v>1.065636087176888</v>
      </c>
      <c r="U103" s="26">
        <f t="shared" si="99"/>
        <v>1.0884439939178914</v>
      </c>
      <c r="V103" s="26">
        <f t="shared" si="99"/>
        <v>1.1117587430309173</v>
      </c>
      <c r="W103" s="26">
        <f t="shared" si="99"/>
        <v>1.1355803345159656</v>
      </c>
      <c r="X103" s="26">
        <f t="shared" si="99"/>
        <v>1.1596553471870248</v>
      </c>
      <c r="Y103" s="26">
        <f t="shared" si="99"/>
        <v>1.1844906234161174</v>
      </c>
      <c r="Z103" s="26">
        <f t="shared" si="99"/>
        <v>1.2098327420172326</v>
      </c>
      <c r="AA103" s="26">
        <f t="shared" si="99"/>
        <v>1.2356817029903699</v>
      </c>
      <c r="AB103" s="26">
        <f t="shared" si="99"/>
        <v>1.2622909275215408</v>
      </c>
      <c r="AC103" s="26">
        <f t="shared" si="99"/>
        <v>1.2891535732387227</v>
      </c>
      <c r="AD103" s="26">
        <f t="shared" si="99"/>
        <v>1.3167764825139381</v>
      </c>
    </row>
    <row r="104" spans="2:30" hidden="1" x14ac:dyDescent="0.3"/>
    <row r="105" spans="2:30" s="25" customFormat="1" ht="15" hidden="1" thickBot="1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8669-36F1-4D09-96F5-4415F4FBD9C2}">
  <sheetPr>
    <tabColor theme="0" tint="-0.249977111117893"/>
  </sheetPr>
  <dimension ref="B6:AE43"/>
  <sheetViews>
    <sheetView topLeftCell="A4" workbookViewId="0">
      <selection activeCell="O35" sqref="O35"/>
    </sheetView>
  </sheetViews>
  <sheetFormatPr defaultRowHeight="14.4" x14ac:dyDescent="0.3"/>
  <cols>
    <col min="2" max="2" width="22.33203125" bestFit="1" customWidth="1"/>
    <col min="5" max="5" width="25.6640625" bestFit="1" customWidth="1"/>
    <col min="6" max="13" width="9.6640625" bestFit="1" customWidth="1"/>
    <col min="14" max="14" width="8.5546875" bestFit="1" customWidth="1"/>
    <col min="15" max="31" width="9" bestFit="1" customWidth="1"/>
  </cols>
  <sheetData>
    <row r="6" spans="2:31" x14ac:dyDescent="0.3">
      <c r="G6" t="s">
        <v>89</v>
      </c>
    </row>
    <row r="7" spans="2:31" x14ac:dyDescent="0.3">
      <c r="E7" s="1" t="s">
        <v>72</v>
      </c>
      <c r="F7" s="6">
        <v>2010</v>
      </c>
      <c r="G7" s="5">
        <v>2011</v>
      </c>
      <c r="H7" s="6">
        <v>2012</v>
      </c>
      <c r="I7" s="5">
        <v>2013</v>
      </c>
      <c r="J7" s="6">
        <v>2014</v>
      </c>
      <c r="K7" s="5">
        <v>2015</v>
      </c>
      <c r="L7" s="6">
        <v>2016</v>
      </c>
      <c r="M7" s="5">
        <v>2017</v>
      </c>
      <c r="N7" s="6">
        <v>2018</v>
      </c>
      <c r="O7" s="1">
        <v>2019</v>
      </c>
      <c r="P7" s="1">
        <v>2020</v>
      </c>
      <c r="Q7" s="1">
        <v>2021</v>
      </c>
      <c r="R7" s="1">
        <v>2022</v>
      </c>
      <c r="S7" s="1">
        <v>2023</v>
      </c>
      <c r="T7" s="1">
        <v>2024</v>
      </c>
      <c r="U7" s="1">
        <v>2025</v>
      </c>
      <c r="V7" s="1">
        <v>2026</v>
      </c>
      <c r="W7" s="1">
        <v>2027</v>
      </c>
      <c r="X7" s="1">
        <v>2028</v>
      </c>
      <c r="Y7" s="1">
        <v>2029</v>
      </c>
      <c r="Z7" s="1">
        <v>2030</v>
      </c>
      <c r="AA7" s="1">
        <v>2031</v>
      </c>
      <c r="AB7" s="1">
        <v>2032</v>
      </c>
      <c r="AC7" s="1">
        <v>2033</v>
      </c>
      <c r="AD7" s="1">
        <v>2034</v>
      </c>
      <c r="AE7" s="1">
        <v>2035</v>
      </c>
    </row>
    <row r="8" spans="2:31" x14ac:dyDescent="0.3">
      <c r="B8" t="s">
        <v>90</v>
      </c>
      <c r="E8" s="3" t="s">
        <v>73</v>
      </c>
      <c r="F8" s="1">
        <v>1781.97</v>
      </c>
      <c r="G8" s="1"/>
      <c r="H8" s="1">
        <v>1787.64</v>
      </c>
      <c r="I8" s="1"/>
      <c r="J8" s="1">
        <v>1884.82</v>
      </c>
      <c r="K8" s="1"/>
      <c r="L8" s="1">
        <v>1750.74</v>
      </c>
      <c r="M8" s="1"/>
      <c r="N8" s="1">
        <v>2008.62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2:31" x14ac:dyDescent="0.3">
      <c r="B9" t="s">
        <v>91</v>
      </c>
      <c r="E9" s="3" t="s">
        <v>73</v>
      </c>
      <c r="F9" s="3">
        <v>1781.9687670000001</v>
      </c>
      <c r="G9" s="12">
        <v>1784.8022985</v>
      </c>
      <c r="H9" s="3">
        <v>1787.6358299999999</v>
      </c>
      <c r="I9" s="12">
        <v>1836.2279149999999</v>
      </c>
      <c r="J9" s="3">
        <v>1884.82</v>
      </c>
      <c r="K9" s="12">
        <v>1817.78</v>
      </c>
      <c r="L9" s="3">
        <v>1750.74</v>
      </c>
      <c r="M9" s="12">
        <v>1889.885</v>
      </c>
      <c r="N9" s="3">
        <v>2029.0299999999997</v>
      </c>
      <c r="O9" s="12">
        <v>1688.4301949999999</v>
      </c>
      <c r="P9" s="3">
        <v>1347.8303899999999</v>
      </c>
      <c r="Q9" s="3">
        <v>1964.887972</v>
      </c>
      <c r="R9" s="3">
        <v>1797.8711719999999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1" spans="2:31" x14ac:dyDescent="0.3">
      <c r="F11" s="15">
        <v>3.3290000000000002</v>
      </c>
      <c r="G11" s="15">
        <v>3.3284000000000002</v>
      </c>
      <c r="H11" s="15">
        <v>3.3278000000000003</v>
      </c>
      <c r="I11" s="15">
        <v>3.4340000000000002</v>
      </c>
      <c r="J11" s="15">
        <v>3.5399000000000003</v>
      </c>
      <c r="K11" s="15">
        <v>3.4108000000000001</v>
      </c>
      <c r="L11" s="15">
        <v>3.2819000000000003</v>
      </c>
      <c r="M11" s="15">
        <v>3.5381</v>
      </c>
      <c r="N11" s="15">
        <v>3.7941000000000003</v>
      </c>
    </row>
    <row r="12" spans="2:31" x14ac:dyDescent="0.3">
      <c r="B12" t="s">
        <v>92</v>
      </c>
      <c r="F12">
        <f>ROUND(F9/(F11*1000),4)</f>
        <v>0.5353</v>
      </c>
      <c r="G12">
        <f t="shared" ref="G12:N12" si="0">ROUND(G9/(G11*1000),4)</f>
        <v>0.53620000000000001</v>
      </c>
      <c r="H12">
        <f t="shared" si="0"/>
        <v>0.53720000000000001</v>
      </c>
      <c r="I12">
        <f t="shared" si="0"/>
        <v>0.53469999999999995</v>
      </c>
      <c r="J12">
        <f t="shared" si="0"/>
        <v>0.53249999999999997</v>
      </c>
      <c r="K12">
        <f t="shared" si="0"/>
        <v>0.53290000000000004</v>
      </c>
      <c r="L12">
        <f t="shared" si="0"/>
        <v>0.53349999999999997</v>
      </c>
      <c r="M12">
        <f t="shared" si="0"/>
        <v>0.53420000000000001</v>
      </c>
      <c r="N12">
        <f t="shared" si="0"/>
        <v>0.53480000000000005</v>
      </c>
    </row>
    <row r="13" spans="2:31" x14ac:dyDescent="0.3">
      <c r="B13" t="s">
        <v>93</v>
      </c>
    </row>
    <row r="15" spans="2:31" x14ac:dyDescent="0.3">
      <c r="O15" t="s">
        <v>94</v>
      </c>
    </row>
    <row r="16" spans="2:31" x14ac:dyDescent="0.3">
      <c r="B16" t="s">
        <v>95</v>
      </c>
      <c r="E16" t="s">
        <v>96</v>
      </c>
      <c r="F16" s="86">
        <v>0.5353</v>
      </c>
      <c r="G16" s="86">
        <v>0.53620000000000001</v>
      </c>
      <c r="H16" s="86">
        <v>0.53720000000000001</v>
      </c>
      <c r="I16" s="86">
        <v>0.53469999999999995</v>
      </c>
      <c r="J16" s="86">
        <v>0.53249999999999997</v>
      </c>
      <c r="K16" s="86">
        <v>0.53290000000000004</v>
      </c>
      <c r="L16" s="86">
        <v>0.53349999999999997</v>
      </c>
      <c r="M16" s="86">
        <v>0.53415000000000001</v>
      </c>
      <c r="N16" s="86">
        <v>0.53480000000000005</v>
      </c>
      <c r="O16" s="86">
        <v>0.53480000000000005</v>
      </c>
      <c r="P16" s="86">
        <v>0.53480000000000005</v>
      </c>
      <c r="Q16" s="86">
        <v>0.53480000000000005</v>
      </c>
      <c r="R16" s="86">
        <v>0.53480000000000005</v>
      </c>
      <c r="S16" s="86">
        <v>0.53480000000000005</v>
      </c>
      <c r="T16" s="86">
        <v>0.53480000000000005</v>
      </c>
      <c r="U16" s="86">
        <v>0.53480000000000005</v>
      </c>
      <c r="V16" s="86">
        <v>0.53480000000000005</v>
      </c>
      <c r="W16" s="86">
        <v>0.53480000000000005</v>
      </c>
      <c r="X16" s="86">
        <v>0.53480000000000005</v>
      </c>
      <c r="Y16" s="86">
        <v>0.53480000000000005</v>
      </c>
      <c r="Z16" s="86">
        <v>0.53480000000000005</v>
      </c>
      <c r="AA16" s="86">
        <v>0.53480000000000005</v>
      </c>
      <c r="AB16" s="86">
        <v>0.53480000000000005</v>
      </c>
      <c r="AC16" s="86">
        <v>0.53480000000000005</v>
      </c>
      <c r="AD16" s="86">
        <v>0.53480000000000005</v>
      </c>
      <c r="AE16" s="86">
        <v>0.53480000000000005</v>
      </c>
    </row>
    <row r="17" spans="2:31" x14ac:dyDescent="0.3">
      <c r="B17" t="s">
        <v>97</v>
      </c>
      <c r="E17" t="s">
        <v>96</v>
      </c>
      <c r="F17" s="86">
        <v>0.5353</v>
      </c>
      <c r="G17" s="86">
        <v>0.53620000000000001</v>
      </c>
      <c r="H17" s="86">
        <v>0.53720000000000001</v>
      </c>
      <c r="I17" s="86">
        <v>0.53469999999999995</v>
      </c>
      <c r="J17" s="86">
        <v>0.53249999999999997</v>
      </c>
      <c r="K17" s="86">
        <v>0.53290000000000004</v>
      </c>
      <c r="L17" s="86">
        <v>0.53349999999999997</v>
      </c>
      <c r="M17" s="86">
        <v>0.53415000000000001</v>
      </c>
      <c r="N17" s="86">
        <v>0.53480000000000005</v>
      </c>
      <c r="O17" s="86">
        <v>0.53480000000000005</v>
      </c>
      <c r="P17" s="86">
        <v>0.53480000000000005</v>
      </c>
      <c r="Q17" s="86">
        <v>0.53480000000000005</v>
      </c>
      <c r="R17" s="86">
        <v>0.53480000000000005</v>
      </c>
      <c r="S17" s="86">
        <v>0.53480000000000005</v>
      </c>
      <c r="T17" s="86">
        <v>0.53480000000000005</v>
      </c>
      <c r="U17" s="86">
        <v>0.53480000000000005</v>
      </c>
      <c r="V17" s="86">
        <v>0.53480000000000005</v>
      </c>
      <c r="W17" s="86">
        <v>0.53480000000000005</v>
      </c>
      <c r="X17" s="86">
        <v>0.53480000000000005</v>
      </c>
      <c r="Y17" s="86">
        <v>0.53480000000000005</v>
      </c>
      <c r="Z17" s="86">
        <v>0.53480000000000005</v>
      </c>
      <c r="AA17" s="86">
        <v>0.53480000000000005</v>
      </c>
      <c r="AB17" s="86">
        <v>0.53480000000000005</v>
      </c>
      <c r="AC17" s="86">
        <v>0.53480000000000005</v>
      </c>
      <c r="AD17" s="86">
        <v>0.53480000000000005</v>
      </c>
      <c r="AE17" s="86">
        <v>0.53480000000000005</v>
      </c>
    </row>
    <row r="19" spans="2:31" x14ac:dyDescent="0.3"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2:31" x14ac:dyDescent="0.3">
      <c r="B20" t="s">
        <v>98</v>
      </c>
      <c r="F20" s="90">
        <f>F9/(F16*1000)</f>
        <v>3.3289160601531855</v>
      </c>
      <c r="G20" s="90">
        <f t="shared" ref="G20:N20" si="1">G9/(G16*1000)</f>
        <v>3.3286130147333082</v>
      </c>
      <c r="H20" s="90">
        <f t="shared" si="1"/>
        <v>3.3276914184661202</v>
      </c>
      <c r="I20" s="90">
        <f t="shared" si="1"/>
        <v>3.4341273891902002</v>
      </c>
      <c r="J20" s="90">
        <f t="shared" si="1"/>
        <v>3.5395680751173706</v>
      </c>
      <c r="K20" s="90">
        <f t="shared" si="1"/>
        <v>3.4111090260836923</v>
      </c>
      <c r="L20" s="90">
        <f t="shared" si="1"/>
        <v>3.2816119962511716</v>
      </c>
      <c r="M20" s="90">
        <f t="shared" si="1"/>
        <v>3.538116633904334</v>
      </c>
      <c r="N20" s="90">
        <f t="shared" si="1"/>
        <v>3.7939977561705303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2" spans="2:31" x14ac:dyDescent="0.3">
      <c r="B22" t="s">
        <v>99</v>
      </c>
      <c r="F22" s="96">
        <v>0.63109999999999999</v>
      </c>
      <c r="G22" s="96">
        <v>0.58719999999999994</v>
      </c>
      <c r="H22" s="96">
        <v>0.54900000000000004</v>
      </c>
      <c r="I22" s="96">
        <v>0.5444</v>
      </c>
      <c r="J22" s="96">
        <v>0.54010000000000002</v>
      </c>
      <c r="K22" s="96">
        <v>0.58989999999999998</v>
      </c>
      <c r="L22" s="96">
        <v>0.65510000000000002</v>
      </c>
      <c r="M22" s="96">
        <v>0.70299999999999996</v>
      </c>
      <c r="N22" s="97">
        <v>0.75039999999999996</v>
      </c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</row>
    <row r="23" spans="2:31" x14ac:dyDescent="0.3">
      <c r="F23" s="48"/>
      <c r="G23" s="48"/>
      <c r="H23" s="48"/>
      <c r="I23" s="48"/>
      <c r="J23" s="48"/>
      <c r="K23" s="48"/>
      <c r="L23" s="48"/>
      <c r="M23" s="48"/>
      <c r="N23" s="48"/>
    </row>
    <row r="24" spans="2:31" x14ac:dyDescent="0.3">
      <c r="F24" s="49"/>
      <c r="G24" s="49"/>
      <c r="H24" s="49"/>
      <c r="I24" s="49"/>
      <c r="J24" s="49"/>
      <c r="K24" s="49"/>
      <c r="L24" s="49"/>
      <c r="M24" s="49"/>
      <c r="N24" s="49"/>
    </row>
    <row r="25" spans="2:31" x14ac:dyDescent="0.3">
      <c r="B25" t="s">
        <v>100</v>
      </c>
      <c r="F25" s="91">
        <f>F20/F22</f>
        <v>5.2747838062956509</v>
      </c>
      <c r="G25" s="91">
        <f t="shared" ref="G25:N25" si="2">G20/G22</f>
        <v>5.6686188943005931</v>
      </c>
      <c r="H25" s="91">
        <f t="shared" si="2"/>
        <v>6.0613687039455737</v>
      </c>
      <c r="I25" s="91">
        <f t="shared" si="2"/>
        <v>6.3080958655220432</v>
      </c>
      <c r="J25" s="91">
        <f>J20/J22</f>
        <v>6.5535420757588785</v>
      </c>
      <c r="K25" s="91">
        <f t="shared" si="2"/>
        <v>5.7825208104487071</v>
      </c>
      <c r="L25" s="91">
        <f t="shared" si="2"/>
        <v>5.0093298675792575</v>
      </c>
      <c r="M25" s="91">
        <f t="shared" si="2"/>
        <v>5.0328828362792803</v>
      </c>
      <c r="N25" s="91">
        <f t="shared" si="2"/>
        <v>5.055967159075867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2:31" x14ac:dyDescent="0.3"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8" spans="2:31" x14ac:dyDescent="0.3">
      <c r="B28" t="s">
        <v>101</v>
      </c>
      <c r="F28" s="91">
        <v>5.2748999999999997</v>
      </c>
      <c r="G28" s="91">
        <v>5.6681999999999997</v>
      </c>
      <c r="H28" s="91">
        <v>6.0614999999999997</v>
      </c>
      <c r="I28" s="91">
        <v>6.3077999999999994</v>
      </c>
      <c r="J28" s="91">
        <v>6.5541</v>
      </c>
      <c r="K28" s="91">
        <v>5.7818999999999994</v>
      </c>
      <c r="L28" s="91">
        <v>5.0096999999999996</v>
      </c>
      <c r="M28" s="91">
        <v>5.0327999999999999</v>
      </c>
      <c r="N28" s="91">
        <v>5.0559000000000003</v>
      </c>
      <c r="O28" s="91">
        <v>4.8175999999999997</v>
      </c>
      <c r="P28" s="91">
        <v>3.8519000000000001</v>
      </c>
      <c r="Q28" s="91">
        <v>3.5964</v>
      </c>
      <c r="R28" s="91">
        <v>4.2394999999999996</v>
      </c>
      <c r="S28" s="91">
        <v>4.4562999999999997</v>
      </c>
      <c r="T28" s="91">
        <v>4.673</v>
      </c>
      <c r="U28" s="91">
        <v>4.8898000000000001</v>
      </c>
      <c r="V28" s="91">
        <v>5.1066000000000003</v>
      </c>
      <c r="W28" s="91">
        <v>5.3232999999999997</v>
      </c>
      <c r="X28" s="91">
        <v>5.5400999999999998</v>
      </c>
      <c r="Y28" s="91">
        <v>5.7568999999999999</v>
      </c>
      <c r="Z28" s="91">
        <v>5.9736000000000002</v>
      </c>
      <c r="AA28" s="91">
        <v>6.1904000000000003</v>
      </c>
      <c r="AB28" s="91">
        <v>6.4071999999999996</v>
      </c>
      <c r="AC28" s="91">
        <v>6.6238999999999999</v>
      </c>
      <c r="AD28" s="91">
        <v>6.8407</v>
      </c>
      <c r="AE28" s="91">
        <v>7.0575000000000001</v>
      </c>
    </row>
    <row r="29" spans="2:31" x14ac:dyDescent="0.3">
      <c r="B29" t="s">
        <v>102</v>
      </c>
      <c r="R29" s="86">
        <f>R28/$R$28</f>
        <v>1</v>
      </c>
      <c r="S29" s="86">
        <f>S28/$R$28</f>
        <v>1.0511381059087157</v>
      </c>
      <c r="T29" s="86">
        <f t="shared" ref="T29:AE29" si="3">T28/$R$28</f>
        <v>1.1022526241302042</v>
      </c>
      <c r="U29" s="86">
        <f t="shared" si="3"/>
        <v>1.1533907300389199</v>
      </c>
      <c r="V29" s="86">
        <f t="shared" si="3"/>
        <v>1.2045288359476356</v>
      </c>
      <c r="W29" s="86">
        <f t="shared" si="3"/>
        <v>1.2556433541691239</v>
      </c>
      <c r="X29" s="86">
        <f t="shared" si="3"/>
        <v>1.3067814600778394</v>
      </c>
      <c r="Y29" s="86">
        <f t="shared" si="3"/>
        <v>1.3579195659865551</v>
      </c>
      <c r="Z29" s="86">
        <f t="shared" si="3"/>
        <v>1.4090340842080435</v>
      </c>
      <c r="AA29" s="86">
        <f t="shared" si="3"/>
        <v>1.4601721901167592</v>
      </c>
      <c r="AB29" s="86">
        <f t="shared" si="3"/>
        <v>1.5113102960254747</v>
      </c>
      <c r="AC29" s="86">
        <f t="shared" si="3"/>
        <v>1.5624248142469632</v>
      </c>
      <c r="AD29" s="86">
        <f t="shared" si="3"/>
        <v>1.6135629201556789</v>
      </c>
      <c r="AE29" s="86">
        <f t="shared" si="3"/>
        <v>1.6647010260643946</v>
      </c>
    </row>
    <row r="31" spans="2:31" x14ac:dyDescent="0.3">
      <c r="F31" s="47"/>
      <c r="G31" s="47"/>
      <c r="H31" s="47"/>
      <c r="I31" s="47"/>
      <c r="J31" s="47"/>
      <c r="K31" s="47"/>
      <c r="L31" s="47"/>
      <c r="M31" s="47"/>
      <c r="N31" s="47"/>
    </row>
    <row r="33" spans="6:31" x14ac:dyDescent="0.3"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6" spans="6:31" x14ac:dyDescent="0.3"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9" spans="6:31" x14ac:dyDescent="0.3"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1" spans="6:31" x14ac:dyDescent="0.3"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6:31" x14ac:dyDescent="0.3"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6:31" x14ac:dyDescent="0.3">
      <c r="F43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DD56A9-5E4A-4B34-868C-E3073F562364}"/>
</file>

<file path=customXml/itemProps2.xml><?xml version="1.0" encoding="utf-8"?>
<ds:datastoreItem xmlns:ds="http://schemas.openxmlformats.org/officeDocument/2006/customXml" ds:itemID="{2C8CB43A-19A5-4D5A-9567-BDB9AB71F7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37D687-8DF1-455F-8FBC-B8FA3E3A57B8}">
  <ds:schemaRefs>
    <ds:schemaRef ds:uri="http://schemas.microsoft.com/office/2006/metadata/properties"/>
    <ds:schemaRef ds:uri="http://schemas.microsoft.com/office/infopath/2007/PartnerControls"/>
    <ds:schemaRef ds:uri="20fbab50-0c90-4fcd-9aec-c69fdbaf44e3"/>
    <ds:schemaRef ds:uri="ed575f5b-fa7e-445b-bbbb-e92fdf4cc5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Indice</vt:lpstr>
      <vt:lpstr>Metas</vt:lpstr>
      <vt:lpstr>Act_Cemento_Otros_PIUP_sinHFC</vt:lpstr>
      <vt:lpstr>Act_HFC</vt:lpstr>
      <vt:lpstr>Act_5CN_OtrosPIUP</vt:lpstr>
      <vt:lpstr>Otras_CementoMiscelanea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 Alfaro Corrales</dc:creator>
  <cp:keywords/>
  <dc:description/>
  <cp:lastModifiedBy>Ignacio  Alfaro Corrales</cp:lastModifiedBy>
  <cp:revision/>
  <dcterms:created xsi:type="dcterms:W3CDTF">2015-06-05T18:17:20Z</dcterms:created>
  <dcterms:modified xsi:type="dcterms:W3CDTF">2025-02-20T19:41:52Z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