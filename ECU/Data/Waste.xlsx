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clgcr.sharepoint.com/sites/ClimateLeadGroup-NDC_Ecu/Documentos compartidos/02_Data/Residuos/0_Hoja de calculo final/"/>
    </mc:Choice>
  </mc:AlternateContent>
  <xr:revisionPtr revIDLastSave="5457" documentId="11_0E8900A933E1C1C43C4BED9E22F7741F16B28D6E" xr6:coauthVersionLast="47" xr6:coauthVersionMax="47" xr10:uidLastSave="{845367D6-6A8C-4E39-9C05-6BB0B37B4F7E}"/>
  <bookViews>
    <workbookView xWindow="28680" yWindow="-45" windowWidth="29040" windowHeight="15720" xr2:uid="{00000000-000D-0000-FFFF-FFFF00000000}"/>
  </bookViews>
  <sheets>
    <sheet name="Indice" sheetId="29" r:id="rId1"/>
    <sheet name="Metas" sheetId="30" r:id="rId2"/>
    <sheet name="Gases" sheetId="31" r:id="rId3"/>
    <sheet name="T_INGEI_5CN" sheetId="1" r:id="rId4"/>
    <sheet name="T_5A1" sheetId="4" r:id="rId5"/>
    <sheet name="T_5A2" sheetId="5" r:id="rId6"/>
    <sheet name="T_Compostaje" sheetId="2" r:id="rId7"/>
    <sheet name="T_Incineracion" sheetId="3" r:id="rId8"/>
    <sheet name="T_5D1" sheetId="8" r:id="rId9"/>
    <sheet name="T_5D2" sheetId="9" r:id="rId10"/>
    <sheet name="Ini_I+C_CapturaMetano" sheetId="14" r:id="rId11"/>
    <sheet name="Ini_I+C_Reduccion" sheetId="15" r:id="rId12"/>
    <sheet name="Ini_I_Compostaje" sheetId="16" r:id="rId13"/>
    <sheet name="Ini_I+C_Compostaje" sheetId="17" r:id="rId14"/>
    <sheet name="Ini_I_PTAR" sheetId="23" r:id="rId15"/>
    <sheet name="Ini_I+C_PTAR" sheetId="27" r:id="rId16"/>
    <sheet name="Ini_I+C_PTAR_ARI" sheetId="22" r:id="rId17"/>
    <sheet name="Act_T_Solidos" sheetId="6" r:id="rId18"/>
    <sheet name="Act_T_Poblacion_PPC" sheetId="7" r:id="rId19"/>
    <sheet name="Act_I_Solidos" sheetId="18" r:id="rId20"/>
    <sheet name="Act_I+C_Solidos" sheetId="19" r:id="rId21"/>
    <sheet name="Act_T_Aguas" sheetId="10" r:id="rId22"/>
    <sheet name="Act_I_Aguas" sheetId="24" r:id="rId23"/>
    <sheet name="Act_I+C_Aguas" sheetId="26" r:id="rId24"/>
    <sheet name="Ajuste_T_Iniciativas1eraNDC_5CN" sheetId="12" r:id="rId25"/>
    <sheet name="Emi_T_ajustado" sheetId="13" r:id="rId26"/>
    <sheet name="Emi_I" sheetId="20" r:id="rId27"/>
    <sheet name="Emi_I+C" sheetId="21" r:id="rId2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5" i="18" l="1"/>
  <c r="H37" i="21" l="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G3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G7" i="21"/>
  <c r="H37" i="20"/>
  <c r="I37" i="20"/>
  <c r="J37" i="20"/>
  <c r="K37" i="20"/>
  <c r="L37" i="20"/>
  <c r="M37" i="20"/>
  <c r="N37" i="20"/>
  <c r="O37" i="20"/>
  <c r="P37" i="20"/>
  <c r="Q37" i="20"/>
  <c r="R37" i="20"/>
  <c r="S37" i="20"/>
  <c r="T37" i="20"/>
  <c r="U37" i="20"/>
  <c r="V37" i="20"/>
  <c r="W37" i="20"/>
  <c r="X37" i="20"/>
  <c r="Y37" i="20"/>
  <c r="Z37" i="20"/>
  <c r="AA37" i="20"/>
  <c r="AB37" i="20"/>
  <c r="AC37" i="20"/>
  <c r="AD37" i="20"/>
  <c r="AE37" i="20"/>
  <c r="AF37" i="20"/>
  <c r="G37" i="20"/>
  <c r="H7" i="20"/>
  <c r="I7" i="20"/>
  <c r="J7" i="20"/>
  <c r="K7" i="20"/>
  <c r="L7" i="20"/>
  <c r="M7" i="20"/>
  <c r="N7" i="20"/>
  <c r="O7" i="20"/>
  <c r="P7" i="20"/>
  <c r="Q7" i="20"/>
  <c r="R7" i="20"/>
  <c r="S7" i="20"/>
  <c r="T7" i="20"/>
  <c r="U7" i="20"/>
  <c r="V7" i="20"/>
  <c r="W7" i="20"/>
  <c r="X7" i="20"/>
  <c r="Y7" i="20"/>
  <c r="Z7" i="20"/>
  <c r="AA7" i="20"/>
  <c r="AB7" i="20"/>
  <c r="AC7" i="20"/>
  <c r="AD7" i="20"/>
  <c r="AE7" i="20"/>
  <c r="AF7" i="20"/>
  <c r="G7" i="20"/>
  <c r="H7" i="13"/>
  <c r="I7" i="13"/>
  <c r="J7" i="13"/>
  <c r="K7" i="13"/>
  <c r="L7" i="13"/>
  <c r="M7" i="13"/>
  <c r="N7" i="13"/>
  <c r="O7" i="13"/>
  <c r="P7" i="13"/>
  <c r="Q7" i="13"/>
  <c r="R7" i="13"/>
  <c r="S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G7" i="13"/>
  <c r="R15" i="30"/>
  <c r="AE58" i="6"/>
  <c r="AE60" i="6"/>
  <c r="AE61" i="6"/>
  <c r="AE62" i="6"/>
  <c r="AE64" i="6"/>
  <c r="AE65" i="6"/>
  <c r="AE66" i="6"/>
  <c r="H55" i="13" l="1"/>
  <c r="I55" i="13"/>
  <c r="J55" i="13"/>
  <c r="K55" i="13"/>
  <c r="L55" i="13"/>
  <c r="M55" i="13"/>
  <c r="N55" i="13"/>
  <c r="O55" i="13"/>
  <c r="P55" i="13"/>
  <c r="Q55" i="13"/>
  <c r="R55" i="13"/>
  <c r="S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G55" i="13"/>
  <c r="M39" i="13"/>
  <c r="N39" i="13"/>
  <c r="O39" i="13"/>
  <c r="P39" i="13"/>
  <c r="Q39" i="13"/>
  <c r="R39" i="13"/>
  <c r="S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H39" i="13"/>
  <c r="I39" i="13"/>
  <c r="J39" i="13"/>
  <c r="K39" i="13"/>
  <c r="L39" i="13"/>
  <c r="G39" i="13"/>
  <c r="H23" i="13"/>
  <c r="I23" i="13"/>
  <c r="J23" i="13"/>
  <c r="K23" i="13"/>
  <c r="L23" i="13"/>
  <c r="M23" i="13"/>
  <c r="N23" i="13"/>
  <c r="O23" i="13"/>
  <c r="P23" i="13"/>
  <c r="Q23" i="13"/>
  <c r="R23" i="13"/>
  <c r="S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G23" i="13"/>
  <c r="I6" i="12" l="1"/>
  <c r="J6" i="12"/>
  <c r="K6" i="12"/>
  <c r="L6" i="12"/>
  <c r="M6" i="12"/>
  <c r="N6" i="12"/>
  <c r="O6" i="12"/>
  <c r="P6" i="12"/>
  <c r="Q6" i="12"/>
  <c r="R6" i="12"/>
  <c r="S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H6" i="12"/>
  <c r="C52" i="16"/>
  <c r="D52" i="16"/>
  <c r="E52" i="16"/>
  <c r="F52" i="16"/>
  <c r="G52" i="16"/>
  <c r="H52" i="16"/>
  <c r="I52" i="16"/>
  <c r="I54" i="16" s="1"/>
  <c r="J52" i="16"/>
  <c r="J54" i="16" s="1"/>
  <c r="K52" i="16"/>
  <c r="L52" i="16"/>
  <c r="M52" i="16"/>
  <c r="N52" i="16"/>
  <c r="O52" i="16"/>
  <c r="P52" i="16"/>
  <c r="Q52" i="16"/>
  <c r="R52" i="16"/>
  <c r="R54" i="16" s="1"/>
  <c r="S52" i="16"/>
  <c r="T52" i="16"/>
  <c r="U52" i="16"/>
  <c r="V52" i="16"/>
  <c r="W52" i="16"/>
  <c r="X52" i="16"/>
  <c r="Y52" i="16"/>
  <c r="Z52" i="16"/>
  <c r="Z54" i="16" s="1"/>
  <c r="AA52" i="16"/>
  <c r="AB52" i="16"/>
  <c r="C54" i="16"/>
  <c r="D54" i="16"/>
  <c r="E54" i="16"/>
  <c r="F54" i="16"/>
  <c r="G54" i="16"/>
  <c r="H54" i="16"/>
  <c r="K54" i="16"/>
  <c r="L54" i="16"/>
  <c r="M54" i="16"/>
  <c r="N54" i="16"/>
  <c r="O54" i="16"/>
  <c r="P54" i="16"/>
  <c r="Q54" i="16"/>
  <c r="S54" i="16"/>
  <c r="T54" i="16"/>
  <c r="U54" i="16"/>
  <c r="V54" i="16"/>
  <c r="W54" i="16"/>
  <c r="X54" i="16"/>
  <c r="Y54" i="16"/>
  <c r="AA54" i="16"/>
  <c r="AB54" i="16"/>
  <c r="S88" i="4" l="1"/>
  <c r="T88" i="4"/>
  <c r="U88" i="4" s="1"/>
  <c r="V88" i="4" s="1"/>
  <c r="W88" i="4" s="1"/>
  <c r="X88" i="4" s="1"/>
  <c r="Y88" i="4" s="1"/>
  <c r="Z88" i="4" s="1"/>
  <c r="AA88" i="4" s="1"/>
  <c r="AB88" i="4" s="1"/>
  <c r="AC88" i="4" s="1"/>
  <c r="AD88" i="4" s="1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E88" i="4"/>
  <c r="J72" i="4"/>
  <c r="M72" i="4"/>
  <c r="E72" i="4"/>
  <c r="K71" i="4"/>
  <c r="M71" i="4"/>
  <c r="F35" i="4"/>
  <c r="F71" i="4" s="1"/>
  <c r="G35" i="4"/>
  <c r="G71" i="4" s="1"/>
  <c r="H35" i="4"/>
  <c r="H71" i="4" s="1"/>
  <c r="I35" i="4"/>
  <c r="I72" i="4" s="1"/>
  <c r="J35" i="4"/>
  <c r="J71" i="4" s="1"/>
  <c r="K35" i="4"/>
  <c r="K72" i="4" s="1"/>
  <c r="L35" i="4"/>
  <c r="L71" i="4" s="1"/>
  <c r="M35" i="4"/>
  <c r="N35" i="4"/>
  <c r="N71" i="4" s="1"/>
  <c r="O35" i="4"/>
  <c r="O71" i="4" s="1"/>
  <c r="E35" i="4"/>
  <c r="E71" i="4" s="1"/>
  <c r="J74" i="4"/>
  <c r="N74" i="4"/>
  <c r="L74" i="4"/>
  <c r="H74" i="4"/>
  <c r="F74" i="4"/>
  <c r="G74" i="4"/>
  <c r="M74" i="4"/>
  <c r="Q74" i="4"/>
  <c r="G22" i="4"/>
  <c r="I22" i="4"/>
  <c r="K22" i="4"/>
  <c r="M22" i="4"/>
  <c r="O22" i="4"/>
  <c r="P22" i="4"/>
  <c r="Q22" i="4"/>
  <c r="E22" i="4"/>
  <c r="Q89" i="4"/>
  <c r="P89" i="4"/>
  <c r="O89" i="4"/>
  <c r="N89" i="4"/>
  <c r="M89" i="4"/>
  <c r="L89" i="4"/>
  <c r="K89" i="4"/>
  <c r="J89" i="4"/>
  <c r="I89" i="4"/>
  <c r="H89" i="4"/>
  <c r="G89" i="4"/>
  <c r="F89" i="4"/>
  <c r="E89" i="4"/>
  <c r="Q87" i="4"/>
  <c r="P87" i="4"/>
  <c r="O87" i="4"/>
  <c r="N87" i="4"/>
  <c r="M87" i="4"/>
  <c r="L87" i="4"/>
  <c r="K87" i="4"/>
  <c r="J87" i="4"/>
  <c r="I87" i="4"/>
  <c r="H87" i="4"/>
  <c r="G87" i="4"/>
  <c r="F87" i="4"/>
  <c r="E87" i="4"/>
  <c r="G21" i="4"/>
  <c r="I21" i="4"/>
  <c r="I74" i="4" s="1"/>
  <c r="K21" i="4"/>
  <c r="K74" i="4" s="1"/>
  <c r="M21" i="4"/>
  <c r="O21" i="4"/>
  <c r="O74" i="4" s="1"/>
  <c r="P21" i="4"/>
  <c r="P74" i="4" s="1"/>
  <c r="Q21" i="4"/>
  <c r="E21" i="4"/>
  <c r="E74" i="4" s="1"/>
  <c r="O72" i="4" l="1"/>
  <c r="G72" i="4"/>
  <c r="H72" i="4"/>
  <c r="I71" i="4"/>
  <c r="N72" i="4"/>
  <c r="F72" i="4"/>
  <c r="L72" i="4"/>
  <c r="I9" i="12" l="1"/>
  <c r="J9" i="12"/>
  <c r="K9" i="12"/>
  <c r="L9" i="12"/>
  <c r="M9" i="12"/>
  <c r="O9" i="12"/>
  <c r="T9" i="12"/>
  <c r="U9" i="12"/>
  <c r="V9" i="12"/>
  <c r="W9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H8" i="12"/>
  <c r="I8" i="12"/>
  <c r="J8" i="12"/>
  <c r="K8" i="12"/>
  <c r="L8" i="12"/>
  <c r="M8" i="12"/>
  <c r="N8" i="12"/>
  <c r="O8" i="12"/>
  <c r="P8" i="12"/>
  <c r="Q8" i="12"/>
  <c r="R8" i="12"/>
  <c r="S8" i="12"/>
  <c r="T8" i="12"/>
  <c r="N9" i="12"/>
  <c r="P9" i="12"/>
  <c r="Q9" i="12"/>
  <c r="R9" i="12"/>
  <c r="S9" i="12"/>
  <c r="X9" i="12" l="1"/>
  <c r="F96" i="8"/>
  <c r="F42" i="8"/>
  <c r="F14" i="8"/>
  <c r="D23" i="30"/>
  <c r="E23" i="30"/>
  <c r="F23" i="30"/>
  <c r="G23" i="30"/>
  <c r="H23" i="30"/>
  <c r="I23" i="30"/>
  <c r="J23" i="30"/>
  <c r="K23" i="30"/>
  <c r="L23" i="30"/>
  <c r="M23" i="30"/>
  <c r="N23" i="30"/>
  <c r="O23" i="30"/>
  <c r="P23" i="30"/>
  <c r="Q23" i="30"/>
  <c r="R23" i="30"/>
  <c r="S23" i="30"/>
  <c r="T23" i="30"/>
  <c r="U23" i="30"/>
  <c r="V23" i="30"/>
  <c r="W23" i="30"/>
  <c r="X23" i="30"/>
  <c r="Y23" i="30"/>
  <c r="Z23" i="30"/>
  <c r="AA23" i="30"/>
  <c r="AB23" i="30"/>
  <c r="D25" i="30"/>
  <c r="E25" i="30"/>
  <c r="F25" i="30"/>
  <c r="G25" i="30"/>
  <c r="H25" i="30"/>
  <c r="I25" i="30"/>
  <c r="J25" i="30"/>
  <c r="K25" i="30"/>
  <c r="L25" i="30"/>
  <c r="M25" i="30"/>
  <c r="N25" i="30"/>
  <c r="O25" i="30"/>
  <c r="P25" i="30"/>
  <c r="Q25" i="30"/>
  <c r="R25" i="30"/>
  <c r="S25" i="30"/>
  <c r="T25" i="30"/>
  <c r="U25" i="30"/>
  <c r="V25" i="30"/>
  <c r="W25" i="30"/>
  <c r="X25" i="30"/>
  <c r="Y25" i="30"/>
  <c r="Z25" i="30"/>
  <c r="AA25" i="30"/>
  <c r="AB25" i="30"/>
  <c r="D26" i="30"/>
  <c r="E26" i="30"/>
  <c r="F26" i="30"/>
  <c r="G26" i="30"/>
  <c r="H26" i="30"/>
  <c r="I26" i="30"/>
  <c r="J26" i="30"/>
  <c r="K26" i="30"/>
  <c r="L26" i="30"/>
  <c r="M26" i="30"/>
  <c r="N26" i="30"/>
  <c r="O26" i="30"/>
  <c r="P26" i="30"/>
  <c r="Q26" i="30"/>
  <c r="R26" i="30"/>
  <c r="S26" i="30"/>
  <c r="T26" i="30"/>
  <c r="U26" i="30"/>
  <c r="V26" i="30"/>
  <c r="W26" i="30"/>
  <c r="X26" i="30"/>
  <c r="Y26" i="30"/>
  <c r="Z26" i="30"/>
  <c r="AA26" i="30"/>
  <c r="AB26" i="30"/>
  <c r="D27" i="30"/>
  <c r="E27" i="30"/>
  <c r="F27" i="30"/>
  <c r="G27" i="30"/>
  <c r="H27" i="30"/>
  <c r="I27" i="30"/>
  <c r="J27" i="30"/>
  <c r="K27" i="30"/>
  <c r="L27" i="30"/>
  <c r="M27" i="30"/>
  <c r="N27" i="30"/>
  <c r="O27" i="30"/>
  <c r="P27" i="30"/>
  <c r="Q27" i="30"/>
  <c r="R27" i="30"/>
  <c r="S27" i="30"/>
  <c r="T27" i="30"/>
  <c r="U27" i="30"/>
  <c r="V27" i="30"/>
  <c r="W27" i="30"/>
  <c r="X27" i="30"/>
  <c r="Y27" i="30"/>
  <c r="Z27" i="30"/>
  <c r="AA27" i="30"/>
  <c r="AB27" i="30"/>
  <c r="C26" i="30"/>
  <c r="C27" i="30"/>
  <c r="C23" i="30"/>
  <c r="C25" i="30"/>
  <c r="D16" i="30"/>
  <c r="E16" i="30"/>
  <c r="F16" i="30"/>
  <c r="G16" i="30"/>
  <c r="H16" i="30"/>
  <c r="I16" i="30"/>
  <c r="J16" i="30"/>
  <c r="K16" i="30"/>
  <c r="L16" i="30"/>
  <c r="M16" i="30"/>
  <c r="N16" i="30"/>
  <c r="O16" i="30"/>
  <c r="P16" i="30"/>
  <c r="Q16" i="30"/>
  <c r="R16" i="30"/>
  <c r="S16" i="30"/>
  <c r="T16" i="30"/>
  <c r="U16" i="30"/>
  <c r="V16" i="30"/>
  <c r="W16" i="30"/>
  <c r="X16" i="30"/>
  <c r="Y16" i="30"/>
  <c r="Z16" i="30"/>
  <c r="AA16" i="30"/>
  <c r="AB16" i="30"/>
  <c r="D18" i="30"/>
  <c r="E18" i="30"/>
  <c r="F18" i="30"/>
  <c r="G18" i="30"/>
  <c r="H18" i="30"/>
  <c r="I18" i="30"/>
  <c r="J18" i="30"/>
  <c r="K18" i="30"/>
  <c r="L18" i="30"/>
  <c r="M18" i="30"/>
  <c r="N18" i="30"/>
  <c r="O18" i="30"/>
  <c r="P18" i="30"/>
  <c r="Q18" i="30"/>
  <c r="R18" i="30"/>
  <c r="S18" i="30"/>
  <c r="T18" i="30"/>
  <c r="U18" i="30"/>
  <c r="V18" i="30"/>
  <c r="W18" i="30"/>
  <c r="X18" i="30"/>
  <c r="Y18" i="30"/>
  <c r="Z18" i="30"/>
  <c r="AA18" i="30"/>
  <c r="AB18" i="30"/>
  <c r="D19" i="30"/>
  <c r="E19" i="30"/>
  <c r="F19" i="30"/>
  <c r="G19" i="30"/>
  <c r="H19" i="30"/>
  <c r="I19" i="30"/>
  <c r="J19" i="30"/>
  <c r="K19" i="30"/>
  <c r="L19" i="30"/>
  <c r="M19" i="30"/>
  <c r="N19" i="30"/>
  <c r="O19" i="30"/>
  <c r="P19" i="30"/>
  <c r="Q19" i="30"/>
  <c r="R19" i="30"/>
  <c r="S19" i="30"/>
  <c r="T19" i="30"/>
  <c r="U19" i="30"/>
  <c r="V19" i="30"/>
  <c r="W19" i="30"/>
  <c r="X19" i="30"/>
  <c r="Y19" i="30"/>
  <c r="Z19" i="30"/>
  <c r="AA19" i="30"/>
  <c r="AB19" i="30"/>
  <c r="D20" i="30"/>
  <c r="E20" i="30"/>
  <c r="F20" i="30"/>
  <c r="G20" i="30"/>
  <c r="H20" i="30"/>
  <c r="I20" i="30"/>
  <c r="J20" i="30"/>
  <c r="K20" i="30"/>
  <c r="L20" i="30"/>
  <c r="M20" i="30"/>
  <c r="N20" i="30"/>
  <c r="O20" i="30"/>
  <c r="P20" i="30"/>
  <c r="Q20" i="30"/>
  <c r="R20" i="30"/>
  <c r="S20" i="30"/>
  <c r="T20" i="30"/>
  <c r="U20" i="30"/>
  <c r="V20" i="30"/>
  <c r="W20" i="30"/>
  <c r="X20" i="30"/>
  <c r="Y20" i="30"/>
  <c r="Z20" i="30"/>
  <c r="AA20" i="30"/>
  <c r="AB20" i="30"/>
  <c r="C19" i="30"/>
  <c r="C20" i="30"/>
  <c r="C16" i="30"/>
  <c r="C18" i="30"/>
  <c r="Y9" i="12" l="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G57" i="21"/>
  <c r="T41" i="21"/>
  <c r="U41" i="21"/>
  <c r="V41" i="21"/>
  <c r="W41" i="21"/>
  <c r="X41" i="21"/>
  <c r="Y41" i="21"/>
  <c r="Y46" i="21" s="1"/>
  <c r="Z41" i="21"/>
  <c r="AA41" i="21"/>
  <c r="AA46" i="21" s="1"/>
  <c r="AB41" i="21"/>
  <c r="AC41" i="21"/>
  <c r="AD41" i="21"/>
  <c r="AE41" i="21"/>
  <c r="AF41" i="21"/>
  <c r="H41" i="21"/>
  <c r="H46" i="21" s="1"/>
  <c r="I41" i="21"/>
  <c r="J41" i="21"/>
  <c r="K41" i="21"/>
  <c r="L41" i="21"/>
  <c r="M41" i="21"/>
  <c r="N41" i="21"/>
  <c r="O41" i="21"/>
  <c r="P41" i="21"/>
  <c r="P46" i="21" s="1"/>
  <c r="Q41" i="21"/>
  <c r="R41" i="21"/>
  <c r="S41" i="21"/>
  <c r="G41" i="21"/>
  <c r="T12" i="21"/>
  <c r="T16" i="21" s="1"/>
  <c r="U12" i="21"/>
  <c r="V12" i="21"/>
  <c r="W12" i="21"/>
  <c r="X12" i="21"/>
  <c r="Y12" i="21"/>
  <c r="Z12" i="21"/>
  <c r="AA12" i="21"/>
  <c r="AB12" i="21"/>
  <c r="AB16" i="21" s="1"/>
  <c r="AC12" i="21"/>
  <c r="AD12" i="21"/>
  <c r="AE12" i="21"/>
  <c r="AF12" i="21"/>
  <c r="H12" i="21"/>
  <c r="I12" i="21"/>
  <c r="J12" i="21"/>
  <c r="K12" i="21"/>
  <c r="L12" i="21"/>
  <c r="L16" i="21" s="1"/>
  <c r="M12" i="21"/>
  <c r="N12" i="21"/>
  <c r="O12" i="21"/>
  <c r="O16" i="21" s="1"/>
  <c r="P12" i="21"/>
  <c r="Q12" i="21"/>
  <c r="R12" i="21"/>
  <c r="S12" i="21"/>
  <c r="G12" i="21"/>
  <c r="T11" i="21"/>
  <c r="U11" i="21"/>
  <c r="V11" i="21"/>
  <c r="W11" i="21"/>
  <c r="X11" i="21"/>
  <c r="Y11" i="21"/>
  <c r="Y16" i="21" s="1"/>
  <c r="Z11" i="21"/>
  <c r="AA11" i="21"/>
  <c r="AB11" i="21"/>
  <c r="AC11" i="21"/>
  <c r="AD11" i="21"/>
  <c r="AE11" i="21"/>
  <c r="AF11" i="21"/>
  <c r="H11" i="21"/>
  <c r="I11" i="21"/>
  <c r="J11" i="21"/>
  <c r="J16" i="21" s="1"/>
  <c r="K11" i="21"/>
  <c r="L11" i="21"/>
  <c r="M11" i="21"/>
  <c r="N11" i="21"/>
  <c r="O11" i="21"/>
  <c r="P11" i="21"/>
  <c r="Q11" i="21"/>
  <c r="R11" i="21"/>
  <c r="S11" i="21"/>
  <c r="G11" i="21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F13" i="26"/>
  <c r="F12" i="26"/>
  <c r="D99" i="27"/>
  <c r="E99" i="27"/>
  <c r="F99" i="27"/>
  <c r="G99" i="27"/>
  <c r="H99" i="27"/>
  <c r="I99" i="27"/>
  <c r="J99" i="27"/>
  <c r="K99" i="27"/>
  <c r="L99" i="27"/>
  <c r="M99" i="27"/>
  <c r="N99" i="27"/>
  <c r="O99" i="27"/>
  <c r="P99" i="27"/>
  <c r="Q99" i="27"/>
  <c r="R99" i="27"/>
  <c r="S99" i="27"/>
  <c r="T99" i="27"/>
  <c r="U99" i="27"/>
  <c r="V99" i="27"/>
  <c r="W99" i="27"/>
  <c r="X99" i="27"/>
  <c r="Y99" i="27"/>
  <c r="Z99" i="27"/>
  <c r="AA99" i="27"/>
  <c r="AB99" i="27"/>
  <c r="C99" i="27"/>
  <c r="D86" i="27"/>
  <c r="E86" i="27"/>
  <c r="F86" i="27"/>
  <c r="G86" i="27"/>
  <c r="H86" i="27"/>
  <c r="I86" i="27"/>
  <c r="J86" i="27"/>
  <c r="K86" i="27"/>
  <c r="L86" i="27"/>
  <c r="M86" i="27"/>
  <c r="N86" i="27"/>
  <c r="O86" i="27"/>
  <c r="P86" i="27"/>
  <c r="Q86" i="27"/>
  <c r="R86" i="27"/>
  <c r="S86" i="27"/>
  <c r="T86" i="27"/>
  <c r="U86" i="27"/>
  <c r="V86" i="27"/>
  <c r="W86" i="27"/>
  <c r="X86" i="27"/>
  <c r="Y86" i="27"/>
  <c r="Z86" i="27"/>
  <c r="AA86" i="27"/>
  <c r="AB86" i="27"/>
  <c r="C86" i="27"/>
  <c r="Y68" i="27"/>
  <c r="Q68" i="27"/>
  <c r="I68" i="27"/>
  <c r="AB62" i="27"/>
  <c r="T62" i="27"/>
  <c r="L62" i="27"/>
  <c r="D62" i="27"/>
  <c r="AB61" i="27"/>
  <c r="Y61" i="27"/>
  <c r="Y73" i="27" s="1"/>
  <c r="W61" i="27"/>
  <c r="W62" i="27" s="1"/>
  <c r="V61" i="27"/>
  <c r="V73" i="27" s="1"/>
  <c r="T61" i="27"/>
  <c r="Q61" i="27"/>
  <c r="Q73" i="27" s="1"/>
  <c r="O61" i="27"/>
  <c r="O62" i="27" s="1"/>
  <c r="N61" i="27"/>
  <c r="N73" i="27" s="1"/>
  <c r="L61" i="27"/>
  <c r="I61" i="27"/>
  <c r="I73" i="27" s="1"/>
  <c r="G61" i="27"/>
  <c r="G62" i="27" s="1"/>
  <c r="F61" i="27"/>
  <c r="F73" i="27" s="1"/>
  <c r="D61" i="27"/>
  <c r="AB60" i="27"/>
  <c r="Y60" i="27"/>
  <c r="Y62" i="27" s="1"/>
  <c r="X60" i="27"/>
  <c r="X67" i="27" s="1"/>
  <c r="W60" i="27"/>
  <c r="V60" i="27"/>
  <c r="V62" i="27" s="1"/>
  <c r="T60" i="27"/>
  <c r="Q60" i="27"/>
  <c r="Q62" i="27" s="1"/>
  <c r="P60" i="27"/>
  <c r="P67" i="27" s="1"/>
  <c r="O60" i="27"/>
  <c r="N60" i="27"/>
  <c r="N62" i="27" s="1"/>
  <c r="L60" i="27"/>
  <c r="I60" i="27"/>
  <c r="I62" i="27" s="1"/>
  <c r="H60" i="27"/>
  <c r="H67" i="27" s="1"/>
  <c r="G60" i="27"/>
  <c r="F60" i="27"/>
  <c r="F62" i="27" s="1"/>
  <c r="D60" i="27"/>
  <c r="AB59" i="27"/>
  <c r="AA59" i="27"/>
  <c r="AA61" i="27" s="1"/>
  <c r="Z59" i="27"/>
  <c r="Z61" i="27" s="1"/>
  <c r="Y59" i="27"/>
  <c r="X59" i="27"/>
  <c r="X61" i="27" s="1"/>
  <c r="X68" i="27" s="1"/>
  <c r="W59" i="27"/>
  <c r="V59" i="27"/>
  <c r="U59" i="27"/>
  <c r="U61" i="27" s="1"/>
  <c r="T59" i="27"/>
  <c r="S59" i="27"/>
  <c r="S61" i="27" s="1"/>
  <c r="R59" i="27"/>
  <c r="R61" i="27" s="1"/>
  <c r="Q59" i="27"/>
  <c r="P59" i="27"/>
  <c r="P61" i="27" s="1"/>
  <c r="P68" i="27" s="1"/>
  <c r="O59" i="27"/>
  <c r="N59" i="27"/>
  <c r="M59" i="27"/>
  <c r="M61" i="27" s="1"/>
  <c r="L59" i="27"/>
  <c r="K59" i="27"/>
  <c r="K61" i="27" s="1"/>
  <c r="J59" i="27"/>
  <c r="J61" i="27" s="1"/>
  <c r="I59" i="27"/>
  <c r="H59" i="27"/>
  <c r="H61" i="27" s="1"/>
  <c r="H68" i="27" s="1"/>
  <c r="G59" i="27"/>
  <c r="F59" i="27"/>
  <c r="E59" i="27"/>
  <c r="E61" i="27" s="1"/>
  <c r="D59" i="27"/>
  <c r="C59" i="27"/>
  <c r="C61" i="27" s="1"/>
  <c r="AB21" i="27"/>
  <c r="AB72" i="27" s="1"/>
  <c r="AA21" i="27"/>
  <c r="Z21" i="27"/>
  <c r="Z73" i="27" s="1"/>
  <c r="Y21" i="27"/>
  <c r="Y72" i="27" s="1"/>
  <c r="Y74" i="27" s="1"/>
  <c r="X21" i="27"/>
  <c r="X73" i="27" s="1"/>
  <c r="W21" i="27"/>
  <c r="W73" i="27" s="1"/>
  <c r="V21" i="27"/>
  <c r="V72" i="27" s="1"/>
  <c r="U21" i="27"/>
  <c r="T21" i="27"/>
  <c r="T72" i="27" s="1"/>
  <c r="S21" i="27"/>
  <c r="R21" i="27"/>
  <c r="R73" i="27" s="1"/>
  <c r="Q21" i="27"/>
  <c r="Q72" i="27" s="1"/>
  <c r="Q74" i="27" s="1"/>
  <c r="P21" i="27"/>
  <c r="O21" i="27"/>
  <c r="O73" i="27" s="1"/>
  <c r="N21" i="27"/>
  <c r="N72" i="27" s="1"/>
  <c r="N74" i="27" s="1"/>
  <c r="M21" i="27"/>
  <c r="L21" i="27"/>
  <c r="L72" i="27" s="1"/>
  <c r="K21" i="27"/>
  <c r="J21" i="27"/>
  <c r="J73" i="27" s="1"/>
  <c r="I21" i="27"/>
  <c r="I72" i="27" s="1"/>
  <c r="I74" i="27" s="1"/>
  <c r="H21" i="27"/>
  <c r="G21" i="27"/>
  <c r="G73" i="27" s="1"/>
  <c r="F21" i="27"/>
  <c r="F72" i="27" s="1"/>
  <c r="E21" i="27"/>
  <c r="D21" i="27"/>
  <c r="D72" i="27" s="1"/>
  <c r="C21" i="27"/>
  <c r="AB20" i="27"/>
  <c r="AB68" i="27" s="1"/>
  <c r="AA20" i="27"/>
  <c r="Z20" i="27"/>
  <c r="Z68" i="27" s="1"/>
  <c r="Y20" i="27"/>
  <c r="Y67" i="27" s="1"/>
  <c r="X20" i="27"/>
  <c r="W20" i="27"/>
  <c r="W68" i="27" s="1"/>
  <c r="V20" i="27"/>
  <c r="V68" i="27" s="1"/>
  <c r="U20" i="27"/>
  <c r="U68" i="27" s="1"/>
  <c r="T20" i="27"/>
  <c r="T68" i="27" s="1"/>
  <c r="S20" i="27"/>
  <c r="R20" i="27"/>
  <c r="R68" i="27" s="1"/>
  <c r="Q20" i="27"/>
  <c r="Q67" i="27" s="1"/>
  <c r="P20" i="27"/>
  <c r="O20" i="27"/>
  <c r="O68" i="27" s="1"/>
  <c r="N20" i="27"/>
  <c r="N68" i="27" s="1"/>
  <c r="M20" i="27"/>
  <c r="M68" i="27" s="1"/>
  <c r="L20" i="27"/>
  <c r="L68" i="27" s="1"/>
  <c r="K20" i="27"/>
  <c r="J20" i="27"/>
  <c r="J68" i="27" s="1"/>
  <c r="I20" i="27"/>
  <c r="I67" i="27" s="1"/>
  <c r="H20" i="27"/>
  <c r="G20" i="27"/>
  <c r="G68" i="27" s="1"/>
  <c r="F20" i="27"/>
  <c r="F68" i="27" s="1"/>
  <c r="E20" i="27"/>
  <c r="E68" i="27" s="1"/>
  <c r="D20" i="27"/>
  <c r="D68" i="27" s="1"/>
  <c r="C20" i="27"/>
  <c r="H57" i="20"/>
  <c r="I57" i="20"/>
  <c r="J57" i="20"/>
  <c r="K57" i="20"/>
  <c r="L57" i="20"/>
  <c r="M57" i="20"/>
  <c r="N57" i="20"/>
  <c r="O57" i="20"/>
  <c r="P57" i="20"/>
  <c r="Q57" i="20"/>
  <c r="R57" i="20"/>
  <c r="S57" i="20"/>
  <c r="T57" i="20"/>
  <c r="U57" i="20"/>
  <c r="V57" i="20"/>
  <c r="W57" i="20"/>
  <c r="X57" i="20"/>
  <c r="Y57" i="20"/>
  <c r="Z57" i="20"/>
  <c r="AA57" i="20"/>
  <c r="AB57" i="20"/>
  <c r="AC57" i="20"/>
  <c r="AD57" i="20"/>
  <c r="AE57" i="20"/>
  <c r="AF57" i="20"/>
  <c r="G57" i="20"/>
  <c r="L41" i="20"/>
  <c r="M41" i="20"/>
  <c r="N41" i="20"/>
  <c r="O41" i="20"/>
  <c r="P41" i="20"/>
  <c r="P46" i="20" s="1"/>
  <c r="Q41" i="20"/>
  <c r="R41" i="20"/>
  <c r="S41" i="20"/>
  <c r="T41" i="20"/>
  <c r="U41" i="20"/>
  <c r="V41" i="20"/>
  <c r="W41" i="20"/>
  <c r="X41" i="20"/>
  <c r="X46" i="20" s="1"/>
  <c r="Y41" i="20"/>
  <c r="Y46" i="20" s="1"/>
  <c r="Z41" i="20"/>
  <c r="AA41" i="20"/>
  <c r="AB41" i="20"/>
  <c r="AC41" i="20"/>
  <c r="AD41" i="20"/>
  <c r="AE41" i="20"/>
  <c r="AF41" i="20"/>
  <c r="K41" i="20"/>
  <c r="J41" i="20"/>
  <c r="I41" i="20"/>
  <c r="I46" i="20" s="1"/>
  <c r="H41" i="20"/>
  <c r="H46" i="20" s="1"/>
  <c r="N46" i="20"/>
  <c r="G41" i="20"/>
  <c r="P11" i="20"/>
  <c r="Q11" i="20"/>
  <c r="R11" i="20"/>
  <c r="S11" i="20"/>
  <c r="T11" i="20"/>
  <c r="U11" i="20"/>
  <c r="V11" i="20"/>
  <c r="W11" i="20"/>
  <c r="W16" i="20" s="1"/>
  <c r="X11" i="20"/>
  <c r="Y11" i="20"/>
  <c r="Z11" i="20"/>
  <c r="AA11" i="20"/>
  <c r="AB11" i="20"/>
  <c r="AC11" i="20"/>
  <c r="AD11" i="20"/>
  <c r="AE11" i="20"/>
  <c r="AF11" i="20"/>
  <c r="AF16" i="20" s="1"/>
  <c r="P12" i="20"/>
  <c r="Q12" i="20"/>
  <c r="R12" i="20"/>
  <c r="S12" i="20"/>
  <c r="T12" i="20"/>
  <c r="U12" i="20"/>
  <c r="V12" i="20"/>
  <c r="W12" i="20"/>
  <c r="X12" i="20"/>
  <c r="Y12" i="20"/>
  <c r="Z12" i="20"/>
  <c r="AA12" i="20"/>
  <c r="AB12" i="20"/>
  <c r="AC12" i="20"/>
  <c r="AD12" i="20"/>
  <c r="AD16" i="20" s="1"/>
  <c r="AE12" i="20"/>
  <c r="AF12" i="20"/>
  <c r="H11" i="20"/>
  <c r="I11" i="20"/>
  <c r="J11" i="20"/>
  <c r="K11" i="20"/>
  <c r="L11" i="20"/>
  <c r="L16" i="20" s="1"/>
  <c r="M11" i="20"/>
  <c r="M16" i="20" s="1"/>
  <c r="N11" i="20"/>
  <c r="O11" i="20"/>
  <c r="H12" i="20"/>
  <c r="I12" i="20"/>
  <c r="J12" i="20"/>
  <c r="K12" i="20"/>
  <c r="L12" i="20"/>
  <c r="M12" i="20"/>
  <c r="N12" i="20"/>
  <c r="O12" i="20"/>
  <c r="G12" i="20"/>
  <c r="G11" i="20"/>
  <c r="G13" i="24"/>
  <c r="H13" i="24"/>
  <c r="I13" i="24"/>
  <c r="J13" i="24"/>
  <c r="K13" i="24"/>
  <c r="L13" i="24"/>
  <c r="M13" i="24"/>
  <c r="N13" i="24"/>
  <c r="O13" i="24"/>
  <c r="P13" i="24"/>
  <c r="Q13" i="24"/>
  <c r="R13" i="24"/>
  <c r="S13" i="24"/>
  <c r="T13" i="24"/>
  <c r="U13" i="24"/>
  <c r="V13" i="24"/>
  <c r="W13" i="24"/>
  <c r="X13" i="24"/>
  <c r="Y13" i="24"/>
  <c r="Z13" i="24"/>
  <c r="AA13" i="24"/>
  <c r="AB13" i="24"/>
  <c r="AC13" i="24"/>
  <c r="AD13" i="24"/>
  <c r="AE13" i="24"/>
  <c r="F13" i="24"/>
  <c r="G12" i="24"/>
  <c r="H12" i="24"/>
  <c r="I12" i="24"/>
  <c r="J12" i="24"/>
  <c r="K12" i="24"/>
  <c r="L12" i="24"/>
  <c r="M12" i="24"/>
  <c r="N12" i="24"/>
  <c r="O12" i="24"/>
  <c r="P12" i="24"/>
  <c r="Q12" i="24"/>
  <c r="R12" i="24"/>
  <c r="S12" i="24"/>
  <c r="T12" i="24"/>
  <c r="U12" i="24"/>
  <c r="V12" i="24"/>
  <c r="W12" i="24"/>
  <c r="X12" i="24"/>
  <c r="Y12" i="24"/>
  <c r="Z12" i="24"/>
  <c r="AA12" i="24"/>
  <c r="AB12" i="24"/>
  <c r="AC12" i="24"/>
  <c r="AD12" i="24"/>
  <c r="AE12" i="24"/>
  <c r="F12" i="24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F14" i="26"/>
  <c r="G14" i="24"/>
  <c r="H14" i="24"/>
  <c r="I14" i="24"/>
  <c r="J14" i="24"/>
  <c r="K14" i="24"/>
  <c r="L14" i="24"/>
  <c r="M14" i="24"/>
  <c r="N14" i="24"/>
  <c r="O14" i="24"/>
  <c r="P14" i="24"/>
  <c r="Q14" i="24"/>
  <c r="R14" i="24"/>
  <c r="S14" i="24"/>
  <c r="T14" i="24"/>
  <c r="U14" i="24"/>
  <c r="V14" i="24"/>
  <c r="W14" i="24"/>
  <c r="X14" i="24"/>
  <c r="Y14" i="24"/>
  <c r="Z14" i="24"/>
  <c r="AA14" i="24"/>
  <c r="AB14" i="24"/>
  <c r="AC14" i="24"/>
  <c r="AD14" i="24"/>
  <c r="AE14" i="24"/>
  <c r="F14" i="24"/>
  <c r="P94" i="23"/>
  <c r="Q94" i="23"/>
  <c r="R94" i="23"/>
  <c r="S94" i="23"/>
  <c r="T94" i="23"/>
  <c r="U94" i="23"/>
  <c r="V94" i="23"/>
  <c r="W94" i="23"/>
  <c r="X94" i="23"/>
  <c r="Y94" i="23"/>
  <c r="Z94" i="23"/>
  <c r="AA94" i="23"/>
  <c r="AB94" i="23"/>
  <c r="D94" i="23"/>
  <c r="E94" i="23"/>
  <c r="F94" i="23"/>
  <c r="G94" i="23"/>
  <c r="H94" i="23"/>
  <c r="I94" i="23"/>
  <c r="J94" i="23"/>
  <c r="K94" i="23"/>
  <c r="L94" i="23"/>
  <c r="M94" i="23"/>
  <c r="N94" i="23"/>
  <c r="O94" i="23"/>
  <c r="C94" i="23"/>
  <c r="D102" i="23"/>
  <c r="E102" i="23"/>
  <c r="F102" i="23"/>
  <c r="G102" i="23"/>
  <c r="H102" i="23"/>
  <c r="I102" i="23"/>
  <c r="J102" i="23"/>
  <c r="K102" i="23"/>
  <c r="L102" i="23"/>
  <c r="M102" i="23"/>
  <c r="N102" i="23"/>
  <c r="O102" i="23"/>
  <c r="P102" i="23"/>
  <c r="Q102" i="23"/>
  <c r="R102" i="23"/>
  <c r="S102" i="23"/>
  <c r="T102" i="23"/>
  <c r="U102" i="23"/>
  <c r="V102" i="23"/>
  <c r="W102" i="23"/>
  <c r="X102" i="23"/>
  <c r="Y102" i="23"/>
  <c r="Z102" i="23"/>
  <c r="AA102" i="23"/>
  <c r="AB102" i="23"/>
  <c r="C102" i="23"/>
  <c r="D99" i="23"/>
  <c r="E99" i="23"/>
  <c r="F99" i="23"/>
  <c r="G99" i="23"/>
  <c r="H99" i="23"/>
  <c r="I99" i="23"/>
  <c r="J99" i="23"/>
  <c r="K99" i="23"/>
  <c r="L99" i="23"/>
  <c r="M99" i="23"/>
  <c r="N99" i="23"/>
  <c r="O99" i="23"/>
  <c r="P99" i="23"/>
  <c r="Q99" i="23"/>
  <c r="R99" i="23"/>
  <c r="S99" i="23"/>
  <c r="T99" i="23"/>
  <c r="U99" i="23"/>
  <c r="V99" i="23"/>
  <c r="W99" i="23"/>
  <c r="X99" i="23"/>
  <c r="Y99" i="23"/>
  <c r="Z99" i="23"/>
  <c r="AA99" i="23"/>
  <c r="AB99" i="23"/>
  <c r="C99" i="23"/>
  <c r="D81" i="23"/>
  <c r="E81" i="23"/>
  <c r="F81" i="23"/>
  <c r="G81" i="23"/>
  <c r="H81" i="23"/>
  <c r="I81" i="23"/>
  <c r="J81" i="23"/>
  <c r="K81" i="23"/>
  <c r="L81" i="23"/>
  <c r="M81" i="23"/>
  <c r="N81" i="23"/>
  <c r="O81" i="23"/>
  <c r="P81" i="23"/>
  <c r="Q81" i="23"/>
  <c r="R81" i="23"/>
  <c r="S81" i="23"/>
  <c r="T81" i="23"/>
  <c r="U81" i="23"/>
  <c r="V81" i="23"/>
  <c r="W81" i="23"/>
  <c r="X81" i="23"/>
  <c r="Y81" i="23"/>
  <c r="Z81" i="23"/>
  <c r="AA81" i="23"/>
  <c r="AB81" i="23"/>
  <c r="C81" i="23"/>
  <c r="P88" i="23"/>
  <c r="Q88" i="23"/>
  <c r="R88" i="23"/>
  <c r="S88" i="23"/>
  <c r="T88" i="23"/>
  <c r="U88" i="23"/>
  <c r="V88" i="23"/>
  <c r="W88" i="23"/>
  <c r="X88" i="23"/>
  <c r="Y88" i="23"/>
  <c r="Z88" i="23"/>
  <c r="AA88" i="23"/>
  <c r="AB88" i="23"/>
  <c r="E88" i="23"/>
  <c r="F88" i="23"/>
  <c r="G88" i="23"/>
  <c r="H88" i="23"/>
  <c r="I88" i="23"/>
  <c r="J88" i="23"/>
  <c r="K88" i="23"/>
  <c r="L88" i="23"/>
  <c r="M88" i="23"/>
  <c r="N88" i="23"/>
  <c r="O88" i="23"/>
  <c r="D88" i="23"/>
  <c r="C88" i="23"/>
  <c r="D86" i="23"/>
  <c r="E86" i="23"/>
  <c r="F86" i="23"/>
  <c r="G86" i="23"/>
  <c r="H86" i="23"/>
  <c r="I86" i="23"/>
  <c r="J86" i="23"/>
  <c r="K86" i="23"/>
  <c r="L86" i="23"/>
  <c r="M86" i="23"/>
  <c r="N86" i="23"/>
  <c r="O86" i="23"/>
  <c r="P86" i="23"/>
  <c r="Q86" i="23"/>
  <c r="R86" i="23"/>
  <c r="S86" i="23"/>
  <c r="T86" i="23"/>
  <c r="U86" i="23"/>
  <c r="V86" i="23"/>
  <c r="W86" i="23"/>
  <c r="X86" i="23"/>
  <c r="Y86" i="23"/>
  <c r="Z86" i="23"/>
  <c r="AA86" i="23"/>
  <c r="AB86" i="23"/>
  <c r="C86" i="23"/>
  <c r="D72" i="23"/>
  <c r="E72" i="23"/>
  <c r="E74" i="23" s="1"/>
  <c r="F72" i="23"/>
  <c r="G72" i="23"/>
  <c r="H72" i="23"/>
  <c r="H74" i="23" s="1"/>
  <c r="I72" i="23"/>
  <c r="J72" i="23"/>
  <c r="K72" i="23"/>
  <c r="L72" i="23"/>
  <c r="M72" i="23"/>
  <c r="M74" i="23" s="1"/>
  <c r="N72" i="23"/>
  <c r="O72" i="23"/>
  <c r="P72" i="23"/>
  <c r="P74" i="23" s="1"/>
  <c r="Q72" i="23"/>
  <c r="R72" i="23"/>
  <c r="S72" i="23"/>
  <c r="T72" i="23"/>
  <c r="U72" i="23"/>
  <c r="U74" i="23" s="1"/>
  <c r="V72" i="23"/>
  <c r="W72" i="23"/>
  <c r="X72" i="23"/>
  <c r="X74" i="23" s="1"/>
  <c r="Y72" i="23"/>
  <c r="Z72" i="23"/>
  <c r="AA72" i="23"/>
  <c r="AB72" i="23"/>
  <c r="D73" i="23"/>
  <c r="D74" i="23" s="1"/>
  <c r="E73" i="23"/>
  <c r="F73" i="23"/>
  <c r="G73" i="23"/>
  <c r="H73" i="23"/>
  <c r="I73" i="23"/>
  <c r="J73" i="23"/>
  <c r="J74" i="23" s="1"/>
  <c r="K73" i="23"/>
  <c r="L73" i="23"/>
  <c r="L74" i="23" s="1"/>
  <c r="M73" i="23"/>
  <c r="N73" i="23"/>
  <c r="O73" i="23"/>
  <c r="P73" i="23"/>
  <c r="Q73" i="23"/>
  <c r="R73" i="23"/>
  <c r="R74" i="23" s="1"/>
  <c r="S73" i="23"/>
  <c r="T73" i="23"/>
  <c r="T74" i="23" s="1"/>
  <c r="U73" i="23"/>
  <c r="V73" i="23"/>
  <c r="W73" i="23"/>
  <c r="X73" i="23"/>
  <c r="Y73" i="23"/>
  <c r="Z73" i="23"/>
  <c r="Z74" i="23" s="1"/>
  <c r="AA73" i="23"/>
  <c r="AB73" i="23"/>
  <c r="AB74" i="23" s="1"/>
  <c r="F74" i="23"/>
  <c r="G74" i="23"/>
  <c r="I74" i="23"/>
  <c r="K74" i="23"/>
  <c r="N74" i="23"/>
  <c r="O74" i="23"/>
  <c r="Q74" i="23"/>
  <c r="S74" i="23"/>
  <c r="V74" i="23"/>
  <c r="W74" i="23"/>
  <c r="Y74" i="23"/>
  <c r="AA74" i="23"/>
  <c r="C73" i="23"/>
  <c r="C72" i="23"/>
  <c r="D69" i="23"/>
  <c r="E69" i="23"/>
  <c r="F69" i="23"/>
  <c r="G69" i="23"/>
  <c r="H69" i="23"/>
  <c r="I69" i="23"/>
  <c r="J69" i="23"/>
  <c r="K69" i="23"/>
  <c r="L69" i="23"/>
  <c r="M69" i="23"/>
  <c r="N69" i="23"/>
  <c r="O69" i="23"/>
  <c r="P69" i="23"/>
  <c r="Q69" i="23"/>
  <c r="R69" i="23"/>
  <c r="S69" i="23"/>
  <c r="T69" i="23"/>
  <c r="U69" i="23"/>
  <c r="V69" i="23"/>
  <c r="W69" i="23"/>
  <c r="X69" i="23"/>
  <c r="Y69" i="23"/>
  <c r="Z69" i="23"/>
  <c r="AA69" i="23"/>
  <c r="AB69" i="23"/>
  <c r="C69" i="23"/>
  <c r="D68" i="23"/>
  <c r="E68" i="23"/>
  <c r="F68" i="23"/>
  <c r="G68" i="23"/>
  <c r="H68" i="23"/>
  <c r="I68" i="23"/>
  <c r="J68" i="23"/>
  <c r="K68" i="23"/>
  <c r="L68" i="23"/>
  <c r="M68" i="23"/>
  <c r="N68" i="23"/>
  <c r="O68" i="23"/>
  <c r="P68" i="23"/>
  <c r="Q68" i="23"/>
  <c r="R68" i="23"/>
  <c r="S68" i="23"/>
  <c r="T68" i="23"/>
  <c r="U68" i="23"/>
  <c r="V68" i="23"/>
  <c r="W68" i="23"/>
  <c r="X68" i="23"/>
  <c r="Y68" i="23"/>
  <c r="Z68" i="23"/>
  <c r="AA68" i="23"/>
  <c r="AB68" i="23"/>
  <c r="C68" i="23"/>
  <c r="D67" i="23"/>
  <c r="E67" i="23"/>
  <c r="F67" i="23"/>
  <c r="G67" i="23"/>
  <c r="H67" i="23"/>
  <c r="I67" i="23"/>
  <c r="J67" i="23"/>
  <c r="K67" i="23"/>
  <c r="L67" i="23"/>
  <c r="M67" i="23"/>
  <c r="N67" i="23"/>
  <c r="O67" i="23"/>
  <c r="P67" i="23"/>
  <c r="Q67" i="23"/>
  <c r="R67" i="23"/>
  <c r="S67" i="23"/>
  <c r="T67" i="23"/>
  <c r="U67" i="23"/>
  <c r="V67" i="23"/>
  <c r="W67" i="23"/>
  <c r="X67" i="23"/>
  <c r="Y67" i="23"/>
  <c r="Z67" i="23"/>
  <c r="AA67" i="23"/>
  <c r="AB67" i="23"/>
  <c r="C67" i="23"/>
  <c r="D60" i="23"/>
  <c r="E60" i="23"/>
  <c r="F60" i="23"/>
  <c r="G60" i="23"/>
  <c r="H60" i="23"/>
  <c r="I60" i="23"/>
  <c r="J60" i="23"/>
  <c r="J62" i="23" s="1"/>
  <c r="K60" i="23"/>
  <c r="K62" i="23" s="1"/>
  <c r="L60" i="23"/>
  <c r="M60" i="23"/>
  <c r="N60" i="23"/>
  <c r="O60" i="23"/>
  <c r="P60" i="23"/>
  <c r="Q60" i="23"/>
  <c r="R60" i="23"/>
  <c r="R62" i="23" s="1"/>
  <c r="S60" i="23"/>
  <c r="S62" i="23" s="1"/>
  <c r="T60" i="23"/>
  <c r="U60" i="23"/>
  <c r="V60" i="23"/>
  <c r="W60" i="23"/>
  <c r="X60" i="23"/>
  <c r="Y60" i="23"/>
  <c r="Z60" i="23"/>
  <c r="Z62" i="23" s="1"/>
  <c r="AA60" i="23"/>
  <c r="AA62" i="23" s="1"/>
  <c r="AB60" i="23"/>
  <c r="D61" i="23"/>
  <c r="E61" i="23"/>
  <c r="F61" i="23"/>
  <c r="G61" i="23"/>
  <c r="H61" i="23"/>
  <c r="I61" i="23"/>
  <c r="J61" i="23"/>
  <c r="K61" i="23"/>
  <c r="L61" i="23"/>
  <c r="M61" i="23"/>
  <c r="N61" i="23"/>
  <c r="O61" i="23"/>
  <c r="P61" i="23"/>
  <c r="Q61" i="23"/>
  <c r="R61" i="23"/>
  <c r="S61" i="23"/>
  <c r="T61" i="23"/>
  <c r="U61" i="23"/>
  <c r="V61" i="23"/>
  <c r="W61" i="23"/>
  <c r="X61" i="23"/>
  <c r="Y61" i="23"/>
  <c r="Z61" i="23"/>
  <c r="AA61" i="23"/>
  <c r="AB61" i="23"/>
  <c r="D62" i="23"/>
  <c r="E62" i="23"/>
  <c r="F62" i="23"/>
  <c r="G62" i="23"/>
  <c r="H62" i="23"/>
  <c r="I62" i="23"/>
  <c r="L62" i="23"/>
  <c r="M62" i="23"/>
  <c r="N62" i="23"/>
  <c r="O62" i="23"/>
  <c r="P62" i="23"/>
  <c r="Q62" i="23"/>
  <c r="T62" i="23"/>
  <c r="U62" i="23"/>
  <c r="V62" i="23"/>
  <c r="W62" i="23"/>
  <c r="X62" i="23"/>
  <c r="Y62" i="23"/>
  <c r="AB62" i="23"/>
  <c r="C62" i="23"/>
  <c r="C61" i="23"/>
  <c r="C60" i="23"/>
  <c r="D59" i="23"/>
  <c r="E59" i="23"/>
  <c r="F59" i="23"/>
  <c r="G59" i="23"/>
  <c r="H59" i="23"/>
  <c r="I59" i="23"/>
  <c r="J59" i="23"/>
  <c r="K59" i="23"/>
  <c r="L59" i="23"/>
  <c r="M59" i="23"/>
  <c r="N59" i="23"/>
  <c r="O59" i="23"/>
  <c r="P59" i="23"/>
  <c r="Q59" i="23"/>
  <c r="R59" i="23"/>
  <c r="S59" i="23"/>
  <c r="T59" i="23"/>
  <c r="U59" i="23"/>
  <c r="V59" i="23"/>
  <c r="W59" i="23"/>
  <c r="X59" i="23"/>
  <c r="Y59" i="23"/>
  <c r="Z59" i="23"/>
  <c r="AA59" i="23"/>
  <c r="AB59" i="23"/>
  <c r="C59" i="23"/>
  <c r="R83" i="8"/>
  <c r="AB21" i="23"/>
  <c r="AA21" i="23"/>
  <c r="Z21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AB20" i="23"/>
  <c r="AA20" i="23"/>
  <c r="Z20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G4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G13" i="21"/>
  <c r="AF43" i="20"/>
  <c r="AE43" i="20"/>
  <c r="AD43" i="20"/>
  <c r="AC43" i="20"/>
  <c r="AB43" i="20"/>
  <c r="AA43" i="20"/>
  <c r="Z43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I13" i="20"/>
  <c r="J13" i="20"/>
  <c r="K13" i="20"/>
  <c r="L13" i="20"/>
  <c r="M13" i="20"/>
  <c r="N13" i="20"/>
  <c r="O13" i="20"/>
  <c r="P13" i="20"/>
  <c r="Q13" i="20"/>
  <c r="R13" i="20"/>
  <c r="S13" i="20"/>
  <c r="T13" i="20"/>
  <c r="U13" i="20"/>
  <c r="V13" i="20"/>
  <c r="W13" i="20"/>
  <c r="X13" i="20"/>
  <c r="Y13" i="20"/>
  <c r="Z13" i="20"/>
  <c r="AA13" i="20"/>
  <c r="AB13" i="20"/>
  <c r="AC13" i="20"/>
  <c r="AD13" i="20"/>
  <c r="AE13" i="20"/>
  <c r="AF13" i="20"/>
  <c r="H13" i="20"/>
  <c r="G13" i="20"/>
  <c r="D42" i="22"/>
  <c r="E42" i="22"/>
  <c r="F42" i="22"/>
  <c r="G42" i="22"/>
  <c r="H42" i="22"/>
  <c r="I42" i="22"/>
  <c r="J42" i="22"/>
  <c r="K42" i="22"/>
  <c r="L42" i="22"/>
  <c r="M42" i="22"/>
  <c r="N42" i="22"/>
  <c r="O42" i="22"/>
  <c r="P42" i="22"/>
  <c r="Q42" i="22"/>
  <c r="R42" i="22"/>
  <c r="S42" i="22"/>
  <c r="T42" i="22"/>
  <c r="U42" i="22"/>
  <c r="V42" i="22"/>
  <c r="W42" i="22"/>
  <c r="X42" i="22"/>
  <c r="Y42" i="22"/>
  <c r="Z42" i="22"/>
  <c r="AA42" i="22"/>
  <c r="AB42" i="22"/>
  <c r="C42" i="22"/>
  <c r="D49" i="22"/>
  <c r="E49" i="22"/>
  <c r="F49" i="22"/>
  <c r="G49" i="22"/>
  <c r="H49" i="22"/>
  <c r="I49" i="22"/>
  <c r="J49" i="22"/>
  <c r="K49" i="22"/>
  <c r="L49" i="22"/>
  <c r="M49" i="22"/>
  <c r="N49" i="22"/>
  <c r="O49" i="22"/>
  <c r="P49" i="22"/>
  <c r="Q49" i="22"/>
  <c r="R49" i="22"/>
  <c r="S49" i="22"/>
  <c r="T49" i="22"/>
  <c r="U49" i="22"/>
  <c r="V49" i="22"/>
  <c r="W49" i="22"/>
  <c r="X49" i="22"/>
  <c r="Y49" i="22"/>
  <c r="Z49" i="22"/>
  <c r="AA49" i="22"/>
  <c r="AB49" i="22"/>
  <c r="C49" i="22"/>
  <c r="P47" i="22"/>
  <c r="D47" i="22"/>
  <c r="E47" i="22"/>
  <c r="F47" i="22"/>
  <c r="G47" i="22"/>
  <c r="H47" i="22"/>
  <c r="I47" i="22"/>
  <c r="J47" i="22"/>
  <c r="K47" i="22"/>
  <c r="L47" i="22"/>
  <c r="M47" i="22"/>
  <c r="N47" i="22"/>
  <c r="O47" i="22"/>
  <c r="Q47" i="22"/>
  <c r="R47" i="22"/>
  <c r="S47" i="22"/>
  <c r="T47" i="22"/>
  <c r="U47" i="22"/>
  <c r="V47" i="22"/>
  <c r="W47" i="22"/>
  <c r="X47" i="22"/>
  <c r="Y47" i="22"/>
  <c r="Z47" i="22"/>
  <c r="AA47" i="22"/>
  <c r="AB47" i="22"/>
  <c r="C47" i="22"/>
  <c r="AB20" i="22"/>
  <c r="AA20" i="22"/>
  <c r="Z20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AB19" i="22"/>
  <c r="AA19" i="22"/>
  <c r="Z19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F123" i="6"/>
  <c r="F67" i="18"/>
  <c r="Q59" i="15"/>
  <c r="AA52" i="17"/>
  <c r="AA22" i="30" s="1"/>
  <c r="S52" i="17"/>
  <c r="S22" i="30" s="1"/>
  <c r="K52" i="17"/>
  <c r="K22" i="30" s="1"/>
  <c r="C52" i="17"/>
  <c r="C54" i="17" s="1"/>
  <c r="X52" i="17"/>
  <c r="G67" i="19"/>
  <c r="H67" i="19"/>
  <c r="I67" i="19"/>
  <c r="J67" i="19"/>
  <c r="K67" i="19"/>
  <c r="L67" i="19"/>
  <c r="M67" i="19"/>
  <c r="N67" i="19"/>
  <c r="N19" i="19" s="1"/>
  <c r="O67" i="19"/>
  <c r="P67" i="19"/>
  <c r="Q67" i="19"/>
  <c r="R67" i="19"/>
  <c r="S67" i="19"/>
  <c r="T67" i="19"/>
  <c r="U67" i="19"/>
  <c r="F67" i="19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Y31" i="14"/>
  <c r="Z31" i="14"/>
  <c r="AA31" i="14"/>
  <c r="AB31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Y32" i="14"/>
  <c r="Z32" i="14"/>
  <c r="AA32" i="14"/>
  <c r="AB32" i="14"/>
  <c r="C32" i="14"/>
  <c r="C31" i="14"/>
  <c r="H38" i="20"/>
  <c r="I38" i="20"/>
  <c r="AB61" i="21"/>
  <c r="AA61" i="21"/>
  <c r="AF58" i="21"/>
  <c r="AE58" i="21"/>
  <c r="AD58" i="21"/>
  <c r="AC58" i="21"/>
  <c r="AB58" i="21"/>
  <c r="AA58" i="21"/>
  <c r="Z58" i="21"/>
  <c r="Y58" i="21"/>
  <c r="X58" i="21"/>
  <c r="W58" i="21"/>
  <c r="V58" i="21"/>
  <c r="U58" i="21"/>
  <c r="T58" i="21"/>
  <c r="S58" i="21"/>
  <c r="R58" i="21"/>
  <c r="Q58" i="21"/>
  <c r="P58" i="21"/>
  <c r="O58" i="21"/>
  <c r="N58" i="21"/>
  <c r="M58" i="21"/>
  <c r="L58" i="21"/>
  <c r="K58" i="21"/>
  <c r="J58" i="21"/>
  <c r="I58" i="21"/>
  <c r="H58" i="21"/>
  <c r="G58" i="21"/>
  <c r="AF56" i="21"/>
  <c r="AF61" i="21" s="1"/>
  <c r="AE56" i="21"/>
  <c r="AD56" i="21"/>
  <c r="AC56" i="21"/>
  <c r="AC61" i="21" s="1"/>
  <c r="AB56" i="21"/>
  <c r="AA56" i="21"/>
  <c r="Z56" i="21"/>
  <c r="Z61" i="21" s="1"/>
  <c r="Y56" i="21"/>
  <c r="Y61" i="21" s="1"/>
  <c r="X56" i="21"/>
  <c r="X61" i="21" s="1"/>
  <c r="W56" i="21"/>
  <c r="V56" i="21"/>
  <c r="U56" i="21"/>
  <c r="U61" i="21" s="1"/>
  <c r="T56" i="21"/>
  <c r="T61" i="21" s="1"/>
  <c r="S56" i="21"/>
  <c r="S61" i="21" s="1"/>
  <c r="R56" i="21"/>
  <c r="R61" i="21" s="1"/>
  <c r="Q56" i="21"/>
  <c r="Q61" i="21" s="1"/>
  <c r="P56" i="21"/>
  <c r="P61" i="21" s="1"/>
  <c r="O56" i="21"/>
  <c r="N56" i="21"/>
  <c r="M56" i="21"/>
  <c r="M61" i="21" s="1"/>
  <c r="L56" i="21"/>
  <c r="L61" i="21" s="1"/>
  <c r="K56" i="21"/>
  <c r="K61" i="21" s="1"/>
  <c r="J56" i="21"/>
  <c r="J61" i="21" s="1"/>
  <c r="I56" i="21"/>
  <c r="I61" i="21" s="1"/>
  <c r="H56" i="21"/>
  <c r="H61" i="21" s="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AF54" i="21"/>
  <c r="AE54" i="21"/>
  <c r="AE60" i="21" s="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AF52" i="21"/>
  <c r="AE52" i="21"/>
  <c r="AB19" i="31" s="1"/>
  <c r="AD52" i="21"/>
  <c r="AA19" i="31" s="1"/>
  <c r="AC52" i="21"/>
  <c r="AB52" i="21"/>
  <c r="AA52" i="21"/>
  <c r="Z52" i="21"/>
  <c r="Y52" i="21"/>
  <c r="X52" i="21"/>
  <c r="W52" i="21"/>
  <c r="T19" i="31" s="1"/>
  <c r="V52" i="21"/>
  <c r="S19" i="31" s="1"/>
  <c r="U52" i="21"/>
  <c r="T5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AF46" i="21"/>
  <c r="AE46" i="21"/>
  <c r="AC46" i="21"/>
  <c r="AB46" i="21"/>
  <c r="Z46" i="21"/>
  <c r="X46" i="21"/>
  <c r="W46" i="21"/>
  <c r="U46" i="21"/>
  <c r="T46" i="21"/>
  <c r="S46" i="21"/>
  <c r="R46" i="21"/>
  <c r="Q46" i="21"/>
  <c r="O46" i="21"/>
  <c r="M46" i="21"/>
  <c r="L46" i="21"/>
  <c r="K46" i="21"/>
  <c r="J46" i="21"/>
  <c r="I46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AF26" i="21"/>
  <c r="AF31" i="21" s="1"/>
  <c r="AE26" i="21"/>
  <c r="AE31" i="21" s="1"/>
  <c r="AD26" i="21"/>
  <c r="AD31" i="21" s="1"/>
  <c r="AC26" i="21"/>
  <c r="AC31" i="21" s="1"/>
  <c r="AB26" i="21"/>
  <c r="AB31" i="21" s="1"/>
  <c r="AA26" i="21"/>
  <c r="AA31" i="21" s="1"/>
  <c r="Z26" i="21"/>
  <c r="Z31" i="21" s="1"/>
  <c r="Y26" i="21"/>
  <c r="Y31" i="21" s="1"/>
  <c r="X26" i="21"/>
  <c r="X31" i="21" s="1"/>
  <c r="W26" i="21"/>
  <c r="W31" i="21" s="1"/>
  <c r="V26" i="21"/>
  <c r="V31" i="21" s="1"/>
  <c r="U26" i="21"/>
  <c r="U31" i="21" s="1"/>
  <c r="T26" i="21"/>
  <c r="T31" i="21" s="1"/>
  <c r="S26" i="21"/>
  <c r="S31" i="21" s="1"/>
  <c r="R26" i="21"/>
  <c r="R31" i="21" s="1"/>
  <c r="Q26" i="21"/>
  <c r="Q31" i="21" s="1"/>
  <c r="P26" i="21"/>
  <c r="P31" i="21" s="1"/>
  <c r="O26" i="21"/>
  <c r="O31" i="21" s="1"/>
  <c r="N26" i="21"/>
  <c r="N31" i="21" s="1"/>
  <c r="M26" i="21"/>
  <c r="M31" i="21" s="1"/>
  <c r="L26" i="21"/>
  <c r="L31" i="21" s="1"/>
  <c r="K26" i="21"/>
  <c r="K31" i="21" s="1"/>
  <c r="J26" i="21"/>
  <c r="J31" i="21" s="1"/>
  <c r="I26" i="21"/>
  <c r="I31" i="21" s="1"/>
  <c r="H26" i="21"/>
  <c r="H31" i="21" s="1"/>
  <c r="AF25" i="21"/>
  <c r="AE25" i="21"/>
  <c r="AD25" i="21"/>
  <c r="AC25" i="21"/>
  <c r="AB25" i="21"/>
  <c r="AA25" i="21"/>
  <c r="Z25" i="21"/>
  <c r="Y25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AF24" i="21"/>
  <c r="AE24" i="21"/>
  <c r="AD24" i="21"/>
  <c r="AC24" i="21"/>
  <c r="AB24" i="21"/>
  <c r="AA24" i="21"/>
  <c r="Z24" i="21"/>
  <c r="Y24" i="21"/>
  <c r="X24" i="21"/>
  <c r="W24" i="21"/>
  <c r="V24" i="21"/>
  <c r="U24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AF16" i="21"/>
  <c r="AE16" i="21"/>
  <c r="AD16" i="21"/>
  <c r="Z16" i="21"/>
  <c r="X16" i="21"/>
  <c r="W16" i="21"/>
  <c r="V16" i="21"/>
  <c r="S16" i="21"/>
  <c r="Q16" i="21"/>
  <c r="P16" i="21"/>
  <c r="N16" i="21"/>
  <c r="K16" i="21"/>
  <c r="I16" i="21"/>
  <c r="H16" i="21"/>
  <c r="AF10" i="21"/>
  <c r="AE10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AF8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S61" i="20"/>
  <c r="K61" i="20"/>
  <c r="AF58" i="20"/>
  <c r="AE58" i="20"/>
  <c r="AD58" i="20"/>
  <c r="AC58" i="20"/>
  <c r="AB58" i="20"/>
  <c r="AA58" i="20"/>
  <c r="Z58" i="20"/>
  <c r="Y58" i="20"/>
  <c r="X58" i="20"/>
  <c r="W58" i="20"/>
  <c r="V58" i="20"/>
  <c r="U58" i="20"/>
  <c r="T58" i="20"/>
  <c r="S58" i="20"/>
  <c r="R58" i="20"/>
  <c r="Q58" i="20"/>
  <c r="P58" i="20"/>
  <c r="O58" i="20"/>
  <c r="N58" i="20"/>
  <c r="M58" i="20"/>
  <c r="L58" i="20"/>
  <c r="K58" i="20"/>
  <c r="J58" i="20"/>
  <c r="I58" i="20"/>
  <c r="H58" i="20"/>
  <c r="G58" i="20"/>
  <c r="AF56" i="20"/>
  <c r="AF61" i="20" s="1"/>
  <c r="AE56" i="20"/>
  <c r="AE61" i="20" s="1"/>
  <c r="AD56" i="20"/>
  <c r="AC56" i="20"/>
  <c r="AC61" i="20" s="1"/>
  <c r="AB56" i="20"/>
  <c r="AB61" i="20" s="1"/>
  <c r="AA56" i="20"/>
  <c r="AA61" i="20" s="1"/>
  <c r="Z56" i="20"/>
  <c r="Z61" i="20" s="1"/>
  <c r="Y56" i="20"/>
  <c r="Y61" i="20" s="1"/>
  <c r="X56" i="20"/>
  <c r="X61" i="20" s="1"/>
  <c r="W56" i="20"/>
  <c r="W61" i="20" s="1"/>
  <c r="V56" i="20"/>
  <c r="V61" i="20" s="1"/>
  <c r="U56" i="20"/>
  <c r="U61" i="20" s="1"/>
  <c r="T56" i="20"/>
  <c r="T61" i="20" s="1"/>
  <c r="S56" i="20"/>
  <c r="R56" i="20"/>
  <c r="R61" i="20" s="1"/>
  <c r="Q56" i="20"/>
  <c r="Q61" i="20" s="1"/>
  <c r="P56" i="20"/>
  <c r="P61" i="20" s="1"/>
  <c r="O56" i="20"/>
  <c r="O61" i="20" s="1"/>
  <c r="N56" i="20"/>
  <c r="N61" i="20" s="1"/>
  <c r="M56" i="20"/>
  <c r="M61" i="20" s="1"/>
  <c r="L56" i="20"/>
  <c r="L61" i="20" s="1"/>
  <c r="K56" i="20"/>
  <c r="J56" i="20"/>
  <c r="J61" i="20" s="1"/>
  <c r="I56" i="20"/>
  <c r="I61" i="20" s="1"/>
  <c r="H56" i="20"/>
  <c r="H61" i="20" s="1"/>
  <c r="AF55" i="20"/>
  <c r="AE55" i="20"/>
  <c r="AD55" i="20"/>
  <c r="AC55" i="20"/>
  <c r="AB55" i="20"/>
  <c r="AA55" i="20"/>
  <c r="Z55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AF54" i="20"/>
  <c r="AE54" i="20"/>
  <c r="AD54" i="20"/>
  <c r="AC54" i="20"/>
  <c r="AB54" i="20"/>
  <c r="AA54" i="20"/>
  <c r="Z54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AF53" i="20"/>
  <c r="AE53" i="20"/>
  <c r="AD53" i="20"/>
  <c r="AC53" i="20"/>
  <c r="AB53" i="20"/>
  <c r="AA53" i="20"/>
  <c r="Z53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AF52" i="20"/>
  <c r="AE52" i="20"/>
  <c r="AD52" i="20"/>
  <c r="AC52" i="20"/>
  <c r="AB52" i="20"/>
  <c r="AA52" i="20"/>
  <c r="Z52" i="20"/>
  <c r="Y52" i="20"/>
  <c r="X52" i="20"/>
  <c r="W52" i="20"/>
  <c r="V52" i="20"/>
  <c r="U52" i="20"/>
  <c r="T52" i="20"/>
  <c r="AF42" i="20"/>
  <c r="AE42" i="20"/>
  <c r="AD42" i="20"/>
  <c r="AC42" i="20"/>
  <c r="AB42" i="20"/>
  <c r="AA42" i="20"/>
  <c r="Z42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AF46" i="20"/>
  <c r="AD46" i="20"/>
  <c r="AB46" i="20"/>
  <c r="AA46" i="20"/>
  <c r="Z46" i="20"/>
  <c r="V46" i="20"/>
  <c r="T46" i="20"/>
  <c r="S46" i="20"/>
  <c r="R46" i="20"/>
  <c r="Q46" i="20"/>
  <c r="K46" i="20"/>
  <c r="AF40" i="20"/>
  <c r="AE40" i="20"/>
  <c r="AD40" i="20"/>
  <c r="AC40" i="20"/>
  <c r="AB40" i="20"/>
  <c r="AA40" i="20"/>
  <c r="Z40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AF38" i="20"/>
  <c r="AE38" i="20"/>
  <c r="AD38" i="20"/>
  <c r="AC38" i="20"/>
  <c r="AB38" i="20"/>
  <c r="AA38" i="20"/>
  <c r="Z38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G38" i="20"/>
  <c r="AF28" i="20"/>
  <c r="AE28" i="20"/>
  <c r="AD28" i="20"/>
  <c r="AC28" i="20"/>
  <c r="AB28" i="20"/>
  <c r="AA28" i="20"/>
  <c r="Z28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AF27" i="20"/>
  <c r="AE27" i="20"/>
  <c r="AD27" i="20"/>
  <c r="AC27" i="20"/>
  <c r="AB27" i="20"/>
  <c r="AA27" i="20"/>
  <c r="Z27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AF26" i="20"/>
  <c r="AF31" i="20" s="1"/>
  <c r="AE26" i="20"/>
  <c r="AE31" i="20" s="1"/>
  <c r="AD26" i="20"/>
  <c r="AD31" i="20" s="1"/>
  <c r="AC26" i="20"/>
  <c r="AC31" i="20" s="1"/>
  <c r="AB26" i="20"/>
  <c r="AB31" i="20" s="1"/>
  <c r="AA26" i="20"/>
  <c r="AA31" i="20" s="1"/>
  <c r="Z26" i="20"/>
  <c r="Z31" i="20" s="1"/>
  <c r="Y26" i="20"/>
  <c r="Y31" i="20" s="1"/>
  <c r="X26" i="20"/>
  <c r="X31" i="20" s="1"/>
  <c r="W26" i="20"/>
  <c r="W31" i="20" s="1"/>
  <c r="V26" i="20"/>
  <c r="V31" i="20" s="1"/>
  <c r="U26" i="20"/>
  <c r="U31" i="20" s="1"/>
  <c r="T26" i="20"/>
  <c r="T31" i="20" s="1"/>
  <c r="S26" i="20"/>
  <c r="S31" i="20" s="1"/>
  <c r="R26" i="20"/>
  <c r="R31" i="20" s="1"/>
  <c r="Q26" i="20"/>
  <c r="Q31" i="20" s="1"/>
  <c r="P26" i="20"/>
  <c r="P31" i="20" s="1"/>
  <c r="O26" i="20"/>
  <c r="O31" i="20" s="1"/>
  <c r="N26" i="20"/>
  <c r="N31" i="20" s="1"/>
  <c r="M26" i="20"/>
  <c r="M31" i="20" s="1"/>
  <c r="L26" i="20"/>
  <c r="L31" i="20" s="1"/>
  <c r="K26" i="20"/>
  <c r="K31" i="20" s="1"/>
  <c r="J26" i="20"/>
  <c r="J31" i="20" s="1"/>
  <c r="I26" i="20"/>
  <c r="I31" i="20" s="1"/>
  <c r="H26" i="20"/>
  <c r="H31" i="20" s="1"/>
  <c r="AF25" i="20"/>
  <c r="AE25" i="20"/>
  <c r="AD25" i="20"/>
  <c r="AC25" i="20"/>
  <c r="AB25" i="20"/>
  <c r="AA25" i="20"/>
  <c r="Z25" i="20"/>
  <c r="Y25" i="20"/>
  <c r="X25" i="20"/>
  <c r="W25" i="20"/>
  <c r="V25" i="20"/>
  <c r="U25" i="20"/>
  <c r="T25" i="20"/>
  <c r="S25" i="20"/>
  <c r="R25" i="20"/>
  <c r="Q25" i="20"/>
  <c r="P25" i="20"/>
  <c r="O25" i="20"/>
  <c r="N25" i="20"/>
  <c r="M25" i="20"/>
  <c r="L25" i="20"/>
  <c r="K25" i="20"/>
  <c r="J25" i="20"/>
  <c r="I25" i="20"/>
  <c r="H25" i="20"/>
  <c r="G25" i="20"/>
  <c r="AF24" i="20"/>
  <c r="AE24" i="20"/>
  <c r="AD24" i="20"/>
  <c r="AC24" i="20"/>
  <c r="AB24" i="20"/>
  <c r="AA24" i="20"/>
  <c r="Z24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AF23" i="20"/>
  <c r="AE23" i="20"/>
  <c r="AD23" i="20"/>
  <c r="AC23" i="20"/>
  <c r="AB23" i="20"/>
  <c r="AA23" i="20"/>
  <c r="Z23" i="20"/>
  <c r="Y23" i="20"/>
  <c r="Y32" i="20" s="1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AF22" i="20"/>
  <c r="AE22" i="20"/>
  <c r="AD22" i="20"/>
  <c r="AC22" i="20"/>
  <c r="AB22" i="20"/>
  <c r="AA22" i="20"/>
  <c r="Z22" i="20"/>
  <c r="Y22" i="20"/>
  <c r="X22" i="20"/>
  <c r="W22" i="20"/>
  <c r="V22" i="20"/>
  <c r="U22" i="20"/>
  <c r="T22" i="20"/>
  <c r="AE16" i="20"/>
  <c r="AC16" i="20"/>
  <c r="AB16" i="20"/>
  <c r="AA16" i="20"/>
  <c r="Z16" i="20"/>
  <c r="Y16" i="20"/>
  <c r="V16" i="20"/>
  <c r="U16" i="20"/>
  <c r="T16" i="20"/>
  <c r="S16" i="20"/>
  <c r="R16" i="20"/>
  <c r="Q16" i="20"/>
  <c r="P16" i="20"/>
  <c r="O16" i="20"/>
  <c r="N16" i="20"/>
  <c r="K16" i="20"/>
  <c r="J16" i="20"/>
  <c r="I16" i="20"/>
  <c r="H16" i="20"/>
  <c r="G16" i="20"/>
  <c r="AF10" i="20"/>
  <c r="AE10" i="20"/>
  <c r="AD10" i="20"/>
  <c r="AC10" i="20"/>
  <c r="AB10" i="20"/>
  <c r="AA10" i="20"/>
  <c r="Z10" i="20"/>
  <c r="Y10" i="20"/>
  <c r="X10" i="20"/>
  <c r="W10" i="20"/>
  <c r="V10" i="20"/>
  <c r="U10" i="20"/>
  <c r="T10" i="20"/>
  <c r="S10" i="20"/>
  <c r="R10" i="20"/>
  <c r="Q10" i="20"/>
  <c r="P10" i="20"/>
  <c r="O10" i="20"/>
  <c r="N10" i="20"/>
  <c r="M10" i="20"/>
  <c r="L10" i="20"/>
  <c r="K10" i="20"/>
  <c r="J10" i="20"/>
  <c r="I10" i="20"/>
  <c r="H10" i="20"/>
  <c r="G10" i="20"/>
  <c r="AF8" i="20"/>
  <c r="AE8" i="20"/>
  <c r="AD8" i="20"/>
  <c r="AC8" i="20"/>
  <c r="AB8" i="20"/>
  <c r="AA8" i="20"/>
  <c r="Z8" i="20"/>
  <c r="Y8" i="20"/>
  <c r="X8" i="20"/>
  <c r="W8" i="20"/>
  <c r="V8" i="20"/>
  <c r="U8" i="20"/>
  <c r="T8" i="20"/>
  <c r="S8" i="20"/>
  <c r="R8" i="20"/>
  <c r="Q8" i="20"/>
  <c r="P8" i="20"/>
  <c r="O8" i="20"/>
  <c r="N8" i="20"/>
  <c r="M8" i="20"/>
  <c r="L8" i="20"/>
  <c r="K8" i="20"/>
  <c r="J8" i="20"/>
  <c r="I8" i="20"/>
  <c r="H8" i="20"/>
  <c r="G8" i="20"/>
  <c r="O90" i="19"/>
  <c r="L90" i="19"/>
  <c r="G90" i="19"/>
  <c r="F90" i="19"/>
  <c r="S90" i="19"/>
  <c r="R90" i="19"/>
  <c r="Q90" i="19"/>
  <c r="P90" i="19"/>
  <c r="K90" i="19"/>
  <c r="J90" i="19"/>
  <c r="I90" i="19"/>
  <c r="H90" i="19"/>
  <c r="T21" i="19"/>
  <c r="S21" i="19"/>
  <c r="R21" i="19"/>
  <c r="Q21" i="19"/>
  <c r="P21" i="19"/>
  <c r="O21" i="19"/>
  <c r="L21" i="19"/>
  <c r="K21" i="19"/>
  <c r="J21" i="19"/>
  <c r="I21" i="19"/>
  <c r="H21" i="19"/>
  <c r="G21" i="19"/>
  <c r="F21" i="19"/>
  <c r="S20" i="19"/>
  <c r="S30" i="19" s="1"/>
  <c r="S37" i="19" s="1"/>
  <c r="R20" i="19"/>
  <c r="R30" i="19" s="1"/>
  <c r="Q20" i="19"/>
  <c r="Q30" i="19" s="1"/>
  <c r="Q37" i="19" s="1"/>
  <c r="P20" i="19"/>
  <c r="O20" i="19"/>
  <c r="O30" i="19" s="1"/>
  <c r="K20" i="19"/>
  <c r="K30" i="19" s="1"/>
  <c r="J20" i="19"/>
  <c r="J30" i="19" s="1"/>
  <c r="I20" i="19"/>
  <c r="I30" i="19" s="1"/>
  <c r="H20" i="19"/>
  <c r="G20" i="19"/>
  <c r="G30" i="19" s="1"/>
  <c r="F20" i="19"/>
  <c r="F30" i="19" s="1"/>
  <c r="F74" i="19" s="1"/>
  <c r="T19" i="19"/>
  <c r="S19" i="19"/>
  <c r="R19" i="19"/>
  <c r="Q19" i="19"/>
  <c r="P19" i="19"/>
  <c r="O19" i="19"/>
  <c r="L19" i="19"/>
  <c r="K19" i="19"/>
  <c r="I19" i="19"/>
  <c r="H19" i="19"/>
  <c r="G19" i="19"/>
  <c r="F19" i="19"/>
  <c r="U18" i="19"/>
  <c r="S18" i="19"/>
  <c r="R18" i="19"/>
  <c r="Q18" i="19"/>
  <c r="P18" i="19"/>
  <c r="O18" i="19"/>
  <c r="M18" i="19"/>
  <c r="K18" i="19"/>
  <c r="J18" i="19"/>
  <c r="I18" i="19"/>
  <c r="H18" i="19"/>
  <c r="G18" i="19"/>
  <c r="F18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U14" i="19"/>
  <c r="S14" i="19"/>
  <c r="R14" i="19"/>
  <c r="Q14" i="19"/>
  <c r="P14" i="19"/>
  <c r="O14" i="19"/>
  <c r="M14" i="19"/>
  <c r="K14" i="19"/>
  <c r="J14" i="19"/>
  <c r="I14" i="19"/>
  <c r="H14" i="19"/>
  <c r="G14" i="19"/>
  <c r="F14" i="19"/>
  <c r="S14" i="18"/>
  <c r="AA14" i="18"/>
  <c r="AC18" i="18"/>
  <c r="AB19" i="18"/>
  <c r="K20" i="18"/>
  <c r="J21" i="18"/>
  <c r="R21" i="18"/>
  <c r="G67" i="18"/>
  <c r="G19" i="18" s="1"/>
  <c r="H67" i="18"/>
  <c r="H18" i="18" s="1"/>
  <c r="I67" i="18"/>
  <c r="I17" i="18" s="1"/>
  <c r="J67" i="18"/>
  <c r="J17" i="18" s="1"/>
  <c r="K67" i="18"/>
  <c r="K17" i="18" s="1"/>
  <c r="L67" i="18"/>
  <c r="L14" i="18" s="1"/>
  <c r="M67" i="18"/>
  <c r="M21" i="18" s="1"/>
  <c r="N67" i="18"/>
  <c r="N20" i="18" s="1"/>
  <c r="O67" i="18"/>
  <c r="O19" i="18" s="1"/>
  <c r="P67" i="18"/>
  <c r="P18" i="18" s="1"/>
  <c r="Q67" i="18"/>
  <c r="Q17" i="18" s="1"/>
  <c r="R67" i="18"/>
  <c r="R17" i="18" s="1"/>
  <c r="S67" i="18"/>
  <c r="T67" i="18"/>
  <c r="T14" i="18" s="1"/>
  <c r="U67" i="18"/>
  <c r="U21" i="18" s="1"/>
  <c r="V67" i="18"/>
  <c r="V20" i="18" s="1"/>
  <c r="W67" i="18"/>
  <c r="W19" i="18" s="1"/>
  <c r="X67" i="18"/>
  <c r="X18" i="18" s="1"/>
  <c r="Y67" i="18"/>
  <c r="Y17" i="18" s="1"/>
  <c r="Z67" i="18"/>
  <c r="Z17" i="18" s="1"/>
  <c r="AA67" i="18"/>
  <c r="AA17" i="18" s="1"/>
  <c r="AB67" i="18"/>
  <c r="AB14" i="18" s="1"/>
  <c r="AC67" i="18"/>
  <c r="AC21" i="18" s="1"/>
  <c r="AD67" i="18"/>
  <c r="AD20" i="18" s="1"/>
  <c r="AE67" i="18"/>
  <c r="AE19" i="18" s="1"/>
  <c r="F19" i="18"/>
  <c r="D52" i="17"/>
  <c r="D54" i="17" s="1"/>
  <c r="E52" i="17"/>
  <c r="E54" i="17" s="1"/>
  <c r="F52" i="17"/>
  <c r="G52" i="17"/>
  <c r="G54" i="17" s="1"/>
  <c r="H52" i="17"/>
  <c r="H54" i="17" s="1"/>
  <c r="I52" i="17"/>
  <c r="I54" i="17" s="1"/>
  <c r="J52" i="17"/>
  <c r="L52" i="17"/>
  <c r="L54" i="17" s="1"/>
  <c r="M52" i="17"/>
  <c r="M54" i="17" s="1"/>
  <c r="N52" i="17"/>
  <c r="N22" i="30" s="1"/>
  <c r="O52" i="17"/>
  <c r="P52" i="17"/>
  <c r="P54" i="17" s="1"/>
  <c r="Q52" i="17"/>
  <c r="Q54" i="17" s="1"/>
  <c r="R52" i="17"/>
  <c r="W52" i="17"/>
  <c r="W54" i="17" s="1"/>
  <c r="Z52" i="17"/>
  <c r="Q88" i="17"/>
  <c r="I88" i="17"/>
  <c r="AB71" i="17"/>
  <c r="AA71" i="17"/>
  <c r="Z71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AB70" i="17"/>
  <c r="AA70" i="17"/>
  <c r="Z70" i="17"/>
  <c r="Y70" i="17"/>
  <c r="X70" i="17"/>
  <c r="W70" i="17"/>
  <c r="V70" i="17"/>
  <c r="U70" i="17"/>
  <c r="T70" i="17"/>
  <c r="S70" i="17"/>
  <c r="R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D70" i="17"/>
  <c r="C70" i="17"/>
  <c r="AB69" i="17"/>
  <c r="AA69" i="17"/>
  <c r="Z69" i="17"/>
  <c r="Y69" i="17"/>
  <c r="X69" i="17"/>
  <c r="W69" i="17"/>
  <c r="V69" i="17"/>
  <c r="U69" i="17"/>
  <c r="T69" i="17"/>
  <c r="S69" i="17"/>
  <c r="R69" i="17"/>
  <c r="Q69" i="17"/>
  <c r="P69" i="17"/>
  <c r="O69" i="17"/>
  <c r="N69" i="17"/>
  <c r="M69" i="17"/>
  <c r="L69" i="17"/>
  <c r="K69" i="17"/>
  <c r="J69" i="17"/>
  <c r="I69" i="17"/>
  <c r="H69" i="17"/>
  <c r="G69" i="17"/>
  <c r="F69" i="17"/>
  <c r="E69" i="17"/>
  <c r="D69" i="17"/>
  <c r="C69" i="17"/>
  <c r="AB68" i="17"/>
  <c r="AA68" i="17"/>
  <c r="Z68" i="17"/>
  <c r="Y68" i="17"/>
  <c r="X68" i="17"/>
  <c r="W68" i="17"/>
  <c r="V68" i="17"/>
  <c r="U68" i="17"/>
  <c r="T68" i="17"/>
  <c r="S68" i="17"/>
  <c r="R68" i="17"/>
  <c r="R88" i="17" s="1"/>
  <c r="Q68" i="17"/>
  <c r="P68" i="17"/>
  <c r="P88" i="17" s="1"/>
  <c r="O68" i="17"/>
  <c r="N68" i="17"/>
  <c r="M68" i="17"/>
  <c r="M88" i="17" s="1"/>
  <c r="L68" i="17"/>
  <c r="L88" i="17" s="1"/>
  <c r="K68" i="17"/>
  <c r="J68" i="17"/>
  <c r="J88" i="17" s="1"/>
  <c r="I68" i="17"/>
  <c r="H68" i="17"/>
  <c r="H88" i="17" s="1"/>
  <c r="G68" i="17"/>
  <c r="F68" i="17"/>
  <c r="E68" i="17"/>
  <c r="E88" i="17" s="1"/>
  <c r="D68" i="17"/>
  <c r="D88" i="17" s="1"/>
  <c r="C68" i="17"/>
  <c r="AB22" i="17"/>
  <c r="AA22" i="17"/>
  <c r="Z22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AB21" i="17"/>
  <c r="AA21" i="17"/>
  <c r="Z21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S23" i="15"/>
  <c r="S24" i="15" s="1"/>
  <c r="S59" i="15" s="1"/>
  <c r="V67" i="19" s="1"/>
  <c r="D68" i="16"/>
  <c r="D88" i="16" s="1"/>
  <c r="E68" i="16"/>
  <c r="E88" i="16" s="1"/>
  <c r="F68" i="16"/>
  <c r="F88" i="16" s="1"/>
  <c r="G68" i="16"/>
  <c r="G88" i="16" s="1"/>
  <c r="H68" i="16"/>
  <c r="H88" i="16" s="1"/>
  <c r="I68" i="16"/>
  <c r="I88" i="16" s="1"/>
  <c r="J68" i="16"/>
  <c r="J88" i="16" s="1"/>
  <c r="K68" i="16"/>
  <c r="K88" i="16" s="1"/>
  <c r="L68" i="16"/>
  <c r="L88" i="16" s="1"/>
  <c r="M68" i="16"/>
  <c r="M88" i="16" s="1"/>
  <c r="N68" i="16"/>
  <c r="N88" i="16" s="1"/>
  <c r="O68" i="16"/>
  <c r="O88" i="16" s="1"/>
  <c r="P68" i="16"/>
  <c r="P88" i="16" s="1"/>
  <c r="Q68" i="16"/>
  <c r="Q88" i="16" s="1"/>
  <c r="R68" i="16"/>
  <c r="R88" i="16" s="1"/>
  <c r="S68" i="16"/>
  <c r="S88" i="16" s="1"/>
  <c r="T68" i="16"/>
  <c r="T88" i="16" s="1"/>
  <c r="U68" i="16"/>
  <c r="U88" i="16" s="1"/>
  <c r="V68" i="16"/>
  <c r="V88" i="16" s="1"/>
  <c r="W68" i="16"/>
  <c r="W88" i="16" s="1"/>
  <c r="X68" i="16"/>
  <c r="X88" i="16" s="1"/>
  <c r="Y68" i="16"/>
  <c r="Y88" i="16" s="1"/>
  <c r="Z68" i="16"/>
  <c r="Z88" i="16" s="1"/>
  <c r="AA68" i="16"/>
  <c r="AA88" i="16" s="1"/>
  <c r="AB68" i="16"/>
  <c r="AB88" i="16" s="1"/>
  <c r="D69" i="16"/>
  <c r="E69" i="16"/>
  <c r="F69" i="16"/>
  <c r="G69" i="16"/>
  <c r="H69" i="16"/>
  <c r="I69" i="16"/>
  <c r="J69" i="16"/>
  <c r="K69" i="16"/>
  <c r="L69" i="16"/>
  <c r="M69" i="16"/>
  <c r="N69" i="16"/>
  <c r="O69" i="16"/>
  <c r="P69" i="16"/>
  <c r="Q69" i="16"/>
  <c r="R69" i="16"/>
  <c r="S69" i="16"/>
  <c r="T69" i="16"/>
  <c r="U69" i="16"/>
  <c r="V69" i="16"/>
  <c r="W69" i="16"/>
  <c r="X69" i="16"/>
  <c r="Y69" i="16"/>
  <c r="Z69" i="16"/>
  <c r="AA69" i="16"/>
  <c r="AB69" i="16"/>
  <c r="D70" i="16"/>
  <c r="E70" i="16"/>
  <c r="F70" i="16"/>
  <c r="G70" i="16"/>
  <c r="H70" i="16"/>
  <c r="I70" i="16"/>
  <c r="J70" i="16"/>
  <c r="K70" i="16"/>
  <c r="L70" i="16"/>
  <c r="M70" i="16"/>
  <c r="N70" i="16"/>
  <c r="O70" i="16"/>
  <c r="P70" i="16"/>
  <c r="Q70" i="16"/>
  <c r="R70" i="16"/>
  <c r="S70" i="16"/>
  <c r="T70" i="16"/>
  <c r="U70" i="16"/>
  <c r="V70" i="16"/>
  <c r="W70" i="16"/>
  <c r="X70" i="16"/>
  <c r="Y70" i="16"/>
  <c r="Z70" i="16"/>
  <c r="AA70" i="16"/>
  <c r="AB70" i="16"/>
  <c r="D71" i="16"/>
  <c r="E71" i="16"/>
  <c r="F71" i="16"/>
  <c r="G71" i="16"/>
  <c r="H71" i="16"/>
  <c r="I71" i="16"/>
  <c r="J71" i="16"/>
  <c r="K71" i="16"/>
  <c r="L71" i="16"/>
  <c r="M71" i="16"/>
  <c r="N71" i="16"/>
  <c r="O71" i="16"/>
  <c r="P71" i="16"/>
  <c r="Q71" i="16"/>
  <c r="R71" i="16"/>
  <c r="S71" i="16"/>
  <c r="T71" i="16"/>
  <c r="U71" i="16"/>
  <c r="V71" i="16"/>
  <c r="W71" i="16"/>
  <c r="X71" i="16"/>
  <c r="Y71" i="16"/>
  <c r="Z71" i="16"/>
  <c r="AA71" i="16"/>
  <c r="AB71" i="16"/>
  <c r="C71" i="16"/>
  <c r="C70" i="16"/>
  <c r="C69" i="16"/>
  <c r="C68" i="16"/>
  <c r="C88" i="16" s="1"/>
  <c r="AB22" i="16"/>
  <c r="AA22" i="16"/>
  <c r="Z22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AB21" i="16"/>
  <c r="AA21" i="16"/>
  <c r="AA15" i="30" s="1"/>
  <c r="Z21" i="16"/>
  <c r="Y21" i="16"/>
  <c r="Y57" i="16" s="1"/>
  <c r="Y78" i="16" s="1"/>
  <c r="AB60" i="18" s="1"/>
  <c r="AB15" i="18" s="1"/>
  <c r="X21" i="16"/>
  <c r="X57" i="16" s="1"/>
  <c r="X78" i="16" s="1"/>
  <c r="AA60" i="18" s="1"/>
  <c r="AA15" i="18" s="1"/>
  <c r="W21" i="16"/>
  <c r="V21" i="16"/>
  <c r="U21" i="16"/>
  <c r="T21" i="16"/>
  <c r="T15" i="30" s="1"/>
  <c r="S21" i="16"/>
  <c r="S15" i="30" s="1"/>
  <c r="R21" i="16"/>
  <c r="Q21" i="16"/>
  <c r="P21" i="16"/>
  <c r="P57" i="16" s="1"/>
  <c r="P78" i="16" s="1"/>
  <c r="S60" i="18" s="1"/>
  <c r="S15" i="18" s="1"/>
  <c r="O21" i="16"/>
  <c r="N21" i="16"/>
  <c r="M21" i="16"/>
  <c r="L21" i="16"/>
  <c r="L15" i="30" s="1"/>
  <c r="K21" i="16"/>
  <c r="K15" i="30" s="1"/>
  <c r="J21" i="16"/>
  <c r="I21" i="16"/>
  <c r="H21" i="16"/>
  <c r="H57" i="16" s="1"/>
  <c r="H78" i="16" s="1"/>
  <c r="K60" i="18" s="1"/>
  <c r="K15" i="18" s="1"/>
  <c r="G21" i="16"/>
  <c r="F21" i="16"/>
  <c r="E21" i="16"/>
  <c r="D21" i="16"/>
  <c r="C21" i="16"/>
  <c r="C15" i="30" s="1"/>
  <c r="D59" i="15"/>
  <c r="E59" i="15"/>
  <c r="F59" i="15"/>
  <c r="G59" i="15"/>
  <c r="H59" i="15"/>
  <c r="I59" i="15"/>
  <c r="J59" i="15"/>
  <c r="K59" i="15"/>
  <c r="L59" i="15"/>
  <c r="M59" i="15"/>
  <c r="N59" i="15"/>
  <c r="O59" i="15"/>
  <c r="P59" i="15"/>
  <c r="R59" i="15"/>
  <c r="C59" i="15"/>
  <c r="D49" i="15"/>
  <c r="E49" i="15"/>
  <c r="F49" i="15"/>
  <c r="G49" i="15"/>
  <c r="H49" i="15"/>
  <c r="I49" i="15"/>
  <c r="J49" i="15"/>
  <c r="K49" i="15"/>
  <c r="L49" i="15"/>
  <c r="M49" i="15"/>
  <c r="N49" i="15"/>
  <c r="O49" i="15"/>
  <c r="P49" i="15"/>
  <c r="Q49" i="15"/>
  <c r="R49" i="15"/>
  <c r="D50" i="15"/>
  <c r="E50" i="15"/>
  <c r="F50" i="15"/>
  <c r="G50" i="15"/>
  <c r="H50" i="15"/>
  <c r="I50" i="15"/>
  <c r="J50" i="15"/>
  <c r="K50" i="15"/>
  <c r="L50" i="15"/>
  <c r="M50" i="15"/>
  <c r="N50" i="15"/>
  <c r="O50" i="15"/>
  <c r="P50" i="15"/>
  <c r="Q50" i="15"/>
  <c r="R50" i="15"/>
  <c r="D51" i="15"/>
  <c r="E51" i="15"/>
  <c r="F51" i="15"/>
  <c r="G51" i="15"/>
  <c r="H51" i="15"/>
  <c r="I51" i="15"/>
  <c r="J51" i="15"/>
  <c r="K51" i="15"/>
  <c r="L51" i="15"/>
  <c r="M51" i="15"/>
  <c r="N51" i="15"/>
  <c r="O51" i="15"/>
  <c r="P51" i="15"/>
  <c r="Q51" i="15"/>
  <c r="R51" i="15"/>
  <c r="D52" i="15"/>
  <c r="E52" i="15"/>
  <c r="F52" i="15"/>
  <c r="G52" i="15"/>
  <c r="H52" i="15"/>
  <c r="I52" i="15"/>
  <c r="J52" i="15"/>
  <c r="K52" i="15"/>
  <c r="L52" i="15"/>
  <c r="M52" i="15"/>
  <c r="N52" i="15"/>
  <c r="O52" i="15"/>
  <c r="P52" i="15"/>
  <c r="Q52" i="15"/>
  <c r="R52" i="15"/>
  <c r="C52" i="15"/>
  <c r="C51" i="15"/>
  <c r="C50" i="15"/>
  <c r="C49" i="15"/>
  <c r="U24" i="15"/>
  <c r="U59" i="15" s="1"/>
  <c r="X67" i="19" s="1"/>
  <c r="V24" i="15"/>
  <c r="V44" i="15" s="1"/>
  <c r="W24" i="15"/>
  <c r="W59" i="15" s="1"/>
  <c r="Z67" i="19" s="1"/>
  <c r="X24" i="15"/>
  <c r="X59" i="15" s="1"/>
  <c r="AA67" i="19" s="1"/>
  <c r="Y24" i="15"/>
  <c r="Y59" i="15" s="1"/>
  <c r="AB67" i="19" s="1"/>
  <c r="Z24" i="15"/>
  <c r="Z59" i="15" s="1"/>
  <c r="AC67" i="19" s="1"/>
  <c r="AA24" i="15"/>
  <c r="AA59" i="15" s="1"/>
  <c r="AD67" i="19" s="1"/>
  <c r="AD18" i="19" s="1"/>
  <c r="AB24" i="15"/>
  <c r="AB59" i="15" s="1"/>
  <c r="AE67" i="19" s="1"/>
  <c r="T24" i="15"/>
  <c r="T59" i="15" s="1"/>
  <c r="W67" i="19" s="1"/>
  <c r="U23" i="15"/>
  <c r="V23" i="15"/>
  <c r="W23" i="15"/>
  <c r="X23" i="15"/>
  <c r="Y23" i="15"/>
  <c r="Z23" i="15"/>
  <c r="AA23" i="15"/>
  <c r="AB23" i="15"/>
  <c r="T23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Y26" i="14"/>
  <c r="Z26" i="14"/>
  <c r="AA26" i="14"/>
  <c r="AB26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Y27" i="14"/>
  <c r="Z27" i="14"/>
  <c r="AA27" i="14"/>
  <c r="AB27" i="14"/>
  <c r="C27" i="14"/>
  <c r="C26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D12" i="12"/>
  <c r="W12" i="12" s="1"/>
  <c r="AF61" i="13"/>
  <c r="AE61" i="13"/>
  <c r="AD61" i="13"/>
  <c r="AC61" i="13"/>
  <c r="AB61" i="13"/>
  <c r="AA61" i="13"/>
  <c r="Z61" i="13"/>
  <c r="Y61" i="13"/>
  <c r="X61" i="13"/>
  <c r="W61" i="13"/>
  <c r="V61" i="13"/>
  <c r="U61" i="13"/>
  <c r="T61" i="13"/>
  <c r="S61" i="13"/>
  <c r="R61" i="13"/>
  <c r="Q61" i="13"/>
  <c r="P61" i="13"/>
  <c r="O61" i="13"/>
  <c r="N61" i="13"/>
  <c r="M61" i="13"/>
  <c r="L61" i="13"/>
  <c r="K61" i="13"/>
  <c r="J61" i="13"/>
  <c r="I61" i="13"/>
  <c r="H61" i="13"/>
  <c r="G61" i="13"/>
  <c r="AF60" i="13"/>
  <c r="AE60" i="13"/>
  <c r="AD60" i="13"/>
  <c r="AC60" i="13"/>
  <c r="AB60" i="13"/>
  <c r="AA60" i="13"/>
  <c r="Z60" i="13"/>
  <c r="Y60" i="13"/>
  <c r="X60" i="13"/>
  <c r="W60" i="13"/>
  <c r="V60" i="13"/>
  <c r="U60" i="13"/>
  <c r="T60" i="13"/>
  <c r="S60" i="13"/>
  <c r="R60" i="13"/>
  <c r="Q60" i="13"/>
  <c r="P60" i="13"/>
  <c r="O60" i="13"/>
  <c r="N60" i="13"/>
  <c r="M60" i="13"/>
  <c r="L60" i="13"/>
  <c r="K60" i="13"/>
  <c r="J60" i="13"/>
  <c r="I60" i="13"/>
  <c r="H60" i="13"/>
  <c r="AF59" i="13"/>
  <c r="AE59" i="13"/>
  <c r="AD59" i="13"/>
  <c r="AC59" i="13"/>
  <c r="AB59" i="13"/>
  <c r="AA59" i="13"/>
  <c r="Z59" i="13"/>
  <c r="Y59" i="13"/>
  <c r="X59" i="13"/>
  <c r="W59" i="13"/>
  <c r="V59" i="13"/>
  <c r="U59" i="13"/>
  <c r="T59" i="13"/>
  <c r="S59" i="13"/>
  <c r="R59" i="13"/>
  <c r="Q59" i="13"/>
  <c r="P59" i="13"/>
  <c r="O59" i="13"/>
  <c r="N59" i="13"/>
  <c r="M59" i="13"/>
  <c r="L59" i="13"/>
  <c r="K59" i="13"/>
  <c r="J59" i="13"/>
  <c r="I59" i="13"/>
  <c r="H59" i="13"/>
  <c r="AF58" i="13"/>
  <c r="AE58" i="13"/>
  <c r="AD58" i="13"/>
  <c r="AC58" i="13"/>
  <c r="AB58" i="13"/>
  <c r="AA58" i="13"/>
  <c r="Z58" i="13"/>
  <c r="Y58" i="13"/>
  <c r="X58" i="13"/>
  <c r="W58" i="13"/>
  <c r="V58" i="13"/>
  <c r="U58" i="13"/>
  <c r="T58" i="13"/>
  <c r="S58" i="13"/>
  <c r="R58" i="13"/>
  <c r="Q58" i="13"/>
  <c r="P58" i="13"/>
  <c r="O58" i="13"/>
  <c r="N58" i="13"/>
  <c r="M58" i="13"/>
  <c r="L58" i="13"/>
  <c r="K58" i="13"/>
  <c r="J58" i="13"/>
  <c r="I58" i="13"/>
  <c r="H58" i="13"/>
  <c r="G58" i="13"/>
  <c r="AF57" i="13"/>
  <c r="AE57" i="13"/>
  <c r="AD57" i="13"/>
  <c r="AC57" i="13"/>
  <c r="AB57" i="13"/>
  <c r="AA57" i="13"/>
  <c r="Z57" i="13"/>
  <c r="Y57" i="13"/>
  <c r="X57" i="13"/>
  <c r="W57" i="13"/>
  <c r="V57" i="13"/>
  <c r="U57" i="13"/>
  <c r="T57" i="13"/>
  <c r="S57" i="13"/>
  <c r="R57" i="13"/>
  <c r="Q57" i="13"/>
  <c r="P57" i="13"/>
  <c r="O57" i="13"/>
  <c r="N57" i="13"/>
  <c r="M57" i="13"/>
  <c r="L57" i="13"/>
  <c r="K57" i="13"/>
  <c r="J57" i="13"/>
  <c r="I57" i="13"/>
  <c r="H57" i="13"/>
  <c r="G57" i="13"/>
  <c r="AF56" i="13"/>
  <c r="AE56" i="13"/>
  <c r="AD56" i="13"/>
  <c r="AC56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G56" i="13"/>
  <c r="AF45" i="13"/>
  <c r="AE45" i="13"/>
  <c r="AD45" i="13"/>
  <c r="AC45" i="13"/>
  <c r="AB45" i="13"/>
  <c r="AA45" i="13"/>
  <c r="Z45" i="13"/>
  <c r="Y45" i="13"/>
  <c r="X45" i="13"/>
  <c r="W45" i="13"/>
  <c r="V45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AF44" i="13"/>
  <c r="AE44" i="13"/>
  <c r="AD44" i="13"/>
  <c r="AC44" i="13"/>
  <c r="AB44" i="13"/>
  <c r="AA44" i="13"/>
  <c r="Z44" i="13"/>
  <c r="Y44" i="13"/>
  <c r="X44" i="13"/>
  <c r="W44" i="13"/>
  <c r="V44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AF42" i="13"/>
  <c r="AE42" i="13"/>
  <c r="AD42" i="13"/>
  <c r="AC42" i="13"/>
  <c r="AB42" i="13"/>
  <c r="AA42" i="13"/>
  <c r="Z42" i="13"/>
  <c r="Y42" i="13"/>
  <c r="X42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AF41" i="13"/>
  <c r="AE41" i="13"/>
  <c r="AD41" i="13"/>
  <c r="AC41" i="13"/>
  <c r="AB41" i="13"/>
  <c r="AA41" i="13"/>
  <c r="Z41" i="13"/>
  <c r="Y41" i="13"/>
  <c r="X41" i="13"/>
  <c r="W41" i="13"/>
  <c r="V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AF40" i="13"/>
  <c r="AE40" i="13"/>
  <c r="AD40" i="13"/>
  <c r="AC40" i="13"/>
  <c r="AB40" i="13"/>
  <c r="AA40" i="13"/>
  <c r="Z40" i="13"/>
  <c r="Y40" i="13"/>
  <c r="X40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AF29" i="13"/>
  <c r="AE29" i="13"/>
  <c r="AD29" i="13"/>
  <c r="AC29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AF28" i="13"/>
  <c r="AE28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AF27" i="13"/>
  <c r="AF33" i="13" s="1"/>
  <c r="AE27" i="13"/>
  <c r="AD27" i="13"/>
  <c r="AC27" i="13"/>
  <c r="AB27" i="13"/>
  <c r="AA27" i="13"/>
  <c r="Z27" i="13"/>
  <c r="Y27" i="13"/>
  <c r="X27" i="13"/>
  <c r="X33" i="13" s="1"/>
  <c r="W27" i="13"/>
  <c r="V27" i="13"/>
  <c r="U27" i="13"/>
  <c r="T27" i="13"/>
  <c r="S27" i="13"/>
  <c r="R27" i="13"/>
  <c r="Q27" i="13"/>
  <c r="P27" i="13"/>
  <c r="P33" i="13" s="1"/>
  <c r="O27" i="13"/>
  <c r="N27" i="13"/>
  <c r="M27" i="13"/>
  <c r="L27" i="13"/>
  <c r="K27" i="13"/>
  <c r="J27" i="13"/>
  <c r="I27" i="13"/>
  <c r="H27" i="13"/>
  <c r="H33" i="13" s="1"/>
  <c r="AF26" i="13"/>
  <c r="AE26" i="13"/>
  <c r="AD26" i="13"/>
  <c r="AC26" i="13"/>
  <c r="AB26" i="13"/>
  <c r="AA26" i="13"/>
  <c r="Z26" i="13"/>
  <c r="Y26" i="13"/>
  <c r="X26" i="13"/>
  <c r="W26" i="13"/>
  <c r="V26" i="13"/>
  <c r="U26" i="13"/>
  <c r="T26" i="13"/>
  <c r="S26" i="13"/>
  <c r="R26" i="13"/>
  <c r="Q26" i="13"/>
  <c r="P26" i="13"/>
  <c r="O26" i="13"/>
  <c r="N26" i="13"/>
  <c r="M26" i="13"/>
  <c r="L26" i="13"/>
  <c r="K26" i="13"/>
  <c r="J26" i="13"/>
  <c r="I26" i="13"/>
  <c r="H26" i="13"/>
  <c r="G26" i="13"/>
  <c r="AF25" i="13"/>
  <c r="AE25" i="13"/>
  <c r="AD25" i="13"/>
  <c r="AC25" i="13"/>
  <c r="AB25" i="13"/>
  <c r="AA25" i="13"/>
  <c r="Z25" i="13"/>
  <c r="Y25" i="13"/>
  <c r="X25" i="13"/>
  <c r="W25" i="13"/>
  <c r="V25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H25" i="13"/>
  <c r="G25" i="13"/>
  <c r="AF24" i="13"/>
  <c r="AE24" i="13"/>
  <c r="AD24" i="13"/>
  <c r="AC24" i="13"/>
  <c r="AB24" i="13"/>
  <c r="AA24" i="13"/>
  <c r="Z24" i="13"/>
  <c r="Y24" i="13"/>
  <c r="X24" i="13"/>
  <c r="W24" i="13"/>
  <c r="V24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AF13" i="13"/>
  <c r="AB13" i="30" s="1"/>
  <c r="AE13" i="13"/>
  <c r="AA13" i="30" s="1"/>
  <c r="AD13" i="13"/>
  <c r="Z13" i="30" s="1"/>
  <c r="AC13" i="13"/>
  <c r="Y13" i="30" s="1"/>
  <c r="AB13" i="13"/>
  <c r="X13" i="30" s="1"/>
  <c r="AA13" i="13"/>
  <c r="W13" i="30" s="1"/>
  <c r="Z13" i="13"/>
  <c r="V13" i="30" s="1"/>
  <c r="Y13" i="13"/>
  <c r="U13" i="30" s="1"/>
  <c r="X13" i="13"/>
  <c r="T13" i="30" s="1"/>
  <c r="W13" i="13"/>
  <c r="S13" i="30" s="1"/>
  <c r="V13" i="13"/>
  <c r="R13" i="30" s="1"/>
  <c r="U13" i="13"/>
  <c r="Q13" i="30" s="1"/>
  <c r="T13" i="13"/>
  <c r="P13" i="30" s="1"/>
  <c r="S13" i="13"/>
  <c r="O13" i="30" s="1"/>
  <c r="R13" i="13"/>
  <c r="N13" i="30" s="1"/>
  <c r="Q13" i="13"/>
  <c r="M13" i="30" s="1"/>
  <c r="P13" i="13"/>
  <c r="L13" i="30" s="1"/>
  <c r="O13" i="13"/>
  <c r="K13" i="30" s="1"/>
  <c r="N13" i="13"/>
  <c r="J13" i="30" s="1"/>
  <c r="M13" i="13"/>
  <c r="I13" i="30" s="1"/>
  <c r="L13" i="13"/>
  <c r="H13" i="30" s="1"/>
  <c r="K13" i="13"/>
  <c r="G13" i="30" s="1"/>
  <c r="J13" i="13"/>
  <c r="F13" i="30" s="1"/>
  <c r="I13" i="13"/>
  <c r="E13" i="30" s="1"/>
  <c r="H13" i="13"/>
  <c r="D13" i="30" s="1"/>
  <c r="G13" i="13"/>
  <c r="C13" i="30" s="1"/>
  <c r="AF12" i="13"/>
  <c r="AE12" i="13"/>
  <c r="AD12" i="13"/>
  <c r="AC12" i="13"/>
  <c r="AB12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S11" i="13"/>
  <c r="R11" i="13"/>
  <c r="Q11" i="13"/>
  <c r="P11" i="13"/>
  <c r="O11" i="13"/>
  <c r="N11" i="13"/>
  <c r="M11" i="13"/>
  <c r="L11" i="13"/>
  <c r="K11" i="13"/>
  <c r="J11" i="13"/>
  <c r="I11" i="13"/>
  <c r="H11" i="13"/>
  <c r="AF10" i="13"/>
  <c r="AB11" i="30" s="1"/>
  <c r="AE10" i="13"/>
  <c r="AA11" i="30" s="1"/>
  <c r="AD10" i="13"/>
  <c r="Z11" i="30" s="1"/>
  <c r="AC10" i="13"/>
  <c r="Y11" i="30" s="1"/>
  <c r="AB10" i="13"/>
  <c r="X11" i="30" s="1"/>
  <c r="AA10" i="13"/>
  <c r="W11" i="30" s="1"/>
  <c r="Z10" i="13"/>
  <c r="V11" i="30" s="1"/>
  <c r="Y10" i="13"/>
  <c r="U11" i="30" s="1"/>
  <c r="X10" i="13"/>
  <c r="T11" i="30" s="1"/>
  <c r="W10" i="13"/>
  <c r="S11" i="30" s="1"/>
  <c r="V10" i="13"/>
  <c r="R11" i="30" s="1"/>
  <c r="U10" i="13"/>
  <c r="Q11" i="30" s="1"/>
  <c r="T10" i="13"/>
  <c r="P11" i="30" s="1"/>
  <c r="S10" i="13"/>
  <c r="O11" i="30" s="1"/>
  <c r="R10" i="13"/>
  <c r="N11" i="30" s="1"/>
  <c r="Q10" i="13"/>
  <c r="M11" i="30" s="1"/>
  <c r="P10" i="13"/>
  <c r="L11" i="30" s="1"/>
  <c r="O10" i="13"/>
  <c r="K11" i="30" s="1"/>
  <c r="N10" i="13"/>
  <c r="J11" i="30" s="1"/>
  <c r="M10" i="13"/>
  <c r="I11" i="30" s="1"/>
  <c r="L10" i="13"/>
  <c r="H11" i="30" s="1"/>
  <c r="K10" i="13"/>
  <c r="G11" i="30" s="1"/>
  <c r="J10" i="13"/>
  <c r="F11" i="30" s="1"/>
  <c r="I10" i="13"/>
  <c r="E11" i="30" s="1"/>
  <c r="H10" i="13"/>
  <c r="D11" i="30" s="1"/>
  <c r="G10" i="13"/>
  <c r="C11" i="30" s="1"/>
  <c r="AF9" i="13"/>
  <c r="AB10" i="30" s="1"/>
  <c r="AE9" i="13"/>
  <c r="AA10" i="30" s="1"/>
  <c r="AD9" i="13"/>
  <c r="Z10" i="30" s="1"/>
  <c r="AC9" i="13"/>
  <c r="Y10" i="30" s="1"/>
  <c r="AB9" i="13"/>
  <c r="X10" i="30" s="1"/>
  <c r="AA9" i="13"/>
  <c r="W10" i="30" s="1"/>
  <c r="Z9" i="13"/>
  <c r="V10" i="30" s="1"/>
  <c r="Y9" i="13"/>
  <c r="U10" i="30" s="1"/>
  <c r="X9" i="13"/>
  <c r="T10" i="30" s="1"/>
  <c r="W9" i="13"/>
  <c r="S10" i="30" s="1"/>
  <c r="V9" i="13"/>
  <c r="R10" i="30" s="1"/>
  <c r="U9" i="13"/>
  <c r="Q10" i="30" s="1"/>
  <c r="T9" i="13"/>
  <c r="P10" i="30" s="1"/>
  <c r="S9" i="13"/>
  <c r="O10" i="30" s="1"/>
  <c r="R9" i="13"/>
  <c r="N10" i="30" s="1"/>
  <c r="Q9" i="13"/>
  <c r="M10" i="30" s="1"/>
  <c r="P9" i="13"/>
  <c r="L10" i="30" s="1"/>
  <c r="O9" i="13"/>
  <c r="K10" i="30" s="1"/>
  <c r="N9" i="13"/>
  <c r="J10" i="30" s="1"/>
  <c r="M9" i="13"/>
  <c r="I10" i="30" s="1"/>
  <c r="L9" i="13"/>
  <c r="H10" i="30" s="1"/>
  <c r="K9" i="13"/>
  <c r="G10" i="30" s="1"/>
  <c r="J9" i="13"/>
  <c r="F10" i="30" s="1"/>
  <c r="I9" i="13"/>
  <c r="E10" i="30" s="1"/>
  <c r="H9" i="13"/>
  <c r="D10" i="30" s="1"/>
  <c r="G9" i="13"/>
  <c r="C10" i="30" s="1"/>
  <c r="AF8" i="13"/>
  <c r="AB9" i="30" s="1"/>
  <c r="AE8" i="13"/>
  <c r="AA9" i="30" s="1"/>
  <c r="AD8" i="13"/>
  <c r="Z9" i="30" s="1"/>
  <c r="AC8" i="13"/>
  <c r="Y9" i="30" s="1"/>
  <c r="AB8" i="13"/>
  <c r="X9" i="30" s="1"/>
  <c r="AA8" i="13"/>
  <c r="W9" i="30" s="1"/>
  <c r="Z8" i="13"/>
  <c r="V9" i="30" s="1"/>
  <c r="Y8" i="13"/>
  <c r="U9" i="30" s="1"/>
  <c r="X8" i="13"/>
  <c r="T9" i="30" s="1"/>
  <c r="W8" i="13"/>
  <c r="S9" i="30" s="1"/>
  <c r="V8" i="13"/>
  <c r="R9" i="30" s="1"/>
  <c r="U8" i="13"/>
  <c r="Q9" i="30" s="1"/>
  <c r="T8" i="13"/>
  <c r="P9" i="30" s="1"/>
  <c r="S8" i="13"/>
  <c r="O9" i="30" s="1"/>
  <c r="R8" i="13"/>
  <c r="N9" i="30" s="1"/>
  <c r="Q8" i="13"/>
  <c r="M9" i="30" s="1"/>
  <c r="P8" i="13"/>
  <c r="L9" i="30" s="1"/>
  <c r="O8" i="13"/>
  <c r="K9" i="30" s="1"/>
  <c r="N8" i="13"/>
  <c r="J9" i="30" s="1"/>
  <c r="M8" i="13"/>
  <c r="I9" i="30" s="1"/>
  <c r="L8" i="13"/>
  <c r="H9" i="30" s="1"/>
  <c r="K8" i="13"/>
  <c r="G9" i="30" s="1"/>
  <c r="J8" i="13"/>
  <c r="F9" i="30" s="1"/>
  <c r="I8" i="13"/>
  <c r="E9" i="30" s="1"/>
  <c r="H8" i="13"/>
  <c r="D9" i="30" s="1"/>
  <c r="G8" i="13"/>
  <c r="C9" i="30" s="1"/>
  <c r="X12" i="12" l="1"/>
  <c r="V12" i="12"/>
  <c r="M12" i="12"/>
  <c r="U12" i="12"/>
  <c r="L12" i="12"/>
  <c r="H12" i="12"/>
  <c r="K12" i="12"/>
  <c r="Z12" i="12"/>
  <c r="J12" i="12"/>
  <c r="Y12" i="12"/>
  <c r="I12" i="12"/>
  <c r="S54" i="17"/>
  <c r="AA54" i="17"/>
  <c r="Z54" i="17"/>
  <c r="R54" i="17"/>
  <c r="K54" i="17"/>
  <c r="H22" i="30"/>
  <c r="J54" i="17"/>
  <c r="P22" i="30"/>
  <c r="W22" i="30"/>
  <c r="J22" i="30"/>
  <c r="R22" i="30"/>
  <c r="Z22" i="30"/>
  <c r="O22" i="30"/>
  <c r="F22" i="30"/>
  <c r="X22" i="30"/>
  <c r="X54" i="17"/>
  <c r="G22" i="30"/>
  <c r="C22" i="30"/>
  <c r="O54" i="17"/>
  <c r="N54" i="17"/>
  <c r="F54" i="17"/>
  <c r="Z15" i="30"/>
  <c r="J15" i="30"/>
  <c r="AB15" i="30"/>
  <c r="D15" i="30"/>
  <c r="P15" i="30"/>
  <c r="G15" i="30"/>
  <c r="V50" i="15"/>
  <c r="V52" i="15"/>
  <c r="V59" i="15"/>
  <c r="Y67" i="19" s="1"/>
  <c r="Y21" i="19" s="1"/>
  <c r="Z17" i="19"/>
  <c r="Z90" i="19"/>
  <c r="Z19" i="19"/>
  <c r="AC21" i="19"/>
  <c r="AC17" i="19"/>
  <c r="AC14" i="19"/>
  <c r="AC18" i="19"/>
  <c r="AB17" i="19"/>
  <c r="AB21" i="19"/>
  <c r="V90" i="19"/>
  <c r="V17" i="19"/>
  <c r="V18" i="19"/>
  <c r="X44" i="15"/>
  <c r="V51" i="15"/>
  <c r="W44" i="15"/>
  <c r="S44" i="15"/>
  <c r="S49" i="15" s="1"/>
  <c r="U44" i="15"/>
  <c r="U50" i="15" s="1"/>
  <c r="AB44" i="15"/>
  <c r="T44" i="15"/>
  <c r="AA44" i="15"/>
  <c r="AA49" i="15" s="1"/>
  <c r="V49" i="15"/>
  <c r="Z44" i="15"/>
  <c r="Y44" i="15"/>
  <c r="Y62" i="21"/>
  <c r="U60" i="21"/>
  <c r="Z32" i="20"/>
  <c r="W30" i="21"/>
  <c r="AE30" i="21"/>
  <c r="W60" i="21"/>
  <c r="AC60" i="21"/>
  <c r="Y32" i="21"/>
  <c r="Z30" i="21"/>
  <c r="W17" i="31"/>
  <c r="Y30" i="20"/>
  <c r="V13" i="31"/>
  <c r="V62" i="20"/>
  <c r="S15" i="31"/>
  <c r="AD62" i="20"/>
  <c r="AA15" i="31"/>
  <c r="AA30" i="21"/>
  <c r="X17" i="31"/>
  <c r="U30" i="21"/>
  <c r="AC30" i="21"/>
  <c r="T60" i="21"/>
  <c r="Q19" i="31"/>
  <c r="AB60" i="21"/>
  <c r="Y19" i="31"/>
  <c r="Z62" i="21"/>
  <c r="V60" i="21"/>
  <c r="AD60" i="21"/>
  <c r="Z30" i="20"/>
  <c r="W13" i="31"/>
  <c r="W62" i="20"/>
  <c r="T15" i="31"/>
  <c r="AE62" i="20"/>
  <c r="AB15" i="31"/>
  <c r="T30" i="21"/>
  <c r="Q17" i="31"/>
  <c r="AB30" i="21"/>
  <c r="Y17" i="31"/>
  <c r="Z32" i="21"/>
  <c r="V30" i="21"/>
  <c r="AD30" i="21"/>
  <c r="U62" i="21"/>
  <c r="R19" i="31"/>
  <c r="AC62" i="21"/>
  <c r="Z19" i="31"/>
  <c r="AA30" i="20"/>
  <c r="X13" i="31"/>
  <c r="U30" i="20"/>
  <c r="AC30" i="20"/>
  <c r="X62" i="20"/>
  <c r="U15" i="31"/>
  <c r="AF62" i="20"/>
  <c r="AC15" i="31"/>
  <c r="U32" i="21"/>
  <c r="R17" i="31"/>
  <c r="AC32" i="21"/>
  <c r="Z17" i="31"/>
  <c r="AF32" i="20"/>
  <c r="AC13" i="31"/>
  <c r="AC62" i="20"/>
  <c r="Z15" i="31"/>
  <c r="T30" i="20"/>
  <c r="Q13" i="31"/>
  <c r="AB30" i="20"/>
  <c r="Y13" i="31"/>
  <c r="V30" i="20"/>
  <c r="AD30" i="20"/>
  <c r="Y60" i="20"/>
  <c r="V15" i="31"/>
  <c r="V32" i="21"/>
  <c r="S17" i="31"/>
  <c r="AD32" i="21"/>
  <c r="AA17" i="31"/>
  <c r="U62" i="20"/>
  <c r="R15" i="31"/>
  <c r="AA60" i="21"/>
  <c r="X19" i="31"/>
  <c r="U32" i="20"/>
  <c r="R13" i="31"/>
  <c r="AC32" i="20"/>
  <c r="Z13" i="31"/>
  <c r="Z60" i="20"/>
  <c r="W15" i="31"/>
  <c r="W32" i="21"/>
  <c r="T17" i="31"/>
  <c r="AE32" i="21"/>
  <c r="AB17" i="31"/>
  <c r="X62" i="21"/>
  <c r="U19" i="31"/>
  <c r="AF62" i="21"/>
  <c r="AC19" i="31"/>
  <c r="V32" i="20"/>
  <c r="S13" i="31"/>
  <c r="AD32" i="20"/>
  <c r="AA13" i="31"/>
  <c r="AA60" i="20"/>
  <c r="X15" i="31"/>
  <c r="Y62" i="20"/>
  <c r="U60" i="20"/>
  <c r="AC60" i="20"/>
  <c r="X32" i="21"/>
  <c r="U17" i="31"/>
  <c r="AF32" i="21"/>
  <c r="AC17" i="31"/>
  <c r="Y60" i="21"/>
  <c r="V19" i="31"/>
  <c r="X32" i="20"/>
  <c r="U13" i="31"/>
  <c r="W32" i="20"/>
  <c r="T13" i="31"/>
  <c r="AE32" i="20"/>
  <c r="AB13" i="31"/>
  <c r="T60" i="20"/>
  <c r="Q15" i="31"/>
  <c r="AB60" i="20"/>
  <c r="Y15" i="31"/>
  <c r="Z62" i="20"/>
  <c r="V60" i="20"/>
  <c r="AD60" i="20"/>
  <c r="Y30" i="21"/>
  <c r="V17" i="31"/>
  <c r="Z60" i="21"/>
  <c r="W19" i="31"/>
  <c r="Z9" i="12"/>
  <c r="H49" i="13"/>
  <c r="P49" i="13"/>
  <c r="L65" i="13"/>
  <c r="T65" i="13"/>
  <c r="AB65" i="13"/>
  <c r="O49" i="13"/>
  <c r="J33" i="13"/>
  <c r="R33" i="13"/>
  <c r="Z33" i="13"/>
  <c r="L33" i="13"/>
  <c r="T33" i="13"/>
  <c r="AB33" i="13"/>
  <c r="S65" i="13"/>
  <c r="N33" i="13"/>
  <c r="V33" i="13"/>
  <c r="AD33" i="13"/>
  <c r="N49" i="13"/>
  <c r="Y34" i="13"/>
  <c r="U32" i="13"/>
  <c r="AC32" i="13"/>
  <c r="I49" i="13"/>
  <c r="Q49" i="13"/>
  <c r="W66" i="13"/>
  <c r="AE66" i="13"/>
  <c r="J65" i="13"/>
  <c r="R65" i="13"/>
  <c r="Z65" i="13"/>
  <c r="M33" i="13"/>
  <c r="U33" i="13"/>
  <c r="AC33" i="13"/>
  <c r="O33" i="13"/>
  <c r="W33" i="13"/>
  <c r="AE33" i="13"/>
  <c r="M65" i="13"/>
  <c r="U65" i="13"/>
  <c r="AC65" i="13"/>
  <c r="T32" i="13"/>
  <c r="Q9" i="31"/>
  <c r="AB32" i="13"/>
  <c r="Y9" i="31"/>
  <c r="J49" i="13"/>
  <c r="R49" i="13"/>
  <c r="Z64" i="13"/>
  <c r="W11" i="31"/>
  <c r="K65" i="13"/>
  <c r="AA65" i="13"/>
  <c r="M17" i="13"/>
  <c r="I12" i="30"/>
  <c r="U34" i="13"/>
  <c r="R9" i="31"/>
  <c r="AC34" i="13"/>
  <c r="Z9" i="31"/>
  <c r="K49" i="13"/>
  <c r="S49" i="13"/>
  <c r="AA64" i="13"/>
  <c r="X11" i="31"/>
  <c r="Y66" i="13"/>
  <c r="U64" i="13"/>
  <c r="AC64" i="13"/>
  <c r="Y64" i="13"/>
  <c r="V11" i="31"/>
  <c r="L17" i="13"/>
  <c r="H12" i="30"/>
  <c r="N17" i="13"/>
  <c r="J12" i="30"/>
  <c r="V34" i="13"/>
  <c r="S9" i="31"/>
  <c r="AD34" i="13"/>
  <c r="AA9" i="31"/>
  <c r="L49" i="13"/>
  <c r="T64" i="13"/>
  <c r="Q11" i="31"/>
  <c r="AB64" i="13"/>
  <c r="Y11" i="31"/>
  <c r="AA32" i="13"/>
  <c r="X9" i="31"/>
  <c r="T9" i="31"/>
  <c r="AB9" i="31"/>
  <c r="M49" i="13"/>
  <c r="U66" i="13"/>
  <c r="R11" i="31"/>
  <c r="AC66" i="13"/>
  <c r="Z11" i="31"/>
  <c r="N65" i="13"/>
  <c r="V65" i="13"/>
  <c r="AD65" i="13"/>
  <c r="X34" i="13"/>
  <c r="U9" i="31"/>
  <c r="AF34" i="13"/>
  <c r="AC9" i="31"/>
  <c r="I33" i="13"/>
  <c r="Q33" i="13"/>
  <c r="Y33" i="13"/>
  <c r="V66" i="13"/>
  <c r="S11" i="31"/>
  <c r="AD66" i="13"/>
  <c r="AA11" i="31"/>
  <c r="X64" i="13"/>
  <c r="AF64" i="13"/>
  <c r="O65" i="13"/>
  <c r="W65" i="13"/>
  <c r="AE65" i="13"/>
  <c r="K17" i="13"/>
  <c r="G12" i="30"/>
  <c r="O17" i="13"/>
  <c r="K12" i="30"/>
  <c r="H17" i="13"/>
  <c r="D12" i="30"/>
  <c r="P17" i="13"/>
  <c r="L12" i="30"/>
  <c r="I17" i="13"/>
  <c r="E12" i="30"/>
  <c r="Q17" i="13"/>
  <c r="M12" i="30"/>
  <c r="Y32" i="13"/>
  <c r="V9" i="31"/>
  <c r="W34" i="13"/>
  <c r="AE34" i="13"/>
  <c r="T11" i="31"/>
  <c r="AB11" i="31"/>
  <c r="H65" i="13"/>
  <c r="P65" i="13"/>
  <c r="X65" i="13"/>
  <c r="AF65" i="13"/>
  <c r="S17" i="13"/>
  <c r="O12" i="30"/>
  <c r="J17" i="13"/>
  <c r="F12" i="30"/>
  <c r="R17" i="13"/>
  <c r="N12" i="30"/>
  <c r="Z32" i="13"/>
  <c r="W9" i="31"/>
  <c r="K33" i="13"/>
  <c r="S33" i="13"/>
  <c r="AA33" i="13"/>
  <c r="X66" i="13"/>
  <c r="U11" i="31"/>
  <c r="AF66" i="13"/>
  <c r="AC11" i="31"/>
  <c r="I65" i="13"/>
  <c r="Q65" i="13"/>
  <c r="Y65" i="13"/>
  <c r="H9" i="12"/>
  <c r="V62" i="21"/>
  <c r="AD62" i="21"/>
  <c r="N61" i="21"/>
  <c r="V61" i="21"/>
  <c r="AD61" i="21"/>
  <c r="W62" i="21"/>
  <c r="AE62" i="21"/>
  <c r="O61" i="21"/>
  <c r="W61" i="21"/>
  <c r="AE61" i="21"/>
  <c r="AA16" i="21"/>
  <c r="R16" i="21"/>
  <c r="E94" i="27"/>
  <c r="E102" i="27"/>
  <c r="M94" i="27"/>
  <c r="M102" i="27"/>
  <c r="U94" i="27"/>
  <c r="U102" i="27"/>
  <c r="K72" i="27"/>
  <c r="S72" i="27"/>
  <c r="S74" i="27" s="1"/>
  <c r="AA72" i="27"/>
  <c r="AA74" i="27" s="1"/>
  <c r="F94" i="27"/>
  <c r="F102" i="27"/>
  <c r="N94" i="27"/>
  <c r="N102" i="27"/>
  <c r="V94" i="27"/>
  <c r="V102" i="27"/>
  <c r="D74" i="27"/>
  <c r="X69" i="27"/>
  <c r="G94" i="27"/>
  <c r="G102" i="27"/>
  <c r="O94" i="27"/>
  <c r="O102" i="27"/>
  <c r="W94" i="27"/>
  <c r="W102" i="27"/>
  <c r="M72" i="27"/>
  <c r="M74" i="27" s="1"/>
  <c r="C68" i="27"/>
  <c r="C73" i="27"/>
  <c r="K73" i="27"/>
  <c r="K68" i="27"/>
  <c r="S73" i="27"/>
  <c r="S68" i="27"/>
  <c r="AA73" i="27"/>
  <c r="AA68" i="27"/>
  <c r="F74" i="27"/>
  <c r="V74" i="27"/>
  <c r="I69" i="27"/>
  <c r="Q69" i="27"/>
  <c r="Y69" i="27"/>
  <c r="P69" i="27"/>
  <c r="J102" i="27"/>
  <c r="J94" i="27"/>
  <c r="R102" i="27"/>
  <c r="R94" i="27"/>
  <c r="Z102" i="27"/>
  <c r="Z94" i="27"/>
  <c r="H73" i="27"/>
  <c r="P73" i="27"/>
  <c r="I102" i="27"/>
  <c r="I94" i="27"/>
  <c r="Q102" i="27"/>
  <c r="Q94" i="27"/>
  <c r="D102" i="27"/>
  <c r="D94" i="27"/>
  <c r="L102" i="27"/>
  <c r="L94" i="27"/>
  <c r="T102" i="27"/>
  <c r="T94" i="27"/>
  <c r="AB102" i="27"/>
  <c r="AB94" i="27"/>
  <c r="H94" i="27"/>
  <c r="H102" i="27"/>
  <c r="P94" i="27"/>
  <c r="P102" i="27"/>
  <c r="X94" i="27"/>
  <c r="X102" i="27"/>
  <c r="H69" i="27"/>
  <c r="Y94" i="27"/>
  <c r="Y102" i="27"/>
  <c r="J60" i="27"/>
  <c r="R60" i="27"/>
  <c r="R72" i="27" s="1"/>
  <c r="R74" i="27" s="1"/>
  <c r="Z60" i="27"/>
  <c r="Z72" i="27" s="1"/>
  <c r="Z74" i="27" s="1"/>
  <c r="D67" i="27"/>
  <c r="L67" i="27"/>
  <c r="T67" i="27"/>
  <c r="AB67" i="27"/>
  <c r="D73" i="27"/>
  <c r="L73" i="27"/>
  <c r="L74" i="27" s="1"/>
  <c r="T73" i="27"/>
  <c r="T74" i="27" s="1"/>
  <c r="AB73" i="27"/>
  <c r="AB74" i="27" s="1"/>
  <c r="C60" i="27"/>
  <c r="C72" i="27" s="1"/>
  <c r="C74" i="27" s="1"/>
  <c r="K60" i="27"/>
  <c r="S60" i="27"/>
  <c r="AA60" i="27"/>
  <c r="G72" i="27"/>
  <c r="G74" i="27" s="1"/>
  <c r="O72" i="27"/>
  <c r="O74" i="27" s="1"/>
  <c r="W72" i="27"/>
  <c r="W74" i="27" s="1"/>
  <c r="E73" i="27"/>
  <c r="M73" i="27"/>
  <c r="U73" i="27"/>
  <c r="H62" i="27"/>
  <c r="P62" i="27"/>
  <c r="X62" i="27"/>
  <c r="F67" i="27"/>
  <c r="N67" i="27"/>
  <c r="V67" i="27"/>
  <c r="H72" i="27"/>
  <c r="P72" i="27"/>
  <c r="X72" i="27"/>
  <c r="X74" i="27" s="1"/>
  <c r="E60" i="27"/>
  <c r="M60" i="27"/>
  <c r="U60" i="27"/>
  <c r="G67" i="27"/>
  <c r="O67" i="27"/>
  <c r="W67" i="27"/>
  <c r="AD61" i="20"/>
  <c r="L46" i="20"/>
  <c r="J46" i="20"/>
  <c r="C74" i="23"/>
  <c r="N46" i="21"/>
  <c r="V46" i="21"/>
  <c r="AD46" i="21"/>
  <c r="M16" i="21"/>
  <c r="U16" i="21"/>
  <c r="AC16" i="21"/>
  <c r="G16" i="21"/>
  <c r="M46" i="20"/>
  <c r="U46" i="20"/>
  <c r="AC46" i="20"/>
  <c r="O46" i="20"/>
  <c r="W46" i="20"/>
  <c r="AE46" i="20"/>
  <c r="X16" i="20"/>
  <c r="L21" i="18"/>
  <c r="AD19" i="18"/>
  <c r="W18" i="18"/>
  <c r="Y14" i="18"/>
  <c r="AC20" i="18"/>
  <c r="V19" i="18"/>
  <c r="O18" i="18"/>
  <c r="Q14" i="18"/>
  <c r="AA20" i="18"/>
  <c r="T19" i="18"/>
  <c r="M18" i="18"/>
  <c r="K14" i="18"/>
  <c r="U18" i="18"/>
  <c r="AB21" i="18"/>
  <c r="U20" i="18"/>
  <c r="N19" i="18"/>
  <c r="G18" i="18"/>
  <c r="I14" i="18"/>
  <c r="Z21" i="18"/>
  <c r="S20" i="18"/>
  <c r="L19" i="18"/>
  <c r="T21" i="18"/>
  <c r="M20" i="18"/>
  <c r="AE18" i="18"/>
  <c r="F17" i="18"/>
  <c r="X17" i="18"/>
  <c r="P17" i="18"/>
  <c r="H17" i="18"/>
  <c r="F18" i="18"/>
  <c r="AA21" i="18"/>
  <c r="S21" i="18"/>
  <c r="K21" i="18"/>
  <c r="AB20" i="18"/>
  <c r="T20" i="18"/>
  <c r="L20" i="18"/>
  <c r="AC19" i="18"/>
  <c r="U19" i="18"/>
  <c r="M19" i="18"/>
  <c r="AD18" i="18"/>
  <c r="V18" i="18"/>
  <c r="N18" i="18"/>
  <c r="AE17" i="18"/>
  <c r="W17" i="18"/>
  <c r="O17" i="18"/>
  <c r="G17" i="18"/>
  <c r="Z14" i="18"/>
  <c r="R14" i="18"/>
  <c r="J14" i="18"/>
  <c r="F20" i="18"/>
  <c r="Y21" i="18"/>
  <c r="Q21" i="18"/>
  <c r="I21" i="18"/>
  <c r="Z20" i="18"/>
  <c r="R20" i="18"/>
  <c r="J20" i="18"/>
  <c r="AA19" i="18"/>
  <c r="S19" i="18"/>
  <c r="K19" i="18"/>
  <c r="AB18" i="18"/>
  <c r="T18" i="18"/>
  <c r="L18" i="18"/>
  <c r="AC17" i="18"/>
  <c r="U17" i="18"/>
  <c r="M17" i="18"/>
  <c r="X14" i="18"/>
  <c r="P14" i="18"/>
  <c r="H14" i="18"/>
  <c r="AD17" i="18"/>
  <c r="F21" i="18"/>
  <c r="X21" i="18"/>
  <c r="P21" i="18"/>
  <c r="H21" i="18"/>
  <c r="Y20" i="18"/>
  <c r="Q20" i="18"/>
  <c r="I20" i="18"/>
  <c r="Z19" i="18"/>
  <c r="R19" i="18"/>
  <c r="J19" i="18"/>
  <c r="AA18" i="18"/>
  <c r="S18" i="18"/>
  <c r="K18" i="18"/>
  <c r="AB17" i="18"/>
  <c r="T17" i="18"/>
  <c r="L17" i="18"/>
  <c r="AE14" i="18"/>
  <c r="W14" i="18"/>
  <c r="O14" i="18"/>
  <c r="G14" i="18"/>
  <c r="F14" i="18"/>
  <c r="AE21" i="18"/>
  <c r="W21" i="18"/>
  <c r="O21" i="18"/>
  <c r="G21" i="18"/>
  <c r="X20" i="18"/>
  <c r="P20" i="18"/>
  <c r="H20" i="18"/>
  <c r="Y19" i="18"/>
  <c r="Q19" i="18"/>
  <c r="I19" i="18"/>
  <c r="Z18" i="18"/>
  <c r="R18" i="18"/>
  <c r="J18" i="18"/>
  <c r="S17" i="18"/>
  <c r="AD14" i="18"/>
  <c r="V14" i="18"/>
  <c r="N14" i="18"/>
  <c r="N17" i="18"/>
  <c r="AD21" i="18"/>
  <c r="V21" i="18"/>
  <c r="N21" i="18"/>
  <c r="AE20" i="18"/>
  <c r="W20" i="18"/>
  <c r="O20" i="18"/>
  <c r="G20" i="18"/>
  <c r="X19" i="18"/>
  <c r="P19" i="18"/>
  <c r="H19" i="18"/>
  <c r="Y18" i="18"/>
  <c r="Q18" i="18"/>
  <c r="I18" i="18"/>
  <c r="AC14" i="18"/>
  <c r="U14" i="18"/>
  <c r="M14" i="18"/>
  <c r="V17" i="18"/>
  <c r="AA17" i="19"/>
  <c r="AA14" i="19"/>
  <c r="AA21" i="19"/>
  <c r="AA18" i="19"/>
  <c r="AA20" i="19"/>
  <c r="AA90" i="19"/>
  <c r="AA19" i="19"/>
  <c r="X20" i="19"/>
  <c r="X19" i="19"/>
  <c r="X17" i="19"/>
  <c r="X14" i="19"/>
  <c r="X21" i="19"/>
  <c r="X18" i="19"/>
  <c r="X90" i="19"/>
  <c r="AE21" i="19"/>
  <c r="AE18" i="19"/>
  <c r="AE20" i="19"/>
  <c r="AE19" i="19"/>
  <c r="AE17" i="19"/>
  <c r="AE90" i="19"/>
  <c r="AE14" i="19"/>
  <c r="W90" i="19"/>
  <c r="W20" i="19"/>
  <c r="W19" i="19"/>
  <c r="W17" i="19"/>
  <c r="W14" i="19"/>
  <c r="W21" i="19"/>
  <c r="W18" i="19"/>
  <c r="AD17" i="19"/>
  <c r="AB19" i="19"/>
  <c r="Z20" i="19"/>
  <c r="Y90" i="19"/>
  <c r="Y14" i="19"/>
  <c r="Z18" i="19"/>
  <c r="Z21" i="19"/>
  <c r="Z14" i="19"/>
  <c r="Y52" i="17"/>
  <c r="Y88" i="17"/>
  <c r="T52" i="17"/>
  <c r="AB52" i="17"/>
  <c r="U52" i="17"/>
  <c r="U57" i="17" s="1"/>
  <c r="V52" i="17"/>
  <c r="AA52" i="15"/>
  <c r="U49" i="15"/>
  <c r="AA51" i="15"/>
  <c r="AA50" i="15"/>
  <c r="N18" i="19"/>
  <c r="AD20" i="19"/>
  <c r="M21" i="19"/>
  <c r="U21" i="19"/>
  <c r="AD90" i="19"/>
  <c r="AD14" i="19"/>
  <c r="V20" i="19"/>
  <c r="N21" i="19"/>
  <c r="V21" i="19"/>
  <c r="AD21" i="19"/>
  <c r="V14" i="19"/>
  <c r="N14" i="19"/>
  <c r="AD19" i="19"/>
  <c r="N20" i="19"/>
  <c r="N30" i="19" s="1"/>
  <c r="N74" i="19" s="1"/>
  <c r="H30" i="19"/>
  <c r="H74" i="19" s="1"/>
  <c r="P30" i="19"/>
  <c r="N90" i="19"/>
  <c r="V19" i="19"/>
  <c r="AA32" i="21"/>
  <c r="AA62" i="21"/>
  <c r="X30" i="21"/>
  <c r="AF30" i="21"/>
  <c r="T32" i="21"/>
  <c r="AB32" i="21"/>
  <c r="X60" i="21"/>
  <c r="AF60" i="21"/>
  <c r="T62" i="21"/>
  <c r="AB62" i="21"/>
  <c r="W30" i="20"/>
  <c r="AE30" i="20"/>
  <c r="AA32" i="20"/>
  <c r="W60" i="20"/>
  <c r="AE60" i="20"/>
  <c r="AA62" i="20"/>
  <c r="X30" i="20"/>
  <c r="AF30" i="20"/>
  <c r="T32" i="20"/>
  <c r="AB32" i="20"/>
  <c r="X60" i="20"/>
  <c r="AF60" i="20"/>
  <c r="T62" i="20"/>
  <c r="AB62" i="20"/>
  <c r="K74" i="19"/>
  <c r="K37" i="19"/>
  <c r="K81" i="19" s="1"/>
  <c r="G74" i="19"/>
  <c r="G37" i="19"/>
  <c r="G81" i="19" s="1"/>
  <c r="F37" i="19"/>
  <c r="F81" i="19" s="1"/>
  <c r="R37" i="19"/>
  <c r="R74" i="19"/>
  <c r="S81" i="19"/>
  <c r="S74" i="19"/>
  <c r="I37" i="19"/>
  <c r="I81" i="19" s="1"/>
  <c r="I74" i="19"/>
  <c r="J37" i="19"/>
  <c r="J81" i="19" s="1"/>
  <c r="J74" i="19"/>
  <c r="Q74" i="19"/>
  <c r="H37" i="19"/>
  <c r="H81" i="19" s="1"/>
  <c r="O74" i="19"/>
  <c r="O37" i="19"/>
  <c r="O81" i="19" s="1"/>
  <c r="U90" i="19"/>
  <c r="L14" i="19"/>
  <c r="T14" i="19"/>
  <c r="AB14" i="19"/>
  <c r="L18" i="19"/>
  <c r="T18" i="19"/>
  <c r="AB18" i="19"/>
  <c r="J19" i="19"/>
  <c r="M90" i="19"/>
  <c r="M19" i="19"/>
  <c r="U19" i="19"/>
  <c r="AC19" i="19"/>
  <c r="Q81" i="19"/>
  <c r="AB90" i="19"/>
  <c r="L20" i="19"/>
  <c r="L30" i="19" s="1"/>
  <c r="T20" i="19"/>
  <c r="T30" i="19" s="1"/>
  <c r="T37" i="19" s="1"/>
  <c r="AB20" i="19"/>
  <c r="R81" i="19"/>
  <c r="AC90" i="19"/>
  <c r="M20" i="19"/>
  <c r="M30" i="19" s="1"/>
  <c r="U20" i="19"/>
  <c r="AC20" i="19"/>
  <c r="AC30" i="19" s="1"/>
  <c r="AC37" i="19" s="1"/>
  <c r="T90" i="19"/>
  <c r="K57" i="17"/>
  <c r="F88" i="17"/>
  <c r="N88" i="17"/>
  <c r="V88" i="17"/>
  <c r="T47" i="17"/>
  <c r="G88" i="17"/>
  <c r="O88" i="17"/>
  <c r="W88" i="17"/>
  <c r="U47" i="17"/>
  <c r="F47" i="17"/>
  <c r="N47" i="17"/>
  <c r="Z88" i="17"/>
  <c r="Q47" i="17"/>
  <c r="X47" i="17"/>
  <c r="C88" i="17"/>
  <c r="K88" i="17"/>
  <c r="S88" i="17"/>
  <c r="AA88" i="17"/>
  <c r="AB88" i="17"/>
  <c r="C57" i="17"/>
  <c r="C47" i="17"/>
  <c r="S57" i="17"/>
  <c r="S47" i="17"/>
  <c r="AA57" i="17"/>
  <c r="AA47" i="17"/>
  <c r="D57" i="17"/>
  <c r="D47" i="17"/>
  <c r="L57" i="17"/>
  <c r="L47" i="17"/>
  <c r="M47" i="17"/>
  <c r="M57" i="17"/>
  <c r="V47" i="17"/>
  <c r="E47" i="17"/>
  <c r="E57" i="17"/>
  <c r="G47" i="17"/>
  <c r="G57" i="17"/>
  <c r="O47" i="17"/>
  <c r="O57" i="17"/>
  <c r="W47" i="17"/>
  <c r="W57" i="17"/>
  <c r="H47" i="17"/>
  <c r="H57" i="17"/>
  <c r="P47" i="17"/>
  <c r="P57" i="17"/>
  <c r="X57" i="17"/>
  <c r="I57" i="17"/>
  <c r="I47" i="17"/>
  <c r="J57" i="17"/>
  <c r="J47" i="17"/>
  <c r="R57" i="17"/>
  <c r="R47" i="17"/>
  <c r="Z57" i="17"/>
  <c r="Z47" i="17"/>
  <c r="I57" i="16"/>
  <c r="I78" i="16" s="1"/>
  <c r="I47" i="16"/>
  <c r="Q57" i="16"/>
  <c r="Q78" i="16" s="1"/>
  <c r="Q84" i="16" s="1"/>
  <c r="Q47" i="16"/>
  <c r="Y47" i="16"/>
  <c r="G57" i="16"/>
  <c r="G78" i="16" s="1"/>
  <c r="J60" i="18" s="1"/>
  <c r="J15" i="18" s="1"/>
  <c r="G47" i="16"/>
  <c r="O57" i="16"/>
  <c r="O78" i="16" s="1"/>
  <c r="R60" i="18" s="1"/>
  <c r="R15" i="18" s="1"/>
  <c r="O47" i="16"/>
  <c r="W57" i="16"/>
  <c r="W78" i="16" s="1"/>
  <c r="Z60" i="18" s="1"/>
  <c r="Z15" i="18" s="1"/>
  <c r="W47" i="16"/>
  <c r="P85" i="16"/>
  <c r="T39" i="20" s="1"/>
  <c r="P84" i="16"/>
  <c r="P83" i="16"/>
  <c r="P86" i="16"/>
  <c r="H85" i="16"/>
  <c r="L39" i="20" s="1"/>
  <c r="L45" i="20" s="1"/>
  <c r="H86" i="16"/>
  <c r="H84" i="16"/>
  <c r="H83" i="16"/>
  <c r="D47" i="16"/>
  <c r="D57" i="16"/>
  <c r="D78" i="16" s="1"/>
  <c r="G60" i="18" s="1"/>
  <c r="G15" i="18" s="1"/>
  <c r="L47" i="16"/>
  <c r="L57" i="16"/>
  <c r="L78" i="16" s="1"/>
  <c r="O60" i="18" s="1"/>
  <c r="T47" i="16"/>
  <c r="T57" i="16"/>
  <c r="T78" i="16" s="1"/>
  <c r="W60" i="18" s="1"/>
  <c r="AB47" i="16"/>
  <c r="AB57" i="16"/>
  <c r="AB78" i="16" s="1"/>
  <c r="AE60" i="18" s="1"/>
  <c r="X85" i="16"/>
  <c r="AB39" i="20" s="1"/>
  <c r="AB45" i="20" s="1"/>
  <c r="X86" i="16"/>
  <c r="X84" i="16"/>
  <c r="X83" i="16"/>
  <c r="K47" i="16"/>
  <c r="K57" i="16"/>
  <c r="K78" i="16" s="1"/>
  <c r="S47" i="16"/>
  <c r="S57" i="16"/>
  <c r="S78" i="16" s="1"/>
  <c r="E57" i="16"/>
  <c r="E78" i="16" s="1"/>
  <c r="H60" i="18" s="1"/>
  <c r="H15" i="18" s="1"/>
  <c r="E47" i="16"/>
  <c r="M57" i="16"/>
  <c r="M78" i="16" s="1"/>
  <c r="P60" i="18" s="1"/>
  <c r="P15" i="18" s="1"/>
  <c r="M47" i="16"/>
  <c r="U57" i="16"/>
  <c r="U78" i="16" s="1"/>
  <c r="X60" i="18" s="1"/>
  <c r="U47" i="16"/>
  <c r="C47" i="16"/>
  <c r="C57" i="16"/>
  <c r="C78" i="16" s="1"/>
  <c r="AA47" i="16"/>
  <c r="AA57" i="16"/>
  <c r="AA78" i="16" s="1"/>
  <c r="Y83" i="16"/>
  <c r="Y86" i="16"/>
  <c r="Y85" i="16"/>
  <c r="AC39" i="20" s="1"/>
  <c r="Y84" i="16"/>
  <c r="F57" i="16"/>
  <c r="F78" i="16" s="1"/>
  <c r="I60" i="18" s="1"/>
  <c r="I15" i="18" s="1"/>
  <c r="F47" i="16"/>
  <c r="N57" i="16"/>
  <c r="N78" i="16" s="1"/>
  <c r="Q60" i="18" s="1"/>
  <c r="N47" i="16"/>
  <c r="V57" i="16"/>
  <c r="V78" i="16" s="1"/>
  <c r="Y60" i="18" s="1"/>
  <c r="Y15" i="18" s="1"/>
  <c r="V47" i="16"/>
  <c r="X47" i="16"/>
  <c r="P47" i="16"/>
  <c r="H47" i="16"/>
  <c r="Z57" i="16"/>
  <c r="Z78" i="16" s="1"/>
  <c r="R57" i="16"/>
  <c r="R78" i="16" s="1"/>
  <c r="J57" i="16"/>
  <c r="J78" i="16" s="1"/>
  <c r="Z47" i="16"/>
  <c r="R47" i="16"/>
  <c r="J47" i="16"/>
  <c r="V32" i="13"/>
  <c r="AD32" i="13"/>
  <c r="Z34" i="13"/>
  <c r="V64" i="13"/>
  <c r="AD64" i="13"/>
  <c r="Z66" i="13"/>
  <c r="W32" i="13"/>
  <c r="AE32" i="13"/>
  <c r="AA34" i="13"/>
  <c r="W64" i="13"/>
  <c r="AE64" i="13"/>
  <c r="AA66" i="13"/>
  <c r="X32" i="13"/>
  <c r="AF32" i="13"/>
  <c r="T34" i="13"/>
  <c r="AB34" i="13"/>
  <c r="T66" i="13"/>
  <c r="AB66" i="13"/>
  <c r="Y57" i="17" l="1"/>
  <c r="Y54" i="17"/>
  <c r="I78" i="17"/>
  <c r="L60" i="19" s="1"/>
  <c r="L15" i="19" s="1"/>
  <c r="L28" i="19" s="1"/>
  <c r="L72" i="19" s="1"/>
  <c r="O78" i="17"/>
  <c r="O85" i="17" s="1"/>
  <c r="S39" i="21" s="1"/>
  <c r="M78" i="17"/>
  <c r="P60" i="19" s="1"/>
  <c r="P15" i="19" s="1"/>
  <c r="P28" i="19" s="1"/>
  <c r="Z78" i="17"/>
  <c r="Z85" i="17" s="1"/>
  <c r="AD39" i="21" s="1"/>
  <c r="AA60" i="19"/>
  <c r="AA15" i="19" s="1"/>
  <c r="AA28" i="19" s="1"/>
  <c r="AA35" i="19" s="1"/>
  <c r="AA42" i="19" s="1"/>
  <c r="AA86" i="19" s="1"/>
  <c r="X78" i="17"/>
  <c r="S78" i="17"/>
  <c r="V60" i="19" s="1"/>
  <c r="V15" i="19" s="1"/>
  <c r="V28" i="19" s="1"/>
  <c r="V57" i="17"/>
  <c r="V54" i="17"/>
  <c r="L22" i="30"/>
  <c r="P78" i="17"/>
  <c r="P83" i="17" s="1"/>
  <c r="R78" i="17"/>
  <c r="U60" i="19" s="1"/>
  <c r="U15" i="19" s="1"/>
  <c r="U28" i="19" s="1"/>
  <c r="U35" i="19" s="1"/>
  <c r="U42" i="19" s="1"/>
  <c r="U86" i="19" s="1"/>
  <c r="L78" i="17"/>
  <c r="O60" i="19" s="1"/>
  <c r="O15" i="19" s="1"/>
  <c r="O28" i="19" s="1"/>
  <c r="C78" i="17"/>
  <c r="F60" i="19" s="1"/>
  <c r="F15" i="19" s="1"/>
  <c r="F28" i="19" s="1"/>
  <c r="U54" i="17"/>
  <c r="D22" i="30"/>
  <c r="Q22" i="30"/>
  <c r="AA78" i="17"/>
  <c r="AD60" i="19" s="1"/>
  <c r="AD15" i="19" s="1"/>
  <c r="AD28" i="19" s="1"/>
  <c r="G78" i="17"/>
  <c r="G84" i="17" s="1"/>
  <c r="H78" i="17"/>
  <c r="K60" i="19" s="1"/>
  <c r="K15" i="19" s="1"/>
  <c r="K28" i="19" s="1"/>
  <c r="U78" i="17"/>
  <c r="U83" i="17" s="1"/>
  <c r="AB54" i="17"/>
  <c r="M22" i="30"/>
  <c r="I22" i="30"/>
  <c r="E78" i="17"/>
  <c r="H60" i="19" s="1"/>
  <c r="H15" i="19" s="1"/>
  <c r="H28" i="19" s="1"/>
  <c r="D78" i="17"/>
  <c r="D85" i="17" s="1"/>
  <c r="H39" i="21" s="1"/>
  <c r="T54" i="17"/>
  <c r="E22" i="30"/>
  <c r="J78" i="17"/>
  <c r="M60" i="19" s="1"/>
  <c r="M15" i="19" s="1"/>
  <c r="M28" i="19" s="1"/>
  <c r="M35" i="19" s="1"/>
  <c r="Y47" i="17"/>
  <c r="Y44" i="17" s="1"/>
  <c r="W78" i="17"/>
  <c r="W84" i="17" s="1"/>
  <c r="K78" i="17"/>
  <c r="K85" i="17" s="1"/>
  <c r="O39" i="21" s="1"/>
  <c r="AC47" i="20"/>
  <c r="Z14" i="31"/>
  <c r="Z12" i="31" s="1"/>
  <c r="Z30" i="31" s="1"/>
  <c r="Q14" i="31"/>
  <c r="Q12" i="31" s="1"/>
  <c r="Q28" i="31" s="1"/>
  <c r="X89" i="16"/>
  <c r="AB9" i="20"/>
  <c r="AB17" i="20" s="1"/>
  <c r="J84" i="16"/>
  <c r="M60" i="18"/>
  <c r="Y89" i="16"/>
  <c r="AC9" i="20"/>
  <c r="AC15" i="20" s="1"/>
  <c r="L44" i="16"/>
  <c r="O61" i="18"/>
  <c r="O16" i="18" s="1"/>
  <c r="P89" i="16"/>
  <c r="T9" i="20"/>
  <c r="X15" i="18"/>
  <c r="W15" i="18"/>
  <c r="Y14" i="31"/>
  <c r="Y12" i="31" s="1"/>
  <c r="Y30" i="31" s="1"/>
  <c r="AB47" i="20"/>
  <c r="W15" i="30"/>
  <c r="Z44" i="16"/>
  <c r="AC61" i="18"/>
  <c r="AC16" i="18" s="1"/>
  <c r="G44" i="16"/>
  <c r="J61" i="18"/>
  <c r="J16" i="18" s="1"/>
  <c r="N44" i="16"/>
  <c r="Q61" i="18"/>
  <c r="Q16" i="18" s="1"/>
  <c r="AA84" i="16"/>
  <c r="AD60" i="18"/>
  <c r="E44" i="16"/>
  <c r="H61" i="18"/>
  <c r="H16" i="18" s="1"/>
  <c r="Y44" i="16"/>
  <c r="AB61" i="18"/>
  <c r="AC45" i="20"/>
  <c r="AE15" i="18"/>
  <c r="F15" i="30"/>
  <c r="D44" i="16"/>
  <c r="G61" i="18"/>
  <c r="G16" i="18" s="1"/>
  <c r="Q44" i="16"/>
  <c r="T61" i="18"/>
  <c r="T16" i="18" s="1"/>
  <c r="E15" i="30"/>
  <c r="N15" i="30"/>
  <c r="V44" i="16"/>
  <c r="Y61" i="18"/>
  <c r="R84" i="16"/>
  <c r="U60" i="18"/>
  <c r="S85" i="16"/>
  <c r="W39" i="20" s="1"/>
  <c r="V60" i="18"/>
  <c r="H89" i="16"/>
  <c r="L9" i="20"/>
  <c r="W44" i="16"/>
  <c r="Z61" i="18"/>
  <c r="Q83" i="16"/>
  <c r="T60" i="18"/>
  <c r="M15" i="30"/>
  <c r="V15" i="30"/>
  <c r="H15" i="30"/>
  <c r="L17" i="20"/>
  <c r="I15" i="30"/>
  <c r="M44" i="16"/>
  <c r="P61" i="18"/>
  <c r="O15" i="30"/>
  <c r="AA44" i="16"/>
  <c r="AD61" i="18"/>
  <c r="AD16" i="18" s="1"/>
  <c r="H44" i="16"/>
  <c r="K61" i="18"/>
  <c r="F44" i="16"/>
  <c r="I61" i="18"/>
  <c r="I16" i="18" s="1"/>
  <c r="C83" i="16"/>
  <c r="F60" i="18"/>
  <c r="S84" i="16"/>
  <c r="P44" i="16"/>
  <c r="S61" i="18"/>
  <c r="C44" i="16"/>
  <c r="F61" i="18"/>
  <c r="F16" i="18" s="1"/>
  <c r="S44" i="16"/>
  <c r="V61" i="18"/>
  <c r="V16" i="18" s="1"/>
  <c r="AB44" i="16"/>
  <c r="AE61" i="18"/>
  <c r="AE16" i="18" s="1"/>
  <c r="I44" i="16"/>
  <c r="L61" i="18"/>
  <c r="L16" i="18" s="1"/>
  <c r="U15" i="30"/>
  <c r="Q15" i="30"/>
  <c r="O15" i="18"/>
  <c r="Z84" i="16"/>
  <c r="AC60" i="18"/>
  <c r="J44" i="16"/>
  <c r="M61" i="18"/>
  <c r="M16" i="18" s="1"/>
  <c r="X44" i="16"/>
  <c r="AA61" i="18"/>
  <c r="U44" i="16"/>
  <c r="X61" i="18"/>
  <c r="X16" i="18" s="1"/>
  <c r="K85" i="16"/>
  <c r="O39" i="20" s="1"/>
  <c r="O45" i="20" s="1"/>
  <c r="N60" i="18"/>
  <c r="O44" i="16"/>
  <c r="R61" i="18"/>
  <c r="R16" i="18" s="1"/>
  <c r="I86" i="16"/>
  <c r="L60" i="18"/>
  <c r="T47" i="20"/>
  <c r="Q15" i="18"/>
  <c r="X15" i="30"/>
  <c r="Y15" i="30"/>
  <c r="R44" i="16"/>
  <c r="U61" i="18"/>
  <c r="U16" i="18" s="1"/>
  <c r="K44" i="16"/>
  <c r="N61" i="18"/>
  <c r="N16" i="18" s="1"/>
  <c r="T44" i="16"/>
  <c r="W61" i="18"/>
  <c r="W16" i="18" s="1"/>
  <c r="T45" i="20"/>
  <c r="I14" i="31"/>
  <c r="L47" i="20"/>
  <c r="AE30" i="19"/>
  <c r="AE37" i="19" s="1"/>
  <c r="AB30" i="19"/>
  <c r="AB37" i="19" s="1"/>
  <c r="U51" i="15"/>
  <c r="Y19" i="19"/>
  <c r="U52" i="15"/>
  <c r="Y17" i="19"/>
  <c r="AA30" i="19"/>
  <c r="AA37" i="19" s="1"/>
  <c r="AA81" i="19" s="1"/>
  <c r="Y18" i="19"/>
  <c r="Y20" i="19"/>
  <c r="Y30" i="19" s="1"/>
  <c r="Y37" i="19" s="1"/>
  <c r="Y81" i="19" s="1"/>
  <c r="X30" i="19"/>
  <c r="X37" i="19" s="1"/>
  <c r="X81" i="19" s="1"/>
  <c r="AB52" i="15"/>
  <c r="AB51" i="15"/>
  <c r="AB50" i="15"/>
  <c r="AB49" i="15"/>
  <c r="S52" i="15"/>
  <c r="S51" i="15"/>
  <c r="S50" i="15"/>
  <c r="T49" i="15"/>
  <c r="T51" i="15"/>
  <c r="T52" i="15"/>
  <c r="T50" i="15"/>
  <c r="Y52" i="15"/>
  <c r="Y51" i="15"/>
  <c r="Y50" i="15"/>
  <c r="Y49" i="15"/>
  <c r="W50" i="15"/>
  <c r="W49" i="15"/>
  <c r="W52" i="15"/>
  <c r="W51" i="15"/>
  <c r="AE81" i="19"/>
  <c r="Z52" i="15"/>
  <c r="Z51" i="15"/>
  <c r="Z50" i="15"/>
  <c r="Z49" i="15"/>
  <c r="X51" i="15"/>
  <c r="X50" i="15"/>
  <c r="X49" i="15"/>
  <c r="X52" i="15"/>
  <c r="Z30" i="19"/>
  <c r="W30" i="19"/>
  <c r="W37" i="19" s="1"/>
  <c r="W81" i="19" s="1"/>
  <c r="AA9" i="12"/>
  <c r="AA12" i="12"/>
  <c r="U62" i="27"/>
  <c r="U67" i="27"/>
  <c r="F69" i="27"/>
  <c r="J67" i="27"/>
  <c r="J62" i="27"/>
  <c r="P88" i="27"/>
  <c r="P81" i="27"/>
  <c r="C102" i="27"/>
  <c r="C94" i="27"/>
  <c r="K74" i="27"/>
  <c r="M67" i="27"/>
  <c r="M62" i="27"/>
  <c r="AA102" i="27"/>
  <c r="AA94" i="27"/>
  <c r="U72" i="27"/>
  <c r="U74" i="27" s="1"/>
  <c r="E62" i="27"/>
  <c r="E67" i="27"/>
  <c r="AA62" i="27"/>
  <c r="AA67" i="27"/>
  <c r="AB69" i="27"/>
  <c r="Y88" i="27"/>
  <c r="Y81" i="27"/>
  <c r="S62" i="27"/>
  <c r="S67" i="27"/>
  <c r="T69" i="27"/>
  <c r="S102" i="27"/>
  <c r="S94" i="27"/>
  <c r="E72" i="27"/>
  <c r="E74" i="27" s="1"/>
  <c r="X88" i="27"/>
  <c r="X81" i="27"/>
  <c r="J72" i="27"/>
  <c r="J74" i="27" s="1"/>
  <c r="P74" i="27"/>
  <c r="K62" i="27"/>
  <c r="K67" i="27"/>
  <c r="L69" i="27"/>
  <c r="H88" i="27"/>
  <c r="H81" i="27"/>
  <c r="Q88" i="27"/>
  <c r="Q81" i="27"/>
  <c r="W69" i="27"/>
  <c r="H74" i="27"/>
  <c r="C62" i="27"/>
  <c r="C67" i="27"/>
  <c r="D69" i="27"/>
  <c r="K102" i="27"/>
  <c r="K94" i="27"/>
  <c r="O69" i="27"/>
  <c r="V69" i="27"/>
  <c r="Z67" i="27"/>
  <c r="Z62" i="27"/>
  <c r="I88" i="27"/>
  <c r="I81" i="27"/>
  <c r="G69" i="27"/>
  <c r="N69" i="27"/>
  <c r="R67" i="27"/>
  <c r="R62" i="27"/>
  <c r="AE74" i="19"/>
  <c r="H44" i="17"/>
  <c r="K61" i="19"/>
  <c r="Z44" i="17"/>
  <c r="AC61" i="19"/>
  <c r="AC16" i="19" s="1"/>
  <c r="AC29" i="19" s="1"/>
  <c r="AC36" i="19" s="1"/>
  <c r="AC43" i="19" s="1"/>
  <c r="AC87" i="19" s="1"/>
  <c r="I44" i="17"/>
  <c r="L61" i="19"/>
  <c r="L16" i="19" s="1"/>
  <c r="L29" i="19" s="1"/>
  <c r="W44" i="17"/>
  <c r="Z61" i="19"/>
  <c r="Z16" i="19" s="1"/>
  <c r="Z29" i="19" s="1"/>
  <c r="AA44" i="17"/>
  <c r="AD61" i="19"/>
  <c r="AD16" i="19" s="1"/>
  <c r="AD29" i="19" s="1"/>
  <c r="U44" i="17"/>
  <c r="X61" i="19"/>
  <c r="X16" i="19" s="1"/>
  <c r="X29" i="19" s="1"/>
  <c r="N44" i="17"/>
  <c r="Q61" i="19"/>
  <c r="Q16" i="19" s="1"/>
  <c r="Q29" i="19" s="1"/>
  <c r="Q73" i="19" s="1"/>
  <c r="V44" i="17"/>
  <c r="Y61" i="19"/>
  <c r="Y16" i="19" s="1"/>
  <c r="R44" i="17"/>
  <c r="U61" i="19"/>
  <c r="U16" i="19" s="1"/>
  <c r="U29" i="19" s="1"/>
  <c r="U36" i="19" s="1"/>
  <c r="U43" i="19" s="1"/>
  <c r="U87" i="19" s="1"/>
  <c r="O44" i="17"/>
  <c r="R61" i="19"/>
  <c r="R16" i="19" s="1"/>
  <c r="R29" i="19" s="1"/>
  <c r="S44" i="17"/>
  <c r="V61" i="19"/>
  <c r="D44" i="17"/>
  <c r="G61" i="19"/>
  <c r="G16" i="19" s="1"/>
  <c r="G29" i="19" s="1"/>
  <c r="F44" i="17"/>
  <c r="I61" i="19"/>
  <c r="I16" i="19" s="1"/>
  <c r="I29" i="19" s="1"/>
  <c r="M44" i="17"/>
  <c r="P61" i="19"/>
  <c r="P16" i="19" s="1"/>
  <c r="P29" i="19" s="1"/>
  <c r="X44" i="17"/>
  <c r="AA61" i="19"/>
  <c r="AA16" i="19" s="1"/>
  <c r="AA29" i="19" s="1"/>
  <c r="AA36" i="19" s="1"/>
  <c r="AB61" i="19"/>
  <c r="AB16" i="19" s="1"/>
  <c r="AB29" i="19" s="1"/>
  <c r="AB36" i="19" s="1"/>
  <c r="AB43" i="19" s="1"/>
  <c r="AB87" i="19" s="1"/>
  <c r="J44" i="17"/>
  <c r="M61" i="19"/>
  <c r="M16" i="19" s="1"/>
  <c r="M29" i="19" s="1"/>
  <c r="M36" i="19" s="1"/>
  <c r="P44" i="17"/>
  <c r="S61" i="19"/>
  <c r="S16" i="19" s="1"/>
  <c r="S29" i="19" s="1"/>
  <c r="S36" i="19" s="1"/>
  <c r="S43" i="19" s="1"/>
  <c r="S87" i="19" s="1"/>
  <c r="G44" i="17"/>
  <c r="J61" i="19"/>
  <c r="J16" i="19" s="1"/>
  <c r="J29" i="19" s="1"/>
  <c r="L44" i="17"/>
  <c r="O61" i="19"/>
  <c r="C44" i="17"/>
  <c r="F61" i="19"/>
  <c r="F16" i="19" s="1"/>
  <c r="F29" i="19" s="1"/>
  <c r="Q44" i="17"/>
  <c r="T61" i="19"/>
  <c r="T16" i="19" s="1"/>
  <c r="T29" i="19" s="1"/>
  <c r="T73" i="19" s="1"/>
  <c r="T44" i="17"/>
  <c r="W61" i="19"/>
  <c r="W16" i="19" s="1"/>
  <c r="W29" i="19" s="1"/>
  <c r="E44" i="17"/>
  <c r="H61" i="19"/>
  <c r="H16" i="19" s="1"/>
  <c r="H29" i="19" s="1"/>
  <c r="U30" i="19"/>
  <c r="U37" i="19" s="1"/>
  <c r="U81" i="19" s="1"/>
  <c r="V30" i="19"/>
  <c r="AD30" i="19"/>
  <c r="N37" i="19"/>
  <c r="N81" i="19" s="1"/>
  <c r="P74" i="19"/>
  <c r="P37" i="19"/>
  <c r="P81" i="19" s="1"/>
  <c r="U74" i="19"/>
  <c r="L37" i="19"/>
  <c r="L81" i="19" s="1"/>
  <c r="L74" i="19"/>
  <c r="AC81" i="19"/>
  <c r="AC74" i="19"/>
  <c r="AB81" i="19"/>
  <c r="AB74" i="19"/>
  <c r="T81" i="19"/>
  <c r="T74" i="19"/>
  <c r="M37" i="19"/>
  <c r="M81" i="19" s="1"/>
  <c r="M74" i="19"/>
  <c r="Q57" i="17"/>
  <c r="F57" i="17"/>
  <c r="T88" i="17"/>
  <c r="T57" i="17"/>
  <c r="T78" i="17" s="1"/>
  <c r="X88" i="17"/>
  <c r="N57" i="17"/>
  <c r="N78" i="17" s="1"/>
  <c r="K47" i="17"/>
  <c r="AB47" i="17"/>
  <c r="U88" i="17"/>
  <c r="J86" i="17"/>
  <c r="J85" i="17"/>
  <c r="N39" i="21" s="1"/>
  <c r="J84" i="17"/>
  <c r="J83" i="17"/>
  <c r="O83" i="17"/>
  <c r="M86" i="17"/>
  <c r="AA86" i="17"/>
  <c r="E84" i="17"/>
  <c r="X83" i="17"/>
  <c r="X86" i="17"/>
  <c r="X85" i="17"/>
  <c r="AB39" i="21" s="1"/>
  <c r="AB45" i="21" s="1"/>
  <c r="X84" i="17"/>
  <c r="L85" i="17"/>
  <c r="P39" i="21" s="1"/>
  <c r="L84" i="17"/>
  <c r="L83" i="17"/>
  <c r="L86" i="17"/>
  <c r="S85" i="17"/>
  <c r="W39" i="21" s="1"/>
  <c r="S83" i="17"/>
  <c r="S84" i="17"/>
  <c r="S86" i="17"/>
  <c r="I84" i="17"/>
  <c r="I86" i="17"/>
  <c r="I85" i="17"/>
  <c r="M39" i="21" s="1"/>
  <c r="I83" i="17"/>
  <c r="Z86" i="17"/>
  <c r="Z84" i="17"/>
  <c r="H83" i="17"/>
  <c r="H86" i="17"/>
  <c r="H85" i="17"/>
  <c r="L39" i="21" s="1"/>
  <c r="H84" i="17"/>
  <c r="U85" i="17"/>
  <c r="Y39" i="21" s="1"/>
  <c r="R85" i="17"/>
  <c r="V39" i="21" s="1"/>
  <c r="W85" i="17"/>
  <c r="AA39" i="21" s="1"/>
  <c r="W86" i="17"/>
  <c r="C85" i="17"/>
  <c r="G39" i="21" s="1"/>
  <c r="G45" i="21" s="1"/>
  <c r="C83" i="17"/>
  <c r="C84" i="17"/>
  <c r="C86" i="17"/>
  <c r="AA83" i="16"/>
  <c r="Z85" i="16"/>
  <c r="AD39" i="20" s="1"/>
  <c r="AA14" i="31" s="1"/>
  <c r="AA12" i="31" s="1"/>
  <c r="AA28" i="31" s="1"/>
  <c r="Q85" i="16"/>
  <c r="U39" i="20" s="1"/>
  <c r="R14" i="31" s="1"/>
  <c r="R12" i="31" s="1"/>
  <c r="R30" i="31" s="1"/>
  <c r="I84" i="16"/>
  <c r="I85" i="16"/>
  <c r="M39" i="20" s="1"/>
  <c r="I83" i="16"/>
  <c r="Q86" i="16"/>
  <c r="AB83" i="16"/>
  <c r="AB84" i="16"/>
  <c r="AB85" i="16"/>
  <c r="AF39" i="20" s="1"/>
  <c r="AC14" i="31" s="1"/>
  <c r="AC12" i="31" s="1"/>
  <c r="AC30" i="31" s="1"/>
  <c r="AB86" i="16"/>
  <c r="D83" i="16"/>
  <c r="D84" i="16"/>
  <c r="D85" i="16"/>
  <c r="H39" i="20" s="1"/>
  <c r="D86" i="16"/>
  <c r="M85" i="16"/>
  <c r="Q39" i="20" s="1"/>
  <c r="M83" i="16"/>
  <c r="M84" i="16"/>
  <c r="M86" i="16"/>
  <c r="C86" i="16"/>
  <c r="W86" i="16"/>
  <c r="W85" i="16"/>
  <c r="AA39" i="20" s="1"/>
  <c r="X14" i="31" s="1"/>
  <c r="X12" i="31" s="1"/>
  <c r="W84" i="16"/>
  <c r="W83" i="16"/>
  <c r="J85" i="16"/>
  <c r="N39" i="20" s="1"/>
  <c r="R83" i="16"/>
  <c r="R86" i="16"/>
  <c r="E85" i="16"/>
  <c r="I39" i="20" s="1"/>
  <c r="E83" i="16"/>
  <c r="E84" i="16"/>
  <c r="E86" i="16"/>
  <c r="F84" i="16"/>
  <c r="F85" i="16"/>
  <c r="J39" i="20" s="1"/>
  <c r="F83" i="16"/>
  <c r="F86" i="16"/>
  <c r="R85" i="16"/>
  <c r="V39" i="20" s="1"/>
  <c r="S14" i="31" s="1"/>
  <c r="S12" i="31" s="1"/>
  <c r="S30" i="31" s="1"/>
  <c r="Z83" i="16"/>
  <c r="Z86" i="16"/>
  <c r="N84" i="16"/>
  <c r="N83" i="16"/>
  <c r="N85" i="16"/>
  <c r="R39" i="20" s="1"/>
  <c r="N86" i="16"/>
  <c r="AA85" i="16"/>
  <c r="AE39" i="20" s="1"/>
  <c r="AA86" i="16"/>
  <c r="S83" i="16"/>
  <c r="S86" i="16"/>
  <c r="L83" i="16"/>
  <c r="L85" i="16"/>
  <c r="P39" i="20" s="1"/>
  <c r="L84" i="16"/>
  <c r="L86" i="16"/>
  <c r="C84" i="16"/>
  <c r="C85" i="16"/>
  <c r="G39" i="20" s="1"/>
  <c r="G45" i="20" s="1"/>
  <c r="K83" i="16"/>
  <c r="K86" i="16"/>
  <c r="K84" i="16"/>
  <c r="G86" i="16"/>
  <c r="G84" i="16"/>
  <c r="G85" i="16"/>
  <c r="K39" i="20" s="1"/>
  <c r="G83" i="16"/>
  <c r="V84" i="16"/>
  <c r="V85" i="16"/>
  <c r="Z39" i="20" s="1"/>
  <c r="W14" i="31" s="1"/>
  <c r="W12" i="31" s="1"/>
  <c r="V83" i="16"/>
  <c r="V86" i="16"/>
  <c r="T83" i="16"/>
  <c r="T85" i="16"/>
  <c r="X39" i="20" s="1"/>
  <c r="U14" i="31" s="1"/>
  <c r="U12" i="31" s="1"/>
  <c r="T84" i="16"/>
  <c r="T86" i="16"/>
  <c r="J83" i="16"/>
  <c r="J86" i="16"/>
  <c r="U85" i="16"/>
  <c r="Y39" i="20" s="1"/>
  <c r="V14" i="31" s="1"/>
  <c r="V12" i="31" s="1"/>
  <c r="U83" i="16"/>
  <c r="U84" i="16"/>
  <c r="U86" i="16"/>
  <c r="O83" i="16"/>
  <c r="O86" i="16"/>
  <c r="O84" i="16"/>
  <c r="O85" i="16"/>
  <c r="S39" i="20" s="1"/>
  <c r="D86" i="17" l="1"/>
  <c r="AA84" i="17"/>
  <c r="D84" i="17"/>
  <c r="AA83" i="17"/>
  <c r="G85" i="17"/>
  <c r="K39" i="21" s="1"/>
  <c r="AA85" i="17"/>
  <c r="AE39" i="21" s="1"/>
  <c r="R86" i="17"/>
  <c r="D83" i="17"/>
  <c r="H9" i="21" s="1"/>
  <c r="E85" i="17"/>
  <c r="I39" i="21" s="1"/>
  <c r="R83" i="17"/>
  <c r="E83" i="17"/>
  <c r="R84" i="17"/>
  <c r="E86" i="17"/>
  <c r="M84" i="17"/>
  <c r="M73" i="19"/>
  <c r="AB47" i="21"/>
  <c r="G60" i="19"/>
  <c r="G15" i="19" s="1"/>
  <c r="G28" i="19" s="1"/>
  <c r="G72" i="19" s="1"/>
  <c r="X60" i="19"/>
  <c r="X15" i="19" s="1"/>
  <c r="X28" i="19" s="1"/>
  <c r="X35" i="19" s="1"/>
  <c r="X42" i="19" s="1"/>
  <c r="X86" i="19" s="1"/>
  <c r="K86" i="17"/>
  <c r="K83" i="17"/>
  <c r="U86" i="17"/>
  <c r="K84" i="17"/>
  <c r="U84" i="17"/>
  <c r="M85" i="17"/>
  <c r="Q39" i="21" s="1"/>
  <c r="Q47" i="21" s="1"/>
  <c r="N60" i="19"/>
  <c r="N15" i="19" s="1"/>
  <c r="N28" i="19" s="1"/>
  <c r="M83" i="17"/>
  <c r="M89" i="17" s="1"/>
  <c r="M90" i="17" s="1"/>
  <c r="AD45" i="21"/>
  <c r="AD47" i="21"/>
  <c r="AA18" i="31"/>
  <c r="P35" i="19"/>
  <c r="P72" i="19"/>
  <c r="S45" i="21"/>
  <c r="S47" i="21"/>
  <c r="P18" i="31"/>
  <c r="H72" i="19"/>
  <c r="H35" i="19"/>
  <c r="H79" i="19" s="1"/>
  <c r="K72" i="19"/>
  <c r="K35" i="19"/>
  <c r="O72" i="19"/>
  <c r="O35" i="19"/>
  <c r="O79" i="19" s="1"/>
  <c r="P89" i="17"/>
  <c r="P90" i="17" s="1"/>
  <c r="T9" i="21"/>
  <c r="F72" i="19"/>
  <c r="F35" i="19"/>
  <c r="F42" i="19" s="1"/>
  <c r="F86" i="19" s="1"/>
  <c r="M47" i="21"/>
  <c r="J18" i="31"/>
  <c r="M45" i="21"/>
  <c r="F78" i="17"/>
  <c r="I60" i="19" s="1"/>
  <c r="J89" i="17"/>
  <c r="J90" i="17" s="1"/>
  <c r="N9" i="21"/>
  <c r="V18" i="31"/>
  <c r="V16" i="31" s="1"/>
  <c r="V34" i="31" s="1"/>
  <c r="Y47" i="21"/>
  <c r="Y45" i="21"/>
  <c r="L18" i="31"/>
  <c r="O45" i="21"/>
  <c r="O47" i="21"/>
  <c r="H45" i="21"/>
  <c r="E18" i="31"/>
  <c r="H47" i="21"/>
  <c r="G83" i="17"/>
  <c r="E89" i="17"/>
  <c r="E90" i="17" s="1"/>
  <c r="I9" i="21"/>
  <c r="Q9" i="21"/>
  <c r="Z60" i="19"/>
  <c r="T22" i="30"/>
  <c r="AB22" i="30"/>
  <c r="S60" i="19"/>
  <c r="S15" i="19" s="1"/>
  <c r="S28" i="19" s="1"/>
  <c r="Y18" i="31"/>
  <c r="Y16" i="31" s="1"/>
  <c r="Y32" i="31" s="1"/>
  <c r="AC60" i="19"/>
  <c r="AC15" i="19" s="1"/>
  <c r="AC28" i="19" s="1"/>
  <c r="AC35" i="19" s="1"/>
  <c r="AC42" i="19" s="1"/>
  <c r="AC86" i="19" s="1"/>
  <c r="U89" i="17"/>
  <c r="Y9" i="21"/>
  <c r="U24" i="30" s="1"/>
  <c r="O89" i="17"/>
  <c r="O90" i="17" s="1"/>
  <c r="S9" i="21"/>
  <c r="J60" i="19"/>
  <c r="J15" i="19" s="1"/>
  <c r="J28" i="19" s="1"/>
  <c r="R60" i="19"/>
  <c r="R15" i="19" s="1"/>
  <c r="R28" i="19" s="1"/>
  <c r="W83" i="17"/>
  <c r="R89" i="17"/>
  <c r="R90" i="17" s="1"/>
  <c r="V9" i="21"/>
  <c r="Z83" i="17"/>
  <c r="P84" i="17"/>
  <c r="N45" i="21"/>
  <c r="N47" i="21"/>
  <c r="K18" i="31"/>
  <c r="K47" i="21"/>
  <c r="K45" i="21"/>
  <c r="H18" i="31"/>
  <c r="V78" i="17"/>
  <c r="AA45" i="21"/>
  <c r="X18" i="31"/>
  <c r="X16" i="31" s="1"/>
  <c r="X34" i="31" s="1"/>
  <c r="AA47" i="21"/>
  <c r="G86" i="17"/>
  <c r="T60" i="19"/>
  <c r="T58" i="19" s="1"/>
  <c r="T13" i="19" s="1"/>
  <c r="Q78" i="17"/>
  <c r="Q84" i="17" s="1"/>
  <c r="K89" i="17"/>
  <c r="K90" i="17" s="1"/>
  <c r="O9" i="21"/>
  <c r="D89" i="17"/>
  <c r="D90" i="17" s="1"/>
  <c r="F18" i="31"/>
  <c r="I47" i="21"/>
  <c r="I45" i="21"/>
  <c r="L47" i="21"/>
  <c r="I18" i="31"/>
  <c r="L45" i="21"/>
  <c r="P85" i="17"/>
  <c r="T39" i="21" s="1"/>
  <c r="L89" i="17"/>
  <c r="L90" i="17" s="1"/>
  <c r="P9" i="21"/>
  <c r="C89" i="17"/>
  <c r="C90" i="17" s="1"/>
  <c r="G9" i="21"/>
  <c r="V45" i="21"/>
  <c r="V47" i="21"/>
  <c r="S18" i="31"/>
  <c r="S16" i="31" s="1"/>
  <c r="S32" i="31" s="1"/>
  <c r="P86" i="17"/>
  <c r="S89" i="17"/>
  <c r="S90" i="17" s="1"/>
  <c r="W9" i="21"/>
  <c r="O84" i="17"/>
  <c r="Y22" i="30"/>
  <c r="AE45" i="21"/>
  <c r="AB18" i="31"/>
  <c r="AB16" i="31" s="1"/>
  <c r="AB31" i="31" s="1"/>
  <c r="AE47" i="21"/>
  <c r="N18" i="31"/>
  <c r="H89" i="17"/>
  <c r="H90" i="17" s="1"/>
  <c r="L9" i="21"/>
  <c r="M18" i="31"/>
  <c r="P45" i="21"/>
  <c r="P47" i="21"/>
  <c r="U22" i="30"/>
  <c r="W45" i="21"/>
  <c r="T18" i="31"/>
  <c r="T16" i="31" s="1"/>
  <c r="T32" i="31" s="1"/>
  <c r="W47" i="21"/>
  <c r="X89" i="17"/>
  <c r="X90" i="17" s="1"/>
  <c r="AB9" i="21"/>
  <c r="O86" i="17"/>
  <c r="I89" i="17"/>
  <c r="I90" i="17" s="1"/>
  <c r="M9" i="21"/>
  <c r="AA89" i="17"/>
  <c r="AA90" i="17" s="1"/>
  <c r="AE9" i="21"/>
  <c r="V22" i="30"/>
  <c r="Y78" i="17"/>
  <c r="AB60" i="19" s="1"/>
  <c r="J58" i="18"/>
  <c r="J13" i="18" s="1"/>
  <c r="G58" i="18"/>
  <c r="G13" i="18" s="1"/>
  <c r="W45" i="20"/>
  <c r="U28" i="31"/>
  <c r="U30" i="31"/>
  <c r="X28" i="31"/>
  <c r="X30" i="31"/>
  <c r="V30" i="31"/>
  <c r="V28" i="31"/>
  <c r="R58" i="18"/>
  <c r="R13" i="18" s="1"/>
  <c r="Q58" i="18"/>
  <c r="Q13" i="18" s="1"/>
  <c r="W9" i="20"/>
  <c r="S89" i="16"/>
  <c r="AA16" i="18"/>
  <c r="AA58" i="18"/>
  <c r="AA13" i="18" s="1"/>
  <c r="Z16" i="18"/>
  <c r="Z58" i="18"/>
  <c r="Z13" i="18" s="1"/>
  <c r="H58" i="18"/>
  <c r="H13" i="18" s="1"/>
  <c r="H45" i="20"/>
  <c r="H47" i="20"/>
  <c r="E14" i="31"/>
  <c r="O9" i="20"/>
  <c r="K89" i="16"/>
  <c r="F14" i="31"/>
  <c r="I47" i="20"/>
  <c r="I45" i="20"/>
  <c r="F58" i="18"/>
  <c r="F13" i="18" s="1"/>
  <c r="F15" i="18"/>
  <c r="AD15" i="18"/>
  <c r="AD58" i="18"/>
  <c r="AD13" i="18" s="1"/>
  <c r="L14" i="31"/>
  <c r="O47" i="20"/>
  <c r="T17" i="20"/>
  <c r="P17" i="30"/>
  <c r="T15" i="20"/>
  <c r="X17" i="30"/>
  <c r="AB15" i="20"/>
  <c r="L15" i="18"/>
  <c r="L58" i="18"/>
  <c r="L13" i="18" s="1"/>
  <c r="J89" i="16"/>
  <c r="N9" i="20"/>
  <c r="H9" i="20"/>
  <c r="D89" i="16"/>
  <c r="K9" i="20"/>
  <c r="G89" i="16"/>
  <c r="U47" i="20"/>
  <c r="U45" i="20"/>
  <c r="G9" i="20"/>
  <c r="C89" i="16"/>
  <c r="H17" i="30"/>
  <c r="L15" i="20"/>
  <c r="AB14" i="31"/>
  <c r="AB12" i="31" s="1"/>
  <c r="AB27" i="31" s="1"/>
  <c r="AE47" i="20"/>
  <c r="AA47" i="20"/>
  <c r="AA45" i="20"/>
  <c r="Q89" i="16"/>
  <c r="U9" i="20"/>
  <c r="J14" i="31"/>
  <c r="M47" i="20"/>
  <c r="M45" i="20"/>
  <c r="S9" i="20"/>
  <c r="O89" i="16"/>
  <c r="AF45" i="20"/>
  <c r="AF47" i="20"/>
  <c r="AD47" i="20"/>
  <c r="AD45" i="20"/>
  <c r="AE45" i="20"/>
  <c r="I58" i="18"/>
  <c r="I13" i="18" s="1"/>
  <c r="W58" i="18"/>
  <c r="W13" i="18" s="1"/>
  <c r="S45" i="20"/>
  <c r="P14" i="31"/>
  <c r="S47" i="20"/>
  <c r="I9" i="20"/>
  <c r="E89" i="16"/>
  <c r="Y16" i="18"/>
  <c r="Y58" i="18"/>
  <c r="Y13" i="18" s="1"/>
  <c r="V47" i="20"/>
  <c r="V45" i="20"/>
  <c r="H14" i="31"/>
  <c r="K47" i="20"/>
  <c r="K45" i="20"/>
  <c r="J9" i="20"/>
  <c r="F89" i="16"/>
  <c r="V9" i="20"/>
  <c r="R89" i="16"/>
  <c r="R47" i="20"/>
  <c r="O14" i="31"/>
  <c r="R45" i="20"/>
  <c r="J45" i="20"/>
  <c r="J47" i="20"/>
  <c r="G14" i="31"/>
  <c r="K14" i="31"/>
  <c r="N45" i="20"/>
  <c r="N47" i="20"/>
  <c r="Q9" i="20"/>
  <c r="M89" i="16"/>
  <c r="AE9" i="20"/>
  <c r="AA89" i="16"/>
  <c r="N58" i="18"/>
  <c r="N13" i="18" s="1"/>
  <c r="N15" i="18"/>
  <c r="AC15" i="18"/>
  <c r="AC58" i="18"/>
  <c r="AC13" i="18" s="1"/>
  <c r="P58" i="18"/>
  <c r="P13" i="18" s="1"/>
  <c r="P16" i="18"/>
  <c r="V58" i="18"/>
  <c r="V13" i="18" s="1"/>
  <c r="V15" i="18"/>
  <c r="AE58" i="18"/>
  <c r="AE13" i="18" s="1"/>
  <c r="Y47" i="20"/>
  <c r="Y45" i="20"/>
  <c r="Z9" i="20"/>
  <c r="V89" i="16"/>
  <c r="I89" i="16"/>
  <c r="M9" i="20"/>
  <c r="Z45" i="20"/>
  <c r="Z47" i="20"/>
  <c r="Z89" i="16"/>
  <c r="AD9" i="20"/>
  <c r="N14" i="31"/>
  <c r="Q47" i="20"/>
  <c r="Q45" i="20"/>
  <c r="K16" i="18"/>
  <c r="K58" i="18"/>
  <c r="K13" i="18" s="1"/>
  <c r="AB16" i="18"/>
  <c r="AB58" i="18"/>
  <c r="AB13" i="18" s="1"/>
  <c r="Y17" i="30"/>
  <c r="AC17" i="20"/>
  <c r="X58" i="18"/>
  <c r="X13" i="18" s="1"/>
  <c r="M58" i="18"/>
  <c r="M13" i="18" s="1"/>
  <c r="M15" i="18"/>
  <c r="X45" i="20"/>
  <c r="X47" i="20"/>
  <c r="X9" i="20"/>
  <c r="T89" i="16"/>
  <c r="M14" i="31"/>
  <c r="P47" i="20"/>
  <c r="P45" i="20"/>
  <c r="R9" i="20"/>
  <c r="N89" i="16"/>
  <c r="AA9" i="20"/>
  <c r="W89" i="16"/>
  <c r="AF9" i="20"/>
  <c r="AB89" i="16"/>
  <c r="AB90" i="16" s="1"/>
  <c r="Y9" i="20"/>
  <c r="U89" i="16"/>
  <c r="P9" i="20"/>
  <c r="L89" i="16"/>
  <c r="S16" i="18"/>
  <c r="S58" i="18"/>
  <c r="S13" i="18" s="1"/>
  <c r="T15" i="18"/>
  <c r="T58" i="18"/>
  <c r="T13" i="18" s="1"/>
  <c r="U15" i="18"/>
  <c r="U58" i="18"/>
  <c r="U13" i="18" s="1"/>
  <c r="T14" i="31"/>
  <c r="T12" i="31" s="1"/>
  <c r="T30" i="31" s="1"/>
  <c r="W47" i="20"/>
  <c r="O58" i="18"/>
  <c r="O13" i="18" s="1"/>
  <c r="Y29" i="19"/>
  <c r="Y36" i="19" s="1"/>
  <c r="AA74" i="19"/>
  <c r="X74" i="19"/>
  <c r="Y74" i="19"/>
  <c r="Z74" i="19"/>
  <c r="Z37" i="19"/>
  <c r="Z81" i="19" s="1"/>
  <c r="W74" i="19"/>
  <c r="AA30" i="31"/>
  <c r="Q30" i="31"/>
  <c r="S28" i="31"/>
  <c r="Z28" i="31"/>
  <c r="AA27" i="31"/>
  <c r="AA29" i="31"/>
  <c r="Y29" i="31"/>
  <c r="Y27" i="31"/>
  <c r="X31" i="31"/>
  <c r="X33" i="31"/>
  <c r="X32" i="31"/>
  <c r="V33" i="31"/>
  <c r="V31" i="31"/>
  <c r="Q29" i="31"/>
  <c r="Q27" i="31"/>
  <c r="Y28" i="31"/>
  <c r="V32" i="31"/>
  <c r="W27" i="31"/>
  <c r="W29" i="31"/>
  <c r="W30" i="31"/>
  <c r="S27" i="31"/>
  <c r="S29" i="31"/>
  <c r="R29" i="31"/>
  <c r="R27" i="31"/>
  <c r="V27" i="31"/>
  <c r="V29" i="31"/>
  <c r="W28" i="31"/>
  <c r="Z29" i="31"/>
  <c r="Z27" i="31"/>
  <c r="R28" i="31"/>
  <c r="AC27" i="31"/>
  <c r="AC29" i="31"/>
  <c r="U27" i="31"/>
  <c r="U29" i="31"/>
  <c r="AC28" i="31"/>
  <c r="X29" i="31"/>
  <c r="X27" i="31"/>
  <c r="AB9" i="12"/>
  <c r="AB12" i="12"/>
  <c r="Z69" i="27"/>
  <c r="V81" i="27"/>
  <c r="V88" i="27"/>
  <c r="G81" i="27"/>
  <c r="G88" i="27"/>
  <c r="O81" i="27"/>
  <c r="O88" i="27"/>
  <c r="L81" i="27"/>
  <c r="L88" i="27"/>
  <c r="K69" i="27"/>
  <c r="AB81" i="27"/>
  <c r="AB88" i="27"/>
  <c r="J69" i="27"/>
  <c r="C69" i="27"/>
  <c r="W88" i="27"/>
  <c r="W81" i="27"/>
  <c r="AA69" i="27"/>
  <c r="M69" i="27"/>
  <c r="F81" i="27"/>
  <c r="F88" i="27"/>
  <c r="R69" i="27"/>
  <c r="D81" i="27"/>
  <c r="D88" i="27"/>
  <c r="N81" i="27"/>
  <c r="N88" i="27"/>
  <c r="T81" i="27"/>
  <c r="T88" i="27"/>
  <c r="S69" i="27"/>
  <c r="E69" i="27"/>
  <c r="U69" i="27"/>
  <c r="L35" i="19"/>
  <c r="L79" i="19" s="1"/>
  <c r="G35" i="19"/>
  <c r="AC72" i="19"/>
  <c r="AC79" i="19"/>
  <c r="AA72" i="19"/>
  <c r="Q36" i="19"/>
  <c r="Q43" i="19" s="1"/>
  <c r="Q87" i="19" s="1"/>
  <c r="U72" i="19"/>
  <c r="AA79" i="19"/>
  <c r="Q85" i="17"/>
  <c r="U39" i="21" s="1"/>
  <c r="X58" i="19"/>
  <c r="X13" i="19" s="1"/>
  <c r="X22" i="19" s="1"/>
  <c r="R58" i="19"/>
  <c r="R13" i="19" s="1"/>
  <c r="R27" i="19" s="1"/>
  <c r="R31" i="19" s="1"/>
  <c r="M58" i="19"/>
  <c r="M13" i="19" s="1"/>
  <c r="M27" i="19" s="1"/>
  <c r="M31" i="19" s="1"/>
  <c r="X79" i="19"/>
  <c r="M72" i="19"/>
  <c r="X72" i="19"/>
  <c r="AD58" i="19"/>
  <c r="AD13" i="19" s="1"/>
  <c r="AA73" i="19"/>
  <c r="J36" i="19"/>
  <c r="J80" i="19" s="1"/>
  <c r="J73" i="19"/>
  <c r="AD35" i="19"/>
  <c r="AD72" i="19"/>
  <c r="L73" i="19"/>
  <c r="O16" i="19"/>
  <c r="O29" i="19" s="1"/>
  <c r="O58" i="19"/>
  <c r="O13" i="19" s="1"/>
  <c r="P36" i="19"/>
  <c r="P73" i="19"/>
  <c r="L58" i="19"/>
  <c r="L13" i="19" s="1"/>
  <c r="O42" i="19"/>
  <c r="O86" i="19" s="1"/>
  <c r="H42" i="19"/>
  <c r="H86" i="19" s="1"/>
  <c r="W36" i="19"/>
  <c r="W73" i="19"/>
  <c r="Y73" i="19"/>
  <c r="F58" i="19"/>
  <c r="F13" i="19" s="1"/>
  <c r="S58" i="19"/>
  <c r="S13" i="19" s="1"/>
  <c r="AB44" i="17"/>
  <c r="AE61" i="19"/>
  <c r="AE16" i="19" s="1"/>
  <c r="AE29" i="19" s="1"/>
  <c r="X36" i="19"/>
  <c r="X73" i="19"/>
  <c r="U58" i="19"/>
  <c r="U13" i="19" s="1"/>
  <c r="J72" i="19"/>
  <c r="J35" i="19"/>
  <c r="V16" i="19"/>
  <c r="V29" i="19" s="1"/>
  <c r="V58" i="19"/>
  <c r="V13" i="19" s="1"/>
  <c r="K44" i="17"/>
  <c r="N61" i="19"/>
  <c r="N85" i="17"/>
  <c r="R39" i="21" s="1"/>
  <c r="S80" i="19"/>
  <c r="I36" i="19"/>
  <c r="I73" i="19"/>
  <c r="G58" i="19"/>
  <c r="G13" i="19" s="1"/>
  <c r="U79" i="19"/>
  <c r="S73" i="19"/>
  <c r="F36" i="19"/>
  <c r="F73" i="19"/>
  <c r="P58" i="19"/>
  <c r="P13" i="19" s="1"/>
  <c r="H58" i="19"/>
  <c r="H13" i="19" s="1"/>
  <c r="AC58" i="19"/>
  <c r="AC13" i="19" s="1"/>
  <c r="K16" i="19"/>
  <c r="K29" i="19" s="1"/>
  <c r="K58" i="19"/>
  <c r="K13" i="19" s="1"/>
  <c r="H73" i="19"/>
  <c r="H36" i="19"/>
  <c r="G73" i="19"/>
  <c r="G36" i="19"/>
  <c r="R73" i="19"/>
  <c r="R36" i="19"/>
  <c r="Z36" i="19"/>
  <c r="Z73" i="19"/>
  <c r="AA58" i="19"/>
  <c r="AA13" i="19" s="1"/>
  <c r="V72" i="19"/>
  <c r="V35" i="19"/>
  <c r="N72" i="19"/>
  <c r="N35" i="19"/>
  <c r="F79" i="19"/>
  <c r="AB73" i="19"/>
  <c r="L36" i="19"/>
  <c r="L80" i="19" s="1"/>
  <c r="AB80" i="19"/>
  <c r="AC80" i="19"/>
  <c r="AD73" i="19"/>
  <c r="AD36" i="19"/>
  <c r="AD37" i="19"/>
  <c r="AD81" i="19" s="1"/>
  <c r="AD74" i="19"/>
  <c r="AC73" i="19"/>
  <c r="V37" i="19"/>
  <c r="V81" i="19" s="1"/>
  <c r="V74" i="19"/>
  <c r="U73" i="19"/>
  <c r="M43" i="19"/>
  <c r="M87" i="19" s="1"/>
  <c r="M80" i="19"/>
  <c r="AA43" i="19"/>
  <c r="AA87" i="19" s="1"/>
  <c r="AA80" i="19"/>
  <c r="Q80" i="19"/>
  <c r="U80" i="19"/>
  <c r="L42" i="19"/>
  <c r="L86" i="19" s="1"/>
  <c r="M79" i="19"/>
  <c r="M42" i="19"/>
  <c r="M86" i="19" s="1"/>
  <c r="T36" i="19"/>
  <c r="AB57" i="17"/>
  <c r="U90" i="17"/>
  <c r="Y14" i="30" l="1"/>
  <c r="X14" i="30"/>
  <c r="U21" i="30"/>
  <c r="H14" i="30"/>
  <c r="P14" i="30"/>
  <c r="T34" i="31"/>
  <c r="AB32" i="31"/>
  <c r="AB33" i="31"/>
  <c r="AB34" i="31"/>
  <c r="F84" i="17"/>
  <c r="F83" i="17"/>
  <c r="F86" i="17"/>
  <c r="Q45" i="21"/>
  <c r="F85" i="17"/>
  <c r="J39" i="21" s="1"/>
  <c r="Y34" i="31"/>
  <c r="Y17" i="21"/>
  <c r="AB15" i="19"/>
  <c r="AB28" i="19" s="1"/>
  <c r="AB58" i="19"/>
  <c r="AB13" i="19" s="1"/>
  <c r="J43" i="19"/>
  <c r="J87" i="19" s="1"/>
  <c r="S31" i="31"/>
  <c r="T31" i="31"/>
  <c r="T33" i="31"/>
  <c r="S33" i="31"/>
  <c r="Y15" i="21"/>
  <c r="J58" i="19"/>
  <c r="J13" i="19" s="1"/>
  <c r="J27" i="19" s="1"/>
  <c r="J31" i="19" s="1"/>
  <c r="S34" i="31"/>
  <c r="I15" i="19"/>
  <c r="I28" i="19" s="1"/>
  <c r="I58" i="19"/>
  <c r="I13" i="19" s="1"/>
  <c r="F89" i="17"/>
  <c r="F90" i="17" s="1"/>
  <c r="J9" i="21"/>
  <c r="R35" i="19"/>
  <c r="R72" i="19"/>
  <c r="S35" i="19"/>
  <c r="S72" i="19"/>
  <c r="M24" i="30"/>
  <c r="Q15" i="21"/>
  <c r="Q17" i="21"/>
  <c r="S24" i="30"/>
  <c r="W17" i="21"/>
  <c r="W15" i="21"/>
  <c r="Y33" i="31"/>
  <c r="X24" i="30"/>
  <c r="AB15" i="21"/>
  <c r="AB17" i="21"/>
  <c r="T47" i="21"/>
  <c r="T45" i="21"/>
  <c r="Q18" i="31"/>
  <c r="D24" i="30"/>
  <c r="H17" i="21"/>
  <c r="H15" i="21"/>
  <c r="L24" i="30"/>
  <c r="P15" i="21"/>
  <c r="P17" i="21"/>
  <c r="W89" i="17"/>
  <c r="W90" i="17" s="1"/>
  <c r="AA9" i="21"/>
  <c r="P24" i="30"/>
  <c r="T15" i="21"/>
  <c r="T17" i="21"/>
  <c r="J45" i="21"/>
  <c r="G18" i="31"/>
  <c r="J47" i="21"/>
  <c r="T15" i="19"/>
  <c r="T28" i="19" s="1"/>
  <c r="T35" i="19" s="1"/>
  <c r="U47" i="21"/>
  <c r="R18" i="31"/>
  <c r="U45" i="21"/>
  <c r="Y31" i="31"/>
  <c r="H24" i="30"/>
  <c r="L15" i="21"/>
  <c r="L17" i="21"/>
  <c r="O24" i="30"/>
  <c r="S17" i="21"/>
  <c r="S15" i="21"/>
  <c r="E24" i="30"/>
  <c r="I15" i="21"/>
  <c r="I17" i="21"/>
  <c r="K24" i="30"/>
  <c r="O15" i="21"/>
  <c r="O17" i="21"/>
  <c r="K79" i="19"/>
  <c r="K42" i="19"/>
  <c r="K86" i="19" s="1"/>
  <c r="P42" i="19"/>
  <c r="P86" i="19" s="1"/>
  <c r="P79" i="19"/>
  <c r="R45" i="21"/>
  <c r="O18" i="31"/>
  <c r="R47" i="21"/>
  <c r="AB78" i="17"/>
  <c r="AB83" i="17" s="1"/>
  <c r="AA24" i="30"/>
  <c r="AE15" i="21"/>
  <c r="AE17" i="21"/>
  <c r="V85" i="17"/>
  <c r="Z39" i="21" s="1"/>
  <c r="V83" i="17"/>
  <c r="V86" i="17"/>
  <c r="V84" i="17"/>
  <c r="Z89" i="17"/>
  <c r="Z90" i="17" s="1"/>
  <c r="AD9" i="21"/>
  <c r="G89" i="17"/>
  <c r="G90" i="17" s="1"/>
  <c r="K9" i="21"/>
  <c r="AA16" i="31"/>
  <c r="AA33" i="31" s="1"/>
  <c r="Y86" i="17"/>
  <c r="Y85" i="17"/>
  <c r="AC39" i="21" s="1"/>
  <c r="Y84" i="17"/>
  <c r="Y83" i="17"/>
  <c r="C24" i="30"/>
  <c r="G17" i="21"/>
  <c r="G15" i="21"/>
  <c r="Y60" i="19"/>
  <c r="R24" i="30"/>
  <c r="V17" i="21"/>
  <c r="V15" i="21"/>
  <c r="Z15" i="19"/>
  <c r="Z28" i="19" s="1"/>
  <c r="Z58" i="19"/>
  <c r="Z13" i="19" s="1"/>
  <c r="I24" i="30"/>
  <c r="M17" i="21"/>
  <c r="M15" i="21"/>
  <c r="Q83" i="17"/>
  <c r="Q86" i="17"/>
  <c r="J24" i="30"/>
  <c r="N15" i="21"/>
  <c r="N17" i="21"/>
  <c r="T28" i="31"/>
  <c r="T27" i="31"/>
  <c r="AB29" i="31"/>
  <c r="T29" i="31"/>
  <c r="M17" i="30"/>
  <c r="Q15" i="20"/>
  <c r="Q17" i="20"/>
  <c r="W17" i="30"/>
  <c r="AA15" i="20"/>
  <c r="AA17" i="20"/>
  <c r="V17" i="30"/>
  <c r="Z15" i="20"/>
  <c r="Z17" i="20"/>
  <c r="C17" i="30"/>
  <c r="G15" i="20"/>
  <c r="G17" i="20"/>
  <c r="L17" i="30"/>
  <c r="P17" i="20"/>
  <c r="P15" i="20"/>
  <c r="N17" i="30"/>
  <c r="R15" i="20"/>
  <c r="R17" i="20"/>
  <c r="V15" i="20"/>
  <c r="R17" i="30"/>
  <c r="V17" i="20"/>
  <c r="O17" i="30"/>
  <c r="S15" i="20"/>
  <c r="S17" i="20"/>
  <c r="T17" i="30"/>
  <c r="X17" i="20"/>
  <c r="X15" i="20"/>
  <c r="AB30" i="31"/>
  <c r="AB28" i="31"/>
  <c r="N15" i="20"/>
  <c r="J17" i="30"/>
  <c r="N17" i="20"/>
  <c r="AD15" i="20"/>
  <c r="Z17" i="30"/>
  <c r="AD17" i="20"/>
  <c r="U17" i="30"/>
  <c r="Y15" i="20"/>
  <c r="Y17" i="20"/>
  <c r="F17" i="30"/>
  <c r="J15" i="20"/>
  <c r="J17" i="20"/>
  <c r="K17" i="20"/>
  <c r="G17" i="30"/>
  <c r="K15" i="20"/>
  <c r="O15" i="20"/>
  <c r="K17" i="30"/>
  <c r="O17" i="20"/>
  <c r="I17" i="30"/>
  <c r="M17" i="20"/>
  <c r="M15" i="20"/>
  <c r="AE15" i="20"/>
  <c r="AA17" i="30"/>
  <c r="AE17" i="20"/>
  <c r="E17" i="30"/>
  <c r="I17" i="20"/>
  <c r="I15" i="20"/>
  <c r="AB17" i="30"/>
  <c r="AF15" i="20"/>
  <c r="AF17" i="20"/>
  <c r="Q17" i="30"/>
  <c r="U17" i="20"/>
  <c r="U15" i="20"/>
  <c r="D17" i="30"/>
  <c r="H17" i="20"/>
  <c r="H15" i="20"/>
  <c r="W15" i="20"/>
  <c r="S17" i="30"/>
  <c r="W17" i="20"/>
  <c r="AC9" i="12"/>
  <c r="AC12" i="12"/>
  <c r="U81" i="27"/>
  <c r="U88" i="27"/>
  <c r="M81" i="27"/>
  <c r="M88" i="27"/>
  <c r="Z88" i="27"/>
  <c r="Z81" i="27"/>
  <c r="J88" i="27"/>
  <c r="J81" i="27"/>
  <c r="E81" i="27"/>
  <c r="E88" i="27"/>
  <c r="C81" i="27"/>
  <c r="C88" i="27"/>
  <c r="AA81" i="27"/>
  <c r="AA88" i="27"/>
  <c r="S81" i="27"/>
  <c r="S88" i="27"/>
  <c r="R88" i="27"/>
  <c r="R81" i="27"/>
  <c r="K88" i="27"/>
  <c r="K81" i="27"/>
  <c r="R22" i="19"/>
  <c r="G42" i="19"/>
  <c r="G86" i="19" s="1"/>
  <c r="G79" i="19"/>
  <c r="X27" i="19"/>
  <c r="X71" i="19" s="1"/>
  <c r="X75" i="19" s="1"/>
  <c r="M22" i="19"/>
  <c r="L43" i="19"/>
  <c r="L87" i="19" s="1"/>
  <c r="M34" i="19"/>
  <c r="M38" i="19" s="1"/>
  <c r="M71" i="19"/>
  <c r="M75" i="19" s="1"/>
  <c r="AD27" i="19"/>
  <c r="AD22" i="19"/>
  <c r="O36" i="19"/>
  <c r="O73" i="19"/>
  <c r="AA27" i="19"/>
  <c r="AA22" i="19"/>
  <c r="K36" i="19"/>
  <c r="K73" i="19"/>
  <c r="L27" i="19"/>
  <c r="L22" i="19"/>
  <c r="Q60" i="19"/>
  <c r="N84" i="17"/>
  <c r="N83" i="17"/>
  <c r="N86" i="17"/>
  <c r="AC27" i="19"/>
  <c r="AC22" i="19"/>
  <c r="G27" i="19"/>
  <c r="G22" i="19"/>
  <c r="W43" i="19"/>
  <c r="W87" i="19" s="1"/>
  <c r="W80" i="19"/>
  <c r="AB27" i="19"/>
  <c r="K27" i="19"/>
  <c r="K22" i="19"/>
  <c r="Y80" i="19"/>
  <c r="Y43" i="19"/>
  <c r="Y87" i="19" s="1"/>
  <c r="Z80" i="19"/>
  <c r="Z43" i="19"/>
  <c r="Z87" i="19" s="1"/>
  <c r="H27" i="19"/>
  <c r="H22" i="19"/>
  <c r="V27" i="19"/>
  <c r="V22" i="19"/>
  <c r="AE36" i="19"/>
  <c r="AE73" i="19"/>
  <c r="R80" i="19"/>
  <c r="R43" i="19"/>
  <c r="R87" i="19" s="1"/>
  <c r="W60" i="19"/>
  <c r="T84" i="17"/>
  <c r="T85" i="17"/>
  <c r="X39" i="21" s="1"/>
  <c r="T83" i="17"/>
  <c r="P27" i="19"/>
  <c r="P22" i="19"/>
  <c r="V73" i="19"/>
  <c r="V36" i="19"/>
  <c r="V80" i="19" s="1"/>
  <c r="P80" i="19"/>
  <c r="P43" i="19"/>
  <c r="P87" i="19" s="1"/>
  <c r="AD42" i="19"/>
  <c r="AD86" i="19" s="1"/>
  <c r="AD79" i="19"/>
  <c r="R34" i="19"/>
  <c r="R71" i="19"/>
  <c r="T86" i="17"/>
  <c r="I43" i="19"/>
  <c r="I87" i="19" s="1"/>
  <c r="I80" i="19"/>
  <c r="N16" i="19"/>
  <c r="N29" i="19" s="1"/>
  <c r="N58" i="19"/>
  <c r="N13" i="19" s="1"/>
  <c r="J42" i="19"/>
  <c r="J86" i="19" s="1"/>
  <c r="J79" i="19"/>
  <c r="S27" i="19"/>
  <c r="S22" i="19"/>
  <c r="T72" i="19"/>
  <c r="I27" i="19"/>
  <c r="I22" i="19"/>
  <c r="G80" i="19"/>
  <c r="G43" i="19"/>
  <c r="G87" i="19" s="1"/>
  <c r="F80" i="19"/>
  <c r="F43" i="19"/>
  <c r="F87" i="19" s="1"/>
  <c r="U27" i="19"/>
  <c r="U22" i="19"/>
  <c r="F27" i="19"/>
  <c r="F22" i="19"/>
  <c r="T27" i="19"/>
  <c r="T22" i="19"/>
  <c r="I72" i="19"/>
  <c r="I35" i="19"/>
  <c r="H80" i="19"/>
  <c r="H43" i="19"/>
  <c r="H87" i="19" s="1"/>
  <c r="X43" i="19"/>
  <c r="X87" i="19" s="1"/>
  <c r="X80" i="19"/>
  <c r="O27" i="19"/>
  <c r="O22" i="19"/>
  <c r="V42" i="19"/>
  <c r="V86" i="19" s="1"/>
  <c r="V79" i="19"/>
  <c r="N42" i="19"/>
  <c r="N86" i="19" s="1"/>
  <c r="N79" i="19"/>
  <c r="AD43" i="19"/>
  <c r="AD87" i="19" s="1"/>
  <c r="AD80" i="19"/>
  <c r="T43" i="19"/>
  <c r="T80" i="19"/>
  <c r="D14" i="30" l="1"/>
  <c r="F14" i="30"/>
  <c r="J14" i="30"/>
  <c r="V14" i="30"/>
  <c r="X21" i="30"/>
  <c r="R21" i="30"/>
  <c r="L21" i="30"/>
  <c r="K14" i="30"/>
  <c r="O14" i="30"/>
  <c r="E21" i="30"/>
  <c r="P21" i="30"/>
  <c r="I14" i="30"/>
  <c r="E14" i="30"/>
  <c r="L14" i="30"/>
  <c r="U14" i="30"/>
  <c r="R14" i="30"/>
  <c r="W14" i="30"/>
  <c r="C21" i="30"/>
  <c r="AA21" i="30"/>
  <c r="G14" i="30"/>
  <c r="O21" i="30"/>
  <c r="S21" i="30"/>
  <c r="H21" i="30"/>
  <c r="D21" i="30"/>
  <c r="AA14" i="30"/>
  <c r="Z14" i="30"/>
  <c r="C14" i="30"/>
  <c r="J21" i="30"/>
  <c r="N14" i="30"/>
  <c r="M21" i="30"/>
  <c r="I21" i="30"/>
  <c r="Q14" i="30"/>
  <c r="S14" i="30"/>
  <c r="AB14" i="30"/>
  <c r="T14" i="30"/>
  <c r="M14" i="30"/>
  <c r="K21" i="30"/>
  <c r="M78" i="19"/>
  <c r="M82" i="19" s="1"/>
  <c r="J71" i="19"/>
  <c r="J75" i="19" s="1"/>
  <c r="J34" i="19"/>
  <c r="J22" i="19"/>
  <c r="AB22" i="19"/>
  <c r="R75" i="19"/>
  <c r="M41" i="19"/>
  <c r="M85" i="19" s="1"/>
  <c r="M88" i="19" s="1"/>
  <c r="AB72" i="19"/>
  <c r="AB35" i="19"/>
  <c r="AB89" i="17"/>
  <c r="AB90" i="17" s="1"/>
  <c r="AF9" i="21"/>
  <c r="R16" i="31"/>
  <c r="R33" i="31"/>
  <c r="T89" i="17"/>
  <c r="T90" i="17" s="1"/>
  <c r="X9" i="21"/>
  <c r="Y15" i="19"/>
  <c r="Y28" i="19" s="1"/>
  <c r="Y58" i="19"/>
  <c r="Y13" i="19" s="1"/>
  <c r="V89" i="17"/>
  <c r="V90" i="17" s="1"/>
  <c r="Z9" i="21"/>
  <c r="W24" i="30"/>
  <c r="AA17" i="21"/>
  <c r="AA15" i="21"/>
  <c r="Q16" i="31"/>
  <c r="Q33" i="31" s="1"/>
  <c r="N89" i="17"/>
  <c r="N90" i="17" s="1"/>
  <c r="R9" i="21"/>
  <c r="AE60" i="19"/>
  <c r="S42" i="19"/>
  <c r="S86" i="19" s="1"/>
  <c r="S79" i="19"/>
  <c r="AB84" i="17"/>
  <c r="AB85" i="17"/>
  <c r="AF39" i="21" s="1"/>
  <c r="X45" i="21"/>
  <c r="X47" i="21"/>
  <c r="U18" i="31"/>
  <c r="AA34" i="31"/>
  <c r="AA32" i="31"/>
  <c r="AA31" i="31"/>
  <c r="W18" i="31"/>
  <c r="Z47" i="21"/>
  <c r="Z45" i="21"/>
  <c r="R42" i="19"/>
  <c r="R86" i="19" s="1"/>
  <c r="R79" i="19"/>
  <c r="AB86" i="17"/>
  <c r="Z27" i="19"/>
  <c r="Z22" i="19"/>
  <c r="G24" i="30"/>
  <c r="K17" i="21"/>
  <c r="K15" i="21"/>
  <c r="F24" i="30"/>
  <c r="J15" i="21"/>
  <c r="J17" i="21"/>
  <c r="Z18" i="31"/>
  <c r="AC45" i="21"/>
  <c r="AC47" i="21"/>
  <c r="Z35" i="19"/>
  <c r="Z72" i="19"/>
  <c r="Y89" i="17"/>
  <c r="Y90" i="17" s="1"/>
  <c r="AC9" i="21"/>
  <c r="Z24" i="30"/>
  <c r="AD17" i="21"/>
  <c r="AD15" i="21"/>
  <c r="Q89" i="17"/>
  <c r="Q90" i="17" s="1"/>
  <c r="U9" i="21"/>
  <c r="X34" i="19"/>
  <c r="X78" i="19" s="1"/>
  <c r="X82" i="19" s="1"/>
  <c r="X31" i="19"/>
  <c r="V43" i="19"/>
  <c r="V87" i="19" s="1"/>
  <c r="AD9" i="12"/>
  <c r="AD12" i="12"/>
  <c r="J78" i="19"/>
  <c r="J82" i="19" s="1"/>
  <c r="J41" i="19"/>
  <c r="J38" i="19"/>
  <c r="AD31" i="19"/>
  <c r="AD34" i="19"/>
  <c r="AD71" i="19"/>
  <c r="AD75" i="19" s="1"/>
  <c r="T42" i="19"/>
  <c r="T86" i="19" s="1"/>
  <c r="T79" i="19"/>
  <c r="T34" i="19"/>
  <c r="T71" i="19"/>
  <c r="T75" i="19" s="1"/>
  <c r="T31" i="19"/>
  <c r="S71" i="19"/>
  <c r="S75" i="19" s="1"/>
  <c r="S34" i="19"/>
  <c r="S31" i="19"/>
  <c r="W15" i="19"/>
  <c r="W28" i="19" s="1"/>
  <c r="W58" i="19"/>
  <c r="W13" i="19" s="1"/>
  <c r="H31" i="19"/>
  <c r="H71" i="19"/>
  <c r="H75" i="19" s="1"/>
  <c r="H34" i="19"/>
  <c r="K71" i="19"/>
  <c r="K75" i="19" s="1"/>
  <c r="K34" i="19"/>
  <c r="K31" i="19"/>
  <c r="G31" i="19"/>
  <c r="G71" i="19"/>
  <c r="G75" i="19" s="1"/>
  <c r="G34" i="19"/>
  <c r="Q15" i="19"/>
  <c r="Q28" i="19" s="1"/>
  <c r="Q58" i="19"/>
  <c r="Q13" i="19" s="1"/>
  <c r="K43" i="19"/>
  <c r="K87" i="19" s="1"/>
  <c r="K80" i="19"/>
  <c r="V31" i="19"/>
  <c r="V71" i="19"/>
  <c r="V75" i="19" s="1"/>
  <c r="V34" i="19"/>
  <c r="F31" i="19"/>
  <c r="F34" i="19"/>
  <c r="F71" i="19"/>
  <c r="F75" i="19" s="1"/>
  <c r="AB34" i="19"/>
  <c r="AB71" i="19"/>
  <c r="AB75" i="19" s="1"/>
  <c r="AB31" i="19"/>
  <c r="AC34" i="19"/>
  <c r="AC71" i="19"/>
  <c r="AC75" i="19" s="1"/>
  <c r="AC31" i="19"/>
  <c r="AA71" i="19"/>
  <c r="AA75" i="19" s="1"/>
  <c r="AA34" i="19"/>
  <c r="AA31" i="19"/>
  <c r="U34" i="19"/>
  <c r="U71" i="19"/>
  <c r="U75" i="19" s="1"/>
  <c r="U31" i="19"/>
  <c r="N27" i="19"/>
  <c r="N22" i="19"/>
  <c r="R78" i="19"/>
  <c r="R41" i="19"/>
  <c r="R38" i="19"/>
  <c r="L34" i="19"/>
  <c r="L71" i="19"/>
  <c r="L75" i="19" s="1"/>
  <c r="L31" i="19"/>
  <c r="I79" i="19"/>
  <c r="I42" i="19"/>
  <c r="I86" i="19" s="1"/>
  <c r="I34" i="19"/>
  <c r="I71" i="19"/>
  <c r="I75" i="19" s="1"/>
  <c r="I31" i="19"/>
  <c r="N73" i="19"/>
  <c r="N36" i="19"/>
  <c r="P34" i="19"/>
  <c r="P31" i="19"/>
  <c r="P71" i="19"/>
  <c r="P75" i="19" s="1"/>
  <c r="AE43" i="19"/>
  <c r="AE87" i="19" s="1"/>
  <c r="AE80" i="19"/>
  <c r="M44" i="19"/>
  <c r="O31" i="19"/>
  <c r="O71" i="19"/>
  <c r="O75" i="19" s="1"/>
  <c r="O34" i="19"/>
  <c r="O80" i="19"/>
  <c r="O43" i="19"/>
  <c r="O87" i="19" s="1"/>
  <c r="T87" i="19"/>
  <c r="G21" i="30" l="1"/>
  <c r="F21" i="30"/>
  <c r="W21" i="30"/>
  <c r="Z21" i="30"/>
  <c r="AB42" i="19"/>
  <c r="AB86" i="19" s="1"/>
  <c r="AB79" i="19"/>
  <c r="R82" i="19"/>
  <c r="AC18" i="31"/>
  <c r="AF45" i="21"/>
  <c r="AF47" i="21"/>
  <c r="Q34" i="31"/>
  <c r="Q32" i="31"/>
  <c r="Q31" i="31"/>
  <c r="T24" i="30"/>
  <c r="X15" i="21"/>
  <c r="X17" i="21"/>
  <c r="W16" i="31"/>
  <c r="W33" i="31" s="1"/>
  <c r="X38" i="19"/>
  <c r="X41" i="19"/>
  <c r="X85" i="19" s="1"/>
  <c r="X88" i="19" s="1"/>
  <c r="Q24" i="30"/>
  <c r="U17" i="21"/>
  <c r="U15" i="21"/>
  <c r="Z42" i="19"/>
  <c r="Z86" i="19" s="1"/>
  <c r="Z79" i="19"/>
  <c r="Z16" i="31"/>
  <c r="Z33" i="31"/>
  <c r="Z34" i="19"/>
  <c r="Z71" i="19"/>
  <c r="Z75" i="19" s="1"/>
  <c r="Z31" i="19"/>
  <c r="R32" i="31"/>
  <c r="R34" i="31"/>
  <c r="R31" i="31"/>
  <c r="AE58" i="19"/>
  <c r="AE13" i="19" s="1"/>
  <c r="AE15" i="19"/>
  <c r="AE28" i="19" s="1"/>
  <c r="V24" i="30"/>
  <c r="Z15" i="21"/>
  <c r="Z17" i="21"/>
  <c r="AB24" i="30"/>
  <c r="AF15" i="21"/>
  <c r="AF17" i="21"/>
  <c r="Y22" i="19"/>
  <c r="Y27" i="19"/>
  <c r="Y35" i="19"/>
  <c r="Y72" i="19"/>
  <c r="Y24" i="30"/>
  <c r="AC15" i="21"/>
  <c r="AC17" i="21"/>
  <c r="U16" i="31"/>
  <c r="U33" i="31" s="1"/>
  <c r="N24" i="30"/>
  <c r="R15" i="21"/>
  <c r="R17" i="21"/>
  <c r="AE9" i="12"/>
  <c r="AE12" i="12"/>
  <c r="AD78" i="19"/>
  <c r="AD82" i="19" s="1"/>
  <c r="AD41" i="19"/>
  <c r="AD38" i="19"/>
  <c r="J44" i="19"/>
  <c r="J85" i="19"/>
  <c r="J88" i="19" s="1"/>
  <c r="G38" i="19"/>
  <c r="G78" i="19"/>
  <c r="G82" i="19" s="1"/>
  <c r="G41" i="19"/>
  <c r="N80" i="19"/>
  <c r="N43" i="19"/>
  <c r="N87" i="19" s="1"/>
  <c r="N71" i="19"/>
  <c r="N75" i="19" s="1"/>
  <c r="N34" i="19"/>
  <c r="N31" i="19"/>
  <c r="Q35" i="19"/>
  <c r="Q72" i="19"/>
  <c r="AC78" i="19"/>
  <c r="AC82" i="19" s="1"/>
  <c r="AC41" i="19"/>
  <c r="AC38" i="19"/>
  <c r="W35" i="19"/>
  <c r="W72" i="19"/>
  <c r="W27" i="19"/>
  <c r="W22" i="19"/>
  <c r="AB78" i="19"/>
  <c r="AB82" i="19" s="1"/>
  <c r="AB41" i="19"/>
  <c r="AB38" i="19"/>
  <c r="V41" i="19"/>
  <c r="V38" i="19"/>
  <c r="V78" i="19"/>
  <c r="V82" i="19" s="1"/>
  <c r="O38" i="19"/>
  <c r="O41" i="19"/>
  <c r="O78" i="19"/>
  <c r="O82" i="19" s="1"/>
  <c r="R85" i="19"/>
  <c r="R88" i="19" s="1"/>
  <c r="R44" i="19"/>
  <c r="AA41" i="19"/>
  <c r="AA38" i="19"/>
  <c r="AA78" i="19"/>
  <c r="AA82" i="19" s="1"/>
  <c r="K78" i="19"/>
  <c r="K82" i="19" s="1"/>
  <c r="K38" i="19"/>
  <c r="K41" i="19"/>
  <c r="S41" i="19"/>
  <c r="S78" i="19"/>
  <c r="S82" i="19" s="1"/>
  <c r="S38" i="19"/>
  <c r="T78" i="19"/>
  <c r="T82" i="19" s="1"/>
  <c r="T41" i="19"/>
  <c r="T38" i="19"/>
  <c r="L78" i="19"/>
  <c r="L82" i="19" s="1"/>
  <c r="L41" i="19"/>
  <c r="L38" i="19"/>
  <c r="U78" i="19"/>
  <c r="U82" i="19" s="1"/>
  <c r="U41" i="19"/>
  <c r="U38" i="19"/>
  <c r="I78" i="19"/>
  <c r="I82" i="19" s="1"/>
  <c r="I41" i="19"/>
  <c r="I38" i="19"/>
  <c r="P38" i="19"/>
  <c r="P41" i="19"/>
  <c r="P78" i="19"/>
  <c r="P82" i="19" s="1"/>
  <c r="F41" i="19"/>
  <c r="F38" i="19"/>
  <c r="F78" i="19"/>
  <c r="F82" i="19" s="1"/>
  <c r="Q27" i="19"/>
  <c r="Q22" i="19"/>
  <c r="H38" i="19"/>
  <c r="H78" i="19"/>
  <c r="H82" i="19" s="1"/>
  <c r="H41" i="19"/>
  <c r="V21" i="30" l="1"/>
  <c r="N21" i="30"/>
  <c r="Q21" i="30"/>
  <c r="T21" i="30"/>
  <c r="AB21" i="30"/>
  <c r="Y21" i="30"/>
  <c r="X44" i="19"/>
  <c r="Z38" i="19"/>
  <c r="Z78" i="19"/>
  <c r="Z82" i="19" s="1"/>
  <c r="Z41" i="19"/>
  <c r="Y42" i="19"/>
  <c r="Y86" i="19" s="1"/>
  <c r="Y79" i="19"/>
  <c r="Y34" i="19"/>
  <c r="Y31" i="19"/>
  <c r="Y71" i="19"/>
  <c r="Y75" i="19" s="1"/>
  <c r="AE35" i="19"/>
  <c r="AE72" i="19"/>
  <c r="AE22" i="19"/>
  <c r="AE27" i="19"/>
  <c r="Z32" i="31"/>
  <c r="Z31" i="31"/>
  <c r="Z34" i="31"/>
  <c r="W32" i="31"/>
  <c r="W34" i="31"/>
  <c r="W31" i="31"/>
  <c r="U32" i="31"/>
  <c r="U34" i="31"/>
  <c r="U31" i="31"/>
  <c r="AC16" i="31"/>
  <c r="AC33" i="31" s="1"/>
  <c r="AG9" i="12"/>
  <c r="AG12" i="12"/>
  <c r="AF9" i="12"/>
  <c r="AF12" i="12"/>
  <c r="AD44" i="19"/>
  <c r="AD85" i="19"/>
  <c r="AD88" i="19" s="1"/>
  <c r="AB85" i="19"/>
  <c r="AB88" i="19" s="1"/>
  <c r="AB44" i="19"/>
  <c r="Q79" i="19"/>
  <c r="Q42" i="19"/>
  <c r="Q86" i="19" s="1"/>
  <c r="G85" i="19"/>
  <c r="G88" i="19" s="1"/>
  <c r="G44" i="19"/>
  <c r="F44" i="19"/>
  <c r="F85" i="19"/>
  <c r="F88" i="19" s="1"/>
  <c r="T85" i="19"/>
  <c r="T88" i="19" s="1"/>
  <c r="T44" i="19"/>
  <c r="O44" i="19"/>
  <c r="O85" i="19"/>
  <c r="O88" i="19" s="1"/>
  <c r="U85" i="19"/>
  <c r="U88" i="19" s="1"/>
  <c r="U44" i="19"/>
  <c r="W71" i="19"/>
  <c r="W75" i="19" s="1"/>
  <c r="W34" i="19"/>
  <c r="W31" i="19"/>
  <c r="AA85" i="19"/>
  <c r="AA88" i="19" s="1"/>
  <c r="AA44" i="19"/>
  <c r="W42" i="19"/>
  <c r="W86" i="19" s="1"/>
  <c r="W79" i="19"/>
  <c r="H44" i="19"/>
  <c r="H85" i="19"/>
  <c r="H88" i="19" s="1"/>
  <c r="P44" i="19"/>
  <c r="P85" i="19"/>
  <c r="P88" i="19" s="1"/>
  <c r="N41" i="19"/>
  <c r="N38" i="19"/>
  <c r="N78" i="19"/>
  <c r="N82" i="19" s="1"/>
  <c r="I85" i="19"/>
  <c r="I88" i="19" s="1"/>
  <c r="I44" i="19"/>
  <c r="S85" i="19"/>
  <c r="S88" i="19" s="1"/>
  <c r="S44" i="19"/>
  <c r="V44" i="19"/>
  <c r="V85" i="19"/>
  <c r="V88" i="19" s="1"/>
  <c r="Q31" i="19"/>
  <c r="Q34" i="19"/>
  <c r="Q71" i="19"/>
  <c r="Q75" i="19" s="1"/>
  <c r="L85" i="19"/>
  <c r="L88" i="19" s="1"/>
  <c r="L44" i="19"/>
  <c r="K85" i="19"/>
  <c r="K88" i="19" s="1"/>
  <c r="K44" i="19"/>
  <c r="AC85" i="19"/>
  <c r="AC88" i="19" s="1"/>
  <c r="AC44" i="19"/>
  <c r="AC32" i="31" l="1"/>
  <c r="AC34" i="31"/>
  <c r="AC31" i="31"/>
  <c r="Y38" i="19"/>
  <c r="Y41" i="19"/>
  <c r="Y78" i="19"/>
  <c r="Y82" i="19" s="1"/>
  <c r="AE31" i="19"/>
  <c r="AE71" i="19"/>
  <c r="AE75" i="19" s="1"/>
  <c r="AE34" i="19"/>
  <c r="Z44" i="19"/>
  <c r="Z85" i="19"/>
  <c r="Z88" i="19" s="1"/>
  <c r="AE42" i="19"/>
  <c r="AE86" i="19" s="1"/>
  <c r="AE79" i="19"/>
  <c r="W41" i="19"/>
  <c r="W38" i="19"/>
  <c r="W78" i="19"/>
  <c r="W82" i="19" s="1"/>
  <c r="N44" i="19"/>
  <c r="N85" i="19"/>
  <c r="N88" i="19" s="1"/>
  <c r="Q78" i="19"/>
  <c r="Q82" i="19" s="1"/>
  <c r="Q38" i="19"/>
  <c r="Q41" i="19"/>
  <c r="Y85" i="19" l="1"/>
  <c r="Y88" i="19" s="1"/>
  <c r="Y44" i="19"/>
  <c r="AE78" i="19"/>
  <c r="AE82" i="19" s="1"/>
  <c r="AE41" i="19"/>
  <c r="AE38" i="19"/>
  <c r="Q85" i="19"/>
  <c r="Q88" i="19" s="1"/>
  <c r="Q44" i="19"/>
  <c r="W44" i="19"/>
  <c r="W85" i="19"/>
  <c r="W88" i="19" s="1"/>
  <c r="AE44" i="19" l="1"/>
  <c r="AE85" i="19"/>
  <c r="AE88" i="19" s="1"/>
  <c r="T49" i="9"/>
  <c r="U49" i="9" s="1"/>
  <c r="S49" i="9"/>
  <c r="S47" i="9" s="1"/>
  <c r="G58" i="9"/>
  <c r="H58" i="9"/>
  <c r="I58" i="9"/>
  <c r="J58" i="9"/>
  <c r="K58" i="9"/>
  <c r="L58" i="9"/>
  <c r="M58" i="9"/>
  <c r="N58" i="9"/>
  <c r="O58" i="9"/>
  <c r="P58" i="9"/>
  <c r="Q58" i="9"/>
  <c r="F58" i="9"/>
  <c r="T52" i="9"/>
  <c r="U52" i="9"/>
  <c r="V52" i="9"/>
  <c r="W52" i="9"/>
  <c r="X52" i="9"/>
  <c r="Y52" i="9"/>
  <c r="Z52" i="9"/>
  <c r="AA52" i="9"/>
  <c r="AB52" i="9"/>
  <c r="AC52" i="9"/>
  <c r="AD52" i="9"/>
  <c r="AE52" i="9"/>
  <c r="T54" i="9"/>
  <c r="U54" i="9"/>
  <c r="V54" i="9"/>
  <c r="W54" i="9"/>
  <c r="X54" i="9"/>
  <c r="Y54" i="9"/>
  <c r="Z54" i="9"/>
  <c r="AA54" i="9"/>
  <c r="AB54" i="9"/>
  <c r="AC54" i="9"/>
  <c r="AD54" i="9"/>
  <c r="AE54" i="9"/>
  <c r="S52" i="9"/>
  <c r="T46" i="9"/>
  <c r="U46" i="9"/>
  <c r="V46" i="9"/>
  <c r="W46" i="9"/>
  <c r="X46" i="9"/>
  <c r="Y46" i="9"/>
  <c r="Z46" i="9"/>
  <c r="AA46" i="9"/>
  <c r="AB46" i="9"/>
  <c r="AC46" i="9"/>
  <c r="AD46" i="9"/>
  <c r="AE46" i="9"/>
  <c r="S46" i="9"/>
  <c r="T50" i="9"/>
  <c r="U50" i="9" s="1"/>
  <c r="S50" i="9"/>
  <c r="T91" i="8"/>
  <c r="U91" i="8"/>
  <c r="V91" i="8"/>
  <c r="W91" i="8"/>
  <c r="X91" i="8"/>
  <c r="Y91" i="8"/>
  <c r="Z91" i="8"/>
  <c r="AA91" i="8"/>
  <c r="AB91" i="8"/>
  <c r="AC91" i="8"/>
  <c r="AD91" i="8"/>
  <c r="AE91" i="8"/>
  <c r="S91" i="8"/>
  <c r="AE87" i="8"/>
  <c r="AE84" i="8" s="1"/>
  <c r="T87" i="8"/>
  <c r="U87" i="8" s="1"/>
  <c r="S87" i="8"/>
  <c r="S84" i="8" s="1"/>
  <c r="G103" i="8"/>
  <c r="H103" i="8"/>
  <c r="I103" i="8"/>
  <c r="J103" i="8"/>
  <c r="K103" i="8"/>
  <c r="L103" i="8"/>
  <c r="M103" i="8"/>
  <c r="N103" i="8"/>
  <c r="O103" i="8"/>
  <c r="P103" i="8"/>
  <c r="Q103" i="8"/>
  <c r="F103" i="8"/>
  <c r="T83" i="8"/>
  <c r="U83" i="8"/>
  <c r="V83" i="8"/>
  <c r="W83" i="8"/>
  <c r="X83" i="8"/>
  <c r="Y83" i="8"/>
  <c r="Z83" i="8"/>
  <c r="AA83" i="8"/>
  <c r="AB83" i="8"/>
  <c r="AC83" i="8"/>
  <c r="AD83" i="8"/>
  <c r="AE83" i="8"/>
  <c r="S83" i="8"/>
  <c r="G96" i="8"/>
  <c r="R98" i="8" s="1"/>
  <c r="S73" i="8" s="1"/>
  <c r="H96" i="8"/>
  <c r="I96" i="8"/>
  <c r="J96" i="8"/>
  <c r="K96" i="8"/>
  <c r="L96" i="8"/>
  <c r="M96" i="8"/>
  <c r="N96" i="8"/>
  <c r="O96" i="8"/>
  <c r="P96" i="8"/>
  <c r="Q96" i="8"/>
  <c r="T70" i="8"/>
  <c r="U70" i="8"/>
  <c r="V70" i="8"/>
  <c r="W70" i="8"/>
  <c r="X70" i="8"/>
  <c r="Y70" i="8"/>
  <c r="Z70" i="8"/>
  <c r="AA70" i="8"/>
  <c r="AB70" i="8"/>
  <c r="AC70" i="8"/>
  <c r="AD70" i="8"/>
  <c r="AE70" i="8"/>
  <c r="S70" i="8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S14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S13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S12" i="10"/>
  <c r="AE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R26" i="10"/>
  <c r="G24" i="10"/>
  <c r="H24" i="10"/>
  <c r="I24" i="10"/>
  <c r="J24" i="10"/>
  <c r="K24" i="10"/>
  <c r="L24" i="10"/>
  <c r="M24" i="10"/>
  <c r="N24" i="10"/>
  <c r="O24" i="10"/>
  <c r="P24" i="10"/>
  <c r="Q24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R22" i="10"/>
  <c r="R64" i="3"/>
  <c r="Q64" i="3"/>
  <c r="P64" i="3"/>
  <c r="AB64" i="3"/>
  <c r="S64" i="3"/>
  <c r="T64" i="3"/>
  <c r="U64" i="3"/>
  <c r="V64" i="3"/>
  <c r="W64" i="3"/>
  <c r="X64" i="3"/>
  <c r="Y64" i="3"/>
  <c r="Z64" i="3"/>
  <c r="AA64" i="3"/>
  <c r="T49" i="2"/>
  <c r="T50" i="2"/>
  <c r="U50" i="2" s="1"/>
  <c r="U54" i="2" s="1"/>
  <c r="T51" i="2"/>
  <c r="T52" i="2"/>
  <c r="T53" i="2"/>
  <c r="T54" i="2"/>
  <c r="Q65" i="3"/>
  <c r="Q69" i="3" s="1"/>
  <c r="R65" i="3"/>
  <c r="S65" i="3" s="1"/>
  <c r="P65" i="3"/>
  <c r="N76" i="3"/>
  <c r="M76" i="3"/>
  <c r="L76" i="3"/>
  <c r="K76" i="3"/>
  <c r="J76" i="3"/>
  <c r="I76" i="3"/>
  <c r="H76" i="3"/>
  <c r="G76" i="3"/>
  <c r="F76" i="3"/>
  <c r="E76" i="3"/>
  <c r="D76" i="3"/>
  <c r="C76" i="3"/>
  <c r="O78" i="3" s="1"/>
  <c r="Q67" i="3"/>
  <c r="Q71" i="3" s="1"/>
  <c r="P67" i="3"/>
  <c r="P66" i="3"/>
  <c r="P70" i="3" s="1"/>
  <c r="U49" i="2"/>
  <c r="V49" i="2" s="1"/>
  <c r="W49" i="2" s="1"/>
  <c r="X49" i="2" s="1"/>
  <c r="Y49" i="2" s="1"/>
  <c r="Z49" i="2" s="1"/>
  <c r="AA49" i="2" s="1"/>
  <c r="AB49" i="2" s="1"/>
  <c r="AC49" i="2" s="1"/>
  <c r="AD49" i="2" s="1"/>
  <c r="AE49" i="2" s="1"/>
  <c r="AF49" i="2" s="1"/>
  <c r="AF53" i="2" s="1"/>
  <c r="U47" i="2"/>
  <c r="U51" i="2" s="1"/>
  <c r="V47" i="2"/>
  <c r="W47" i="2"/>
  <c r="X47" i="2" s="1"/>
  <c r="Y47" i="2" s="1"/>
  <c r="Z47" i="2" s="1"/>
  <c r="AA47" i="2" s="1"/>
  <c r="AB47" i="2" s="1"/>
  <c r="AC47" i="2" s="1"/>
  <c r="AD47" i="2" s="1"/>
  <c r="AE47" i="2" s="1"/>
  <c r="AF47" i="2" s="1"/>
  <c r="AF51" i="2" s="1"/>
  <c r="T47" i="2"/>
  <c r="U52" i="2"/>
  <c r="V52" i="2"/>
  <c r="W52" i="2"/>
  <c r="X52" i="2"/>
  <c r="Y52" i="2"/>
  <c r="Z52" i="2"/>
  <c r="AA52" i="2"/>
  <c r="AB52" i="2"/>
  <c r="AC52" i="2"/>
  <c r="AD52" i="2"/>
  <c r="AE52" i="2"/>
  <c r="AF52" i="2"/>
  <c r="S52" i="5"/>
  <c r="T52" i="5"/>
  <c r="U52" i="5"/>
  <c r="V52" i="5"/>
  <c r="W52" i="5"/>
  <c r="X52" i="5"/>
  <c r="Y52" i="5"/>
  <c r="Z52" i="5"/>
  <c r="AA52" i="5"/>
  <c r="AB52" i="5"/>
  <c r="AC52" i="5"/>
  <c r="AD52" i="5"/>
  <c r="R52" i="5"/>
  <c r="F65" i="5"/>
  <c r="G65" i="5"/>
  <c r="H65" i="5"/>
  <c r="I65" i="5"/>
  <c r="J65" i="5"/>
  <c r="K65" i="5"/>
  <c r="L65" i="5"/>
  <c r="M65" i="5"/>
  <c r="N65" i="5"/>
  <c r="O65" i="5"/>
  <c r="P65" i="5"/>
  <c r="E65" i="5"/>
  <c r="S77" i="8" l="1"/>
  <c r="S71" i="8"/>
  <c r="S75" i="8" s="1"/>
  <c r="T73" i="8"/>
  <c r="U53" i="9"/>
  <c r="V49" i="9"/>
  <c r="U47" i="9"/>
  <c r="U51" i="9" s="1"/>
  <c r="T47" i="9"/>
  <c r="T51" i="9" s="1"/>
  <c r="T53" i="9"/>
  <c r="S53" i="9"/>
  <c r="R60" i="9"/>
  <c r="S54" i="9"/>
  <c r="V50" i="9"/>
  <c r="S51" i="9"/>
  <c r="U84" i="8"/>
  <c r="V87" i="8"/>
  <c r="T84" i="8"/>
  <c r="T88" i="8" s="1"/>
  <c r="R105" i="8"/>
  <c r="S88" i="8"/>
  <c r="S90" i="8"/>
  <c r="T90" i="8"/>
  <c r="T77" i="8"/>
  <c r="S69" i="3"/>
  <c r="T65" i="3"/>
  <c r="R69" i="3"/>
  <c r="P69" i="3"/>
  <c r="P71" i="3"/>
  <c r="Q68" i="3"/>
  <c r="R67" i="3"/>
  <c r="Q66" i="3"/>
  <c r="P68" i="3"/>
  <c r="V50" i="2"/>
  <c r="W50" i="2" s="1"/>
  <c r="X50" i="2" s="1"/>
  <c r="Y50" i="2" s="1"/>
  <c r="Z50" i="2" s="1"/>
  <c r="AA50" i="2" s="1"/>
  <c r="AB50" i="2" s="1"/>
  <c r="AC50" i="2" s="1"/>
  <c r="AD50" i="2" s="1"/>
  <c r="AE50" i="2" s="1"/>
  <c r="AF50" i="2" s="1"/>
  <c r="AF54" i="2" s="1"/>
  <c r="V53" i="2"/>
  <c r="V51" i="2"/>
  <c r="U53" i="2"/>
  <c r="Q67" i="5"/>
  <c r="R54" i="5" s="1"/>
  <c r="R58" i="5" s="1"/>
  <c r="U43" i="13" l="1"/>
  <c r="U73" i="8"/>
  <c r="T71" i="8"/>
  <c r="T75" i="8" s="1"/>
  <c r="T11" i="13"/>
  <c r="T43" i="13"/>
  <c r="V53" i="9"/>
  <c r="W49" i="9"/>
  <c r="V47" i="9"/>
  <c r="V51" i="9" s="1"/>
  <c r="W50" i="9"/>
  <c r="V84" i="8"/>
  <c r="W87" i="8"/>
  <c r="U88" i="8"/>
  <c r="U90" i="8"/>
  <c r="U77" i="8"/>
  <c r="T69" i="3"/>
  <c r="U65" i="3"/>
  <c r="R68" i="3"/>
  <c r="Q70" i="3"/>
  <c r="R66" i="3"/>
  <c r="R71" i="3"/>
  <c r="S67" i="3"/>
  <c r="V54" i="2"/>
  <c r="W54" i="2"/>
  <c r="W51" i="2"/>
  <c r="W53" i="2"/>
  <c r="X54" i="2"/>
  <c r="R56" i="5"/>
  <c r="S54" i="5"/>
  <c r="V43" i="13" l="1"/>
  <c r="T49" i="13"/>
  <c r="T17" i="13"/>
  <c r="P12" i="30"/>
  <c r="U11" i="13"/>
  <c r="V73" i="8"/>
  <c r="U71" i="8"/>
  <c r="U75" i="8" s="1"/>
  <c r="U49" i="13"/>
  <c r="W53" i="9"/>
  <c r="X49" i="9"/>
  <c r="W47" i="9"/>
  <c r="W51" i="9" s="1"/>
  <c r="X50" i="9"/>
  <c r="W84" i="8"/>
  <c r="X87" i="8"/>
  <c r="V88" i="8"/>
  <c r="V90" i="8"/>
  <c r="V77" i="8"/>
  <c r="V65" i="3"/>
  <c r="U69" i="3"/>
  <c r="S71" i="3"/>
  <c r="T67" i="3"/>
  <c r="S66" i="3"/>
  <c r="R70" i="3"/>
  <c r="S68" i="3"/>
  <c r="X53" i="2"/>
  <c r="Y54" i="2"/>
  <c r="X51" i="2"/>
  <c r="S56" i="5"/>
  <c r="T54" i="5"/>
  <c r="S58" i="5"/>
  <c r="W43" i="13" l="1"/>
  <c r="V11" i="13"/>
  <c r="W73" i="8"/>
  <c r="V71" i="8"/>
  <c r="V75" i="8" s="1"/>
  <c r="U17" i="13"/>
  <c r="Q12" i="30"/>
  <c r="V49" i="13"/>
  <c r="Y49" i="9"/>
  <c r="X53" i="9"/>
  <c r="X47" i="9"/>
  <c r="X51" i="9" s="1"/>
  <c r="Y50" i="9"/>
  <c r="X84" i="8"/>
  <c r="Y87" i="8"/>
  <c r="W88" i="8"/>
  <c r="W90" i="8"/>
  <c r="W77" i="8"/>
  <c r="V69" i="3"/>
  <c r="W65" i="3"/>
  <c r="T68" i="3"/>
  <c r="T66" i="3"/>
  <c r="S70" i="3"/>
  <c r="T71" i="3"/>
  <c r="U67" i="3"/>
  <c r="Y51" i="2"/>
  <c r="Z54" i="2"/>
  <c r="Y53" i="2"/>
  <c r="T58" i="5"/>
  <c r="U54" i="5"/>
  <c r="T56" i="5"/>
  <c r="X43" i="13" l="1"/>
  <c r="W11" i="13"/>
  <c r="X73" i="8"/>
  <c r="W71" i="8"/>
  <c r="W75" i="8" s="1"/>
  <c r="V17" i="13"/>
  <c r="R12" i="30"/>
  <c r="W49" i="13"/>
  <c r="Y47" i="9"/>
  <c r="Y51" i="9" s="1"/>
  <c r="Y53" i="9"/>
  <c r="Z49" i="9"/>
  <c r="Z50" i="9"/>
  <c r="Y84" i="8"/>
  <c r="Z87" i="8"/>
  <c r="X88" i="8"/>
  <c r="X90" i="8"/>
  <c r="X77" i="8"/>
  <c r="W69" i="3"/>
  <c r="X65" i="3"/>
  <c r="V67" i="3"/>
  <c r="U71" i="3"/>
  <c r="U66" i="3"/>
  <c r="T70" i="3"/>
  <c r="U68" i="3"/>
  <c r="Z53" i="2"/>
  <c r="Z51" i="2"/>
  <c r="AA54" i="2"/>
  <c r="U58" i="5"/>
  <c r="V54" i="5"/>
  <c r="U56" i="5"/>
  <c r="Y43" i="13" l="1"/>
  <c r="X11" i="13"/>
  <c r="Y73" i="8"/>
  <c r="X71" i="8"/>
  <c r="X75" i="8" s="1"/>
  <c r="W17" i="13"/>
  <c r="S12" i="30"/>
  <c r="X49" i="13"/>
  <c r="Z47" i="9"/>
  <c r="Z51" i="9" s="1"/>
  <c r="Z53" i="9"/>
  <c r="AA49" i="9"/>
  <c r="AA50" i="9"/>
  <c r="Z84" i="8"/>
  <c r="AA87" i="8"/>
  <c r="Y88" i="8"/>
  <c r="Y90" i="8"/>
  <c r="Y77" i="8"/>
  <c r="Y65" i="3"/>
  <c r="X69" i="3"/>
  <c r="W67" i="3"/>
  <c r="V71" i="3"/>
  <c r="U70" i="3"/>
  <c r="V66" i="3"/>
  <c r="V68" i="3"/>
  <c r="AB54" i="2"/>
  <c r="AA51" i="2"/>
  <c r="AA53" i="2"/>
  <c r="V56" i="5"/>
  <c r="V58" i="5"/>
  <c r="W54" i="5"/>
  <c r="T64" i="6"/>
  <c r="U64" i="6"/>
  <c r="V64" i="6"/>
  <c r="W64" i="6"/>
  <c r="X64" i="6"/>
  <c r="Y64" i="6"/>
  <c r="Z64" i="6"/>
  <c r="AA64" i="6"/>
  <c r="AB64" i="6"/>
  <c r="AC64" i="6"/>
  <c r="AD64" i="6"/>
  <c r="T65" i="6"/>
  <c r="U65" i="6"/>
  <c r="V65" i="6"/>
  <c r="W65" i="6"/>
  <c r="X65" i="6"/>
  <c r="Y65" i="6"/>
  <c r="Z65" i="6"/>
  <c r="AA65" i="6"/>
  <c r="AB65" i="6"/>
  <c r="AC65" i="6"/>
  <c r="AD65" i="6"/>
  <c r="T66" i="6"/>
  <c r="U66" i="6"/>
  <c r="V66" i="6"/>
  <c r="W66" i="6"/>
  <c r="X66" i="6"/>
  <c r="Y66" i="6"/>
  <c r="Z66" i="6"/>
  <c r="AA66" i="6"/>
  <c r="AB66" i="6"/>
  <c r="AC66" i="6"/>
  <c r="AD66" i="6"/>
  <c r="T60" i="6"/>
  <c r="U60" i="6"/>
  <c r="V60" i="6"/>
  <c r="W60" i="6"/>
  <c r="X60" i="6"/>
  <c r="Y60" i="6"/>
  <c r="Z60" i="6"/>
  <c r="AA60" i="6"/>
  <c r="AB60" i="6"/>
  <c r="AC60" i="6"/>
  <c r="AD60" i="6"/>
  <c r="T61" i="6"/>
  <c r="U61" i="6"/>
  <c r="V61" i="6"/>
  <c r="W61" i="6"/>
  <c r="X61" i="6"/>
  <c r="Y61" i="6"/>
  <c r="Z61" i="6"/>
  <c r="AA61" i="6"/>
  <c r="AB61" i="6"/>
  <c r="AC61" i="6"/>
  <c r="AD61" i="6"/>
  <c r="T62" i="6"/>
  <c r="U62" i="6"/>
  <c r="V62" i="6"/>
  <c r="W62" i="6"/>
  <c r="X62" i="6"/>
  <c r="Y62" i="6"/>
  <c r="Z62" i="6"/>
  <c r="AA62" i="6"/>
  <c r="AB62" i="6"/>
  <c r="AC62" i="6"/>
  <c r="AD62" i="6"/>
  <c r="S66" i="6"/>
  <c r="S65" i="6"/>
  <c r="S64" i="6"/>
  <c r="S62" i="6"/>
  <c r="S61" i="6"/>
  <c r="S60" i="6"/>
  <c r="T58" i="6"/>
  <c r="U58" i="6"/>
  <c r="V58" i="6"/>
  <c r="W58" i="6"/>
  <c r="X58" i="6"/>
  <c r="Y58" i="6"/>
  <c r="Z58" i="6"/>
  <c r="AA58" i="6"/>
  <c r="AB58" i="6"/>
  <c r="AC58" i="6"/>
  <c r="AD58" i="6"/>
  <c r="S58" i="6"/>
  <c r="T67" i="6"/>
  <c r="U67" i="6"/>
  <c r="V67" i="6"/>
  <c r="W67" i="6"/>
  <c r="X67" i="6"/>
  <c r="Y67" i="6"/>
  <c r="Z67" i="6"/>
  <c r="AA67" i="6"/>
  <c r="AB67" i="6"/>
  <c r="AC67" i="6"/>
  <c r="AD67" i="6"/>
  <c r="AE67" i="6"/>
  <c r="S67" i="6"/>
  <c r="S12" i="7"/>
  <c r="T12" i="7"/>
  <c r="U12" i="7"/>
  <c r="V12" i="7"/>
  <c r="W12" i="7"/>
  <c r="X12" i="7"/>
  <c r="Y12" i="7"/>
  <c r="Z12" i="7"/>
  <c r="AA12" i="7"/>
  <c r="AB12" i="7"/>
  <c r="AC12" i="7"/>
  <c r="AD12" i="7"/>
  <c r="R12" i="7"/>
  <c r="S20" i="7"/>
  <c r="T20" i="7"/>
  <c r="U20" i="7"/>
  <c r="V20" i="7"/>
  <c r="W20" i="7"/>
  <c r="X20" i="7"/>
  <c r="Y20" i="7"/>
  <c r="Z20" i="7"/>
  <c r="AA20" i="7"/>
  <c r="AB20" i="7"/>
  <c r="AC20" i="7"/>
  <c r="AD20" i="7"/>
  <c r="R20" i="7"/>
  <c r="R31" i="7"/>
  <c r="Q31" i="7"/>
  <c r="S31" i="7"/>
  <c r="T31" i="7"/>
  <c r="U31" i="7"/>
  <c r="V31" i="7"/>
  <c r="W31" i="7"/>
  <c r="X31" i="7"/>
  <c r="Y31" i="7"/>
  <c r="Z31" i="7"/>
  <c r="AA31" i="7"/>
  <c r="AB31" i="7"/>
  <c r="AC31" i="7"/>
  <c r="AD31" i="7"/>
  <c r="Z43" i="13" l="1"/>
  <c r="Y11" i="13"/>
  <c r="Z73" i="8"/>
  <c r="Y71" i="8"/>
  <c r="Y75" i="8" s="1"/>
  <c r="X17" i="13"/>
  <c r="T12" i="30"/>
  <c r="Y49" i="13"/>
  <c r="AA47" i="9"/>
  <c r="AA51" i="9" s="1"/>
  <c r="AA53" i="9"/>
  <c r="AB49" i="9"/>
  <c r="AB50" i="9"/>
  <c r="AA84" i="8"/>
  <c r="AB87" i="8"/>
  <c r="Z90" i="8"/>
  <c r="Z88" i="8"/>
  <c r="Z77" i="8"/>
  <c r="Z65" i="3"/>
  <c r="Y69" i="3"/>
  <c r="W68" i="3"/>
  <c r="V70" i="3"/>
  <c r="W66" i="3"/>
  <c r="X67" i="3"/>
  <c r="W71" i="3"/>
  <c r="AB53" i="2"/>
  <c r="AB51" i="2"/>
  <c r="AC54" i="2"/>
  <c r="W58" i="5"/>
  <c r="W56" i="5"/>
  <c r="X54" i="5"/>
  <c r="N54" i="5"/>
  <c r="L54" i="5"/>
  <c r="J54" i="5"/>
  <c r="H54" i="5"/>
  <c r="F54" i="5"/>
  <c r="N57" i="4"/>
  <c r="L57" i="4"/>
  <c r="J57" i="4"/>
  <c r="H57" i="4"/>
  <c r="F57" i="4"/>
  <c r="G14" i="10"/>
  <c r="H14" i="10"/>
  <c r="I14" i="10"/>
  <c r="J14" i="10"/>
  <c r="K14" i="10"/>
  <c r="L14" i="10"/>
  <c r="M14" i="10"/>
  <c r="N14" i="10"/>
  <c r="O14" i="10"/>
  <c r="P14" i="10"/>
  <c r="Q14" i="10"/>
  <c r="R14" i="10"/>
  <c r="F14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H51" i="2"/>
  <c r="I51" i="2"/>
  <c r="J51" i="2"/>
  <c r="K51" i="2"/>
  <c r="L51" i="2"/>
  <c r="M51" i="2"/>
  <c r="N51" i="2"/>
  <c r="O51" i="2"/>
  <c r="P51" i="2"/>
  <c r="Q51" i="2"/>
  <c r="R51" i="2"/>
  <c r="S51" i="2"/>
  <c r="H52" i="2"/>
  <c r="I52" i="2"/>
  <c r="J52" i="2"/>
  <c r="K52" i="2"/>
  <c r="L52" i="2"/>
  <c r="M52" i="2"/>
  <c r="N52" i="2"/>
  <c r="O52" i="2"/>
  <c r="P52" i="2"/>
  <c r="Q52" i="2"/>
  <c r="R52" i="2"/>
  <c r="S52" i="2"/>
  <c r="H53" i="2"/>
  <c r="I53" i="2"/>
  <c r="J53" i="2"/>
  <c r="K53" i="2"/>
  <c r="L53" i="2"/>
  <c r="M53" i="2"/>
  <c r="N53" i="2"/>
  <c r="O53" i="2"/>
  <c r="P53" i="2"/>
  <c r="Q53" i="2"/>
  <c r="R53" i="2"/>
  <c r="S53" i="2"/>
  <c r="H54" i="2"/>
  <c r="I54" i="2"/>
  <c r="J54" i="2"/>
  <c r="K54" i="2"/>
  <c r="L54" i="2"/>
  <c r="M54" i="2"/>
  <c r="N54" i="2"/>
  <c r="O54" i="2"/>
  <c r="P54" i="2"/>
  <c r="Q54" i="2"/>
  <c r="R54" i="2"/>
  <c r="S54" i="2"/>
  <c r="G54" i="2"/>
  <c r="G53" i="2"/>
  <c r="G52" i="2"/>
  <c r="G51" i="2"/>
  <c r="H49" i="2"/>
  <c r="I49" i="2"/>
  <c r="J49" i="2"/>
  <c r="K49" i="2"/>
  <c r="L49" i="2"/>
  <c r="M49" i="2"/>
  <c r="N49" i="2"/>
  <c r="O49" i="2"/>
  <c r="P49" i="2"/>
  <c r="Q49" i="2"/>
  <c r="R49" i="2"/>
  <c r="S49" i="2"/>
  <c r="H50" i="2"/>
  <c r="I50" i="2"/>
  <c r="J50" i="2"/>
  <c r="K50" i="2"/>
  <c r="L50" i="2"/>
  <c r="M50" i="2"/>
  <c r="N50" i="2"/>
  <c r="O50" i="2"/>
  <c r="P50" i="2"/>
  <c r="Q50" i="2"/>
  <c r="R50" i="2"/>
  <c r="S50" i="2"/>
  <c r="G50" i="2"/>
  <c r="G49" i="2"/>
  <c r="G35" i="2"/>
  <c r="H47" i="2"/>
  <c r="I47" i="2"/>
  <c r="J47" i="2"/>
  <c r="K47" i="2"/>
  <c r="L47" i="2"/>
  <c r="M47" i="2"/>
  <c r="N47" i="2"/>
  <c r="O47" i="2"/>
  <c r="P47" i="2"/>
  <c r="Q47" i="2"/>
  <c r="R47" i="2"/>
  <c r="S47" i="2"/>
  <c r="H48" i="2"/>
  <c r="I48" i="2"/>
  <c r="J48" i="2"/>
  <c r="K48" i="2"/>
  <c r="L48" i="2"/>
  <c r="M48" i="2"/>
  <c r="N48" i="2"/>
  <c r="O48" i="2"/>
  <c r="P48" i="2"/>
  <c r="Q48" i="2"/>
  <c r="R48" i="2"/>
  <c r="S48" i="2"/>
  <c r="G48" i="2"/>
  <c r="G47" i="2"/>
  <c r="H46" i="2"/>
  <c r="I46" i="2"/>
  <c r="J46" i="2"/>
  <c r="K46" i="2"/>
  <c r="L46" i="2"/>
  <c r="M46" i="2"/>
  <c r="N46" i="2"/>
  <c r="O46" i="2"/>
  <c r="P46" i="2"/>
  <c r="Q46" i="2"/>
  <c r="R46" i="2"/>
  <c r="S46" i="2"/>
  <c r="G46" i="2"/>
  <c r="E68" i="3"/>
  <c r="F68" i="3"/>
  <c r="G68" i="3"/>
  <c r="H68" i="3"/>
  <c r="I68" i="3"/>
  <c r="J68" i="3"/>
  <c r="K68" i="3"/>
  <c r="L68" i="3"/>
  <c r="M68" i="3"/>
  <c r="N68" i="3"/>
  <c r="O68" i="3"/>
  <c r="E69" i="3"/>
  <c r="F69" i="3"/>
  <c r="G69" i="3"/>
  <c r="H69" i="3"/>
  <c r="I69" i="3"/>
  <c r="J69" i="3"/>
  <c r="K69" i="3"/>
  <c r="L69" i="3"/>
  <c r="M69" i="3"/>
  <c r="N69" i="3"/>
  <c r="O69" i="3"/>
  <c r="E70" i="3"/>
  <c r="F70" i="3"/>
  <c r="G70" i="3"/>
  <c r="H70" i="3"/>
  <c r="I70" i="3"/>
  <c r="J70" i="3"/>
  <c r="K70" i="3"/>
  <c r="L70" i="3"/>
  <c r="M70" i="3"/>
  <c r="N70" i="3"/>
  <c r="O70" i="3"/>
  <c r="E71" i="3"/>
  <c r="F71" i="3"/>
  <c r="G71" i="3"/>
  <c r="H71" i="3"/>
  <c r="I71" i="3"/>
  <c r="J71" i="3"/>
  <c r="K71" i="3"/>
  <c r="L71" i="3"/>
  <c r="M71" i="3"/>
  <c r="N71" i="3"/>
  <c r="O71" i="3"/>
  <c r="C71" i="3"/>
  <c r="C70" i="3"/>
  <c r="C69" i="3"/>
  <c r="C68" i="3"/>
  <c r="L8" i="3"/>
  <c r="L7" i="3"/>
  <c r="L6" i="3"/>
  <c r="J8" i="3"/>
  <c r="J7" i="3"/>
  <c r="J6" i="3"/>
  <c r="H8" i="3"/>
  <c r="H67" i="3" s="1"/>
  <c r="H7" i="3"/>
  <c r="H6" i="3"/>
  <c r="F8" i="3"/>
  <c r="F7" i="3"/>
  <c r="F66" i="3" s="1"/>
  <c r="F6" i="3"/>
  <c r="E66" i="3"/>
  <c r="G66" i="3"/>
  <c r="H66" i="3"/>
  <c r="I66" i="3"/>
  <c r="J66" i="3"/>
  <c r="K66" i="3"/>
  <c r="L66" i="3"/>
  <c r="M66" i="3"/>
  <c r="N66" i="3"/>
  <c r="O66" i="3"/>
  <c r="E67" i="3"/>
  <c r="F67" i="3"/>
  <c r="G67" i="3"/>
  <c r="I67" i="3"/>
  <c r="J67" i="3"/>
  <c r="K67" i="3"/>
  <c r="L67" i="3"/>
  <c r="M67" i="3"/>
  <c r="N67" i="3"/>
  <c r="O67" i="3"/>
  <c r="C67" i="3"/>
  <c r="C66" i="3"/>
  <c r="C52" i="3"/>
  <c r="O52" i="3"/>
  <c r="O41" i="3"/>
  <c r="O30" i="3"/>
  <c r="O43" i="3" s="1"/>
  <c r="O29" i="3"/>
  <c r="O42" i="3" s="1"/>
  <c r="O28" i="3"/>
  <c r="N30" i="3"/>
  <c r="N29" i="3"/>
  <c r="N52" i="3" s="1"/>
  <c r="N28" i="3"/>
  <c r="N43" i="3" s="1"/>
  <c r="M30" i="3"/>
  <c r="M29" i="3"/>
  <c r="M52" i="3" s="1"/>
  <c r="M28" i="3"/>
  <c r="K30" i="3"/>
  <c r="K29" i="3"/>
  <c r="K52" i="3" s="1"/>
  <c r="K28" i="3"/>
  <c r="I30" i="3"/>
  <c r="I29" i="3"/>
  <c r="I52" i="3" s="1"/>
  <c r="I28" i="3"/>
  <c r="G30" i="3"/>
  <c r="G29" i="3"/>
  <c r="G52" i="3" s="1"/>
  <c r="G28" i="3"/>
  <c r="E30" i="3"/>
  <c r="E29" i="3"/>
  <c r="E52" i="3" s="1"/>
  <c r="E28" i="3"/>
  <c r="C30" i="3"/>
  <c r="C53" i="3" s="1"/>
  <c r="C29" i="3"/>
  <c r="C28" i="3"/>
  <c r="F56" i="4"/>
  <c r="G56" i="4"/>
  <c r="H56" i="4"/>
  <c r="I56" i="4"/>
  <c r="J56" i="4"/>
  <c r="K56" i="4"/>
  <c r="L56" i="4"/>
  <c r="M56" i="4"/>
  <c r="N56" i="4"/>
  <c r="O56" i="4"/>
  <c r="P56" i="4"/>
  <c r="Q56" i="4"/>
  <c r="G57" i="4"/>
  <c r="I57" i="4"/>
  <c r="H65" i="4" s="1"/>
  <c r="K57" i="4"/>
  <c r="J65" i="4" s="1"/>
  <c r="M57" i="4"/>
  <c r="L65" i="4" s="1"/>
  <c r="O57" i="4"/>
  <c r="N65" i="4" s="1"/>
  <c r="P57" i="4"/>
  <c r="O65" i="4" s="1"/>
  <c r="Q57" i="4"/>
  <c r="F58" i="4"/>
  <c r="G58" i="4"/>
  <c r="H58" i="4"/>
  <c r="I58" i="4"/>
  <c r="J58" i="4"/>
  <c r="K58" i="4"/>
  <c r="L58" i="4"/>
  <c r="M58" i="4"/>
  <c r="N58" i="4"/>
  <c r="O58" i="4"/>
  <c r="P58" i="4"/>
  <c r="Q58" i="4"/>
  <c r="E57" i="4"/>
  <c r="E56" i="4"/>
  <c r="E58" i="4"/>
  <c r="F56" i="5"/>
  <c r="G56" i="5"/>
  <c r="H56" i="5"/>
  <c r="I56" i="5"/>
  <c r="J56" i="5"/>
  <c r="K56" i="5"/>
  <c r="L56" i="5"/>
  <c r="M56" i="5"/>
  <c r="N56" i="5"/>
  <c r="O56" i="5"/>
  <c r="P56" i="5"/>
  <c r="Q56" i="5"/>
  <c r="F57" i="5"/>
  <c r="G57" i="5"/>
  <c r="H57" i="5"/>
  <c r="I57" i="5"/>
  <c r="J57" i="5"/>
  <c r="K57" i="5"/>
  <c r="L57" i="5"/>
  <c r="M57" i="5"/>
  <c r="N57" i="5"/>
  <c r="O57" i="5"/>
  <c r="P57" i="5"/>
  <c r="Q57" i="5"/>
  <c r="F58" i="5"/>
  <c r="G58" i="5"/>
  <c r="H58" i="5"/>
  <c r="I58" i="5"/>
  <c r="J58" i="5"/>
  <c r="K58" i="5"/>
  <c r="L58" i="5"/>
  <c r="M58" i="5"/>
  <c r="N58" i="5"/>
  <c r="O58" i="5"/>
  <c r="P58" i="5"/>
  <c r="Q58" i="5"/>
  <c r="F59" i="5"/>
  <c r="G59" i="5"/>
  <c r="H59" i="5"/>
  <c r="I59" i="5"/>
  <c r="J59" i="5"/>
  <c r="K59" i="5"/>
  <c r="L59" i="5"/>
  <c r="M59" i="5"/>
  <c r="N59" i="5"/>
  <c r="O59" i="5"/>
  <c r="P59" i="5"/>
  <c r="Q59" i="5"/>
  <c r="E59" i="5"/>
  <c r="E58" i="5"/>
  <c r="E57" i="5"/>
  <c r="E56" i="5"/>
  <c r="F52" i="5"/>
  <c r="G52" i="5"/>
  <c r="H52" i="5"/>
  <c r="I52" i="5"/>
  <c r="J52" i="5"/>
  <c r="K52" i="5"/>
  <c r="L52" i="5"/>
  <c r="M52" i="5"/>
  <c r="N52" i="5"/>
  <c r="O52" i="5"/>
  <c r="P52" i="5"/>
  <c r="Q52" i="5"/>
  <c r="F53" i="5"/>
  <c r="G53" i="5"/>
  <c r="H53" i="5"/>
  <c r="I53" i="5"/>
  <c r="J53" i="5"/>
  <c r="K53" i="5"/>
  <c r="L53" i="5"/>
  <c r="M53" i="5"/>
  <c r="N53" i="5"/>
  <c r="O53" i="5"/>
  <c r="P53" i="5"/>
  <c r="Q53" i="5"/>
  <c r="G54" i="5"/>
  <c r="I54" i="5"/>
  <c r="K54" i="5"/>
  <c r="M54" i="5"/>
  <c r="O54" i="5"/>
  <c r="P54" i="5"/>
  <c r="Q54" i="5"/>
  <c r="F55" i="5"/>
  <c r="G55" i="5"/>
  <c r="H55" i="5"/>
  <c r="I55" i="5"/>
  <c r="J55" i="5"/>
  <c r="K55" i="5"/>
  <c r="L55" i="5"/>
  <c r="M55" i="5"/>
  <c r="N55" i="5"/>
  <c r="O55" i="5"/>
  <c r="P55" i="5"/>
  <c r="Q55" i="5"/>
  <c r="E54" i="5"/>
  <c r="E53" i="5"/>
  <c r="E55" i="5"/>
  <c r="E52" i="5"/>
  <c r="G87" i="8"/>
  <c r="H87" i="8"/>
  <c r="I87" i="8"/>
  <c r="J87" i="8"/>
  <c r="K87" i="8"/>
  <c r="L87" i="8"/>
  <c r="M87" i="8"/>
  <c r="N87" i="8"/>
  <c r="O87" i="8"/>
  <c r="P87" i="8"/>
  <c r="Q87" i="8"/>
  <c r="R87" i="8"/>
  <c r="F87" i="8"/>
  <c r="G84" i="8"/>
  <c r="H84" i="8"/>
  <c r="I84" i="8"/>
  <c r="J84" i="8"/>
  <c r="K84" i="8"/>
  <c r="L84" i="8"/>
  <c r="M84" i="8"/>
  <c r="N84" i="8"/>
  <c r="O84" i="8"/>
  <c r="P84" i="8"/>
  <c r="Q84" i="8"/>
  <c r="R84" i="8"/>
  <c r="G73" i="8"/>
  <c r="H73" i="8"/>
  <c r="I73" i="8"/>
  <c r="J73" i="8"/>
  <c r="K73" i="8"/>
  <c r="L73" i="8"/>
  <c r="M73" i="8"/>
  <c r="N73" i="8"/>
  <c r="O73" i="8"/>
  <c r="P73" i="8"/>
  <c r="Q73" i="8"/>
  <c r="R73" i="8"/>
  <c r="F73" i="8"/>
  <c r="G71" i="8"/>
  <c r="H71" i="8"/>
  <c r="I71" i="8"/>
  <c r="J71" i="8"/>
  <c r="K71" i="8"/>
  <c r="L71" i="8"/>
  <c r="M71" i="8"/>
  <c r="N71" i="8"/>
  <c r="O71" i="8"/>
  <c r="P71" i="8"/>
  <c r="Q71" i="8"/>
  <c r="R71" i="8"/>
  <c r="H88" i="8"/>
  <c r="L88" i="8"/>
  <c r="H89" i="8"/>
  <c r="L89" i="8"/>
  <c r="H90" i="8"/>
  <c r="L90" i="8"/>
  <c r="H91" i="8"/>
  <c r="L91" i="8"/>
  <c r="G46" i="9"/>
  <c r="H46" i="9"/>
  <c r="I46" i="9"/>
  <c r="J46" i="9"/>
  <c r="K46" i="9"/>
  <c r="K51" i="9" s="1"/>
  <c r="L46" i="9"/>
  <c r="M46" i="9"/>
  <c r="M51" i="9" s="1"/>
  <c r="N46" i="9"/>
  <c r="N52" i="9" s="1"/>
  <c r="O46" i="9"/>
  <c r="P46" i="9"/>
  <c r="Q46" i="9"/>
  <c r="R46" i="9"/>
  <c r="G51" i="9"/>
  <c r="H51" i="9"/>
  <c r="I51" i="9"/>
  <c r="J51" i="9"/>
  <c r="L51" i="9"/>
  <c r="O51" i="9"/>
  <c r="P51" i="9"/>
  <c r="Q51" i="9"/>
  <c r="R51" i="9"/>
  <c r="G52" i="9"/>
  <c r="H52" i="9"/>
  <c r="I52" i="9"/>
  <c r="J52" i="9"/>
  <c r="K52" i="9"/>
  <c r="L52" i="9"/>
  <c r="M52" i="9"/>
  <c r="O52" i="9"/>
  <c r="P52" i="9"/>
  <c r="Q52" i="9"/>
  <c r="R52" i="9"/>
  <c r="G53" i="9"/>
  <c r="H53" i="9"/>
  <c r="I53" i="9"/>
  <c r="J53" i="9"/>
  <c r="L53" i="9"/>
  <c r="O53" i="9"/>
  <c r="P53" i="9"/>
  <c r="Q53" i="9"/>
  <c r="R53" i="9"/>
  <c r="G54" i="9"/>
  <c r="H54" i="9"/>
  <c r="I54" i="9"/>
  <c r="J54" i="9"/>
  <c r="K54" i="9"/>
  <c r="L54" i="9"/>
  <c r="M54" i="9"/>
  <c r="N54" i="9"/>
  <c r="O54" i="9"/>
  <c r="P54" i="9"/>
  <c r="Q54" i="9"/>
  <c r="R54" i="9"/>
  <c r="O49" i="9"/>
  <c r="M49" i="9"/>
  <c r="K49" i="9"/>
  <c r="I49" i="9"/>
  <c r="G49" i="9"/>
  <c r="P47" i="9"/>
  <c r="Q47" i="9"/>
  <c r="G48" i="9"/>
  <c r="H48" i="9"/>
  <c r="I48" i="9"/>
  <c r="J48" i="9"/>
  <c r="K48" i="9"/>
  <c r="L48" i="9"/>
  <c r="M48" i="9"/>
  <c r="N48" i="9"/>
  <c r="O48" i="9"/>
  <c r="P48" i="9"/>
  <c r="Q48" i="9"/>
  <c r="R48" i="9"/>
  <c r="H49" i="9"/>
  <c r="J49" i="9"/>
  <c r="L49" i="9"/>
  <c r="N49" i="9"/>
  <c r="P49" i="9"/>
  <c r="Q49" i="9"/>
  <c r="R49" i="9"/>
  <c r="G50" i="9"/>
  <c r="H50" i="9"/>
  <c r="I50" i="9"/>
  <c r="J50" i="9"/>
  <c r="K50" i="9"/>
  <c r="L50" i="9"/>
  <c r="M50" i="9"/>
  <c r="N50" i="9"/>
  <c r="O50" i="9"/>
  <c r="P50" i="9"/>
  <c r="Q50" i="9"/>
  <c r="R50" i="9"/>
  <c r="F49" i="9"/>
  <c r="F50" i="9"/>
  <c r="F48" i="9"/>
  <c r="F47" i="9"/>
  <c r="G146" i="6"/>
  <c r="H146" i="6"/>
  <c r="I146" i="6"/>
  <c r="J146" i="6"/>
  <c r="K146" i="6"/>
  <c r="L146" i="6"/>
  <c r="M146" i="6"/>
  <c r="N146" i="6"/>
  <c r="O146" i="6"/>
  <c r="P146" i="6"/>
  <c r="Q146" i="6"/>
  <c r="R146" i="6"/>
  <c r="F146" i="6"/>
  <c r="G141" i="6"/>
  <c r="H141" i="6"/>
  <c r="I141" i="6"/>
  <c r="J141" i="6"/>
  <c r="K141" i="6"/>
  <c r="L141" i="6"/>
  <c r="M141" i="6"/>
  <c r="N141" i="6"/>
  <c r="O141" i="6"/>
  <c r="P141" i="6"/>
  <c r="Q141" i="6"/>
  <c r="R141" i="6"/>
  <c r="G142" i="6"/>
  <c r="H142" i="6"/>
  <c r="I142" i="6"/>
  <c r="J142" i="6"/>
  <c r="K142" i="6"/>
  <c r="L142" i="6"/>
  <c r="M142" i="6"/>
  <c r="N142" i="6"/>
  <c r="O142" i="6"/>
  <c r="P142" i="6"/>
  <c r="Q142" i="6"/>
  <c r="R142" i="6"/>
  <c r="G143" i="6"/>
  <c r="H143" i="6"/>
  <c r="I143" i="6"/>
  <c r="J143" i="6"/>
  <c r="K143" i="6"/>
  <c r="L143" i="6"/>
  <c r="M143" i="6"/>
  <c r="N143" i="6"/>
  <c r="O143" i="6"/>
  <c r="P143" i="6"/>
  <c r="Q143" i="6"/>
  <c r="R143" i="6"/>
  <c r="F143" i="6"/>
  <c r="F142" i="6"/>
  <c r="F141" i="6"/>
  <c r="F85" i="6"/>
  <c r="F86" i="6"/>
  <c r="F87" i="6"/>
  <c r="F33" i="9"/>
  <c r="G60" i="8"/>
  <c r="H60" i="8"/>
  <c r="I60" i="8"/>
  <c r="J60" i="8"/>
  <c r="K60" i="8"/>
  <c r="L60" i="8"/>
  <c r="M60" i="8"/>
  <c r="N60" i="8"/>
  <c r="O60" i="8"/>
  <c r="P60" i="8"/>
  <c r="Q60" i="8"/>
  <c r="R60" i="8"/>
  <c r="F60" i="8"/>
  <c r="H56" i="8"/>
  <c r="H83" i="8" s="1"/>
  <c r="J56" i="8"/>
  <c r="J63" i="8" s="1"/>
  <c r="L56" i="8"/>
  <c r="L83" i="8" s="1"/>
  <c r="N56" i="8"/>
  <c r="N83" i="8" s="1"/>
  <c r="P56" i="8"/>
  <c r="P63" i="8" s="1"/>
  <c r="Q56" i="8"/>
  <c r="Q83" i="8" s="1"/>
  <c r="R56" i="8"/>
  <c r="R62" i="8" s="1"/>
  <c r="F56" i="8"/>
  <c r="F83" i="8" s="1"/>
  <c r="H63" i="8"/>
  <c r="Q62" i="8"/>
  <c r="H62" i="8"/>
  <c r="G45" i="8"/>
  <c r="H45" i="8"/>
  <c r="I45" i="8"/>
  <c r="J45" i="8"/>
  <c r="K45" i="8"/>
  <c r="L45" i="8"/>
  <c r="M45" i="8"/>
  <c r="N45" i="8"/>
  <c r="O45" i="8"/>
  <c r="P45" i="8"/>
  <c r="Q45" i="8"/>
  <c r="R45" i="8"/>
  <c r="F45" i="8"/>
  <c r="R42" i="8"/>
  <c r="Q42" i="8"/>
  <c r="Q48" i="8" s="1"/>
  <c r="P42" i="8"/>
  <c r="P70" i="8" s="1"/>
  <c r="N42" i="8"/>
  <c r="N49" i="8" s="1"/>
  <c r="L42" i="8"/>
  <c r="L70" i="8" s="1"/>
  <c r="L76" i="8" s="1"/>
  <c r="J42" i="8"/>
  <c r="H42" i="8"/>
  <c r="H48" i="8" s="1"/>
  <c r="F70" i="8"/>
  <c r="O28" i="8"/>
  <c r="O27" i="8"/>
  <c r="O36" i="8" s="1"/>
  <c r="O42" i="8" s="1"/>
  <c r="M28" i="8"/>
  <c r="M37" i="8" s="1"/>
  <c r="M56" i="8" s="1"/>
  <c r="M27" i="8"/>
  <c r="K28" i="8"/>
  <c r="K37" i="8" s="1"/>
  <c r="K56" i="8" s="1"/>
  <c r="K27" i="8"/>
  <c r="I28" i="8"/>
  <c r="I27" i="8"/>
  <c r="I36" i="8" s="1"/>
  <c r="I42" i="8" s="1"/>
  <c r="G28" i="8"/>
  <c r="G27" i="8"/>
  <c r="G36" i="8" s="1"/>
  <c r="G42" i="8" s="1"/>
  <c r="H14" i="8"/>
  <c r="H27" i="8" s="1"/>
  <c r="H43" i="8" s="1"/>
  <c r="J14" i="8"/>
  <c r="J27" i="8" s="1"/>
  <c r="J43" i="8" s="1"/>
  <c r="L14" i="8"/>
  <c r="L27" i="8" s="1"/>
  <c r="L43" i="8" s="1"/>
  <c r="N14" i="8"/>
  <c r="N27" i="8" s="1"/>
  <c r="N43" i="8" s="1"/>
  <c r="P14" i="8"/>
  <c r="P27" i="8" s="1"/>
  <c r="P43" i="8" s="1"/>
  <c r="P47" i="8" s="1"/>
  <c r="Q14" i="8"/>
  <c r="R14" i="8"/>
  <c r="R27" i="8" s="1"/>
  <c r="R43" i="8" s="1"/>
  <c r="H15" i="8"/>
  <c r="H28" i="8" s="1"/>
  <c r="H57" i="8" s="1"/>
  <c r="H61" i="8" s="1"/>
  <c r="J15" i="8"/>
  <c r="J28" i="8" s="1"/>
  <c r="J57" i="8" s="1"/>
  <c r="L15" i="8"/>
  <c r="L28" i="8" s="1"/>
  <c r="L57" i="8" s="1"/>
  <c r="N15" i="8"/>
  <c r="N28" i="8" s="1"/>
  <c r="N57" i="8" s="1"/>
  <c r="P15" i="8"/>
  <c r="P28" i="8" s="1"/>
  <c r="P57" i="8" s="1"/>
  <c r="Q15" i="8"/>
  <c r="Q28" i="8" s="1"/>
  <c r="Q57" i="8" s="1"/>
  <c r="R15" i="8"/>
  <c r="R28" i="8" s="1"/>
  <c r="R57" i="8" s="1"/>
  <c r="F15" i="8"/>
  <c r="F28" i="8" s="1"/>
  <c r="F57" i="8" s="1"/>
  <c r="O26" i="9"/>
  <c r="O33" i="9" s="1"/>
  <c r="O47" i="9" s="1"/>
  <c r="M26" i="9"/>
  <c r="M33" i="9" s="1"/>
  <c r="M47" i="9" s="1"/>
  <c r="K26" i="9"/>
  <c r="K32" i="9" s="1"/>
  <c r="I26" i="9"/>
  <c r="I32" i="9" s="1"/>
  <c r="G26" i="9"/>
  <c r="G33" i="9" s="1"/>
  <c r="G47" i="9" s="1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R33" i="9"/>
  <c r="R47" i="9" s="1"/>
  <c r="Q33" i="9"/>
  <c r="P33" i="9"/>
  <c r="N33" i="9"/>
  <c r="N47" i="9" s="1"/>
  <c r="L33" i="9"/>
  <c r="L47" i="9" s="1"/>
  <c r="J33" i="9"/>
  <c r="J47" i="9" s="1"/>
  <c r="H33" i="9"/>
  <c r="H47" i="9" s="1"/>
  <c r="R32" i="9"/>
  <c r="R37" i="9" s="1"/>
  <c r="Q32" i="9"/>
  <c r="Q39" i="9" s="1"/>
  <c r="P32" i="9"/>
  <c r="P38" i="9" s="1"/>
  <c r="N32" i="9"/>
  <c r="N40" i="9" s="1"/>
  <c r="L32" i="9"/>
  <c r="L40" i="9" s="1"/>
  <c r="J32" i="9"/>
  <c r="J38" i="9" s="1"/>
  <c r="H32" i="9"/>
  <c r="H38" i="9" s="1"/>
  <c r="F32" i="9"/>
  <c r="F40" i="9" s="1"/>
  <c r="F12" i="9"/>
  <c r="R12" i="9"/>
  <c r="Q12" i="9"/>
  <c r="P12" i="9"/>
  <c r="O12" i="9"/>
  <c r="N12" i="9"/>
  <c r="M12" i="9"/>
  <c r="L12" i="9"/>
  <c r="K12" i="9"/>
  <c r="J12" i="9"/>
  <c r="I12" i="9"/>
  <c r="H12" i="9"/>
  <c r="G12" i="9"/>
  <c r="E65" i="4" l="1"/>
  <c r="N77" i="4"/>
  <c r="N85" i="4"/>
  <c r="N79" i="4"/>
  <c r="O77" i="4"/>
  <c r="O79" i="4"/>
  <c r="O85" i="4"/>
  <c r="L79" i="4"/>
  <c r="L77" i="4"/>
  <c r="L85" i="4"/>
  <c r="G65" i="4"/>
  <c r="P65" i="4"/>
  <c r="J85" i="4"/>
  <c r="J77" i="4"/>
  <c r="J79" i="4"/>
  <c r="I65" i="4"/>
  <c r="H79" i="4"/>
  <c r="H85" i="4"/>
  <c r="H77" i="4"/>
  <c r="K65" i="4"/>
  <c r="F65" i="4"/>
  <c r="M65" i="4"/>
  <c r="AA43" i="13"/>
  <c r="Z11" i="13"/>
  <c r="AA73" i="8"/>
  <c r="Z71" i="8"/>
  <c r="Z75" i="8" s="1"/>
  <c r="Y17" i="13"/>
  <c r="U12" i="30"/>
  <c r="Z49" i="13"/>
  <c r="F61" i="8"/>
  <c r="F84" i="8"/>
  <c r="F13" i="10"/>
  <c r="F90" i="8"/>
  <c r="F78" i="8"/>
  <c r="F12" i="10"/>
  <c r="F24" i="10" s="1"/>
  <c r="R24" i="10" s="1"/>
  <c r="F77" i="8"/>
  <c r="AC49" i="9"/>
  <c r="AB47" i="9"/>
  <c r="AB51" i="9" s="1"/>
  <c r="AB53" i="9"/>
  <c r="AC50" i="9"/>
  <c r="AC87" i="8"/>
  <c r="AB84" i="8"/>
  <c r="AA88" i="8"/>
  <c r="AA90" i="8"/>
  <c r="AA77" i="8"/>
  <c r="AA65" i="3"/>
  <c r="Z69" i="3"/>
  <c r="X71" i="3"/>
  <c r="Y67" i="3"/>
  <c r="W70" i="3"/>
  <c r="X66" i="3"/>
  <c r="X68" i="3"/>
  <c r="AE54" i="2"/>
  <c r="AD54" i="2"/>
  <c r="AC51" i="2"/>
  <c r="AC53" i="2"/>
  <c r="X56" i="5"/>
  <c r="X58" i="5"/>
  <c r="Y54" i="5"/>
  <c r="N41" i="3"/>
  <c r="N42" i="3"/>
  <c r="F91" i="8"/>
  <c r="Q88" i="8"/>
  <c r="N88" i="8"/>
  <c r="P75" i="8"/>
  <c r="F16" i="8"/>
  <c r="F76" i="8"/>
  <c r="Q91" i="8"/>
  <c r="Q89" i="8"/>
  <c r="P78" i="8"/>
  <c r="L77" i="8"/>
  <c r="P76" i="8"/>
  <c r="L75" i="8"/>
  <c r="N90" i="8"/>
  <c r="Q16" i="8"/>
  <c r="Q26" i="8" s="1"/>
  <c r="F88" i="8"/>
  <c r="N91" i="8"/>
  <c r="N89" i="8"/>
  <c r="F89" i="8"/>
  <c r="Q90" i="8"/>
  <c r="L78" i="8"/>
  <c r="P77" i="8"/>
  <c r="H64" i="8"/>
  <c r="H65" i="8" s="1"/>
  <c r="M36" i="8"/>
  <c r="M42" i="8" s="1"/>
  <c r="M48" i="8" s="1"/>
  <c r="Q25" i="8"/>
  <c r="P62" i="8"/>
  <c r="H47" i="8"/>
  <c r="P64" i="8"/>
  <c r="P61" i="8"/>
  <c r="I37" i="8"/>
  <c r="I56" i="8" s="1"/>
  <c r="I64" i="8" s="1"/>
  <c r="J83" i="8"/>
  <c r="M50" i="8"/>
  <c r="M70" i="8"/>
  <c r="K64" i="8"/>
  <c r="K83" i="8"/>
  <c r="K62" i="8"/>
  <c r="K63" i="8"/>
  <c r="M63" i="8"/>
  <c r="M83" i="8"/>
  <c r="M62" i="8"/>
  <c r="G50" i="8"/>
  <c r="G70" i="8"/>
  <c r="I48" i="8"/>
  <c r="I70" i="8"/>
  <c r="I50" i="8"/>
  <c r="O50" i="8"/>
  <c r="O70" i="8"/>
  <c r="I83" i="8"/>
  <c r="I62" i="8"/>
  <c r="I43" i="8"/>
  <c r="I47" i="8" s="1"/>
  <c r="M57" i="8"/>
  <c r="M61" i="8" s="1"/>
  <c r="K36" i="8"/>
  <c r="K42" i="8" s="1"/>
  <c r="F50" i="8"/>
  <c r="F49" i="8"/>
  <c r="O43" i="8"/>
  <c r="G43" i="8"/>
  <c r="G47" i="8" s="1"/>
  <c r="P83" i="8"/>
  <c r="K57" i="8"/>
  <c r="K61" i="8" s="1"/>
  <c r="N70" i="8"/>
  <c r="J49" i="8"/>
  <c r="R49" i="8"/>
  <c r="J50" i="8"/>
  <c r="R70" i="8"/>
  <c r="J70" i="8"/>
  <c r="N50" i="8"/>
  <c r="Q70" i="8"/>
  <c r="L63" i="8"/>
  <c r="L49" i="8"/>
  <c r="Q50" i="8"/>
  <c r="J61" i="8"/>
  <c r="H70" i="8"/>
  <c r="N16" i="8"/>
  <c r="G37" i="8"/>
  <c r="G56" i="8" s="1"/>
  <c r="O37" i="8"/>
  <c r="O56" i="8" s="1"/>
  <c r="O62" i="8" s="1"/>
  <c r="R50" i="8"/>
  <c r="R61" i="8"/>
  <c r="N53" i="9"/>
  <c r="N51" i="9"/>
  <c r="M53" i="9"/>
  <c r="K53" i="9"/>
  <c r="F46" i="9"/>
  <c r="N61" i="8"/>
  <c r="J62" i="8"/>
  <c r="R63" i="8"/>
  <c r="F63" i="8"/>
  <c r="N63" i="8"/>
  <c r="Q64" i="8"/>
  <c r="Q61" i="8"/>
  <c r="L62" i="8"/>
  <c r="O63" i="8"/>
  <c r="J64" i="8"/>
  <c r="R64" i="8"/>
  <c r="F62" i="8"/>
  <c r="N62" i="8"/>
  <c r="I63" i="8"/>
  <c r="Q63" i="8"/>
  <c r="L64" i="8"/>
  <c r="L61" i="8"/>
  <c r="M64" i="8"/>
  <c r="F64" i="8"/>
  <c r="N64" i="8"/>
  <c r="P49" i="8"/>
  <c r="N47" i="8"/>
  <c r="P48" i="8"/>
  <c r="O47" i="8"/>
  <c r="J48" i="8"/>
  <c r="R48" i="8"/>
  <c r="M49" i="8"/>
  <c r="H50" i="8"/>
  <c r="P50" i="8"/>
  <c r="L48" i="8"/>
  <c r="J47" i="8"/>
  <c r="R47" i="8"/>
  <c r="H49" i="8"/>
  <c r="K50" i="8"/>
  <c r="G49" i="8"/>
  <c r="F48" i="8"/>
  <c r="N48" i="8"/>
  <c r="I49" i="8"/>
  <c r="Q49" i="8"/>
  <c r="L50" i="8"/>
  <c r="O49" i="8"/>
  <c r="L47" i="8"/>
  <c r="G48" i="8"/>
  <c r="O48" i="8"/>
  <c r="Q27" i="8"/>
  <c r="Q43" i="8" s="1"/>
  <c r="Q47" i="8" s="1"/>
  <c r="F27" i="8"/>
  <c r="F43" i="8" s="1"/>
  <c r="R16" i="8"/>
  <c r="R26" i="8" s="1"/>
  <c r="P16" i="8"/>
  <c r="L16" i="8"/>
  <c r="J16" i="8"/>
  <c r="H16" i="8"/>
  <c r="L39" i="9"/>
  <c r="R38" i="9"/>
  <c r="F37" i="9"/>
  <c r="J39" i="9"/>
  <c r="L37" i="9"/>
  <c r="H40" i="9"/>
  <c r="Q38" i="9"/>
  <c r="H37" i="9"/>
  <c r="R39" i="9"/>
  <c r="N37" i="9"/>
  <c r="P40" i="9"/>
  <c r="P37" i="9"/>
  <c r="Q40" i="9"/>
  <c r="M32" i="9"/>
  <c r="M37" i="9" s="1"/>
  <c r="G32" i="9"/>
  <c r="G37" i="9" s="1"/>
  <c r="J37" i="9"/>
  <c r="I33" i="9"/>
  <c r="K39" i="9"/>
  <c r="K40" i="9"/>
  <c r="K38" i="9"/>
  <c r="I38" i="9"/>
  <c r="I39" i="9"/>
  <c r="I40" i="9"/>
  <c r="F39" i="9"/>
  <c r="K33" i="9"/>
  <c r="Q37" i="9"/>
  <c r="L38" i="9"/>
  <c r="J40" i="9"/>
  <c r="R40" i="9"/>
  <c r="O32" i="9"/>
  <c r="N39" i="9"/>
  <c r="H39" i="9"/>
  <c r="P39" i="9"/>
  <c r="F38" i="9"/>
  <c r="N38" i="9"/>
  <c r="K90" i="6"/>
  <c r="K12" i="7"/>
  <c r="L12" i="7"/>
  <c r="M12" i="7"/>
  <c r="N12" i="7"/>
  <c r="O12" i="7"/>
  <c r="P12" i="7"/>
  <c r="Q12" i="7"/>
  <c r="E12" i="7"/>
  <c r="F12" i="7"/>
  <c r="G12" i="7"/>
  <c r="H12" i="7"/>
  <c r="I12" i="7"/>
  <c r="K14" i="6"/>
  <c r="K15" i="6"/>
  <c r="K16" i="6"/>
  <c r="K17" i="6"/>
  <c r="K18" i="6"/>
  <c r="K19" i="6"/>
  <c r="K20" i="6"/>
  <c r="K21" i="6"/>
  <c r="K58" i="6"/>
  <c r="J12" i="7"/>
  <c r="Q67" i="4" l="1"/>
  <c r="R57" i="4" s="1"/>
  <c r="J93" i="4"/>
  <c r="J91" i="4"/>
  <c r="R55" i="4"/>
  <c r="R59" i="4" s="1"/>
  <c r="S57" i="4"/>
  <c r="R61" i="4"/>
  <c r="M77" i="4"/>
  <c r="M79" i="4"/>
  <c r="M85" i="4"/>
  <c r="I77" i="4"/>
  <c r="I85" i="4"/>
  <c r="I79" i="4"/>
  <c r="E77" i="4"/>
  <c r="E85" i="4"/>
  <c r="E79" i="4"/>
  <c r="N93" i="4"/>
  <c r="N91" i="4"/>
  <c r="F77" i="4"/>
  <c r="F79" i="4"/>
  <c r="F85" i="4"/>
  <c r="G79" i="4"/>
  <c r="G77" i="4"/>
  <c r="G85" i="4"/>
  <c r="O91" i="4"/>
  <c r="O93" i="4"/>
  <c r="K79" i="4"/>
  <c r="K77" i="4"/>
  <c r="K85" i="4"/>
  <c r="L93" i="4"/>
  <c r="L91" i="4"/>
  <c r="H91" i="4"/>
  <c r="H93" i="4"/>
  <c r="AB43" i="13"/>
  <c r="AA11" i="13"/>
  <c r="AB73" i="8"/>
  <c r="AA71" i="8"/>
  <c r="AA75" i="8" s="1"/>
  <c r="Z17" i="13"/>
  <c r="V12" i="30"/>
  <c r="AA49" i="13"/>
  <c r="G27" i="21"/>
  <c r="G27" i="20"/>
  <c r="G28" i="13"/>
  <c r="G12" i="13"/>
  <c r="G60" i="13"/>
  <c r="G42" i="21"/>
  <c r="G42" i="20"/>
  <c r="G44" i="13"/>
  <c r="G26" i="21"/>
  <c r="G26" i="20"/>
  <c r="G27" i="13"/>
  <c r="G43" i="13"/>
  <c r="G56" i="21"/>
  <c r="G56" i="20"/>
  <c r="G59" i="13"/>
  <c r="F47" i="8"/>
  <c r="F71" i="8"/>
  <c r="F75" i="8" s="1"/>
  <c r="AD49" i="9"/>
  <c r="AC47" i="9"/>
  <c r="AC51" i="9" s="1"/>
  <c r="AC53" i="9"/>
  <c r="AD50" i="9"/>
  <c r="AC84" i="8"/>
  <c r="AD87" i="8"/>
  <c r="AD84" i="8" s="1"/>
  <c r="AB88" i="8"/>
  <c r="AB90" i="8"/>
  <c r="AB77" i="8"/>
  <c r="AB65" i="3"/>
  <c r="AB69" i="3" s="1"/>
  <c r="AA69" i="3"/>
  <c r="X70" i="3"/>
  <c r="Y66" i="3"/>
  <c r="Y68" i="3"/>
  <c r="Y71" i="3"/>
  <c r="Z67" i="3"/>
  <c r="AD53" i="2"/>
  <c r="AE53" i="2"/>
  <c r="AE51" i="2"/>
  <c r="AD51" i="2"/>
  <c r="Y56" i="5"/>
  <c r="Y58" i="5"/>
  <c r="Z54" i="5"/>
  <c r="Q75" i="8"/>
  <c r="Q77" i="8"/>
  <c r="Q76" i="8"/>
  <c r="Q78" i="8"/>
  <c r="G75" i="8"/>
  <c r="G77" i="8"/>
  <c r="G76" i="8"/>
  <c r="G78" i="8"/>
  <c r="P88" i="8"/>
  <c r="P90" i="8"/>
  <c r="P89" i="8"/>
  <c r="P91" i="8"/>
  <c r="M76" i="8"/>
  <c r="M78" i="8"/>
  <c r="M75" i="8"/>
  <c r="M77" i="8"/>
  <c r="J78" i="8"/>
  <c r="J75" i="8"/>
  <c r="J77" i="8"/>
  <c r="J76" i="8"/>
  <c r="I88" i="8"/>
  <c r="I90" i="8"/>
  <c r="I89" i="8"/>
  <c r="I91" i="8"/>
  <c r="R75" i="8"/>
  <c r="R77" i="8"/>
  <c r="R76" i="8"/>
  <c r="R78" i="8"/>
  <c r="O75" i="8"/>
  <c r="O77" i="8"/>
  <c r="O76" i="8"/>
  <c r="O78" i="8"/>
  <c r="M89" i="8"/>
  <c r="M91" i="8"/>
  <c r="M88" i="8"/>
  <c r="M90" i="8"/>
  <c r="J91" i="8"/>
  <c r="J88" i="8"/>
  <c r="J90" i="8"/>
  <c r="J89" i="8"/>
  <c r="H75" i="8"/>
  <c r="H77" i="8"/>
  <c r="H76" i="8"/>
  <c r="H78" i="8"/>
  <c r="P65" i="8"/>
  <c r="N77" i="8"/>
  <c r="N76" i="8"/>
  <c r="N78" i="8"/>
  <c r="N75" i="8"/>
  <c r="K89" i="8"/>
  <c r="K91" i="8"/>
  <c r="K88" i="8"/>
  <c r="K90" i="8"/>
  <c r="J65" i="8"/>
  <c r="I75" i="8"/>
  <c r="I77" i="8"/>
  <c r="I76" i="8"/>
  <c r="I78" i="8"/>
  <c r="R88" i="8"/>
  <c r="R90" i="8"/>
  <c r="R89" i="8"/>
  <c r="R91" i="8"/>
  <c r="O57" i="8"/>
  <c r="O61" i="8" s="1"/>
  <c r="K43" i="8"/>
  <c r="K47" i="8" s="1"/>
  <c r="Q51" i="8"/>
  <c r="H51" i="8"/>
  <c r="K65" i="8"/>
  <c r="I57" i="8"/>
  <c r="I61" i="8" s="1"/>
  <c r="I65" i="8" s="1"/>
  <c r="M43" i="8"/>
  <c r="M47" i="8" s="1"/>
  <c r="M51" i="8" s="1"/>
  <c r="G64" i="8"/>
  <c r="G83" i="8"/>
  <c r="G57" i="8"/>
  <c r="G61" i="8" s="1"/>
  <c r="G63" i="8"/>
  <c r="R65" i="8"/>
  <c r="G62" i="8"/>
  <c r="I51" i="8"/>
  <c r="K48" i="8"/>
  <c r="K70" i="8"/>
  <c r="K49" i="8"/>
  <c r="M65" i="8"/>
  <c r="O64" i="8"/>
  <c r="O83" i="8"/>
  <c r="R25" i="8"/>
  <c r="L41" i="9"/>
  <c r="K37" i="9"/>
  <c r="K47" i="9"/>
  <c r="I37" i="9"/>
  <c r="I47" i="9"/>
  <c r="F54" i="9"/>
  <c r="F53" i="9"/>
  <c r="F52" i="9"/>
  <c r="F51" i="9"/>
  <c r="N51" i="8"/>
  <c r="F51" i="8"/>
  <c r="F65" i="8"/>
  <c r="N65" i="8"/>
  <c r="Q65" i="8"/>
  <c r="L65" i="8"/>
  <c r="P51" i="8"/>
  <c r="L51" i="8"/>
  <c r="R51" i="8"/>
  <c r="O51" i="8"/>
  <c r="J51" i="8"/>
  <c r="G51" i="8"/>
  <c r="H41" i="9"/>
  <c r="J41" i="9"/>
  <c r="F41" i="9"/>
  <c r="P41" i="9"/>
  <c r="M40" i="9"/>
  <c r="N41" i="9"/>
  <c r="R41" i="9"/>
  <c r="M39" i="9"/>
  <c r="Q41" i="9"/>
  <c r="M38" i="9"/>
  <c r="G39" i="9"/>
  <c r="K41" i="9"/>
  <c r="I41" i="9"/>
  <c r="G38" i="9"/>
  <c r="G40" i="9"/>
  <c r="O38" i="9"/>
  <c r="O37" i="9"/>
  <c r="O40" i="9"/>
  <c r="O39" i="9"/>
  <c r="Q120" i="6"/>
  <c r="R120" i="6"/>
  <c r="N120" i="6"/>
  <c r="Q116" i="6"/>
  <c r="Q128" i="6" s="1"/>
  <c r="Q135" i="6" s="1"/>
  <c r="O116" i="6"/>
  <c r="I116" i="6"/>
  <c r="G116" i="6"/>
  <c r="R117" i="6"/>
  <c r="AE122" i="6"/>
  <c r="AD122" i="6"/>
  <c r="AC122" i="6"/>
  <c r="AB122" i="6"/>
  <c r="AA122" i="6"/>
  <c r="Z122" i="6"/>
  <c r="Y122" i="6"/>
  <c r="X122" i="6"/>
  <c r="W122" i="6"/>
  <c r="V122" i="6"/>
  <c r="U122" i="6"/>
  <c r="T122" i="6"/>
  <c r="S122" i="6"/>
  <c r="R122" i="6"/>
  <c r="Q122" i="6"/>
  <c r="P122" i="6"/>
  <c r="O122" i="6"/>
  <c r="N122" i="6"/>
  <c r="M122" i="6"/>
  <c r="L122" i="6"/>
  <c r="K122" i="6"/>
  <c r="J122" i="6"/>
  <c r="I122" i="6"/>
  <c r="H122" i="6"/>
  <c r="G122" i="6"/>
  <c r="F122" i="6"/>
  <c r="AE121" i="6"/>
  <c r="AE130" i="6" s="1"/>
  <c r="AD121" i="6"/>
  <c r="AD130" i="6" s="1"/>
  <c r="AC121" i="6"/>
  <c r="AB121" i="6"/>
  <c r="AA121" i="6"/>
  <c r="Z121" i="6"/>
  <c r="Z130" i="6" s="1"/>
  <c r="Y121" i="6"/>
  <c r="Y130" i="6" s="1"/>
  <c r="X121" i="6"/>
  <c r="X130" i="6" s="1"/>
  <c r="W121" i="6"/>
  <c r="W130" i="6" s="1"/>
  <c r="V121" i="6"/>
  <c r="V130" i="6" s="1"/>
  <c r="U121" i="6"/>
  <c r="T121" i="6"/>
  <c r="S121" i="6"/>
  <c r="R121" i="6"/>
  <c r="R130" i="6" s="1"/>
  <c r="R137" i="6" s="1"/>
  <c r="Q121" i="6"/>
  <c r="Q130" i="6" s="1"/>
  <c r="Q137" i="6" s="1"/>
  <c r="P121" i="6"/>
  <c r="P130" i="6" s="1"/>
  <c r="P137" i="6" s="1"/>
  <c r="O121" i="6"/>
  <c r="O130" i="6" s="1"/>
  <c r="O137" i="6" s="1"/>
  <c r="N121" i="6"/>
  <c r="N130" i="6" s="1"/>
  <c r="N137" i="6" s="1"/>
  <c r="M121" i="6"/>
  <c r="L121" i="6"/>
  <c r="K121" i="6"/>
  <c r="K130" i="6" s="1"/>
  <c r="K137" i="6" s="1"/>
  <c r="J121" i="6"/>
  <c r="J130" i="6" s="1"/>
  <c r="J137" i="6" s="1"/>
  <c r="I121" i="6"/>
  <c r="I130" i="6" s="1"/>
  <c r="I137" i="6" s="1"/>
  <c r="H121" i="6"/>
  <c r="H130" i="6" s="1"/>
  <c r="H137" i="6" s="1"/>
  <c r="G121" i="6"/>
  <c r="G130" i="6" s="1"/>
  <c r="G137" i="6" s="1"/>
  <c r="F121" i="6"/>
  <c r="F130" i="6" s="1"/>
  <c r="F137" i="6" s="1"/>
  <c r="AE120" i="6"/>
  <c r="AD120" i="6"/>
  <c r="AC120" i="6"/>
  <c r="AB120" i="6"/>
  <c r="AA120" i="6"/>
  <c r="Z120" i="6"/>
  <c r="Y120" i="6"/>
  <c r="X120" i="6"/>
  <c r="W120" i="6"/>
  <c r="V120" i="6"/>
  <c r="U120" i="6"/>
  <c r="T120" i="6"/>
  <c r="S120" i="6"/>
  <c r="O120" i="6"/>
  <c r="AE119" i="6"/>
  <c r="AD119" i="6"/>
  <c r="AC119" i="6"/>
  <c r="AB119" i="6"/>
  <c r="AA119" i="6"/>
  <c r="Z119" i="6"/>
  <c r="Y119" i="6"/>
  <c r="X119" i="6"/>
  <c r="W119" i="6"/>
  <c r="V119" i="6"/>
  <c r="U119" i="6"/>
  <c r="T119" i="6"/>
  <c r="S119" i="6"/>
  <c r="R119" i="6"/>
  <c r="Q119" i="6"/>
  <c r="P119" i="6"/>
  <c r="O119" i="6"/>
  <c r="N119" i="6"/>
  <c r="M119" i="6"/>
  <c r="L119" i="6"/>
  <c r="K119" i="6"/>
  <c r="J119" i="6"/>
  <c r="I119" i="6"/>
  <c r="H119" i="6"/>
  <c r="G119" i="6"/>
  <c r="F119" i="6"/>
  <c r="AE118" i="6"/>
  <c r="AD118" i="6"/>
  <c r="AC118" i="6"/>
  <c r="AB118" i="6"/>
  <c r="AA118" i="6"/>
  <c r="Z118" i="6"/>
  <c r="Y118" i="6"/>
  <c r="X118" i="6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AE117" i="6"/>
  <c r="AD117" i="6"/>
  <c r="AC117" i="6"/>
  <c r="AB117" i="6"/>
  <c r="AB129" i="6" s="1"/>
  <c r="AA117" i="6"/>
  <c r="AA129" i="6" s="1"/>
  <c r="Z117" i="6"/>
  <c r="Z129" i="6" s="1"/>
  <c r="Y117" i="6"/>
  <c r="X117" i="6"/>
  <c r="W117" i="6"/>
  <c r="V117" i="6"/>
  <c r="U117" i="6"/>
  <c r="T117" i="6"/>
  <c r="T129" i="6" s="1"/>
  <c r="S117" i="6"/>
  <c r="Q117" i="6"/>
  <c r="Q129" i="6" s="1"/>
  <c r="Q136" i="6" s="1"/>
  <c r="P117" i="6"/>
  <c r="O117" i="6"/>
  <c r="N117" i="6"/>
  <c r="M117" i="6"/>
  <c r="K117" i="6"/>
  <c r="J117" i="6"/>
  <c r="I117" i="6"/>
  <c r="H117" i="6"/>
  <c r="G117" i="6"/>
  <c r="F117" i="6"/>
  <c r="AE116" i="6"/>
  <c r="AD116" i="6"/>
  <c r="AC116" i="6"/>
  <c r="AB116" i="6"/>
  <c r="AA116" i="6"/>
  <c r="AA128" i="6" s="1"/>
  <c r="Z116" i="6"/>
  <c r="Z128" i="6" s="1"/>
  <c r="Y116" i="6"/>
  <c r="Y128" i="6" s="1"/>
  <c r="X116" i="6"/>
  <c r="W116" i="6"/>
  <c r="V116" i="6"/>
  <c r="U116" i="6"/>
  <c r="T116" i="6"/>
  <c r="S116" i="6"/>
  <c r="S128" i="6" s="1"/>
  <c r="R116" i="6"/>
  <c r="R128" i="6" s="1"/>
  <c r="R135" i="6" s="1"/>
  <c r="P116" i="6"/>
  <c r="P128" i="6" s="1"/>
  <c r="P135" i="6" s="1"/>
  <c r="N116" i="6"/>
  <c r="L116" i="6"/>
  <c r="J116" i="6"/>
  <c r="H116" i="6"/>
  <c r="F116" i="6"/>
  <c r="AE115" i="6"/>
  <c r="AD115" i="6"/>
  <c r="AC115" i="6"/>
  <c r="AB115" i="6"/>
  <c r="AA115" i="6"/>
  <c r="Z115" i="6"/>
  <c r="Y115" i="6"/>
  <c r="X115" i="6"/>
  <c r="W115" i="6"/>
  <c r="V115" i="6"/>
  <c r="U115" i="6"/>
  <c r="T115" i="6"/>
  <c r="S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AE114" i="6"/>
  <c r="AE127" i="6" s="1"/>
  <c r="AD114" i="6"/>
  <c r="AD127" i="6" s="1"/>
  <c r="AC114" i="6"/>
  <c r="AC127" i="6" s="1"/>
  <c r="AB114" i="6"/>
  <c r="AB127" i="6" s="1"/>
  <c r="AA114" i="6"/>
  <c r="AA127" i="6" s="1"/>
  <c r="Z114" i="6"/>
  <c r="Z127" i="6" s="1"/>
  <c r="Y114" i="6"/>
  <c r="Y127" i="6" s="1"/>
  <c r="X114" i="6"/>
  <c r="X127" i="6" s="1"/>
  <c r="W114" i="6"/>
  <c r="W127" i="6" s="1"/>
  <c r="V114" i="6"/>
  <c r="V127" i="6" s="1"/>
  <c r="U114" i="6"/>
  <c r="U127" i="6" s="1"/>
  <c r="T114" i="6"/>
  <c r="T127" i="6" s="1"/>
  <c r="S114" i="6"/>
  <c r="S127" i="6" s="1"/>
  <c r="K114" i="6"/>
  <c r="K127" i="6" s="1"/>
  <c r="K134" i="6" s="1"/>
  <c r="W146" i="6"/>
  <c r="V146" i="6"/>
  <c r="AE90" i="6"/>
  <c r="AE146" i="6" s="1"/>
  <c r="AD90" i="6"/>
  <c r="AD146" i="6" s="1"/>
  <c r="AC90" i="6"/>
  <c r="AB90" i="6"/>
  <c r="AA90" i="6"/>
  <c r="AA146" i="6" s="1"/>
  <c r="Z90" i="6"/>
  <c r="Y90" i="6"/>
  <c r="X90" i="6"/>
  <c r="X146" i="6" s="1"/>
  <c r="W90" i="6"/>
  <c r="V90" i="6"/>
  <c r="U90" i="6"/>
  <c r="T90" i="6"/>
  <c r="S90" i="6"/>
  <c r="S146" i="6" s="1"/>
  <c r="I93" i="4" l="1"/>
  <c r="I91" i="4"/>
  <c r="T57" i="4"/>
  <c r="S61" i="4"/>
  <c r="S55" i="4"/>
  <c r="S59" i="4" s="1"/>
  <c r="M93" i="4"/>
  <c r="M91" i="4"/>
  <c r="F91" i="4"/>
  <c r="F93" i="4"/>
  <c r="E93" i="4"/>
  <c r="E91" i="4"/>
  <c r="K93" i="4"/>
  <c r="K91" i="4"/>
  <c r="G93" i="4"/>
  <c r="G91" i="4"/>
  <c r="AC43" i="13"/>
  <c r="AB11" i="13"/>
  <c r="AC73" i="8"/>
  <c r="AB71" i="8"/>
  <c r="AB75" i="8" s="1"/>
  <c r="AA17" i="13"/>
  <c r="W12" i="30"/>
  <c r="AB49" i="13"/>
  <c r="D14" i="31"/>
  <c r="G46" i="20"/>
  <c r="G47" i="20"/>
  <c r="D18" i="31"/>
  <c r="G46" i="21"/>
  <c r="G47" i="21"/>
  <c r="G65" i="13"/>
  <c r="G61" i="20"/>
  <c r="G61" i="21"/>
  <c r="G49" i="13"/>
  <c r="G33" i="13"/>
  <c r="G31" i="20"/>
  <c r="G31" i="21"/>
  <c r="G11" i="13"/>
  <c r="AE49" i="9"/>
  <c r="AD53" i="9"/>
  <c r="AD47" i="9"/>
  <c r="AD51" i="9" s="1"/>
  <c r="AE50" i="9"/>
  <c r="AC88" i="8"/>
  <c r="AC90" i="8"/>
  <c r="AC77" i="8"/>
  <c r="Z71" i="3"/>
  <c r="AA67" i="3"/>
  <c r="Z68" i="3"/>
  <c r="Y70" i="3"/>
  <c r="Z66" i="3"/>
  <c r="Z58" i="5"/>
  <c r="Z56" i="5"/>
  <c r="AA54" i="5"/>
  <c r="AC129" i="6"/>
  <c r="U129" i="6"/>
  <c r="AA130" i="6"/>
  <c r="S130" i="6"/>
  <c r="S129" i="6"/>
  <c r="G88" i="8"/>
  <c r="G90" i="8"/>
  <c r="G89" i="8"/>
  <c r="G91" i="8"/>
  <c r="K76" i="8"/>
  <c r="K78" i="8"/>
  <c r="K75" i="8"/>
  <c r="K77" i="8"/>
  <c r="K51" i="8"/>
  <c r="O88" i="8"/>
  <c r="O90" i="8"/>
  <c r="O89" i="8"/>
  <c r="O91" i="8"/>
  <c r="O65" i="8"/>
  <c r="G65" i="8"/>
  <c r="F128" i="6"/>
  <c r="F135" i="6" s="1"/>
  <c r="T128" i="6"/>
  <c r="AB128" i="6"/>
  <c r="H128" i="6"/>
  <c r="H135" i="6" s="1"/>
  <c r="U128" i="6"/>
  <c r="AC128" i="6"/>
  <c r="J128" i="6"/>
  <c r="J135" i="6" s="1"/>
  <c r="V128" i="6"/>
  <c r="AD128" i="6"/>
  <c r="V129" i="6"/>
  <c r="AD129" i="6"/>
  <c r="R129" i="6"/>
  <c r="R136" i="6" s="1"/>
  <c r="L128" i="6"/>
  <c r="L135" i="6" s="1"/>
  <c r="W128" i="6"/>
  <c r="AE128" i="6"/>
  <c r="N129" i="6"/>
  <c r="N136" i="6" s="1"/>
  <c r="W129" i="6"/>
  <c r="AE129" i="6"/>
  <c r="G128" i="6"/>
  <c r="G135" i="6" s="1"/>
  <c r="N128" i="6"/>
  <c r="N135" i="6" s="1"/>
  <c r="X128" i="6"/>
  <c r="O129" i="6"/>
  <c r="O136" i="6" s="1"/>
  <c r="X129" i="6"/>
  <c r="L130" i="6"/>
  <c r="L137" i="6" s="1"/>
  <c r="T130" i="6"/>
  <c r="AB130" i="6"/>
  <c r="I128" i="6"/>
  <c r="I135" i="6" s="1"/>
  <c r="Y129" i="6"/>
  <c r="M130" i="6"/>
  <c r="M137" i="6" s="1"/>
  <c r="U130" i="6"/>
  <c r="AC130" i="6"/>
  <c r="O128" i="6"/>
  <c r="O135" i="6" s="1"/>
  <c r="M41" i="9"/>
  <c r="G41" i="9"/>
  <c r="O41" i="9"/>
  <c r="P120" i="6"/>
  <c r="P129" i="6" s="1"/>
  <c r="P136" i="6" s="1"/>
  <c r="Y146" i="6"/>
  <c r="K116" i="6"/>
  <c r="K128" i="6" s="1"/>
  <c r="K135" i="6" s="1"/>
  <c r="M116" i="6"/>
  <c r="M128" i="6" s="1"/>
  <c r="M135" i="6" s="1"/>
  <c r="T123" i="6"/>
  <c r="L117" i="6"/>
  <c r="Y123" i="6"/>
  <c r="W123" i="6"/>
  <c r="AE123" i="6"/>
  <c r="X123" i="6"/>
  <c r="U123" i="6"/>
  <c r="AC123" i="6"/>
  <c r="V123" i="6"/>
  <c r="AD123" i="6"/>
  <c r="AB123" i="6"/>
  <c r="Z146" i="6"/>
  <c r="S123" i="6"/>
  <c r="AA123" i="6"/>
  <c r="T146" i="6"/>
  <c r="AB146" i="6"/>
  <c r="U146" i="6"/>
  <c r="AC146" i="6"/>
  <c r="Z123" i="6"/>
  <c r="U57" i="4" l="1"/>
  <c r="T61" i="4"/>
  <c r="T55" i="4"/>
  <c r="T59" i="4" s="1"/>
  <c r="P8" i="30"/>
  <c r="T16" i="13"/>
  <c r="T18" i="13"/>
  <c r="T48" i="13"/>
  <c r="Q10" i="31"/>
  <c r="T50" i="13"/>
  <c r="AD43" i="13"/>
  <c r="AC11" i="13"/>
  <c r="AD73" i="8"/>
  <c r="AC71" i="8"/>
  <c r="AC75" i="8" s="1"/>
  <c r="AB17" i="13"/>
  <c r="X12" i="30"/>
  <c r="AC49" i="13"/>
  <c r="G17" i="13"/>
  <c r="C12" i="30"/>
  <c r="AE53" i="9"/>
  <c r="AE47" i="9"/>
  <c r="AE51" i="9" s="1"/>
  <c r="AD88" i="8"/>
  <c r="AD90" i="8"/>
  <c r="AD77" i="8"/>
  <c r="AA66" i="3"/>
  <c r="Z70" i="3"/>
  <c r="AA68" i="3"/>
  <c r="AB68" i="3"/>
  <c r="AA71" i="3"/>
  <c r="AB67" i="3"/>
  <c r="AB71" i="3" s="1"/>
  <c r="AB54" i="5"/>
  <c r="AA56" i="5"/>
  <c r="AA58" i="5"/>
  <c r="AC131" i="6"/>
  <c r="AD131" i="6"/>
  <c r="U131" i="6"/>
  <c r="P7" i="30" l="1"/>
  <c r="V57" i="4"/>
  <c r="U55" i="4"/>
  <c r="U59" i="4" s="1"/>
  <c r="U61" i="4"/>
  <c r="U48" i="13"/>
  <c r="R10" i="31"/>
  <c r="U50" i="13"/>
  <c r="Q8" i="31"/>
  <c r="Q25" i="31" s="1"/>
  <c r="Q8" i="30"/>
  <c r="U16" i="13"/>
  <c r="U18" i="13"/>
  <c r="AE43" i="13"/>
  <c r="AD11" i="13"/>
  <c r="AE73" i="8"/>
  <c r="AE71" i="8" s="1"/>
  <c r="AD71" i="8"/>
  <c r="AD75" i="8" s="1"/>
  <c r="AC17" i="13"/>
  <c r="Y12" i="30"/>
  <c r="AD49" i="13"/>
  <c r="AE88" i="8"/>
  <c r="AE90" i="8"/>
  <c r="AE75" i="8"/>
  <c r="AE77" i="8"/>
  <c r="AB66" i="3"/>
  <c r="AB70" i="3" s="1"/>
  <c r="AA70" i="3"/>
  <c r="AB58" i="5"/>
  <c r="AB56" i="5"/>
  <c r="AC54" i="5"/>
  <c r="V131" i="6"/>
  <c r="S131" i="6"/>
  <c r="T131" i="6"/>
  <c r="Y131" i="6"/>
  <c r="W131" i="6"/>
  <c r="X131" i="6"/>
  <c r="AA131" i="6"/>
  <c r="Z131" i="6"/>
  <c r="P38" i="30" l="1"/>
  <c r="P39" i="30"/>
  <c r="P33" i="30"/>
  <c r="P32" i="30"/>
  <c r="Q7" i="30"/>
  <c r="Q39" i="30" s="1"/>
  <c r="Q38" i="30"/>
  <c r="V48" i="13"/>
  <c r="S10" i="31"/>
  <c r="V50" i="13"/>
  <c r="Q26" i="31"/>
  <c r="Q23" i="31"/>
  <c r="Q24" i="31"/>
  <c r="W57" i="4"/>
  <c r="V61" i="4"/>
  <c r="V55" i="4"/>
  <c r="V59" i="4" s="1"/>
  <c r="R8" i="30"/>
  <c r="V16" i="13"/>
  <c r="V18" i="13"/>
  <c r="R8" i="31"/>
  <c r="R25" i="31" s="1"/>
  <c r="AF43" i="13"/>
  <c r="AF11" i="13"/>
  <c r="AE11" i="13"/>
  <c r="AD17" i="13"/>
  <c r="Z12" i="30"/>
  <c r="AE49" i="13"/>
  <c r="AC58" i="5"/>
  <c r="AC56" i="5"/>
  <c r="AD54" i="5"/>
  <c r="AE131" i="6"/>
  <c r="Q32" i="30" l="1"/>
  <c r="Q33" i="30"/>
  <c r="R7" i="30"/>
  <c r="R32" i="30" s="1"/>
  <c r="X57" i="4"/>
  <c r="W61" i="4"/>
  <c r="W55" i="4"/>
  <c r="W59" i="4" s="1"/>
  <c r="W16" i="13"/>
  <c r="S8" i="30"/>
  <c r="W18" i="13"/>
  <c r="W48" i="13"/>
  <c r="T10" i="31"/>
  <c r="W50" i="13"/>
  <c r="S8" i="31"/>
  <c r="S25" i="31" s="1"/>
  <c r="R38" i="30"/>
  <c r="R39" i="30"/>
  <c r="R23" i="31"/>
  <c r="R24" i="31"/>
  <c r="R26" i="31"/>
  <c r="AE17" i="13"/>
  <c r="AA12" i="30"/>
  <c r="AF17" i="13"/>
  <c r="AB12" i="30"/>
  <c r="AF49" i="13"/>
  <c r="AD56" i="5"/>
  <c r="AD58" i="5"/>
  <c r="M42" i="5"/>
  <c r="I43" i="5"/>
  <c r="Q43" i="5"/>
  <c r="M44" i="5"/>
  <c r="I45" i="5"/>
  <c r="Q45" i="5"/>
  <c r="E45" i="5"/>
  <c r="E44" i="5"/>
  <c r="Q40" i="5"/>
  <c r="P40" i="5"/>
  <c r="O40" i="5"/>
  <c r="M40" i="5"/>
  <c r="K40" i="5"/>
  <c r="I40" i="5"/>
  <c r="G40" i="5"/>
  <c r="N40" i="5"/>
  <c r="L40" i="5"/>
  <c r="J40" i="5"/>
  <c r="H40" i="5"/>
  <c r="F40" i="5"/>
  <c r="F38" i="5"/>
  <c r="G38" i="5"/>
  <c r="I38" i="5"/>
  <c r="K38" i="5"/>
  <c r="M38" i="5"/>
  <c r="N38" i="5"/>
  <c r="O38" i="5"/>
  <c r="P38" i="5"/>
  <c r="Q38" i="5"/>
  <c r="E38" i="5"/>
  <c r="E40" i="5"/>
  <c r="G37" i="5"/>
  <c r="G51" i="5" s="1"/>
  <c r="H37" i="5"/>
  <c r="H51" i="5" s="1"/>
  <c r="I37" i="5"/>
  <c r="I51" i="5" s="1"/>
  <c r="K37" i="5"/>
  <c r="K51" i="5" s="1"/>
  <c r="M37" i="5"/>
  <c r="M51" i="5" s="1"/>
  <c r="O37" i="5"/>
  <c r="O51" i="5" s="1"/>
  <c r="P37" i="5"/>
  <c r="P51" i="5" s="1"/>
  <c r="Q37" i="5"/>
  <c r="Q51" i="5" s="1"/>
  <c r="E37" i="5"/>
  <c r="E51" i="5" s="1"/>
  <c r="N31" i="5"/>
  <c r="N37" i="5" s="1"/>
  <c r="L31" i="5"/>
  <c r="L37" i="5" s="1"/>
  <c r="J31" i="5"/>
  <c r="J37" i="5" s="1"/>
  <c r="H31" i="5"/>
  <c r="H38" i="5" s="1"/>
  <c r="F31" i="5"/>
  <c r="F37" i="5" s="1"/>
  <c r="F17" i="5"/>
  <c r="G17" i="5"/>
  <c r="H17" i="5"/>
  <c r="I17" i="5"/>
  <c r="J17" i="5"/>
  <c r="K17" i="5"/>
  <c r="L17" i="5"/>
  <c r="M17" i="5"/>
  <c r="N17" i="5"/>
  <c r="O17" i="5"/>
  <c r="P17" i="5"/>
  <c r="Q17" i="5"/>
  <c r="E17" i="5"/>
  <c r="N43" i="4"/>
  <c r="L43" i="4"/>
  <c r="J43" i="4"/>
  <c r="H43" i="4"/>
  <c r="F43" i="4"/>
  <c r="G41" i="4"/>
  <c r="G55" i="4" s="1"/>
  <c r="I41" i="4"/>
  <c r="I55" i="4" s="1"/>
  <c r="K41" i="4"/>
  <c r="K55" i="4" s="1"/>
  <c r="M41" i="4"/>
  <c r="O41" i="4"/>
  <c r="O55" i="4" s="1"/>
  <c r="P41" i="4"/>
  <c r="P55" i="4" s="1"/>
  <c r="Q41" i="4"/>
  <c r="Q55" i="4" s="1"/>
  <c r="E41" i="4"/>
  <c r="E55" i="4" s="1"/>
  <c r="G43" i="4"/>
  <c r="I43" i="4"/>
  <c r="K43" i="4"/>
  <c r="M43" i="4"/>
  <c r="O43" i="4"/>
  <c r="P43" i="4"/>
  <c r="Q43" i="4"/>
  <c r="E43" i="4"/>
  <c r="M48" i="4"/>
  <c r="G40" i="4"/>
  <c r="I40" i="4"/>
  <c r="K40" i="4"/>
  <c r="K48" i="4" s="1"/>
  <c r="M40" i="4"/>
  <c r="O40" i="4"/>
  <c r="P40" i="4"/>
  <c r="Q40" i="4"/>
  <c r="E40" i="4"/>
  <c r="N34" i="4"/>
  <c r="N41" i="4" s="1"/>
  <c r="N55" i="4" s="1"/>
  <c r="L34" i="4"/>
  <c r="L40" i="4" s="1"/>
  <c r="L54" i="4" s="1"/>
  <c r="J34" i="4"/>
  <c r="J40" i="4" s="1"/>
  <c r="J54" i="4" s="1"/>
  <c r="H34" i="4"/>
  <c r="H40" i="4" s="1"/>
  <c r="H54" i="4" s="1"/>
  <c r="F34" i="4"/>
  <c r="F41" i="4" s="1"/>
  <c r="F55" i="4" s="1"/>
  <c r="F20" i="4"/>
  <c r="G20" i="4"/>
  <c r="H20" i="4"/>
  <c r="I20" i="4"/>
  <c r="J20" i="4"/>
  <c r="K20" i="4"/>
  <c r="L20" i="4"/>
  <c r="M20" i="4"/>
  <c r="N20" i="4"/>
  <c r="O20" i="4"/>
  <c r="P20" i="4"/>
  <c r="Q20" i="4"/>
  <c r="E20" i="4"/>
  <c r="F19" i="4"/>
  <c r="G19" i="4"/>
  <c r="H19" i="4"/>
  <c r="I19" i="4"/>
  <c r="J19" i="4"/>
  <c r="K19" i="4"/>
  <c r="L19" i="4"/>
  <c r="M19" i="4"/>
  <c r="N19" i="4"/>
  <c r="O19" i="4"/>
  <c r="P19" i="4"/>
  <c r="P29" i="4" s="1"/>
  <c r="Q19" i="4"/>
  <c r="Q29" i="4" s="1"/>
  <c r="E19" i="4"/>
  <c r="G51" i="3"/>
  <c r="G65" i="3" s="1"/>
  <c r="M51" i="3"/>
  <c r="M65" i="3" s="1"/>
  <c r="N51" i="3"/>
  <c r="N65" i="3" s="1"/>
  <c r="O51" i="3"/>
  <c r="O65" i="3" s="1"/>
  <c r="G53" i="3"/>
  <c r="I53" i="3"/>
  <c r="O53" i="3"/>
  <c r="K44" i="3"/>
  <c r="I44" i="3"/>
  <c r="C44" i="3"/>
  <c r="D30" i="3"/>
  <c r="L30" i="3"/>
  <c r="L53" i="3" s="1"/>
  <c r="L29" i="3"/>
  <c r="L52" i="3" s="1"/>
  <c r="L28" i="3"/>
  <c r="L51" i="3" s="1"/>
  <c r="L65" i="3" s="1"/>
  <c r="J30" i="3"/>
  <c r="J53" i="3" s="1"/>
  <c r="J29" i="3"/>
  <c r="J52" i="3" s="1"/>
  <c r="J28" i="3"/>
  <c r="J51" i="3" s="1"/>
  <c r="J65" i="3" s="1"/>
  <c r="H30" i="3"/>
  <c r="H53" i="3" s="1"/>
  <c r="H29" i="3"/>
  <c r="H52" i="3" s="1"/>
  <c r="H28" i="3"/>
  <c r="H51" i="3" s="1"/>
  <c r="H65" i="3" s="1"/>
  <c r="F30" i="3"/>
  <c r="F53" i="3" s="1"/>
  <c r="F29" i="3"/>
  <c r="F52" i="3" s="1"/>
  <c r="F28" i="3"/>
  <c r="F51" i="3" s="1"/>
  <c r="F65" i="3" s="1"/>
  <c r="D29" i="3"/>
  <c r="D28" i="3"/>
  <c r="N53" i="3"/>
  <c r="M53" i="3"/>
  <c r="K51" i="3"/>
  <c r="K65" i="3" s="1"/>
  <c r="I31" i="3"/>
  <c r="I50" i="3" s="1"/>
  <c r="I64" i="3" s="1"/>
  <c r="G31" i="3"/>
  <c r="G50" i="3" s="1"/>
  <c r="G64" i="3" s="1"/>
  <c r="E53" i="3"/>
  <c r="C31" i="3"/>
  <c r="C50" i="3" s="1"/>
  <c r="C21" i="3"/>
  <c r="C57" i="3"/>
  <c r="C51" i="3"/>
  <c r="E49" i="3"/>
  <c r="G49" i="3"/>
  <c r="G63" i="3" s="1"/>
  <c r="I49" i="3"/>
  <c r="I63" i="3" s="1"/>
  <c r="K49" i="3"/>
  <c r="K63" i="3" s="1"/>
  <c r="M49" i="3"/>
  <c r="M63" i="3" s="1"/>
  <c r="N49" i="3"/>
  <c r="N63" i="3" s="1"/>
  <c r="O49" i="3"/>
  <c r="O63" i="3" s="1"/>
  <c r="C49" i="3"/>
  <c r="C63" i="3" s="1"/>
  <c r="L5" i="3"/>
  <c r="L22" i="3" s="1"/>
  <c r="J5" i="3"/>
  <c r="J23" i="3" s="1"/>
  <c r="H5" i="3"/>
  <c r="H21" i="3" s="1"/>
  <c r="F5" i="3"/>
  <c r="F21" i="3" s="1"/>
  <c r="D5" i="3"/>
  <c r="D44" i="3"/>
  <c r="E44" i="3"/>
  <c r="F44" i="3"/>
  <c r="G44" i="3"/>
  <c r="H44" i="3"/>
  <c r="J44" i="3"/>
  <c r="L44" i="3"/>
  <c r="M44" i="3"/>
  <c r="I32" i="2"/>
  <c r="I38" i="2" s="1"/>
  <c r="K32" i="2"/>
  <c r="K38" i="2" s="1"/>
  <c r="M32" i="2"/>
  <c r="O32" i="2"/>
  <c r="Q32" i="2"/>
  <c r="Q38" i="2" s="1"/>
  <c r="R32" i="2"/>
  <c r="R38" i="2" s="1"/>
  <c r="S32" i="2"/>
  <c r="S38" i="2" s="1"/>
  <c r="G32" i="2"/>
  <c r="E21" i="3"/>
  <c r="G21" i="3"/>
  <c r="I21" i="3"/>
  <c r="K21" i="3"/>
  <c r="M21" i="3"/>
  <c r="N21" i="3"/>
  <c r="O21" i="3"/>
  <c r="E22" i="3"/>
  <c r="G22" i="3"/>
  <c r="I22" i="3"/>
  <c r="K22" i="3"/>
  <c r="M22" i="3"/>
  <c r="N22" i="3"/>
  <c r="O22" i="3"/>
  <c r="E23" i="3"/>
  <c r="G23" i="3"/>
  <c r="I23" i="3"/>
  <c r="K23" i="3"/>
  <c r="M23" i="3"/>
  <c r="N23" i="3"/>
  <c r="O23" i="3"/>
  <c r="C23" i="3"/>
  <c r="C22" i="3"/>
  <c r="H24" i="2"/>
  <c r="H36" i="2" s="1"/>
  <c r="P24" i="2"/>
  <c r="P36" i="2" s="1"/>
  <c r="H16" i="2"/>
  <c r="H25" i="2" s="1"/>
  <c r="I16" i="2"/>
  <c r="I25" i="2" s="1"/>
  <c r="J16" i="2"/>
  <c r="J25" i="2" s="1"/>
  <c r="K16" i="2"/>
  <c r="K25" i="2" s="1"/>
  <c r="L16" i="2"/>
  <c r="L25" i="2" s="1"/>
  <c r="L35" i="2" s="1"/>
  <c r="M16" i="2"/>
  <c r="M25" i="2" s="1"/>
  <c r="M35" i="2" s="1"/>
  <c r="N16" i="2"/>
  <c r="N25" i="2" s="1"/>
  <c r="N35" i="2" s="1"/>
  <c r="O16" i="2"/>
  <c r="O25" i="2" s="1"/>
  <c r="O35" i="2" s="1"/>
  <c r="P16" i="2"/>
  <c r="P25" i="2" s="1"/>
  <c r="Q16" i="2"/>
  <c r="Q25" i="2" s="1"/>
  <c r="R16" i="2"/>
  <c r="R25" i="2" s="1"/>
  <c r="S16" i="2"/>
  <c r="S25" i="2" s="1"/>
  <c r="G16" i="2"/>
  <c r="G25" i="2" s="1"/>
  <c r="H15" i="2"/>
  <c r="I15" i="2"/>
  <c r="I24" i="2" s="1"/>
  <c r="I36" i="2" s="1"/>
  <c r="J15" i="2"/>
  <c r="J24" i="2" s="1"/>
  <c r="J36" i="2" s="1"/>
  <c r="K15" i="2"/>
  <c r="K24" i="2" s="1"/>
  <c r="K36" i="2" s="1"/>
  <c r="L15" i="2"/>
  <c r="L24" i="2" s="1"/>
  <c r="M15" i="2"/>
  <c r="M24" i="2" s="1"/>
  <c r="N15" i="2"/>
  <c r="N24" i="2" s="1"/>
  <c r="O15" i="2"/>
  <c r="O24" i="2" s="1"/>
  <c r="P15" i="2"/>
  <c r="Q15" i="2"/>
  <c r="Q24" i="2" s="1"/>
  <c r="Q36" i="2" s="1"/>
  <c r="R15" i="2"/>
  <c r="R24" i="2" s="1"/>
  <c r="R36" i="2" s="1"/>
  <c r="S15" i="2"/>
  <c r="S24" i="2" s="1"/>
  <c r="S36" i="2" s="1"/>
  <c r="G15" i="2"/>
  <c r="G24" i="2" s="1"/>
  <c r="G36" i="2" s="1"/>
  <c r="G14" i="2"/>
  <c r="P5" i="2" s="1"/>
  <c r="P32" i="2" s="1"/>
  <c r="I14" i="2"/>
  <c r="K14" i="2"/>
  <c r="M14" i="2"/>
  <c r="O14" i="2"/>
  <c r="Q14" i="2"/>
  <c r="R14" i="2"/>
  <c r="S14" i="2"/>
  <c r="D30" i="1"/>
  <c r="E30" i="1"/>
  <c r="F30" i="1"/>
  <c r="G30" i="1"/>
  <c r="H30" i="1"/>
  <c r="I30" i="1"/>
  <c r="J30" i="1"/>
  <c r="K30" i="1"/>
  <c r="L30" i="1"/>
  <c r="M30" i="1"/>
  <c r="N30" i="1"/>
  <c r="O30" i="1"/>
  <c r="C30" i="1"/>
  <c r="D28" i="1"/>
  <c r="E28" i="1"/>
  <c r="F28" i="1"/>
  <c r="G28" i="1"/>
  <c r="H28" i="1"/>
  <c r="I28" i="1"/>
  <c r="J28" i="1"/>
  <c r="K28" i="1"/>
  <c r="L28" i="1"/>
  <c r="M28" i="1"/>
  <c r="N28" i="1"/>
  <c r="O28" i="1"/>
  <c r="C28" i="1"/>
  <c r="D26" i="1"/>
  <c r="E26" i="1"/>
  <c r="F26" i="1"/>
  <c r="G26" i="1"/>
  <c r="H26" i="1"/>
  <c r="I26" i="1"/>
  <c r="J26" i="1"/>
  <c r="K26" i="1"/>
  <c r="L26" i="1"/>
  <c r="M26" i="1"/>
  <c r="N26" i="1"/>
  <c r="O26" i="1"/>
  <c r="C26" i="1"/>
  <c r="D23" i="1"/>
  <c r="E23" i="1"/>
  <c r="F23" i="1"/>
  <c r="G23" i="1"/>
  <c r="H23" i="1"/>
  <c r="I23" i="1"/>
  <c r="J23" i="1"/>
  <c r="K23" i="1"/>
  <c r="L23" i="1"/>
  <c r="M23" i="1"/>
  <c r="N23" i="1"/>
  <c r="N22" i="1" s="1"/>
  <c r="O23" i="1"/>
  <c r="C23" i="1"/>
  <c r="S7" i="30" l="1"/>
  <c r="R33" i="30"/>
  <c r="L41" i="4"/>
  <c r="L55" i="4" s="1"/>
  <c r="Q35" i="4"/>
  <c r="Q71" i="4" s="1"/>
  <c r="P35" i="4"/>
  <c r="P71" i="4" s="1"/>
  <c r="P72" i="4"/>
  <c r="E47" i="4"/>
  <c r="N40" i="4"/>
  <c r="N54" i="4" s="1"/>
  <c r="P46" i="4"/>
  <c r="P54" i="4"/>
  <c r="O48" i="4"/>
  <c r="O54" i="4"/>
  <c r="I47" i="4"/>
  <c r="H61" i="4"/>
  <c r="H62" i="4"/>
  <c r="H60" i="4"/>
  <c r="J62" i="4"/>
  <c r="J60" i="4"/>
  <c r="J61" i="4"/>
  <c r="Y57" i="4"/>
  <c r="X61" i="4"/>
  <c r="X55" i="4"/>
  <c r="X59" i="4" s="1"/>
  <c r="M46" i="4"/>
  <c r="M54" i="4"/>
  <c r="L60" i="4"/>
  <c r="L62" i="4"/>
  <c r="L61" i="4"/>
  <c r="L59" i="4"/>
  <c r="K46" i="4"/>
  <c r="K54" i="4"/>
  <c r="E78" i="4"/>
  <c r="E92" i="4"/>
  <c r="I45" i="4"/>
  <c r="I54" i="4"/>
  <c r="X48" i="13"/>
  <c r="X50" i="13"/>
  <c r="U10" i="31"/>
  <c r="N62" i="4"/>
  <c r="N60" i="4"/>
  <c r="N61" i="4"/>
  <c r="N59" i="4"/>
  <c r="P45" i="4"/>
  <c r="X16" i="13"/>
  <c r="T8" i="30"/>
  <c r="X18" i="13"/>
  <c r="T8" i="31"/>
  <c r="T25" i="31" s="1"/>
  <c r="E48" i="4"/>
  <c r="E54" i="4"/>
  <c r="G48" i="4"/>
  <c r="G54" i="4"/>
  <c r="Q46" i="4"/>
  <c r="Q54" i="4"/>
  <c r="E46" i="4"/>
  <c r="M45" i="4"/>
  <c r="M49" i="4" s="1"/>
  <c r="M55" i="4"/>
  <c r="S24" i="31"/>
  <c r="S23" i="31"/>
  <c r="S26" i="31"/>
  <c r="S38" i="30"/>
  <c r="S32" i="30"/>
  <c r="S39" i="30"/>
  <c r="S33" i="30"/>
  <c r="D53" i="3"/>
  <c r="D8" i="3"/>
  <c r="D67" i="3" s="1"/>
  <c r="D51" i="3"/>
  <c r="D65" i="3" s="1"/>
  <c r="D6" i="3"/>
  <c r="D52" i="3"/>
  <c r="D7" i="3"/>
  <c r="D66" i="3" s="1"/>
  <c r="E63" i="3"/>
  <c r="E56" i="3"/>
  <c r="C55" i="3"/>
  <c r="C65" i="3"/>
  <c r="H23" i="3"/>
  <c r="J22" i="3"/>
  <c r="J21" i="3"/>
  <c r="N57" i="3"/>
  <c r="M57" i="3"/>
  <c r="K55" i="3"/>
  <c r="K56" i="3"/>
  <c r="I57" i="3"/>
  <c r="E57" i="3"/>
  <c r="C56" i="3"/>
  <c r="C54" i="3"/>
  <c r="C64" i="3"/>
  <c r="N26" i="2"/>
  <c r="N33" i="2" s="1"/>
  <c r="N36" i="2"/>
  <c r="P38" i="2"/>
  <c r="P40" i="2"/>
  <c r="M36" i="2"/>
  <c r="M26" i="2"/>
  <c r="M33" i="2" s="1"/>
  <c r="M37" i="2" s="1"/>
  <c r="M41" i="2" s="1"/>
  <c r="R26" i="2"/>
  <c r="R33" i="2" s="1"/>
  <c r="R35" i="2"/>
  <c r="J26" i="2"/>
  <c r="J33" i="2" s="1"/>
  <c r="J35" i="2"/>
  <c r="G40" i="2"/>
  <c r="O26" i="2"/>
  <c r="O33" i="2" s="1"/>
  <c r="O37" i="2" s="1"/>
  <c r="O41" i="2" s="1"/>
  <c r="O36" i="2"/>
  <c r="S26" i="2"/>
  <c r="S33" i="2" s="1"/>
  <c r="S37" i="2" s="1"/>
  <c r="S41" i="2" s="1"/>
  <c r="S35" i="2"/>
  <c r="S39" i="2" s="1"/>
  <c r="K26" i="2"/>
  <c r="K33" i="2" s="1"/>
  <c r="K37" i="2" s="1"/>
  <c r="K35" i="2"/>
  <c r="K39" i="2" s="1"/>
  <c r="L36" i="2"/>
  <c r="L26" i="2"/>
  <c r="L33" i="2" s="1"/>
  <c r="Q26" i="2"/>
  <c r="Q33" i="2" s="1"/>
  <c r="Q37" i="2" s="1"/>
  <c r="Q41" i="2" s="1"/>
  <c r="Q35" i="2"/>
  <c r="I26" i="2"/>
  <c r="I33" i="2" s="1"/>
  <c r="I37" i="2" s="1"/>
  <c r="I41" i="2" s="1"/>
  <c r="I35" i="2"/>
  <c r="H26" i="2"/>
  <c r="H33" i="2" s="1"/>
  <c r="H35" i="2"/>
  <c r="P26" i="2"/>
  <c r="P33" i="2" s="1"/>
  <c r="P37" i="2" s="1"/>
  <c r="P41" i="2" s="1"/>
  <c r="P35" i="2"/>
  <c r="P39" i="2" s="1"/>
  <c r="G38" i="2"/>
  <c r="R39" i="2"/>
  <c r="R37" i="2"/>
  <c r="O40" i="2"/>
  <c r="G39" i="2"/>
  <c r="M40" i="2"/>
  <c r="Q39" i="2"/>
  <c r="I39" i="2"/>
  <c r="M38" i="2"/>
  <c r="O38" i="2"/>
  <c r="H5" i="2"/>
  <c r="H32" i="2" s="1"/>
  <c r="J5" i="2"/>
  <c r="J32" i="2" s="1"/>
  <c r="S40" i="2"/>
  <c r="K40" i="2"/>
  <c r="O39" i="2"/>
  <c r="L5" i="2"/>
  <c r="L32" i="2" s="1"/>
  <c r="R40" i="2"/>
  <c r="N5" i="2"/>
  <c r="N32" i="2" s="1"/>
  <c r="Q40" i="2"/>
  <c r="I40" i="2"/>
  <c r="M39" i="2"/>
  <c r="F49" i="3"/>
  <c r="F63" i="3" s="1"/>
  <c r="I56" i="3"/>
  <c r="I51" i="3"/>
  <c r="I65" i="3" s="1"/>
  <c r="O57" i="3"/>
  <c r="G55" i="3"/>
  <c r="N55" i="3"/>
  <c r="O55" i="3"/>
  <c r="J49" i="3"/>
  <c r="G56" i="3"/>
  <c r="M31" i="3"/>
  <c r="K53" i="3"/>
  <c r="E51" i="3"/>
  <c r="E65" i="3" s="1"/>
  <c r="G54" i="3"/>
  <c r="M56" i="3"/>
  <c r="L46" i="4"/>
  <c r="L48" i="4"/>
  <c r="H46" i="4"/>
  <c r="H48" i="4"/>
  <c r="H47" i="4"/>
  <c r="N45" i="4"/>
  <c r="J46" i="4"/>
  <c r="J48" i="4"/>
  <c r="J47" i="4"/>
  <c r="N48" i="4"/>
  <c r="O46" i="4"/>
  <c r="G46" i="4"/>
  <c r="G45" i="4"/>
  <c r="N46" i="4"/>
  <c r="E45" i="4"/>
  <c r="E49" i="4" s="1"/>
  <c r="Q45" i="4"/>
  <c r="K47" i="4"/>
  <c r="K45" i="4"/>
  <c r="O47" i="4"/>
  <c r="J41" i="4"/>
  <c r="L47" i="4"/>
  <c r="G47" i="4"/>
  <c r="O45" i="4"/>
  <c r="Q47" i="4"/>
  <c r="N47" i="4"/>
  <c r="Q48" i="4"/>
  <c r="I48" i="4"/>
  <c r="P47" i="4"/>
  <c r="H41" i="4"/>
  <c r="F40" i="4"/>
  <c r="F54" i="4" s="1"/>
  <c r="P48" i="4"/>
  <c r="I46" i="4"/>
  <c r="L45" i="4"/>
  <c r="M47" i="4"/>
  <c r="F51" i="5"/>
  <c r="F42" i="5"/>
  <c r="F44" i="5"/>
  <c r="F43" i="5"/>
  <c r="F45" i="5"/>
  <c r="J51" i="5"/>
  <c r="J43" i="5"/>
  <c r="J45" i="5"/>
  <c r="J44" i="5"/>
  <c r="L51" i="5"/>
  <c r="L43" i="5"/>
  <c r="L45" i="5"/>
  <c r="L44" i="5"/>
  <c r="N51" i="5"/>
  <c r="N42" i="5"/>
  <c r="N44" i="5"/>
  <c r="N43" i="5"/>
  <c r="N45" i="5"/>
  <c r="H43" i="5"/>
  <c r="L38" i="5"/>
  <c r="L42" i="5" s="1"/>
  <c r="L46" i="5" s="1"/>
  <c r="O45" i="5"/>
  <c r="G45" i="5"/>
  <c r="K44" i="5"/>
  <c r="O43" i="5"/>
  <c r="G43" i="5"/>
  <c r="K42" i="5"/>
  <c r="H45" i="5"/>
  <c r="P43" i="5"/>
  <c r="J38" i="5"/>
  <c r="J42" i="5" s="1"/>
  <c r="J46" i="5" s="1"/>
  <c r="M45" i="5"/>
  <c r="Q44" i="5"/>
  <c r="I44" i="5"/>
  <c r="M43" i="5"/>
  <c r="M46" i="5" s="1"/>
  <c r="Q42" i="5"/>
  <c r="Q46" i="5" s="1"/>
  <c r="I42" i="5"/>
  <c r="I46" i="5" s="1"/>
  <c r="P45" i="5"/>
  <c r="P44" i="5"/>
  <c r="H44" i="5"/>
  <c r="P42" i="5"/>
  <c r="H42" i="5"/>
  <c r="E42" i="5"/>
  <c r="E46" i="5" s="1"/>
  <c r="K45" i="5"/>
  <c r="O44" i="5"/>
  <c r="G44" i="5"/>
  <c r="K43" i="5"/>
  <c r="O42" i="5"/>
  <c r="G42" i="5"/>
  <c r="G46" i="5" s="1"/>
  <c r="E43" i="5"/>
  <c r="I54" i="3"/>
  <c r="D31" i="3"/>
  <c r="D50" i="3" s="1"/>
  <c r="D64" i="3" s="1"/>
  <c r="L31" i="3"/>
  <c r="L50" i="3" s="1"/>
  <c r="L64" i="3" s="1"/>
  <c r="J31" i="3"/>
  <c r="H31" i="3"/>
  <c r="H50" i="3" s="1"/>
  <c r="H64" i="3" s="1"/>
  <c r="L21" i="3"/>
  <c r="L49" i="3"/>
  <c r="L63" i="3" s="1"/>
  <c r="L23" i="3"/>
  <c r="H22" i="3"/>
  <c r="H24" i="3" s="1"/>
  <c r="H49" i="3"/>
  <c r="H63" i="3" s="1"/>
  <c r="F31" i="3"/>
  <c r="D49" i="3"/>
  <c r="N31" i="3"/>
  <c r="N37" i="3" s="1"/>
  <c r="M55" i="3"/>
  <c r="G57" i="3"/>
  <c r="E31" i="3"/>
  <c r="O31" i="3"/>
  <c r="O37" i="3" s="1"/>
  <c r="K31" i="3"/>
  <c r="F23" i="3"/>
  <c r="I24" i="3"/>
  <c r="O24" i="3"/>
  <c r="G24" i="3"/>
  <c r="N24" i="3"/>
  <c r="D21" i="3"/>
  <c r="F22" i="3"/>
  <c r="D23" i="3"/>
  <c r="K24" i="3"/>
  <c r="J24" i="3"/>
  <c r="M24" i="3"/>
  <c r="E24" i="3"/>
  <c r="C24" i="3"/>
  <c r="G26" i="2"/>
  <c r="G33" i="2" s="1"/>
  <c r="G37" i="2" s="1"/>
  <c r="F22" i="1"/>
  <c r="M22" i="1"/>
  <c r="L22" i="1"/>
  <c r="E22" i="1"/>
  <c r="D22" i="1"/>
  <c r="O22" i="1"/>
  <c r="K22" i="1"/>
  <c r="J22" i="1"/>
  <c r="G22" i="1"/>
  <c r="I22" i="1"/>
  <c r="H22" i="1"/>
  <c r="C22" i="1"/>
  <c r="T7" i="30" l="1"/>
  <c r="G49" i="4"/>
  <c r="O49" i="4"/>
  <c r="P79" i="4"/>
  <c r="P85" i="4"/>
  <c r="P77" i="4"/>
  <c r="Q79" i="4"/>
  <c r="Q85" i="4"/>
  <c r="Q77" i="4"/>
  <c r="Q72" i="4"/>
  <c r="K49" i="4"/>
  <c r="L49" i="4"/>
  <c r="I49" i="4"/>
  <c r="G62" i="4"/>
  <c r="G59" i="4"/>
  <c r="G60" i="4"/>
  <c r="G61" i="4"/>
  <c r="O78" i="4"/>
  <c r="M78" i="4"/>
  <c r="U8" i="30"/>
  <c r="Y16" i="13"/>
  <c r="Y18" i="13"/>
  <c r="K78" i="4"/>
  <c r="E61" i="4"/>
  <c r="E60" i="4"/>
  <c r="E62" i="4"/>
  <c r="E59" i="4"/>
  <c r="K61" i="4"/>
  <c r="K59" i="4"/>
  <c r="K62" i="4"/>
  <c r="K60" i="4"/>
  <c r="J78" i="4"/>
  <c r="L52" i="20"/>
  <c r="L52" i="21"/>
  <c r="I78" i="4"/>
  <c r="J45" i="4"/>
  <c r="J49" i="4" s="1"/>
  <c r="J55" i="4"/>
  <c r="J59" i="4" s="1"/>
  <c r="Z57" i="4"/>
  <c r="Y61" i="4"/>
  <c r="Y55" i="4"/>
  <c r="Y59" i="4" s="1"/>
  <c r="Q49" i="4"/>
  <c r="I59" i="4"/>
  <c r="I61" i="4"/>
  <c r="I60" i="4"/>
  <c r="I62" i="4"/>
  <c r="O59" i="4"/>
  <c r="O62" i="4"/>
  <c r="O61" i="4"/>
  <c r="O60" i="4"/>
  <c r="M59" i="4"/>
  <c r="M60" i="4"/>
  <c r="M62" i="4"/>
  <c r="M61" i="4"/>
  <c r="Q78" i="4"/>
  <c r="P22" i="21"/>
  <c r="P22" i="20"/>
  <c r="Y48" i="13"/>
  <c r="V10" i="31"/>
  <c r="Y50" i="13"/>
  <c r="J22" i="21"/>
  <c r="J22" i="20"/>
  <c r="P49" i="4"/>
  <c r="P78" i="4"/>
  <c r="L22" i="20"/>
  <c r="L22" i="21"/>
  <c r="T26" i="31"/>
  <c r="T24" i="31"/>
  <c r="T23" i="31"/>
  <c r="N78" i="4"/>
  <c r="P52" i="21"/>
  <c r="P52" i="20"/>
  <c r="H78" i="4"/>
  <c r="J52" i="21"/>
  <c r="J52" i="20"/>
  <c r="P59" i="4"/>
  <c r="P62" i="4"/>
  <c r="P61" i="4"/>
  <c r="P60" i="4"/>
  <c r="T33" i="30"/>
  <c r="T38" i="30"/>
  <c r="T32" i="30"/>
  <c r="T39" i="30"/>
  <c r="N22" i="20"/>
  <c r="N22" i="21"/>
  <c r="F62" i="4"/>
  <c r="F61" i="4"/>
  <c r="F60" i="4"/>
  <c r="F59" i="4"/>
  <c r="G78" i="4"/>
  <c r="N49" i="4"/>
  <c r="H45" i="4"/>
  <c r="H49" i="4" s="1"/>
  <c r="H55" i="4"/>
  <c r="H59" i="4" s="1"/>
  <c r="Q59" i="4"/>
  <c r="Q62" i="4"/>
  <c r="Q61" i="4"/>
  <c r="Q60" i="4"/>
  <c r="U8" i="31"/>
  <c r="U25" i="31" s="1"/>
  <c r="L78" i="4"/>
  <c r="N52" i="21"/>
  <c r="N52" i="20"/>
  <c r="D22" i="3"/>
  <c r="C58" i="3"/>
  <c r="J57" i="3"/>
  <c r="J63" i="3"/>
  <c r="F57" i="3"/>
  <c r="F55" i="3"/>
  <c r="F56" i="3"/>
  <c r="D55" i="3"/>
  <c r="D63" i="3"/>
  <c r="O56" i="3"/>
  <c r="N56" i="3"/>
  <c r="K57" i="3"/>
  <c r="I55" i="3"/>
  <c r="I58" i="3" s="1"/>
  <c r="E55" i="3"/>
  <c r="G41" i="2"/>
  <c r="H38" i="2"/>
  <c r="H40" i="2"/>
  <c r="H37" i="2"/>
  <c r="H39" i="2"/>
  <c r="J38" i="2"/>
  <c r="J40" i="2"/>
  <c r="J37" i="2"/>
  <c r="J41" i="2" s="1"/>
  <c r="J39" i="2"/>
  <c r="N37" i="2"/>
  <c r="N41" i="2" s="1"/>
  <c r="N39" i="2"/>
  <c r="N38" i="2"/>
  <c r="N40" i="2"/>
  <c r="R41" i="2"/>
  <c r="K41" i="2"/>
  <c r="L37" i="2"/>
  <c r="L41" i="2" s="1"/>
  <c r="L39" i="2"/>
  <c r="L38" i="2"/>
  <c r="L40" i="2"/>
  <c r="F50" i="3"/>
  <c r="F64" i="3" s="1"/>
  <c r="E50" i="3"/>
  <c r="E64" i="3" s="1"/>
  <c r="J56" i="3"/>
  <c r="G58" i="3"/>
  <c r="N50" i="3"/>
  <c r="N64" i="3" s="1"/>
  <c r="O50" i="3"/>
  <c r="O64" i="3" s="1"/>
  <c r="J50" i="3"/>
  <c r="J64" i="3" s="1"/>
  <c r="D24" i="3"/>
  <c r="O44" i="3"/>
  <c r="J55" i="3"/>
  <c r="K50" i="3"/>
  <c r="K64" i="3" s="1"/>
  <c r="L24" i="3"/>
  <c r="M50" i="3"/>
  <c r="M64" i="3" s="1"/>
  <c r="F46" i="4"/>
  <c r="F47" i="4"/>
  <c r="F45" i="4"/>
  <c r="F48" i="4"/>
  <c r="P46" i="5"/>
  <c r="K46" i="5"/>
  <c r="F46" i="5"/>
  <c r="H46" i="5"/>
  <c r="O46" i="5"/>
  <c r="N46" i="5"/>
  <c r="L54" i="3"/>
  <c r="L57" i="3"/>
  <c r="H54" i="3"/>
  <c r="L55" i="3"/>
  <c r="L56" i="3"/>
  <c r="H57" i="3"/>
  <c r="H56" i="3"/>
  <c r="H55" i="3"/>
  <c r="D57" i="3"/>
  <c r="D54" i="3"/>
  <c r="D56" i="3"/>
  <c r="F24" i="3"/>
  <c r="U7" i="30" l="1"/>
  <c r="P91" i="4"/>
  <c r="P93" i="4"/>
  <c r="Q91" i="4"/>
  <c r="Q93" i="4"/>
  <c r="K96" i="4"/>
  <c r="L92" i="4"/>
  <c r="J30" i="21"/>
  <c r="G17" i="31"/>
  <c r="J32" i="21"/>
  <c r="P32" i="20"/>
  <c r="M13" i="31"/>
  <c r="P30" i="20"/>
  <c r="K22" i="20"/>
  <c r="K22" i="21"/>
  <c r="AA57" i="4"/>
  <c r="Z55" i="4"/>
  <c r="Z59" i="4" s="1"/>
  <c r="Z61" i="4"/>
  <c r="L60" i="20"/>
  <c r="I15" i="31"/>
  <c r="L62" i="20"/>
  <c r="N86" i="4"/>
  <c r="N90" i="4" s="1"/>
  <c r="N76" i="4"/>
  <c r="N80" i="4" s="1"/>
  <c r="F78" i="4"/>
  <c r="H52" i="21"/>
  <c r="H52" i="20"/>
  <c r="J60" i="21"/>
  <c r="G19" i="31"/>
  <c r="J62" i="21"/>
  <c r="J30" i="20"/>
  <c r="G13" i="31"/>
  <c r="J32" i="20"/>
  <c r="L48" i="13"/>
  <c r="I10" i="31"/>
  <c r="L50" i="13"/>
  <c r="L86" i="4"/>
  <c r="L90" i="4" s="1"/>
  <c r="L76" i="4"/>
  <c r="L80" i="4" s="1"/>
  <c r="O52" i="21"/>
  <c r="O52" i="20"/>
  <c r="K52" i="20"/>
  <c r="K52" i="21"/>
  <c r="L64" i="13"/>
  <c r="I11" i="31"/>
  <c r="L66" i="13"/>
  <c r="J48" i="13"/>
  <c r="G10" i="31"/>
  <c r="J50" i="13"/>
  <c r="M11" i="31"/>
  <c r="P64" i="13"/>
  <c r="P66" i="13"/>
  <c r="N32" i="13"/>
  <c r="N34" i="13"/>
  <c r="K9" i="31"/>
  <c r="P62" i="21"/>
  <c r="M19" i="31"/>
  <c r="P60" i="21"/>
  <c r="M9" i="31"/>
  <c r="P34" i="13"/>
  <c r="P32" i="13"/>
  <c r="Q22" i="21"/>
  <c r="Q22" i="20"/>
  <c r="I96" i="4"/>
  <c r="J92" i="4"/>
  <c r="U38" i="30"/>
  <c r="U33" i="30"/>
  <c r="U39" i="30"/>
  <c r="U32" i="30"/>
  <c r="Z48" i="13"/>
  <c r="Z50" i="13"/>
  <c r="W10" i="31"/>
  <c r="U24" i="31"/>
  <c r="U26" i="31"/>
  <c r="U23" i="31"/>
  <c r="N32" i="21"/>
  <c r="K17" i="31"/>
  <c r="N30" i="21"/>
  <c r="R52" i="21"/>
  <c r="R52" i="20"/>
  <c r="L32" i="13"/>
  <c r="L34" i="13"/>
  <c r="I9" i="31"/>
  <c r="P32" i="21"/>
  <c r="M17" i="31"/>
  <c r="P30" i="21"/>
  <c r="G52" i="21"/>
  <c r="G52" i="20"/>
  <c r="L96" i="4"/>
  <c r="M92" i="4"/>
  <c r="L60" i="21"/>
  <c r="I19" i="31"/>
  <c r="L62" i="21"/>
  <c r="R22" i="21"/>
  <c r="R22" i="20"/>
  <c r="S22" i="20"/>
  <c r="S22" i="21"/>
  <c r="F96" i="4"/>
  <c r="G92" i="4"/>
  <c r="N32" i="20"/>
  <c r="K13" i="31"/>
  <c r="N30" i="20"/>
  <c r="V8" i="30"/>
  <c r="Z16" i="13"/>
  <c r="Z18" i="13"/>
  <c r="M96" i="4"/>
  <c r="N92" i="4"/>
  <c r="V8" i="31"/>
  <c r="V25" i="31" s="1"/>
  <c r="Q52" i="21"/>
  <c r="Q52" i="20"/>
  <c r="M22" i="20"/>
  <c r="M22" i="21"/>
  <c r="G22" i="20"/>
  <c r="G22" i="21"/>
  <c r="I22" i="21"/>
  <c r="I22" i="20"/>
  <c r="K19" i="31"/>
  <c r="N60" i="21"/>
  <c r="N62" i="21"/>
  <c r="P62" i="20"/>
  <c r="M15" i="31"/>
  <c r="P60" i="20"/>
  <c r="O22" i="20"/>
  <c r="O22" i="21"/>
  <c r="L30" i="21"/>
  <c r="I17" i="31"/>
  <c r="L32" i="21"/>
  <c r="G96" i="4"/>
  <c r="H92" i="4"/>
  <c r="J32" i="13"/>
  <c r="G9" i="31"/>
  <c r="J34" i="13"/>
  <c r="N62" i="20"/>
  <c r="K15" i="31"/>
  <c r="N60" i="20"/>
  <c r="O96" i="4"/>
  <c r="P92" i="4"/>
  <c r="P96" i="4"/>
  <c r="Q92" i="4"/>
  <c r="H96" i="4"/>
  <c r="I92" i="4"/>
  <c r="M52" i="21"/>
  <c r="M52" i="20"/>
  <c r="J64" i="13"/>
  <c r="G11" i="31"/>
  <c r="J66" i="13"/>
  <c r="L30" i="20"/>
  <c r="I13" i="31"/>
  <c r="L32" i="20"/>
  <c r="N66" i="13"/>
  <c r="N64" i="13"/>
  <c r="K11" i="31"/>
  <c r="S52" i="20"/>
  <c r="S52" i="21"/>
  <c r="H22" i="21"/>
  <c r="H22" i="20"/>
  <c r="J60" i="20"/>
  <c r="G15" i="31"/>
  <c r="J62" i="20"/>
  <c r="J96" i="4"/>
  <c r="K92" i="4"/>
  <c r="N96" i="4"/>
  <c r="O92" i="4"/>
  <c r="I52" i="21"/>
  <c r="I52" i="20"/>
  <c r="D68" i="3"/>
  <c r="D70" i="3"/>
  <c r="D69" i="3"/>
  <c r="D71" i="3"/>
  <c r="J54" i="3"/>
  <c r="J58" i="3" s="1"/>
  <c r="F54" i="3"/>
  <c r="F58" i="3" s="1"/>
  <c r="O54" i="3"/>
  <c r="O58" i="3" s="1"/>
  <c r="N54" i="3"/>
  <c r="N58" i="3" s="1"/>
  <c r="M54" i="3"/>
  <c r="M58" i="3" s="1"/>
  <c r="K54" i="3"/>
  <c r="K58" i="3" s="1"/>
  <c r="E54" i="3"/>
  <c r="E58" i="3" s="1"/>
  <c r="H41" i="2"/>
  <c r="F49" i="4"/>
  <c r="D58" i="3"/>
  <c r="L58" i="3"/>
  <c r="H58" i="3"/>
  <c r="N44" i="3"/>
  <c r="V7" i="30" l="1"/>
  <c r="AA48" i="13"/>
  <c r="X10" i="31"/>
  <c r="AA50" i="13"/>
  <c r="G30" i="21"/>
  <c r="D17" i="31"/>
  <c r="G32" i="21"/>
  <c r="G60" i="20"/>
  <c r="D15" i="31"/>
  <c r="G62" i="20"/>
  <c r="K86" i="4"/>
  <c r="K90" i="4" s="1"/>
  <c r="K76" i="4"/>
  <c r="K80" i="4" s="1"/>
  <c r="S60" i="20"/>
  <c r="P15" i="31"/>
  <c r="S62" i="20"/>
  <c r="G30" i="20"/>
  <c r="G32" i="20"/>
  <c r="D13" i="31"/>
  <c r="G64" i="13"/>
  <c r="G66" i="13"/>
  <c r="D11" i="31"/>
  <c r="M16" i="31"/>
  <c r="M34" i="31" s="1"/>
  <c r="J86" i="4"/>
  <c r="J90" i="4" s="1"/>
  <c r="J76" i="4"/>
  <c r="J80" i="4" s="1"/>
  <c r="G25" i="31"/>
  <c r="H11" i="31"/>
  <c r="K64" i="13"/>
  <c r="K66" i="13"/>
  <c r="H64" i="13"/>
  <c r="H66" i="13"/>
  <c r="E11" i="31"/>
  <c r="K30" i="20"/>
  <c r="H13" i="31"/>
  <c r="K32" i="20"/>
  <c r="G16" i="31"/>
  <c r="G34" i="31" s="1"/>
  <c r="I18" i="13"/>
  <c r="E8" i="30"/>
  <c r="I16" i="13"/>
  <c r="H8" i="30"/>
  <c r="L16" i="13"/>
  <c r="L18" i="13"/>
  <c r="K60" i="20"/>
  <c r="H15" i="31"/>
  <c r="K62" i="20"/>
  <c r="H16" i="13"/>
  <c r="D8" i="30"/>
  <c r="H18" i="13"/>
  <c r="G86" i="4"/>
  <c r="G90" i="4" s="1"/>
  <c r="G76" i="4"/>
  <c r="G80" i="4" s="1"/>
  <c r="G8" i="31"/>
  <c r="G23" i="31" s="1"/>
  <c r="L9" i="31"/>
  <c r="O34" i="13"/>
  <c r="O32" i="13"/>
  <c r="K16" i="31"/>
  <c r="K34" i="31" s="1"/>
  <c r="Q60" i="20"/>
  <c r="N15" i="31"/>
  <c r="Q62" i="20"/>
  <c r="I64" i="13"/>
  <c r="I66" i="13"/>
  <c r="F11" i="31"/>
  <c r="S64" i="13"/>
  <c r="P11" i="31"/>
  <c r="S66" i="13"/>
  <c r="F86" i="4"/>
  <c r="F90" i="4" s="1"/>
  <c r="F76" i="4"/>
  <c r="F80" i="4" s="1"/>
  <c r="O32" i="21"/>
  <c r="L17" i="31"/>
  <c r="O30" i="21"/>
  <c r="N11" i="31"/>
  <c r="Q66" i="13"/>
  <c r="Q64" i="13"/>
  <c r="V33" i="30"/>
  <c r="V38" i="30"/>
  <c r="V32" i="30"/>
  <c r="V39" i="30"/>
  <c r="G60" i="21"/>
  <c r="D19" i="31"/>
  <c r="G62" i="21"/>
  <c r="R60" i="20"/>
  <c r="O15" i="31"/>
  <c r="R62" i="20"/>
  <c r="G12" i="31"/>
  <c r="H62" i="21"/>
  <c r="E19" i="31"/>
  <c r="H60" i="21"/>
  <c r="I12" i="31"/>
  <c r="I28" i="31" s="1"/>
  <c r="K32" i="13"/>
  <c r="H9" i="31"/>
  <c r="K34" i="13"/>
  <c r="I34" i="13"/>
  <c r="I32" i="13"/>
  <c r="F9" i="31"/>
  <c r="M62" i="21"/>
  <c r="J19" i="31"/>
  <c r="M60" i="21"/>
  <c r="G32" i="13"/>
  <c r="G34" i="13"/>
  <c r="D9" i="31"/>
  <c r="S60" i="21"/>
  <c r="P19" i="31"/>
  <c r="S62" i="21"/>
  <c r="I60" i="20"/>
  <c r="F15" i="31"/>
  <c r="I62" i="20"/>
  <c r="W8" i="30"/>
  <c r="AA16" i="13"/>
  <c r="AA18" i="13"/>
  <c r="I60" i="21"/>
  <c r="F19" i="31"/>
  <c r="I62" i="21"/>
  <c r="G26" i="31"/>
  <c r="G48" i="13"/>
  <c r="D10" i="31"/>
  <c r="G50" i="13"/>
  <c r="O86" i="4"/>
  <c r="O90" i="4" s="1"/>
  <c r="O76" i="4"/>
  <c r="O80" i="4" s="1"/>
  <c r="O32" i="20"/>
  <c r="L13" i="31"/>
  <c r="O30" i="20"/>
  <c r="I30" i="20"/>
  <c r="F13" i="31"/>
  <c r="I32" i="20"/>
  <c r="M32" i="21"/>
  <c r="J17" i="31"/>
  <c r="M30" i="21"/>
  <c r="Q60" i="21"/>
  <c r="N19" i="31"/>
  <c r="Q62" i="21"/>
  <c r="S30" i="21"/>
  <c r="P17" i="31"/>
  <c r="S32" i="21"/>
  <c r="R30" i="20"/>
  <c r="O13" i="31"/>
  <c r="R32" i="20"/>
  <c r="I8" i="31"/>
  <c r="I26" i="31" s="1"/>
  <c r="R64" i="13"/>
  <c r="R66" i="13"/>
  <c r="O11" i="31"/>
  <c r="W8" i="31"/>
  <c r="W25" i="31" s="1"/>
  <c r="C8" i="30"/>
  <c r="G16" i="13"/>
  <c r="G18" i="13"/>
  <c r="K48" i="13"/>
  <c r="H10" i="31"/>
  <c r="K50" i="13"/>
  <c r="E96" i="4"/>
  <c r="Q98" i="4" s="1"/>
  <c r="F92" i="4"/>
  <c r="M86" i="4"/>
  <c r="M90" i="4" s="1"/>
  <c r="M76" i="4"/>
  <c r="M80" i="4" s="1"/>
  <c r="P86" i="4"/>
  <c r="P90" i="4" s="1"/>
  <c r="P76" i="4"/>
  <c r="P80" i="4" s="1"/>
  <c r="R30" i="21"/>
  <c r="O17" i="31"/>
  <c r="R32" i="21"/>
  <c r="I48" i="13"/>
  <c r="F10" i="31"/>
  <c r="I50" i="13"/>
  <c r="G8" i="30"/>
  <c r="K16" i="13"/>
  <c r="K18" i="13"/>
  <c r="R60" i="21"/>
  <c r="O19" i="31"/>
  <c r="R62" i="21"/>
  <c r="E86" i="4"/>
  <c r="E90" i="4" s="1"/>
  <c r="E76" i="4"/>
  <c r="E80" i="4" s="1"/>
  <c r="E9" i="31"/>
  <c r="H32" i="13"/>
  <c r="H34" i="13"/>
  <c r="M64" i="13"/>
  <c r="M66" i="13"/>
  <c r="J11" i="31"/>
  <c r="R86" i="4"/>
  <c r="R90" i="4" s="1"/>
  <c r="R92" i="4"/>
  <c r="I30" i="21"/>
  <c r="F17" i="31"/>
  <c r="I32" i="21"/>
  <c r="J9" i="31"/>
  <c r="M34" i="13"/>
  <c r="M32" i="13"/>
  <c r="V23" i="31"/>
  <c r="V24" i="31"/>
  <c r="V26" i="31"/>
  <c r="S32" i="13"/>
  <c r="P9" i="31"/>
  <c r="S34" i="13"/>
  <c r="R34" i="13"/>
  <c r="O9" i="31"/>
  <c r="R32" i="13"/>
  <c r="I76" i="4"/>
  <c r="I80" i="4" s="1"/>
  <c r="I86" i="4"/>
  <c r="I90" i="4" s="1"/>
  <c r="Q30" i="20"/>
  <c r="N13" i="31"/>
  <c r="Q32" i="20"/>
  <c r="O62" i="20"/>
  <c r="L15" i="31"/>
  <c r="O60" i="20"/>
  <c r="H48" i="13"/>
  <c r="H50" i="13"/>
  <c r="E10" i="31"/>
  <c r="H32" i="20"/>
  <c r="E13" i="31"/>
  <c r="H30" i="20"/>
  <c r="M32" i="20"/>
  <c r="J13" i="31"/>
  <c r="M30" i="20"/>
  <c r="S30" i="20"/>
  <c r="P13" i="31"/>
  <c r="S32" i="20"/>
  <c r="H32" i="21"/>
  <c r="E17" i="31"/>
  <c r="H30" i="21"/>
  <c r="Q86" i="4"/>
  <c r="Q90" i="4" s="1"/>
  <c r="Q76" i="4"/>
  <c r="Q80" i="4" s="1"/>
  <c r="M62" i="20"/>
  <c r="J15" i="31"/>
  <c r="M60" i="20"/>
  <c r="I16" i="31"/>
  <c r="I32" i="31" s="1"/>
  <c r="K12" i="31"/>
  <c r="K30" i="31" s="1"/>
  <c r="N9" i="31"/>
  <c r="Q34" i="13"/>
  <c r="Q32" i="13"/>
  <c r="O64" i="13"/>
  <c r="O66" i="13"/>
  <c r="L11" i="31"/>
  <c r="F8" i="30"/>
  <c r="J16" i="13"/>
  <c r="J18" i="13"/>
  <c r="AB57" i="4"/>
  <c r="AA61" i="4"/>
  <c r="AA55" i="4"/>
  <c r="AA59" i="4" s="1"/>
  <c r="M12" i="31"/>
  <c r="M28" i="31" s="1"/>
  <c r="Q30" i="21"/>
  <c r="N17" i="31"/>
  <c r="Q32" i="21"/>
  <c r="K60" i="21"/>
  <c r="H19" i="31"/>
  <c r="K62" i="21"/>
  <c r="L19" i="31"/>
  <c r="O60" i="21"/>
  <c r="O62" i="21"/>
  <c r="H86" i="4"/>
  <c r="H90" i="4" s="1"/>
  <c r="H76" i="4"/>
  <c r="H80" i="4" s="1"/>
  <c r="H62" i="20"/>
  <c r="E15" i="31"/>
  <c r="H60" i="20"/>
  <c r="K30" i="21"/>
  <c r="H17" i="31"/>
  <c r="K32" i="21"/>
  <c r="G120" i="6"/>
  <c r="M120" i="6"/>
  <c r="J120" i="6"/>
  <c r="K120" i="6"/>
  <c r="H120" i="6"/>
  <c r="F120" i="6"/>
  <c r="L120" i="6"/>
  <c r="H7" i="30" l="1"/>
  <c r="D7" i="30"/>
  <c r="E7" i="30"/>
  <c r="G7" i="30"/>
  <c r="G32" i="30" s="1"/>
  <c r="C7" i="30"/>
  <c r="C33" i="30" s="1"/>
  <c r="F7" i="30"/>
  <c r="F33" i="30" s="1"/>
  <c r="W7" i="30"/>
  <c r="W39" i="30" s="1"/>
  <c r="K32" i="31"/>
  <c r="I30" i="31"/>
  <c r="E8" i="31"/>
  <c r="E24" i="31" s="1"/>
  <c r="K28" i="31"/>
  <c r="G24" i="31"/>
  <c r="I24" i="31"/>
  <c r="G27" i="31"/>
  <c r="G29" i="31"/>
  <c r="G31" i="31"/>
  <c r="G33" i="31"/>
  <c r="M33" i="31"/>
  <c r="M31" i="31"/>
  <c r="X8" i="31"/>
  <c r="X25" i="31" s="1"/>
  <c r="H16" i="31"/>
  <c r="H34" i="31" s="1"/>
  <c r="S86" i="4"/>
  <c r="S90" i="4" s="1"/>
  <c r="S92" i="4"/>
  <c r="G39" i="30"/>
  <c r="H8" i="31"/>
  <c r="H25" i="31" s="1"/>
  <c r="G28" i="31"/>
  <c r="G30" i="31"/>
  <c r="D16" i="31"/>
  <c r="D32" i="31" s="1"/>
  <c r="X8" i="30"/>
  <c r="AB16" i="13"/>
  <c r="AB18" i="13"/>
  <c r="F8" i="31"/>
  <c r="F23" i="31" s="1"/>
  <c r="N12" i="31"/>
  <c r="N28" i="31" s="1"/>
  <c r="F12" i="31"/>
  <c r="E38" i="30"/>
  <c r="E39" i="30"/>
  <c r="I31" i="31"/>
  <c r="I33" i="31"/>
  <c r="E25" i="31"/>
  <c r="F16" i="31"/>
  <c r="F32" i="31" s="1"/>
  <c r="D8" i="31"/>
  <c r="D24" i="31" s="1"/>
  <c r="I29" i="31"/>
  <c r="I27" i="31"/>
  <c r="L16" i="31"/>
  <c r="L32" i="31" s="1"/>
  <c r="I34" i="31"/>
  <c r="M27" i="31"/>
  <c r="M29" i="31"/>
  <c r="W23" i="31"/>
  <c r="W24" i="31"/>
  <c r="W26" i="31"/>
  <c r="N16" i="31"/>
  <c r="AC57" i="4"/>
  <c r="AB61" i="4"/>
  <c r="AB55" i="4"/>
  <c r="AB59" i="4" s="1"/>
  <c r="E16" i="31"/>
  <c r="E12" i="31"/>
  <c r="E28" i="31" s="1"/>
  <c r="AB48" i="13"/>
  <c r="AB50" i="13"/>
  <c r="Y10" i="31"/>
  <c r="O12" i="31"/>
  <c r="O28" i="31" s="1"/>
  <c r="D12" i="31"/>
  <c r="D30" i="31" s="1"/>
  <c r="D28" i="31"/>
  <c r="J16" i="31"/>
  <c r="J32" i="31" s="1"/>
  <c r="J12" i="31"/>
  <c r="J30" i="31" s="1"/>
  <c r="O16" i="31"/>
  <c r="O32" i="31" s="1"/>
  <c r="L12" i="31"/>
  <c r="L28" i="31" s="1"/>
  <c r="P16" i="31"/>
  <c r="P34" i="31" s="1"/>
  <c r="K31" i="31"/>
  <c r="K33" i="31"/>
  <c r="C32" i="30"/>
  <c r="C38" i="30"/>
  <c r="H12" i="31"/>
  <c r="H30" i="31" s="1"/>
  <c r="M30" i="31"/>
  <c r="F39" i="30"/>
  <c r="K27" i="31"/>
  <c r="K29" i="31"/>
  <c r="P12" i="31"/>
  <c r="P28" i="31"/>
  <c r="I25" i="31"/>
  <c r="I23" i="31"/>
  <c r="D38" i="30"/>
  <c r="D32" i="30"/>
  <c r="H38" i="30"/>
  <c r="H33" i="30"/>
  <c r="H32" i="30"/>
  <c r="H39" i="30"/>
  <c r="G32" i="31"/>
  <c r="M32" i="31"/>
  <c r="J129" i="6"/>
  <c r="J136" i="6" s="1"/>
  <c r="M129" i="6"/>
  <c r="M136" i="6" s="1"/>
  <c r="F129" i="6"/>
  <c r="F136" i="6" s="1"/>
  <c r="G129" i="6"/>
  <c r="G136" i="6" s="1"/>
  <c r="H129" i="6"/>
  <c r="H136" i="6" s="1"/>
  <c r="L129" i="6"/>
  <c r="L136" i="6" s="1"/>
  <c r="K123" i="6"/>
  <c r="K129" i="6"/>
  <c r="K136" i="6" s="1"/>
  <c r="K30" i="6"/>
  <c r="K74" i="6" s="1"/>
  <c r="I120" i="6"/>
  <c r="K28" i="6"/>
  <c r="K72" i="6" s="1"/>
  <c r="K13" i="6"/>
  <c r="C39" i="30" l="1"/>
  <c r="E33" i="30"/>
  <c r="E32" i="30"/>
  <c r="D39" i="30"/>
  <c r="D33" i="30"/>
  <c r="X7" i="30"/>
  <c r="X32" i="30" s="1"/>
  <c r="W32" i="30"/>
  <c r="W33" i="30"/>
  <c r="W38" i="30"/>
  <c r="F32" i="30"/>
  <c r="G38" i="30"/>
  <c r="F38" i="30"/>
  <c r="G33" i="30"/>
  <c r="H32" i="31"/>
  <c r="F26" i="31"/>
  <c r="E26" i="31"/>
  <c r="E23" i="31"/>
  <c r="L34" i="31"/>
  <c r="H28" i="31"/>
  <c r="O30" i="31"/>
  <c r="D34" i="31"/>
  <c r="L30" i="31"/>
  <c r="F34" i="31"/>
  <c r="F24" i="31"/>
  <c r="H26" i="31"/>
  <c r="F25" i="31"/>
  <c r="O34" i="31"/>
  <c r="Y8" i="31"/>
  <c r="Y25" i="31" s="1"/>
  <c r="F27" i="31"/>
  <c r="F29" i="31"/>
  <c r="P31" i="31"/>
  <c r="P33" i="31"/>
  <c r="AC16" i="13"/>
  <c r="Y8" i="30"/>
  <c r="AC18" i="13"/>
  <c r="X24" i="31"/>
  <c r="X26" i="31"/>
  <c r="X23" i="31"/>
  <c r="J31" i="31"/>
  <c r="J33" i="31"/>
  <c r="D25" i="31"/>
  <c r="D23" i="31"/>
  <c r="N27" i="31"/>
  <c r="N29" i="31"/>
  <c r="X38" i="30"/>
  <c r="X39" i="30"/>
  <c r="H24" i="31"/>
  <c r="H23" i="31"/>
  <c r="N33" i="31"/>
  <c r="N31" i="31"/>
  <c r="P29" i="31"/>
  <c r="P27" i="31"/>
  <c r="N32" i="31"/>
  <c r="F30" i="31"/>
  <c r="T92" i="4"/>
  <c r="T86" i="4"/>
  <c r="T90" i="4" s="1"/>
  <c r="D29" i="31"/>
  <c r="D27" i="31"/>
  <c r="O31" i="31"/>
  <c r="O33" i="31"/>
  <c r="N34" i="31"/>
  <c r="E27" i="31"/>
  <c r="E29" i="31"/>
  <c r="N30" i="31"/>
  <c r="D33" i="31"/>
  <c r="D31" i="31"/>
  <c r="AD57" i="4"/>
  <c r="AC55" i="4"/>
  <c r="AC59" i="4" s="1"/>
  <c r="AC61" i="4"/>
  <c r="L27" i="31"/>
  <c r="L29" i="31"/>
  <c r="AC48" i="13"/>
  <c r="Z10" i="31"/>
  <c r="AC50" i="13"/>
  <c r="P30" i="31"/>
  <c r="H31" i="31"/>
  <c r="H33" i="31"/>
  <c r="J29" i="31"/>
  <c r="J27" i="31"/>
  <c r="E33" i="31"/>
  <c r="E31" i="31"/>
  <c r="H29" i="31"/>
  <c r="H27" i="31"/>
  <c r="E34" i="31"/>
  <c r="J28" i="31"/>
  <c r="O27" i="31"/>
  <c r="O29" i="31"/>
  <c r="E32" i="31"/>
  <c r="L33" i="31"/>
  <c r="L31" i="31"/>
  <c r="F31" i="31"/>
  <c r="F33" i="31"/>
  <c r="E30" i="31"/>
  <c r="F28" i="31"/>
  <c r="P32" i="31"/>
  <c r="D26" i="31"/>
  <c r="J34" i="31"/>
  <c r="I129" i="6"/>
  <c r="I136" i="6" s="1"/>
  <c r="K37" i="6"/>
  <c r="J13" i="6"/>
  <c r="L13" i="6"/>
  <c r="L27" i="6" s="1"/>
  <c r="K35" i="6"/>
  <c r="K29" i="6"/>
  <c r="K73" i="6" s="1"/>
  <c r="K81" i="6"/>
  <c r="K22" i="6"/>
  <c r="K27" i="6"/>
  <c r="K71" i="6" s="1"/>
  <c r="X33" i="30" l="1"/>
  <c r="Y7" i="30"/>
  <c r="Y39" i="30" s="1"/>
  <c r="U86" i="4"/>
  <c r="U90" i="4" s="1"/>
  <c r="U92" i="4"/>
  <c r="Z8" i="30"/>
  <c r="AD16" i="13"/>
  <c r="AD18" i="13"/>
  <c r="AD48" i="13"/>
  <c r="AA10" i="31"/>
  <c r="AD50" i="13"/>
  <c r="AD55" i="4"/>
  <c r="AD59" i="4" s="1"/>
  <c r="AD61" i="4"/>
  <c r="Z8" i="31"/>
  <c r="Z25" i="31" s="1"/>
  <c r="Y33" i="30"/>
  <c r="Y38" i="30"/>
  <c r="Y32" i="30"/>
  <c r="Y26" i="31"/>
  <c r="Y23" i="31"/>
  <c r="Y24" i="31"/>
  <c r="I13" i="6"/>
  <c r="J58" i="6"/>
  <c r="L58" i="6"/>
  <c r="M13" i="6"/>
  <c r="J27" i="6"/>
  <c r="L34" i="6"/>
  <c r="K31" i="6"/>
  <c r="K34" i="6"/>
  <c r="K42" i="6"/>
  <c r="K86" i="6" s="1"/>
  <c r="K79" i="6"/>
  <c r="K36" i="6"/>
  <c r="Z7" i="30" l="1"/>
  <c r="AE48" i="13"/>
  <c r="AB10" i="31"/>
  <c r="AE50" i="13"/>
  <c r="Z38" i="30"/>
  <c r="Z39" i="30"/>
  <c r="Z32" i="30"/>
  <c r="Z33" i="30"/>
  <c r="Z26" i="31"/>
  <c r="Z23" i="31"/>
  <c r="Z24" i="31"/>
  <c r="AA8" i="31"/>
  <c r="AA25" i="31" s="1"/>
  <c r="AA8" i="30"/>
  <c r="AE16" i="13"/>
  <c r="AE18" i="13"/>
  <c r="V92" i="4"/>
  <c r="V86" i="4"/>
  <c r="V90" i="4" s="1"/>
  <c r="N13" i="6"/>
  <c r="M58" i="6"/>
  <c r="M27" i="6"/>
  <c r="L114" i="6"/>
  <c r="L67" i="6"/>
  <c r="J71" i="6"/>
  <c r="J114" i="6"/>
  <c r="J67" i="6"/>
  <c r="I58" i="6"/>
  <c r="H13" i="6"/>
  <c r="I27" i="6"/>
  <c r="L41" i="6"/>
  <c r="K75" i="6"/>
  <c r="K131" i="6"/>
  <c r="J34" i="6"/>
  <c r="K80" i="6"/>
  <c r="K43" i="6"/>
  <c r="K87" i="6" s="1"/>
  <c r="K78" i="6"/>
  <c r="K38" i="6"/>
  <c r="K41" i="6"/>
  <c r="AA7" i="30" l="1"/>
  <c r="AA23" i="31"/>
  <c r="AA24" i="31"/>
  <c r="AA26" i="31"/>
  <c r="AF48" i="13"/>
  <c r="AC10" i="31"/>
  <c r="AF50" i="13"/>
  <c r="AF16" i="13"/>
  <c r="AB8" i="30"/>
  <c r="AF18" i="13"/>
  <c r="AA38" i="30"/>
  <c r="AA39" i="30"/>
  <c r="AA33" i="30"/>
  <c r="AA32" i="30"/>
  <c r="AB8" i="31"/>
  <c r="AB25" i="31" s="1"/>
  <c r="W92" i="4"/>
  <c r="W86" i="4"/>
  <c r="W90" i="4" s="1"/>
  <c r="I34" i="6"/>
  <c r="J127" i="6"/>
  <c r="J134" i="6" s="1"/>
  <c r="J123" i="6"/>
  <c r="G13" i="6"/>
  <c r="H58" i="6"/>
  <c r="H27" i="6"/>
  <c r="M34" i="6"/>
  <c r="L90" i="6"/>
  <c r="L18" i="6"/>
  <c r="L20" i="6"/>
  <c r="L30" i="6" s="1"/>
  <c r="L17" i="6"/>
  <c r="L21" i="6"/>
  <c r="L14" i="6"/>
  <c r="L16" i="6"/>
  <c r="L19" i="6"/>
  <c r="L15" i="6"/>
  <c r="L28" i="6" s="1"/>
  <c r="L71" i="6"/>
  <c r="I114" i="6"/>
  <c r="I67" i="6"/>
  <c r="M114" i="6"/>
  <c r="M67" i="6"/>
  <c r="L127" i="6"/>
  <c r="L123" i="6"/>
  <c r="J17" i="6"/>
  <c r="J14" i="6"/>
  <c r="J22" i="6" s="1"/>
  <c r="J90" i="6"/>
  <c r="J19" i="6"/>
  <c r="J21" i="6"/>
  <c r="J20" i="6"/>
  <c r="J30" i="6" s="1"/>
  <c r="J16" i="6"/>
  <c r="J18" i="6"/>
  <c r="J15" i="6"/>
  <c r="O13" i="6"/>
  <c r="N58" i="6"/>
  <c r="N27" i="6"/>
  <c r="K138" i="6"/>
  <c r="K82" i="6"/>
  <c r="L85" i="6"/>
  <c r="J41" i="6"/>
  <c r="K44" i="6"/>
  <c r="K85" i="6"/>
  <c r="J131" i="6"/>
  <c r="AB7" i="30" l="1"/>
  <c r="X92" i="4"/>
  <c r="X86" i="4"/>
  <c r="X90" i="4" s="1"/>
  <c r="AB39" i="30"/>
  <c r="AB38" i="30"/>
  <c r="AB33" i="30"/>
  <c r="AB32" i="30"/>
  <c r="AB24" i="31"/>
  <c r="AB23" i="31"/>
  <c r="AB26" i="31"/>
  <c r="AC8" i="31"/>
  <c r="AC25" i="31" s="1"/>
  <c r="N34" i="6"/>
  <c r="I14" i="6"/>
  <c r="I17" i="6"/>
  <c r="I90" i="6"/>
  <c r="I19" i="6"/>
  <c r="I16" i="6"/>
  <c r="I21" i="6"/>
  <c r="I18" i="6"/>
  <c r="I15" i="6"/>
  <c r="I20" i="6"/>
  <c r="I30" i="6" s="1"/>
  <c r="H71" i="6"/>
  <c r="H34" i="6"/>
  <c r="H114" i="6"/>
  <c r="H67" i="6"/>
  <c r="F13" i="6"/>
  <c r="G58" i="6"/>
  <c r="G27" i="6"/>
  <c r="L74" i="6"/>
  <c r="L37" i="6"/>
  <c r="L81" i="6" s="1"/>
  <c r="L78" i="6"/>
  <c r="L72" i="6"/>
  <c r="L35" i="6"/>
  <c r="M78" i="6"/>
  <c r="M41" i="6"/>
  <c r="N114" i="6"/>
  <c r="N67" i="6"/>
  <c r="N71" i="6" s="1"/>
  <c r="J28" i="6"/>
  <c r="J29" i="6"/>
  <c r="L134" i="6"/>
  <c r="L138" i="6" s="1"/>
  <c r="L131" i="6"/>
  <c r="L29" i="6"/>
  <c r="L31" i="6" s="1"/>
  <c r="J74" i="6"/>
  <c r="J37" i="6"/>
  <c r="J81" i="6" s="1"/>
  <c r="M90" i="6"/>
  <c r="M14" i="6"/>
  <c r="M18" i="6"/>
  <c r="M17" i="6"/>
  <c r="M21" i="6"/>
  <c r="M20" i="6"/>
  <c r="M30" i="6" s="1"/>
  <c r="M15" i="6"/>
  <c r="M28" i="6" s="1"/>
  <c r="M16" i="6"/>
  <c r="M19" i="6"/>
  <c r="L22" i="6"/>
  <c r="M71" i="6"/>
  <c r="I41" i="6"/>
  <c r="I78" i="6"/>
  <c r="I127" i="6"/>
  <c r="I123" i="6"/>
  <c r="P13" i="6"/>
  <c r="O58" i="6"/>
  <c r="O27" i="6"/>
  <c r="J78" i="6"/>
  <c r="M127" i="6"/>
  <c r="M123" i="6"/>
  <c r="I71" i="6"/>
  <c r="J138" i="6"/>
  <c r="K144" i="6"/>
  <c r="K88" i="6"/>
  <c r="J85" i="6"/>
  <c r="Y86" i="4" l="1"/>
  <c r="Y90" i="4" s="1"/>
  <c r="Y92" i="4"/>
  <c r="AC24" i="31"/>
  <c r="AC26" i="31"/>
  <c r="AC23" i="31"/>
  <c r="N127" i="6"/>
  <c r="N123" i="6"/>
  <c r="H127" i="6"/>
  <c r="H123" i="6"/>
  <c r="I29" i="6"/>
  <c r="M72" i="6"/>
  <c r="M35" i="6"/>
  <c r="M85" i="6"/>
  <c r="I134" i="6"/>
  <c r="I138" i="6" s="1"/>
  <c r="I131" i="6"/>
  <c r="I85" i="6"/>
  <c r="O34" i="6"/>
  <c r="O71" i="6"/>
  <c r="G71" i="6"/>
  <c r="G34" i="6"/>
  <c r="I74" i="6"/>
  <c r="I37" i="6"/>
  <c r="I81" i="6" s="1"/>
  <c r="I22" i="6"/>
  <c r="H78" i="6"/>
  <c r="H41" i="6"/>
  <c r="O114" i="6"/>
  <c r="O67" i="6"/>
  <c r="M22" i="6"/>
  <c r="J73" i="6"/>
  <c r="J36" i="6"/>
  <c r="L79" i="6"/>
  <c r="L42" i="6"/>
  <c r="G114" i="6"/>
  <c r="G67" i="6"/>
  <c r="I28" i="6"/>
  <c r="M74" i="6"/>
  <c r="M37" i="6"/>
  <c r="M81" i="6" s="1"/>
  <c r="L73" i="6"/>
  <c r="L75" i="6" s="1"/>
  <c r="L36" i="6"/>
  <c r="L38" i="6" s="1"/>
  <c r="Q13" i="6"/>
  <c r="P58" i="6"/>
  <c r="P27" i="6"/>
  <c r="J72" i="6"/>
  <c r="J75" i="6" s="1"/>
  <c r="J31" i="6"/>
  <c r="J35" i="6"/>
  <c r="F58" i="6"/>
  <c r="F27" i="6"/>
  <c r="M134" i="6"/>
  <c r="M138" i="6" s="1"/>
  <c r="M131" i="6"/>
  <c r="M29" i="6"/>
  <c r="N90" i="6"/>
  <c r="N14" i="6"/>
  <c r="N17" i="6"/>
  <c r="N15" i="6"/>
  <c r="N20" i="6"/>
  <c r="N18" i="6"/>
  <c r="N21" i="6"/>
  <c r="N19" i="6"/>
  <c r="N16" i="6"/>
  <c r="N29" i="6" s="1"/>
  <c r="H90" i="6"/>
  <c r="H19" i="6"/>
  <c r="H16" i="6"/>
  <c r="H21" i="6"/>
  <c r="H18" i="6"/>
  <c r="H15" i="6"/>
  <c r="H28" i="6" s="1"/>
  <c r="H20" i="6"/>
  <c r="H30" i="6" s="1"/>
  <c r="H17" i="6"/>
  <c r="H14" i="6"/>
  <c r="N41" i="6"/>
  <c r="Z92" i="4" l="1"/>
  <c r="Z86" i="4"/>
  <c r="Z90" i="4" s="1"/>
  <c r="N28" i="6"/>
  <c r="N22" i="6"/>
  <c r="F114" i="6"/>
  <c r="F67" i="6"/>
  <c r="G78" i="6"/>
  <c r="G41" i="6"/>
  <c r="N78" i="6"/>
  <c r="N85" i="6"/>
  <c r="I73" i="6"/>
  <c r="I36" i="6"/>
  <c r="J42" i="6"/>
  <c r="J38" i="6"/>
  <c r="J79" i="6"/>
  <c r="J82" i="6" s="1"/>
  <c r="L86" i="6"/>
  <c r="M73" i="6"/>
  <c r="M75" i="6" s="1"/>
  <c r="M36" i="6"/>
  <c r="H134" i="6"/>
  <c r="H138" i="6" s="1"/>
  <c r="H131" i="6"/>
  <c r="H72" i="6"/>
  <c r="H35" i="6"/>
  <c r="H29" i="6"/>
  <c r="I72" i="6"/>
  <c r="I75" i="6" s="1"/>
  <c r="I35" i="6"/>
  <c r="I31" i="6"/>
  <c r="N134" i="6"/>
  <c r="N138" i="6" s="1"/>
  <c r="N131" i="6"/>
  <c r="H74" i="6"/>
  <c r="H37" i="6"/>
  <c r="H81" i="6" s="1"/>
  <c r="L43" i="6"/>
  <c r="L87" i="6" s="1"/>
  <c r="L80" i="6"/>
  <c r="L82" i="6" s="1"/>
  <c r="J43" i="6"/>
  <c r="J87" i="6" s="1"/>
  <c r="J80" i="6"/>
  <c r="P34" i="6"/>
  <c r="P114" i="6"/>
  <c r="P67" i="6"/>
  <c r="G16" i="6"/>
  <c r="G21" i="6"/>
  <c r="G20" i="6"/>
  <c r="G30" i="6" s="1"/>
  <c r="G18" i="6"/>
  <c r="G15" i="6"/>
  <c r="G19" i="6"/>
  <c r="G17" i="6"/>
  <c r="G14" i="6"/>
  <c r="G22" i="6" s="1"/>
  <c r="G90" i="6"/>
  <c r="O90" i="6"/>
  <c r="O14" i="6"/>
  <c r="O17" i="6"/>
  <c r="O20" i="6"/>
  <c r="O18" i="6"/>
  <c r="O15" i="6"/>
  <c r="O21" i="6"/>
  <c r="O16" i="6"/>
  <c r="O19" i="6"/>
  <c r="O41" i="6"/>
  <c r="M31" i="6"/>
  <c r="N73" i="6"/>
  <c r="N36" i="6"/>
  <c r="H85" i="6"/>
  <c r="N30" i="6"/>
  <c r="H22" i="6"/>
  <c r="F71" i="6"/>
  <c r="F34" i="6"/>
  <c r="R13" i="6"/>
  <c r="Q58" i="6"/>
  <c r="Q27" i="6"/>
  <c r="G127" i="6"/>
  <c r="G123" i="6"/>
  <c r="O127" i="6"/>
  <c r="O123" i="6"/>
  <c r="M42" i="6"/>
  <c r="M79" i="6"/>
  <c r="M38" i="6"/>
  <c r="AA86" i="4" l="1"/>
  <c r="AA90" i="4" s="1"/>
  <c r="AA92" i="4"/>
  <c r="S13" i="6"/>
  <c r="R58" i="6"/>
  <c r="R27" i="6"/>
  <c r="N80" i="6"/>
  <c r="N43" i="6"/>
  <c r="N87" i="6" s="1"/>
  <c r="P90" i="6"/>
  <c r="P16" i="6"/>
  <c r="P29" i="6" s="1"/>
  <c r="P14" i="6"/>
  <c r="P19" i="6"/>
  <c r="P17" i="6"/>
  <c r="P20" i="6"/>
  <c r="P15" i="6"/>
  <c r="P21" i="6"/>
  <c r="P30" i="6" s="1"/>
  <c r="P18" i="6"/>
  <c r="I79" i="6"/>
  <c r="I82" i="6" s="1"/>
  <c r="I42" i="6"/>
  <c r="I38" i="6"/>
  <c r="L144" i="6"/>
  <c r="L88" i="6"/>
  <c r="P127" i="6"/>
  <c r="P123" i="6"/>
  <c r="G85" i="6"/>
  <c r="G28" i="6"/>
  <c r="J86" i="6"/>
  <c r="J44" i="6"/>
  <c r="F41" i="6"/>
  <c r="F78" i="6"/>
  <c r="H73" i="6"/>
  <c r="H36" i="6"/>
  <c r="H31" i="6"/>
  <c r="G134" i="6"/>
  <c r="G138" i="6" s="1"/>
  <c r="G131" i="6"/>
  <c r="O28" i="6"/>
  <c r="O22" i="6"/>
  <c r="G74" i="6"/>
  <c r="G37" i="6"/>
  <c r="G81" i="6" s="1"/>
  <c r="P41" i="6"/>
  <c r="H79" i="6"/>
  <c r="H42" i="6"/>
  <c r="H38" i="6"/>
  <c r="I43" i="6"/>
  <c r="I87" i="6" s="1"/>
  <c r="I80" i="6"/>
  <c r="F21" i="6"/>
  <c r="F19" i="6"/>
  <c r="F20" i="6"/>
  <c r="F18" i="6"/>
  <c r="F16" i="6"/>
  <c r="F90" i="6"/>
  <c r="F15" i="6"/>
  <c r="F28" i="6" s="1"/>
  <c r="F17" i="6"/>
  <c r="F14" i="6"/>
  <c r="O134" i="6"/>
  <c r="O138" i="6" s="1"/>
  <c r="O131" i="6"/>
  <c r="O29" i="6"/>
  <c r="P71" i="6"/>
  <c r="H75" i="6"/>
  <c r="M80" i="6"/>
  <c r="M82" i="6" s="1"/>
  <c r="M43" i="6"/>
  <c r="M87" i="6" s="1"/>
  <c r="F127" i="6"/>
  <c r="Q114" i="6"/>
  <c r="Q67" i="6"/>
  <c r="O30" i="6"/>
  <c r="N74" i="6"/>
  <c r="N37" i="6"/>
  <c r="N81" i="6" s="1"/>
  <c r="O78" i="6"/>
  <c r="O85" i="6"/>
  <c r="M86" i="6"/>
  <c r="M44" i="6"/>
  <c r="Q34" i="6"/>
  <c r="G29" i="6"/>
  <c r="L44" i="6"/>
  <c r="N72" i="6"/>
  <c r="N35" i="6"/>
  <c r="N31" i="6"/>
  <c r="AB86" i="4" l="1"/>
  <c r="AB90" i="4" s="1"/>
  <c r="AB92" i="4"/>
  <c r="I86" i="6"/>
  <c r="I44" i="6"/>
  <c r="P22" i="6"/>
  <c r="M144" i="6"/>
  <c r="M88" i="6"/>
  <c r="P36" i="6"/>
  <c r="P43" i="6" s="1"/>
  <c r="P87" i="6" s="1"/>
  <c r="P73" i="6"/>
  <c r="O74" i="6"/>
  <c r="O37" i="6"/>
  <c r="O81" i="6" s="1"/>
  <c r="O72" i="6"/>
  <c r="O35" i="6"/>
  <c r="O31" i="6"/>
  <c r="P78" i="6"/>
  <c r="P85" i="6"/>
  <c r="F29" i="6"/>
  <c r="F31" i="6" s="1"/>
  <c r="P74" i="6"/>
  <c r="P37" i="6"/>
  <c r="P81" i="6" s="1"/>
  <c r="F72" i="6"/>
  <c r="F35" i="6"/>
  <c r="N79" i="6"/>
  <c r="N82" i="6" s="1"/>
  <c r="N42" i="6"/>
  <c r="N38" i="6"/>
  <c r="Q90" i="6"/>
  <c r="Q17" i="6"/>
  <c r="Q16" i="6"/>
  <c r="Q15" i="6"/>
  <c r="Q14" i="6"/>
  <c r="Q20" i="6"/>
  <c r="Q18" i="6"/>
  <c r="Q21" i="6"/>
  <c r="Q19" i="6"/>
  <c r="Q127" i="6"/>
  <c r="Q123" i="6"/>
  <c r="O73" i="6"/>
  <c r="O36" i="6"/>
  <c r="H82" i="6"/>
  <c r="P134" i="6"/>
  <c r="P138" i="6" s="1"/>
  <c r="P131" i="6"/>
  <c r="P28" i="6"/>
  <c r="J144" i="6"/>
  <c r="J88" i="6"/>
  <c r="R71" i="6"/>
  <c r="R34" i="6"/>
  <c r="Q71" i="6"/>
  <c r="R114" i="6"/>
  <c r="R67" i="6"/>
  <c r="G73" i="6"/>
  <c r="G36" i="6"/>
  <c r="H86" i="6"/>
  <c r="H44" i="6"/>
  <c r="N75" i="6"/>
  <c r="F134" i="6"/>
  <c r="F138" i="6" s="1"/>
  <c r="F131" i="6"/>
  <c r="Q41" i="6"/>
  <c r="F22" i="6"/>
  <c r="F30" i="6"/>
  <c r="H80" i="6"/>
  <c r="H43" i="6"/>
  <c r="H87" i="6" s="1"/>
  <c r="G72" i="6"/>
  <c r="G75" i="6" s="1"/>
  <c r="G35" i="6"/>
  <c r="G31" i="6"/>
  <c r="T13" i="6"/>
  <c r="S27" i="6"/>
  <c r="AC86" i="4" l="1"/>
  <c r="AC90" i="4" s="1"/>
  <c r="AC92" i="4"/>
  <c r="S71" i="6"/>
  <c r="S34" i="6"/>
  <c r="Q134" i="6"/>
  <c r="Q138" i="6" s="1"/>
  <c r="Q131" i="6"/>
  <c r="H144" i="6"/>
  <c r="H88" i="6"/>
  <c r="N86" i="6"/>
  <c r="N44" i="6"/>
  <c r="Q78" i="6"/>
  <c r="Q85" i="6"/>
  <c r="G79" i="6"/>
  <c r="G42" i="6"/>
  <c r="G38" i="6"/>
  <c r="R41" i="6"/>
  <c r="Q30" i="6"/>
  <c r="O42" i="6"/>
  <c r="O38" i="6"/>
  <c r="O79" i="6"/>
  <c r="U13" i="6"/>
  <c r="T27" i="6"/>
  <c r="R90" i="6"/>
  <c r="R19" i="6"/>
  <c r="R20" i="6"/>
  <c r="R21" i="6"/>
  <c r="S21" i="6" s="1"/>
  <c r="T21" i="6" s="1"/>
  <c r="U21" i="6" s="1"/>
  <c r="V21" i="6" s="1"/>
  <c r="W21" i="6" s="1"/>
  <c r="X21" i="6" s="1"/>
  <c r="Y21" i="6" s="1"/>
  <c r="Z21" i="6" s="1"/>
  <c r="AA21" i="6" s="1"/>
  <c r="AB21" i="6" s="1"/>
  <c r="AC21" i="6" s="1"/>
  <c r="AD21" i="6" s="1"/>
  <c r="AE21" i="6" s="1"/>
  <c r="R14" i="6"/>
  <c r="S14" i="6" s="1"/>
  <c r="R17" i="6"/>
  <c r="S17" i="6" s="1"/>
  <c r="T17" i="6" s="1"/>
  <c r="U17" i="6" s="1"/>
  <c r="V17" i="6" s="1"/>
  <c r="W17" i="6" s="1"/>
  <c r="X17" i="6" s="1"/>
  <c r="Y17" i="6" s="1"/>
  <c r="Z17" i="6" s="1"/>
  <c r="AA17" i="6" s="1"/>
  <c r="AB17" i="6" s="1"/>
  <c r="AC17" i="6" s="1"/>
  <c r="AD17" i="6" s="1"/>
  <c r="AE17" i="6" s="1"/>
  <c r="R15" i="6"/>
  <c r="R18" i="6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R16" i="6"/>
  <c r="O80" i="6"/>
  <c r="O43" i="6"/>
  <c r="O87" i="6" s="1"/>
  <c r="Q22" i="6"/>
  <c r="O75" i="6"/>
  <c r="P72" i="6"/>
  <c r="P75" i="6" s="1"/>
  <c r="P35" i="6"/>
  <c r="P31" i="6"/>
  <c r="Q28" i="6"/>
  <c r="G80" i="6"/>
  <c r="G43" i="6"/>
  <c r="G87" i="6" s="1"/>
  <c r="F73" i="6"/>
  <c r="F75" i="6" s="1"/>
  <c r="F36" i="6"/>
  <c r="R127" i="6"/>
  <c r="R123" i="6"/>
  <c r="F74" i="6"/>
  <c r="F37" i="6"/>
  <c r="F81" i="6" s="1"/>
  <c r="Q29" i="6"/>
  <c r="F42" i="6"/>
  <c r="F79" i="6"/>
  <c r="P80" i="6"/>
  <c r="I144" i="6"/>
  <c r="I88" i="6"/>
  <c r="AD92" i="4" l="1"/>
  <c r="AD86" i="4"/>
  <c r="AD90" i="4" s="1"/>
  <c r="S20" i="6"/>
  <c r="R30" i="6"/>
  <c r="O86" i="6"/>
  <c r="O44" i="6"/>
  <c r="Q73" i="6"/>
  <c r="Q36" i="6"/>
  <c r="P79" i="6"/>
  <c r="P82" i="6" s="1"/>
  <c r="P42" i="6"/>
  <c r="P38" i="6"/>
  <c r="Q74" i="6"/>
  <c r="Q37" i="6"/>
  <c r="Q81" i="6" s="1"/>
  <c r="S16" i="6"/>
  <c r="S22" i="6" s="1"/>
  <c r="R29" i="6"/>
  <c r="R28" i="6"/>
  <c r="S15" i="6"/>
  <c r="T34" i="6"/>
  <c r="T71" i="6"/>
  <c r="F38" i="6"/>
  <c r="V13" i="6"/>
  <c r="U27" i="6"/>
  <c r="G86" i="6"/>
  <c r="G44" i="6"/>
  <c r="R22" i="6"/>
  <c r="S19" i="6"/>
  <c r="T19" i="6" s="1"/>
  <c r="U19" i="6" s="1"/>
  <c r="V19" i="6" s="1"/>
  <c r="W19" i="6" s="1"/>
  <c r="X19" i="6" s="1"/>
  <c r="Y19" i="6" s="1"/>
  <c r="Z19" i="6" s="1"/>
  <c r="AA19" i="6" s="1"/>
  <c r="AB19" i="6" s="1"/>
  <c r="AC19" i="6" s="1"/>
  <c r="AD19" i="6" s="1"/>
  <c r="AE19" i="6" s="1"/>
  <c r="R134" i="6"/>
  <c r="R131" i="6"/>
  <c r="T14" i="6"/>
  <c r="O82" i="6"/>
  <c r="G82" i="6"/>
  <c r="S78" i="6"/>
  <c r="S41" i="6"/>
  <c r="R78" i="6"/>
  <c r="R85" i="6"/>
  <c r="Q35" i="6"/>
  <c r="Q72" i="6"/>
  <c r="Q31" i="6"/>
  <c r="F43" i="6"/>
  <c r="F80" i="6"/>
  <c r="F82" i="6" s="1"/>
  <c r="F44" i="6"/>
  <c r="N144" i="6"/>
  <c r="N88" i="6"/>
  <c r="W13" i="6" l="1"/>
  <c r="V27" i="6"/>
  <c r="S85" i="6"/>
  <c r="R72" i="6"/>
  <c r="R75" i="6" s="1"/>
  <c r="R35" i="6"/>
  <c r="R31" i="6"/>
  <c r="F144" i="6"/>
  <c r="F88" i="6"/>
  <c r="S134" i="6"/>
  <c r="R36" i="6"/>
  <c r="R73" i="6"/>
  <c r="O144" i="6"/>
  <c r="O88" i="6"/>
  <c r="G144" i="6"/>
  <c r="G88" i="6"/>
  <c r="R74" i="6"/>
  <c r="R37" i="6"/>
  <c r="R81" i="6" s="1"/>
  <c r="R138" i="6" s="1"/>
  <c r="T16" i="6"/>
  <c r="S29" i="6"/>
  <c r="U14" i="6"/>
  <c r="T78" i="6"/>
  <c r="T41" i="6"/>
  <c r="T20" i="6"/>
  <c r="S30" i="6"/>
  <c r="Q43" i="6"/>
  <c r="Q87" i="6" s="1"/>
  <c r="Q80" i="6"/>
  <c r="Q75" i="6"/>
  <c r="Q42" i="6"/>
  <c r="Q38" i="6"/>
  <c r="Q79" i="6"/>
  <c r="Q82" i="6" s="1"/>
  <c r="U71" i="6"/>
  <c r="U34" i="6"/>
  <c r="T15" i="6"/>
  <c r="S28" i="6"/>
  <c r="P86" i="6"/>
  <c r="P44" i="6"/>
  <c r="U16" i="6" l="1"/>
  <c r="T29" i="6"/>
  <c r="T134" i="6"/>
  <c r="R43" i="6"/>
  <c r="R87" i="6" s="1"/>
  <c r="R80" i="6"/>
  <c r="S72" i="6"/>
  <c r="S35" i="6"/>
  <c r="S31" i="6"/>
  <c r="R42" i="6"/>
  <c r="R38" i="6"/>
  <c r="R79" i="6"/>
  <c r="Q86" i="6"/>
  <c r="Q44" i="6"/>
  <c r="S141" i="6"/>
  <c r="T22" i="6"/>
  <c r="V71" i="6"/>
  <c r="V34" i="6"/>
  <c r="U20" i="6"/>
  <c r="T30" i="6"/>
  <c r="T85" i="6"/>
  <c r="P144" i="6"/>
  <c r="P88" i="6"/>
  <c r="U15" i="6"/>
  <c r="T28" i="6"/>
  <c r="V14" i="6"/>
  <c r="U41" i="6"/>
  <c r="U78" i="6"/>
  <c r="S74" i="6"/>
  <c r="S37" i="6"/>
  <c r="S81" i="6" s="1"/>
  <c r="S137" i="6" s="1"/>
  <c r="S36" i="6"/>
  <c r="S73" i="6"/>
  <c r="X13" i="6"/>
  <c r="W27" i="6"/>
  <c r="T72" i="6" l="1"/>
  <c r="T35" i="6"/>
  <c r="T31" i="6"/>
  <c r="V20" i="6"/>
  <c r="U30" i="6"/>
  <c r="Q144" i="6"/>
  <c r="Q88" i="6"/>
  <c r="R82" i="6"/>
  <c r="W14" i="6"/>
  <c r="S43" i="6"/>
  <c r="S87" i="6" s="1"/>
  <c r="S143" i="6" s="1"/>
  <c r="S80" i="6"/>
  <c r="S136" i="6" s="1"/>
  <c r="V41" i="6"/>
  <c r="V78" i="6"/>
  <c r="T36" i="6"/>
  <c r="T73" i="6"/>
  <c r="U134" i="6"/>
  <c r="S79" i="6"/>
  <c r="S42" i="6"/>
  <c r="S38" i="6"/>
  <c r="V15" i="6"/>
  <c r="U28" i="6"/>
  <c r="R86" i="6"/>
  <c r="R44" i="6"/>
  <c r="W34" i="6"/>
  <c r="W71" i="6"/>
  <c r="V16" i="6"/>
  <c r="U29" i="6"/>
  <c r="Y13" i="6"/>
  <c r="X27" i="6"/>
  <c r="U85" i="6"/>
  <c r="T141" i="6"/>
  <c r="U22" i="6"/>
  <c r="T74" i="6"/>
  <c r="T37" i="6"/>
  <c r="T81" i="6" s="1"/>
  <c r="T137" i="6" s="1"/>
  <c r="S75" i="6"/>
  <c r="W16" i="6" l="1"/>
  <c r="V29" i="6"/>
  <c r="V85" i="6"/>
  <c r="W20" i="6"/>
  <c r="V30" i="6"/>
  <c r="S86" i="6"/>
  <c r="S44" i="6"/>
  <c r="U141" i="6"/>
  <c r="U74" i="6"/>
  <c r="U37" i="6"/>
  <c r="U81" i="6" s="1"/>
  <c r="U137" i="6" s="1"/>
  <c r="R144" i="6"/>
  <c r="R88" i="6"/>
  <c r="S135" i="6"/>
  <c r="S138" i="6" s="1"/>
  <c r="S82" i="6"/>
  <c r="X71" i="6"/>
  <c r="X34" i="6"/>
  <c r="U72" i="6"/>
  <c r="U35" i="6"/>
  <c r="U31" i="6"/>
  <c r="V22" i="6"/>
  <c r="T42" i="6"/>
  <c r="T79" i="6"/>
  <c r="T38" i="6"/>
  <c r="V134" i="6"/>
  <c r="W78" i="6"/>
  <c r="W41" i="6"/>
  <c r="Z13" i="6"/>
  <c r="Y27" i="6"/>
  <c r="U73" i="6"/>
  <c r="U36" i="6"/>
  <c r="W15" i="6"/>
  <c r="V28" i="6"/>
  <c r="T80" i="6"/>
  <c r="T136" i="6" s="1"/>
  <c r="T43" i="6"/>
  <c r="T87" i="6" s="1"/>
  <c r="T143" i="6" s="1"/>
  <c r="X14" i="6"/>
  <c r="T75" i="6"/>
  <c r="X15" i="6" l="1"/>
  <c r="W28" i="6"/>
  <c r="Y14" i="6"/>
  <c r="U80" i="6"/>
  <c r="U136" i="6" s="1"/>
  <c r="U43" i="6"/>
  <c r="U87" i="6" s="1"/>
  <c r="U143" i="6" s="1"/>
  <c r="W85" i="6"/>
  <c r="V74" i="6"/>
  <c r="V37" i="6"/>
  <c r="V81" i="6" s="1"/>
  <c r="V137" i="6" s="1"/>
  <c r="X41" i="6"/>
  <c r="X78" i="6"/>
  <c r="S142" i="6"/>
  <c r="S144" i="6" s="1"/>
  <c r="S88" i="6"/>
  <c r="W134" i="6"/>
  <c r="U42" i="6"/>
  <c r="U79" i="6"/>
  <c r="U38" i="6"/>
  <c r="U75" i="6"/>
  <c r="Y34" i="6"/>
  <c r="Y71" i="6"/>
  <c r="V73" i="6"/>
  <c r="V36" i="6"/>
  <c r="W22" i="6"/>
  <c r="X20" i="6"/>
  <c r="W30" i="6"/>
  <c r="AA13" i="6"/>
  <c r="Z27" i="6"/>
  <c r="V141" i="6"/>
  <c r="T135" i="6"/>
  <c r="T138" i="6" s="1"/>
  <c r="T82" i="6"/>
  <c r="V72" i="6"/>
  <c r="V35" i="6"/>
  <c r="V31" i="6"/>
  <c r="T86" i="6"/>
  <c r="T44" i="6"/>
  <c r="X16" i="6"/>
  <c r="W29" i="6"/>
  <c r="X134" i="6" l="1"/>
  <c r="U135" i="6"/>
  <c r="U138" i="6" s="1"/>
  <c r="U82" i="6"/>
  <c r="X85" i="6"/>
  <c r="U86" i="6"/>
  <c r="U44" i="6"/>
  <c r="Z14" i="6"/>
  <c r="Y16" i="6"/>
  <c r="X29" i="6"/>
  <c r="Y20" i="6"/>
  <c r="X30" i="6"/>
  <c r="T142" i="6"/>
  <c r="T144" i="6" s="1"/>
  <c r="T88" i="6"/>
  <c r="V80" i="6"/>
  <c r="V136" i="6" s="1"/>
  <c r="V43" i="6"/>
  <c r="V87" i="6" s="1"/>
  <c r="V143" i="6" s="1"/>
  <c r="W72" i="6"/>
  <c r="W35" i="6"/>
  <c r="W31" i="6"/>
  <c r="W73" i="6"/>
  <c r="W36" i="6"/>
  <c r="W74" i="6"/>
  <c r="W37" i="6"/>
  <c r="W81" i="6" s="1"/>
  <c r="W137" i="6" s="1"/>
  <c r="Y41" i="6"/>
  <c r="Y78" i="6"/>
  <c r="W141" i="6"/>
  <c r="X22" i="6"/>
  <c r="V79" i="6"/>
  <c r="V42" i="6"/>
  <c r="V38" i="6"/>
  <c r="Z34" i="6"/>
  <c r="Z71" i="6"/>
  <c r="V75" i="6"/>
  <c r="AB13" i="6"/>
  <c r="AA27" i="6"/>
  <c r="Y15" i="6"/>
  <c r="X28" i="6"/>
  <c r="X37" i="6" l="1"/>
  <c r="X81" i="6" s="1"/>
  <c r="X137" i="6" s="1"/>
  <c r="X74" i="6"/>
  <c r="W79" i="6"/>
  <c r="W42" i="6"/>
  <c r="W38" i="6"/>
  <c r="Y134" i="6"/>
  <c r="X72" i="6"/>
  <c r="X35" i="6"/>
  <c r="X31" i="6"/>
  <c r="X36" i="6"/>
  <c r="X73" i="6"/>
  <c r="Z15" i="6"/>
  <c r="Y28" i="6"/>
  <c r="Z16" i="6"/>
  <c r="Y29" i="6"/>
  <c r="Y22" i="6"/>
  <c r="V86" i="6"/>
  <c r="V44" i="6"/>
  <c r="AA14" i="6"/>
  <c r="Z22" i="6"/>
  <c r="X141" i="6"/>
  <c r="W75" i="6"/>
  <c r="Y85" i="6"/>
  <c r="Z20" i="6"/>
  <c r="Y30" i="6"/>
  <c r="Z78" i="6"/>
  <c r="Z41" i="6"/>
  <c r="AA71" i="6"/>
  <c r="AA34" i="6"/>
  <c r="V135" i="6"/>
  <c r="V138" i="6" s="1"/>
  <c r="V82" i="6"/>
  <c r="AC13" i="6"/>
  <c r="AB27" i="6"/>
  <c r="W80" i="6"/>
  <c r="W136" i="6" s="1"/>
  <c r="W43" i="6"/>
  <c r="W87" i="6" s="1"/>
  <c r="W143" i="6" s="1"/>
  <c r="U142" i="6"/>
  <c r="U144" i="6" s="1"/>
  <c r="U88" i="6"/>
  <c r="Z85" i="6" l="1"/>
  <c r="AD13" i="6"/>
  <c r="AC27" i="6"/>
  <c r="AA78" i="6"/>
  <c r="AA41" i="6"/>
  <c r="X80" i="6"/>
  <c r="X136" i="6" s="1"/>
  <c r="X43" i="6"/>
  <c r="X87" i="6" s="1"/>
  <c r="X143" i="6" s="1"/>
  <c r="X79" i="6"/>
  <c r="X42" i="6"/>
  <c r="X38" i="6"/>
  <c r="Y35" i="6"/>
  <c r="Y72" i="6"/>
  <c r="Y75" i="6" s="1"/>
  <c r="Y31" i="6"/>
  <c r="Z134" i="6"/>
  <c r="AA15" i="6"/>
  <c r="Z28" i="6"/>
  <c r="Y74" i="6"/>
  <c r="Y37" i="6"/>
  <c r="Y81" i="6" s="1"/>
  <c r="Y137" i="6" s="1"/>
  <c r="AB14" i="6"/>
  <c r="AA20" i="6"/>
  <c r="Z30" i="6"/>
  <c r="W86" i="6"/>
  <c r="W44" i="6"/>
  <c r="Y141" i="6"/>
  <c r="Y36" i="6"/>
  <c r="Y73" i="6"/>
  <c r="X75" i="6"/>
  <c r="V142" i="6"/>
  <c r="V144" i="6" s="1"/>
  <c r="V88" i="6"/>
  <c r="W135" i="6"/>
  <c r="W138" i="6" s="1"/>
  <c r="W82" i="6"/>
  <c r="AB71" i="6"/>
  <c r="AB34" i="6"/>
  <c r="AA16" i="6"/>
  <c r="Z29" i="6"/>
  <c r="AC14" i="6" l="1"/>
  <c r="W142" i="6"/>
  <c r="W144" i="6" s="1"/>
  <c r="W88" i="6"/>
  <c r="X86" i="6"/>
  <c r="X44" i="6"/>
  <c r="Y79" i="6"/>
  <c r="Y42" i="6"/>
  <c r="Y38" i="6"/>
  <c r="AB16" i="6"/>
  <c r="AA29" i="6"/>
  <c r="AB15" i="6"/>
  <c r="AA28" i="6"/>
  <c r="AC71" i="6"/>
  <c r="AC34" i="6"/>
  <c r="Z37" i="6"/>
  <c r="Z81" i="6" s="1"/>
  <c r="Z137" i="6" s="1"/>
  <c r="Z74" i="6"/>
  <c r="AA134" i="6"/>
  <c r="Z73" i="6"/>
  <c r="Z36" i="6"/>
  <c r="Z35" i="6"/>
  <c r="Z72" i="6"/>
  <c r="Z31" i="6"/>
  <c r="X135" i="6"/>
  <c r="X138" i="6" s="1"/>
  <c r="X82" i="6"/>
  <c r="AE13" i="6"/>
  <c r="AD27" i="6"/>
  <c r="AB20" i="6"/>
  <c r="AA30" i="6"/>
  <c r="AB78" i="6"/>
  <c r="AB41" i="6"/>
  <c r="Y43" i="6"/>
  <c r="Y87" i="6" s="1"/>
  <c r="Y143" i="6" s="1"/>
  <c r="Y80" i="6"/>
  <c r="Y136" i="6" s="1"/>
  <c r="AA22" i="6"/>
  <c r="AA85" i="6"/>
  <c r="Z141" i="6"/>
  <c r="Y135" i="6" l="1"/>
  <c r="Y138" i="6" s="1"/>
  <c r="Y82" i="6"/>
  <c r="X142" i="6"/>
  <c r="X144" i="6" s="1"/>
  <c r="X88" i="6"/>
  <c r="AE27" i="6"/>
  <c r="AB85" i="6"/>
  <c r="AC16" i="6"/>
  <c r="AB29" i="6"/>
  <c r="Z43" i="6"/>
  <c r="Z87" i="6" s="1"/>
  <c r="Z143" i="6" s="1"/>
  <c r="Z80" i="6"/>
  <c r="Z136" i="6" s="1"/>
  <c r="AC15" i="6"/>
  <c r="AB28" i="6"/>
  <c r="AA36" i="6"/>
  <c r="AA73" i="6"/>
  <c r="Z75" i="6"/>
  <c r="AB22" i="6"/>
  <c r="AC41" i="6"/>
  <c r="AC78" i="6"/>
  <c r="AD71" i="6"/>
  <c r="AD34" i="6"/>
  <c r="AA72" i="6"/>
  <c r="AA35" i="6"/>
  <c r="AA31" i="6"/>
  <c r="AB134" i="6"/>
  <c r="AA74" i="6"/>
  <c r="AA37" i="6"/>
  <c r="AA81" i="6" s="1"/>
  <c r="AA137" i="6" s="1"/>
  <c r="AA141" i="6"/>
  <c r="AC20" i="6"/>
  <c r="AB30" i="6"/>
  <c r="Z42" i="6"/>
  <c r="Z79" i="6"/>
  <c r="Z38" i="6"/>
  <c r="Y86" i="6"/>
  <c r="Y44" i="6"/>
  <c r="AD14" i="6"/>
  <c r="AA75" i="6" l="1"/>
  <c r="AB141" i="6"/>
  <c r="Z86" i="6"/>
  <c r="Z44" i="6"/>
  <c r="AD15" i="6"/>
  <c r="AC28" i="6"/>
  <c r="AC22" i="6"/>
  <c r="AC85" i="6"/>
  <c r="Z135" i="6"/>
  <c r="Z138" i="6" s="1"/>
  <c r="Z82" i="6"/>
  <c r="AD20" i="6"/>
  <c r="AC30" i="6"/>
  <c r="AE14" i="6"/>
  <c r="AD22" i="6"/>
  <c r="AA42" i="6"/>
  <c r="AA79" i="6"/>
  <c r="AA38" i="6"/>
  <c r="AB36" i="6"/>
  <c r="AB73" i="6"/>
  <c r="AB131" i="6" s="1"/>
  <c r="AB37" i="6"/>
  <c r="AB81" i="6" s="1"/>
  <c r="AB137" i="6" s="1"/>
  <c r="AB74" i="6"/>
  <c r="Y142" i="6"/>
  <c r="Y144" i="6" s="1"/>
  <c r="Y88" i="6"/>
  <c r="AD16" i="6"/>
  <c r="AC29" i="6"/>
  <c r="AB72" i="6"/>
  <c r="AB35" i="6"/>
  <c r="AB31" i="6"/>
  <c r="AC134" i="6"/>
  <c r="AE34" i="6"/>
  <c r="AE71" i="6"/>
  <c r="AD78" i="6"/>
  <c r="AD41" i="6"/>
  <c r="AA80" i="6"/>
  <c r="AA136" i="6" s="1"/>
  <c r="AA43" i="6"/>
  <c r="AA87" i="6" s="1"/>
  <c r="AA143" i="6" s="1"/>
  <c r="AB79" i="6" l="1"/>
  <c r="AB42" i="6"/>
  <c r="AB38" i="6"/>
  <c r="AB80" i="6"/>
  <c r="AB136" i="6" s="1"/>
  <c r="AB43" i="6"/>
  <c r="AB87" i="6" s="1"/>
  <c r="AB143" i="6" s="1"/>
  <c r="Z142" i="6"/>
  <c r="Z144" i="6" s="1"/>
  <c r="Z88" i="6"/>
  <c r="AB75" i="6"/>
  <c r="AE15" i="6"/>
  <c r="AE28" i="6" s="1"/>
  <c r="AD28" i="6"/>
  <c r="AD85" i="6"/>
  <c r="AD134" i="6"/>
  <c r="AC35" i="6"/>
  <c r="AC72" i="6"/>
  <c r="AC31" i="6"/>
  <c r="AE78" i="6"/>
  <c r="AE41" i="6"/>
  <c r="AA135" i="6"/>
  <c r="AA138" i="6" s="1"/>
  <c r="AA82" i="6"/>
  <c r="AE22" i="6"/>
  <c r="AC74" i="6"/>
  <c r="AC37" i="6"/>
  <c r="AC81" i="6" s="1"/>
  <c r="AC137" i="6" s="1"/>
  <c r="AC73" i="6"/>
  <c r="AC36" i="6"/>
  <c r="AE20" i="6"/>
  <c r="AE30" i="6" s="1"/>
  <c r="AD30" i="6"/>
  <c r="AE16" i="6"/>
  <c r="AE29" i="6" s="1"/>
  <c r="AD29" i="6"/>
  <c r="AA86" i="6"/>
  <c r="AA44" i="6"/>
  <c r="AC141" i="6"/>
  <c r="AC75" i="6" l="1"/>
  <c r="AE73" i="6"/>
  <c r="AE36" i="6"/>
  <c r="AE85" i="6"/>
  <c r="AD73" i="6"/>
  <c r="AD36" i="6"/>
  <c r="AE134" i="6"/>
  <c r="AC79" i="6"/>
  <c r="AC42" i="6"/>
  <c r="AC38" i="6"/>
  <c r="AD74" i="6"/>
  <c r="AD37" i="6"/>
  <c r="AD81" i="6" s="1"/>
  <c r="AD137" i="6" s="1"/>
  <c r="AD141" i="6"/>
  <c r="AA142" i="6"/>
  <c r="AA144" i="6" s="1"/>
  <c r="AA88" i="6"/>
  <c r="AD72" i="6"/>
  <c r="AD35" i="6"/>
  <c r="AD31" i="6"/>
  <c r="AB86" i="6"/>
  <c r="AB44" i="6"/>
  <c r="AE74" i="6"/>
  <c r="AE37" i="6"/>
  <c r="AE81" i="6" s="1"/>
  <c r="AE137" i="6" s="1"/>
  <c r="AC80" i="6"/>
  <c r="AC136" i="6" s="1"/>
  <c r="AC43" i="6"/>
  <c r="AC87" i="6" s="1"/>
  <c r="AC143" i="6" s="1"/>
  <c r="AE72" i="6"/>
  <c r="AE35" i="6"/>
  <c r="AE31" i="6"/>
  <c r="AB135" i="6"/>
  <c r="AB138" i="6" s="1"/>
  <c r="AB82" i="6"/>
  <c r="AE75" i="6" l="1"/>
  <c r="AD75" i="6"/>
  <c r="AD43" i="6"/>
  <c r="AD87" i="6" s="1"/>
  <c r="AD143" i="6" s="1"/>
  <c r="AD80" i="6"/>
  <c r="AD136" i="6" s="1"/>
  <c r="AB142" i="6"/>
  <c r="AB144" i="6" s="1"/>
  <c r="AB88" i="6"/>
  <c r="AE79" i="6"/>
  <c r="AE42" i="6"/>
  <c r="AE38" i="6"/>
  <c r="AE141" i="6"/>
  <c r="AD79" i="6"/>
  <c r="AD42" i="6"/>
  <c r="AD38" i="6"/>
  <c r="AC86" i="6"/>
  <c r="AC44" i="6"/>
  <c r="AE80" i="6"/>
  <c r="AE136" i="6" s="1"/>
  <c r="AE43" i="6"/>
  <c r="AE87" i="6" s="1"/>
  <c r="AE143" i="6" s="1"/>
  <c r="AC135" i="6"/>
  <c r="AC138" i="6" s="1"/>
  <c r="AC82" i="6"/>
  <c r="AD86" i="6" l="1"/>
  <c r="AD44" i="6"/>
  <c r="AD135" i="6"/>
  <c r="AD138" i="6" s="1"/>
  <c r="AD82" i="6"/>
  <c r="AE86" i="6"/>
  <c r="AE44" i="6"/>
  <c r="AC142" i="6"/>
  <c r="AC144" i="6" s="1"/>
  <c r="AC88" i="6"/>
  <c r="AE135" i="6"/>
  <c r="AE138" i="6" s="1"/>
  <c r="AE82" i="6"/>
  <c r="AE142" i="6" l="1"/>
  <c r="AE144" i="6" s="1"/>
  <c r="AE88" i="6"/>
  <c r="AD142" i="6"/>
  <c r="AD144" i="6" s="1"/>
  <c r="AD88" i="6"/>
  <c r="C90" i="16"/>
  <c r="R90" i="16"/>
  <c r="P90" i="16"/>
  <c r="H90" i="16"/>
  <c r="M90" i="16"/>
  <c r="G90" i="16"/>
  <c r="L90" i="16"/>
  <c r="Q90" i="16"/>
  <c r="K90" i="16"/>
  <c r="J90" i="16"/>
  <c r="O90" i="16"/>
  <c r="I90" i="16"/>
  <c r="D90" i="16"/>
  <c r="F90" i="16"/>
  <c r="N90" i="16"/>
  <c r="E90" i="16"/>
  <c r="U90" i="16"/>
  <c r="W90" i="16"/>
  <c r="Z90" i="16"/>
  <c r="V90" i="16"/>
  <c r="Y90" i="16"/>
  <c r="T90" i="16"/>
  <c r="X90" i="16"/>
  <c r="AA90" i="16"/>
  <c r="S90" i="16"/>
  <c r="Z90" i="18"/>
  <c r="V90" i="18"/>
  <c r="AD90" i="18"/>
  <c r="AA90" i="18"/>
  <c r="Y90" i="18"/>
  <c r="AB90" i="18"/>
  <c r="X90" i="18"/>
  <c r="U90" i="18"/>
  <c r="AE90" i="18"/>
  <c r="W90" i="18"/>
  <c r="K90" i="18"/>
  <c r="AC90" i="18"/>
  <c r="T90" i="18"/>
  <c r="S90" i="18"/>
  <c r="K28" i="18" l="1"/>
  <c r="K72" i="18" s="1"/>
  <c r="K29" i="18"/>
  <c r="K36" i="18" s="1"/>
  <c r="K80" i="18" s="1"/>
  <c r="K30" i="18"/>
  <c r="K37" i="18" s="1"/>
  <c r="K81" i="18" s="1"/>
  <c r="J27" i="18"/>
  <c r="K27" i="18"/>
  <c r="K22" i="18"/>
  <c r="K35" i="18" l="1"/>
  <c r="K74" i="18"/>
  <c r="K73" i="18"/>
  <c r="K43" i="18"/>
  <c r="K87" i="18" s="1"/>
  <c r="K42" i="18"/>
  <c r="K86" i="18" s="1"/>
  <c r="K79" i="18"/>
  <c r="K34" i="18"/>
  <c r="K71" i="18"/>
  <c r="K31" i="18"/>
  <c r="J71" i="18"/>
  <c r="J34" i="18"/>
  <c r="L27" i="18"/>
  <c r="I27" i="18"/>
  <c r="J90" i="18"/>
  <c r="K75" i="18" l="1"/>
  <c r="I71" i="18"/>
  <c r="I34" i="18"/>
  <c r="L90" i="18"/>
  <c r="L28" i="18"/>
  <c r="K78" i="18"/>
  <c r="K82" i="18" s="1"/>
  <c r="K41" i="18"/>
  <c r="K38" i="18"/>
  <c r="J22" i="18"/>
  <c r="J29" i="18"/>
  <c r="J30" i="18"/>
  <c r="L71" i="18"/>
  <c r="L34" i="18"/>
  <c r="H27" i="18"/>
  <c r="J78" i="18"/>
  <c r="J41" i="18"/>
  <c r="I90" i="18"/>
  <c r="M27" i="18"/>
  <c r="J28" i="18"/>
  <c r="I22" i="18" l="1"/>
  <c r="L30" i="18"/>
  <c r="L74" i="18" s="1"/>
  <c r="I30" i="18"/>
  <c r="I37" i="18" s="1"/>
  <c r="I81" i="18" s="1"/>
  <c r="I29" i="18"/>
  <c r="I73" i="18" s="1"/>
  <c r="L29" i="18"/>
  <c r="M34" i="18"/>
  <c r="M71" i="18"/>
  <c r="L41" i="18"/>
  <c r="L78" i="18"/>
  <c r="K85" i="18"/>
  <c r="K88" i="18" s="1"/>
  <c r="K44" i="18"/>
  <c r="J85" i="18"/>
  <c r="I28" i="18"/>
  <c r="H34" i="18"/>
  <c r="H71" i="18"/>
  <c r="J35" i="18"/>
  <c r="J72" i="18"/>
  <c r="J31" i="18"/>
  <c r="J37" i="18"/>
  <c r="J81" i="18" s="1"/>
  <c r="J74" i="18"/>
  <c r="H90" i="18"/>
  <c r="L22" i="18"/>
  <c r="I41" i="18"/>
  <c r="I78" i="18"/>
  <c r="L72" i="18"/>
  <c r="L35" i="18"/>
  <c r="M90" i="18"/>
  <c r="J73" i="18"/>
  <c r="J36" i="18"/>
  <c r="N27" i="18"/>
  <c r="G27" i="18"/>
  <c r="L37" i="18" l="1"/>
  <c r="L81" i="18" s="1"/>
  <c r="I74" i="18"/>
  <c r="M22" i="18"/>
  <c r="I36" i="18"/>
  <c r="I80" i="18" s="1"/>
  <c r="H22" i="18"/>
  <c r="J75" i="18"/>
  <c r="M29" i="18"/>
  <c r="M73" i="18" s="1"/>
  <c r="M30" i="18"/>
  <c r="M37" i="18" s="1"/>
  <c r="M81" i="18" s="1"/>
  <c r="I72" i="18"/>
  <c r="I35" i="18"/>
  <c r="I31" i="18"/>
  <c r="I85" i="18"/>
  <c r="L85" i="18"/>
  <c r="F27" i="18"/>
  <c r="N28" i="18"/>
  <c r="N90" i="18"/>
  <c r="G71" i="18"/>
  <c r="G34" i="18"/>
  <c r="M28" i="18"/>
  <c r="L42" i="18"/>
  <c r="L86" i="18" s="1"/>
  <c r="L79" i="18"/>
  <c r="J43" i="18"/>
  <c r="J87" i="18" s="1"/>
  <c r="J80" i="18"/>
  <c r="G90" i="18"/>
  <c r="H28" i="18"/>
  <c r="J42" i="18"/>
  <c r="J79" i="18"/>
  <c r="J38" i="18"/>
  <c r="H30" i="18"/>
  <c r="H29" i="18"/>
  <c r="H41" i="18"/>
  <c r="H78" i="18"/>
  <c r="N71" i="18"/>
  <c r="N34" i="18"/>
  <c r="M78" i="18"/>
  <c r="M41" i="18"/>
  <c r="O27" i="18"/>
  <c r="L73" i="18"/>
  <c r="L36" i="18"/>
  <c r="L31" i="18"/>
  <c r="I43" i="18" l="1"/>
  <c r="I87" i="18" s="1"/>
  <c r="I75" i="18"/>
  <c r="L75" i="18"/>
  <c r="M74" i="18"/>
  <c r="N30" i="18"/>
  <c r="M36" i="18"/>
  <c r="M80" i="18" s="1"/>
  <c r="G28" i="18"/>
  <c r="G35" i="18" s="1"/>
  <c r="J82" i="18"/>
  <c r="H72" i="18"/>
  <c r="H35" i="18"/>
  <c r="H31" i="18"/>
  <c r="N22" i="18"/>
  <c r="O71" i="18"/>
  <c r="O34" i="18"/>
  <c r="J86" i="18"/>
  <c r="J88" i="18" s="1"/>
  <c r="J44" i="18"/>
  <c r="G41" i="18"/>
  <c r="G78" i="18"/>
  <c r="H85" i="18"/>
  <c r="M85" i="18"/>
  <c r="N29" i="18"/>
  <c r="N31" i="18" s="1"/>
  <c r="N78" i="18"/>
  <c r="F90" i="18"/>
  <c r="N35" i="18"/>
  <c r="N42" i="18" s="1"/>
  <c r="N86" i="18" s="1"/>
  <c r="N72" i="18"/>
  <c r="G29" i="18"/>
  <c r="G30" i="18"/>
  <c r="M35" i="18"/>
  <c r="M72" i="18"/>
  <c r="M31" i="18"/>
  <c r="F71" i="18"/>
  <c r="F34" i="18"/>
  <c r="I42" i="18"/>
  <c r="I79" i="18"/>
  <c r="I82" i="18" s="1"/>
  <c r="I38" i="18"/>
  <c r="N74" i="18"/>
  <c r="N37" i="18"/>
  <c r="N81" i="18" s="1"/>
  <c r="H73" i="18"/>
  <c r="H36" i="18"/>
  <c r="L43" i="18"/>
  <c r="L80" i="18"/>
  <c r="L82" i="18" s="1"/>
  <c r="L38" i="18"/>
  <c r="H37" i="18"/>
  <c r="H81" i="18" s="1"/>
  <c r="H74" i="18"/>
  <c r="N41" i="18"/>
  <c r="P27" i="18"/>
  <c r="O90" i="18"/>
  <c r="G22" i="18"/>
  <c r="M43" i="18" l="1"/>
  <c r="M87" i="18" s="1"/>
  <c r="M75" i="18"/>
  <c r="G72" i="18"/>
  <c r="O28" i="18"/>
  <c r="O72" i="18" s="1"/>
  <c r="N79" i="18"/>
  <c r="Q27" i="18"/>
  <c r="M79" i="18"/>
  <c r="M82" i="18" s="1"/>
  <c r="M42" i="18"/>
  <c r="M38" i="18"/>
  <c r="G37" i="18"/>
  <c r="G81" i="18" s="1"/>
  <c r="G74" i="18"/>
  <c r="G85" i="18"/>
  <c r="O78" i="18"/>
  <c r="H42" i="18"/>
  <c r="H79" i="18"/>
  <c r="H38" i="18"/>
  <c r="F28" i="18"/>
  <c r="P71" i="18"/>
  <c r="P34" i="18"/>
  <c r="H75" i="18"/>
  <c r="N36" i="18"/>
  <c r="N73" i="18"/>
  <c r="P90" i="18"/>
  <c r="I86" i="18"/>
  <c r="I88" i="18" s="1"/>
  <c r="I44" i="18"/>
  <c r="G73" i="18"/>
  <c r="G36" i="18"/>
  <c r="G31" i="18"/>
  <c r="F78" i="18"/>
  <c r="F41" i="18"/>
  <c r="O41" i="18"/>
  <c r="O85" i="18" s="1"/>
  <c r="O35" i="18"/>
  <c r="O42" i="18" s="1"/>
  <c r="O86" i="18" s="1"/>
  <c r="L87" i="18"/>
  <c r="L88" i="18" s="1"/>
  <c r="L44" i="18"/>
  <c r="H43" i="18"/>
  <c r="H87" i="18" s="1"/>
  <c r="H80" i="18"/>
  <c r="O30" i="18"/>
  <c r="O29" i="18"/>
  <c r="G42" i="18"/>
  <c r="G86" i="18" s="1"/>
  <c r="G79" i="18"/>
  <c r="O22" i="18"/>
  <c r="N85" i="18"/>
  <c r="N75" i="18" l="1"/>
  <c r="O79" i="18"/>
  <c r="G75" i="18"/>
  <c r="H82" i="18"/>
  <c r="P29" i="18"/>
  <c r="P36" i="18" s="1"/>
  <c r="P80" i="18" s="1"/>
  <c r="G38" i="18"/>
  <c r="N43" i="18"/>
  <c r="N38" i="18"/>
  <c r="N80" i="18"/>
  <c r="N82" i="18" s="1"/>
  <c r="H86" i="18"/>
  <c r="H88" i="18" s="1"/>
  <c r="H44" i="18"/>
  <c r="R27" i="18"/>
  <c r="M86" i="18"/>
  <c r="M88" i="18" s="1"/>
  <c r="M44" i="18"/>
  <c r="Q90" i="18"/>
  <c r="Q30" i="18"/>
  <c r="Q28" i="18"/>
  <c r="F85" i="18"/>
  <c r="O37" i="18"/>
  <c r="O81" i="18" s="1"/>
  <c r="O74" i="18"/>
  <c r="P22" i="18"/>
  <c r="P30" i="18"/>
  <c r="F72" i="18"/>
  <c r="F35" i="18"/>
  <c r="O36" i="18"/>
  <c r="O73" i="18"/>
  <c r="G80" i="18"/>
  <c r="G82" i="18" s="1"/>
  <c r="G43" i="18"/>
  <c r="P41" i="18"/>
  <c r="P85" i="18" s="1"/>
  <c r="Q71" i="18"/>
  <c r="Q34" i="18"/>
  <c r="P78" i="18"/>
  <c r="P28" i="18"/>
  <c r="O31" i="18"/>
  <c r="P73" i="18" l="1"/>
  <c r="O38" i="18"/>
  <c r="O75" i="18"/>
  <c r="G87" i="18"/>
  <c r="G88" i="18" s="1"/>
  <c r="G44" i="18"/>
  <c r="R34" i="18"/>
  <c r="R71" i="18"/>
  <c r="Q78" i="18"/>
  <c r="Q35" i="18"/>
  <c r="Q42" i="18" s="1"/>
  <c r="Q86" i="18" s="1"/>
  <c r="Q72" i="18"/>
  <c r="S27" i="18"/>
  <c r="P35" i="18"/>
  <c r="P72" i="18"/>
  <c r="P31" i="18"/>
  <c r="P37" i="18"/>
  <c r="P81" i="18" s="1"/>
  <c r="P74" i="18"/>
  <c r="Q29" i="18"/>
  <c r="Q22" i="18"/>
  <c r="O43" i="18"/>
  <c r="O80" i="18"/>
  <c r="O82" i="18" s="1"/>
  <c r="R90" i="18"/>
  <c r="Q74" i="18"/>
  <c r="Q37" i="18"/>
  <c r="Q81" i="18" s="1"/>
  <c r="Q41" i="18"/>
  <c r="F79" i="18"/>
  <c r="F42" i="18"/>
  <c r="N87" i="18"/>
  <c r="N88" i="18" s="1"/>
  <c r="N44" i="18"/>
  <c r="P75" i="18" l="1"/>
  <c r="R30" i="18"/>
  <c r="R28" i="18"/>
  <c r="Q85" i="18"/>
  <c r="T27" i="18"/>
  <c r="R41" i="18"/>
  <c r="R85" i="18" s="1"/>
  <c r="O87" i="18"/>
  <c r="O88" i="18" s="1"/>
  <c r="O44" i="18"/>
  <c r="Q73" i="18"/>
  <c r="Q36" i="18"/>
  <c r="P42" i="18"/>
  <c r="P38" i="18"/>
  <c r="P79" i="18"/>
  <c r="P82" i="18" s="1"/>
  <c r="F86" i="18"/>
  <c r="P43" i="18"/>
  <c r="P87" i="18" s="1"/>
  <c r="Q31" i="18"/>
  <c r="R29" i="18"/>
  <c r="R78" i="18"/>
  <c r="R22" i="18"/>
  <c r="S34" i="18"/>
  <c r="S71" i="18"/>
  <c r="Q79" i="18"/>
  <c r="Q75" i="18" l="1"/>
  <c r="P86" i="18"/>
  <c r="P88" i="18" s="1"/>
  <c r="P44" i="18"/>
  <c r="R36" i="18"/>
  <c r="R73" i="18"/>
  <c r="U27" i="18"/>
  <c r="S28" i="18"/>
  <c r="T34" i="18"/>
  <c r="T71" i="18"/>
  <c r="R72" i="18"/>
  <c r="R35" i="18"/>
  <c r="R31" i="18"/>
  <c r="Q43" i="18"/>
  <c r="Q38" i="18"/>
  <c r="Q80" i="18"/>
  <c r="Q82" i="18" s="1"/>
  <c r="S30" i="18"/>
  <c r="S41" i="18"/>
  <c r="S78" i="18"/>
  <c r="S22" i="18"/>
  <c r="S29" i="18"/>
  <c r="R37" i="18"/>
  <c r="R81" i="18" s="1"/>
  <c r="R74" i="18"/>
  <c r="T41" i="18" l="1"/>
  <c r="T78" i="18"/>
  <c r="S36" i="18"/>
  <c r="S73" i="18"/>
  <c r="S35" i="18"/>
  <c r="S72" i="18"/>
  <c r="S31" i="18"/>
  <c r="Q87" i="18"/>
  <c r="Q88" i="18" s="1"/>
  <c r="Q44" i="18"/>
  <c r="T22" i="18"/>
  <c r="R42" i="18"/>
  <c r="R38" i="18"/>
  <c r="R79" i="18"/>
  <c r="S85" i="18"/>
  <c r="R43" i="18"/>
  <c r="R87" i="18" s="1"/>
  <c r="R80" i="18"/>
  <c r="T28" i="18"/>
  <c r="T29" i="18"/>
  <c r="U34" i="18"/>
  <c r="U71" i="18"/>
  <c r="S37" i="18"/>
  <c r="S81" i="18" s="1"/>
  <c r="S74" i="18"/>
  <c r="R75" i="18"/>
  <c r="V27" i="18"/>
  <c r="T30" i="18"/>
  <c r="W27" i="18" l="1"/>
  <c r="V34" i="18"/>
  <c r="V71" i="18"/>
  <c r="R86" i="18"/>
  <c r="R88" i="18" s="1"/>
  <c r="R44" i="18"/>
  <c r="T36" i="18"/>
  <c r="T73" i="18"/>
  <c r="T85" i="18"/>
  <c r="S42" i="18"/>
  <c r="S79" i="18"/>
  <c r="S38" i="18"/>
  <c r="U28" i="18"/>
  <c r="U41" i="18"/>
  <c r="U78" i="18"/>
  <c r="S43" i="18"/>
  <c r="S87" i="18" s="1"/>
  <c r="S80" i="18"/>
  <c r="U22" i="18"/>
  <c r="U29" i="18"/>
  <c r="U30" i="18"/>
  <c r="T37" i="18"/>
  <c r="T81" i="18" s="1"/>
  <c r="T74" i="18"/>
  <c r="T72" i="18"/>
  <c r="T35" i="18"/>
  <c r="T31" i="18"/>
  <c r="R82" i="18"/>
  <c r="S75" i="18"/>
  <c r="T75" i="18" l="1"/>
  <c r="U36" i="18"/>
  <c r="U73" i="18"/>
  <c r="V22" i="18"/>
  <c r="T43" i="18"/>
  <c r="T87" i="18" s="1"/>
  <c r="T80" i="18"/>
  <c r="V29" i="18"/>
  <c r="V28" i="18"/>
  <c r="V41" i="18"/>
  <c r="V78" i="18"/>
  <c r="V30" i="18"/>
  <c r="W34" i="18"/>
  <c r="W71" i="18"/>
  <c r="U85" i="18"/>
  <c r="U35" i="18"/>
  <c r="U72" i="18"/>
  <c r="U31" i="18"/>
  <c r="X27" i="18"/>
  <c r="S82" i="18"/>
  <c r="U37" i="18"/>
  <c r="U81" i="18" s="1"/>
  <c r="U74" i="18"/>
  <c r="S86" i="18"/>
  <c r="S88" i="18" s="1"/>
  <c r="S44" i="18"/>
  <c r="T42" i="18"/>
  <c r="T79" i="18"/>
  <c r="T38" i="18"/>
  <c r="V85" i="18" l="1"/>
  <c r="W30" i="18"/>
  <c r="U75" i="18"/>
  <c r="W29" i="18"/>
  <c r="V37" i="18"/>
  <c r="V81" i="18" s="1"/>
  <c r="V74" i="18"/>
  <c r="W22" i="18"/>
  <c r="W41" i="18"/>
  <c r="W78" i="18"/>
  <c r="V36" i="18"/>
  <c r="V73" i="18"/>
  <c r="U42" i="18"/>
  <c r="U79" i="18"/>
  <c r="U38" i="18"/>
  <c r="W28" i="18"/>
  <c r="V35" i="18"/>
  <c r="V72" i="18"/>
  <c r="V31" i="18"/>
  <c r="Y27" i="18"/>
  <c r="T82" i="18"/>
  <c r="T86" i="18"/>
  <c r="T88" i="18" s="1"/>
  <c r="T44" i="18"/>
  <c r="X34" i="18"/>
  <c r="X71" i="18"/>
  <c r="U43" i="18"/>
  <c r="U87" i="18" s="1"/>
  <c r="U80" i="18"/>
  <c r="U82" i="18" l="1"/>
  <c r="V75" i="18"/>
  <c r="U86" i="18"/>
  <c r="U88" i="18" s="1"/>
  <c r="U44" i="18"/>
  <c r="X30" i="18"/>
  <c r="V42" i="18"/>
  <c r="V79" i="18"/>
  <c r="V38" i="18"/>
  <c r="V43" i="18"/>
  <c r="V87" i="18" s="1"/>
  <c r="V80" i="18"/>
  <c r="W37" i="18"/>
  <c r="W81" i="18" s="1"/>
  <c r="W74" i="18"/>
  <c r="X28" i="18"/>
  <c r="X22" i="18"/>
  <c r="Z27" i="18"/>
  <c r="X41" i="18"/>
  <c r="X78" i="18"/>
  <c r="W35" i="18"/>
  <c r="W72" i="18"/>
  <c r="W31" i="18"/>
  <c r="Y34" i="18"/>
  <c r="Y71" i="18"/>
  <c r="X29" i="18"/>
  <c r="W85" i="18"/>
  <c r="W36" i="18"/>
  <c r="W73" i="18"/>
  <c r="W75" i="18" l="1"/>
  <c r="V82" i="18"/>
  <c r="Y28" i="18"/>
  <c r="AA27" i="18"/>
  <c r="W42" i="18"/>
  <c r="W79" i="18"/>
  <c r="W38" i="18"/>
  <c r="X35" i="18"/>
  <c r="X72" i="18"/>
  <c r="X31" i="18"/>
  <c r="Y29" i="18"/>
  <c r="X36" i="18"/>
  <c r="X73" i="18"/>
  <c r="X37" i="18"/>
  <c r="X81" i="18" s="1"/>
  <c r="X74" i="18"/>
  <c r="V86" i="18"/>
  <c r="V88" i="18" s="1"/>
  <c r="V44" i="18"/>
  <c r="Z34" i="18"/>
  <c r="Z71" i="18"/>
  <c r="Y30" i="18"/>
  <c r="X85" i="18"/>
  <c r="W43" i="18"/>
  <c r="W87" i="18" s="1"/>
  <c r="W80" i="18"/>
  <c r="Y22" i="18"/>
  <c r="Y41" i="18"/>
  <c r="Y78" i="18"/>
  <c r="X75" i="18" l="1"/>
  <c r="Y36" i="18"/>
  <c r="Y73" i="18"/>
  <c r="Z29" i="18"/>
  <c r="AB27" i="18"/>
  <c r="X42" i="18"/>
  <c r="X79" i="18"/>
  <c r="X38" i="18"/>
  <c r="Z22" i="18"/>
  <c r="Z41" i="18"/>
  <c r="Z78" i="18"/>
  <c r="AA34" i="18"/>
  <c r="AA71" i="18"/>
  <c r="Y37" i="18"/>
  <c r="Y81" i="18" s="1"/>
  <c r="Y74" i="18"/>
  <c r="Z28" i="18"/>
  <c r="Y85" i="18"/>
  <c r="Z30" i="18"/>
  <c r="Y35" i="18"/>
  <c r="Y72" i="18"/>
  <c r="Y31" i="18"/>
  <c r="W82" i="18"/>
  <c r="X43" i="18"/>
  <c r="X87" i="18" s="1"/>
  <c r="X80" i="18"/>
  <c r="W86" i="18"/>
  <c r="W88" i="18" s="1"/>
  <c r="W44" i="18"/>
  <c r="X82" i="18" l="1"/>
  <c r="AA29" i="18"/>
  <c r="AC27" i="18"/>
  <c r="AA22" i="18"/>
  <c r="AA41" i="18"/>
  <c r="AA78" i="18"/>
  <c r="X86" i="18"/>
  <c r="X88" i="18" s="1"/>
  <c r="X44" i="18"/>
  <c r="AA28" i="18"/>
  <c r="Z36" i="18"/>
  <c r="Z73" i="18"/>
  <c r="Z37" i="18"/>
  <c r="Z81" i="18" s="1"/>
  <c r="Z74" i="18"/>
  <c r="Y43" i="18"/>
  <c r="Y87" i="18" s="1"/>
  <c r="Y80" i="18"/>
  <c r="AA30" i="18"/>
  <c r="Y75" i="18"/>
  <c r="Y42" i="18"/>
  <c r="Y79" i="18"/>
  <c r="Y38" i="18"/>
  <c r="Z35" i="18"/>
  <c r="Z72" i="18"/>
  <c r="Z31" i="18"/>
  <c r="Z85" i="18"/>
  <c r="AB34" i="18"/>
  <c r="AB71" i="18"/>
  <c r="Y82" i="18" l="1"/>
  <c r="Z75" i="18"/>
  <c r="Z42" i="18"/>
  <c r="Z79" i="18"/>
  <c r="Z38" i="18"/>
  <c r="Z43" i="18"/>
  <c r="Z87" i="18" s="1"/>
  <c r="Z80" i="18"/>
  <c r="AC34" i="18"/>
  <c r="AC71" i="18"/>
  <c r="AB30" i="18"/>
  <c r="AA37" i="18"/>
  <c r="AA81" i="18" s="1"/>
  <c r="AA74" i="18"/>
  <c r="AA36" i="18"/>
  <c r="AA73" i="18"/>
  <c r="AD27" i="18"/>
  <c r="AB41" i="18"/>
  <c r="AB78" i="18"/>
  <c r="AA85" i="18"/>
  <c r="Y86" i="18"/>
  <c r="Y88" i="18" s="1"/>
  <c r="Y44" i="18"/>
  <c r="AA35" i="18"/>
  <c r="AA72" i="18"/>
  <c r="AA31" i="18"/>
  <c r="AB28" i="18"/>
  <c r="AB22" i="18"/>
  <c r="AB29" i="18"/>
  <c r="AC28" i="18" l="1"/>
  <c r="AA43" i="18"/>
  <c r="AA87" i="18" s="1"/>
  <c r="AA80" i="18"/>
  <c r="AA75" i="18"/>
  <c r="AB36" i="18"/>
  <c r="AB73" i="18"/>
  <c r="AA42" i="18"/>
  <c r="AA79" i="18"/>
  <c r="AA38" i="18"/>
  <c r="Z86" i="18"/>
  <c r="Z88" i="18" s="1"/>
  <c r="Z44" i="18"/>
  <c r="AB35" i="18"/>
  <c r="AB72" i="18"/>
  <c r="AB31" i="18"/>
  <c r="AC30" i="18"/>
  <c r="Z82" i="18"/>
  <c r="AC29" i="18"/>
  <c r="AD34" i="18"/>
  <c r="AD71" i="18"/>
  <c r="AC41" i="18"/>
  <c r="AC78" i="18"/>
  <c r="AB37" i="18"/>
  <c r="AB81" i="18" s="1"/>
  <c r="AB74" i="18"/>
  <c r="AB85" i="18"/>
  <c r="AC22" i="18"/>
  <c r="AE27" i="18"/>
  <c r="AC85" i="18" l="1"/>
  <c r="AB43" i="18"/>
  <c r="AB87" i="18" s="1"/>
  <c r="AB80" i="18"/>
  <c r="AD41" i="18"/>
  <c r="AD78" i="18"/>
  <c r="AD30" i="18"/>
  <c r="AA82" i="18"/>
  <c r="AD22" i="18"/>
  <c r="AC37" i="18"/>
  <c r="AC81" i="18" s="1"/>
  <c r="AC74" i="18"/>
  <c r="AD29" i="18"/>
  <c r="AE29" i="18"/>
  <c r="AE34" i="18"/>
  <c r="AE71" i="18"/>
  <c r="AC36" i="18"/>
  <c r="AC73" i="18"/>
  <c r="AB75" i="18"/>
  <c r="AA86" i="18"/>
  <c r="AA88" i="18" s="1"/>
  <c r="AA44" i="18"/>
  <c r="AD28" i="18"/>
  <c r="AE28" i="18"/>
  <c r="AB42" i="18"/>
  <c r="AB79" i="18"/>
  <c r="AB38" i="18"/>
  <c r="AC35" i="18"/>
  <c r="AC72" i="18"/>
  <c r="AC31" i="18"/>
  <c r="AB82" i="18" l="1"/>
  <c r="AE22" i="18"/>
  <c r="AB86" i="18"/>
  <c r="AB88" i="18" s="1"/>
  <c r="AB44" i="18"/>
  <c r="AD85" i="18"/>
  <c r="AC75" i="18"/>
  <c r="AC42" i="18"/>
  <c r="AC79" i="18"/>
  <c r="AC38" i="18"/>
  <c r="AC43" i="18"/>
  <c r="AC87" i="18" s="1"/>
  <c r="AC80" i="18"/>
  <c r="AE35" i="18"/>
  <c r="AE72" i="18"/>
  <c r="AE41" i="18"/>
  <c r="AE78" i="18"/>
  <c r="AD35" i="18"/>
  <c r="AD72" i="18"/>
  <c r="AD31" i="18"/>
  <c r="AE36" i="18"/>
  <c r="AE73" i="18"/>
  <c r="AD36" i="18"/>
  <c r="AD73" i="18"/>
  <c r="AE30" i="18"/>
  <c r="AD37" i="18"/>
  <c r="AD81" i="18" s="1"/>
  <c r="AD74" i="18"/>
  <c r="AE42" i="18" l="1"/>
  <c r="AE86" i="18" s="1"/>
  <c r="AE79" i="18"/>
  <c r="AD42" i="18"/>
  <c r="AD79" i="18"/>
  <c r="AD38" i="18"/>
  <c r="AE80" i="18"/>
  <c r="AD75" i="18"/>
  <c r="AE37" i="18"/>
  <c r="AE81" i="18" s="1"/>
  <c r="AE74" i="18"/>
  <c r="AD43" i="18"/>
  <c r="AD87" i="18" s="1"/>
  <c r="AD80" i="18"/>
  <c r="AE85" i="18"/>
  <c r="AC82" i="18"/>
  <c r="AC86" i="18"/>
  <c r="AC88" i="18" s="1"/>
  <c r="AC44" i="18"/>
  <c r="AE31" i="18"/>
  <c r="AE75" i="18" l="1"/>
  <c r="AE43" i="18"/>
  <c r="AE87" i="18" s="1"/>
  <c r="AE88" i="18" s="1"/>
  <c r="AE38" i="18"/>
  <c r="AE82" i="18"/>
  <c r="AD82" i="18"/>
  <c r="AD86" i="18"/>
  <c r="AD88" i="18" s="1"/>
  <c r="AD44" i="18"/>
  <c r="AE44" i="18" l="1"/>
  <c r="F29" i="18"/>
  <c r="F73" i="18" s="1"/>
  <c r="F36" i="18" l="1"/>
  <c r="F80" i="18"/>
  <c r="F22" i="18"/>
  <c r="F31" i="18"/>
  <c r="F38" i="18"/>
  <c r="F44" i="18"/>
  <c r="F81" i="18"/>
  <c r="F82" i="18"/>
  <c r="F30" i="18"/>
  <c r="F74" i="18" s="1"/>
  <c r="F37" i="18"/>
  <c r="F43" i="18"/>
  <c r="F87" i="18"/>
  <c r="F88" i="18"/>
  <c r="M50" i="13" l="1"/>
  <c r="J10" i="31"/>
  <c r="M48" i="13"/>
  <c r="N12" i="12"/>
  <c r="I8" i="30" l="1"/>
  <c r="M18" i="13"/>
  <c r="M16" i="13"/>
  <c r="J8" i="31"/>
  <c r="J25" i="31" s="1"/>
  <c r="I7" i="30" l="1"/>
  <c r="I39" i="30"/>
  <c r="I38" i="30"/>
  <c r="I32" i="30"/>
  <c r="J26" i="31"/>
  <c r="J24" i="31"/>
  <c r="J23" i="31"/>
  <c r="N48" i="13"/>
  <c r="N10" i="31"/>
  <c r="L10" i="31"/>
  <c r="R50" i="13"/>
  <c r="S50" i="13"/>
  <c r="P48" i="13"/>
  <c r="I33" i="30" l="1"/>
  <c r="M8" i="30"/>
  <c r="Q16" i="13"/>
  <c r="Q18" i="13"/>
  <c r="O12" i="12"/>
  <c r="Q12" i="12"/>
  <c r="P12" i="12"/>
  <c r="N8" i="30"/>
  <c r="R18" i="13"/>
  <c r="R16" i="13"/>
  <c r="T12" i="12"/>
  <c r="Q48" i="13"/>
  <c r="P10" i="31"/>
  <c r="N8" i="31"/>
  <c r="R12" i="12"/>
  <c r="L8" i="31"/>
  <c r="L25" i="31" s="1"/>
  <c r="S12" i="12"/>
  <c r="P50" i="13"/>
  <c r="S48" i="13"/>
  <c r="O48" i="13"/>
  <c r="O10" i="31"/>
  <c r="M10" i="31"/>
  <c r="Q50" i="13"/>
  <c r="R48" i="13"/>
  <c r="N50" i="13"/>
  <c r="O50" i="13"/>
  <c r="K10" i="31"/>
  <c r="N7" i="30" l="1"/>
  <c r="M7" i="30"/>
  <c r="L8" i="30"/>
  <c r="P18" i="13"/>
  <c r="P16" i="13"/>
  <c r="J8" i="30"/>
  <c r="N16" i="13"/>
  <c r="N18" i="13"/>
  <c r="O8" i="30"/>
  <c r="S18" i="13"/>
  <c r="S16" i="13"/>
  <c r="N32" i="30"/>
  <c r="N33" i="30"/>
  <c r="N39" i="30"/>
  <c r="N38" i="30"/>
  <c r="K8" i="30"/>
  <c r="O18" i="13"/>
  <c r="O16" i="13"/>
  <c r="M32" i="30"/>
  <c r="M39" i="30"/>
  <c r="M38" i="30"/>
  <c r="M33" i="30"/>
  <c r="P8" i="31"/>
  <c r="P25" i="31" s="1"/>
  <c r="M8" i="31"/>
  <c r="K8" i="31"/>
  <c r="K25" i="31" s="1"/>
  <c r="O8" i="31"/>
  <c r="O25" i="31" s="1"/>
  <c r="L24" i="31"/>
  <c r="L23" i="31"/>
  <c r="L26" i="31"/>
  <c r="N23" i="31"/>
  <c r="N24" i="31"/>
  <c r="N26" i="31"/>
  <c r="N25" i="31"/>
  <c r="L7" i="30" l="1"/>
  <c r="J7" i="30"/>
  <c r="O7" i="30"/>
  <c r="K7" i="30"/>
  <c r="P26" i="31"/>
  <c r="J39" i="30"/>
  <c r="J32" i="30"/>
  <c r="P23" i="31"/>
  <c r="L32" i="30"/>
  <c r="L39" i="30"/>
  <c r="L38" i="30"/>
  <c r="L33" i="30"/>
  <c r="P24" i="31"/>
  <c r="K26" i="31"/>
  <c r="K23" i="31"/>
  <c r="K24" i="31"/>
  <c r="M26" i="31"/>
  <c r="M24" i="31"/>
  <c r="M23" i="31"/>
  <c r="O24" i="31"/>
  <c r="O23" i="31"/>
  <c r="O26" i="31"/>
  <c r="M25" i="31"/>
  <c r="J33" i="30" l="1"/>
  <c r="K33" i="30"/>
  <c r="K39" i="30"/>
  <c r="K32" i="30"/>
  <c r="O39" i="30"/>
  <c r="J38" i="30"/>
  <c r="O32" i="30"/>
  <c r="O38" i="30"/>
  <c r="O33" i="30"/>
  <c r="K38" i="30"/>
</calcChain>
</file>

<file path=xl/sharedStrings.xml><?xml version="1.0" encoding="utf-8"?>
<sst xmlns="http://schemas.openxmlformats.org/spreadsheetml/2006/main" count="1344" uniqueCount="340">
  <si>
    <t>NOMENCLATURA</t>
  </si>
  <si>
    <t>INDICE</t>
  </si>
  <si>
    <t>T</t>
  </si>
  <si>
    <t>Tendencial</t>
  </si>
  <si>
    <t>Metas</t>
  </si>
  <si>
    <t>Ini</t>
  </si>
  <si>
    <t>Iniciativas</t>
  </si>
  <si>
    <t>Gases</t>
  </si>
  <si>
    <t>Act</t>
  </si>
  <si>
    <t>Actividad</t>
  </si>
  <si>
    <t>T_INGEI_5CN</t>
  </si>
  <si>
    <t>Emi</t>
  </si>
  <si>
    <t>Emisiones</t>
  </si>
  <si>
    <t>T_5A1</t>
  </si>
  <si>
    <t>I</t>
  </si>
  <si>
    <t>Incondicional de la 2da NDC</t>
  </si>
  <si>
    <t>T_5A2</t>
  </si>
  <si>
    <t>I+C</t>
  </si>
  <si>
    <t>Incondicional + Condicional de 2da NDC</t>
  </si>
  <si>
    <t>T_Compostaje</t>
  </si>
  <si>
    <t>PTAR</t>
  </si>
  <si>
    <t>Plantas de Tratamiento de Aguas Residuales</t>
  </si>
  <si>
    <t>T_Incineracion</t>
  </si>
  <si>
    <t>ARI</t>
  </si>
  <si>
    <t>Aguas residuales inductriales</t>
  </si>
  <si>
    <t>T_5D1</t>
  </si>
  <si>
    <t>PPC</t>
  </si>
  <si>
    <t>Producción per cápita de residuos sólidos</t>
  </si>
  <si>
    <t>T_5D2</t>
  </si>
  <si>
    <t>5CN</t>
  </si>
  <si>
    <t>Quinta Comunicación Nacional</t>
  </si>
  <si>
    <t>Ini_I+C_CapturaMetano</t>
  </si>
  <si>
    <t>INGEI</t>
  </si>
  <si>
    <t>Inventario Nacional de Gases de Efecto Invernadero</t>
  </si>
  <si>
    <t>Ini_I+C_Reduccion</t>
  </si>
  <si>
    <t>5A1</t>
  </si>
  <si>
    <r>
      <t xml:space="preserve">Categoría IPCC </t>
    </r>
    <r>
      <rPr>
        <i/>
        <sz val="11"/>
        <color theme="1"/>
        <rFont val="Calibri"/>
        <family val="2"/>
        <scheme val="minor"/>
      </rPr>
      <t>Sitios de disposición de residuos sólidos gestionados</t>
    </r>
  </si>
  <si>
    <t>Ini_I_Compostaje</t>
  </si>
  <si>
    <t>5A2</t>
  </si>
  <si>
    <r>
      <t xml:space="preserve">Categoría IPCC </t>
    </r>
    <r>
      <rPr>
        <i/>
        <sz val="11"/>
        <color theme="1"/>
        <rFont val="Calibri"/>
        <family val="2"/>
        <scheme val="minor"/>
      </rPr>
      <t>Sitios de disposición de residuos sólidos  no gestionados</t>
    </r>
  </si>
  <si>
    <t>Ini_I+C_Compostaje</t>
  </si>
  <si>
    <t>5D1</t>
  </si>
  <si>
    <r>
      <t xml:space="preserve">Categoría IPCC </t>
    </r>
    <r>
      <rPr>
        <i/>
        <sz val="11"/>
        <color theme="1"/>
        <rFont val="Calibri"/>
        <family val="2"/>
        <scheme val="minor"/>
      </rPr>
      <t>Aguas residuales domesticas</t>
    </r>
  </si>
  <si>
    <t>Ini_I_PTAR</t>
  </si>
  <si>
    <t>5D2</t>
  </si>
  <si>
    <r>
      <t>Categoría IPCC</t>
    </r>
    <r>
      <rPr>
        <i/>
        <sz val="11"/>
        <color theme="1"/>
        <rFont val="Calibri"/>
        <family val="2"/>
        <scheme val="minor"/>
      </rPr>
      <t xml:space="preserve"> Aguas residuales industriales</t>
    </r>
  </si>
  <si>
    <t>Ini_I+C_PTAR</t>
  </si>
  <si>
    <t>Ini_I+C_PTAR_ARI</t>
  </si>
  <si>
    <t>Act_T_Solidos</t>
  </si>
  <si>
    <t>Act_T_Poblacion_PPC</t>
  </si>
  <si>
    <t>Act_I_Solidos</t>
  </si>
  <si>
    <t>Act_I+C_Solidos</t>
  </si>
  <si>
    <t>Act_T_Aguas</t>
  </si>
  <si>
    <t>Act_I_Aguas</t>
  </si>
  <si>
    <t>Act_I+C_Aguas</t>
  </si>
  <si>
    <t>Ajuste_T_Iniciativas1eraNDC</t>
  </si>
  <si>
    <t>Emi_T_ajustado</t>
  </si>
  <si>
    <t>Emi_I</t>
  </si>
  <si>
    <t>Emi_I+C</t>
  </si>
  <si>
    <t>Emisiones [GgCO2e]</t>
  </si>
  <si>
    <t>Nuevo Tendencial 1era NDC = Tendencial 5ta Comunicación y PLANMICC - Iniciativas Condicionales 1era NDC</t>
  </si>
  <si>
    <t>5.A.1. Sitios de disposición de residuos sólidos gestionados</t>
  </si>
  <si>
    <t>5.A.2. Sitios de disposición de residuos sólidos  no gestionados</t>
  </si>
  <si>
    <t>5.B.1. Compostaje</t>
  </si>
  <si>
    <t>5.C.1. Incineración de residuos</t>
  </si>
  <si>
    <t>5.D.1. Aguas residuales domesticas</t>
  </si>
  <si>
    <t>5.D.2. Aguas residuales industriales</t>
  </si>
  <si>
    <t>NDC Incondicional de la 2da NDC (5ta Comunicación)</t>
  </si>
  <si>
    <t>NDC Incondicional + Condicional de la 2da NDC (5ta Comunicación)</t>
  </si>
  <si>
    <t>Meta 2da NDC [GgCO2e]</t>
  </si>
  <si>
    <t>Meta 2da NDC [%]</t>
  </si>
  <si>
    <t>GgCO2e</t>
  </si>
  <si>
    <t>GgCO2e por CO2</t>
  </si>
  <si>
    <t>GgCO2e por CH4</t>
  </si>
  <si>
    <t>GgCO2e por N20</t>
  </si>
  <si>
    <t>%</t>
  </si>
  <si>
    <t>Original</t>
  </si>
  <si>
    <t>5.  Residuos</t>
  </si>
  <si>
    <t>5.A. Disposición de residuos solidos</t>
  </si>
  <si>
    <t>Netas</t>
  </si>
  <si>
    <t>5.B. Tratamiento Biológico de residuos solidos</t>
  </si>
  <si>
    <t>5.C. Incineración y quema abierta de residuos</t>
  </si>
  <si>
    <t>5.D. Eliminación y tratamiento de aguas residuales</t>
  </si>
  <si>
    <t>Interpolado</t>
  </si>
  <si>
    <t>5.A.1. Sitios de disposición de residuos sólidos  gestionados</t>
  </si>
  <si>
    <t xml:space="preserve">NOTA IMPORTANTE: (4) Si las emisiones de CH4 recuperadas se utilizan para obtener energía, las emisiones procedentes del proceso de combustión deben notificarse en la categoría 1.A y se facilitan aquí únicamente a título informativo. </t>
  </si>
  <si>
    <t>5.A.1. Sitios de disposición final de residuos solidos gestionados</t>
  </si>
  <si>
    <t>Datos de actividad (kt)</t>
  </si>
  <si>
    <t>FE neto [ktCH4/kt]</t>
  </si>
  <si>
    <t>Emisiones netas [ktCH4]</t>
  </si>
  <si>
    <t>Metano recuperado [ktCH4]</t>
  </si>
  <si>
    <t>Emisiones netas [ktCO2e]</t>
  </si>
  <si>
    <t>Metano recuperado [ktCO2e]</t>
  </si>
  <si>
    <t>FE bruto [ktCH4/kt]</t>
  </si>
  <si>
    <t>Emisiones brutas [ktCH4]</t>
  </si>
  <si>
    <t>PCG</t>
  </si>
  <si>
    <t>CH4</t>
  </si>
  <si>
    <t>Emisiones 5CN</t>
  </si>
  <si>
    <t>netas</t>
  </si>
  <si>
    <t>ktCO2e</t>
  </si>
  <si>
    <t>brutas</t>
  </si>
  <si>
    <t>Interpolar FE</t>
  </si>
  <si>
    <t>Cálculo de actividad [Emisiones/Factor de emisión]</t>
  </si>
  <si>
    <t>Datos de actividad netas (kt)</t>
  </si>
  <si>
    <t>Datos de actividad brutas (kt)</t>
  </si>
  <si>
    <t>NETAS</t>
  </si>
  <si>
    <t>Actividad [Mt residuos]</t>
  </si>
  <si>
    <t>FE neto [MtCO2e/Mt residuos]</t>
  </si>
  <si>
    <t>FE neto [MtCO2e por CO2/Mt residuos]</t>
  </si>
  <si>
    <t>FE neto [MtCO2e por CH4/Mt residuos]</t>
  </si>
  <si>
    <t>FE neto [MtCO2e por N2O/Mt residuos]</t>
  </si>
  <si>
    <t>Emisiones netas [MtCO2e]</t>
  </si>
  <si>
    <t>Emisiones netas [MtCO2e por CO2]</t>
  </si>
  <si>
    <t>Emisiones netas [MtCO2e por CH4]</t>
  </si>
  <si>
    <t>Emisiones netas [MtCO2e por N2O]</t>
  </si>
  <si>
    <t>Comprobación</t>
  </si>
  <si>
    <t>NETAS FINAL</t>
  </si>
  <si>
    <t>FE neto [MtCO2/Mt residuos]</t>
  </si>
  <si>
    <t>FE neto [MtCH4/Mt residuos]</t>
  </si>
  <si>
    <t>FE neto [MtN2O/Mt residuos]</t>
  </si>
  <si>
    <t>Emisiones netas [MtCO2]</t>
  </si>
  <si>
    <t>Emisiones netas [MtCH4]</t>
  </si>
  <si>
    <t>Emisiones netas [MtN2O]</t>
  </si>
  <si>
    <t>Promedio</t>
  </si>
  <si>
    <t>BRUTAS</t>
  </si>
  <si>
    <t>FE bruto [MtCO2e/Mt residuos]</t>
  </si>
  <si>
    <t>FE bruto [MtCO2e por CO2/Mt residuos]</t>
  </si>
  <si>
    <t>FE bruto [MtCO2e por CH4/Mt residuos]</t>
  </si>
  <si>
    <t>FE bruto [MtCO2e por N2O/Mt residuos]</t>
  </si>
  <si>
    <t>Emisiones brutas [MtCO2e]</t>
  </si>
  <si>
    <t>Emisiones brutas [MtCO2e por CO2]</t>
  </si>
  <si>
    <t>Emisiones brutas [MtCO2e por CH4]</t>
  </si>
  <si>
    <t>Emisiones brutas [MtCO2e por N2O]</t>
  </si>
  <si>
    <t>BRUTAS FINAL</t>
  </si>
  <si>
    <t>FE bruto [MtCO2/Mt residuos]</t>
  </si>
  <si>
    <t>FE bruto [MtCH4/Mt residuos]</t>
  </si>
  <si>
    <t>FE bruto [MtN2O/Mt residuos]</t>
  </si>
  <si>
    <t>Emisiones brutas [MtCO2]</t>
  </si>
  <si>
    <t>Emisiones brutas [MtCH4]</t>
  </si>
  <si>
    <t>Emisiones brutas [MtN2O]</t>
  </si>
  <si>
    <t>5.A.2. Sitios de disposición final de residuos solidos  no gestionados</t>
  </si>
  <si>
    <t>FE [ktCH4/kt]</t>
  </si>
  <si>
    <t>Emisiones [ktCH4]</t>
  </si>
  <si>
    <t>Emisiones [ktCO2e]</t>
  </si>
  <si>
    <t>5ta CN interpolada</t>
  </si>
  <si>
    <t>FE [MtCO2e/Mt residuos]</t>
  </si>
  <si>
    <t>FE [MtCO2e por CO2/Mt residuos]</t>
  </si>
  <si>
    <t>FE [MtCO2e por CH4/Mt residuos]</t>
  </si>
  <si>
    <t>FE [MtCO2e por N2O/Mt residuos]</t>
  </si>
  <si>
    <t>Emisiones [MtCO2e]</t>
  </si>
  <si>
    <t>Emisiones [MtCO2e por CO2]</t>
  </si>
  <si>
    <t>Emisiones [MtCO2e por CH4]</t>
  </si>
  <si>
    <t>Emisiones [MtCO2e por N2O]</t>
  </si>
  <si>
    <t>FINAL</t>
  </si>
  <si>
    <t>FE [MtCO2/Mt residuos]</t>
  </si>
  <si>
    <t>FE [MtCH4/Mt residuos]</t>
  </si>
  <si>
    <t>FE [MtN2O/Mt residuos]</t>
  </si>
  <si>
    <t>Emisiones [MtCO2]</t>
  </si>
  <si>
    <t>Emisiones [MtCH4]</t>
  </si>
  <si>
    <t>Emisiones [MtN2O]</t>
  </si>
  <si>
    <t>Compostaje por año</t>
  </si>
  <si>
    <t>Gg</t>
  </si>
  <si>
    <t>Fuente: 5ta Comu</t>
  </si>
  <si>
    <t>Hoja: TABLA 2. 5B</t>
  </si>
  <si>
    <t>Emisiones compostaje 5CN [GgCO2e]</t>
  </si>
  <si>
    <t>Factor de emisión calculado [GgCO2e/Gg] o MtCO2e/Mt</t>
  </si>
  <si>
    <t>kgN2O/kg</t>
  </si>
  <si>
    <t>kgCH4/kg</t>
  </si>
  <si>
    <t>N2O</t>
  </si>
  <si>
    <t>Fuente: TABLA 4. 5B y PCG de PCG 1</t>
  </si>
  <si>
    <t>Factores de emisión finales</t>
  </si>
  <si>
    <t>GgCO2e por N2O/Gg</t>
  </si>
  <si>
    <t>GgCO2e por CH4/Gg</t>
  </si>
  <si>
    <t>GgCO2e total/Gg</t>
  </si>
  <si>
    <t>Fuente: Table 5.C</t>
  </si>
  <si>
    <t>Actividad (kt residuos incinerados o quemados a cielo abierto) o [Gg]</t>
  </si>
  <si>
    <t>FE [kgCO2/t de residuos]</t>
  </si>
  <si>
    <t>FE [kgCH4/t de residuos]</t>
  </si>
  <si>
    <t>FE [kgN2O/t de residuos]</t>
  </si>
  <si>
    <t>Emisiones [ktCO2] o [Gg]</t>
  </si>
  <si>
    <t>Emisiones [ktCH4] o [Gg]</t>
  </si>
  <si>
    <t>Emisiones [ktN2O] o [Gg]</t>
  </si>
  <si>
    <t>CO2</t>
  </si>
  <si>
    <t>Emisiones [ktCO2e por CO2] o [GgCO2e]</t>
  </si>
  <si>
    <t>Emisiones [ktCO2e por CH4] o [GgCO2e]</t>
  </si>
  <si>
    <t>Emisiones [ktCO2e por N2O] o [GgCO2e]</t>
  </si>
  <si>
    <t>Emisiones totales [ktCO2e] o [GgCO2e]</t>
  </si>
  <si>
    <t>GgCO2e por CO2/Gg</t>
  </si>
  <si>
    <t>GgCO2e por N20/Gg</t>
  </si>
  <si>
    <t>Emisiones 5CN interpolada</t>
  </si>
  <si>
    <t>FE general interpolado</t>
  </si>
  <si>
    <t>Porecentaje FE interpolados</t>
  </si>
  <si>
    <t xml:space="preserve"> Actividad [kt DC]</t>
  </si>
  <si>
    <t xml:space="preserve"> Actividad [kt N/año]</t>
  </si>
  <si>
    <t>FE [ktCH4/kt DC]</t>
  </si>
  <si>
    <r>
      <t>FE [kg N</t>
    </r>
    <r>
      <rPr>
        <b/>
        <vertAlign val="subscript"/>
        <sz val="9"/>
        <rFont val="Century Gothic"/>
        <family val="2"/>
      </rPr>
      <t>2</t>
    </r>
    <r>
      <rPr>
        <b/>
        <sz val="9"/>
        <rFont val="Century Gothic"/>
        <family val="2"/>
      </rPr>
      <t>O-N/kg N]</t>
    </r>
  </si>
  <si>
    <t>Emisiones [ktN2O]</t>
  </si>
  <si>
    <t>Emisiones [ktCO2e por CH4]</t>
  </si>
  <si>
    <t>Emisiones [ktCO2e por N2O]</t>
  </si>
  <si>
    <t>% CO2e por CH4</t>
  </si>
  <si>
    <t>% CO2e por N2O</t>
  </si>
  <si>
    <t>ktCO2e por CH4</t>
  </si>
  <si>
    <t>ktCO2e por N2O</t>
  </si>
  <si>
    <t>TEC 1</t>
  </si>
  <si>
    <t>Actividad [Mt DC]</t>
  </si>
  <si>
    <t>FE [MtCO2e por CO2/Mt DC]</t>
  </si>
  <si>
    <t>FE [MtCO2e por CH4/Mt DC]</t>
  </si>
  <si>
    <t>FE [MtCO2e por N2O/Mt DC]</t>
  </si>
  <si>
    <t>TEC 2</t>
  </si>
  <si>
    <t>Actividad [Mt N]</t>
  </si>
  <si>
    <t>FE [MtCO2e/Mt N]</t>
  </si>
  <si>
    <t>FE [MtCO2e por CO2/Mt N]</t>
  </si>
  <si>
    <t>FE [MtCO2e por CH4/Mt N]</t>
  </si>
  <si>
    <t>FE [MtCO2e por N2O/Mt N]</t>
  </si>
  <si>
    <t>FE [MtCO2e/Mt DC]</t>
  </si>
  <si>
    <t>FE [MtCO2/Mt DC]</t>
  </si>
  <si>
    <t>FE [MtCH4/Mt DC]</t>
  </si>
  <si>
    <t>FE [MtN2O/Mt DC]</t>
  </si>
  <si>
    <t>FE [MtCO2/Mt N]</t>
  </si>
  <si>
    <t>FE [MtCH4/Mt N]</t>
  </si>
  <si>
    <t>FE [MtN2O/Mt N]</t>
  </si>
  <si>
    <t>DC = componente orgánico degradable</t>
  </si>
  <si>
    <t xml:space="preserve"> Actividad [kt DC/año]</t>
  </si>
  <si>
    <t>Factor de emisión [ktCH4/kt DC por año]</t>
  </si>
  <si>
    <t>Iniciativas Incondicionales</t>
  </si>
  <si>
    <t>Iniciativas Condicionales</t>
  </si>
  <si>
    <t>MtCO2e</t>
  </si>
  <si>
    <t>GgCH4</t>
  </si>
  <si>
    <t>Mt</t>
  </si>
  <si>
    <t>ORIGINAL</t>
  </si>
  <si>
    <t>REDUCCION INCLUIDA EN LANDFILL</t>
  </si>
  <si>
    <t>REDUCCIÓN TOTAL NACIONAL</t>
  </si>
  <si>
    <t>Reducida</t>
  </si>
  <si>
    <t>ORIGINAL LANDFILL</t>
  </si>
  <si>
    <t>Diferencia en Mt</t>
  </si>
  <si>
    <t>LANDFILL MENOS COMPOSTAJE DE INCONDICIONAL</t>
  </si>
  <si>
    <t>ORIGINAL Compostaje</t>
  </si>
  <si>
    <t>NDC Incondicional de la 2da NDC (5ta Comunicación) Compostaje</t>
  </si>
  <si>
    <t>Emisiones conjuntasoriginal tendencial</t>
  </si>
  <si>
    <t>Emisiones conjuntas NDC Incondicional de la 2da NDC (5ta Comunicación)</t>
  </si>
  <si>
    <t>Diferencia</t>
  </si>
  <si>
    <t>ORIGINAL LANDFILL CON REDUCCION</t>
  </si>
  <si>
    <t>LANDFILL MENOS COMPOSTAJE DE CONDICIONAL</t>
  </si>
  <si>
    <t>NDC Incondicional + Condicional de la 2da NDC (5ta Comunicación) Compostaje</t>
  </si>
  <si>
    <t>Emisiones conjuntas NDC Incondicional + Condicional de la 2da NDC (5ta Comunicación)</t>
  </si>
  <si>
    <t>TEC 1 ORIGINAL</t>
  </si>
  <si>
    <t>TEC 2 ORIGINAL</t>
  </si>
  <si>
    <t>Total de emisiones MtCO2e</t>
  </si>
  <si>
    <t>% TEC 1</t>
  </si>
  <si>
    <t>% TEC 2</t>
  </si>
  <si>
    <t>% Total</t>
  </si>
  <si>
    <t>Reducción de GgCO2e por TEC 1</t>
  </si>
  <si>
    <t>Reducción de GgCO2e por TEC 2</t>
  </si>
  <si>
    <t>Total</t>
  </si>
  <si>
    <t>TEC 1 Incondicional de la 2da NDC (5ta Comunicación)</t>
  </si>
  <si>
    <t>TEC 2 Incondicional de la 2da NDC (5ta Comunicación)</t>
  </si>
  <si>
    <t>NDC Incondicional de la 2da NDC (5ta Comunicación) y NDC Incondicional + Condicional de la 2da NDC (5ta Comunicación)</t>
  </si>
  <si>
    <t>Ecuador</t>
  </si>
  <si>
    <t>Solid waste</t>
  </si>
  <si>
    <t>BAU percentages [%]</t>
  </si>
  <si>
    <t>Codes OSeMOSYS</t>
  </si>
  <si>
    <t>Description</t>
  </si>
  <si>
    <t>Stage 4: Final disposal</t>
  </si>
  <si>
    <t>INORG_RCY_OS</t>
  </si>
  <si>
    <t>Inorgánicos u otros sin emisiones</t>
  </si>
  <si>
    <t>AD</t>
  </si>
  <si>
    <t>Anaerobic digestion</t>
  </si>
  <si>
    <t>COMPOST</t>
  </si>
  <si>
    <t>Compostaje</t>
  </si>
  <si>
    <t>LANDFILL</t>
  </si>
  <si>
    <t>Sitios gestionados</t>
  </si>
  <si>
    <t>NO_CONTR_OD</t>
  </si>
  <si>
    <t>Sitios no gestionados</t>
  </si>
  <si>
    <t>COPROC</t>
  </si>
  <si>
    <t>Coprocessing</t>
  </si>
  <si>
    <t>INCIN</t>
  </si>
  <si>
    <t>Incineración</t>
  </si>
  <si>
    <t>OPEN_BURN</t>
  </si>
  <si>
    <t>Open burning</t>
  </si>
  <si>
    <t>SIT_CLAN</t>
  </si>
  <si>
    <t>Disposal in clandestine sites</t>
  </si>
  <si>
    <t>Stage 3: Separation on final disposal site</t>
  </si>
  <si>
    <t>OSS_INORG</t>
  </si>
  <si>
    <t>Separation of inorganic waste in final disposal site</t>
  </si>
  <si>
    <t>OSS_ORG</t>
  </si>
  <si>
    <t>Separation of organic waste in final disposal site</t>
  </si>
  <si>
    <t>NO_OSS_BLEND</t>
  </si>
  <si>
    <t>Non-separation of mixed waste in final disposal site</t>
  </si>
  <si>
    <t>NO_OSS_NO_COLL</t>
  </si>
  <si>
    <t>No collection of mixed solid waste in final disposal site</t>
  </si>
  <si>
    <t>Stage 2: Collection</t>
  </si>
  <si>
    <t>INORG_DCOLL</t>
  </si>
  <si>
    <t>Differentiated collection of inorganic waste</t>
  </si>
  <si>
    <t>ORG_DCOLL</t>
  </si>
  <si>
    <t>Differentiated collection of organic waste</t>
  </si>
  <si>
    <t>BLEND_NO_DCOLL</t>
  </si>
  <si>
    <t>Undifferentiated collection of mixed waste</t>
  </si>
  <si>
    <t>BLEND_NO_COLL</t>
  </si>
  <si>
    <t>No collection of mixed solid waste</t>
  </si>
  <si>
    <t>Stage 1: Separation</t>
  </si>
  <si>
    <t>INORG_SS</t>
  </si>
  <si>
    <t>Separation of inorganic waste in source</t>
  </si>
  <si>
    <t>ORG_SS</t>
  </si>
  <si>
    <t>Separation of organic waste in source</t>
  </si>
  <si>
    <t>NO_SS</t>
  </si>
  <si>
    <t>No separation of waste in source</t>
  </si>
  <si>
    <t>BAU Values [Mt]</t>
  </si>
  <si>
    <t>TSW</t>
  </si>
  <si>
    <t>National generation of solid waste</t>
  </si>
  <si>
    <t>REDONDEO</t>
  </si>
  <si>
    <t>Población</t>
  </si>
  <si>
    <t>Fuente: INEC 2024. https://www.ecuadorencifras.gob.ec/proyecciones-poblacionales/</t>
  </si>
  <si>
    <t>PPC [kg/día per cápita</t>
  </si>
  <si>
    <t>Fuente: What a Waste 2.0. WBG. https://openknowledge.worldbank.org/entities/publication/d3f9d45e-115f-559b-b14f-28552410e90a</t>
  </si>
  <si>
    <t>Generación nacional [Mt]</t>
  </si>
  <si>
    <t>PLANMICC</t>
  </si>
  <si>
    <t>PLANMICC normalizado al 2022</t>
  </si>
  <si>
    <t>NDC Incondicional de la 2da NDC (5ta Comunicación) percentages [%]</t>
  </si>
  <si>
    <t>NDC Incondicional de la 2da NDC (5ta Comunicación) Values [Mt]</t>
  </si>
  <si>
    <t>NDC Incondicional + Condicional de la 2da NDC (5ta Comunicación) percentages [%]</t>
  </si>
  <si>
    <t>NDC Incondicional + Condicional de la 2da NDC (5ta Comunicación) Values [Mt]</t>
  </si>
  <si>
    <t>Waste water</t>
  </si>
  <si>
    <t>BAU</t>
  </si>
  <si>
    <t>DWW_DC</t>
  </si>
  <si>
    <t>Aguas residuales domésticas componente orgánico degradable [Mt DC]</t>
  </si>
  <si>
    <t>DWW_N</t>
  </si>
  <si>
    <t>Aguas residuales domésticas nitrógeno [Mt N]</t>
  </si>
  <si>
    <t>IWW</t>
  </si>
  <si>
    <t>Aguas residuales industriales [Mt DC]</t>
  </si>
  <si>
    <t>Corrección 1era NDC medidas condicionales y Recuperación de metano de la 5ta Comunicación</t>
  </si>
  <si>
    <t>Pichacay (Cuenca)</t>
  </si>
  <si>
    <t>MtCH4</t>
  </si>
  <si>
    <t>Categoría</t>
  </si>
  <si>
    <t>Tecnología OSeMOSYS</t>
  </si>
  <si>
    <t>5B1</t>
  </si>
  <si>
    <t>5C1</t>
  </si>
  <si>
    <t>Sólidos</t>
  </si>
  <si>
    <t>Aguas</t>
  </si>
  <si>
    <t>GgCO2</t>
  </si>
  <si>
    <t>GgN2O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</si>
</sst>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* #,##0.00_-;\-* #,##0.00_-;_-* &quot;-&quot;??_-;_-@_-"/>
    <numFmt numFmtId="165" formatCode="0.00000"/>
    <numFmt numFmtId="166" formatCode="0.0000"/>
    <numFmt numFmtId="167" formatCode="0.000"/>
    <numFmt numFmtId="168" formatCode="0.0"/>
    <numFmt numFmtId="169" formatCode="0.0000000000"/>
    <numFmt numFmtId="170" formatCode="0.0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Times New Roman"/>
      <family val="1"/>
    </font>
    <font>
      <sz val="10"/>
      <name val="Arial"/>
      <family val="2"/>
    </font>
    <font>
      <b/>
      <sz val="9"/>
      <name val="Century Gothic"/>
      <family val="2"/>
    </font>
    <font>
      <b/>
      <vertAlign val="subscript"/>
      <sz val="9"/>
      <name val="Century Gothic"/>
      <family val="2"/>
    </font>
    <font>
      <b/>
      <sz val="9"/>
      <name val="Times New Roman"/>
      <family val="1"/>
    </font>
    <font>
      <sz val="11"/>
      <name val="Calibri"/>
      <family val="2"/>
      <scheme val="minor"/>
    </font>
    <font>
      <b/>
      <sz val="13"/>
      <color theme="1"/>
      <name val="Open Sans"/>
      <family val="2"/>
    </font>
    <font>
      <b/>
      <sz val="11"/>
      <color theme="1"/>
      <name val="Open Sans"/>
      <family val="2"/>
    </font>
    <font>
      <sz val="11"/>
      <color theme="1"/>
      <name val="Open Sans"/>
      <family val="2"/>
    </font>
    <font>
      <u/>
      <sz val="11"/>
      <color theme="10"/>
      <name val="Calibri"/>
      <family val="2"/>
      <scheme val="minor"/>
    </font>
    <font>
      <b/>
      <sz val="13"/>
      <color rgb="FF000000"/>
      <name val="Open Sans"/>
      <family val="2"/>
    </font>
    <font>
      <sz val="11"/>
      <color rgb="FF000000"/>
      <name val="Open Sans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59EE2"/>
        <bgColor indexed="64"/>
      </patternFill>
    </fill>
    <fill>
      <patternFill patternType="solid">
        <fgColor rgb="FFFF0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4" fillId="0" borderId="0"/>
    <xf numFmtId="0" fontId="7" fillId="3" borderId="2">
      <alignment horizontal="right" vertical="center"/>
    </xf>
    <xf numFmtId="0" fontId="3" fillId="0" borderId="0"/>
    <xf numFmtId="0" fontId="4" fillId="0" borderId="0" applyNumberFormat="0" applyFont="0" applyFill="0" applyBorder="0" applyProtection="0">
      <alignment horizontal="left" vertical="center" indent="2"/>
    </xf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206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0" fillId="4" borderId="1" xfId="0" applyFill="1" applyBorder="1"/>
    <xf numFmtId="167" fontId="0" fillId="0" borderId="1" xfId="0" applyNumberFormat="1" applyBorder="1"/>
    <xf numFmtId="167" fontId="0" fillId="4" borderId="1" xfId="0" applyNumberFormat="1" applyFill="1" applyBorder="1"/>
    <xf numFmtId="168" fontId="0" fillId="0" borderId="1" xfId="0" applyNumberFormat="1" applyBorder="1"/>
    <xf numFmtId="168" fontId="0" fillId="4" borderId="1" xfId="0" applyNumberFormat="1" applyFill="1" applyBorder="1"/>
    <xf numFmtId="168" fontId="2" fillId="0" borderId="1" xfId="0" applyNumberFormat="1" applyFont="1" applyBorder="1"/>
    <xf numFmtId="168" fontId="2" fillId="4" borderId="1" xfId="0" applyNumberFormat="1" applyFont="1" applyFill="1" applyBorder="1"/>
    <xf numFmtId="168" fontId="0" fillId="0" borderId="0" xfId="0" applyNumberFormat="1"/>
    <xf numFmtId="165" fontId="0" fillId="0" borderId="0" xfId="0" applyNumberFormat="1"/>
    <xf numFmtId="166" fontId="0" fillId="0" borderId="0" xfId="0" applyNumberFormat="1"/>
    <xf numFmtId="166" fontId="0" fillId="4" borderId="0" xfId="0" applyNumberFormat="1" applyFill="1"/>
    <xf numFmtId="166" fontId="2" fillId="0" borderId="0" xfId="0" applyNumberFormat="1" applyFont="1"/>
    <xf numFmtId="0" fontId="2" fillId="5" borderId="1" xfId="0" applyFont="1" applyFill="1" applyBorder="1"/>
    <xf numFmtId="0" fontId="0" fillId="5" borderId="1" xfId="0" applyFill="1" applyBorder="1"/>
    <xf numFmtId="0" fontId="0" fillId="0" borderId="7" xfId="0" applyBorder="1"/>
    <xf numFmtId="0" fontId="0" fillId="0" borderId="3" xfId="0" applyBorder="1"/>
    <xf numFmtId="0" fontId="0" fillId="4" borderId="3" xfId="0" applyFill="1" applyBorder="1"/>
    <xf numFmtId="0" fontId="0" fillId="0" borderId="4" xfId="0" applyBorder="1"/>
    <xf numFmtId="0" fontId="0" fillId="0" borderId="5" xfId="0" applyBorder="1"/>
    <xf numFmtId="0" fontId="0" fillId="4" borderId="0" xfId="0" applyFill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4" borderId="10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66" fontId="0" fillId="0" borderId="10" xfId="0" applyNumberFormat="1" applyBorder="1"/>
    <xf numFmtId="166" fontId="0" fillId="0" borderId="11" xfId="0" applyNumberFormat="1" applyBorder="1"/>
    <xf numFmtId="166" fontId="0" fillId="0" borderId="8" xfId="0" applyNumberFormat="1" applyBorder="1"/>
    <xf numFmtId="166" fontId="0" fillId="0" borderId="13" xfId="0" applyNumberFormat="1" applyBorder="1"/>
    <xf numFmtId="166" fontId="0" fillId="0" borderId="14" xfId="0" applyNumberFormat="1" applyBorder="1"/>
    <xf numFmtId="167" fontId="0" fillId="0" borderId="0" xfId="0" applyNumberFormat="1"/>
    <xf numFmtId="167" fontId="0" fillId="4" borderId="0" xfId="0" applyNumberFormat="1" applyFill="1"/>
    <xf numFmtId="9" fontId="0" fillId="0" borderId="0" xfId="1" applyFont="1"/>
    <xf numFmtId="9" fontId="0" fillId="4" borderId="0" xfId="1" applyFont="1" applyFill="1"/>
    <xf numFmtId="9" fontId="0" fillId="0" borderId="0" xfId="0" applyNumberFormat="1"/>
    <xf numFmtId="166" fontId="0" fillId="0" borderId="3" xfId="0" applyNumberFormat="1" applyBorder="1"/>
    <xf numFmtId="166" fontId="0" fillId="0" borderId="4" xfId="0" applyNumberFormat="1" applyBorder="1"/>
    <xf numFmtId="166" fontId="0" fillId="0" borderId="7" xfId="0" applyNumberFormat="1" applyBorder="1"/>
    <xf numFmtId="166" fontId="0" fillId="0" borderId="5" xfId="0" applyNumberFormat="1" applyBorder="1"/>
    <xf numFmtId="166" fontId="0" fillId="0" borderId="9" xfId="0" applyNumberFormat="1" applyBorder="1"/>
    <xf numFmtId="166" fontId="0" fillId="0" borderId="12" xfId="0" applyNumberFormat="1" applyBorder="1"/>
    <xf numFmtId="0" fontId="5" fillId="6" borderId="15" xfId="5" applyFont="1" applyFill="1" applyBorder="1" applyAlignment="1">
      <alignment horizontal="center" vertical="center"/>
    </xf>
    <xf numFmtId="0" fontId="5" fillId="6" borderId="1" xfId="5" applyFont="1" applyFill="1" applyBorder="1" applyAlignment="1">
      <alignment horizontal="center" vertical="center"/>
    </xf>
    <xf numFmtId="0" fontId="5" fillId="6" borderId="1" xfId="5" applyFont="1" applyFill="1" applyBorder="1" applyAlignment="1">
      <alignment horizontal="center" vertical="center" wrapText="1"/>
    </xf>
    <xf numFmtId="0" fontId="0" fillId="7" borderId="1" xfId="0" applyFill="1" applyBorder="1"/>
    <xf numFmtId="0" fontId="5" fillId="6" borderId="1" xfId="5" applyFont="1" applyFill="1" applyBorder="1" applyAlignment="1">
      <alignment horizontal="centerContinuous" vertical="center"/>
    </xf>
    <xf numFmtId="0" fontId="0" fillId="0" borderId="15" xfId="0" applyBorder="1"/>
    <xf numFmtId="0" fontId="8" fillId="0" borderId="1" xfId="0" applyFont="1" applyBorder="1"/>
    <xf numFmtId="0" fontId="9" fillId="8" borderId="12" xfId="0" applyFont="1" applyFill="1" applyBorder="1" applyAlignment="1">
      <alignment horizontal="left" vertical="center"/>
    </xf>
    <xf numFmtId="0" fontId="9" fillId="8" borderId="13" xfId="0" applyFont="1" applyFill="1" applyBorder="1" applyAlignment="1">
      <alignment horizontal="left" vertical="center"/>
    </xf>
    <xf numFmtId="0" fontId="10" fillId="8" borderId="13" xfId="0" applyFont="1" applyFill="1" applyBorder="1" applyAlignment="1">
      <alignment horizontal="center" vertical="center"/>
    </xf>
    <xf numFmtId="0" fontId="11" fillId="8" borderId="14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0" fillId="9" borderId="7" xfId="0" applyFill="1" applyBorder="1"/>
    <xf numFmtId="0" fontId="0" fillId="9" borderId="3" xfId="0" applyFill="1" applyBorder="1"/>
    <xf numFmtId="0" fontId="0" fillId="9" borderId="4" xfId="0" applyFill="1" applyBorder="1"/>
    <xf numFmtId="0" fontId="0" fillId="9" borderId="5" xfId="0" applyFill="1" applyBorder="1"/>
    <xf numFmtId="0" fontId="0" fillId="9" borderId="0" xfId="0" applyFill="1"/>
    <xf numFmtId="0" fontId="2" fillId="9" borderId="0" xfId="0" applyFont="1" applyFill="1"/>
    <xf numFmtId="0" fontId="0" fillId="9" borderId="8" xfId="0" applyFill="1" applyBorder="1"/>
    <xf numFmtId="0" fontId="2" fillId="7" borderId="0" xfId="0" applyFont="1" applyFill="1"/>
    <xf numFmtId="0" fontId="8" fillId="9" borderId="0" xfId="7" applyNumberFormat="1" applyFont="1" applyFill="1" applyBorder="1" applyAlignment="1">
      <alignment horizontal="left" vertical="center"/>
    </xf>
    <xf numFmtId="9" fontId="0" fillId="10" borderId="0" xfId="8" applyFont="1" applyFill="1" applyBorder="1" applyAlignment="1">
      <alignment horizontal="center"/>
    </xf>
    <xf numFmtId="0" fontId="8" fillId="9" borderId="0" xfId="7" applyNumberFormat="1" applyFont="1" applyFill="1" applyBorder="1" applyAlignment="1">
      <alignment horizontal="left" vertical="center" wrapText="1"/>
    </xf>
    <xf numFmtId="0" fontId="0" fillId="9" borderId="0" xfId="0" applyFill="1" applyAlignment="1">
      <alignment horizontal="left" vertical="center"/>
    </xf>
    <xf numFmtId="9" fontId="0" fillId="9" borderId="0" xfId="0" applyNumberFormat="1" applyFill="1" applyAlignment="1">
      <alignment horizontal="center"/>
    </xf>
    <xf numFmtId="0" fontId="8" fillId="9" borderId="0" xfId="0" applyFont="1" applyFill="1" applyAlignment="1">
      <alignment horizontal="left"/>
    </xf>
    <xf numFmtId="0" fontId="12" fillId="9" borderId="0" xfId="9" applyFill="1"/>
    <xf numFmtId="0" fontId="0" fillId="9" borderId="0" xfId="0" applyFill="1" applyAlignment="1">
      <alignment horizontal="center"/>
    </xf>
    <xf numFmtId="0" fontId="0" fillId="9" borderId="0" xfId="0" applyFill="1" applyAlignment="1">
      <alignment horizontal="left"/>
    </xf>
    <xf numFmtId="9" fontId="0" fillId="9" borderId="0" xfId="8" applyFont="1" applyFill="1" applyBorder="1" applyAlignment="1">
      <alignment horizontal="center"/>
    </xf>
    <xf numFmtId="10" fontId="0" fillId="9" borderId="0" xfId="0" applyNumberFormat="1" applyFill="1" applyAlignment="1">
      <alignment horizontal="center"/>
    </xf>
    <xf numFmtId="0" fontId="0" fillId="9" borderId="9" xfId="0" applyFill="1" applyBorder="1"/>
    <xf numFmtId="0" fontId="0" fillId="9" borderId="10" xfId="0" applyFill="1" applyBorder="1"/>
    <xf numFmtId="0" fontId="0" fillId="9" borderId="11" xfId="0" applyFill="1" applyBorder="1"/>
    <xf numFmtId="2" fontId="8" fillId="10" borderId="0" xfId="7" applyNumberFormat="1" applyFont="1" applyFill="1" applyBorder="1" applyAlignment="1">
      <alignment horizontal="center" vertical="center"/>
    </xf>
    <xf numFmtId="2" fontId="0" fillId="10" borderId="0" xfId="8" applyNumberFormat="1" applyFont="1" applyFill="1" applyBorder="1" applyAlignment="1">
      <alignment horizontal="center"/>
    </xf>
    <xf numFmtId="2" fontId="0" fillId="11" borderId="0" xfId="0" applyNumberFormat="1" applyFill="1" applyAlignment="1">
      <alignment horizontal="center"/>
    </xf>
    <xf numFmtId="2" fontId="0" fillId="9" borderId="0" xfId="0" applyNumberFormat="1" applyFill="1" applyAlignment="1">
      <alignment horizontal="center"/>
    </xf>
    <xf numFmtId="2" fontId="12" fillId="9" borderId="0" xfId="9" applyNumberFormat="1" applyFill="1"/>
    <xf numFmtId="2" fontId="2" fillId="9" borderId="0" xfId="0" applyNumberFormat="1" applyFont="1" applyFill="1"/>
    <xf numFmtId="2" fontId="8" fillId="10" borderId="0" xfId="7" applyNumberFormat="1" applyFont="1" applyFill="1" applyBorder="1" applyAlignment="1">
      <alignment horizontal="center" wrapText="1"/>
    </xf>
    <xf numFmtId="2" fontId="0" fillId="9" borderId="0" xfId="8" applyNumberFormat="1" applyFont="1" applyFill="1" applyBorder="1" applyAlignment="1">
      <alignment horizontal="center"/>
    </xf>
    <xf numFmtId="2" fontId="0" fillId="9" borderId="0" xfId="0" applyNumberFormat="1" applyFill="1"/>
    <xf numFmtId="168" fontId="2" fillId="2" borderId="0" xfId="10" applyNumberFormat="1" applyFont="1" applyFill="1" applyBorder="1"/>
    <xf numFmtId="9" fontId="2" fillId="9" borderId="0" xfId="8" applyFont="1" applyFill="1" applyBorder="1"/>
    <xf numFmtId="168" fontId="2" fillId="9" borderId="0" xfId="10" applyNumberFormat="1" applyFont="1" applyFill="1" applyBorder="1"/>
    <xf numFmtId="0" fontId="0" fillId="12" borderId="0" xfId="0" applyFill="1"/>
    <xf numFmtId="2" fontId="0" fillId="10" borderId="0" xfId="0" applyNumberFormat="1" applyFill="1" applyAlignment="1">
      <alignment horizontal="center"/>
    </xf>
    <xf numFmtId="0" fontId="10" fillId="13" borderId="13" xfId="0" applyFont="1" applyFill="1" applyBorder="1" applyAlignment="1">
      <alignment horizontal="center" vertical="center"/>
    </xf>
    <xf numFmtId="0" fontId="0" fillId="14" borderId="12" xfId="0" applyFill="1" applyBorder="1"/>
    <xf numFmtId="0" fontId="13" fillId="8" borderId="13" xfId="0" applyFont="1" applyFill="1" applyBorder="1" applyAlignment="1">
      <alignment horizontal="left" vertical="center"/>
    </xf>
    <xf numFmtId="0" fontId="14" fillId="8" borderId="13" xfId="0" applyFont="1" applyFill="1" applyBorder="1" applyAlignment="1">
      <alignment horizontal="center" vertical="center"/>
    </xf>
    <xf numFmtId="0" fontId="0" fillId="14" borderId="14" xfId="0" applyFill="1" applyBorder="1"/>
    <xf numFmtId="0" fontId="15" fillId="0" borderId="0" xfId="0" applyFont="1"/>
    <xf numFmtId="0" fontId="15" fillId="15" borderId="3" xfId="0" applyFont="1" applyFill="1" applyBorder="1"/>
    <xf numFmtId="0" fontId="16" fillId="15" borderId="0" xfId="0" applyFont="1" applyFill="1"/>
    <xf numFmtId="0" fontId="15" fillId="16" borderId="0" xfId="0" applyFont="1" applyFill="1"/>
    <xf numFmtId="2" fontId="15" fillId="16" borderId="0" xfId="0" applyNumberFormat="1" applyFont="1" applyFill="1"/>
    <xf numFmtId="2" fontId="15" fillId="17" borderId="0" xfId="0" applyNumberFormat="1" applyFont="1" applyFill="1"/>
    <xf numFmtId="4" fontId="15" fillId="17" borderId="0" xfId="0" applyNumberFormat="1" applyFont="1" applyFill="1"/>
    <xf numFmtId="0" fontId="8" fillId="11" borderId="0" xfId="7" applyNumberFormat="1" applyFont="1" applyFill="1" applyBorder="1" applyAlignment="1">
      <alignment horizontal="left" vertical="center"/>
    </xf>
    <xf numFmtId="0" fontId="0" fillId="11" borderId="0" xfId="0" applyFill="1" applyAlignment="1">
      <alignment horizontal="left" vertical="center"/>
    </xf>
    <xf numFmtId="0" fontId="0" fillId="11" borderId="0" xfId="0" applyFill="1"/>
    <xf numFmtId="0" fontId="8" fillId="11" borderId="0" xfId="7" applyNumberFormat="1" applyFont="1" applyFill="1" applyBorder="1" applyAlignment="1">
      <alignment horizontal="left" vertical="center" wrapText="1"/>
    </xf>
    <xf numFmtId="2" fontId="8" fillId="18" borderId="0" xfId="7" applyNumberFormat="1" applyFont="1" applyFill="1" applyBorder="1" applyAlignment="1">
      <alignment horizontal="center" vertical="center"/>
    </xf>
    <xf numFmtId="2" fontId="0" fillId="18" borderId="0" xfId="8" applyNumberFormat="1" applyFont="1" applyFill="1" applyBorder="1" applyAlignment="1">
      <alignment horizontal="center"/>
    </xf>
    <xf numFmtId="9" fontId="0" fillId="11" borderId="0" xfId="8" applyFont="1" applyFill="1" applyBorder="1" applyAlignment="1">
      <alignment horizontal="center"/>
    </xf>
    <xf numFmtId="9" fontId="0" fillId="5" borderId="0" xfId="8" applyFont="1" applyFill="1" applyBorder="1" applyAlignment="1">
      <alignment horizontal="center"/>
    </xf>
    <xf numFmtId="2" fontId="2" fillId="2" borderId="0" xfId="10" applyNumberFormat="1" applyFont="1" applyFill="1" applyBorder="1"/>
    <xf numFmtId="166" fontId="0" fillId="10" borderId="0" xfId="8" applyNumberFormat="1" applyFont="1" applyFill="1" applyBorder="1" applyAlignment="1">
      <alignment horizontal="center"/>
    </xf>
    <xf numFmtId="0" fontId="8" fillId="4" borderId="1" xfId="0" applyFont="1" applyFill="1" applyBorder="1"/>
    <xf numFmtId="0" fontId="5" fillId="6" borderId="17" xfId="5" applyFont="1" applyFill="1" applyBorder="1" applyAlignment="1">
      <alignment horizontal="center" vertical="center"/>
    </xf>
    <xf numFmtId="0" fontId="5" fillId="6" borderId="16" xfId="5" applyFont="1" applyFill="1" applyBorder="1" applyAlignment="1">
      <alignment horizontal="center" vertical="center"/>
    </xf>
    <xf numFmtId="0" fontId="5" fillId="6" borderId="19" xfId="5" applyFont="1" applyFill="1" applyBorder="1" applyAlignment="1">
      <alignment horizontal="center" vertical="center"/>
    </xf>
    <xf numFmtId="167" fontId="0" fillId="0" borderId="15" xfId="0" applyNumberFormat="1" applyBorder="1"/>
    <xf numFmtId="167" fontId="0" fillId="4" borderId="15" xfId="0" applyNumberFormat="1" applyFill="1" applyBorder="1"/>
    <xf numFmtId="168" fontId="0" fillId="0" borderId="2" xfId="0" applyNumberFormat="1" applyBorder="1"/>
    <xf numFmtId="168" fontId="0" fillId="4" borderId="2" xfId="0" applyNumberFormat="1" applyFill="1" applyBorder="1"/>
    <xf numFmtId="168" fontId="0" fillId="0" borderId="20" xfId="0" applyNumberFormat="1" applyBorder="1"/>
    <xf numFmtId="168" fontId="0" fillId="4" borderId="20" xfId="0" applyNumberFormat="1" applyFill="1" applyBorder="1"/>
    <xf numFmtId="0" fontId="0" fillId="0" borderId="6" xfId="0" applyBorder="1"/>
    <xf numFmtId="168" fontId="0" fillId="0" borderId="6" xfId="0" applyNumberFormat="1" applyBorder="1"/>
    <xf numFmtId="168" fontId="0" fillId="4" borderId="6" xfId="0" applyNumberFormat="1" applyFill="1" applyBorder="1"/>
    <xf numFmtId="0" fontId="0" fillId="0" borderId="17" xfId="0" applyBorder="1"/>
    <xf numFmtId="0" fontId="0" fillId="0" borderId="19" xfId="0" applyBorder="1"/>
    <xf numFmtId="168" fontId="0" fillId="0" borderId="18" xfId="0" applyNumberFormat="1" applyBorder="1"/>
    <xf numFmtId="168" fontId="0" fillId="0" borderId="21" xfId="0" applyNumberFormat="1" applyBorder="1"/>
    <xf numFmtId="9" fontId="0" fillId="0" borderId="2" xfId="1" applyFont="1" applyBorder="1"/>
    <xf numFmtId="9" fontId="0" fillId="0" borderId="20" xfId="1" applyFont="1" applyBorder="1"/>
    <xf numFmtId="9" fontId="0" fillId="4" borderId="2" xfId="1" applyFont="1" applyFill="1" applyBorder="1"/>
    <xf numFmtId="9" fontId="0" fillId="4" borderId="20" xfId="1" applyFont="1" applyFill="1" applyBorder="1"/>
    <xf numFmtId="166" fontId="8" fillId="10" borderId="0" xfId="7" applyNumberFormat="1" applyFont="1" applyFill="1" applyBorder="1" applyAlignment="1">
      <alignment horizontal="center" wrapText="1"/>
    </xf>
    <xf numFmtId="11" fontId="0" fillId="0" borderId="1" xfId="0" applyNumberFormat="1" applyBorder="1"/>
    <xf numFmtId="168" fontId="2" fillId="0" borderId="0" xfId="0" applyNumberFormat="1" applyFont="1"/>
    <xf numFmtId="2" fontId="0" fillId="0" borderId="0" xfId="0" applyNumberFormat="1"/>
    <xf numFmtId="2" fontId="15" fillId="19" borderId="0" xfId="0" applyNumberFormat="1" applyFont="1" applyFill="1"/>
    <xf numFmtId="2" fontId="0" fillId="20" borderId="0" xfId="0" applyNumberFormat="1" applyFill="1" applyAlignment="1">
      <alignment horizontal="center"/>
    </xf>
    <xf numFmtId="166" fontId="0" fillId="9" borderId="0" xfId="0" applyNumberFormat="1" applyFill="1" applyAlignment="1">
      <alignment horizontal="center"/>
    </xf>
    <xf numFmtId="165" fontId="0" fillId="9" borderId="0" xfId="0" applyNumberFormat="1" applyFill="1" applyAlignment="1">
      <alignment horizontal="center"/>
    </xf>
    <xf numFmtId="169" fontId="0" fillId="0" borderId="0" xfId="0" applyNumberFormat="1"/>
    <xf numFmtId="170" fontId="0" fillId="0" borderId="0" xfId="0" applyNumberFormat="1"/>
    <xf numFmtId="0" fontId="0" fillId="4" borderId="15" xfId="0" applyFill="1" applyBorder="1"/>
    <xf numFmtId="9" fontId="2" fillId="0" borderId="0" xfId="1" applyFont="1"/>
    <xf numFmtId="1" fontId="0" fillId="0" borderId="0" xfId="0" applyNumberFormat="1"/>
    <xf numFmtId="166" fontId="0" fillId="5" borderId="3" xfId="0" applyNumberFormat="1" applyFill="1" applyBorder="1"/>
    <xf numFmtId="166" fontId="0" fillId="5" borderId="4" xfId="0" applyNumberFormat="1" applyFill="1" applyBorder="1"/>
    <xf numFmtId="166" fontId="0" fillId="5" borderId="0" xfId="0" applyNumberFormat="1" applyFill="1"/>
    <xf numFmtId="166" fontId="0" fillId="5" borderId="8" xfId="0" applyNumberFormat="1" applyFill="1" applyBorder="1"/>
    <xf numFmtId="166" fontId="0" fillId="11" borderId="13" xfId="0" applyNumberFormat="1" applyFill="1" applyBorder="1"/>
    <xf numFmtId="166" fontId="0" fillId="11" borderId="14" xfId="0" applyNumberFormat="1" applyFill="1" applyBorder="1"/>
    <xf numFmtId="166" fontId="0" fillId="10" borderId="0" xfId="0" applyNumberFormat="1" applyFill="1" applyAlignment="1">
      <alignment horizontal="center"/>
    </xf>
    <xf numFmtId="166" fontId="0" fillId="18" borderId="0" xfId="8" applyNumberFormat="1" applyFont="1" applyFill="1" applyBorder="1" applyAlignment="1">
      <alignment horizontal="center"/>
    </xf>
    <xf numFmtId="166" fontId="8" fillId="10" borderId="0" xfId="7" applyNumberFormat="1" applyFont="1" applyFill="1" applyBorder="1" applyAlignment="1">
      <alignment horizontal="center" vertical="center"/>
    </xf>
    <xf numFmtId="165" fontId="0" fillId="10" borderId="0" xfId="8" applyNumberFormat="1" applyFont="1" applyFill="1" applyBorder="1" applyAlignment="1">
      <alignment horizontal="center"/>
    </xf>
    <xf numFmtId="166" fontId="8" fillId="18" borderId="0" xfId="7" applyNumberFormat="1" applyFont="1" applyFill="1" applyBorder="1" applyAlignment="1">
      <alignment horizontal="center" vertical="center"/>
    </xf>
    <xf numFmtId="166" fontId="8" fillId="9" borderId="0" xfId="9" applyNumberFormat="1" applyFont="1" applyFill="1"/>
    <xf numFmtId="166" fontId="8" fillId="9" borderId="0" xfId="9" applyNumberFormat="1" applyFont="1" applyFill="1" applyAlignment="1">
      <alignment horizontal="center" vertical="center"/>
    </xf>
    <xf numFmtId="165" fontId="8" fillId="10" borderId="0" xfId="7" applyNumberFormat="1" applyFont="1" applyFill="1" applyBorder="1" applyAlignment="1">
      <alignment horizontal="center" wrapText="1"/>
    </xf>
    <xf numFmtId="166" fontId="0" fillId="9" borderId="0" xfId="0" applyNumberFormat="1" applyFill="1"/>
    <xf numFmtId="166" fontId="2" fillId="9" borderId="0" xfId="0" applyNumberFormat="1" applyFont="1" applyFill="1"/>
    <xf numFmtId="166" fontId="8" fillId="5" borderId="0" xfId="7" applyNumberFormat="1" applyFont="1" applyFill="1" applyBorder="1" applyAlignment="1">
      <alignment horizontal="center" vertical="center"/>
    </xf>
    <xf numFmtId="0" fontId="5" fillId="0" borderId="1" xfId="5" applyFont="1" applyBorder="1" applyAlignment="1">
      <alignment horizontal="centerContinuous" vertical="center"/>
    </xf>
    <xf numFmtId="1" fontId="0" fillId="21" borderId="0" xfId="0" applyNumberFormat="1" applyFill="1"/>
    <xf numFmtId="166" fontId="0" fillId="21" borderId="4" xfId="0" applyNumberFormat="1" applyFill="1" applyBorder="1"/>
    <xf numFmtId="11" fontId="0" fillId="5" borderId="1" xfId="0" applyNumberFormat="1" applyFill="1" applyBorder="1"/>
    <xf numFmtId="0" fontId="0" fillId="7" borderId="0" xfId="0" applyFill="1"/>
    <xf numFmtId="0" fontId="0" fillId="22" borderId="0" xfId="0" applyFill="1"/>
    <xf numFmtId="0" fontId="0" fillId="23" borderId="0" xfId="0" applyFill="1"/>
    <xf numFmtId="0" fontId="2" fillId="14" borderId="12" xfId="0" applyFont="1" applyFill="1" applyBorder="1"/>
    <xf numFmtId="0" fontId="2" fillId="14" borderId="13" xfId="0" applyFont="1" applyFill="1" applyBorder="1"/>
    <xf numFmtId="0" fontId="2" fillId="14" borderId="14" xfId="0" applyFont="1" applyFill="1" applyBorder="1"/>
    <xf numFmtId="0" fontId="2" fillId="0" borderId="17" xfId="0" applyFont="1" applyBorder="1" applyAlignment="1">
      <alignment horizontal="left" vertical="center" wrapText="1"/>
    </xf>
    <xf numFmtId="168" fontId="2" fillId="0" borderId="2" xfId="0" applyNumberFormat="1" applyFont="1" applyBorder="1"/>
    <xf numFmtId="168" fontId="2" fillId="0" borderId="18" xfId="0" applyNumberFormat="1" applyFont="1" applyBorder="1"/>
    <xf numFmtId="168" fontId="0" fillId="0" borderId="22" xfId="0" applyNumberFormat="1" applyBorder="1"/>
    <xf numFmtId="0" fontId="2" fillId="0" borderId="23" xfId="0" applyFont="1" applyBorder="1" applyAlignment="1">
      <alignment horizontal="left" vertical="center" wrapText="1"/>
    </xf>
    <xf numFmtId="168" fontId="0" fillId="0" borderId="24" xfId="0" applyNumberFormat="1" applyBorder="1"/>
    <xf numFmtId="9" fontId="0" fillId="0" borderId="24" xfId="1" applyFont="1" applyBorder="1"/>
    <xf numFmtId="9" fontId="0" fillId="0" borderId="25" xfId="1" applyFont="1" applyBorder="1"/>
    <xf numFmtId="0" fontId="0" fillId="0" borderId="16" xfId="0" applyBorder="1"/>
    <xf numFmtId="0" fontId="0" fillId="24" borderId="0" xfId="0" applyFill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1" fontId="0" fillId="0" borderId="1" xfId="0" applyNumberFormat="1" applyBorder="1" applyAlignment="1">
      <alignment horizontal="center" vertical="center"/>
    </xf>
    <xf numFmtId="9" fontId="0" fillId="0" borderId="1" xfId="1" applyFont="1" applyBorder="1"/>
    <xf numFmtId="0" fontId="0" fillId="14" borderId="0" xfId="0" applyFill="1"/>
    <xf numFmtId="168" fontId="0" fillId="7" borderId="1" xfId="0" applyNumberFormat="1" applyFill="1" applyBorder="1"/>
    <xf numFmtId="0" fontId="0" fillId="25" borderId="7" xfId="0" applyFill="1" applyBorder="1"/>
    <xf numFmtId="0" fontId="0" fillId="25" borderId="3" xfId="0" applyFill="1" applyBorder="1"/>
    <xf numFmtId="0" fontId="0" fillId="25" borderId="4" xfId="0" applyFill="1" applyBorder="1"/>
    <xf numFmtId="0" fontId="2" fillId="11" borderId="0" xfId="0" applyFont="1" applyFill="1"/>
    <xf numFmtId="168" fontId="0" fillId="5" borderId="24" xfId="0" applyNumberFormat="1" applyFill="1" applyBorder="1"/>
    <xf numFmtId="168" fontId="2" fillId="5" borderId="2" xfId="0" applyNumberFormat="1" applyFont="1" applyFill="1" applyBorder="1"/>
    <xf numFmtId="168" fontId="0" fillId="5" borderId="25" xfId="0" applyNumberFormat="1" applyFill="1" applyBorder="1"/>
    <xf numFmtId="168" fontId="0" fillId="9" borderId="0" xfId="0" applyNumberFormat="1" applyFill="1" applyAlignment="1">
      <alignment horizontal="center"/>
    </xf>
    <xf numFmtId="166" fontId="0" fillId="9" borderId="0" xfId="8" applyNumberFormat="1" applyFont="1" applyFill="1" applyBorder="1" applyAlignment="1">
      <alignment horizontal="center"/>
    </xf>
  </cellXfs>
  <cellStyles count="11">
    <cellStyle name="2x indented GHG Textfiels" xfId="6" xr:uid="{F4EAD977-96E9-44A8-A05A-B89CE14D1E43}"/>
    <cellStyle name="AggblueCels_bold_T2x" xfId="4" xr:uid="{E19B49D1-6D75-4FE5-84E6-B78447E435E3}"/>
    <cellStyle name="Hyperlink" xfId="9" builtinId="8"/>
    <cellStyle name="Millares 2" xfId="7" xr:uid="{9A729F67-6451-4402-B795-3F936516A6F7}"/>
    <cellStyle name="Millares 2 2" xfId="10" xr:uid="{B759393F-12AA-4CEF-B64F-72284B552047}"/>
    <cellStyle name="Normal" xfId="0" builtinId="0"/>
    <cellStyle name="Normal 2 2" xfId="3" xr:uid="{0A6251A1-D35B-4D96-A6E0-8EC57EF9FD9C}"/>
    <cellStyle name="Percent" xfId="1" builtinId="5"/>
    <cellStyle name="Porcentaje 2" xfId="8" xr:uid="{35584BD9-4C09-4959-B151-E94796EF9CA0}"/>
    <cellStyle name="Обычный_2++" xfId="2" xr:uid="{0CEEA56E-1DEB-4CB5-982C-52AF91E0C161}"/>
    <cellStyle name="Обычный_CRF2002 (1)" xfId="5" xr:uid="{5E393E63-8635-42EE-8015-BE0158957619}"/>
  </cellStyles>
  <dxfs count="0"/>
  <tableStyles count="0" defaultTableStyle="TableStyleMedium2" defaultPivotStyle="PivotStyleLight16"/>
  <colors>
    <mruColors>
      <color rgb="FFC59E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594360</xdr:colOff>
      <xdr:row>16</xdr:row>
      <xdr:rowOff>0</xdr:rowOff>
    </xdr:from>
    <xdr:to>
      <xdr:col>18</xdr:col>
      <xdr:colOff>477750</xdr:colOff>
      <xdr:row>36</xdr:row>
      <xdr:rowOff>152926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F718E7-BF00-4E45-A0E6-88C95D63D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" y="3108960"/>
          <a:ext cx="10734270" cy="3810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06832-4005-403A-A8CB-8800C85CD4CD}">
  <dimension ref="B2:L30"/>
  <sheetViews>
    <sheetView tabSelected="1" workbookViewId="0"/>
  </sheetViews>
  <sheetFormatPr defaultRowHeight="14.4" x14ac:dyDescent="0.3"/>
  <cols>
    <col min="2" max="2" width="15.6640625" bestFit="1" customWidth="1"/>
    <col min="3" max="3" width="62.6640625" bestFit="1" customWidth="1"/>
    <col min="5" max="5" width="26.109375" bestFit="1" customWidth="1"/>
    <col min="11" max="11" width="40.109375" bestFit="1" customWidth="1"/>
  </cols>
  <sheetData>
    <row r="2" spans="2:12" x14ac:dyDescent="0.3">
      <c r="B2" s="1" t="s">
        <v>0</v>
      </c>
      <c r="E2" s="1" t="s">
        <v>1</v>
      </c>
    </row>
    <row r="3" spans="2:12" x14ac:dyDescent="0.3">
      <c r="E3" s="1"/>
    </row>
    <row r="4" spans="2:12" x14ac:dyDescent="0.3">
      <c r="B4" t="s">
        <v>2</v>
      </c>
      <c r="C4" t="s">
        <v>3</v>
      </c>
      <c r="E4" s="189" t="s">
        <v>4</v>
      </c>
    </row>
    <row r="5" spans="2:12" x14ac:dyDescent="0.3">
      <c r="B5" t="s">
        <v>5</v>
      </c>
      <c r="C5" t="s">
        <v>6</v>
      </c>
      <c r="E5" s="195" t="s">
        <v>7</v>
      </c>
    </row>
    <row r="6" spans="2:12" x14ac:dyDescent="0.3">
      <c r="B6" t="s">
        <v>8</v>
      </c>
      <c r="C6" t="s">
        <v>9</v>
      </c>
      <c r="E6" s="175" t="s">
        <v>10</v>
      </c>
    </row>
    <row r="7" spans="2:12" x14ac:dyDescent="0.3">
      <c r="B7" t="s">
        <v>11</v>
      </c>
      <c r="C7" t="s">
        <v>12</v>
      </c>
      <c r="E7" s="175" t="s">
        <v>13</v>
      </c>
    </row>
    <row r="8" spans="2:12" x14ac:dyDescent="0.3">
      <c r="B8" t="s">
        <v>14</v>
      </c>
      <c r="C8" t="s">
        <v>15</v>
      </c>
      <c r="E8" s="175" t="s">
        <v>16</v>
      </c>
    </row>
    <row r="9" spans="2:12" x14ac:dyDescent="0.3">
      <c r="B9" t="s">
        <v>17</v>
      </c>
      <c r="C9" t="s">
        <v>18</v>
      </c>
      <c r="E9" s="175" t="s">
        <v>19</v>
      </c>
    </row>
    <row r="10" spans="2:12" x14ac:dyDescent="0.3">
      <c r="B10" t="s">
        <v>20</v>
      </c>
      <c r="C10" t="s">
        <v>21</v>
      </c>
      <c r="E10" s="175" t="s">
        <v>22</v>
      </c>
      <c r="K10" s="1"/>
      <c r="L10" s="1"/>
    </row>
    <row r="11" spans="2:12" x14ac:dyDescent="0.3">
      <c r="B11" t="s">
        <v>23</v>
      </c>
      <c r="C11" t="s">
        <v>24</v>
      </c>
      <c r="E11" s="175" t="s">
        <v>25</v>
      </c>
    </row>
    <row r="12" spans="2:12" x14ac:dyDescent="0.3">
      <c r="B12" t="s">
        <v>26</v>
      </c>
      <c r="C12" t="s">
        <v>27</v>
      </c>
      <c r="E12" s="175" t="s">
        <v>28</v>
      </c>
    </row>
    <row r="13" spans="2:12" x14ac:dyDescent="0.3">
      <c r="B13" t="s">
        <v>29</v>
      </c>
      <c r="C13" t="s">
        <v>30</v>
      </c>
      <c r="E13" s="65" t="s">
        <v>31</v>
      </c>
    </row>
    <row r="14" spans="2:12" x14ac:dyDescent="0.3">
      <c r="B14" t="s">
        <v>32</v>
      </c>
      <c r="C14" t="s">
        <v>33</v>
      </c>
      <c r="E14" s="65" t="s">
        <v>34</v>
      </c>
      <c r="K14" s="1"/>
      <c r="L14" s="1"/>
    </row>
    <row r="15" spans="2:12" x14ac:dyDescent="0.3">
      <c r="B15" t="s">
        <v>35</v>
      </c>
      <c r="C15" t="s">
        <v>36</v>
      </c>
      <c r="E15" s="65" t="s">
        <v>37</v>
      </c>
    </row>
    <row r="16" spans="2:12" x14ac:dyDescent="0.3">
      <c r="B16" t="s">
        <v>38</v>
      </c>
      <c r="C16" t="s">
        <v>39</v>
      </c>
      <c r="E16" s="65" t="s">
        <v>40</v>
      </c>
    </row>
    <row r="17" spans="2:5" x14ac:dyDescent="0.3">
      <c r="B17" t="s">
        <v>41</v>
      </c>
      <c r="C17" t="s">
        <v>42</v>
      </c>
      <c r="E17" s="65" t="s">
        <v>43</v>
      </c>
    </row>
    <row r="18" spans="2:5" x14ac:dyDescent="0.3">
      <c r="B18" t="s">
        <v>44</v>
      </c>
      <c r="C18" t="s">
        <v>45</v>
      </c>
      <c r="E18" s="65" t="s">
        <v>46</v>
      </c>
    </row>
    <row r="19" spans="2:5" x14ac:dyDescent="0.3">
      <c r="E19" s="65" t="s">
        <v>47</v>
      </c>
    </row>
    <row r="20" spans="2:5" x14ac:dyDescent="0.3">
      <c r="E20" s="176" t="s">
        <v>48</v>
      </c>
    </row>
    <row r="21" spans="2:5" x14ac:dyDescent="0.3">
      <c r="E21" s="176" t="s">
        <v>49</v>
      </c>
    </row>
    <row r="22" spans="2:5" x14ac:dyDescent="0.3">
      <c r="E22" s="176" t="s">
        <v>50</v>
      </c>
    </row>
    <row r="23" spans="2:5" x14ac:dyDescent="0.3">
      <c r="E23" s="176" t="s">
        <v>51</v>
      </c>
    </row>
    <row r="24" spans="2:5" x14ac:dyDescent="0.3">
      <c r="E24" s="176" t="s">
        <v>52</v>
      </c>
    </row>
    <row r="25" spans="2:5" x14ac:dyDescent="0.3">
      <c r="E25" s="176" t="s">
        <v>53</v>
      </c>
    </row>
    <row r="26" spans="2:5" x14ac:dyDescent="0.3">
      <c r="E26" s="176" t="s">
        <v>54</v>
      </c>
    </row>
    <row r="27" spans="2:5" x14ac:dyDescent="0.3">
      <c r="E27" s="174" t="s">
        <v>55</v>
      </c>
    </row>
    <row r="28" spans="2:5" x14ac:dyDescent="0.3">
      <c r="E28" s="174" t="s">
        <v>56</v>
      </c>
    </row>
    <row r="29" spans="2:5" x14ac:dyDescent="0.3">
      <c r="E29" s="174" t="s">
        <v>57</v>
      </c>
    </row>
    <row r="30" spans="2:5" x14ac:dyDescent="0.3">
      <c r="E30" s="174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5EE2C-763B-4C77-8589-670CC52B3432}">
  <sheetPr>
    <tabColor rgb="FFC59EE2"/>
  </sheetPr>
  <dimension ref="B1:AC39"/>
  <sheetViews>
    <sheetView workbookViewId="0">
      <pane xSplit="2" ySplit="1" topLeftCell="F2" activePane="bottomRight" state="frozen"/>
      <selection pane="topRight" activeCell="C1" sqref="C1"/>
      <selection pane="bottomLeft" activeCell="A2" sqref="A2"/>
      <selection pane="bottomRight" activeCell="O8" sqref="O8"/>
    </sheetView>
  </sheetViews>
  <sheetFormatPr defaultRowHeight="14.4" x14ac:dyDescent="0.3"/>
  <cols>
    <col min="2" max="2" width="96.5546875" bestFit="1" customWidth="1"/>
    <col min="27" max="28" width="9.44140625" bestFit="1" customWidth="1"/>
  </cols>
  <sheetData>
    <row r="1" spans="2:29" ht="15" thickBot="1" x14ac:dyDescent="0.35">
      <c r="C1" s="177">
        <v>2010</v>
      </c>
      <c r="D1" s="178">
        <v>2011</v>
      </c>
      <c r="E1" s="178">
        <v>2012</v>
      </c>
      <c r="F1" s="178">
        <v>2013</v>
      </c>
      <c r="G1" s="178">
        <v>2014</v>
      </c>
      <c r="H1" s="178">
        <v>2015</v>
      </c>
      <c r="I1" s="178">
        <v>2016</v>
      </c>
      <c r="J1" s="178">
        <v>2017</v>
      </c>
      <c r="K1" s="178">
        <v>2018</v>
      </c>
      <c r="L1" s="178">
        <v>2019</v>
      </c>
      <c r="M1" s="178">
        <v>2020</v>
      </c>
      <c r="N1" s="178">
        <v>2021</v>
      </c>
      <c r="O1" s="178">
        <v>2022</v>
      </c>
      <c r="P1" s="178">
        <v>2023</v>
      </c>
      <c r="Q1" s="178">
        <v>2024</v>
      </c>
      <c r="R1" s="178">
        <v>2025</v>
      </c>
      <c r="S1" s="178">
        <v>2026</v>
      </c>
      <c r="T1" s="178">
        <v>2027</v>
      </c>
      <c r="U1" s="178">
        <v>2028</v>
      </c>
      <c r="V1" s="178">
        <v>2029</v>
      </c>
      <c r="W1" s="178">
        <v>2030</v>
      </c>
      <c r="X1" s="178">
        <v>2031</v>
      </c>
      <c r="Y1" s="178">
        <v>2032</v>
      </c>
      <c r="Z1" s="178">
        <v>2033</v>
      </c>
      <c r="AA1" s="178">
        <v>2034</v>
      </c>
      <c r="AB1" s="179">
        <v>2035</v>
      </c>
    </row>
    <row r="4" spans="2:29" x14ac:dyDescent="0.3">
      <c r="B4" s="1" t="s">
        <v>59</v>
      </c>
    </row>
    <row r="5" spans="2:29" x14ac:dyDescent="0.3"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 spans="2:29" ht="15" thickBot="1" x14ac:dyDescent="0.35"/>
    <row r="7" spans="2:29" x14ac:dyDescent="0.3">
      <c r="B7" s="180" t="s">
        <v>60</v>
      </c>
      <c r="C7" s="202">
        <f>SUM(C8:C13)</f>
        <v>2271.8591200000001</v>
      </c>
      <c r="D7" s="202">
        <f t="shared" ref="D7:AB7" si="0">SUM(D8:D13)</f>
        <v>2629.2208000000005</v>
      </c>
      <c r="E7" s="202">
        <f t="shared" si="0"/>
        <v>2987.2010900000005</v>
      </c>
      <c r="F7" s="202">
        <f t="shared" si="0"/>
        <v>3064.3062399999999</v>
      </c>
      <c r="G7" s="202">
        <f t="shared" si="0"/>
        <v>3141.9912699999995</v>
      </c>
      <c r="H7" s="202">
        <f t="shared" si="0"/>
        <v>3540.5999500000007</v>
      </c>
      <c r="I7" s="202">
        <f t="shared" si="0"/>
        <v>3939.50882</v>
      </c>
      <c r="J7" s="202">
        <f t="shared" si="0"/>
        <v>4157.20219</v>
      </c>
      <c r="K7" s="202">
        <f t="shared" si="0"/>
        <v>4374.9918299999999</v>
      </c>
      <c r="L7" s="202">
        <f t="shared" si="0"/>
        <v>4554.3556499999995</v>
      </c>
      <c r="M7" s="202">
        <f t="shared" si="0"/>
        <v>4733.8333900000007</v>
      </c>
      <c r="N7" s="181">
        <f t="shared" si="0"/>
        <v>4802.9475399999992</v>
      </c>
      <c r="O7" s="181">
        <f t="shared" si="0"/>
        <v>5069.1456799999996</v>
      </c>
      <c r="P7" s="181">
        <f t="shared" si="0"/>
        <v>5600.6099400000003</v>
      </c>
      <c r="Q7" s="181">
        <f t="shared" si="0"/>
        <v>6172.2095700000009</v>
      </c>
      <c r="R7" s="181">
        <f t="shared" si="0"/>
        <v>6688.1861599999993</v>
      </c>
      <c r="S7" s="181">
        <f t="shared" si="0"/>
        <v>7264.5991199999999</v>
      </c>
      <c r="T7" s="181">
        <f t="shared" si="0"/>
        <v>8110.8055299999996</v>
      </c>
      <c r="U7" s="181">
        <f t="shared" si="0"/>
        <v>8868.1927999999989</v>
      </c>
      <c r="V7" s="181">
        <f t="shared" si="0"/>
        <v>9675.2993200000001</v>
      </c>
      <c r="W7" s="181">
        <f t="shared" si="0"/>
        <v>10547.261590000002</v>
      </c>
      <c r="X7" s="181">
        <f t="shared" si="0"/>
        <v>11256.737329999998</v>
      </c>
      <c r="Y7" s="181">
        <f t="shared" si="0"/>
        <v>12014.13716</v>
      </c>
      <c r="Z7" s="181">
        <f t="shared" si="0"/>
        <v>12804.033379999999</v>
      </c>
      <c r="AA7" s="181">
        <f t="shared" si="0"/>
        <v>13644.22126</v>
      </c>
      <c r="AB7" s="182">
        <f t="shared" si="0"/>
        <v>14533.240009999996</v>
      </c>
    </row>
    <row r="8" spans="2:29" x14ac:dyDescent="0.3">
      <c r="B8" s="188" t="s">
        <v>61</v>
      </c>
      <c r="C8" s="7">
        <f>Emi_T_ajustado!G7</f>
        <v>892.37160000000006</v>
      </c>
      <c r="D8" s="7">
        <f>Emi_T_ajustado!H7</f>
        <v>1032.8312000000001</v>
      </c>
      <c r="E8" s="7">
        <f>Emi_T_ajustado!I7</f>
        <v>1173.3316400000001</v>
      </c>
      <c r="F8" s="7">
        <f>Emi_T_ajustado!J7</f>
        <v>1229.7626000000002</v>
      </c>
      <c r="G8" s="7">
        <f>Emi_T_ajustado!K7</f>
        <v>1286.35052</v>
      </c>
      <c r="H8" s="7">
        <f>Emi_T_ajustado!L7</f>
        <v>1720.15705</v>
      </c>
      <c r="I8" s="7">
        <f>Emi_T_ajustado!M7</f>
        <v>2154.1215999999999</v>
      </c>
      <c r="J8" s="7">
        <f>Emi_T_ajustado!N7</f>
        <v>2435.0344399999999</v>
      </c>
      <c r="K8" s="7">
        <f>Emi_T_ajustado!O7</f>
        <v>2716.10394</v>
      </c>
      <c r="L8" s="7">
        <f>Emi_T_ajustado!P7</f>
        <v>2898.0348799999997</v>
      </c>
      <c r="M8" s="7">
        <f>Emi_T_ajustado!Q7</f>
        <v>3079.7371800000005</v>
      </c>
      <c r="N8" s="7">
        <f>Emi_T_ajustado!R7</f>
        <v>3305.0830299999998</v>
      </c>
      <c r="O8" s="7">
        <f>Emi_T_ajustado!S7</f>
        <v>3461.69616</v>
      </c>
      <c r="P8" s="7">
        <f>Emi_T_ajustado!T7</f>
        <v>3845.1912000000002</v>
      </c>
      <c r="Q8" s="7">
        <f>Emi_T_ajustado!U7</f>
        <v>4261.9660400000002</v>
      </c>
      <c r="R8" s="7">
        <f>Emi_T_ajustado!V7</f>
        <v>4712.6964799999996</v>
      </c>
      <c r="S8" s="7">
        <f>Emi_T_ajustado!W7</f>
        <v>5163.1787199999999</v>
      </c>
      <c r="T8" s="7">
        <f>Emi_T_ajustado!X7</f>
        <v>5691.0697199999995</v>
      </c>
      <c r="U8" s="7">
        <f>Emi_T_ajustado!Y7</f>
        <v>6259.47336</v>
      </c>
      <c r="V8" s="7">
        <f>Emi_T_ajustado!Z7</f>
        <v>6870.4501599999994</v>
      </c>
      <c r="W8" s="7">
        <f>Emi_T_ajustado!AA7</f>
        <v>7536.8412000000008</v>
      </c>
      <c r="X8" s="7">
        <f>Emi_T_ajustado!AB7</f>
        <v>8058.268399999999</v>
      </c>
      <c r="Y8" s="7">
        <f>Emi_T_ajustado!AC7</f>
        <v>8618.0732400000015</v>
      </c>
      <c r="Z8" s="7">
        <f>Emi_T_ajustado!AD7</f>
        <v>9205.2732799999994</v>
      </c>
      <c r="AA8" s="7">
        <f>Emi_T_ajustado!AE7</f>
        <v>9832.9097999999994</v>
      </c>
      <c r="AB8" s="183">
        <f>Emi_T_ajustado!AF7</f>
        <v>10502.094959999999</v>
      </c>
    </row>
    <row r="9" spans="2:29" x14ac:dyDescent="0.3">
      <c r="B9" s="188" t="s">
        <v>62</v>
      </c>
      <c r="C9" s="7">
        <f>Emi_T_ajustado!G8</f>
        <v>806.15385000000003</v>
      </c>
      <c r="D9" s="7">
        <f>Emi_T_ajustado!H8</f>
        <v>843.58052000000021</v>
      </c>
      <c r="E9" s="7">
        <f>Emi_T_ajustado!I8</f>
        <v>881.17351999999994</v>
      </c>
      <c r="F9" s="7">
        <f>Emi_T_ajustado!J8</f>
        <v>1020.9232</v>
      </c>
      <c r="G9" s="7">
        <f>Emi_T_ajustado!K8</f>
        <v>1160.85841</v>
      </c>
      <c r="H9" s="7">
        <f>Emi_T_ajustado!L8</f>
        <v>926.80170000000021</v>
      </c>
      <c r="I9" s="7">
        <f>Emi_T_ajustado!M8</f>
        <v>692.75695999999994</v>
      </c>
      <c r="J9" s="7">
        <f>Emi_T_ajustado!N8</f>
        <v>596.70115999999996</v>
      </c>
      <c r="K9" s="7">
        <f>Emi_T_ajustado!O8</f>
        <v>500.67753999999996</v>
      </c>
      <c r="L9" s="7">
        <f>Emi_T_ajustado!P8</f>
        <v>520.12112000000002</v>
      </c>
      <c r="M9" s="7">
        <f>Emi_T_ajustado!Q8</f>
        <v>539.55027999999993</v>
      </c>
      <c r="N9" s="7">
        <f>Emi_T_ajustado!R8</f>
        <v>468.01265000000001</v>
      </c>
      <c r="O9" s="7">
        <f>Emi_T_ajustado!S8</f>
        <v>482.72155999999995</v>
      </c>
      <c r="P9" s="7">
        <f>Emi_T_ajustado!T8</f>
        <v>535.48039999999992</v>
      </c>
      <c r="Q9" s="7">
        <f>Emi_T_ajustado!U8</f>
        <v>593.01983999999993</v>
      </c>
      <c r="R9" s="7">
        <f>Emi_T_ajustado!V8</f>
        <v>655.18376000000001</v>
      </c>
      <c r="S9" s="7">
        <f>Emi_T_ajustado!W8</f>
        <v>722.37759999999992</v>
      </c>
      <c r="T9" s="7">
        <f>Emi_T_ajustado!X8</f>
        <v>796.28136000000006</v>
      </c>
      <c r="U9" s="7">
        <f>Emi_T_ajustado!Y8</f>
        <v>875.75124000000005</v>
      </c>
      <c r="V9" s="7">
        <f>Emi_T_ajustado!Z8</f>
        <v>961.23551999999995</v>
      </c>
      <c r="W9" s="7">
        <f>Emi_T_ajustado!AA8</f>
        <v>1054.6426799999999</v>
      </c>
      <c r="X9" s="7">
        <f>Emi_T_ajustado!AB8</f>
        <v>1127.4244800000001</v>
      </c>
      <c r="Y9" s="7">
        <f>Emi_T_ajustado!AC8</f>
        <v>1205.93508</v>
      </c>
      <c r="Z9" s="7">
        <f>Emi_T_ajustado!AD8</f>
        <v>1288.08456</v>
      </c>
      <c r="AA9" s="7">
        <f>Emi_T_ajustado!AE8</f>
        <v>1375.8905999999999</v>
      </c>
      <c r="AB9" s="183">
        <f>Emi_T_ajustado!AF8</f>
        <v>1469.5413599999997</v>
      </c>
    </row>
    <row r="10" spans="2:29" x14ac:dyDescent="0.3">
      <c r="B10" s="188" t="s">
        <v>63</v>
      </c>
      <c r="C10" s="7">
        <f>Emi_T_ajustado!G9</f>
        <v>1.05325</v>
      </c>
      <c r="D10" s="7">
        <f>Emi_T_ajustado!H9</f>
        <v>1.2256</v>
      </c>
      <c r="E10" s="7">
        <f>Emi_T_ajustado!I9</f>
        <v>1.39795</v>
      </c>
      <c r="F10" s="7">
        <f>Emi_T_ajustado!J9</f>
        <v>4.2513000000000005</v>
      </c>
      <c r="G10" s="7">
        <f>Emi_T_ajustado!K9</f>
        <v>7.1237999999999992</v>
      </c>
      <c r="H10" s="7">
        <f>Emi_T_ajustado!L9</f>
        <v>6.1663000000000006</v>
      </c>
      <c r="I10" s="7">
        <f>Emi_T_ajustado!M9</f>
        <v>5.2087999999999992</v>
      </c>
      <c r="J10" s="7">
        <f>Emi_T_ajustado!N9</f>
        <v>5.8407499999999999</v>
      </c>
      <c r="K10" s="7">
        <f>Emi_T_ajustado!O9</f>
        <v>6.4726999999999997</v>
      </c>
      <c r="L10" s="7">
        <f>Emi_T_ajustado!P9</f>
        <v>6.7599499999999999</v>
      </c>
      <c r="M10" s="7">
        <f>Emi_T_ajustado!Q9</f>
        <v>7.0472000000000001</v>
      </c>
      <c r="N10" s="7">
        <f>Emi_T_ajustado!R9</f>
        <v>7.3727499999999999</v>
      </c>
      <c r="O10" s="7">
        <f>Emi_T_ajustado!S9</f>
        <v>6.4535500000000008</v>
      </c>
      <c r="P10" s="7">
        <f>Emi_T_ajustado!T9</f>
        <v>6.8174000000000001</v>
      </c>
      <c r="Q10" s="7">
        <f>Emi_T_ajustado!U9</f>
        <v>7.2004000000000001</v>
      </c>
      <c r="R10" s="7">
        <f>Emi_T_ajustado!V9</f>
        <v>7.5834000000000001</v>
      </c>
      <c r="S10" s="7">
        <f>Emi_T_ajustado!W9</f>
        <v>7.9855500000000008</v>
      </c>
      <c r="T10" s="7">
        <f>Emi_T_ajustado!X9</f>
        <v>8.3685500000000008</v>
      </c>
      <c r="U10" s="7">
        <f>Emi_T_ajustado!Y9</f>
        <v>8.7898499999999995</v>
      </c>
      <c r="V10" s="7">
        <f>Emi_T_ajustado!Z9</f>
        <v>9.1920000000000002</v>
      </c>
      <c r="W10" s="7">
        <f>Emi_T_ajustado!AA9</f>
        <v>9.6133000000000006</v>
      </c>
      <c r="X10" s="7">
        <f>Emi_T_ajustado!AB9</f>
        <v>9.8048000000000002</v>
      </c>
      <c r="Y10" s="7">
        <f>Emi_T_ajustado!AC9</f>
        <v>9.97715</v>
      </c>
      <c r="Z10" s="7">
        <f>Emi_T_ajustado!AD9</f>
        <v>10.168650000000001</v>
      </c>
      <c r="AA10" s="7">
        <f>Emi_T_ajustado!AE9</f>
        <v>10.360150000000001</v>
      </c>
      <c r="AB10" s="183">
        <f>Emi_T_ajustado!AF9</f>
        <v>10.55165</v>
      </c>
    </row>
    <row r="11" spans="2:29" x14ac:dyDescent="0.3">
      <c r="B11" s="188" t="s">
        <v>64</v>
      </c>
      <c r="C11" s="7">
        <f>Emi_T_ajustado!G10</f>
        <v>13.366080000000002</v>
      </c>
      <c r="D11" s="7">
        <f>Emi_T_ajustado!H10</f>
        <v>13.876820000000002</v>
      </c>
      <c r="E11" s="7">
        <f>Emi_T_ajustado!I10</f>
        <v>14.481999999999999</v>
      </c>
      <c r="F11" s="7">
        <f>Emi_T_ajustado!J10</f>
        <v>14.797080000000003</v>
      </c>
      <c r="G11" s="7">
        <f>Emi_T_ajustado!K10</f>
        <v>15.23014</v>
      </c>
      <c r="H11" s="7">
        <f>Emi_T_ajustado!L10</f>
        <v>15.126720000000001</v>
      </c>
      <c r="I11" s="7">
        <f>Emi_T_ajustado!M10</f>
        <v>15.1592</v>
      </c>
      <c r="J11" s="7">
        <f>Emi_T_ajustado!N10</f>
        <v>15.327300000000001</v>
      </c>
      <c r="K11" s="7">
        <f>Emi_T_ajustado!O10</f>
        <v>15.490639999999999</v>
      </c>
      <c r="L11" s="7">
        <f>Emi_T_ajustado!P10</f>
        <v>18.624340000000004</v>
      </c>
      <c r="M11" s="7">
        <f>Emi_T_ajustado!Q10</f>
        <v>21.836020000000001</v>
      </c>
      <c r="N11" s="7">
        <f>Emi_T_ajustado!R10</f>
        <v>13.299650000000002</v>
      </c>
      <c r="O11" s="7">
        <f>Emi_T_ajustado!S10</f>
        <v>17.26474</v>
      </c>
      <c r="P11" s="7">
        <f>Emi_T_ajustado!T10</f>
        <v>18.036000000000001</v>
      </c>
      <c r="Q11" s="7">
        <f>Emi_T_ajustado!U10</f>
        <v>18.879919999999998</v>
      </c>
      <c r="R11" s="7">
        <f>Emi_T_ajustado!V10</f>
        <v>19.831979999999998</v>
      </c>
      <c r="S11" s="7">
        <f>Emi_T_ajustado!W10</f>
        <v>20.645040000000002</v>
      </c>
      <c r="T11" s="7">
        <f>Emi_T_ajustado!X10</f>
        <v>21.564699999999998</v>
      </c>
      <c r="U11" s="7">
        <f>Emi_T_ajustado!Y10</f>
        <v>22.347899999999996</v>
      </c>
      <c r="V11" s="7">
        <f>Emi_T_ajustado!Z10</f>
        <v>23.2362</v>
      </c>
      <c r="W11" s="7">
        <f>Emi_T_ajustado!AA10</f>
        <v>24.106680000000001</v>
      </c>
      <c r="X11" s="7">
        <f>Emi_T_ajustado!AB10</f>
        <v>24.375519999999998</v>
      </c>
      <c r="Y11" s="7">
        <f>Emi_T_ajustado!AC10</f>
        <v>24.638639999999995</v>
      </c>
      <c r="Z11" s="7">
        <f>Emi_T_ajustado!AD10</f>
        <v>24.896160000000005</v>
      </c>
      <c r="AA11" s="7">
        <f>Emi_T_ajustado!AE10</f>
        <v>25.148199999999999</v>
      </c>
      <c r="AB11" s="183">
        <f>Emi_T_ajustado!AF10</f>
        <v>25.392639999999997</v>
      </c>
    </row>
    <row r="12" spans="2:29" x14ac:dyDescent="0.3">
      <c r="B12" s="188" t="s">
        <v>65</v>
      </c>
      <c r="C12" s="7">
        <f>Emi_T_ajustado!G11+Emi_T_ajustado!G12</f>
        <v>405.33434</v>
      </c>
      <c r="D12" s="7">
        <f>Emi_T_ajustado!H11+Emi_T_ajustado!H12</f>
        <v>439.78666000000004</v>
      </c>
      <c r="E12" s="7">
        <f>Emi_T_ajustado!I11+Emi_T_ajustado!I12</f>
        <v>474.55597999999998</v>
      </c>
      <c r="F12" s="7">
        <f>Emi_T_ajustado!J11+Emi_T_ajustado!J12</f>
        <v>480.97206000000006</v>
      </c>
      <c r="G12" s="7">
        <f>Emi_T_ajustado!K11+Emi_T_ajustado!K12</f>
        <v>487.41840000000002</v>
      </c>
      <c r="H12" s="7">
        <f>Emi_T_ajustado!L11+Emi_T_ajustado!L12</f>
        <v>490.00818000000004</v>
      </c>
      <c r="I12" s="7">
        <f>Emi_T_ajustado!M11+Emi_T_ajustado!M12</f>
        <v>492.59226000000001</v>
      </c>
      <c r="J12" s="7">
        <f>Emi_T_ajustado!N11+Emi_T_ajustado!N12</f>
        <v>499.28854000000001</v>
      </c>
      <c r="K12" s="7">
        <f>Emi_T_ajustado!O11+Emi_T_ajustado!O12</f>
        <v>505.82700999999997</v>
      </c>
      <c r="L12" s="7">
        <f>Emi_T_ajustado!P11+Emi_T_ajustado!P12</f>
        <v>508.53536000000003</v>
      </c>
      <c r="M12" s="7">
        <f>Emi_T_ajustado!Q11+Emi_T_ajustado!Q12</f>
        <v>511.45271000000002</v>
      </c>
      <c r="N12" s="7">
        <f>Emi_T_ajustado!R11+Emi_T_ajustado!R12</f>
        <v>518.68946000000005</v>
      </c>
      <c r="O12" s="7">
        <f>Emi_T_ajustado!S11+Emi_T_ajustado!S12</f>
        <v>505.72967</v>
      </c>
      <c r="P12" s="7">
        <f>Emi_T_ajustado!T11+Emi_T_ajustado!T12</f>
        <v>553.11494000000005</v>
      </c>
      <c r="Q12" s="7">
        <f>Emi_T_ajustado!U11+Emi_T_ajustado!U12</f>
        <v>601.08337000000006</v>
      </c>
      <c r="R12" s="7">
        <f>Emi_T_ajustado!V11+Emi_T_ajustado!V12</f>
        <v>605.49054000000001</v>
      </c>
      <c r="S12" s="7">
        <f>Emi_T_ajustado!W11+Emi_T_ajustado!W12</f>
        <v>636.34221000000002</v>
      </c>
      <c r="T12" s="7">
        <f>Emi_T_ajustado!X11+Emi_T_ajustado!X12</f>
        <v>755.34120000000007</v>
      </c>
      <c r="U12" s="7">
        <f>Emi_T_ajustado!Y11+Emi_T_ajustado!Y12</f>
        <v>811.57044999999994</v>
      </c>
      <c r="V12" s="7">
        <f>Emi_T_ajustado!Z11+Emi_T_ajustado!Z12</f>
        <v>868.9154400000001</v>
      </c>
      <c r="W12" s="7">
        <f>Emi_T_ajustado!AA11+Emi_T_ajustado!AA12</f>
        <v>927.70773000000008</v>
      </c>
      <c r="X12" s="7">
        <f>Emi_T_ajustado!AB11+Emi_T_ajustado!AB12</f>
        <v>989.10412999999994</v>
      </c>
      <c r="Y12" s="7">
        <f>Emi_T_ajustado!AC11+Emi_T_ajustado!AC12</f>
        <v>1053.01305</v>
      </c>
      <c r="Z12" s="7">
        <f>Emi_T_ajustado!AD11+Emi_T_ajustado!AD12</f>
        <v>1118.4407299999998</v>
      </c>
      <c r="AA12" s="7">
        <f>Emi_T_ajustado!AE11+Emi_T_ajustado!AE12</f>
        <v>1186.6725100000001</v>
      </c>
      <c r="AB12" s="183">
        <f>Emi_T_ajustado!AF11+Emi_T_ajustado!AF12</f>
        <v>1256.3494000000001</v>
      </c>
    </row>
    <row r="13" spans="2:29" ht="15" thickBot="1" x14ac:dyDescent="0.35">
      <c r="B13" s="133" t="s">
        <v>66</v>
      </c>
      <c r="C13" s="127">
        <f>Emi_T_ajustado!G13</f>
        <v>153.57999999999998</v>
      </c>
      <c r="D13" s="127">
        <f>Emi_T_ajustado!H13</f>
        <v>297.91999999999996</v>
      </c>
      <c r="E13" s="127">
        <f>Emi_T_ajustado!I13</f>
        <v>442.26</v>
      </c>
      <c r="F13" s="127">
        <f>Emi_T_ajustado!J13</f>
        <v>313.59999999999997</v>
      </c>
      <c r="G13" s="127">
        <f>Emi_T_ajustado!K13</f>
        <v>185.01</v>
      </c>
      <c r="H13" s="127">
        <f>Emi_T_ajustado!L13</f>
        <v>382.34000000000003</v>
      </c>
      <c r="I13" s="127">
        <f>Emi_T_ajustado!M13</f>
        <v>579.66999999999996</v>
      </c>
      <c r="J13" s="127">
        <f>Emi_T_ajustado!N13</f>
        <v>605.01</v>
      </c>
      <c r="K13" s="127">
        <f>Emi_T_ajustado!O13</f>
        <v>630.41999999999996</v>
      </c>
      <c r="L13" s="127">
        <f>Emi_T_ajustado!P13</f>
        <v>602.28000000000009</v>
      </c>
      <c r="M13" s="127">
        <f>Emi_T_ajustado!Q13</f>
        <v>574.21</v>
      </c>
      <c r="N13" s="127">
        <f>Emi_T_ajustado!R13</f>
        <v>490.49</v>
      </c>
      <c r="O13" s="127">
        <f>Emi_T_ajustado!S13</f>
        <v>595.28000000000009</v>
      </c>
      <c r="P13" s="127">
        <f>Emi_T_ajustado!T13</f>
        <v>641.96999999999991</v>
      </c>
      <c r="Q13" s="127">
        <f>Emi_T_ajustado!U13</f>
        <v>690.06000000000006</v>
      </c>
      <c r="R13" s="127">
        <f>Emi_T_ajustado!V13</f>
        <v>687.39999999999986</v>
      </c>
      <c r="S13" s="127">
        <f>Emi_T_ajustado!W13</f>
        <v>714.06999999999994</v>
      </c>
      <c r="T13" s="127">
        <f>Emi_T_ajustado!X13</f>
        <v>838.18</v>
      </c>
      <c r="U13" s="127">
        <f>Emi_T_ajustado!Y13</f>
        <v>890.26</v>
      </c>
      <c r="V13" s="127">
        <f>Emi_T_ajustado!Z13</f>
        <v>942.27</v>
      </c>
      <c r="W13" s="127">
        <f>Emi_T_ajustado!AA13</f>
        <v>994.34999999999991</v>
      </c>
      <c r="X13" s="127">
        <f>Emi_T_ajustado!AB13</f>
        <v>1047.7599999999998</v>
      </c>
      <c r="Y13" s="127">
        <f>Emi_T_ajustado!AC13</f>
        <v>1102.4999999999998</v>
      </c>
      <c r="Z13" s="127">
        <f>Emi_T_ajustado!AD13</f>
        <v>1157.17</v>
      </c>
      <c r="AA13" s="127">
        <f>Emi_T_ajustado!AE13</f>
        <v>1213.2399999999998</v>
      </c>
      <c r="AB13" s="135">
        <f>Emi_T_ajustado!AF13</f>
        <v>1269.31</v>
      </c>
    </row>
    <row r="14" spans="2:29" x14ac:dyDescent="0.3">
      <c r="B14" s="180" t="s">
        <v>67</v>
      </c>
      <c r="C14" s="202">
        <f>SUM(C15:C20)</f>
        <v>2271.8591200000001</v>
      </c>
      <c r="D14" s="202">
        <f t="shared" ref="D14:AB14" si="1">SUM(D15:D20)</f>
        <v>2629.2208000000005</v>
      </c>
      <c r="E14" s="202">
        <f t="shared" si="1"/>
        <v>2987.2010900000005</v>
      </c>
      <c r="F14" s="202">
        <f t="shared" si="1"/>
        <v>3064.3062399999999</v>
      </c>
      <c r="G14" s="202">
        <f t="shared" si="1"/>
        <v>3141.9912699999995</v>
      </c>
      <c r="H14" s="202">
        <f t="shared" si="1"/>
        <v>3540.5999500000007</v>
      </c>
      <c r="I14" s="202">
        <f t="shared" si="1"/>
        <v>3939.50882</v>
      </c>
      <c r="J14" s="202">
        <f t="shared" si="1"/>
        <v>4157.20219</v>
      </c>
      <c r="K14" s="202">
        <f t="shared" si="1"/>
        <v>4374.9918299999999</v>
      </c>
      <c r="L14" s="202">
        <f t="shared" si="1"/>
        <v>4554.3556499999995</v>
      </c>
      <c r="M14" s="202">
        <f t="shared" si="1"/>
        <v>4733.8333900000007</v>
      </c>
      <c r="N14" s="181">
        <f t="shared" si="1"/>
        <v>4796.9475399999992</v>
      </c>
      <c r="O14" s="181">
        <f t="shared" si="1"/>
        <v>5057.1456799999996</v>
      </c>
      <c r="P14" s="181">
        <f t="shared" si="1"/>
        <v>5582.6099400000003</v>
      </c>
      <c r="Q14" s="181">
        <f t="shared" si="1"/>
        <v>6148.2095700000009</v>
      </c>
      <c r="R14" s="181">
        <f t="shared" si="1"/>
        <v>6658.1861599999993</v>
      </c>
      <c r="S14" s="181">
        <f t="shared" si="1"/>
        <v>7251.7097700000013</v>
      </c>
      <c r="T14" s="181">
        <f t="shared" si="1"/>
        <v>8079.3601633333328</v>
      </c>
      <c r="U14" s="181">
        <f t="shared" si="1"/>
        <v>8818.1914166666666</v>
      </c>
      <c r="V14" s="181">
        <f t="shared" si="1"/>
        <v>9606.7419200000004</v>
      </c>
      <c r="W14" s="181">
        <f t="shared" si="1"/>
        <v>10497.648173333335</v>
      </c>
      <c r="X14" s="181">
        <f t="shared" si="1"/>
        <v>11196.067896666664</v>
      </c>
      <c r="Y14" s="181">
        <f t="shared" si="1"/>
        <v>11942.411709999998</v>
      </c>
      <c r="Z14" s="181">
        <f t="shared" si="1"/>
        <v>12721.251913333334</v>
      </c>
      <c r="AA14" s="181">
        <f t="shared" si="1"/>
        <v>13550.383776666666</v>
      </c>
      <c r="AB14" s="182">
        <f t="shared" si="1"/>
        <v>14426.244409999998</v>
      </c>
      <c r="AC14" s="11"/>
    </row>
    <row r="15" spans="2:29" x14ac:dyDescent="0.3">
      <c r="B15" s="188" t="s">
        <v>61</v>
      </c>
      <c r="C15" s="7">
        <f>Emi_I!G7</f>
        <v>892.37160000000006</v>
      </c>
      <c r="D15" s="7">
        <f>Emi_I!H7</f>
        <v>1032.8312000000001</v>
      </c>
      <c r="E15" s="7">
        <f>Emi_I!I7</f>
        <v>1173.3316400000001</v>
      </c>
      <c r="F15" s="7">
        <f>Emi_I!J7</f>
        <v>1229.7626000000002</v>
      </c>
      <c r="G15" s="7">
        <f>Emi_I!K7</f>
        <v>1286.35052</v>
      </c>
      <c r="H15" s="7">
        <f>Emi_I!L7</f>
        <v>1720.15705</v>
      </c>
      <c r="I15" s="7">
        <f>Emi_I!M7</f>
        <v>2154.1215999999999</v>
      </c>
      <c r="J15" s="7">
        <f>Emi_I!N7</f>
        <v>2435.0344399999999</v>
      </c>
      <c r="K15" s="7">
        <f>Emi_I!O7</f>
        <v>2716.10394</v>
      </c>
      <c r="L15" s="7">
        <f>Emi_I!P7</f>
        <v>2898.0348799999997</v>
      </c>
      <c r="M15" s="7">
        <f>Emi_I!Q7</f>
        <v>3079.7371800000005</v>
      </c>
      <c r="N15" s="7">
        <f>Emi_I!R7</f>
        <v>3299.0830299999998</v>
      </c>
      <c r="O15" s="7">
        <f>Emi_I!S7</f>
        <v>3449.69616</v>
      </c>
      <c r="P15" s="7">
        <f>Emi_I!T7</f>
        <v>3827.1912000000002</v>
      </c>
      <c r="Q15" s="7">
        <f>Emi_I!U7</f>
        <v>4237.9660400000002</v>
      </c>
      <c r="R15" s="7">
        <f>Emi_I!V7</f>
        <v>4682.6964799999996</v>
      </c>
      <c r="S15" s="7">
        <f>Emi_I!W7</f>
        <v>5154.5787200000004</v>
      </c>
      <c r="T15" s="7">
        <f>Emi_I!X7</f>
        <v>5673.8697199999997</v>
      </c>
      <c r="U15" s="7">
        <f>Emi_I!Y7</f>
        <v>6233.6733599999998</v>
      </c>
      <c r="V15" s="7">
        <f>Emi_I!Z7</f>
        <v>6836.0501599999998</v>
      </c>
      <c r="W15" s="7">
        <f>Emi_I!AA7</f>
        <v>7531.3412000000008</v>
      </c>
      <c r="X15" s="7">
        <f>Emi_I!AB7</f>
        <v>8051.6683999999987</v>
      </c>
      <c r="Y15" s="7">
        <f>Emi_I!AC7</f>
        <v>8610.3732400000008</v>
      </c>
      <c r="Z15" s="7">
        <f>Emi_I!AD7</f>
        <v>9196.4732800000002</v>
      </c>
      <c r="AA15" s="7">
        <f>Emi_I!AE7</f>
        <v>9823.0097999999998</v>
      </c>
      <c r="AB15" s="183">
        <f>Emi_I!AF7</f>
        <v>10488.494959999998</v>
      </c>
    </row>
    <row r="16" spans="2:29" x14ac:dyDescent="0.3">
      <c r="B16" s="188" t="s">
        <v>62</v>
      </c>
      <c r="C16" s="7">
        <f>Emi_I!G8</f>
        <v>806.15385000000003</v>
      </c>
      <c r="D16" s="7">
        <f>Emi_I!H8</f>
        <v>843.58052000000021</v>
      </c>
      <c r="E16" s="7">
        <f>Emi_I!I8</f>
        <v>881.17351999999994</v>
      </c>
      <c r="F16" s="7">
        <f>Emi_I!J8</f>
        <v>1020.9232</v>
      </c>
      <c r="G16" s="7">
        <f>Emi_I!K8</f>
        <v>1160.85841</v>
      </c>
      <c r="H16" s="7">
        <f>Emi_I!L8</f>
        <v>926.80170000000021</v>
      </c>
      <c r="I16" s="7">
        <f>Emi_I!M8</f>
        <v>692.75695999999994</v>
      </c>
      <c r="J16" s="7">
        <f>Emi_I!N8</f>
        <v>596.70115999999996</v>
      </c>
      <c r="K16" s="7">
        <f>Emi_I!O8</f>
        <v>500.67753999999996</v>
      </c>
      <c r="L16" s="7">
        <f>Emi_I!P8</f>
        <v>520.12112000000002</v>
      </c>
      <c r="M16" s="7">
        <f>Emi_I!Q8</f>
        <v>539.55027999999993</v>
      </c>
      <c r="N16" s="7">
        <f>Emi_I!R8</f>
        <v>468.01265000000001</v>
      </c>
      <c r="O16" s="7">
        <f>Emi_I!S8</f>
        <v>482.72155999999995</v>
      </c>
      <c r="P16" s="7">
        <f>Emi_I!T8</f>
        <v>535.48039999999992</v>
      </c>
      <c r="Q16" s="7">
        <f>Emi_I!U8</f>
        <v>593.01983999999993</v>
      </c>
      <c r="R16" s="7">
        <f>Emi_I!V8</f>
        <v>655.18376000000001</v>
      </c>
      <c r="S16" s="7">
        <f>Emi_I!W8</f>
        <v>722.37759999999992</v>
      </c>
      <c r="T16" s="7">
        <f>Emi_I!X8</f>
        <v>796.28136000000006</v>
      </c>
      <c r="U16" s="7">
        <f>Emi_I!Y8</f>
        <v>875.75124000000005</v>
      </c>
      <c r="V16" s="7">
        <f>Emi_I!Z8</f>
        <v>961.23551999999995</v>
      </c>
      <c r="W16" s="7">
        <f>Emi_I!AA8</f>
        <v>1054.6426799999999</v>
      </c>
      <c r="X16" s="7">
        <f>Emi_I!AB8</f>
        <v>1127.4244800000001</v>
      </c>
      <c r="Y16" s="7">
        <f>Emi_I!AC8</f>
        <v>1205.93508</v>
      </c>
      <c r="Z16" s="7">
        <f>Emi_I!AD8</f>
        <v>1288.08456</v>
      </c>
      <c r="AA16" s="7">
        <f>Emi_I!AE8</f>
        <v>1375.8905999999999</v>
      </c>
      <c r="AB16" s="183">
        <f>Emi_I!AF8</f>
        <v>1469.5413599999997</v>
      </c>
    </row>
    <row r="17" spans="2:28" x14ac:dyDescent="0.3">
      <c r="B17" s="188" t="s">
        <v>63</v>
      </c>
      <c r="C17" s="7">
        <f>Emi_I!G9</f>
        <v>1.05325</v>
      </c>
      <c r="D17" s="7">
        <f>Emi_I!H9</f>
        <v>1.2256</v>
      </c>
      <c r="E17" s="7">
        <f>Emi_I!I9</f>
        <v>1.39795</v>
      </c>
      <c r="F17" s="7">
        <f>Emi_I!J9</f>
        <v>4.2513000000000005</v>
      </c>
      <c r="G17" s="7">
        <f>Emi_I!K9</f>
        <v>7.1237999999999992</v>
      </c>
      <c r="H17" s="7">
        <f>Emi_I!L9</f>
        <v>6.1663000000000006</v>
      </c>
      <c r="I17" s="7">
        <f>Emi_I!M9</f>
        <v>5.2087999999999992</v>
      </c>
      <c r="J17" s="7">
        <f>Emi_I!N9</f>
        <v>5.8407499999999999</v>
      </c>
      <c r="K17" s="7">
        <f>Emi_I!O9</f>
        <v>6.4726999999999997</v>
      </c>
      <c r="L17" s="7">
        <f>Emi_I!P9</f>
        <v>6.7599499999999999</v>
      </c>
      <c r="M17" s="7">
        <f>Emi_I!Q9</f>
        <v>7.0472000000000001</v>
      </c>
      <c r="N17" s="7">
        <f>Emi_I!R9</f>
        <v>7.3727499999999999</v>
      </c>
      <c r="O17" s="7">
        <f>Emi_I!S9</f>
        <v>6.4535500000000008</v>
      </c>
      <c r="P17" s="7">
        <f>Emi_I!T9</f>
        <v>6.8174000000000001</v>
      </c>
      <c r="Q17" s="7">
        <f>Emi_I!U9</f>
        <v>7.2004000000000001</v>
      </c>
      <c r="R17" s="7">
        <f>Emi_I!V9</f>
        <v>7.5834000000000001</v>
      </c>
      <c r="S17" s="7">
        <f>Emi_I!W9</f>
        <v>8.1962000000000206</v>
      </c>
      <c r="T17" s="7">
        <f>Emi_I!X9</f>
        <v>8.7898500000000404</v>
      </c>
      <c r="U17" s="7">
        <f>Emi_I!Y9</f>
        <v>9.4218000000000579</v>
      </c>
      <c r="V17" s="7">
        <f>Emi_I!Z9</f>
        <v>10.034600000000077</v>
      </c>
      <c r="W17" s="7">
        <f>Emi_I!AA9</f>
        <v>10.666549999999928</v>
      </c>
      <c r="X17" s="7">
        <f>Emi_I!AB9</f>
        <v>11.068700000000117</v>
      </c>
      <c r="Y17" s="7">
        <f>Emi_I!AC9</f>
        <v>11.451699999999965</v>
      </c>
      <c r="Z17" s="7">
        <f>Emi_I!AD9</f>
        <v>11.853850000000156</v>
      </c>
      <c r="AA17" s="7">
        <f>Emi_I!AE9</f>
        <v>12.256000000000007</v>
      </c>
      <c r="AB17" s="183">
        <f>Emi_I!AF9</f>
        <v>13.156050000000056</v>
      </c>
    </row>
    <row r="18" spans="2:28" x14ac:dyDescent="0.3">
      <c r="B18" s="188" t="s">
        <v>64</v>
      </c>
      <c r="C18" s="7">
        <f>Emi_I!G10</f>
        <v>13.366080000000002</v>
      </c>
      <c r="D18" s="7">
        <f>Emi_I!H10</f>
        <v>13.876820000000002</v>
      </c>
      <c r="E18" s="7">
        <f>Emi_I!I10</f>
        <v>14.481999999999999</v>
      </c>
      <c r="F18" s="7">
        <f>Emi_I!J10</f>
        <v>14.797080000000003</v>
      </c>
      <c r="G18" s="7">
        <f>Emi_I!K10</f>
        <v>15.23014</v>
      </c>
      <c r="H18" s="7">
        <f>Emi_I!L10</f>
        <v>15.126720000000001</v>
      </c>
      <c r="I18" s="7">
        <f>Emi_I!M10</f>
        <v>15.1592</v>
      </c>
      <c r="J18" s="7">
        <f>Emi_I!N10</f>
        <v>15.327300000000001</v>
      </c>
      <c r="K18" s="7">
        <f>Emi_I!O10</f>
        <v>15.490639999999999</v>
      </c>
      <c r="L18" s="7">
        <f>Emi_I!P10</f>
        <v>18.624340000000004</v>
      </c>
      <c r="M18" s="7">
        <f>Emi_I!Q10</f>
        <v>21.836020000000001</v>
      </c>
      <c r="N18" s="7">
        <f>Emi_I!R10</f>
        <v>13.299650000000002</v>
      </c>
      <c r="O18" s="7">
        <f>Emi_I!S10</f>
        <v>17.26474</v>
      </c>
      <c r="P18" s="7">
        <f>Emi_I!T10</f>
        <v>18.036000000000001</v>
      </c>
      <c r="Q18" s="7">
        <f>Emi_I!U10</f>
        <v>18.879919999999998</v>
      </c>
      <c r="R18" s="7">
        <f>Emi_I!V10</f>
        <v>19.831979999999998</v>
      </c>
      <c r="S18" s="7">
        <f>Emi_I!W10</f>
        <v>20.645040000000002</v>
      </c>
      <c r="T18" s="7">
        <f>Emi_I!X10</f>
        <v>21.564699999999998</v>
      </c>
      <c r="U18" s="7">
        <f>Emi_I!Y10</f>
        <v>22.347899999999996</v>
      </c>
      <c r="V18" s="7">
        <f>Emi_I!Z10</f>
        <v>23.2362</v>
      </c>
      <c r="W18" s="7">
        <f>Emi_I!AA10</f>
        <v>24.106680000000001</v>
      </c>
      <c r="X18" s="7">
        <f>Emi_I!AB10</f>
        <v>24.375519999999998</v>
      </c>
      <c r="Y18" s="7">
        <f>Emi_I!AC10</f>
        <v>24.638639999999995</v>
      </c>
      <c r="Z18" s="7">
        <f>Emi_I!AD10</f>
        <v>24.896160000000005</v>
      </c>
      <c r="AA18" s="7">
        <f>Emi_I!AE10</f>
        <v>25.148199999999999</v>
      </c>
      <c r="AB18" s="183">
        <f>Emi_I!AF10</f>
        <v>25.392639999999997</v>
      </c>
    </row>
    <row r="19" spans="2:28" x14ac:dyDescent="0.3">
      <c r="B19" s="188" t="s">
        <v>65</v>
      </c>
      <c r="C19" s="7">
        <f>Emi_I!G11+Emi_I!G12</f>
        <v>405.33434</v>
      </c>
      <c r="D19" s="7">
        <f>Emi_I!H11+Emi_I!H12</f>
        <v>439.78666000000004</v>
      </c>
      <c r="E19" s="7">
        <f>Emi_I!I11+Emi_I!I12</f>
        <v>474.55597999999998</v>
      </c>
      <c r="F19" s="7">
        <f>Emi_I!J11+Emi_I!J12</f>
        <v>480.97206000000006</v>
      </c>
      <c r="G19" s="7">
        <f>Emi_I!K11+Emi_I!K12</f>
        <v>487.41840000000002</v>
      </c>
      <c r="H19" s="7">
        <f>Emi_I!L11+Emi_I!L12</f>
        <v>490.00818000000004</v>
      </c>
      <c r="I19" s="7">
        <f>Emi_I!M11+Emi_I!M12</f>
        <v>492.59226000000001</v>
      </c>
      <c r="J19" s="7">
        <f>Emi_I!N11+Emi_I!N12</f>
        <v>499.28854000000001</v>
      </c>
      <c r="K19" s="7">
        <f>Emi_I!O11+Emi_I!O12</f>
        <v>505.82700999999997</v>
      </c>
      <c r="L19" s="7">
        <f>Emi_I!P11+Emi_I!P12</f>
        <v>508.53536000000003</v>
      </c>
      <c r="M19" s="7">
        <f>Emi_I!Q11+Emi_I!Q12</f>
        <v>511.45271000000002</v>
      </c>
      <c r="N19" s="7">
        <f>Emi_I!R11+Emi_I!R12</f>
        <v>518.68946000000005</v>
      </c>
      <c r="O19" s="7">
        <f>Emi_I!S11+Emi_I!S12</f>
        <v>505.72967</v>
      </c>
      <c r="P19" s="7">
        <f>Emi_I!T11+Emi_I!T12</f>
        <v>553.11494000000005</v>
      </c>
      <c r="Q19" s="7">
        <f>Emi_I!U11+Emi_I!U12</f>
        <v>601.08337000000006</v>
      </c>
      <c r="R19" s="7">
        <f>Emi_I!V11+Emi_I!V12</f>
        <v>605.49054000000001</v>
      </c>
      <c r="S19" s="7">
        <f>Emi_I!W11+Emi_I!W12</f>
        <v>632.64220999999998</v>
      </c>
      <c r="T19" s="7">
        <f>Emi_I!X11+Emi_I!X12</f>
        <v>742.27453333333335</v>
      </c>
      <c r="U19" s="7">
        <f>Emi_I!Y11+Emi_I!Y12</f>
        <v>789.13711666666666</v>
      </c>
      <c r="V19" s="7">
        <f>Emi_I!Z11+Emi_I!Z12</f>
        <v>837.11544000000004</v>
      </c>
      <c r="W19" s="7">
        <f>Emi_I!AA11+Emi_I!AA12</f>
        <v>886.54106333333334</v>
      </c>
      <c r="X19" s="7">
        <f>Emi_I!AB11+Emi_I!AB12</f>
        <v>938.57079666666652</v>
      </c>
      <c r="Y19" s="7">
        <f>Emi_I!AC11+Emi_I!AC12</f>
        <v>993.11304999999993</v>
      </c>
      <c r="Z19" s="7">
        <f>Emi_I!AD11+Emi_I!AD12</f>
        <v>1049.1740633333334</v>
      </c>
      <c r="AA19" s="7">
        <f>Emi_I!AE11+Emi_I!AE12</f>
        <v>1108.0391766666667</v>
      </c>
      <c r="AB19" s="183">
        <f>Emi_I!AF11+Emi_I!AF12</f>
        <v>1168.3494000000001</v>
      </c>
    </row>
    <row r="20" spans="2:28" ht="15" thickBot="1" x14ac:dyDescent="0.35">
      <c r="B20" s="133" t="s">
        <v>66</v>
      </c>
      <c r="C20" s="127">
        <f>Emi_I!G13</f>
        <v>153.57999999999998</v>
      </c>
      <c r="D20" s="127">
        <f>Emi_I!H13</f>
        <v>297.91999999999996</v>
      </c>
      <c r="E20" s="127">
        <f>Emi_I!I13</f>
        <v>442.26</v>
      </c>
      <c r="F20" s="127">
        <f>Emi_I!J13</f>
        <v>313.59999999999997</v>
      </c>
      <c r="G20" s="127">
        <f>Emi_I!K13</f>
        <v>185.01</v>
      </c>
      <c r="H20" s="127">
        <f>Emi_I!L13</f>
        <v>382.34000000000003</v>
      </c>
      <c r="I20" s="127">
        <f>Emi_I!M13</f>
        <v>579.66999999999996</v>
      </c>
      <c r="J20" s="127">
        <f>Emi_I!N13</f>
        <v>605.01</v>
      </c>
      <c r="K20" s="127">
        <f>Emi_I!O13</f>
        <v>630.41999999999996</v>
      </c>
      <c r="L20" s="127">
        <f>Emi_I!P13</f>
        <v>602.28000000000009</v>
      </c>
      <c r="M20" s="127">
        <f>Emi_I!Q13</f>
        <v>574.21</v>
      </c>
      <c r="N20" s="127">
        <f>Emi_I!R13</f>
        <v>490.49</v>
      </c>
      <c r="O20" s="127">
        <f>Emi_I!S13</f>
        <v>595.28000000000009</v>
      </c>
      <c r="P20" s="127">
        <f>Emi_I!T13</f>
        <v>641.96999999999991</v>
      </c>
      <c r="Q20" s="127">
        <f>Emi_I!U13</f>
        <v>690.06000000000006</v>
      </c>
      <c r="R20" s="127">
        <f>Emi_I!V13</f>
        <v>687.39999999999986</v>
      </c>
      <c r="S20" s="127">
        <f>Emi_I!W13</f>
        <v>713.27</v>
      </c>
      <c r="T20" s="127">
        <f>Emi_I!X13</f>
        <v>836.57999999999993</v>
      </c>
      <c r="U20" s="127">
        <f>Emi_I!Y13</f>
        <v>887.86</v>
      </c>
      <c r="V20" s="127">
        <f>Emi_I!Z13</f>
        <v>939.06999999999994</v>
      </c>
      <c r="W20" s="127">
        <f>Emi_I!AA13</f>
        <v>990.34999999999991</v>
      </c>
      <c r="X20" s="127">
        <f>Emi_I!AB13</f>
        <v>1042.9599999999998</v>
      </c>
      <c r="Y20" s="127">
        <f>Emi_I!AC13</f>
        <v>1096.8999999999999</v>
      </c>
      <c r="Z20" s="127">
        <f>Emi_I!AD13</f>
        <v>1150.77</v>
      </c>
      <c r="AA20" s="127">
        <f>Emi_I!AE13</f>
        <v>1206.0399999999997</v>
      </c>
      <c r="AB20" s="135">
        <f>Emi_I!AF13</f>
        <v>1261.31</v>
      </c>
    </row>
    <row r="21" spans="2:28" x14ac:dyDescent="0.3">
      <c r="B21" s="180" t="s">
        <v>68</v>
      </c>
      <c r="C21" s="202">
        <f>SUM(C22:C27)</f>
        <v>2271.8591200000001</v>
      </c>
      <c r="D21" s="202">
        <f t="shared" ref="D21:AB21" si="2">SUM(D22:D27)</f>
        <v>2629.2208000000005</v>
      </c>
      <c r="E21" s="202">
        <f t="shared" si="2"/>
        <v>2987.2010900000005</v>
      </c>
      <c r="F21" s="202">
        <f t="shared" si="2"/>
        <v>3064.3062399999999</v>
      </c>
      <c r="G21" s="202">
        <f t="shared" si="2"/>
        <v>3141.9912699999995</v>
      </c>
      <c r="H21" s="202">
        <f t="shared" si="2"/>
        <v>3540.5999500000007</v>
      </c>
      <c r="I21" s="202">
        <f t="shared" si="2"/>
        <v>3939.50882</v>
      </c>
      <c r="J21" s="202">
        <f t="shared" si="2"/>
        <v>4157.20219</v>
      </c>
      <c r="K21" s="202">
        <f t="shared" si="2"/>
        <v>4374.9918299999999</v>
      </c>
      <c r="L21" s="202">
        <f t="shared" si="2"/>
        <v>4554.3556499999995</v>
      </c>
      <c r="M21" s="202">
        <f t="shared" si="2"/>
        <v>4733.8333900000007</v>
      </c>
      <c r="N21" s="181">
        <f t="shared" si="2"/>
        <v>4796.9475399999992</v>
      </c>
      <c r="O21" s="181">
        <f t="shared" si="2"/>
        <v>5057.1456799999996</v>
      </c>
      <c r="P21" s="181">
        <f t="shared" si="2"/>
        <v>5582.6099400000003</v>
      </c>
      <c r="Q21" s="181">
        <f t="shared" si="2"/>
        <v>6148.2095700000009</v>
      </c>
      <c r="R21" s="181">
        <f t="shared" si="2"/>
        <v>6658.1861599999993</v>
      </c>
      <c r="S21" s="181">
        <f t="shared" si="2"/>
        <v>7245.3022899999996</v>
      </c>
      <c r="T21" s="181">
        <f t="shared" si="2"/>
        <v>8066.6591633333328</v>
      </c>
      <c r="U21" s="181">
        <f t="shared" si="2"/>
        <v>8799.1455466666666</v>
      </c>
      <c r="V21" s="181">
        <f t="shared" si="2"/>
        <v>9568.4793071428576</v>
      </c>
      <c r="W21" s="181">
        <f t="shared" si="2"/>
        <v>10440.13017761905</v>
      </c>
      <c r="X21" s="181">
        <f t="shared" si="2"/>
        <v>11119.449078095236</v>
      </c>
      <c r="Y21" s="181">
        <f t="shared" si="2"/>
        <v>11846.464428571428</v>
      </c>
      <c r="Z21" s="181">
        <f t="shared" si="2"/>
        <v>12606.145849047622</v>
      </c>
      <c r="AA21" s="181">
        <f t="shared" si="2"/>
        <v>13386.07121952381</v>
      </c>
      <c r="AB21" s="182">
        <f t="shared" si="2"/>
        <v>14214.816369999999</v>
      </c>
    </row>
    <row r="22" spans="2:28" x14ac:dyDescent="0.3">
      <c r="B22" s="188" t="s">
        <v>61</v>
      </c>
      <c r="C22" s="7">
        <f>'Emi_I+C'!G7</f>
        <v>892.37160000000006</v>
      </c>
      <c r="D22" s="7">
        <f>'Emi_I+C'!H7</f>
        <v>1032.8312000000001</v>
      </c>
      <c r="E22" s="7">
        <f>'Emi_I+C'!I7</f>
        <v>1173.3316400000001</v>
      </c>
      <c r="F22" s="7">
        <f>'Emi_I+C'!J7</f>
        <v>1229.7626000000002</v>
      </c>
      <c r="G22" s="7">
        <f>'Emi_I+C'!K7</f>
        <v>1286.35052</v>
      </c>
      <c r="H22" s="7">
        <f>'Emi_I+C'!L7</f>
        <v>1720.15705</v>
      </c>
      <c r="I22" s="7">
        <f>'Emi_I+C'!M7</f>
        <v>2154.1215999999999</v>
      </c>
      <c r="J22" s="7">
        <f>'Emi_I+C'!N7</f>
        <v>2435.0344399999999</v>
      </c>
      <c r="K22" s="7">
        <f>'Emi_I+C'!O7</f>
        <v>2716.10394</v>
      </c>
      <c r="L22" s="7">
        <f>'Emi_I+C'!P7</f>
        <v>2898.0348799999997</v>
      </c>
      <c r="M22" s="7">
        <f>'Emi_I+C'!Q7</f>
        <v>3079.7371800000005</v>
      </c>
      <c r="N22" s="7">
        <f>'Emi_I+C'!R7</f>
        <v>3299.0830299999998</v>
      </c>
      <c r="O22" s="7">
        <f>'Emi_I+C'!S7</f>
        <v>3449.69616</v>
      </c>
      <c r="P22" s="7">
        <f>'Emi_I+C'!T7</f>
        <v>3827.1912000000002</v>
      </c>
      <c r="Q22" s="7">
        <f>'Emi_I+C'!U7</f>
        <v>4237.9660400000002</v>
      </c>
      <c r="R22" s="7">
        <f>'Emi_I+C'!V7</f>
        <v>4682.6964799999996</v>
      </c>
      <c r="S22" s="7">
        <f>'Emi_I+C'!W7</f>
        <v>5147.9414399999996</v>
      </c>
      <c r="T22" s="7">
        <f>'Emi_I+C'!X7</f>
        <v>5660.7091199999995</v>
      </c>
      <c r="U22" s="7">
        <f>'Emi_I+C'!Y7</f>
        <v>6213.9572399999997</v>
      </c>
      <c r="V22" s="7">
        <f>'Emi_I+C'!Z7</f>
        <v>6796.8874971428577</v>
      </c>
      <c r="W22" s="7">
        <f>'Emi_I+C'!AA7</f>
        <v>7472.693354285715</v>
      </c>
      <c r="X22" s="7">
        <f>'Emi_I+C'!AB7</f>
        <v>7973.6899314285711</v>
      </c>
      <c r="Y22" s="7">
        <f>'Emi_I+C'!AC7</f>
        <v>8512.8365085714304</v>
      </c>
      <c r="Z22" s="7">
        <f>'Emi_I+C'!AD7</f>
        <v>9079.5479657142878</v>
      </c>
      <c r="AA22" s="7">
        <f>'Emi_I+C'!AE7</f>
        <v>9686.667342857143</v>
      </c>
      <c r="AB22" s="183">
        <f>'Emi_I+C'!AF7</f>
        <v>10335.305119999999</v>
      </c>
    </row>
    <row r="23" spans="2:28" x14ac:dyDescent="0.3">
      <c r="B23" s="188" t="s">
        <v>62</v>
      </c>
      <c r="C23" s="7">
        <f>'Emi_I+C'!G8</f>
        <v>806.15385000000003</v>
      </c>
      <c r="D23" s="7">
        <f>'Emi_I+C'!H8</f>
        <v>843.58052000000021</v>
      </c>
      <c r="E23" s="7">
        <f>'Emi_I+C'!I8</f>
        <v>881.17351999999994</v>
      </c>
      <c r="F23" s="7">
        <f>'Emi_I+C'!J8</f>
        <v>1020.9232</v>
      </c>
      <c r="G23" s="7">
        <f>'Emi_I+C'!K8</f>
        <v>1160.85841</v>
      </c>
      <c r="H23" s="7">
        <f>'Emi_I+C'!L8</f>
        <v>926.80170000000021</v>
      </c>
      <c r="I23" s="7">
        <f>'Emi_I+C'!M8</f>
        <v>692.75695999999994</v>
      </c>
      <c r="J23" s="7">
        <f>'Emi_I+C'!N8</f>
        <v>596.70115999999996</v>
      </c>
      <c r="K23" s="7">
        <f>'Emi_I+C'!O8</f>
        <v>500.67753999999996</v>
      </c>
      <c r="L23" s="7">
        <f>'Emi_I+C'!P8</f>
        <v>520.12112000000002</v>
      </c>
      <c r="M23" s="7">
        <f>'Emi_I+C'!Q8</f>
        <v>539.55027999999993</v>
      </c>
      <c r="N23" s="7">
        <f>'Emi_I+C'!R8</f>
        <v>468.01265000000001</v>
      </c>
      <c r="O23" s="7">
        <f>'Emi_I+C'!S8</f>
        <v>482.72155999999995</v>
      </c>
      <c r="P23" s="7">
        <f>'Emi_I+C'!T8</f>
        <v>535.48039999999992</v>
      </c>
      <c r="Q23" s="7">
        <f>'Emi_I+C'!U8</f>
        <v>593.01983999999993</v>
      </c>
      <c r="R23" s="7">
        <f>'Emi_I+C'!V8</f>
        <v>655.18376000000001</v>
      </c>
      <c r="S23" s="7">
        <f>'Emi_I+C'!W8</f>
        <v>722.37759999999992</v>
      </c>
      <c r="T23" s="7">
        <f>'Emi_I+C'!X8</f>
        <v>796.28136000000006</v>
      </c>
      <c r="U23" s="7">
        <f>'Emi_I+C'!Y8</f>
        <v>875.75124000000005</v>
      </c>
      <c r="V23" s="7">
        <f>'Emi_I+C'!Z8</f>
        <v>961.23551999999995</v>
      </c>
      <c r="W23" s="7">
        <f>'Emi_I+C'!AA8</f>
        <v>1054.6426799999999</v>
      </c>
      <c r="X23" s="7">
        <f>'Emi_I+C'!AB8</f>
        <v>1127.4244800000001</v>
      </c>
      <c r="Y23" s="7">
        <f>'Emi_I+C'!AC8</f>
        <v>1205.93508</v>
      </c>
      <c r="Z23" s="7">
        <f>'Emi_I+C'!AD8</f>
        <v>1288.08456</v>
      </c>
      <c r="AA23" s="7">
        <f>'Emi_I+C'!AE8</f>
        <v>1375.8905999999999</v>
      </c>
      <c r="AB23" s="183">
        <f>'Emi_I+C'!AF8</f>
        <v>1469.5413599999997</v>
      </c>
    </row>
    <row r="24" spans="2:28" x14ac:dyDescent="0.3">
      <c r="B24" s="188" t="s">
        <v>63</v>
      </c>
      <c r="C24" s="7">
        <f>'Emi_I+C'!G9</f>
        <v>1.05325</v>
      </c>
      <c r="D24" s="7">
        <f>'Emi_I+C'!H9</f>
        <v>1.2256</v>
      </c>
      <c r="E24" s="7">
        <f>'Emi_I+C'!I9</f>
        <v>1.39795</v>
      </c>
      <c r="F24" s="7">
        <f>'Emi_I+C'!J9</f>
        <v>4.2513000000000005</v>
      </c>
      <c r="G24" s="7">
        <f>'Emi_I+C'!K9</f>
        <v>7.1237999999999992</v>
      </c>
      <c r="H24" s="7">
        <f>'Emi_I+C'!L9</f>
        <v>6.1663000000000006</v>
      </c>
      <c r="I24" s="7">
        <f>'Emi_I+C'!M9</f>
        <v>5.2087999999999992</v>
      </c>
      <c r="J24" s="7">
        <f>'Emi_I+C'!N9</f>
        <v>5.8407499999999999</v>
      </c>
      <c r="K24" s="7">
        <f>'Emi_I+C'!O9</f>
        <v>6.4726999999999997</v>
      </c>
      <c r="L24" s="7">
        <f>'Emi_I+C'!P9</f>
        <v>6.7599499999999999</v>
      </c>
      <c r="M24" s="7">
        <f>'Emi_I+C'!Q9</f>
        <v>7.0472000000000001</v>
      </c>
      <c r="N24" s="7">
        <f>'Emi_I+C'!R9</f>
        <v>7.3727499999999999</v>
      </c>
      <c r="O24" s="7">
        <f>'Emi_I+C'!S9</f>
        <v>6.4535500000000008</v>
      </c>
      <c r="P24" s="7">
        <f>'Emi_I+C'!T9</f>
        <v>6.8174000000000001</v>
      </c>
      <c r="Q24" s="7">
        <f>'Emi_I+C'!U9</f>
        <v>7.2004000000000001</v>
      </c>
      <c r="R24" s="7">
        <f>'Emi_I+C'!V9</f>
        <v>7.5834000000000001</v>
      </c>
      <c r="S24" s="7">
        <f>'Emi_I+C'!W9</f>
        <v>8.4260000000000002</v>
      </c>
      <c r="T24" s="7">
        <f>'Emi_I+C'!X9</f>
        <v>9.2494500000000013</v>
      </c>
      <c r="U24" s="7">
        <f>'Emi_I+C'!Y9</f>
        <v>10.09205</v>
      </c>
      <c r="V24" s="7">
        <f>'Emi_I+C'!Z9</f>
        <v>10.934650000000001</v>
      </c>
      <c r="W24" s="7">
        <f>'Emi_I+C'!AA9</f>
        <v>11.7964</v>
      </c>
      <c r="X24" s="7">
        <f>'Emi_I+C'!AB9</f>
        <v>12.42835</v>
      </c>
      <c r="Y24" s="7">
        <f>'Emi_I+C'!AC9</f>
        <v>13.04115</v>
      </c>
      <c r="Z24" s="7">
        <f>'Emi_I+C'!AD9</f>
        <v>13.6731</v>
      </c>
      <c r="AA24" s="7">
        <f>'Emi_I+C'!AE9</f>
        <v>14.2859</v>
      </c>
      <c r="AB24" s="183">
        <f>'Emi_I+C'!AF9</f>
        <v>14.91785</v>
      </c>
    </row>
    <row r="25" spans="2:28" x14ac:dyDescent="0.3">
      <c r="B25" s="188" t="s">
        <v>64</v>
      </c>
      <c r="C25" s="7">
        <f>'Emi_I+C'!G10</f>
        <v>13.366080000000002</v>
      </c>
      <c r="D25" s="7">
        <f>'Emi_I+C'!H10</f>
        <v>13.876820000000002</v>
      </c>
      <c r="E25" s="7">
        <f>'Emi_I+C'!I10</f>
        <v>14.481999999999999</v>
      </c>
      <c r="F25" s="7">
        <f>'Emi_I+C'!J10</f>
        <v>14.797080000000003</v>
      </c>
      <c r="G25" s="7">
        <f>'Emi_I+C'!K10</f>
        <v>15.23014</v>
      </c>
      <c r="H25" s="7">
        <f>'Emi_I+C'!L10</f>
        <v>15.126720000000001</v>
      </c>
      <c r="I25" s="7">
        <f>'Emi_I+C'!M10</f>
        <v>15.1592</v>
      </c>
      <c r="J25" s="7">
        <f>'Emi_I+C'!N10</f>
        <v>15.327300000000001</v>
      </c>
      <c r="K25" s="7">
        <f>'Emi_I+C'!O10</f>
        <v>15.490639999999999</v>
      </c>
      <c r="L25" s="7">
        <f>'Emi_I+C'!P10</f>
        <v>18.624340000000004</v>
      </c>
      <c r="M25" s="7">
        <f>'Emi_I+C'!Q10</f>
        <v>21.836020000000001</v>
      </c>
      <c r="N25" s="7">
        <f>'Emi_I+C'!R10</f>
        <v>13.299650000000002</v>
      </c>
      <c r="O25" s="7">
        <f>'Emi_I+C'!S10</f>
        <v>17.26474</v>
      </c>
      <c r="P25" s="7">
        <f>'Emi_I+C'!T10</f>
        <v>18.036000000000001</v>
      </c>
      <c r="Q25" s="7">
        <f>'Emi_I+C'!U10</f>
        <v>18.879919999999998</v>
      </c>
      <c r="R25" s="7">
        <f>'Emi_I+C'!V10</f>
        <v>19.831979999999998</v>
      </c>
      <c r="S25" s="7">
        <f>'Emi_I+C'!W10</f>
        <v>20.645040000000002</v>
      </c>
      <c r="T25" s="7">
        <f>'Emi_I+C'!X10</f>
        <v>21.564699999999998</v>
      </c>
      <c r="U25" s="7">
        <f>'Emi_I+C'!Y10</f>
        <v>22.347899999999996</v>
      </c>
      <c r="V25" s="7">
        <f>'Emi_I+C'!Z10</f>
        <v>23.2362</v>
      </c>
      <c r="W25" s="7">
        <f>'Emi_I+C'!AA10</f>
        <v>24.106680000000001</v>
      </c>
      <c r="X25" s="7">
        <f>'Emi_I+C'!AB10</f>
        <v>24.375519999999998</v>
      </c>
      <c r="Y25" s="7">
        <f>'Emi_I+C'!AC10</f>
        <v>24.638639999999995</v>
      </c>
      <c r="Z25" s="7">
        <f>'Emi_I+C'!AD10</f>
        <v>24.896160000000005</v>
      </c>
      <c r="AA25" s="7">
        <f>'Emi_I+C'!AE10</f>
        <v>25.148199999999999</v>
      </c>
      <c r="AB25" s="183">
        <f>'Emi_I+C'!AF10</f>
        <v>25.392639999999997</v>
      </c>
    </row>
    <row r="26" spans="2:28" x14ac:dyDescent="0.3">
      <c r="B26" s="188" t="s">
        <v>65</v>
      </c>
      <c r="C26" s="7">
        <f>'Emi_I+C'!G11+'Emi_I+C'!G12</f>
        <v>405.33434</v>
      </c>
      <c r="D26" s="7">
        <f>'Emi_I+C'!H11+'Emi_I+C'!H12</f>
        <v>439.78666000000004</v>
      </c>
      <c r="E26" s="7">
        <f>'Emi_I+C'!I11+'Emi_I+C'!I12</f>
        <v>474.55597999999998</v>
      </c>
      <c r="F26" s="7">
        <f>'Emi_I+C'!J11+'Emi_I+C'!J12</f>
        <v>480.97206000000006</v>
      </c>
      <c r="G26" s="7">
        <f>'Emi_I+C'!K11+'Emi_I+C'!K12</f>
        <v>487.41840000000002</v>
      </c>
      <c r="H26" s="7">
        <f>'Emi_I+C'!L11+'Emi_I+C'!L12</f>
        <v>490.00818000000004</v>
      </c>
      <c r="I26" s="7">
        <f>'Emi_I+C'!M11+'Emi_I+C'!M12</f>
        <v>492.59226000000001</v>
      </c>
      <c r="J26" s="7">
        <f>'Emi_I+C'!N11+'Emi_I+C'!N12</f>
        <v>499.28854000000001</v>
      </c>
      <c r="K26" s="7">
        <f>'Emi_I+C'!O11+'Emi_I+C'!O12</f>
        <v>505.82700999999997</v>
      </c>
      <c r="L26" s="7">
        <f>'Emi_I+C'!P11+'Emi_I+C'!P12</f>
        <v>508.53536000000003</v>
      </c>
      <c r="M26" s="7">
        <f>'Emi_I+C'!Q11+'Emi_I+C'!Q12</f>
        <v>511.45271000000002</v>
      </c>
      <c r="N26" s="7">
        <f>'Emi_I+C'!R11+'Emi_I+C'!R12</f>
        <v>518.68946000000005</v>
      </c>
      <c r="O26" s="7">
        <f>'Emi_I+C'!S11+'Emi_I+C'!S12</f>
        <v>505.72967</v>
      </c>
      <c r="P26" s="7">
        <f>'Emi_I+C'!T11+'Emi_I+C'!T12</f>
        <v>553.11494000000005</v>
      </c>
      <c r="Q26" s="7">
        <f>'Emi_I+C'!U11+'Emi_I+C'!U12</f>
        <v>601.08337000000006</v>
      </c>
      <c r="R26" s="7">
        <f>'Emi_I+C'!V11+'Emi_I+C'!V12</f>
        <v>605.49054000000001</v>
      </c>
      <c r="S26" s="7">
        <f>'Emi_I+C'!W11+'Emi_I+C'!W12</f>
        <v>632.64220999999998</v>
      </c>
      <c r="T26" s="7">
        <f>'Emi_I+C'!X11+'Emi_I+C'!X12</f>
        <v>742.27453333333335</v>
      </c>
      <c r="U26" s="7">
        <f>'Emi_I+C'!Y11+'Emi_I+C'!Y12</f>
        <v>789.13711666666666</v>
      </c>
      <c r="V26" s="7">
        <f>'Emi_I+C'!Z11+'Emi_I+C'!Z12</f>
        <v>837.11544000000004</v>
      </c>
      <c r="W26" s="7">
        <f>'Emi_I+C'!AA11+'Emi_I+C'!AA12</f>
        <v>886.54106333333334</v>
      </c>
      <c r="X26" s="7">
        <f>'Emi_I+C'!AB11+'Emi_I+C'!AB12</f>
        <v>938.57079666666652</v>
      </c>
      <c r="Y26" s="7">
        <f>'Emi_I+C'!AC11+'Emi_I+C'!AC12</f>
        <v>993.11304999999993</v>
      </c>
      <c r="Z26" s="7">
        <f>'Emi_I+C'!AD11+'Emi_I+C'!AD12</f>
        <v>1049.1740633333334</v>
      </c>
      <c r="AA26" s="7">
        <f>'Emi_I+C'!AE11+'Emi_I+C'!AE12</f>
        <v>1078.0391766666669</v>
      </c>
      <c r="AB26" s="183">
        <f>'Emi_I+C'!AF11+'Emi_I+C'!AF12</f>
        <v>1108.3494000000001</v>
      </c>
    </row>
    <row r="27" spans="2:28" ht="15" thickBot="1" x14ac:dyDescent="0.35">
      <c r="B27" s="133" t="s">
        <v>66</v>
      </c>
      <c r="C27" s="127">
        <f>'Emi_I+C'!G13</f>
        <v>153.57999999999998</v>
      </c>
      <c r="D27" s="127">
        <f>'Emi_I+C'!H13</f>
        <v>297.91999999999996</v>
      </c>
      <c r="E27" s="127">
        <f>'Emi_I+C'!I13</f>
        <v>442.26</v>
      </c>
      <c r="F27" s="127">
        <f>'Emi_I+C'!J13</f>
        <v>313.59999999999997</v>
      </c>
      <c r="G27" s="127">
        <f>'Emi_I+C'!K13</f>
        <v>185.01</v>
      </c>
      <c r="H27" s="127">
        <f>'Emi_I+C'!L13</f>
        <v>382.34000000000003</v>
      </c>
      <c r="I27" s="127">
        <f>'Emi_I+C'!M13</f>
        <v>579.66999999999996</v>
      </c>
      <c r="J27" s="127">
        <f>'Emi_I+C'!N13</f>
        <v>605.01</v>
      </c>
      <c r="K27" s="127">
        <f>'Emi_I+C'!O13</f>
        <v>630.41999999999996</v>
      </c>
      <c r="L27" s="127">
        <f>'Emi_I+C'!P13</f>
        <v>602.28000000000009</v>
      </c>
      <c r="M27" s="127">
        <f>'Emi_I+C'!Q13</f>
        <v>574.21</v>
      </c>
      <c r="N27" s="127">
        <f>'Emi_I+C'!R13</f>
        <v>490.49</v>
      </c>
      <c r="O27" s="127">
        <f>'Emi_I+C'!S13</f>
        <v>595.28000000000009</v>
      </c>
      <c r="P27" s="127">
        <f>'Emi_I+C'!T13</f>
        <v>641.96999999999991</v>
      </c>
      <c r="Q27" s="127">
        <f>'Emi_I+C'!U13</f>
        <v>690.06000000000006</v>
      </c>
      <c r="R27" s="127">
        <f>'Emi_I+C'!V13</f>
        <v>687.39999999999986</v>
      </c>
      <c r="S27" s="127">
        <f>'Emi_I+C'!W13</f>
        <v>713.27</v>
      </c>
      <c r="T27" s="127">
        <f>'Emi_I+C'!X13</f>
        <v>836.57999999999993</v>
      </c>
      <c r="U27" s="127">
        <f>'Emi_I+C'!Y13</f>
        <v>887.86</v>
      </c>
      <c r="V27" s="127">
        <f>'Emi_I+C'!Z13</f>
        <v>939.06999999999994</v>
      </c>
      <c r="W27" s="127">
        <f>'Emi_I+C'!AA13</f>
        <v>990.34999999999991</v>
      </c>
      <c r="X27" s="127">
        <f>'Emi_I+C'!AB13</f>
        <v>1042.9599999999998</v>
      </c>
      <c r="Y27" s="127">
        <f>'Emi_I+C'!AC13</f>
        <v>1096.8999999999999</v>
      </c>
      <c r="Z27" s="127">
        <f>'Emi_I+C'!AD13</f>
        <v>1150.77</v>
      </c>
      <c r="AA27" s="127">
        <f>'Emi_I+C'!AE13</f>
        <v>1206.0399999999997</v>
      </c>
      <c r="AB27" s="135">
        <f>'Emi_I+C'!AF13</f>
        <v>1261.31</v>
      </c>
    </row>
    <row r="30" spans="2:28" x14ac:dyDescent="0.3">
      <c r="B30" s="1" t="s">
        <v>69</v>
      </c>
    </row>
    <row r="31" spans="2:28" ht="15" thickBot="1" x14ac:dyDescent="0.35"/>
    <row r="32" spans="2:28" ht="15" thickBot="1" x14ac:dyDescent="0.35">
      <c r="B32" s="184" t="s">
        <v>67</v>
      </c>
      <c r="C32" s="185">
        <f>C14-C7</f>
        <v>0</v>
      </c>
      <c r="D32" s="185">
        <f t="shared" ref="D32:AB32" si="3">D14-D7</f>
        <v>0</v>
      </c>
      <c r="E32" s="185">
        <f t="shared" si="3"/>
        <v>0</v>
      </c>
      <c r="F32" s="185">
        <f t="shared" si="3"/>
        <v>0</v>
      </c>
      <c r="G32" s="185">
        <f t="shared" si="3"/>
        <v>0</v>
      </c>
      <c r="H32" s="185">
        <f t="shared" si="3"/>
        <v>0</v>
      </c>
      <c r="I32" s="185">
        <f t="shared" si="3"/>
        <v>0</v>
      </c>
      <c r="J32" s="185">
        <f t="shared" si="3"/>
        <v>0</v>
      </c>
      <c r="K32" s="185">
        <f t="shared" si="3"/>
        <v>0</v>
      </c>
      <c r="L32" s="185">
        <f t="shared" si="3"/>
        <v>0</v>
      </c>
      <c r="M32" s="185">
        <f t="shared" si="3"/>
        <v>0</v>
      </c>
      <c r="N32" s="185">
        <f t="shared" si="3"/>
        <v>-6</v>
      </c>
      <c r="O32" s="185">
        <f t="shared" si="3"/>
        <v>-12</v>
      </c>
      <c r="P32" s="185">
        <f t="shared" si="3"/>
        <v>-18</v>
      </c>
      <c r="Q32" s="185">
        <f t="shared" si="3"/>
        <v>-24</v>
      </c>
      <c r="R32" s="201">
        <f t="shared" si="3"/>
        <v>-30</v>
      </c>
      <c r="S32" s="185">
        <f t="shared" si="3"/>
        <v>-12.889349999998558</v>
      </c>
      <c r="T32" s="185">
        <f t="shared" si="3"/>
        <v>-31.445366666666814</v>
      </c>
      <c r="U32" s="185">
        <f t="shared" si="3"/>
        <v>-50.001383333332342</v>
      </c>
      <c r="V32" s="185">
        <f t="shared" si="3"/>
        <v>-68.557399999999689</v>
      </c>
      <c r="W32" s="185">
        <f t="shared" si="3"/>
        <v>-49.613416666667035</v>
      </c>
      <c r="X32" s="185">
        <f t="shared" si="3"/>
        <v>-60.669433333334382</v>
      </c>
      <c r="Y32" s="185">
        <f t="shared" si="3"/>
        <v>-71.725450000001729</v>
      </c>
      <c r="Z32" s="185">
        <f t="shared" si="3"/>
        <v>-82.781466666665438</v>
      </c>
      <c r="AA32" s="185">
        <f t="shared" si="3"/>
        <v>-93.837483333334603</v>
      </c>
      <c r="AB32" s="203">
        <f t="shared" si="3"/>
        <v>-106.99559999999838</v>
      </c>
    </row>
    <row r="33" spans="2:28" ht="15" thickBot="1" x14ac:dyDescent="0.35">
      <c r="B33" s="184" t="s">
        <v>68</v>
      </c>
      <c r="C33" s="185">
        <f>C21-C7</f>
        <v>0</v>
      </c>
      <c r="D33" s="185">
        <f t="shared" ref="D33:AB33" si="4">D21-D7</f>
        <v>0</v>
      </c>
      <c r="E33" s="185">
        <f t="shared" si="4"/>
        <v>0</v>
      </c>
      <c r="F33" s="185">
        <f t="shared" si="4"/>
        <v>0</v>
      </c>
      <c r="G33" s="185">
        <f t="shared" si="4"/>
        <v>0</v>
      </c>
      <c r="H33" s="185">
        <f t="shared" si="4"/>
        <v>0</v>
      </c>
      <c r="I33" s="185">
        <f t="shared" si="4"/>
        <v>0</v>
      </c>
      <c r="J33" s="185">
        <f t="shared" si="4"/>
        <v>0</v>
      </c>
      <c r="K33" s="185">
        <f t="shared" si="4"/>
        <v>0</v>
      </c>
      <c r="L33" s="185">
        <f t="shared" si="4"/>
        <v>0</v>
      </c>
      <c r="M33" s="185">
        <f t="shared" si="4"/>
        <v>0</v>
      </c>
      <c r="N33" s="185">
        <f t="shared" si="4"/>
        <v>-6</v>
      </c>
      <c r="O33" s="185">
        <f t="shared" si="4"/>
        <v>-12</v>
      </c>
      <c r="P33" s="185">
        <f t="shared" si="4"/>
        <v>-18</v>
      </c>
      <c r="Q33" s="185">
        <f t="shared" si="4"/>
        <v>-24</v>
      </c>
      <c r="R33" s="201">
        <f>R21-R7</f>
        <v>-30</v>
      </c>
      <c r="S33" s="185">
        <f t="shared" si="4"/>
        <v>-19.296830000000227</v>
      </c>
      <c r="T33" s="185">
        <f t="shared" si="4"/>
        <v>-44.146366666666836</v>
      </c>
      <c r="U33" s="185">
        <f t="shared" si="4"/>
        <v>-69.047253333332264</v>
      </c>
      <c r="V33" s="185">
        <f t="shared" si="4"/>
        <v>-106.8200128571425</v>
      </c>
      <c r="W33" s="185">
        <f t="shared" si="4"/>
        <v>-107.13141238095159</v>
      </c>
      <c r="X33" s="185">
        <f t="shared" si="4"/>
        <v>-137.28825190476164</v>
      </c>
      <c r="Y33" s="185">
        <f t="shared" si="4"/>
        <v>-167.67273142857266</v>
      </c>
      <c r="Z33" s="185">
        <f t="shared" si="4"/>
        <v>-197.88753095237735</v>
      </c>
      <c r="AA33" s="185">
        <f t="shared" si="4"/>
        <v>-258.15004047619004</v>
      </c>
      <c r="AB33" s="203">
        <f t="shared" si="4"/>
        <v>-318.42363999999725</v>
      </c>
    </row>
    <row r="36" spans="2:28" x14ac:dyDescent="0.3">
      <c r="B36" s="1" t="s">
        <v>70</v>
      </c>
    </row>
    <row r="37" spans="2:28" ht="15" thickBot="1" x14ac:dyDescent="0.35"/>
    <row r="38" spans="2:28" ht="15" thickBot="1" x14ac:dyDescent="0.35">
      <c r="B38" s="184" t="s">
        <v>67</v>
      </c>
      <c r="C38" s="186">
        <f>(C14-C7)/C7</f>
        <v>0</v>
      </c>
      <c r="D38" s="186">
        <f t="shared" ref="D38:AB38" si="5">(D14-D7)/D7</f>
        <v>0</v>
      </c>
      <c r="E38" s="186">
        <f t="shared" si="5"/>
        <v>0</v>
      </c>
      <c r="F38" s="186">
        <f t="shared" si="5"/>
        <v>0</v>
      </c>
      <c r="G38" s="186">
        <f t="shared" si="5"/>
        <v>0</v>
      </c>
      <c r="H38" s="186">
        <f t="shared" si="5"/>
        <v>0</v>
      </c>
      <c r="I38" s="186">
        <f t="shared" si="5"/>
        <v>0</v>
      </c>
      <c r="J38" s="186">
        <f t="shared" si="5"/>
        <v>0</v>
      </c>
      <c r="K38" s="186">
        <f t="shared" si="5"/>
        <v>0</v>
      </c>
      <c r="L38" s="186">
        <f t="shared" si="5"/>
        <v>0</v>
      </c>
      <c r="M38" s="186">
        <f t="shared" si="5"/>
        <v>0</v>
      </c>
      <c r="N38" s="186">
        <f t="shared" si="5"/>
        <v>-1.2492328825228021E-3</v>
      </c>
      <c r="O38" s="186">
        <f t="shared" si="5"/>
        <v>-2.3672628007802691E-3</v>
      </c>
      <c r="P38" s="186">
        <f t="shared" si="5"/>
        <v>-3.213935659300708E-3</v>
      </c>
      <c r="Q38" s="186">
        <f t="shared" si="5"/>
        <v>-3.8883968095723615E-3</v>
      </c>
      <c r="R38" s="186">
        <f t="shared" si="5"/>
        <v>-4.4855210788570521E-3</v>
      </c>
      <c r="S38" s="186">
        <f t="shared" si="5"/>
        <v>-1.7742685848298478E-3</v>
      </c>
      <c r="T38" s="186">
        <f t="shared" si="5"/>
        <v>-3.8769720899308525E-3</v>
      </c>
      <c r="U38" s="186">
        <f t="shared" si="5"/>
        <v>-5.6382832963816874E-3</v>
      </c>
      <c r="V38" s="186">
        <f t="shared" si="5"/>
        <v>-7.0858169584772793E-3</v>
      </c>
      <c r="W38" s="186">
        <f t="shared" si="5"/>
        <v>-4.7039144941380968E-3</v>
      </c>
      <c r="X38" s="186">
        <f t="shared" si="5"/>
        <v>-5.3896108219249348E-3</v>
      </c>
      <c r="Y38" s="186">
        <f t="shared" si="5"/>
        <v>-5.9700874931580793E-3</v>
      </c>
      <c r="Z38" s="186">
        <f t="shared" si="5"/>
        <v>-6.4652648278760924E-3</v>
      </c>
      <c r="AA38" s="186">
        <f t="shared" si="5"/>
        <v>-6.8774524793461609E-3</v>
      </c>
      <c r="AB38" s="187">
        <f t="shared" si="5"/>
        <v>-7.3621298434744841E-3</v>
      </c>
    </row>
    <row r="39" spans="2:28" ht="15" thickBot="1" x14ac:dyDescent="0.35">
      <c r="B39" s="184" t="s">
        <v>68</v>
      </c>
      <c r="C39" s="186">
        <f>(C21-C7)/C7</f>
        <v>0</v>
      </c>
      <c r="D39" s="186">
        <f t="shared" ref="D39:AB39" si="6">(D21-D7)/D7</f>
        <v>0</v>
      </c>
      <c r="E39" s="186">
        <f t="shared" si="6"/>
        <v>0</v>
      </c>
      <c r="F39" s="186">
        <f t="shared" si="6"/>
        <v>0</v>
      </c>
      <c r="G39" s="186">
        <f t="shared" si="6"/>
        <v>0</v>
      </c>
      <c r="H39" s="186">
        <f t="shared" si="6"/>
        <v>0</v>
      </c>
      <c r="I39" s="186">
        <f t="shared" si="6"/>
        <v>0</v>
      </c>
      <c r="J39" s="186">
        <f t="shared" si="6"/>
        <v>0</v>
      </c>
      <c r="K39" s="186">
        <f t="shared" si="6"/>
        <v>0</v>
      </c>
      <c r="L39" s="186">
        <f t="shared" si="6"/>
        <v>0</v>
      </c>
      <c r="M39" s="186">
        <f t="shared" si="6"/>
        <v>0</v>
      </c>
      <c r="N39" s="186">
        <f t="shared" si="6"/>
        <v>-1.2492328825228021E-3</v>
      </c>
      <c r="O39" s="186">
        <f t="shared" si="6"/>
        <v>-2.3672628007802691E-3</v>
      </c>
      <c r="P39" s="186">
        <f t="shared" si="6"/>
        <v>-3.213935659300708E-3</v>
      </c>
      <c r="Q39" s="186">
        <f t="shared" si="6"/>
        <v>-3.8883968095723615E-3</v>
      </c>
      <c r="R39" s="186">
        <f t="shared" si="6"/>
        <v>-4.4855210788570521E-3</v>
      </c>
      <c r="S39" s="186">
        <f t="shared" si="6"/>
        <v>-2.6562828424867343E-3</v>
      </c>
      <c r="T39" s="186">
        <f t="shared" si="6"/>
        <v>-5.4429077979221184E-3</v>
      </c>
      <c r="U39" s="186">
        <f t="shared" si="6"/>
        <v>-7.7859440914875323E-3</v>
      </c>
      <c r="V39" s="186">
        <f t="shared" si="6"/>
        <v>-1.1040486637589886E-2</v>
      </c>
      <c r="W39" s="186">
        <f t="shared" si="6"/>
        <v>-1.0157272716410513E-2</v>
      </c>
      <c r="X39" s="186">
        <f t="shared" si="6"/>
        <v>-1.2196096247078519E-2</v>
      </c>
      <c r="Y39" s="186">
        <f t="shared" si="6"/>
        <v>-1.3956285765308564E-2</v>
      </c>
      <c r="Z39" s="186">
        <f t="shared" si="6"/>
        <v>-1.5455093335001707E-2</v>
      </c>
      <c r="AA39" s="186">
        <f t="shared" si="6"/>
        <v>-1.8920100719342192E-2</v>
      </c>
      <c r="AB39" s="187">
        <f t="shared" si="6"/>
        <v>-2.1910024177739934E-2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8B84D-98E0-48F1-8F4C-6BED28524FE6}">
  <sheetPr>
    <tabColor theme="0" tint="-0.249977111117893"/>
  </sheetPr>
  <dimension ref="C6:AC34"/>
  <sheetViews>
    <sheetView workbookViewId="0">
      <selection activeCell="C11" sqref="C11"/>
    </sheetView>
  </sheetViews>
  <sheetFormatPr defaultRowHeight="14.4" x14ac:dyDescent="0.3"/>
  <cols>
    <col min="3" max="3" width="96.5546875" bestFit="1" customWidth="1"/>
    <col min="4" max="25" width="9.5546875" bestFit="1" customWidth="1"/>
    <col min="26" max="29" width="10.5546875" bestFit="1" customWidth="1"/>
  </cols>
  <sheetData>
    <row r="6" spans="3:29" x14ac:dyDescent="0.3">
      <c r="C6" s="1" t="s">
        <v>71</v>
      </c>
    </row>
    <row r="7" spans="3:29" x14ac:dyDescent="0.3">
      <c r="D7" s="190">
        <v>2010</v>
      </c>
      <c r="E7" s="190">
        <v>2011</v>
      </c>
      <c r="F7" s="190">
        <v>2012</v>
      </c>
      <c r="G7" s="190">
        <v>2013</v>
      </c>
      <c r="H7" s="190">
        <v>2014</v>
      </c>
      <c r="I7" s="190">
        <v>2015</v>
      </c>
      <c r="J7" s="190">
        <v>2016</v>
      </c>
      <c r="K7" s="190">
        <v>2017</v>
      </c>
      <c r="L7" s="190">
        <v>2018</v>
      </c>
      <c r="M7" s="190">
        <v>2019</v>
      </c>
      <c r="N7" s="190">
        <v>2020</v>
      </c>
      <c r="O7" s="190">
        <v>2021</v>
      </c>
      <c r="P7" s="190">
        <v>2022</v>
      </c>
      <c r="Q7" s="190">
        <v>2023</v>
      </c>
      <c r="R7" s="190">
        <v>2024</v>
      </c>
      <c r="S7" s="190">
        <v>2025</v>
      </c>
      <c r="T7" s="190">
        <v>2026</v>
      </c>
      <c r="U7" s="190">
        <v>2027</v>
      </c>
      <c r="V7" s="190">
        <v>2028</v>
      </c>
      <c r="W7" s="190">
        <v>2029</v>
      </c>
      <c r="X7" s="190">
        <v>2030</v>
      </c>
      <c r="Y7" s="190">
        <v>2031</v>
      </c>
      <c r="Z7" s="190">
        <v>2032</v>
      </c>
      <c r="AA7" s="190">
        <v>2033</v>
      </c>
      <c r="AB7" s="190">
        <v>2034</v>
      </c>
      <c r="AC7" s="190">
        <v>2035</v>
      </c>
    </row>
    <row r="8" spans="3:29" x14ac:dyDescent="0.3">
      <c r="C8" s="191" t="s">
        <v>60</v>
      </c>
      <c r="D8" s="193">
        <f>SUM(D9:D11)</f>
        <v>2275.5036300000002</v>
      </c>
      <c r="E8" s="193">
        <f t="shared" ref="E8:AC8" si="0">SUM(E9:E11)</f>
        <v>2626.84087</v>
      </c>
      <c r="F8" s="193">
        <f t="shared" si="0"/>
        <v>2985.2393900000002</v>
      </c>
      <c r="G8" s="193">
        <f t="shared" si="0"/>
        <v>3066.07978</v>
      </c>
      <c r="H8" s="193">
        <f t="shared" si="0"/>
        <v>3147.0402800000002</v>
      </c>
      <c r="I8" s="193">
        <f t="shared" si="0"/>
        <v>3544.35403</v>
      </c>
      <c r="J8" s="193">
        <f t="shared" si="0"/>
        <v>3941.8451800000003</v>
      </c>
      <c r="K8" s="193">
        <f t="shared" si="0"/>
        <v>4155.2830499999991</v>
      </c>
      <c r="L8" s="193">
        <f t="shared" si="0"/>
        <v>4375.6409700000004</v>
      </c>
      <c r="M8" s="193">
        <f t="shared" si="0"/>
        <v>4557.6246899999987</v>
      </c>
      <c r="N8" s="193">
        <f t="shared" si="0"/>
        <v>4731.7827699999998</v>
      </c>
      <c r="O8" s="193">
        <f t="shared" si="0"/>
        <v>4800.8951300000008</v>
      </c>
      <c r="P8" s="193">
        <f t="shared" si="0"/>
        <v>5069.3336400000007</v>
      </c>
      <c r="Q8" s="193">
        <f t="shared" si="0"/>
        <v>5600.6165959434256</v>
      </c>
      <c r="R8" s="193">
        <f t="shared" si="0"/>
        <v>6172.2077096967632</v>
      </c>
      <c r="S8" s="193">
        <f t="shared" si="0"/>
        <v>6688.2060866217598</v>
      </c>
      <c r="T8" s="193">
        <f t="shared" si="0"/>
        <v>7264.5837190523389</v>
      </c>
      <c r="U8" s="193">
        <f t="shared" si="0"/>
        <v>8110.7879260296904</v>
      </c>
      <c r="V8" s="193">
        <f t="shared" si="0"/>
        <v>8868.1650997107408</v>
      </c>
      <c r="W8" s="193">
        <f t="shared" si="0"/>
        <v>9675.3148760495296</v>
      </c>
      <c r="X8" s="193">
        <f t="shared" si="0"/>
        <v>10547.256720708432</v>
      </c>
      <c r="Y8" s="193">
        <f t="shared" si="0"/>
        <v>11256.709249457901</v>
      </c>
      <c r="Z8" s="193">
        <f t="shared" si="0"/>
        <v>12014.158547491985</v>
      </c>
      <c r="AA8" s="193">
        <f t="shared" si="0"/>
        <v>12804.041620684757</v>
      </c>
      <c r="AB8" s="193">
        <f t="shared" si="0"/>
        <v>13644.227437879086</v>
      </c>
      <c r="AC8" s="193">
        <f t="shared" si="0"/>
        <v>14533.261615335156</v>
      </c>
    </row>
    <row r="9" spans="3:29" x14ac:dyDescent="0.3">
      <c r="C9" s="3" t="s">
        <v>72</v>
      </c>
      <c r="D9" s="193">
        <f>SUM(Emi_T_ajustado!G23:G29)*1</f>
        <v>13.18135</v>
      </c>
      <c r="E9" s="193">
        <f>SUM(Emi_T_ajustado!H23:H29)*1</f>
        <v>13.680880000000002</v>
      </c>
      <c r="F9" s="193">
        <f>SUM(Emi_T_ajustado!I23:I29)*1</f>
        <v>14.27192</v>
      </c>
      <c r="G9" s="193">
        <f>SUM(Emi_T_ajustado!J23:J29)*1</f>
        <v>14.578920000000002</v>
      </c>
      <c r="H9" s="193">
        <f>SUM(Emi_T_ajustado!K23:K29)*1</f>
        <v>15.000749999999998</v>
      </c>
      <c r="I9" s="193">
        <f>SUM(Emi_T_ajustado!L23:L29)*1</f>
        <v>14.90048</v>
      </c>
      <c r="J9" s="193">
        <f>SUM(Emi_T_ajustado!M23:M29)*1</f>
        <v>14.931839999999999</v>
      </c>
      <c r="K9" s="193">
        <f>SUM(Emi_T_ajustado!N23:N29)*1</f>
        <v>15.095880000000001</v>
      </c>
      <c r="L9" s="193">
        <f>SUM(Emi_T_ajustado!O23:O29)*1</f>
        <v>15.256319999999999</v>
      </c>
      <c r="M9" s="193">
        <f>SUM(Emi_T_ajustado!P23:P29)*1</f>
        <v>18.284590000000005</v>
      </c>
      <c r="N9" s="193">
        <f>SUM(Emi_T_ajustado!Q23:Q29)*1</f>
        <v>21.368959999999998</v>
      </c>
      <c r="O9" s="193">
        <f>SUM(Emi_T_ajustado!R23:R29)*1</f>
        <v>13.092170000000001</v>
      </c>
      <c r="P9" s="193">
        <f>SUM(Emi_T_ajustado!S23:S29)*1</f>
        <v>16.940049999999999</v>
      </c>
      <c r="Q9" s="193">
        <f>SUM(Emi_T_ajustado!T23:T29)*1</f>
        <v>17.654399999999999</v>
      </c>
      <c r="R9" s="193">
        <f>SUM(Emi_T_ajustado!U23:U29)*1</f>
        <v>18.477119999999999</v>
      </c>
      <c r="S9" s="193">
        <f>SUM(Emi_T_ajustado!V23:V29)*1</f>
        <v>19.405330000000003</v>
      </c>
      <c r="T9" s="193">
        <f>SUM(Emi_T_ajustado!W23:W29)*1</f>
        <v>20.197189999999999</v>
      </c>
      <c r="U9" s="193">
        <f>SUM(Emi_T_ajustado!X23:X29)*1</f>
        <v>21.093</v>
      </c>
      <c r="V9" s="193">
        <f>SUM(Emi_T_ajustado!Y23:Y29)*1</f>
        <v>21.855</v>
      </c>
      <c r="W9" s="193">
        <f>SUM(Emi_T_ajustado!Z23:Z29)*1</f>
        <v>22.719450000000002</v>
      </c>
      <c r="X9" s="193">
        <f>SUM(Emi_T_ajustado!AA23:AA29)*1</f>
        <v>23.566080000000003</v>
      </c>
      <c r="Y9" s="193">
        <f>SUM(Emi_T_ajustado!AB23:AB29)*1</f>
        <v>23.82432</v>
      </c>
      <c r="Z9" s="193">
        <f>SUM(Emi_T_ajustado!AC23:AC29)*1</f>
        <v>24.076839999999997</v>
      </c>
      <c r="AA9" s="193">
        <f>SUM(Emi_T_ajustado!AD23:AD29)*1</f>
        <v>24.323760000000004</v>
      </c>
      <c r="AB9" s="193">
        <f>SUM(Emi_T_ajustado!AE23:AE29)*1</f>
        <v>24.565199999999997</v>
      </c>
      <c r="AC9" s="193">
        <f>SUM(Emi_T_ajustado!AF23:AF29)*1</f>
        <v>24.799039999999998</v>
      </c>
    </row>
    <row r="10" spans="3:29" x14ac:dyDescent="0.3">
      <c r="C10" s="3" t="s">
        <v>73</v>
      </c>
      <c r="D10" s="193">
        <f>SUM(Emi_T_ajustado!G39:G45)*28</f>
        <v>2081.6028800000004</v>
      </c>
      <c r="E10" s="193">
        <f>SUM(Emi_T_ajustado!H39:H45)*28</f>
        <v>2429.4222399999999</v>
      </c>
      <c r="F10" s="193">
        <f>SUM(Emi_T_ajustado!I39:I45)*28</f>
        <v>2785.8835199999999</v>
      </c>
      <c r="G10" s="193">
        <f>SUM(Emi_T_ajustado!J39:J45)*28</f>
        <v>2861.8721599999999</v>
      </c>
      <c r="H10" s="193">
        <f>SUM(Emi_T_ajustado!K39:K45)*28</f>
        <v>2937.8554800000002</v>
      </c>
      <c r="I10" s="193">
        <f>SUM(Emi_T_ajustado!L39:L45)*28</f>
        <v>3337.5538000000001</v>
      </c>
      <c r="J10" s="193">
        <f>SUM(Emi_T_ajustado!M39:M45)*28</f>
        <v>3737.2952399999999</v>
      </c>
      <c r="K10" s="193">
        <f>SUM(Emi_T_ajustado!N39:N45)*28</f>
        <v>3949.8827199999992</v>
      </c>
      <c r="L10" s="193">
        <f>SUM(Emi_T_ajustado!O39:O45)*28</f>
        <v>4169.6031999999996</v>
      </c>
      <c r="M10" s="193">
        <f>SUM(Emi_T_ajustado!P39:P45)*28</f>
        <v>4340.1819999999989</v>
      </c>
      <c r="N10" s="193">
        <f>SUM(Emi_T_ajustado!Q39:Q45)*28</f>
        <v>4502.6511600000003</v>
      </c>
      <c r="O10" s="193">
        <f>SUM(Emi_T_ajustado!R39:R45)*28</f>
        <v>4581.4315600000009</v>
      </c>
      <c r="P10" s="193">
        <f>SUM(Emi_T_ajustado!S39:S45)*28</f>
        <v>4855.7026400000004</v>
      </c>
      <c r="Q10" s="193">
        <f>SUM(Emi_T_ajustado!T39:T45)*28</f>
        <v>5370.8190959434251</v>
      </c>
      <c r="R10" s="193">
        <f>SUM(Emi_T_ajustado!U39:U45)*28</f>
        <v>5925.9153896967637</v>
      </c>
      <c r="S10" s="193">
        <f>SUM(Emi_T_ajustado!V39:V45)*28</f>
        <v>6441.6401066217604</v>
      </c>
      <c r="T10" s="193">
        <f>SUM(Emi_T_ajustado!W39:W45)*28</f>
        <v>7008.2450290523393</v>
      </c>
      <c r="U10" s="193">
        <f>SUM(Emi_T_ajustado!X39:X45)*28</f>
        <v>7813.1753760296906</v>
      </c>
      <c r="V10" s="193">
        <f>SUM(Emi_T_ajustado!Y39:Y45)*28</f>
        <v>8552.6370997107406</v>
      </c>
      <c r="W10" s="193">
        <f>SUM(Emi_T_ajustado!Z39:Z45)*28</f>
        <v>9341.7742760495294</v>
      </c>
      <c r="X10" s="193">
        <f>SUM(Emi_T_ajustado!AA39:AA45)*28</f>
        <v>10195.713390708432</v>
      </c>
      <c r="Y10" s="193">
        <f>SUM(Emi_T_ajustado!AB39:AB45)*28</f>
        <v>10887.441529457901</v>
      </c>
      <c r="Z10" s="193">
        <f>SUM(Emi_T_ajustado!AC39:AC45)*28</f>
        <v>11626.761407491986</v>
      </c>
      <c r="AA10" s="193">
        <f>SUM(Emi_T_ajustado!AD39:AD45)*28</f>
        <v>12398.512710684758</v>
      </c>
      <c r="AB10" s="193">
        <f>SUM(Emi_T_ajustado!AE39:AE45)*28</f>
        <v>13220.153537879087</v>
      </c>
      <c r="AC10" s="193">
        <f>SUM(Emi_T_ajustado!AF39:AF45)*28</f>
        <v>14090.650325335157</v>
      </c>
    </row>
    <row r="11" spans="3:29" x14ac:dyDescent="0.3">
      <c r="C11" s="3" t="s">
        <v>74</v>
      </c>
      <c r="D11" s="193">
        <f>SUM(Emi_T_ajustado!G55:G61)*265</f>
        <v>180.71940000000001</v>
      </c>
      <c r="E11" s="193">
        <f>SUM(Emi_T_ajustado!H55:H61)*265</f>
        <v>183.73775000000003</v>
      </c>
      <c r="F11" s="193">
        <f>SUM(Emi_T_ajustado!I55:I61)*265</f>
        <v>185.08394999999999</v>
      </c>
      <c r="G11" s="193">
        <f>SUM(Emi_T_ajustado!J55:J61)*265</f>
        <v>189.62870000000001</v>
      </c>
      <c r="H11" s="193">
        <f>SUM(Emi_T_ajustado!K55:K61)*265</f>
        <v>194.18405000000004</v>
      </c>
      <c r="I11" s="193">
        <f>SUM(Emi_T_ajustado!L55:L61)*265</f>
        <v>191.89975000000001</v>
      </c>
      <c r="J11" s="193">
        <f>SUM(Emi_T_ajustado!M55:M61)*265</f>
        <v>189.6181</v>
      </c>
      <c r="K11" s="193">
        <f>SUM(Emi_T_ajustado!N55:N61)*265</f>
        <v>190.30445</v>
      </c>
      <c r="L11" s="193">
        <f>SUM(Emi_T_ajustado!O55:O61)*265</f>
        <v>190.78145000000001</v>
      </c>
      <c r="M11" s="193">
        <f>SUM(Emi_T_ajustado!P55:P61)*265</f>
        <v>199.15810000000002</v>
      </c>
      <c r="N11" s="193">
        <f>SUM(Emi_T_ajustado!Q55:Q61)*265</f>
        <v>207.76265000000004</v>
      </c>
      <c r="O11" s="193">
        <f>SUM(Emi_T_ajustado!R55:R61)*265</f>
        <v>206.37140000000002</v>
      </c>
      <c r="P11" s="193">
        <f>SUM(Emi_T_ajustado!S55:S61)*265</f>
        <v>196.69095000000002</v>
      </c>
      <c r="Q11" s="193">
        <f>SUM(Emi_T_ajustado!T55:T61)*265</f>
        <v>212.14310000000003</v>
      </c>
      <c r="R11" s="193">
        <f>SUM(Emi_T_ajustado!U55:U61)*265</f>
        <v>227.81520000000006</v>
      </c>
      <c r="S11" s="193">
        <f>SUM(Emi_T_ajustado!V55:V61)*265</f>
        <v>227.16065000000003</v>
      </c>
      <c r="T11" s="193">
        <f>SUM(Emi_T_ajustado!W55:W61)*265</f>
        <v>236.14150000000004</v>
      </c>
      <c r="U11" s="193">
        <f>SUM(Emi_T_ajustado!X55:X61)*265</f>
        <v>276.51955000000004</v>
      </c>
      <c r="V11" s="193">
        <f>SUM(Emi_T_ajustado!Y55:Y61)*265</f>
        <v>293.67300000000006</v>
      </c>
      <c r="W11" s="193">
        <f>SUM(Emi_T_ajustado!Z55:Z61)*265</f>
        <v>310.82115000000005</v>
      </c>
      <c r="X11" s="193">
        <f>SUM(Emi_T_ajustado!AA55:AA61)*265</f>
        <v>327.97725000000003</v>
      </c>
      <c r="Y11" s="193">
        <f>SUM(Emi_T_ajustado!AB55:AB61)*265</f>
        <v>345.4434</v>
      </c>
      <c r="Z11" s="193">
        <f>SUM(Emi_T_ajustado!AC55:AC61)*265</f>
        <v>363.32030000000003</v>
      </c>
      <c r="AA11" s="193">
        <f>SUM(Emi_T_ajustado!AD55:AD61)*265</f>
        <v>381.20515000000006</v>
      </c>
      <c r="AB11" s="193">
        <f>SUM(Emi_T_ajustado!AE55:AE61)*265</f>
        <v>399.50869999999998</v>
      </c>
      <c r="AC11" s="193">
        <f>SUM(Emi_T_ajustado!AF55:AF61)*265</f>
        <v>417.81224999999995</v>
      </c>
    </row>
    <row r="12" spans="3:29" x14ac:dyDescent="0.3">
      <c r="C12" s="192" t="s">
        <v>67</v>
      </c>
      <c r="D12" s="193">
        <f>SUM(D13:D15)</f>
        <v>2273.3802500000002</v>
      </c>
      <c r="E12" s="193">
        <f t="shared" ref="E12:AC12" si="1">SUM(E13:E15)</f>
        <v>2627.9548299999997</v>
      </c>
      <c r="F12" s="193">
        <f t="shared" si="1"/>
        <v>2986.1790100000003</v>
      </c>
      <c r="G12" s="193">
        <f t="shared" si="1"/>
        <v>3064.6357200000002</v>
      </c>
      <c r="H12" s="193">
        <f t="shared" si="1"/>
        <v>3144.0684000000001</v>
      </c>
      <c r="I12" s="193">
        <f t="shared" si="1"/>
        <v>3541.6387300000001</v>
      </c>
      <c r="J12" s="193">
        <f t="shared" si="1"/>
        <v>3939.8635799999997</v>
      </c>
      <c r="K12" s="193">
        <f t="shared" si="1"/>
        <v>4156.5825099999993</v>
      </c>
      <c r="L12" s="193">
        <f t="shared" si="1"/>
        <v>4375.0195299999996</v>
      </c>
      <c r="M12" s="193">
        <f t="shared" si="1"/>
        <v>4554.7718099999984</v>
      </c>
      <c r="N12" s="193">
        <f t="shared" si="1"/>
        <v>4733.4411800000007</v>
      </c>
      <c r="O12" s="193">
        <f t="shared" si="1"/>
        <v>4796.6441599999989</v>
      </c>
      <c r="P12" s="193">
        <f t="shared" si="1"/>
        <v>5057.0301600000003</v>
      </c>
      <c r="Q12" s="193">
        <f t="shared" si="1"/>
        <v>5582.6099400000012</v>
      </c>
      <c r="R12" s="193">
        <f t="shared" si="1"/>
        <v>6148.20957</v>
      </c>
      <c r="S12" s="193">
        <f t="shared" si="1"/>
        <v>6658.1861599999984</v>
      </c>
      <c r="T12" s="193">
        <f t="shared" si="1"/>
        <v>7251.6223200000004</v>
      </c>
      <c r="U12" s="193">
        <f t="shared" si="1"/>
        <v>8079.1852633333338</v>
      </c>
      <c r="V12" s="193">
        <f t="shared" si="1"/>
        <v>8817.9290666666657</v>
      </c>
      <c r="W12" s="193">
        <f t="shared" si="1"/>
        <v>9606.3921200000004</v>
      </c>
      <c r="X12" s="193">
        <f t="shared" si="1"/>
        <v>10497.210923333338</v>
      </c>
      <c r="Y12" s="193">
        <f t="shared" si="1"/>
        <v>11195.543196666666</v>
      </c>
      <c r="Z12" s="193">
        <f t="shared" si="1"/>
        <v>11941.799560000001</v>
      </c>
      <c r="AA12" s="193">
        <f t="shared" si="1"/>
        <v>12720.552313333332</v>
      </c>
      <c r="AB12" s="193">
        <f t="shared" si="1"/>
        <v>13549.596726666665</v>
      </c>
      <c r="AC12" s="193">
        <f t="shared" si="1"/>
        <v>14425.163209999999</v>
      </c>
    </row>
    <row r="13" spans="3:29" x14ac:dyDescent="0.3">
      <c r="C13" s="3" t="s">
        <v>72</v>
      </c>
      <c r="D13" s="193">
        <f>SUM(Emi_I!G22:G28)*1</f>
        <v>13.18135</v>
      </c>
      <c r="E13" s="193">
        <f>SUM(Emi_I!H22:H28)*1</f>
        <v>13.680880000000002</v>
      </c>
      <c r="F13" s="193">
        <f>SUM(Emi_I!I22:I28)*1</f>
        <v>14.27192</v>
      </c>
      <c r="G13" s="193">
        <f>SUM(Emi_I!J22:J28)*1</f>
        <v>14.578920000000002</v>
      </c>
      <c r="H13" s="193">
        <f>SUM(Emi_I!K22:K28)*1</f>
        <v>15.000749999999998</v>
      </c>
      <c r="I13" s="193">
        <f>SUM(Emi_I!L22:L28)*1</f>
        <v>14.90048</v>
      </c>
      <c r="J13" s="193">
        <f>SUM(Emi_I!M22:M28)*1</f>
        <v>14.931839999999999</v>
      </c>
      <c r="K13" s="193">
        <f>SUM(Emi_I!N22:N28)*1</f>
        <v>15.095880000000001</v>
      </c>
      <c r="L13" s="193">
        <f>SUM(Emi_I!O22:O28)*1</f>
        <v>15.256319999999999</v>
      </c>
      <c r="M13" s="193">
        <f>SUM(Emi_I!P22:P28)*1</f>
        <v>18.284590000000005</v>
      </c>
      <c r="N13" s="193">
        <f>SUM(Emi_I!Q22:Q28)*1</f>
        <v>21.368959999999998</v>
      </c>
      <c r="O13" s="193">
        <f>SUM(Emi_I!R22:R28)*1</f>
        <v>13.092170000000001</v>
      </c>
      <c r="P13" s="193">
        <f>SUM(Emi_I!S22:S28)*1</f>
        <v>16.940049999999999</v>
      </c>
      <c r="Q13" s="193">
        <f>SUM(Emi_I!T22:T28)*1</f>
        <v>17.654399999999999</v>
      </c>
      <c r="R13" s="193">
        <f>SUM(Emi_I!U22:U28)*1</f>
        <v>18.477119999999999</v>
      </c>
      <c r="S13" s="193">
        <f>SUM(Emi_I!V22:V28)*1</f>
        <v>19.405330000000003</v>
      </c>
      <c r="T13" s="193">
        <f>SUM(Emi_I!W22:W28)*1</f>
        <v>20.197189999999999</v>
      </c>
      <c r="U13" s="193">
        <f>SUM(Emi_I!X22:X28)*1</f>
        <v>21.093</v>
      </c>
      <c r="V13" s="193">
        <f>SUM(Emi_I!Y22:Y28)*1</f>
        <v>21.855</v>
      </c>
      <c r="W13" s="193">
        <f>SUM(Emi_I!Z22:Z28)*1</f>
        <v>22.719450000000002</v>
      </c>
      <c r="X13" s="193">
        <f>SUM(Emi_I!AA22:AA28)*1</f>
        <v>23.566080000000003</v>
      </c>
      <c r="Y13" s="193">
        <f>SUM(Emi_I!AB22:AB28)*1</f>
        <v>23.82432</v>
      </c>
      <c r="Z13" s="193">
        <f>SUM(Emi_I!AC22:AC28)*1</f>
        <v>24.076839999999997</v>
      </c>
      <c r="AA13" s="193">
        <f>SUM(Emi_I!AD22:AD28)*1</f>
        <v>24.323760000000004</v>
      </c>
      <c r="AB13" s="193">
        <f>SUM(Emi_I!AE22:AE28)*1</f>
        <v>24.565199999999997</v>
      </c>
      <c r="AC13" s="193">
        <f>SUM(Emi_I!AF22:AF28)*1</f>
        <v>24.799039999999998</v>
      </c>
    </row>
    <row r="14" spans="3:29" x14ac:dyDescent="0.3">
      <c r="C14" s="3" t="s">
        <v>73</v>
      </c>
      <c r="D14" s="193">
        <f>SUM(Emi_I!G37:G43)*28</f>
        <v>2080.4599000000003</v>
      </c>
      <c r="E14" s="193">
        <f>SUM(Emi_I!H37:H43)*28</f>
        <v>2431.5325599999996</v>
      </c>
      <c r="F14" s="193">
        <f>SUM(Emi_I!I37:I43)*28</f>
        <v>2787.8263400000001</v>
      </c>
      <c r="G14" s="193">
        <f>SUM(Emi_I!J37:J43)*28</f>
        <v>2861.4495400000005</v>
      </c>
      <c r="H14" s="193">
        <f>SUM(Emi_I!K37:K43)*28</f>
        <v>2935.92328</v>
      </c>
      <c r="I14" s="193">
        <f>SUM(Emi_I!L37:L43)*28</f>
        <v>3335.8679200000001</v>
      </c>
      <c r="J14" s="193">
        <f>SUM(Emi_I!M37:M43)*28</f>
        <v>3736.3327999999997</v>
      </c>
      <c r="K14" s="193">
        <f>SUM(Emi_I!N37:N43)*28</f>
        <v>3952.2036199999993</v>
      </c>
      <c r="L14" s="193">
        <f>SUM(Emi_I!O37:O43)*28</f>
        <v>4170.0043399999995</v>
      </c>
      <c r="M14" s="193">
        <f>SUM(Emi_I!P37:P43)*28</f>
        <v>4338.3961599999984</v>
      </c>
      <c r="N14" s="193">
        <f>SUM(Emi_I!Q37:Q43)*28</f>
        <v>4505.4222100000006</v>
      </c>
      <c r="O14" s="193">
        <f>SUM(Emi_I!R37:R43)*28</f>
        <v>4578.2863899999993</v>
      </c>
      <c r="P14" s="193">
        <f>SUM(Emi_I!S37:S43)*28</f>
        <v>4844.4536600000001</v>
      </c>
      <c r="Q14" s="193">
        <f>SUM(Emi_I!T37:T43)*28</f>
        <v>5352.8124400000006</v>
      </c>
      <c r="R14" s="193">
        <f>SUM(Emi_I!U37:U43)*28</f>
        <v>5901.9172500000004</v>
      </c>
      <c r="S14" s="193">
        <f>SUM(Emi_I!V37:V43)*28</f>
        <v>6411.620179999999</v>
      </c>
      <c r="T14" s="193">
        <f>SUM(Emi_I!W37:W43)*28</f>
        <v>6996.6347904864315</v>
      </c>
      <c r="U14" s="193">
        <f>SUM(Emi_I!X37:X43)*28</f>
        <v>7786.2879727154514</v>
      </c>
      <c r="V14" s="193">
        <f>SUM(Emi_I!Y37:Y43)*28</f>
        <v>8510.4042493293673</v>
      </c>
      <c r="W14" s="193">
        <f>SUM(Emi_I!Z37:Z43)*28</f>
        <v>9284.0681823716568</v>
      </c>
      <c r="X14" s="193">
        <f>SUM(Emi_I!AA37:AA43)*28</f>
        <v>10160.020371632381</v>
      </c>
      <c r="Y14" s="193">
        <f>SUM(Emi_I!AB37:AB43)*28</f>
        <v>10843.688063576668</v>
      </c>
      <c r="Z14" s="193">
        <f>SUM(Emi_I!AC37:AC43)*28</f>
        <v>11574.802101984</v>
      </c>
      <c r="AA14" s="193">
        <f>SUM(Emi_I!AD37:AD43)*28</f>
        <v>12338.335104478789</v>
      </c>
      <c r="AB14" s="193">
        <f>SUM(Emi_I!AE37:AE43)*28</f>
        <v>13151.672130073326</v>
      </c>
      <c r="AC14" s="193">
        <f>SUM(Emi_I!AF37:AF43)*28</f>
        <v>14011.468845180207</v>
      </c>
    </row>
    <row r="15" spans="3:29" x14ac:dyDescent="0.3">
      <c r="C15" s="3" t="s">
        <v>74</v>
      </c>
      <c r="D15" s="193">
        <f>SUM(Emi_I!G52:G58)*265</f>
        <v>179.739</v>
      </c>
      <c r="E15" s="193">
        <f>SUM(Emi_I!H52:H58)*265</f>
        <v>182.74139</v>
      </c>
      <c r="F15" s="193">
        <f>SUM(Emi_I!I52:I58)*265</f>
        <v>184.08074999999999</v>
      </c>
      <c r="G15" s="193">
        <f>SUM(Emi_I!J52:J58)*265</f>
        <v>188.60725999999997</v>
      </c>
      <c r="H15" s="193">
        <f>SUM(Emi_I!K52:K58)*265</f>
        <v>193.14437000000001</v>
      </c>
      <c r="I15" s="193">
        <f>SUM(Emi_I!L52:L58)*265</f>
        <v>190.87033000000002</v>
      </c>
      <c r="J15" s="193">
        <f>SUM(Emi_I!M52:M58)*265</f>
        <v>188.59893999999997</v>
      </c>
      <c r="K15" s="193">
        <f>SUM(Emi_I!N52:N58)*265</f>
        <v>189.28300999999999</v>
      </c>
      <c r="L15" s="193">
        <f>SUM(Emi_I!O52:O58)*265</f>
        <v>189.75887</v>
      </c>
      <c r="M15" s="193">
        <f>SUM(Emi_I!P52:P58)*265</f>
        <v>198.09106000000003</v>
      </c>
      <c r="N15" s="193">
        <f>SUM(Emi_I!Q52:Q58)*265</f>
        <v>206.65001000000004</v>
      </c>
      <c r="O15" s="193">
        <f>SUM(Emi_I!R52:R58)*265</f>
        <v>205.26560000000003</v>
      </c>
      <c r="P15" s="193">
        <f>SUM(Emi_I!S52:S58)*265</f>
        <v>195.63645000000002</v>
      </c>
      <c r="Q15" s="193">
        <f>SUM(Emi_I!T52:T58)*265</f>
        <v>212.14310000000003</v>
      </c>
      <c r="R15" s="193">
        <f>SUM(Emi_I!U52:U58)*265</f>
        <v>227.81520000000003</v>
      </c>
      <c r="S15" s="193">
        <f>SUM(Emi_I!V52:V58)*265</f>
        <v>227.16065</v>
      </c>
      <c r="T15" s="193">
        <f>SUM(Emi_I!W52:W58)*265</f>
        <v>234.79033951356931</v>
      </c>
      <c r="U15" s="193">
        <f>SUM(Emi_I!X52:X58)*265</f>
        <v>271.80429061788243</v>
      </c>
      <c r="V15" s="193">
        <f>SUM(Emi_I!Y52:Y58)*265</f>
        <v>285.66981733729961</v>
      </c>
      <c r="W15" s="193">
        <f>SUM(Emi_I!Z52:Z58)*265</f>
        <v>299.60448762834278</v>
      </c>
      <c r="X15" s="193">
        <f>SUM(Emi_I!AA52:AA58)*265</f>
        <v>313.62447170095533</v>
      </c>
      <c r="Y15" s="193">
        <f>SUM(Emi_I!AB52:AB58)*265</f>
        <v>328.03081308999828</v>
      </c>
      <c r="Z15" s="193">
        <f>SUM(Emi_I!AC52:AC58)*265</f>
        <v>342.92061801600181</v>
      </c>
      <c r="AA15" s="193">
        <f>SUM(Emi_I!AD52:AD58)*265</f>
        <v>357.89344885454312</v>
      </c>
      <c r="AB15" s="193">
        <f>SUM(Emi_I!AE52:AE58)*265</f>
        <v>373.35939659333957</v>
      </c>
      <c r="AC15" s="193">
        <f>SUM(Emi_I!AF52:AF58)*265</f>
        <v>388.89532481979131</v>
      </c>
    </row>
    <row r="16" spans="3:29" x14ac:dyDescent="0.3">
      <c r="C16" s="192" t="s">
        <v>68</v>
      </c>
      <c r="D16" s="193">
        <f>SUM(D17:D19)</f>
        <v>2273.3802500000002</v>
      </c>
      <c r="E16" s="193">
        <f t="shared" ref="E16:AC16" si="2">SUM(E17:E19)</f>
        <v>2627.9548299999997</v>
      </c>
      <c r="F16" s="193">
        <f t="shared" si="2"/>
        <v>2986.1790100000003</v>
      </c>
      <c r="G16" s="193">
        <f t="shared" si="2"/>
        <v>3064.6357200000002</v>
      </c>
      <c r="H16" s="193">
        <f t="shared" si="2"/>
        <v>3144.0684000000001</v>
      </c>
      <c r="I16" s="193">
        <f t="shared" si="2"/>
        <v>3541.6387300000001</v>
      </c>
      <c r="J16" s="193">
        <f t="shared" si="2"/>
        <v>3939.8635799999997</v>
      </c>
      <c r="K16" s="193">
        <f t="shared" si="2"/>
        <v>4156.5825099999993</v>
      </c>
      <c r="L16" s="193">
        <f t="shared" si="2"/>
        <v>4375.0195299999996</v>
      </c>
      <c r="M16" s="193">
        <f t="shared" si="2"/>
        <v>4554.7718099999984</v>
      </c>
      <c r="N16" s="193">
        <f t="shared" si="2"/>
        <v>4733.4411800000007</v>
      </c>
      <c r="O16" s="193">
        <f t="shared" si="2"/>
        <v>4796.6441599999989</v>
      </c>
      <c r="P16" s="193">
        <f t="shared" si="2"/>
        <v>5057.0301600000003</v>
      </c>
      <c r="Q16" s="193">
        <f t="shared" si="2"/>
        <v>5582.6099400000012</v>
      </c>
      <c r="R16" s="193">
        <f t="shared" si="2"/>
        <v>6148.20957</v>
      </c>
      <c r="S16" s="193">
        <f t="shared" si="2"/>
        <v>6658.1861599999984</v>
      </c>
      <c r="T16" s="193">
        <f t="shared" si="2"/>
        <v>7245.1194399999986</v>
      </c>
      <c r="U16" s="193">
        <f t="shared" si="2"/>
        <v>8066.2934633333334</v>
      </c>
      <c r="V16" s="193">
        <f t="shared" si="2"/>
        <v>8798.6049466666664</v>
      </c>
      <c r="W16" s="193">
        <f t="shared" si="2"/>
        <v>9567.7558571428599</v>
      </c>
      <c r="X16" s="193">
        <f t="shared" si="2"/>
        <v>10439.22387761905</v>
      </c>
      <c r="Y16" s="193">
        <f t="shared" si="2"/>
        <v>11118.359928095237</v>
      </c>
      <c r="Z16" s="193">
        <f t="shared" si="2"/>
        <v>11845.19242857143</v>
      </c>
      <c r="AA16" s="193">
        <f t="shared" si="2"/>
        <v>12604.69099904762</v>
      </c>
      <c r="AB16" s="193">
        <f t="shared" si="2"/>
        <v>13384.441469523812</v>
      </c>
      <c r="AC16" s="193">
        <f t="shared" si="2"/>
        <v>14213.003770000001</v>
      </c>
    </row>
    <row r="17" spans="3:29" x14ac:dyDescent="0.3">
      <c r="C17" s="3" t="s">
        <v>72</v>
      </c>
      <c r="D17" s="193">
        <f>SUM('Emi_I+C'!G22:G28)*1</f>
        <v>13.18135</v>
      </c>
      <c r="E17" s="193">
        <f>SUM('Emi_I+C'!H22:H28)*1</f>
        <v>13.680880000000002</v>
      </c>
      <c r="F17" s="193">
        <f>SUM('Emi_I+C'!I22:I28)*1</f>
        <v>14.27192</v>
      </c>
      <c r="G17" s="193">
        <f>SUM('Emi_I+C'!J22:J28)*1</f>
        <v>14.578920000000002</v>
      </c>
      <c r="H17" s="193">
        <f>SUM('Emi_I+C'!K22:K28)*1</f>
        <v>15.000749999999998</v>
      </c>
      <c r="I17" s="193">
        <f>SUM('Emi_I+C'!L22:L28)*1</f>
        <v>14.90048</v>
      </c>
      <c r="J17" s="193">
        <f>SUM('Emi_I+C'!M22:M28)*1</f>
        <v>14.931839999999999</v>
      </c>
      <c r="K17" s="193">
        <f>SUM('Emi_I+C'!N22:N28)*1</f>
        <v>15.095880000000001</v>
      </c>
      <c r="L17" s="193">
        <f>SUM('Emi_I+C'!O22:O28)*1</f>
        <v>15.256319999999999</v>
      </c>
      <c r="M17" s="193">
        <f>SUM('Emi_I+C'!P22:P28)*1</f>
        <v>18.284590000000005</v>
      </c>
      <c r="N17" s="193">
        <f>SUM('Emi_I+C'!Q22:Q28)*1</f>
        <v>21.368959999999998</v>
      </c>
      <c r="O17" s="193">
        <f>SUM('Emi_I+C'!R22:R28)*1</f>
        <v>13.092170000000001</v>
      </c>
      <c r="P17" s="193">
        <f>SUM('Emi_I+C'!S22:S28)*1</f>
        <v>16.940049999999999</v>
      </c>
      <c r="Q17" s="193">
        <f>SUM('Emi_I+C'!T22:T28)*1</f>
        <v>17.654399999999999</v>
      </c>
      <c r="R17" s="193">
        <f>SUM('Emi_I+C'!U22:U28)*1</f>
        <v>18.477119999999999</v>
      </c>
      <c r="S17" s="193">
        <f>SUM('Emi_I+C'!V22:V28)*1</f>
        <v>19.405330000000003</v>
      </c>
      <c r="T17" s="193">
        <f>SUM('Emi_I+C'!W22:W28)*1</f>
        <v>20.197189999999999</v>
      </c>
      <c r="U17" s="193">
        <f>SUM('Emi_I+C'!X22:X28)*1</f>
        <v>21.093</v>
      </c>
      <c r="V17" s="193">
        <f>SUM('Emi_I+C'!Y22:Y28)*1</f>
        <v>21.855</v>
      </c>
      <c r="W17" s="193">
        <f>SUM('Emi_I+C'!Z22:Z28)*1</f>
        <v>22.719450000000002</v>
      </c>
      <c r="X17" s="193">
        <f>SUM('Emi_I+C'!AA22:AA28)*1</f>
        <v>23.566080000000003</v>
      </c>
      <c r="Y17" s="193">
        <f>SUM('Emi_I+C'!AB22:AB28)*1</f>
        <v>23.82432</v>
      </c>
      <c r="Z17" s="193">
        <f>SUM('Emi_I+C'!AC22:AC28)*1</f>
        <v>24.076839999999997</v>
      </c>
      <c r="AA17" s="193">
        <f>SUM('Emi_I+C'!AD22:AD28)*1</f>
        <v>24.323760000000004</v>
      </c>
      <c r="AB17" s="193">
        <f>SUM('Emi_I+C'!AE22:AE28)*1</f>
        <v>24.565199999999997</v>
      </c>
      <c r="AC17" s="193">
        <f>SUM('Emi_I+C'!AF22:AF28)*1</f>
        <v>24.799039999999998</v>
      </c>
    </row>
    <row r="18" spans="3:29" x14ac:dyDescent="0.3">
      <c r="C18" s="3" t="s">
        <v>73</v>
      </c>
      <c r="D18" s="193">
        <f>SUM('Emi_I+C'!G37:G43)*28</f>
        <v>2080.4599000000003</v>
      </c>
      <c r="E18" s="193">
        <f>SUM('Emi_I+C'!H37:H43)*28</f>
        <v>2431.5325599999996</v>
      </c>
      <c r="F18" s="193">
        <f>SUM('Emi_I+C'!I37:I43)*28</f>
        <v>2787.8263400000001</v>
      </c>
      <c r="G18" s="193">
        <f>SUM('Emi_I+C'!J37:J43)*28</f>
        <v>2861.4495400000005</v>
      </c>
      <c r="H18" s="193">
        <f>SUM('Emi_I+C'!K37:K43)*28</f>
        <v>2935.92328</v>
      </c>
      <c r="I18" s="193">
        <f>SUM('Emi_I+C'!L37:L43)*28</f>
        <v>3335.8679200000001</v>
      </c>
      <c r="J18" s="193">
        <f>SUM('Emi_I+C'!M37:M43)*28</f>
        <v>3736.3327999999997</v>
      </c>
      <c r="K18" s="193">
        <f>SUM('Emi_I+C'!N37:N43)*28</f>
        <v>3952.2036199999993</v>
      </c>
      <c r="L18" s="193">
        <f>SUM('Emi_I+C'!O37:O43)*28</f>
        <v>4170.0043399999995</v>
      </c>
      <c r="M18" s="193">
        <f>SUM('Emi_I+C'!P37:P43)*28</f>
        <v>4338.3961599999984</v>
      </c>
      <c r="N18" s="193">
        <f>SUM('Emi_I+C'!Q37:Q43)*28</f>
        <v>4505.4222100000006</v>
      </c>
      <c r="O18" s="193">
        <f>SUM('Emi_I+C'!R37:R43)*28</f>
        <v>4578.2863899999993</v>
      </c>
      <c r="P18" s="193">
        <f>SUM('Emi_I+C'!S37:S43)*28</f>
        <v>4844.4536600000001</v>
      </c>
      <c r="Q18" s="193">
        <f>SUM('Emi_I+C'!T37:T43)*28</f>
        <v>5352.8124400000006</v>
      </c>
      <c r="R18" s="193">
        <f>SUM('Emi_I+C'!U37:U43)*28</f>
        <v>5901.9172500000004</v>
      </c>
      <c r="S18" s="193">
        <f>SUM('Emi_I+C'!V37:V43)*28</f>
        <v>6411.620179999999</v>
      </c>
      <c r="T18" s="193">
        <f>SUM('Emi_I+C'!W37:W43)*28</f>
        <v>6990.1319104864297</v>
      </c>
      <c r="U18" s="193">
        <f>SUM('Emi_I+C'!X37:X43)*28</f>
        <v>7773.396172715451</v>
      </c>
      <c r="V18" s="193">
        <f>SUM('Emi_I+C'!Y37:Y43)*28</f>
        <v>8491.080129329368</v>
      </c>
      <c r="W18" s="193">
        <f>SUM('Emi_I+C'!Z37:Z43)*28</f>
        <v>9245.4319195145163</v>
      </c>
      <c r="X18" s="193">
        <f>SUM('Emi_I+C'!AA37:AA43)*28</f>
        <v>10102.033325918093</v>
      </c>
      <c r="Y18" s="193">
        <f>SUM('Emi_I+C'!AB37:AB43)*28</f>
        <v>10766.504795005239</v>
      </c>
      <c r="Z18" s="193">
        <f>SUM('Emi_I+C'!AC37:AC43)*28</f>
        <v>11478.194970555429</v>
      </c>
      <c r="AA18" s="193">
        <f>SUM('Emi_I+C'!AD37:AD43)*28</f>
        <v>12222.473790193077</v>
      </c>
      <c r="AB18" s="193">
        <f>SUM('Emi_I+C'!AE37:AE43)*28</f>
        <v>12996.493292203892</v>
      </c>
      <c r="AC18" s="193">
        <f>SUM('Emi_I+C'!AF37:AF43)*28</f>
        <v>13819.025490530352</v>
      </c>
    </row>
    <row r="19" spans="3:29" x14ac:dyDescent="0.3">
      <c r="C19" s="3" t="s">
        <v>74</v>
      </c>
      <c r="D19" s="193">
        <f>SUM('Emi_I+C'!G52:G58)*265</f>
        <v>179.739</v>
      </c>
      <c r="E19" s="193">
        <f>SUM('Emi_I+C'!H52:H58)*265</f>
        <v>182.74139</v>
      </c>
      <c r="F19" s="193">
        <f>SUM('Emi_I+C'!I52:I58)*265</f>
        <v>184.08074999999999</v>
      </c>
      <c r="G19" s="193">
        <f>SUM('Emi_I+C'!J52:J58)*265</f>
        <v>188.60725999999997</v>
      </c>
      <c r="H19" s="193">
        <f>SUM('Emi_I+C'!K52:K58)*265</f>
        <v>193.14437000000001</v>
      </c>
      <c r="I19" s="193">
        <f>SUM('Emi_I+C'!L52:L58)*265</f>
        <v>190.87033000000002</v>
      </c>
      <c r="J19" s="193">
        <f>SUM('Emi_I+C'!M52:M58)*265</f>
        <v>188.59893999999997</v>
      </c>
      <c r="K19" s="193">
        <f>SUM('Emi_I+C'!N52:N58)*265</f>
        <v>189.28300999999999</v>
      </c>
      <c r="L19" s="193">
        <f>SUM('Emi_I+C'!O52:O58)*265</f>
        <v>189.75887</v>
      </c>
      <c r="M19" s="193">
        <f>SUM('Emi_I+C'!P52:P58)*265</f>
        <v>198.09106000000003</v>
      </c>
      <c r="N19" s="193">
        <f>SUM('Emi_I+C'!Q52:Q58)*265</f>
        <v>206.65001000000004</v>
      </c>
      <c r="O19" s="193">
        <f>SUM('Emi_I+C'!R52:R58)*265</f>
        <v>205.26560000000003</v>
      </c>
      <c r="P19" s="193">
        <f>SUM('Emi_I+C'!S52:S58)*265</f>
        <v>195.63645000000002</v>
      </c>
      <c r="Q19" s="193">
        <f>SUM('Emi_I+C'!T52:T58)*265</f>
        <v>212.14310000000003</v>
      </c>
      <c r="R19" s="193">
        <f>SUM('Emi_I+C'!U52:U58)*265</f>
        <v>227.81520000000003</v>
      </c>
      <c r="S19" s="193">
        <f>SUM('Emi_I+C'!V52:V58)*265</f>
        <v>227.16065</v>
      </c>
      <c r="T19" s="193">
        <f>SUM('Emi_I+C'!W52:W58)*265</f>
        <v>234.79033951356931</v>
      </c>
      <c r="U19" s="193">
        <f>SUM('Emi_I+C'!X52:X58)*265</f>
        <v>271.80429061788243</v>
      </c>
      <c r="V19" s="193">
        <f>SUM('Emi_I+C'!Y52:Y58)*265</f>
        <v>285.66981733729961</v>
      </c>
      <c r="W19" s="193">
        <f>SUM('Emi_I+C'!Z52:Z58)*265</f>
        <v>299.60448762834278</v>
      </c>
      <c r="X19" s="193">
        <f>SUM('Emi_I+C'!AA52:AA58)*265</f>
        <v>313.62447170095533</v>
      </c>
      <c r="Y19" s="193">
        <f>SUM('Emi_I+C'!AB52:AB58)*265</f>
        <v>328.03081308999828</v>
      </c>
      <c r="Z19" s="193">
        <f>SUM('Emi_I+C'!AC52:AC58)*265</f>
        <v>342.92061801600181</v>
      </c>
      <c r="AA19" s="193">
        <f>SUM('Emi_I+C'!AD52:AD58)*265</f>
        <v>357.89344885454312</v>
      </c>
      <c r="AB19" s="193">
        <f>SUM('Emi_I+C'!AE52:AE58)*265</f>
        <v>363.382977319921</v>
      </c>
      <c r="AC19" s="193">
        <f>SUM('Emi_I+C'!AF52:AF58)*265</f>
        <v>369.17923946964913</v>
      </c>
    </row>
    <row r="21" spans="3:29" x14ac:dyDescent="0.3">
      <c r="C21" s="1" t="s">
        <v>75</v>
      </c>
    </row>
    <row r="22" spans="3:29" x14ac:dyDescent="0.3">
      <c r="D22" s="190">
        <v>2010</v>
      </c>
      <c r="E22" s="190">
        <v>2011</v>
      </c>
      <c r="F22" s="190">
        <v>2012</v>
      </c>
      <c r="G22" s="190">
        <v>2013</v>
      </c>
      <c r="H22" s="190">
        <v>2014</v>
      </c>
      <c r="I22" s="190">
        <v>2015</v>
      </c>
      <c r="J22" s="190">
        <v>2016</v>
      </c>
      <c r="K22" s="190">
        <v>2017</v>
      </c>
      <c r="L22" s="190">
        <v>2018</v>
      </c>
      <c r="M22" s="190">
        <v>2019</v>
      </c>
      <c r="N22" s="190">
        <v>2020</v>
      </c>
      <c r="O22" s="190">
        <v>2021</v>
      </c>
      <c r="P22" s="190">
        <v>2022</v>
      </c>
      <c r="Q22" s="190">
        <v>2023</v>
      </c>
      <c r="R22" s="190">
        <v>2024</v>
      </c>
      <c r="S22" s="190">
        <v>2025</v>
      </c>
      <c r="T22" s="190">
        <v>2026</v>
      </c>
      <c r="U22" s="190">
        <v>2027</v>
      </c>
      <c r="V22" s="190">
        <v>2028</v>
      </c>
      <c r="W22" s="190">
        <v>2029</v>
      </c>
      <c r="X22" s="190">
        <v>2030</v>
      </c>
      <c r="Y22" s="190">
        <v>2031</v>
      </c>
      <c r="Z22" s="190">
        <v>2032</v>
      </c>
      <c r="AA22" s="190">
        <v>2033</v>
      </c>
      <c r="AB22" s="190">
        <v>2034</v>
      </c>
      <c r="AC22" s="190">
        <v>2035</v>
      </c>
    </row>
    <row r="23" spans="3:29" x14ac:dyDescent="0.3">
      <c r="C23" s="191" t="s">
        <v>60</v>
      </c>
      <c r="D23" s="194">
        <f>D8/D8</f>
        <v>1</v>
      </c>
      <c r="E23" s="194">
        <f t="shared" ref="E23:AC23" si="3">E8/E8</f>
        <v>1</v>
      </c>
      <c r="F23" s="194">
        <f t="shared" si="3"/>
        <v>1</v>
      </c>
      <c r="G23" s="194">
        <f t="shared" si="3"/>
        <v>1</v>
      </c>
      <c r="H23" s="194">
        <f t="shared" si="3"/>
        <v>1</v>
      </c>
      <c r="I23" s="194">
        <f t="shared" si="3"/>
        <v>1</v>
      </c>
      <c r="J23" s="194">
        <f t="shared" si="3"/>
        <v>1</v>
      </c>
      <c r="K23" s="194">
        <f t="shared" si="3"/>
        <v>1</v>
      </c>
      <c r="L23" s="194">
        <f t="shared" si="3"/>
        <v>1</v>
      </c>
      <c r="M23" s="194">
        <f t="shared" si="3"/>
        <v>1</v>
      </c>
      <c r="N23" s="194">
        <f t="shared" si="3"/>
        <v>1</v>
      </c>
      <c r="O23" s="194">
        <f t="shared" si="3"/>
        <v>1</v>
      </c>
      <c r="P23" s="194">
        <f t="shared" si="3"/>
        <v>1</v>
      </c>
      <c r="Q23" s="194">
        <f t="shared" si="3"/>
        <v>1</v>
      </c>
      <c r="R23" s="194">
        <f t="shared" si="3"/>
        <v>1</v>
      </c>
      <c r="S23" s="194">
        <f t="shared" si="3"/>
        <v>1</v>
      </c>
      <c r="T23" s="194">
        <f t="shared" si="3"/>
        <v>1</v>
      </c>
      <c r="U23" s="194">
        <f t="shared" si="3"/>
        <v>1</v>
      </c>
      <c r="V23" s="194">
        <f t="shared" si="3"/>
        <v>1</v>
      </c>
      <c r="W23" s="194">
        <f t="shared" si="3"/>
        <v>1</v>
      </c>
      <c r="X23" s="194">
        <f t="shared" si="3"/>
        <v>1</v>
      </c>
      <c r="Y23" s="194">
        <f t="shared" si="3"/>
        <v>1</v>
      </c>
      <c r="Z23" s="194">
        <f t="shared" si="3"/>
        <v>1</v>
      </c>
      <c r="AA23" s="194">
        <f t="shared" si="3"/>
        <v>1</v>
      </c>
      <c r="AB23" s="194">
        <f t="shared" si="3"/>
        <v>1</v>
      </c>
      <c r="AC23" s="194">
        <f t="shared" si="3"/>
        <v>1</v>
      </c>
    </row>
    <row r="24" spans="3:29" x14ac:dyDescent="0.3">
      <c r="C24" s="3" t="s">
        <v>72</v>
      </c>
      <c r="D24" s="194">
        <f>D9/D8</f>
        <v>5.7927176323599181E-3</v>
      </c>
      <c r="E24" s="194">
        <f t="shared" ref="E24:AC24" si="4">E9/E8</f>
        <v>5.2081114452890336E-3</v>
      </c>
      <c r="F24" s="194">
        <f t="shared" si="4"/>
        <v>4.7808293190181976E-3</v>
      </c>
      <c r="G24" s="194">
        <f t="shared" si="4"/>
        <v>4.7549056274067344E-3</v>
      </c>
      <c r="H24" s="194">
        <f t="shared" si="4"/>
        <v>4.7666215444817873E-3</v>
      </c>
      <c r="I24" s="194">
        <f t="shared" si="4"/>
        <v>4.2040044176963895E-3</v>
      </c>
      <c r="J24" s="194">
        <f t="shared" si="4"/>
        <v>3.7880330957087457E-3</v>
      </c>
      <c r="K24" s="194">
        <f t="shared" si="4"/>
        <v>3.6329366299126132E-3</v>
      </c>
      <c r="L24" s="194">
        <f t="shared" si="4"/>
        <v>3.4866480373045776E-3</v>
      </c>
      <c r="M24" s="194">
        <f t="shared" si="4"/>
        <v>4.0118682962462212E-3</v>
      </c>
      <c r="N24" s="194">
        <f t="shared" si="4"/>
        <v>4.5160483983925576E-3</v>
      </c>
      <c r="O24" s="194">
        <f t="shared" si="4"/>
        <v>2.7270268659253132E-3</v>
      </c>
      <c r="P24" s="194">
        <f t="shared" si="4"/>
        <v>3.3416719440861257E-3</v>
      </c>
      <c r="Q24" s="194">
        <f t="shared" si="4"/>
        <v>3.1522243484382114E-3</v>
      </c>
      <c r="R24" s="194">
        <f t="shared" si="4"/>
        <v>2.9935998380242082E-3</v>
      </c>
      <c r="S24" s="194">
        <f t="shared" si="4"/>
        <v>2.9014252474689689E-3</v>
      </c>
      <c r="T24" s="194">
        <f t="shared" si="4"/>
        <v>2.7802267522955481E-3</v>
      </c>
      <c r="U24" s="194">
        <f t="shared" si="4"/>
        <v>2.6006104699528533E-3</v>
      </c>
      <c r="V24" s="194">
        <f t="shared" si="4"/>
        <v>2.4644331442039641E-3</v>
      </c>
      <c r="W24" s="194">
        <f t="shared" si="4"/>
        <v>2.3481871433704126E-3</v>
      </c>
      <c r="X24" s="194">
        <f t="shared" si="4"/>
        <v>2.2343326444051064E-3</v>
      </c>
      <c r="Y24" s="194">
        <f t="shared" si="4"/>
        <v>2.1164551266301319E-3</v>
      </c>
      <c r="Z24" s="194">
        <f t="shared" si="4"/>
        <v>2.0040388101109385E-3</v>
      </c>
      <c r="AA24" s="194">
        <f t="shared" si="4"/>
        <v>1.8996939185753111E-3</v>
      </c>
      <c r="AB24" s="194">
        <f t="shared" si="4"/>
        <v>1.8004097419104964E-3</v>
      </c>
      <c r="AC24" s="194">
        <f t="shared" si="4"/>
        <v>1.7063643837411304E-3</v>
      </c>
    </row>
    <row r="25" spans="3:29" x14ac:dyDescent="0.3">
      <c r="C25" s="3" t="s">
        <v>73</v>
      </c>
      <c r="D25" s="194">
        <f>D10/D8</f>
        <v>0.91478776502764803</v>
      </c>
      <c r="E25" s="194">
        <f t="shared" ref="E25:AC25" si="5">E10/E8</f>
        <v>0.92484560741587662</v>
      </c>
      <c r="F25" s="194">
        <f t="shared" si="5"/>
        <v>0.93321946954478574</v>
      </c>
      <c r="G25" s="194">
        <f t="shared" si="5"/>
        <v>0.93339781262965049</v>
      </c>
      <c r="H25" s="194">
        <f t="shared" si="5"/>
        <v>0.93352967188586478</v>
      </c>
      <c r="I25" s="194">
        <f t="shared" si="5"/>
        <v>0.94165361917866885</v>
      </c>
      <c r="J25" s="194">
        <f t="shared" si="5"/>
        <v>0.9481080735900439</v>
      </c>
      <c r="K25" s="194">
        <f t="shared" si="5"/>
        <v>0.95056887159588321</v>
      </c>
      <c r="L25" s="194">
        <f t="shared" si="5"/>
        <v>0.95291255123246532</v>
      </c>
      <c r="M25" s="194">
        <f t="shared" si="5"/>
        <v>0.95229034754066155</v>
      </c>
      <c r="N25" s="194">
        <f t="shared" si="5"/>
        <v>0.95157605047875027</v>
      </c>
      <c r="O25" s="194">
        <f t="shared" si="5"/>
        <v>0.95428694773426559</v>
      </c>
      <c r="P25" s="194">
        <f t="shared" si="5"/>
        <v>0.95785816930368772</v>
      </c>
      <c r="Q25" s="194">
        <f t="shared" si="5"/>
        <v>0.95896924989179855</v>
      </c>
      <c r="R25" s="194">
        <f t="shared" si="5"/>
        <v>0.96009656000185062</v>
      </c>
      <c r="S25" s="194">
        <f t="shared" si="5"/>
        <v>0.96313421314974146</v>
      </c>
      <c r="T25" s="194">
        <f t="shared" si="5"/>
        <v>0.96471391893692171</v>
      </c>
      <c r="U25" s="194">
        <f t="shared" si="5"/>
        <v>0.96330657974117639</v>
      </c>
      <c r="V25" s="194">
        <f t="shared" si="5"/>
        <v>0.96442014819838073</v>
      </c>
      <c r="W25" s="194">
        <f t="shared" si="5"/>
        <v>0.96552664132661425</v>
      </c>
      <c r="X25" s="194">
        <f t="shared" si="5"/>
        <v>0.96666969058316543</v>
      </c>
      <c r="Y25" s="194">
        <f t="shared" si="5"/>
        <v>0.96719576638103333</v>
      </c>
      <c r="Z25" s="194">
        <f t="shared" si="5"/>
        <v>0.96775495025568226</v>
      </c>
      <c r="AA25" s="194">
        <f t="shared" si="5"/>
        <v>0.96832805437426317</v>
      </c>
      <c r="AB25" s="194">
        <f t="shared" si="5"/>
        <v>0.9689191709878211</v>
      </c>
      <c r="AC25" s="194">
        <f t="shared" si="5"/>
        <v>0.96954494443745742</v>
      </c>
    </row>
    <row r="26" spans="3:29" x14ac:dyDescent="0.3">
      <c r="C26" s="3" t="s">
        <v>74</v>
      </c>
      <c r="D26" s="194">
        <f>D11/D8</f>
        <v>7.9419517339992113E-2</v>
      </c>
      <c r="E26" s="194">
        <f t="shared" ref="E26:AC26" si="6">E11/E8</f>
        <v>6.9946281138834276E-2</v>
      </c>
      <c r="F26" s="194">
        <f t="shared" si="6"/>
        <v>6.1999701136195975E-2</v>
      </c>
      <c r="G26" s="194">
        <f t="shared" si="6"/>
        <v>6.1847281742942781E-2</v>
      </c>
      <c r="H26" s="194">
        <f t="shared" si="6"/>
        <v>6.1703706569653446E-2</v>
      </c>
      <c r="I26" s="194">
        <f t="shared" si="6"/>
        <v>5.4142376403634826E-2</v>
      </c>
      <c r="J26" s="194">
        <f t="shared" si="6"/>
        <v>4.810389331424731E-2</v>
      </c>
      <c r="K26" s="194">
        <f t="shared" si="6"/>
        <v>4.5798191774204175E-2</v>
      </c>
      <c r="L26" s="194">
        <f t="shared" si="6"/>
        <v>4.3600800730229927E-2</v>
      </c>
      <c r="M26" s="194">
        <f t="shared" si="6"/>
        <v>4.3697784163092217E-2</v>
      </c>
      <c r="N26" s="194">
        <f t="shared" si="6"/>
        <v>4.3907901122857348E-2</v>
      </c>
      <c r="O26" s="194">
        <f t="shared" si="6"/>
        <v>4.2986025399809134E-2</v>
      </c>
      <c r="P26" s="194">
        <f t="shared" si="6"/>
        <v>3.880015875222606E-2</v>
      </c>
      <c r="Q26" s="194">
        <f t="shared" si="6"/>
        <v>3.7878525759763144E-2</v>
      </c>
      <c r="R26" s="194">
        <f t="shared" si="6"/>
        <v>3.6909840160125211E-2</v>
      </c>
      <c r="S26" s="194">
        <f t="shared" si="6"/>
        <v>3.3964361602789636E-2</v>
      </c>
      <c r="T26" s="194">
        <f t="shared" si="6"/>
        <v>3.2505854310782803E-2</v>
      </c>
      <c r="U26" s="194">
        <f t="shared" si="6"/>
        <v>3.409280978887079E-2</v>
      </c>
      <c r="V26" s="194">
        <f t="shared" si="6"/>
        <v>3.3115418657415276E-2</v>
      </c>
      <c r="W26" s="194">
        <f t="shared" si="6"/>
        <v>3.2125171530015317E-2</v>
      </c>
      <c r="X26" s="194">
        <f t="shared" si="6"/>
        <v>3.1095976772429468E-2</v>
      </c>
      <c r="Y26" s="194">
        <f t="shared" si="6"/>
        <v>3.0687778492336542E-2</v>
      </c>
      <c r="Z26" s="194">
        <f t="shared" si="6"/>
        <v>3.024101093420687E-2</v>
      </c>
      <c r="AA26" s="194">
        <f t="shared" si="6"/>
        <v>2.977225170716161E-2</v>
      </c>
      <c r="AB26" s="194">
        <f t="shared" si="6"/>
        <v>2.9280419270268424E-2</v>
      </c>
      <c r="AC26" s="194">
        <f t="shared" si="6"/>
        <v>2.874869117880148E-2</v>
      </c>
    </row>
    <row r="27" spans="3:29" x14ac:dyDescent="0.3">
      <c r="C27" s="192" t="s">
        <v>67</v>
      </c>
      <c r="D27" s="194">
        <f>D12/D12</f>
        <v>1</v>
      </c>
      <c r="E27" s="194">
        <f t="shared" ref="E27:AC27" si="7">E12/E12</f>
        <v>1</v>
      </c>
      <c r="F27" s="194">
        <f t="shared" si="7"/>
        <v>1</v>
      </c>
      <c r="G27" s="194">
        <f t="shared" si="7"/>
        <v>1</v>
      </c>
      <c r="H27" s="194">
        <f t="shared" si="7"/>
        <v>1</v>
      </c>
      <c r="I27" s="194">
        <f t="shared" si="7"/>
        <v>1</v>
      </c>
      <c r="J27" s="194">
        <f t="shared" si="7"/>
        <v>1</v>
      </c>
      <c r="K27" s="194">
        <f t="shared" si="7"/>
        <v>1</v>
      </c>
      <c r="L27" s="194">
        <f t="shared" si="7"/>
        <v>1</v>
      </c>
      <c r="M27" s="194">
        <f t="shared" si="7"/>
        <v>1</v>
      </c>
      <c r="N27" s="194">
        <f t="shared" si="7"/>
        <v>1</v>
      </c>
      <c r="O27" s="194">
        <f t="shared" si="7"/>
        <v>1</v>
      </c>
      <c r="P27" s="194">
        <f t="shared" si="7"/>
        <v>1</v>
      </c>
      <c r="Q27" s="194">
        <f t="shared" si="7"/>
        <v>1</v>
      </c>
      <c r="R27" s="194">
        <f t="shared" si="7"/>
        <v>1</v>
      </c>
      <c r="S27" s="194">
        <f t="shared" si="7"/>
        <v>1</v>
      </c>
      <c r="T27" s="194">
        <f t="shared" si="7"/>
        <v>1</v>
      </c>
      <c r="U27" s="194">
        <f t="shared" si="7"/>
        <v>1</v>
      </c>
      <c r="V27" s="194">
        <f t="shared" si="7"/>
        <v>1</v>
      </c>
      <c r="W27" s="194">
        <f t="shared" si="7"/>
        <v>1</v>
      </c>
      <c r="X27" s="194">
        <f t="shared" si="7"/>
        <v>1</v>
      </c>
      <c r="Y27" s="194">
        <f t="shared" si="7"/>
        <v>1</v>
      </c>
      <c r="Z27" s="194">
        <f t="shared" si="7"/>
        <v>1</v>
      </c>
      <c r="AA27" s="194">
        <f t="shared" si="7"/>
        <v>1</v>
      </c>
      <c r="AB27" s="194">
        <f t="shared" si="7"/>
        <v>1</v>
      </c>
      <c r="AC27" s="194">
        <f t="shared" si="7"/>
        <v>1</v>
      </c>
    </row>
    <row r="28" spans="3:29" x14ac:dyDescent="0.3">
      <c r="C28" s="3" t="s">
        <v>72</v>
      </c>
      <c r="D28" s="194">
        <f>D13/D12</f>
        <v>5.7981281398041522E-3</v>
      </c>
      <c r="E28" s="194">
        <f t="shared" ref="E28:AC28" si="8">E13/E12</f>
        <v>5.205903786405645E-3</v>
      </c>
      <c r="F28" s="194">
        <f t="shared" si="8"/>
        <v>4.77932500101526E-3</v>
      </c>
      <c r="G28" s="194">
        <f t="shared" si="8"/>
        <v>4.7571461445995288E-3</v>
      </c>
      <c r="H28" s="194">
        <f t="shared" si="8"/>
        <v>4.7711271167001322E-3</v>
      </c>
      <c r="I28" s="194">
        <f t="shared" si="8"/>
        <v>4.2072275395520081E-3</v>
      </c>
      <c r="J28" s="194">
        <f t="shared" si="8"/>
        <v>3.789938330808906E-3</v>
      </c>
      <c r="K28" s="194">
        <f t="shared" si="8"/>
        <v>3.6318008757632008E-3</v>
      </c>
      <c r="L28" s="194">
        <f t="shared" si="8"/>
        <v>3.4871432905352081E-3</v>
      </c>
      <c r="M28" s="194">
        <f t="shared" si="8"/>
        <v>4.0143811287880991E-3</v>
      </c>
      <c r="N28" s="194">
        <f t="shared" si="8"/>
        <v>4.5144661541986235E-3</v>
      </c>
      <c r="O28" s="194">
        <f t="shared" si="8"/>
        <v>2.7294436617120257E-3</v>
      </c>
      <c r="P28" s="194">
        <f t="shared" si="8"/>
        <v>3.3498020506169965E-3</v>
      </c>
      <c r="Q28" s="194">
        <f t="shared" si="8"/>
        <v>3.1623918184762153E-3</v>
      </c>
      <c r="R28" s="194">
        <f t="shared" si="8"/>
        <v>3.0052846750960702E-3</v>
      </c>
      <c r="S28" s="194">
        <f t="shared" si="8"/>
        <v>2.9145069743739347E-3</v>
      </c>
      <c r="T28" s="194">
        <f t="shared" si="8"/>
        <v>2.785196071821898E-3</v>
      </c>
      <c r="U28" s="194">
        <f t="shared" si="8"/>
        <v>2.6107830570155028E-3</v>
      </c>
      <c r="V28" s="194">
        <f t="shared" si="8"/>
        <v>2.478473101197397E-3</v>
      </c>
      <c r="W28" s="194">
        <f t="shared" si="8"/>
        <v>2.3650346265482237E-3</v>
      </c>
      <c r="X28" s="194">
        <f t="shared" si="8"/>
        <v>2.2449848985712016E-3</v>
      </c>
      <c r="Y28" s="194">
        <f t="shared" si="8"/>
        <v>2.1280182284583921E-3</v>
      </c>
      <c r="Z28" s="194">
        <f t="shared" si="8"/>
        <v>2.0161818894237071E-3</v>
      </c>
      <c r="AA28" s="194">
        <f t="shared" si="8"/>
        <v>1.9121622552901662E-3</v>
      </c>
      <c r="AB28" s="194">
        <f t="shared" si="8"/>
        <v>1.8129838470877708E-3</v>
      </c>
      <c r="AC28" s="194">
        <f t="shared" si="8"/>
        <v>1.7191514327413978E-3</v>
      </c>
    </row>
    <row r="29" spans="3:29" x14ac:dyDescent="0.3">
      <c r="C29" s="3" t="s">
        <v>73</v>
      </c>
      <c r="D29" s="194">
        <f>D14/D12</f>
        <v>0.91513942729114506</v>
      </c>
      <c r="E29" s="194">
        <f t="shared" ref="E29:AC29" si="9">E14/E12</f>
        <v>0.92525660344017402</v>
      </c>
      <c r="F29" s="194">
        <f t="shared" si="9"/>
        <v>0.93357643016853165</v>
      </c>
      <c r="G29" s="194">
        <f t="shared" si="9"/>
        <v>0.93369972859286532</v>
      </c>
      <c r="H29" s="194">
        <f t="shared" si="9"/>
        <v>0.93379752170786101</v>
      </c>
      <c r="I29" s="194">
        <f t="shared" si="9"/>
        <v>0.94189954829187228</v>
      </c>
      <c r="J29" s="194">
        <f t="shared" si="9"/>
        <v>0.94834065295225267</v>
      </c>
      <c r="K29" s="194">
        <f t="shared" si="9"/>
        <v>0.95083006544239157</v>
      </c>
      <c r="L29" s="194">
        <f t="shared" si="9"/>
        <v>0.95313959432770801</v>
      </c>
      <c r="M29" s="194">
        <f t="shared" si="9"/>
        <v>0.95249473321035594</v>
      </c>
      <c r="N29" s="194">
        <f t="shared" si="9"/>
        <v>0.95182807574256156</v>
      </c>
      <c r="O29" s="194">
        <f t="shared" si="9"/>
        <v>0.95447697124983322</v>
      </c>
      <c r="P29" s="194">
        <f t="shared" si="9"/>
        <v>0.95796416211209623</v>
      </c>
      <c r="Q29" s="194">
        <f t="shared" si="9"/>
        <v>0.95883690559258372</v>
      </c>
      <c r="R29" s="194">
        <f t="shared" si="9"/>
        <v>0.95994080598654685</v>
      </c>
      <c r="S29" s="194">
        <f t="shared" si="9"/>
        <v>0.96296799547581302</v>
      </c>
      <c r="T29" s="194">
        <f t="shared" si="9"/>
        <v>0.96483717459880491</v>
      </c>
      <c r="U29" s="194">
        <f t="shared" si="9"/>
        <v>0.96374667976148898</v>
      </c>
      <c r="V29" s="194">
        <f t="shared" si="9"/>
        <v>0.96512505203746801</v>
      </c>
      <c r="W29" s="194">
        <f t="shared" si="9"/>
        <v>0.96644693100156898</v>
      </c>
      <c r="X29" s="194">
        <f t="shared" si="9"/>
        <v>0.96787808169582978</v>
      </c>
      <c r="Y29" s="194">
        <f t="shared" si="9"/>
        <v>0.96857185695154502</v>
      </c>
      <c r="Z29" s="194">
        <f t="shared" si="9"/>
        <v>0.96926782632951836</v>
      </c>
      <c r="AA29" s="194">
        <f t="shared" si="9"/>
        <v>0.96995278196734325</v>
      </c>
      <c r="AB29" s="194">
        <f t="shared" si="9"/>
        <v>0.97063199705344794</v>
      </c>
      <c r="AC29" s="194">
        <f t="shared" si="9"/>
        <v>0.97132133905195572</v>
      </c>
    </row>
    <row r="30" spans="3:29" x14ac:dyDescent="0.3">
      <c r="C30" s="3" t="s">
        <v>74</v>
      </c>
      <c r="D30" s="194">
        <f>D15/D12</f>
        <v>7.9062444569050858E-2</v>
      </c>
      <c r="E30" s="194">
        <f t="shared" ref="E30:AC30" si="10">E15/E12</f>
        <v>6.953749277342032E-2</v>
      </c>
      <c r="F30" s="194">
        <f t="shared" si="10"/>
        <v>6.1644244830453075E-2</v>
      </c>
      <c r="G30" s="194">
        <f t="shared" si="10"/>
        <v>6.1543125262535268E-2</v>
      </c>
      <c r="H30" s="194">
        <f t="shared" si="10"/>
        <v>6.1431351175438804E-2</v>
      </c>
      <c r="I30" s="194">
        <f t="shared" si="10"/>
        <v>5.3893224168575775E-2</v>
      </c>
      <c r="J30" s="194">
        <f t="shared" si="10"/>
        <v>4.7869408716938365E-2</v>
      </c>
      <c r="K30" s="194">
        <f t="shared" si="10"/>
        <v>4.553813368184529E-2</v>
      </c>
      <c r="L30" s="194">
        <f t="shared" si="10"/>
        <v>4.3373262381756733E-2</v>
      </c>
      <c r="M30" s="194">
        <f t="shared" si="10"/>
        <v>4.3490885660855995E-2</v>
      </c>
      <c r="N30" s="194">
        <f t="shared" si="10"/>
        <v>4.3657458103239809E-2</v>
      </c>
      <c r="O30" s="194">
        <f t="shared" si="10"/>
        <v>4.2793585088454857E-2</v>
      </c>
      <c r="P30" s="194">
        <f t="shared" si="10"/>
        <v>3.8686035837286761E-2</v>
      </c>
      <c r="Q30" s="194">
        <f t="shared" si="10"/>
        <v>3.8000702588939964E-2</v>
      </c>
      <c r="R30" s="194">
        <f t="shared" si="10"/>
        <v>3.7053909338357185E-2</v>
      </c>
      <c r="S30" s="194">
        <f t="shared" si="10"/>
        <v>3.4117497549813185E-2</v>
      </c>
      <c r="T30" s="194">
        <f t="shared" si="10"/>
        <v>3.2377629329373193E-2</v>
      </c>
      <c r="U30" s="194">
        <f t="shared" si="10"/>
        <v>3.3642537181495527E-2</v>
      </c>
      <c r="V30" s="194">
        <f t="shared" si="10"/>
        <v>3.2396474861334748E-2</v>
      </c>
      <c r="W30" s="194">
        <f t="shared" si="10"/>
        <v>3.1188034371882663E-2</v>
      </c>
      <c r="X30" s="194">
        <f t="shared" si="10"/>
        <v>2.9876933405598886E-2</v>
      </c>
      <c r="Y30" s="194">
        <f t="shared" si="10"/>
        <v>2.930012481999671E-2</v>
      </c>
      <c r="Z30" s="194">
        <f t="shared" si="10"/>
        <v>2.8715991781057978E-2</v>
      </c>
      <c r="AA30" s="194">
        <f t="shared" si="10"/>
        <v>2.8135055777366608E-2</v>
      </c>
      <c r="AB30" s="194">
        <f t="shared" si="10"/>
        <v>2.755501909946435E-2</v>
      </c>
      <c r="AC30" s="194">
        <f t="shared" si="10"/>
        <v>2.6959509515302831E-2</v>
      </c>
    </row>
    <row r="31" spans="3:29" x14ac:dyDescent="0.3">
      <c r="C31" s="192" t="s">
        <v>68</v>
      </c>
      <c r="D31" s="194">
        <f>D16/D16</f>
        <v>1</v>
      </c>
      <c r="E31" s="194">
        <f t="shared" ref="E31:AC31" si="11">E16/E16</f>
        <v>1</v>
      </c>
      <c r="F31" s="194">
        <f t="shared" si="11"/>
        <v>1</v>
      </c>
      <c r="G31" s="194">
        <f t="shared" si="11"/>
        <v>1</v>
      </c>
      <c r="H31" s="194">
        <f t="shared" si="11"/>
        <v>1</v>
      </c>
      <c r="I31" s="194">
        <f t="shared" si="11"/>
        <v>1</v>
      </c>
      <c r="J31" s="194">
        <f t="shared" si="11"/>
        <v>1</v>
      </c>
      <c r="K31" s="194">
        <f t="shared" si="11"/>
        <v>1</v>
      </c>
      <c r="L31" s="194">
        <f t="shared" si="11"/>
        <v>1</v>
      </c>
      <c r="M31" s="194">
        <f t="shared" si="11"/>
        <v>1</v>
      </c>
      <c r="N31" s="194">
        <f t="shared" si="11"/>
        <v>1</v>
      </c>
      <c r="O31" s="194">
        <f t="shared" si="11"/>
        <v>1</v>
      </c>
      <c r="P31" s="194">
        <f t="shared" si="11"/>
        <v>1</v>
      </c>
      <c r="Q31" s="194">
        <f t="shared" si="11"/>
        <v>1</v>
      </c>
      <c r="R31" s="194">
        <f t="shared" si="11"/>
        <v>1</v>
      </c>
      <c r="S31" s="194">
        <f t="shared" si="11"/>
        <v>1</v>
      </c>
      <c r="T31" s="194">
        <f t="shared" si="11"/>
        <v>1</v>
      </c>
      <c r="U31" s="194">
        <f t="shared" si="11"/>
        <v>1</v>
      </c>
      <c r="V31" s="194">
        <f t="shared" si="11"/>
        <v>1</v>
      </c>
      <c r="W31" s="194">
        <f t="shared" si="11"/>
        <v>1</v>
      </c>
      <c r="X31" s="194">
        <f t="shared" si="11"/>
        <v>1</v>
      </c>
      <c r="Y31" s="194">
        <f t="shared" si="11"/>
        <v>1</v>
      </c>
      <c r="Z31" s="194">
        <f t="shared" si="11"/>
        <v>1</v>
      </c>
      <c r="AA31" s="194">
        <f t="shared" si="11"/>
        <v>1</v>
      </c>
      <c r="AB31" s="194">
        <f t="shared" si="11"/>
        <v>1</v>
      </c>
      <c r="AC31" s="194">
        <f t="shared" si="11"/>
        <v>1</v>
      </c>
    </row>
    <row r="32" spans="3:29" x14ac:dyDescent="0.3">
      <c r="C32" s="3" t="s">
        <v>72</v>
      </c>
      <c r="D32" s="194">
        <f>D17/D16</f>
        <v>5.7981281398041522E-3</v>
      </c>
      <c r="E32" s="194">
        <f t="shared" ref="E32:AC32" si="12">E17/E16</f>
        <v>5.205903786405645E-3</v>
      </c>
      <c r="F32" s="194">
        <f t="shared" si="12"/>
        <v>4.77932500101526E-3</v>
      </c>
      <c r="G32" s="194">
        <f t="shared" si="12"/>
        <v>4.7571461445995288E-3</v>
      </c>
      <c r="H32" s="194">
        <f t="shared" si="12"/>
        <v>4.7711271167001322E-3</v>
      </c>
      <c r="I32" s="194">
        <f t="shared" si="12"/>
        <v>4.2072275395520081E-3</v>
      </c>
      <c r="J32" s="194">
        <f t="shared" si="12"/>
        <v>3.789938330808906E-3</v>
      </c>
      <c r="K32" s="194">
        <f t="shared" si="12"/>
        <v>3.6318008757632008E-3</v>
      </c>
      <c r="L32" s="194">
        <f t="shared" si="12"/>
        <v>3.4871432905352081E-3</v>
      </c>
      <c r="M32" s="194">
        <f t="shared" si="12"/>
        <v>4.0143811287880991E-3</v>
      </c>
      <c r="N32" s="194">
        <f t="shared" si="12"/>
        <v>4.5144661541986235E-3</v>
      </c>
      <c r="O32" s="194">
        <f t="shared" si="12"/>
        <v>2.7294436617120257E-3</v>
      </c>
      <c r="P32" s="194">
        <f t="shared" si="12"/>
        <v>3.3498020506169965E-3</v>
      </c>
      <c r="Q32" s="194">
        <f t="shared" si="12"/>
        <v>3.1623918184762153E-3</v>
      </c>
      <c r="R32" s="194">
        <f t="shared" si="12"/>
        <v>3.0052846750960702E-3</v>
      </c>
      <c r="S32" s="194">
        <f t="shared" si="12"/>
        <v>2.9145069743739347E-3</v>
      </c>
      <c r="T32" s="194">
        <f t="shared" si="12"/>
        <v>2.787695933415834E-3</v>
      </c>
      <c r="U32" s="194">
        <f t="shared" si="12"/>
        <v>2.6149556913446937E-3</v>
      </c>
      <c r="V32" s="194">
        <f t="shared" si="12"/>
        <v>2.4839164995445924E-3</v>
      </c>
      <c r="W32" s="194">
        <f t="shared" si="12"/>
        <v>2.3745850478656049E-3</v>
      </c>
      <c r="X32" s="194">
        <f t="shared" si="12"/>
        <v>2.2574551783034365E-3</v>
      </c>
      <c r="Y32" s="194">
        <f t="shared" si="12"/>
        <v>2.1427908571117387E-3</v>
      </c>
      <c r="Z32" s="194">
        <f t="shared" si="12"/>
        <v>2.0326254845742294E-3</v>
      </c>
      <c r="AA32" s="194">
        <f t="shared" si="12"/>
        <v>1.9297386982225783E-3</v>
      </c>
      <c r="AB32" s="194">
        <f t="shared" si="12"/>
        <v>1.8353548824532287E-3</v>
      </c>
      <c r="AC32" s="194">
        <f t="shared" si="12"/>
        <v>1.7448134399530941E-3</v>
      </c>
    </row>
    <row r="33" spans="3:29" x14ac:dyDescent="0.3">
      <c r="C33" s="3" t="s">
        <v>73</v>
      </c>
      <c r="D33" s="194">
        <f>D18/D16</f>
        <v>0.91513942729114506</v>
      </c>
      <c r="E33" s="194">
        <f t="shared" ref="E33:AC33" si="13">E18/E16</f>
        <v>0.92525660344017402</v>
      </c>
      <c r="F33" s="194">
        <f t="shared" si="13"/>
        <v>0.93357643016853165</v>
      </c>
      <c r="G33" s="194">
        <f t="shared" si="13"/>
        <v>0.93369972859286532</v>
      </c>
      <c r="H33" s="194">
        <f t="shared" si="13"/>
        <v>0.93379752170786101</v>
      </c>
      <c r="I33" s="194">
        <f t="shared" si="13"/>
        <v>0.94189954829187228</v>
      </c>
      <c r="J33" s="194">
        <f t="shared" si="13"/>
        <v>0.94834065295225267</v>
      </c>
      <c r="K33" s="194">
        <f t="shared" si="13"/>
        <v>0.95083006544239157</v>
      </c>
      <c r="L33" s="194">
        <f t="shared" si="13"/>
        <v>0.95313959432770801</v>
      </c>
      <c r="M33" s="194">
        <f t="shared" si="13"/>
        <v>0.95249473321035594</v>
      </c>
      <c r="N33" s="194">
        <f t="shared" si="13"/>
        <v>0.95182807574256156</v>
      </c>
      <c r="O33" s="194">
        <f t="shared" si="13"/>
        <v>0.95447697124983322</v>
      </c>
      <c r="P33" s="194">
        <f t="shared" si="13"/>
        <v>0.95796416211209623</v>
      </c>
      <c r="Q33" s="194">
        <f t="shared" si="13"/>
        <v>0.95883690559258372</v>
      </c>
      <c r="R33" s="194">
        <f t="shared" si="13"/>
        <v>0.95994080598654685</v>
      </c>
      <c r="S33" s="194">
        <f t="shared" si="13"/>
        <v>0.96296799547581302</v>
      </c>
      <c r="T33" s="194">
        <f t="shared" si="13"/>
        <v>0.96480561409301369</v>
      </c>
      <c r="U33" s="194">
        <f t="shared" si="13"/>
        <v>0.9636887385824362</v>
      </c>
      <c r="V33" s="194">
        <f t="shared" si="13"/>
        <v>0.96504845720413857</v>
      </c>
      <c r="W33" s="194">
        <f t="shared" si="13"/>
        <v>0.96631143787101226</v>
      </c>
      <c r="X33" s="194">
        <f t="shared" si="13"/>
        <v>0.96769965318744922</v>
      </c>
      <c r="Y33" s="194">
        <f t="shared" si="13"/>
        <v>0.9683536838737441</v>
      </c>
      <c r="Z33" s="194">
        <f t="shared" si="13"/>
        <v>0.96901718057945785</v>
      </c>
      <c r="AA33" s="194">
        <f t="shared" si="13"/>
        <v>0.96967659033581843</v>
      </c>
      <c r="AB33" s="194">
        <f t="shared" si="13"/>
        <v>0.9710149894410407</v>
      </c>
      <c r="AC33" s="194">
        <f t="shared" si="13"/>
        <v>0.97228043516731932</v>
      </c>
    </row>
    <row r="34" spans="3:29" x14ac:dyDescent="0.3">
      <c r="C34" s="3" t="s">
        <v>74</v>
      </c>
      <c r="D34" s="194">
        <f>D19/D16</f>
        <v>7.9062444569050858E-2</v>
      </c>
      <c r="E34" s="194">
        <f t="shared" ref="E34:AC34" si="14">E19/E16</f>
        <v>6.953749277342032E-2</v>
      </c>
      <c r="F34" s="194">
        <f t="shared" si="14"/>
        <v>6.1644244830453075E-2</v>
      </c>
      <c r="G34" s="194">
        <f t="shared" si="14"/>
        <v>6.1543125262535268E-2</v>
      </c>
      <c r="H34" s="194">
        <f t="shared" si="14"/>
        <v>6.1431351175438804E-2</v>
      </c>
      <c r="I34" s="194">
        <f t="shared" si="14"/>
        <v>5.3893224168575775E-2</v>
      </c>
      <c r="J34" s="194">
        <f t="shared" si="14"/>
        <v>4.7869408716938365E-2</v>
      </c>
      <c r="K34" s="194">
        <f t="shared" si="14"/>
        <v>4.553813368184529E-2</v>
      </c>
      <c r="L34" s="194">
        <f t="shared" si="14"/>
        <v>4.3373262381756733E-2</v>
      </c>
      <c r="M34" s="194">
        <f t="shared" si="14"/>
        <v>4.3490885660855995E-2</v>
      </c>
      <c r="N34" s="194">
        <f t="shared" si="14"/>
        <v>4.3657458103239809E-2</v>
      </c>
      <c r="O34" s="194">
        <f t="shared" si="14"/>
        <v>4.2793585088454857E-2</v>
      </c>
      <c r="P34" s="194">
        <f t="shared" si="14"/>
        <v>3.8686035837286761E-2</v>
      </c>
      <c r="Q34" s="194">
        <f t="shared" si="14"/>
        <v>3.8000702588939964E-2</v>
      </c>
      <c r="R34" s="194">
        <f t="shared" si="14"/>
        <v>3.7053909338357185E-2</v>
      </c>
      <c r="S34" s="194">
        <f t="shared" si="14"/>
        <v>3.4117497549813185E-2</v>
      </c>
      <c r="T34" s="194">
        <f t="shared" si="14"/>
        <v>3.2406689973570588E-2</v>
      </c>
      <c r="U34" s="194">
        <f t="shared" si="14"/>
        <v>3.3696305726219067E-2</v>
      </c>
      <c r="V34" s="194">
        <f t="shared" si="14"/>
        <v>3.2467626296317012E-2</v>
      </c>
      <c r="W34" s="194">
        <f t="shared" si="14"/>
        <v>3.1313977081122053E-2</v>
      </c>
      <c r="X34" s="194">
        <f t="shared" si="14"/>
        <v>3.0042891634247233E-2</v>
      </c>
      <c r="Y34" s="194">
        <f t="shared" si="14"/>
        <v>2.9503525269144217E-2</v>
      </c>
      <c r="Z34" s="194">
        <f t="shared" si="14"/>
        <v>2.8950193935967927E-2</v>
      </c>
      <c r="AA34" s="194">
        <f t="shared" si="14"/>
        <v>2.8393670965959E-2</v>
      </c>
      <c r="AB34" s="194">
        <f t="shared" si="14"/>
        <v>2.7149655676506113E-2</v>
      </c>
      <c r="AC34" s="194">
        <f t="shared" si="14"/>
        <v>2.5974751392727528E-2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59999389629810485"/>
  </sheetPr>
  <dimension ref="B3:P32"/>
  <sheetViews>
    <sheetView workbookViewId="0">
      <selection activeCell="C24" sqref="C24"/>
    </sheetView>
  </sheetViews>
  <sheetFormatPr defaultRowHeight="14.4" x14ac:dyDescent="0.3"/>
  <cols>
    <col min="2" max="2" width="56.109375" bestFit="1" customWidth="1"/>
    <col min="3" max="3" width="6.6640625" bestFit="1" customWidth="1"/>
    <col min="4" max="15" width="7.88671875" bestFit="1" customWidth="1"/>
  </cols>
  <sheetData>
    <row r="3" spans="2:16" x14ac:dyDescent="0.3">
      <c r="B3" s="1" t="s">
        <v>76</v>
      </c>
    </row>
    <row r="4" spans="2:16" x14ac:dyDescent="0.3">
      <c r="B4" s="2" t="s">
        <v>71</v>
      </c>
      <c r="C4" s="3">
        <v>2010</v>
      </c>
      <c r="D4" s="3">
        <v>2011</v>
      </c>
      <c r="E4" s="3">
        <v>2012</v>
      </c>
      <c r="F4" s="3">
        <v>2013</v>
      </c>
      <c r="G4" s="3">
        <v>2014</v>
      </c>
      <c r="H4" s="3">
        <v>2015</v>
      </c>
      <c r="I4" s="3">
        <v>2016</v>
      </c>
      <c r="J4" s="3">
        <v>2017</v>
      </c>
      <c r="K4" s="3">
        <v>2018</v>
      </c>
      <c r="L4" s="3">
        <v>2019</v>
      </c>
      <c r="M4" s="3">
        <v>2020</v>
      </c>
      <c r="N4" s="3">
        <v>2021</v>
      </c>
      <c r="O4" s="3">
        <v>2022</v>
      </c>
    </row>
    <row r="5" spans="2:16" x14ac:dyDescent="0.3">
      <c r="B5" s="2" t="s">
        <v>77</v>
      </c>
      <c r="C5" s="9">
        <v>2271.8999764709597</v>
      </c>
      <c r="D5" s="10"/>
      <c r="E5" s="9">
        <v>2987.0601024321013</v>
      </c>
      <c r="F5" s="10"/>
      <c r="G5" s="9">
        <v>3141.8462894033064</v>
      </c>
      <c r="H5" s="10"/>
      <c r="I5" s="9">
        <v>3853.3445420641337</v>
      </c>
      <c r="J5" s="10"/>
      <c r="K5" s="9">
        <v>4092.4937245087222</v>
      </c>
      <c r="L5" s="10"/>
      <c r="M5" s="9">
        <v>4450.4577518681399</v>
      </c>
      <c r="N5" s="9">
        <v>4526.7615407977992</v>
      </c>
      <c r="O5" s="9">
        <v>4790.5399560863716</v>
      </c>
    </row>
    <row r="6" spans="2:16" x14ac:dyDescent="0.3">
      <c r="B6" s="16" t="s">
        <v>78</v>
      </c>
      <c r="C6" s="9">
        <v>1698.5980153415012</v>
      </c>
      <c r="D6" s="10"/>
      <c r="E6" s="9">
        <v>2054.4700876952329</v>
      </c>
      <c r="F6" s="10"/>
      <c r="G6" s="9">
        <v>2447.1186618546662</v>
      </c>
      <c r="H6" s="10"/>
      <c r="I6" s="9">
        <v>2760.6934386054795</v>
      </c>
      <c r="J6" s="10"/>
      <c r="K6" s="9">
        <v>2934.3883639700484</v>
      </c>
      <c r="L6" s="10"/>
      <c r="M6" s="9">
        <v>3335.8732324372941</v>
      </c>
      <c r="N6" s="9">
        <v>3496.8850395325621</v>
      </c>
      <c r="O6" s="9">
        <v>3665.9319230176934</v>
      </c>
    </row>
    <row r="7" spans="2:16" x14ac:dyDescent="0.3">
      <c r="B7" s="17" t="s">
        <v>61</v>
      </c>
      <c r="C7" s="196">
        <v>892.43221767353373</v>
      </c>
      <c r="D7" s="8"/>
      <c r="E7" s="196">
        <v>1173.3146685573358</v>
      </c>
      <c r="F7" s="8"/>
      <c r="G7" s="196">
        <v>1286.3125303313138</v>
      </c>
      <c r="H7" s="8"/>
      <c r="I7" s="196">
        <v>2067.921060849817</v>
      </c>
      <c r="J7" s="8"/>
      <c r="K7" s="196">
        <v>2433.7440351560372</v>
      </c>
      <c r="L7" s="8"/>
      <c r="M7" s="196">
        <v>2796.3571129765483</v>
      </c>
      <c r="N7" s="196">
        <v>3028.8828716581484</v>
      </c>
      <c r="O7" s="196">
        <v>3183.2120698978201</v>
      </c>
      <c r="P7" t="s">
        <v>79</v>
      </c>
    </row>
    <row r="8" spans="2:16" x14ac:dyDescent="0.3">
      <c r="B8" s="17" t="s">
        <v>62</v>
      </c>
      <c r="C8" s="7">
        <v>806.16579766796758</v>
      </c>
      <c r="D8" s="8"/>
      <c r="E8" s="7">
        <v>881.1554191378973</v>
      </c>
      <c r="F8" s="8"/>
      <c r="G8" s="7">
        <v>1160.8061315233522</v>
      </c>
      <c r="H8" s="8"/>
      <c r="I8" s="7">
        <v>692.77237775566255</v>
      </c>
      <c r="J8" s="8"/>
      <c r="K8" s="7">
        <v>500.64432881401115</v>
      </c>
      <c r="L8" s="8"/>
      <c r="M8" s="7">
        <v>539.51611946074559</v>
      </c>
      <c r="N8" s="7">
        <v>468.00216787441366</v>
      </c>
      <c r="O8" s="7">
        <v>482.71985311987453</v>
      </c>
    </row>
    <row r="9" spans="2:16" x14ac:dyDescent="0.3">
      <c r="B9" s="16" t="s">
        <v>80</v>
      </c>
      <c r="C9" s="9">
        <v>1.0625676240000002</v>
      </c>
      <c r="D9" s="10"/>
      <c r="E9" s="9">
        <v>1.40551425</v>
      </c>
      <c r="F9" s="10"/>
      <c r="G9" s="9">
        <v>7.1154774023400016</v>
      </c>
      <c r="H9" s="10"/>
      <c r="I9" s="9">
        <v>5.2039248006600021</v>
      </c>
      <c r="J9" s="10"/>
      <c r="K9" s="9">
        <v>6.4633358874599995</v>
      </c>
      <c r="L9" s="10"/>
      <c r="M9" s="9">
        <v>7.0399622498399985</v>
      </c>
      <c r="N9" s="9">
        <v>7.3797023155800003</v>
      </c>
      <c r="O9" s="9">
        <v>6.4519187800200015</v>
      </c>
    </row>
    <row r="10" spans="2:16" x14ac:dyDescent="0.3">
      <c r="B10" s="17" t="s">
        <v>63</v>
      </c>
      <c r="C10" s="7">
        <v>1.0625676240000002</v>
      </c>
      <c r="D10" s="8"/>
      <c r="E10" s="7">
        <v>1.40551425</v>
      </c>
      <c r="F10" s="8"/>
      <c r="G10" s="7">
        <v>7.1154774023400016</v>
      </c>
      <c r="H10" s="8"/>
      <c r="I10" s="7">
        <v>5.2039248006600021</v>
      </c>
      <c r="J10" s="8"/>
      <c r="K10" s="7">
        <v>6.4633358874599995</v>
      </c>
      <c r="L10" s="8"/>
      <c r="M10" s="7">
        <v>7.0399622498399985</v>
      </c>
      <c r="N10" s="7">
        <v>7.3797023155800003</v>
      </c>
      <c r="O10" s="7">
        <v>6.4519187800200015</v>
      </c>
    </row>
    <row r="11" spans="2:16" x14ac:dyDescent="0.3">
      <c r="B11" s="16" t="s">
        <v>81</v>
      </c>
      <c r="C11" s="9">
        <v>13.366859854466098</v>
      </c>
      <c r="D11" s="10"/>
      <c r="E11" s="9">
        <v>14.441346391342439</v>
      </c>
      <c r="F11" s="10"/>
      <c r="G11" s="9">
        <v>15.224293217739639</v>
      </c>
      <c r="H11" s="10"/>
      <c r="I11" s="9">
        <v>15.116413999323251</v>
      </c>
      <c r="J11" s="10"/>
      <c r="K11" s="9">
        <v>15.464940891661634</v>
      </c>
      <c r="L11" s="10"/>
      <c r="M11" s="9">
        <v>21.818340067436097</v>
      </c>
      <c r="N11" s="9">
        <v>13.34257731206432</v>
      </c>
      <c r="O11" s="9">
        <v>17.204673999657601</v>
      </c>
    </row>
    <row r="12" spans="2:16" x14ac:dyDescent="0.3">
      <c r="B12" s="17" t="s">
        <v>64</v>
      </c>
      <c r="C12" s="7">
        <v>13.366859854466098</v>
      </c>
      <c r="D12" s="8"/>
      <c r="E12" s="7">
        <v>14.441346391342439</v>
      </c>
      <c r="F12" s="8"/>
      <c r="G12" s="7">
        <v>15.224293217739639</v>
      </c>
      <c r="H12" s="8"/>
      <c r="I12" s="7">
        <v>15.116413999323251</v>
      </c>
      <c r="J12" s="8"/>
      <c r="K12" s="7">
        <v>15.464940891661634</v>
      </c>
      <c r="L12" s="8"/>
      <c r="M12" s="7">
        <v>21.818340067436097</v>
      </c>
      <c r="N12" s="7">
        <v>13.34257731206432</v>
      </c>
      <c r="O12" s="7">
        <v>17.204673999657601</v>
      </c>
    </row>
    <row r="13" spans="2:16" x14ac:dyDescent="0.3">
      <c r="B13" s="16" t="s">
        <v>82</v>
      </c>
      <c r="C13" s="9">
        <v>558.8725336509923</v>
      </c>
      <c r="D13" s="10"/>
      <c r="E13" s="9">
        <v>916.74315409552582</v>
      </c>
      <c r="F13" s="10"/>
      <c r="G13" s="9">
        <v>672.38785692856072</v>
      </c>
      <c r="H13" s="10"/>
      <c r="I13" s="9">
        <v>1072.3307646586707</v>
      </c>
      <c r="J13" s="10"/>
      <c r="K13" s="9">
        <v>1136.177083759552</v>
      </c>
      <c r="L13" s="10"/>
      <c r="M13" s="9">
        <v>1085.7262171135696</v>
      </c>
      <c r="N13" s="9">
        <v>1009.154221637593</v>
      </c>
      <c r="O13" s="9">
        <v>1100.9514402890009</v>
      </c>
    </row>
    <row r="14" spans="2:16" x14ac:dyDescent="0.3">
      <c r="B14" s="17" t="s">
        <v>65</v>
      </c>
      <c r="C14" s="7">
        <v>405.26495946579712</v>
      </c>
      <c r="D14" s="8"/>
      <c r="E14" s="7">
        <v>474.5060875035669</v>
      </c>
      <c r="F14" s="8"/>
      <c r="G14" s="7">
        <v>487.37141332987818</v>
      </c>
      <c r="H14" s="8"/>
      <c r="I14" s="7">
        <v>492.64169487475851</v>
      </c>
      <c r="J14" s="8"/>
      <c r="K14" s="7">
        <v>505.78156268015596</v>
      </c>
      <c r="L14" s="8"/>
      <c r="M14" s="7">
        <v>511.49265612140601</v>
      </c>
      <c r="N14" s="7">
        <v>518.66483039339641</v>
      </c>
      <c r="O14" s="7">
        <v>505.68738720864712</v>
      </c>
    </row>
    <row r="15" spans="2:16" x14ac:dyDescent="0.3">
      <c r="B15" s="17" t="s">
        <v>66</v>
      </c>
      <c r="C15" s="7">
        <v>153.60757418519518</v>
      </c>
      <c r="D15" s="8"/>
      <c r="E15" s="7">
        <v>442.23706659195886</v>
      </c>
      <c r="F15" s="8"/>
      <c r="G15" s="7">
        <v>185.01644359868257</v>
      </c>
      <c r="H15" s="8"/>
      <c r="I15" s="7">
        <v>579.68906978391215</v>
      </c>
      <c r="J15" s="8"/>
      <c r="K15" s="7">
        <v>630.39552107939608</v>
      </c>
      <c r="L15" s="8"/>
      <c r="M15" s="7">
        <v>574.23356099216358</v>
      </c>
      <c r="N15" s="7">
        <v>490.48939124419655</v>
      </c>
      <c r="O15" s="7">
        <v>595.26405308035385</v>
      </c>
    </row>
    <row r="19" spans="2:16" x14ac:dyDescent="0.3">
      <c r="B19" s="1" t="s">
        <v>83</v>
      </c>
    </row>
    <row r="21" spans="2:16" x14ac:dyDescent="0.3">
      <c r="B21" s="2" t="s">
        <v>71</v>
      </c>
      <c r="C21" s="3">
        <v>2010</v>
      </c>
      <c r="D21" s="3">
        <v>2011</v>
      </c>
      <c r="E21" s="3">
        <v>2012</v>
      </c>
      <c r="F21" s="3">
        <v>2013</v>
      </c>
      <c r="G21" s="3">
        <v>2014</v>
      </c>
      <c r="H21" s="3">
        <v>2015</v>
      </c>
      <c r="I21" s="3">
        <v>2016</v>
      </c>
      <c r="J21" s="3">
        <v>2017</v>
      </c>
      <c r="K21" s="3">
        <v>2018</v>
      </c>
      <c r="L21" s="3">
        <v>2019</v>
      </c>
      <c r="M21" s="3">
        <v>2020</v>
      </c>
      <c r="N21" s="3">
        <v>2021</v>
      </c>
      <c r="O21" s="3">
        <v>2022</v>
      </c>
    </row>
    <row r="22" spans="2:16" x14ac:dyDescent="0.3">
      <c r="B22" s="2" t="s">
        <v>77</v>
      </c>
      <c r="C22" s="9">
        <f>C23+C26+C28+C30</f>
        <v>2271.8999764709597</v>
      </c>
      <c r="D22" s="9">
        <f t="shared" ref="D22:O22" si="0">D23+D26+D28+D30</f>
        <v>2629.4800394515305</v>
      </c>
      <c r="E22" s="9">
        <f t="shared" si="0"/>
        <v>2987.0601024321018</v>
      </c>
      <c r="F22" s="9">
        <f t="shared" si="0"/>
        <v>3064.4531959177039</v>
      </c>
      <c r="G22" s="9">
        <f t="shared" si="0"/>
        <v>3141.8462894033064</v>
      </c>
      <c r="H22" s="9">
        <f t="shared" si="0"/>
        <v>3497.5954157337201</v>
      </c>
      <c r="I22" s="9">
        <f t="shared" si="0"/>
        <v>3853.3445420641337</v>
      </c>
      <c r="J22" s="9">
        <f t="shared" si="0"/>
        <v>3972.9191332864275</v>
      </c>
      <c r="K22" s="9">
        <f t="shared" si="0"/>
        <v>4092.4937245087222</v>
      </c>
      <c r="L22" s="9">
        <f t="shared" si="0"/>
        <v>4271.475738188431</v>
      </c>
      <c r="M22" s="9">
        <f t="shared" si="0"/>
        <v>4450.4577518681399</v>
      </c>
      <c r="N22" s="9">
        <f t="shared" si="0"/>
        <v>4526.7615407977992</v>
      </c>
      <c r="O22" s="9">
        <f t="shared" si="0"/>
        <v>4790.5399560863716</v>
      </c>
    </row>
    <row r="23" spans="2:16" x14ac:dyDescent="0.3">
      <c r="B23" s="2" t="s">
        <v>78</v>
      </c>
      <c r="C23" s="9">
        <f>C24+C25</f>
        <v>1698.5980153415012</v>
      </c>
      <c r="D23" s="9">
        <f t="shared" ref="D23:O23" si="1">D24+D25</f>
        <v>1876.5340515183673</v>
      </c>
      <c r="E23" s="9">
        <f t="shared" si="1"/>
        <v>2054.4700876952334</v>
      </c>
      <c r="F23" s="9">
        <f t="shared" si="1"/>
        <v>2250.7943747749496</v>
      </c>
      <c r="G23" s="9">
        <f t="shared" si="1"/>
        <v>2447.1186618546662</v>
      </c>
      <c r="H23" s="9">
        <f t="shared" si="1"/>
        <v>2603.9060502300727</v>
      </c>
      <c r="I23" s="9">
        <f t="shared" si="1"/>
        <v>2760.6934386054795</v>
      </c>
      <c r="J23" s="9">
        <f t="shared" si="1"/>
        <v>2847.540901287764</v>
      </c>
      <c r="K23" s="9">
        <f t="shared" si="1"/>
        <v>2934.3883639700484</v>
      </c>
      <c r="L23" s="9">
        <f t="shared" si="1"/>
        <v>3135.1307982036715</v>
      </c>
      <c r="M23" s="9">
        <f t="shared" si="1"/>
        <v>3335.8732324372941</v>
      </c>
      <c r="N23" s="9">
        <f t="shared" si="1"/>
        <v>3496.8850395325621</v>
      </c>
      <c r="O23" s="9">
        <f t="shared" si="1"/>
        <v>3665.9319230176934</v>
      </c>
    </row>
    <row r="24" spans="2:16" x14ac:dyDescent="0.3">
      <c r="B24" s="3" t="s">
        <v>84</v>
      </c>
      <c r="C24" s="196">
        <v>892.43221767353373</v>
      </c>
      <c r="D24" s="8">
        <v>1032.8734431154348</v>
      </c>
      <c r="E24" s="196">
        <v>1173.3146685573361</v>
      </c>
      <c r="F24" s="8">
        <v>1229.8135994443251</v>
      </c>
      <c r="G24" s="196">
        <v>1286.3125303313141</v>
      </c>
      <c r="H24" s="8">
        <v>1677.1167955905655</v>
      </c>
      <c r="I24" s="196">
        <v>2067.921060849817</v>
      </c>
      <c r="J24" s="8">
        <v>2250.8325480029271</v>
      </c>
      <c r="K24" s="196">
        <v>2433.7440351560372</v>
      </c>
      <c r="L24" s="8">
        <v>2615.0505740662929</v>
      </c>
      <c r="M24" s="196">
        <v>2796.3571129765487</v>
      </c>
      <c r="N24" s="196">
        <v>3028.8828716581484</v>
      </c>
      <c r="O24" s="196">
        <v>3183.2120698978188</v>
      </c>
      <c r="P24" t="s">
        <v>79</v>
      </c>
    </row>
    <row r="25" spans="2:16" x14ac:dyDescent="0.3">
      <c r="B25" s="3" t="s">
        <v>62</v>
      </c>
      <c r="C25" s="7">
        <v>806.16579766796758</v>
      </c>
      <c r="D25" s="8">
        <v>843.66060840293244</v>
      </c>
      <c r="E25" s="7">
        <v>881.1554191378973</v>
      </c>
      <c r="F25" s="8">
        <v>1020.9807753306247</v>
      </c>
      <c r="G25" s="7">
        <v>1160.8061315233524</v>
      </c>
      <c r="H25" s="8">
        <v>926.78925463950736</v>
      </c>
      <c r="I25" s="7">
        <v>692.77237775566266</v>
      </c>
      <c r="J25" s="8">
        <v>596.7083532848369</v>
      </c>
      <c r="K25" s="7">
        <v>500.64432881401109</v>
      </c>
      <c r="L25" s="8">
        <v>520.08022413737831</v>
      </c>
      <c r="M25" s="7">
        <v>539.51611946074559</v>
      </c>
      <c r="N25" s="7">
        <v>468.00216787441366</v>
      </c>
      <c r="O25" s="7">
        <v>482.71985311987453</v>
      </c>
    </row>
    <row r="26" spans="2:16" x14ac:dyDescent="0.3">
      <c r="B26" s="2" t="s">
        <v>80</v>
      </c>
      <c r="C26" s="9">
        <f>C27</f>
        <v>1.0625676240000002</v>
      </c>
      <c r="D26" s="9">
        <f t="shared" ref="D26:O26" si="2">D27</f>
        <v>1.2340409370000001</v>
      </c>
      <c r="E26" s="9">
        <f t="shared" si="2"/>
        <v>1.40551425</v>
      </c>
      <c r="F26" s="9">
        <f t="shared" si="2"/>
        <v>4.2604958261700006</v>
      </c>
      <c r="G26" s="9">
        <f t="shared" si="2"/>
        <v>7.1154774023400007</v>
      </c>
      <c r="H26" s="9">
        <f t="shared" si="2"/>
        <v>6.1597011015000014</v>
      </c>
      <c r="I26" s="9">
        <f t="shared" si="2"/>
        <v>5.2039248006600012</v>
      </c>
      <c r="J26" s="9">
        <f t="shared" si="2"/>
        <v>5.8336303440600004</v>
      </c>
      <c r="K26" s="9">
        <f t="shared" si="2"/>
        <v>6.4633358874599995</v>
      </c>
      <c r="L26" s="9">
        <f t="shared" si="2"/>
        <v>6.751649068649999</v>
      </c>
      <c r="M26" s="9">
        <f t="shared" si="2"/>
        <v>7.0399622498399985</v>
      </c>
      <c r="N26" s="9">
        <f t="shared" si="2"/>
        <v>7.3797023155800003</v>
      </c>
      <c r="O26" s="9">
        <f t="shared" si="2"/>
        <v>6.4519187800200015</v>
      </c>
    </row>
    <row r="27" spans="2:16" x14ac:dyDescent="0.3">
      <c r="B27" s="3" t="s">
        <v>63</v>
      </c>
      <c r="C27" s="7">
        <v>1.0625676240000002</v>
      </c>
      <c r="D27" s="8">
        <v>1.2340409370000001</v>
      </c>
      <c r="E27" s="7">
        <v>1.40551425</v>
      </c>
      <c r="F27" s="8">
        <v>4.2604958261700006</v>
      </c>
      <c r="G27" s="7">
        <v>7.1154774023400007</v>
      </c>
      <c r="H27" s="8">
        <v>6.1597011015000014</v>
      </c>
      <c r="I27" s="7">
        <v>5.2039248006600012</v>
      </c>
      <c r="J27" s="8">
        <v>5.8336303440600004</v>
      </c>
      <c r="K27" s="7">
        <v>6.4633358874599995</v>
      </c>
      <c r="L27" s="8">
        <v>6.751649068649999</v>
      </c>
      <c r="M27" s="7">
        <v>7.0399622498399985</v>
      </c>
      <c r="N27" s="7">
        <v>7.3797023155800003</v>
      </c>
      <c r="O27" s="7">
        <v>6.4519187800200015</v>
      </c>
    </row>
    <row r="28" spans="2:16" x14ac:dyDescent="0.3">
      <c r="B28" s="2" t="s">
        <v>81</v>
      </c>
      <c r="C28" s="9">
        <f>C29</f>
        <v>13.366859854466096</v>
      </c>
      <c r="D28" s="9">
        <f t="shared" ref="D28:O28" si="3">D29</f>
        <v>13.904103122904267</v>
      </c>
      <c r="E28" s="9">
        <f t="shared" si="3"/>
        <v>14.441346391342439</v>
      </c>
      <c r="F28" s="9">
        <f t="shared" si="3"/>
        <v>14.832819804541039</v>
      </c>
      <c r="G28" s="9">
        <f t="shared" si="3"/>
        <v>15.224293217739639</v>
      </c>
      <c r="H28" s="9">
        <f t="shared" si="3"/>
        <v>15.170353608531446</v>
      </c>
      <c r="I28" s="9">
        <f t="shared" si="3"/>
        <v>15.116413999323251</v>
      </c>
      <c r="J28" s="9">
        <f t="shared" si="3"/>
        <v>15.290677445492442</v>
      </c>
      <c r="K28" s="9">
        <f t="shared" si="3"/>
        <v>15.464940891661634</v>
      </c>
      <c r="L28" s="9">
        <f t="shared" si="3"/>
        <v>18.641640479548865</v>
      </c>
      <c r="M28" s="9">
        <f t="shared" si="3"/>
        <v>21.818340067436097</v>
      </c>
      <c r="N28" s="9">
        <f t="shared" si="3"/>
        <v>13.34257731206432</v>
      </c>
      <c r="O28" s="9">
        <f t="shared" si="3"/>
        <v>17.204673999657601</v>
      </c>
    </row>
    <row r="29" spans="2:16" x14ac:dyDescent="0.3">
      <c r="B29" s="3" t="s">
        <v>64</v>
      </c>
      <c r="C29" s="7">
        <v>13.366859854466096</v>
      </c>
      <c r="D29" s="8">
        <v>13.904103122904267</v>
      </c>
      <c r="E29" s="7">
        <v>14.441346391342439</v>
      </c>
      <c r="F29" s="8">
        <v>14.832819804541039</v>
      </c>
      <c r="G29" s="7">
        <v>15.224293217739639</v>
      </c>
      <c r="H29" s="8">
        <v>15.170353608531446</v>
      </c>
      <c r="I29" s="7">
        <v>15.116413999323251</v>
      </c>
      <c r="J29" s="8">
        <v>15.290677445492442</v>
      </c>
      <c r="K29" s="7">
        <v>15.464940891661634</v>
      </c>
      <c r="L29" s="8">
        <v>18.641640479548865</v>
      </c>
      <c r="M29" s="7">
        <v>21.818340067436097</v>
      </c>
      <c r="N29" s="7">
        <v>13.34257731206432</v>
      </c>
      <c r="O29" s="7">
        <v>17.204673999657601</v>
      </c>
    </row>
    <row r="30" spans="2:16" x14ac:dyDescent="0.3">
      <c r="B30" s="2" t="s">
        <v>82</v>
      </c>
      <c r="C30" s="9">
        <f>C31+C32</f>
        <v>558.8725336509923</v>
      </c>
      <c r="D30" s="9">
        <f t="shared" ref="D30:O30" si="4">D31+D32</f>
        <v>737.80784387325912</v>
      </c>
      <c r="E30" s="9">
        <f t="shared" si="4"/>
        <v>916.74315409552582</v>
      </c>
      <c r="F30" s="9">
        <f t="shared" si="4"/>
        <v>794.56550551204327</v>
      </c>
      <c r="G30" s="9">
        <f t="shared" si="4"/>
        <v>672.3878569285605</v>
      </c>
      <c r="H30" s="9">
        <f t="shared" si="4"/>
        <v>872.35931079361558</v>
      </c>
      <c r="I30" s="9">
        <f t="shared" si="4"/>
        <v>1072.3307646586707</v>
      </c>
      <c r="J30" s="9">
        <f t="shared" si="4"/>
        <v>1104.2539242091113</v>
      </c>
      <c r="K30" s="9">
        <f t="shared" si="4"/>
        <v>1136.177083759552</v>
      </c>
      <c r="L30" s="9">
        <f t="shared" si="4"/>
        <v>1110.9516504365608</v>
      </c>
      <c r="M30" s="9">
        <f t="shared" si="4"/>
        <v>1085.7262171135696</v>
      </c>
      <c r="N30" s="9">
        <f t="shared" si="4"/>
        <v>1009.154221637593</v>
      </c>
      <c r="O30" s="9">
        <f t="shared" si="4"/>
        <v>1100.9514402890009</v>
      </c>
    </row>
    <row r="31" spans="2:16" x14ac:dyDescent="0.3">
      <c r="B31" s="3" t="s">
        <v>65</v>
      </c>
      <c r="C31" s="7">
        <v>405.26495946579712</v>
      </c>
      <c r="D31" s="8">
        <v>439.88552348468204</v>
      </c>
      <c r="E31" s="7">
        <v>474.50608750356696</v>
      </c>
      <c r="F31" s="8">
        <v>480.93875041672254</v>
      </c>
      <c r="G31" s="7">
        <v>487.37141332987812</v>
      </c>
      <c r="H31" s="8">
        <v>490.00655410231832</v>
      </c>
      <c r="I31" s="7">
        <v>492.64169487475851</v>
      </c>
      <c r="J31" s="8">
        <v>499.21162877745724</v>
      </c>
      <c r="K31" s="7">
        <v>505.78156268015601</v>
      </c>
      <c r="L31" s="8">
        <v>508.63710940078101</v>
      </c>
      <c r="M31" s="7">
        <v>511.49265612140601</v>
      </c>
      <c r="N31" s="7">
        <v>518.66483039339641</v>
      </c>
      <c r="O31" s="7">
        <v>505.68738720864712</v>
      </c>
    </row>
    <row r="32" spans="2:16" x14ac:dyDescent="0.3">
      <c r="B32" s="3" t="s">
        <v>66</v>
      </c>
      <c r="C32" s="7">
        <v>153.60757418519518</v>
      </c>
      <c r="D32" s="8">
        <v>297.92232038857702</v>
      </c>
      <c r="E32" s="7">
        <v>442.23706659195886</v>
      </c>
      <c r="F32" s="8">
        <v>313.62675509532068</v>
      </c>
      <c r="G32" s="7">
        <v>185.01644359868237</v>
      </c>
      <c r="H32" s="8">
        <v>382.35275669129732</v>
      </c>
      <c r="I32" s="7">
        <v>579.68906978391215</v>
      </c>
      <c r="J32" s="8">
        <v>605.04229543165411</v>
      </c>
      <c r="K32" s="7">
        <v>630.39552107939608</v>
      </c>
      <c r="L32" s="8">
        <v>602.31454103577983</v>
      </c>
      <c r="M32" s="7">
        <v>574.23356099216358</v>
      </c>
      <c r="N32" s="7">
        <v>490.48939124419655</v>
      </c>
      <c r="O32" s="7">
        <v>595.26405308035385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D7E9E-3213-4969-B4D3-63029F83FC2F}">
  <sheetPr>
    <tabColor theme="8" tint="0.59999389629810485"/>
  </sheetPr>
  <dimension ref="B5:AD98"/>
  <sheetViews>
    <sheetView topLeftCell="B60" workbookViewId="0">
      <selection activeCell="Q90" sqref="Q90"/>
    </sheetView>
  </sheetViews>
  <sheetFormatPr defaultColWidth="8.6640625" defaultRowHeight="14.4" x14ac:dyDescent="0.3"/>
  <cols>
    <col min="3" max="3" width="13.33203125" customWidth="1"/>
    <col min="4" max="4" width="53.6640625" customWidth="1"/>
    <col min="5" max="5" width="16.5546875" customWidth="1"/>
    <col min="6" max="6" width="13.6640625" bestFit="1" customWidth="1"/>
    <col min="7" max="7" width="15.109375" bestFit="1" customWidth="1"/>
    <col min="8" max="8" width="23.6640625" bestFit="1" customWidth="1"/>
    <col min="9" max="16" width="12" bestFit="1" customWidth="1"/>
    <col min="17" max="17" width="13.33203125" bestFit="1" customWidth="1"/>
  </cols>
  <sheetData>
    <row r="5" spans="3:17" x14ac:dyDescent="0.3">
      <c r="D5" s="1" t="s">
        <v>85</v>
      </c>
    </row>
    <row r="9" spans="3:17" x14ac:dyDescent="0.3">
      <c r="C9" t="s">
        <v>86</v>
      </c>
    </row>
    <row r="14" spans="3:17" x14ac:dyDescent="0.3">
      <c r="D14" s="3"/>
      <c r="E14" s="2">
        <v>2010</v>
      </c>
      <c r="F14" s="2">
        <v>2011</v>
      </c>
      <c r="G14" s="2">
        <v>2012</v>
      </c>
      <c r="H14" s="2">
        <v>2013</v>
      </c>
      <c r="I14" s="2">
        <v>2014</v>
      </c>
      <c r="J14" s="2">
        <v>2015</v>
      </c>
      <c r="K14" s="2">
        <v>2016</v>
      </c>
      <c r="L14" s="2">
        <v>2017</v>
      </c>
      <c r="M14" s="2">
        <v>2018</v>
      </c>
      <c r="N14" s="2">
        <v>2019</v>
      </c>
      <c r="O14" s="2">
        <v>2020</v>
      </c>
      <c r="P14" s="2">
        <v>2021</v>
      </c>
      <c r="Q14" s="2">
        <v>2022</v>
      </c>
    </row>
    <row r="15" spans="3:17" x14ac:dyDescent="0.3">
      <c r="D15" s="50" t="s">
        <v>87</v>
      </c>
      <c r="E15" s="3">
        <v>1247.2263514040587</v>
      </c>
      <c r="F15" s="51"/>
      <c r="G15" s="3">
        <v>1448.2413236683055</v>
      </c>
      <c r="H15" s="51"/>
      <c r="I15" s="3">
        <v>1710.8244759187749</v>
      </c>
      <c r="J15" s="51"/>
      <c r="K15" s="3">
        <v>2217.9567985546596</v>
      </c>
      <c r="L15" s="51"/>
      <c r="M15" s="3">
        <v>2461.8405267838016</v>
      </c>
      <c r="N15" s="51"/>
      <c r="O15" s="3">
        <v>2492.1223816650972</v>
      </c>
      <c r="P15" s="3">
        <v>2639.8993637004041</v>
      </c>
      <c r="Q15" s="3">
        <v>2749.1917151923276</v>
      </c>
    </row>
    <row r="16" spans="3:17" x14ac:dyDescent="0.3">
      <c r="D16" s="49" t="s">
        <v>88</v>
      </c>
      <c r="E16" s="3">
        <v>2.5554767317693201E-2</v>
      </c>
      <c r="F16" s="51"/>
      <c r="G16" s="3">
        <v>2.8934470119578316E-2</v>
      </c>
      <c r="H16" s="51"/>
      <c r="I16" s="3">
        <v>2.6852394195171336E-2</v>
      </c>
      <c r="J16" s="51"/>
      <c r="K16" s="3">
        <v>3.3298359846281329E-2</v>
      </c>
      <c r="L16" s="51"/>
      <c r="M16" s="3">
        <v>3.5306685742376102E-2</v>
      </c>
      <c r="N16" s="51"/>
      <c r="O16" s="3">
        <v>4.0074234566800079E-2</v>
      </c>
      <c r="P16" s="3">
        <v>4.0976709097681252E-2</v>
      </c>
      <c r="Q16" s="3">
        <v>4.135257091211636E-2</v>
      </c>
    </row>
    <row r="17" spans="2:17" x14ac:dyDescent="0.3">
      <c r="D17" s="49" t="s">
        <v>89</v>
      </c>
      <c r="E17" s="3">
        <v>31.872579202626206</v>
      </c>
      <c r="F17" s="51"/>
      <c r="G17" s="3">
        <v>41.904095305619137</v>
      </c>
      <c r="H17" s="51"/>
      <c r="I17" s="3">
        <v>45.939733226118349</v>
      </c>
      <c r="J17" s="51"/>
      <c r="K17" s="3">
        <v>73.854323601779171</v>
      </c>
      <c r="L17" s="51"/>
      <c r="M17" s="3">
        <v>86.919429827001323</v>
      </c>
      <c r="N17" s="51"/>
      <c r="O17" s="3">
        <v>99.869896892019582</v>
      </c>
      <c r="P17" s="3">
        <v>108.1743882735053</v>
      </c>
      <c r="Q17" s="3">
        <v>113.68614535349353</v>
      </c>
    </row>
    <row r="18" spans="2:17" x14ac:dyDescent="0.3">
      <c r="D18" s="170" t="s">
        <v>90</v>
      </c>
      <c r="E18" s="3">
        <v>0</v>
      </c>
      <c r="F18" s="51">
        <v>0</v>
      </c>
      <c r="G18" s="3">
        <v>0</v>
      </c>
      <c r="H18" s="51">
        <v>0</v>
      </c>
      <c r="I18" s="3">
        <v>0</v>
      </c>
      <c r="J18" s="51">
        <v>0</v>
      </c>
      <c r="K18" s="3">
        <v>3.0756572365585639</v>
      </c>
      <c r="L18" s="51"/>
      <c r="M18" s="3">
        <v>10.084900419905299</v>
      </c>
      <c r="N18" s="51"/>
      <c r="O18" s="3">
        <v>10.123646814973645</v>
      </c>
      <c r="P18" s="3">
        <v>9.6484387670865743</v>
      </c>
      <c r="Q18" s="3">
        <v>9.5143395336370968</v>
      </c>
    </row>
    <row r="19" spans="2:17" x14ac:dyDescent="0.3">
      <c r="D19" s="3" t="s">
        <v>91</v>
      </c>
      <c r="E19" s="3">
        <f t="shared" ref="E19:Q19" si="0">E17*E25</f>
        <v>892.43221767353373</v>
      </c>
      <c r="F19" s="51">
        <f t="shared" si="0"/>
        <v>0</v>
      </c>
      <c r="G19" s="3">
        <f t="shared" si="0"/>
        <v>1173.3146685573358</v>
      </c>
      <c r="H19" s="51">
        <f t="shared" si="0"/>
        <v>0</v>
      </c>
      <c r="I19" s="3">
        <f t="shared" si="0"/>
        <v>1286.3125303313138</v>
      </c>
      <c r="J19" s="51">
        <f t="shared" si="0"/>
        <v>0</v>
      </c>
      <c r="K19" s="3">
        <f t="shared" si="0"/>
        <v>2067.921060849817</v>
      </c>
      <c r="L19" s="51">
        <f t="shared" si="0"/>
        <v>0</v>
      </c>
      <c r="M19" s="3">
        <f t="shared" si="0"/>
        <v>2433.7440351560372</v>
      </c>
      <c r="N19" s="51">
        <f t="shared" si="0"/>
        <v>0</v>
      </c>
      <c r="O19" s="3">
        <f t="shared" si="0"/>
        <v>2796.3571129765483</v>
      </c>
      <c r="P19" s="3">
        <f t="shared" si="0"/>
        <v>3028.8828716581484</v>
      </c>
      <c r="Q19" s="3">
        <f t="shared" si="0"/>
        <v>3183.2120698978188</v>
      </c>
    </row>
    <row r="20" spans="2:17" x14ac:dyDescent="0.3">
      <c r="D20" s="3" t="s">
        <v>92</v>
      </c>
      <c r="E20" s="3">
        <f t="shared" ref="E20:Q20" si="1">E18*E25</f>
        <v>0</v>
      </c>
      <c r="F20" s="51">
        <f t="shared" si="1"/>
        <v>0</v>
      </c>
      <c r="G20" s="3">
        <f t="shared" si="1"/>
        <v>0</v>
      </c>
      <c r="H20" s="51">
        <f t="shared" si="1"/>
        <v>0</v>
      </c>
      <c r="I20" s="3">
        <f t="shared" si="1"/>
        <v>0</v>
      </c>
      <c r="J20" s="51">
        <f t="shared" si="1"/>
        <v>0</v>
      </c>
      <c r="K20" s="3">
        <f t="shared" si="1"/>
        <v>86.118402623639795</v>
      </c>
      <c r="L20" s="51">
        <f t="shared" si="1"/>
        <v>0</v>
      </c>
      <c r="M20" s="3">
        <f t="shared" si="1"/>
        <v>282.37721175734839</v>
      </c>
      <c r="N20" s="51">
        <f t="shared" si="1"/>
        <v>0</v>
      </c>
      <c r="O20" s="3">
        <f t="shared" si="1"/>
        <v>283.46211081926208</v>
      </c>
      <c r="P20" s="3">
        <f t="shared" si="1"/>
        <v>270.15628547842408</v>
      </c>
      <c r="Q20" s="3">
        <f t="shared" si="1"/>
        <v>266.4015069418387</v>
      </c>
    </row>
    <row r="21" spans="2:17" x14ac:dyDescent="0.3">
      <c r="D21" s="49" t="s">
        <v>93</v>
      </c>
      <c r="E21" s="3">
        <f>(E17+E18)/E15</f>
        <v>2.5554767317693225E-2</v>
      </c>
      <c r="F21" s="3"/>
      <c r="G21" s="3">
        <f t="shared" ref="G21:Q21" si="2">(G17+G18)/G15</f>
        <v>2.8934470119578316E-2</v>
      </c>
      <c r="H21" s="3"/>
      <c r="I21" s="3">
        <f t="shared" si="2"/>
        <v>2.6852394195171336E-2</v>
      </c>
      <c r="J21" s="3"/>
      <c r="K21" s="3">
        <f t="shared" si="2"/>
        <v>3.4685067305399941E-2</v>
      </c>
      <c r="L21" s="3"/>
      <c r="M21" s="3">
        <f t="shared" si="2"/>
        <v>3.9403173841497788E-2</v>
      </c>
      <c r="N21" s="3"/>
      <c r="O21" s="3">
        <f t="shared" si="2"/>
        <v>4.4136493663486008E-2</v>
      </c>
      <c r="P21" s="3">
        <f t="shared" si="2"/>
        <v>4.4631560074107166E-2</v>
      </c>
      <c r="Q21" s="3">
        <f t="shared" si="2"/>
        <v>4.4813347940164221E-2</v>
      </c>
    </row>
    <row r="22" spans="2:17" x14ac:dyDescent="0.3">
      <c r="D22" s="49" t="s">
        <v>94</v>
      </c>
      <c r="E22" s="3">
        <f>E17+E18</f>
        <v>31.872579202626206</v>
      </c>
      <c r="F22" s="3"/>
      <c r="G22" s="3">
        <f t="shared" ref="G22:Q22" si="3">G17+G18</f>
        <v>41.904095305619137</v>
      </c>
      <c r="H22" s="3"/>
      <c r="I22" s="3">
        <f t="shared" si="3"/>
        <v>45.939733226118349</v>
      </c>
      <c r="J22" s="3"/>
      <c r="K22" s="3">
        <f t="shared" si="3"/>
        <v>76.929980838337741</v>
      </c>
      <c r="L22" s="3"/>
      <c r="M22" s="3">
        <f t="shared" si="3"/>
        <v>97.004330246906619</v>
      </c>
      <c r="N22" s="3"/>
      <c r="O22" s="3">
        <f t="shared" si="3"/>
        <v>109.99354370699322</v>
      </c>
      <c r="P22" s="3">
        <f t="shared" si="3"/>
        <v>117.82282704059187</v>
      </c>
      <c r="Q22" s="3">
        <f t="shared" si="3"/>
        <v>123.20048488713063</v>
      </c>
    </row>
    <row r="24" spans="2:17" x14ac:dyDescent="0.3">
      <c r="D24" t="s">
        <v>95</v>
      </c>
    </row>
    <row r="25" spans="2:17" x14ac:dyDescent="0.3">
      <c r="D25" t="s">
        <v>96</v>
      </c>
      <c r="E25">
        <v>28</v>
      </c>
      <c r="F25">
        <v>28</v>
      </c>
      <c r="G25">
        <v>28</v>
      </c>
      <c r="H25">
        <v>28</v>
      </c>
      <c r="I25">
        <v>28</v>
      </c>
      <c r="J25">
        <v>28</v>
      </c>
      <c r="K25">
        <v>28</v>
      </c>
      <c r="L25">
        <v>28</v>
      </c>
      <c r="M25">
        <v>28</v>
      </c>
      <c r="N25">
        <v>28</v>
      </c>
      <c r="O25">
        <v>28</v>
      </c>
      <c r="P25">
        <v>28</v>
      </c>
      <c r="Q25">
        <v>28</v>
      </c>
    </row>
    <row r="27" spans="2:17" x14ac:dyDescent="0.3">
      <c r="D27" t="s">
        <v>97</v>
      </c>
    </row>
    <row r="28" spans="2:17" x14ac:dyDescent="0.3">
      <c r="B28" t="s">
        <v>98</v>
      </c>
      <c r="C28" t="s">
        <v>99</v>
      </c>
      <c r="D28" s="3" t="s">
        <v>84</v>
      </c>
      <c r="E28" s="7">
        <v>892.43221767353373</v>
      </c>
      <c r="F28" s="8">
        <v>1032.8734431154301</v>
      </c>
      <c r="G28" s="7">
        <v>1173.3146685573361</v>
      </c>
      <c r="H28" s="8">
        <v>1229.8135994443251</v>
      </c>
      <c r="I28" s="7">
        <v>1286.3125303313141</v>
      </c>
      <c r="J28" s="8">
        <v>1677.1167955905655</v>
      </c>
      <c r="K28" s="7">
        <v>2067.921060849817</v>
      </c>
      <c r="L28" s="8">
        <v>2250.8325480029271</v>
      </c>
      <c r="M28" s="7">
        <v>2433.7440351560372</v>
      </c>
      <c r="N28" s="8">
        <v>2615.0505740662929</v>
      </c>
      <c r="O28" s="7">
        <v>2796.3571129765487</v>
      </c>
      <c r="P28" s="7">
        <v>3028.8828716581484</v>
      </c>
      <c r="Q28" s="7">
        <v>3183.2120698978188</v>
      </c>
    </row>
    <row r="29" spans="2:17" x14ac:dyDescent="0.3">
      <c r="B29" t="s">
        <v>100</v>
      </c>
      <c r="C29" t="s">
        <v>99</v>
      </c>
      <c r="D29" s="3" t="s">
        <v>84</v>
      </c>
      <c r="E29" s="7">
        <v>892.43221767353373</v>
      </c>
      <c r="F29" s="8">
        <v>1032.8734431154348</v>
      </c>
      <c r="G29" s="7">
        <v>1173.3146685573399</v>
      </c>
      <c r="H29" s="8">
        <v>1229.8135994443251</v>
      </c>
      <c r="I29" s="7">
        <v>1286.3125303313138</v>
      </c>
      <c r="J29" s="8">
        <v>1720.1759969023854</v>
      </c>
      <c r="K29" s="7">
        <v>2154.0394634734566</v>
      </c>
      <c r="L29" s="8">
        <v>2435.0803551934214</v>
      </c>
      <c r="M29" s="7">
        <v>2716.1212469133861</v>
      </c>
      <c r="N29" s="8">
        <v>2897.9702353545981</v>
      </c>
      <c r="O29" s="7">
        <v>3079.8192237958101</v>
      </c>
      <c r="P29" s="7">
        <f t="shared" ref="P29:Q29" si="4">P19+P20</f>
        <v>3299.0391571365726</v>
      </c>
      <c r="Q29" s="7">
        <f t="shared" si="4"/>
        <v>3449.6135768396575</v>
      </c>
    </row>
    <row r="30" spans="2:17" x14ac:dyDescent="0.3">
      <c r="D30" t="s">
        <v>101</v>
      </c>
    </row>
    <row r="31" spans="2:17" x14ac:dyDescent="0.3">
      <c r="D31" s="49" t="s">
        <v>88</v>
      </c>
      <c r="E31" s="3">
        <v>2.5554767317693225E-2</v>
      </c>
      <c r="F31" s="4">
        <v>2.7244618718635771E-2</v>
      </c>
      <c r="G31" s="3">
        <v>2.8934470119578316E-2</v>
      </c>
      <c r="H31" s="4">
        <v>2.7893432157374824E-2</v>
      </c>
      <c r="I31" s="3">
        <v>2.6852394195171329E-2</v>
      </c>
      <c r="J31" s="4">
        <v>3.0075377020726331E-2</v>
      </c>
      <c r="K31" s="3">
        <v>3.3298359846281329E-2</v>
      </c>
      <c r="L31" s="4">
        <v>3.4302522794328716E-2</v>
      </c>
      <c r="M31" s="3">
        <v>3.5306685742376102E-2</v>
      </c>
      <c r="N31" s="4">
        <v>3.7690460154588087E-2</v>
      </c>
      <c r="O31" s="3">
        <v>4.0074234566800079E-2</v>
      </c>
      <c r="P31" s="3">
        <v>4.0976709097681252E-2</v>
      </c>
      <c r="Q31" s="3">
        <v>4.135257091211636E-2</v>
      </c>
    </row>
    <row r="32" spans="2:17" x14ac:dyDescent="0.3">
      <c r="D32" s="49" t="s">
        <v>93</v>
      </c>
      <c r="E32" s="3">
        <v>2.5554767317693225E-2</v>
      </c>
      <c r="F32" s="4">
        <v>2.7244618718635771E-2</v>
      </c>
      <c r="G32" s="3">
        <v>2.8934470119578316E-2</v>
      </c>
      <c r="H32" s="4">
        <v>2.7893432157374824E-2</v>
      </c>
      <c r="I32" s="3">
        <v>2.6852394195171329E-2</v>
      </c>
      <c r="J32" s="4">
        <v>3.0768730750285633E-2</v>
      </c>
      <c r="K32" s="3">
        <v>3.4685067305399941E-2</v>
      </c>
      <c r="L32" s="4">
        <v>3.7044120573448865E-2</v>
      </c>
      <c r="M32" s="3">
        <v>3.9403173841497788E-2</v>
      </c>
      <c r="N32" s="4">
        <v>4.1769833752491894E-2</v>
      </c>
      <c r="O32" s="3">
        <v>4.4136493663486008E-2</v>
      </c>
      <c r="P32" s="3">
        <v>4.4631560074107166E-2</v>
      </c>
      <c r="Q32" s="3">
        <v>4.4813347940164221E-2</v>
      </c>
    </row>
    <row r="33" spans="3:17" x14ac:dyDescent="0.3">
      <c r="D33" t="s">
        <v>102</v>
      </c>
    </row>
    <row r="34" spans="3:17" x14ac:dyDescent="0.3">
      <c r="D34" s="50" t="s">
        <v>103</v>
      </c>
      <c r="E34" s="3">
        <v>1247.2263514040587</v>
      </c>
      <c r="F34" s="51">
        <f>F28/(F31*F25)</f>
        <v>1353.9678288428483</v>
      </c>
      <c r="G34" s="3">
        <v>1448.2413236683101</v>
      </c>
      <c r="H34" s="51">
        <f>H28/(H31*H25)</f>
        <v>1574.6328389443504</v>
      </c>
      <c r="I34" s="3">
        <v>1710.8244759187749</v>
      </c>
      <c r="J34" s="51">
        <f>J28/(J31*J25)</f>
        <v>1991.5636759157153</v>
      </c>
      <c r="K34" s="3">
        <v>2217.9567985546596</v>
      </c>
      <c r="L34" s="51">
        <f>L28/(L31*L25)</f>
        <v>2343.4683564347265</v>
      </c>
      <c r="M34" s="3">
        <v>2461.8405267838016</v>
      </c>
      <c r="N34" s="51">
        <f>N28/(N31*N25)</f>
        <v>2477.9390587552025</v>
      </c>
      <c r="O34" s="3">
        <v>2492.1223816650972</v>
      </c>
      <c r="P34" s="3">
        <v>2639.8993637004041</v>
      </c>
      <c r="Q34" s="3">
        <v>2749.1917151923276</v>
      </c>
    </row>
    <row r="35" spans="3:17" x14ac:dyDescent="0.3">
      <c r="D35" s="50" t="s">
        <v>104</v>
      </c>
      <c r="E35" s="3">
        <f>E29/(E32*28)</f>
        <v>1247.2263514040587</v>
      </c>
      <c r="F35" s="51">
        <f t="shared" ref="F35:Q35" si="5">F29/(F32*28)</f>
        <v>1353.9678288428547</v>
      </c>
      <c r="G35" s="3">
        <f t="shared" si="5"/>
        <v>1448.2413236683105</v>
      </c>
      <c r="H35" s="51">
        <f t="shared" si="5"/>
        <v>1574.6328389443504</v>
      </c>
      <c r="I35" s="3">
        <f t="shared" si="5"/>
        <v>1710.8244759187753</v>
      </c>
      <c r="J35" s="51">
        <f t="shared" si="5"/>
        <v>1996.6653005879268</v>
      </c>
      <c r="K35" s="3">
        <f t="shared" si="5"/>
        <v>2217.9567985546591</v>
      </c>
      <c r="L35" s="51">
        <f t="shared" si="5"/>
        <v>2347.664196000791</v>
      </c>
      <c r="M35" s="3">
        <f t="shared" si="5"/>
        <v>2461.840526783802</v>
      </c>
      <c r="N35" s="51">
        <f t="shared" si="5"/>
        <v>2477.8393323333594</v>
      </c>
      <c r="O35" s="3">
        <f t="shared" si="5"/>
        <v>2492.1223816650968</v>
      </c>
      <c r="P35" s="3">
        <f t="shared" si="5"/>
        <v>2639.8993637004046</v>
      </c>
      <c r="Q35" s="3">
        <f t="shared" si="5"/>
        <v>2749.1917151923276</v>
      </c>
    </row>
    <row r="38" spans="3:17" x14ac:dyDescent="0.3">
      <c r="C38" s="1" t="s">
        <v>105</v>
      </c>
    </row>
    <row r="39" spans="3:17" ht="15" thickBot="1" x14ac:dyDescent="0.35">
      <c r="E39" s="53">
        <v>2010</v>
      </c>
      <c r="F39" s="53">
        <v>2011</v>
      </c>
      <c r="G39" s="53">
        <v>2012</v>
      </c>
      <c r="H39" s="53">
        <v>2013</v>
      </c>
      <c r="I39" s="53">
        <v>2014</v>
      </c>
      <c r="J39" s="53">
        <v>2015</v>
      </c>
      <c r="K39" s="53">
        <v>2016</v>
      </c>
      <c r="L39" s="53">
        <v>2017</v>
      </c>
      <c r="M39" s="53">
        <v>2018</v>
      </c>
      <c r="N39" s="53">
        <v>2019</v>
      </c>
      <c r="O39" s="53">
        <v>2020</v>
      </c>
      <c r="P39" s="53">
        <v>2021</v>
      </c>
      <c r="Q39" s="53">
        <v>2022</v>
      </c>
    </row>
    <row r="40" spans="3:17" ht="15" thickBot="1" x14ac:dyDescent="0.35">
      <c r="D40" s="29" t="s">
        <v>106</v>
      </c>
      <c r="E40" s="18">
        <f>ROUND(E34/1000,4)</f>
        <v>1.2472000000000001</v>
      </c>
      <c r="F40" s="19">
        <f t="shared" ref="F40:Q40" si="6">ROUND(F34/1000,4)</f>
        <v>1.3540000000000001</v>
      </c>
      <c r="G40" s="19">
        <f t="shared" si="6"/>
        <v>1.4481999999999999</v>
      </c>
      <c r="H40" s="19">
        <f t="shared" si="6"/>
        <v>1.5746</v>
      </c>
      <c r="I40" s="19">
        <f t="shared" si="6"/>
        <v>1.7108000000000001</v>
      </c>
      <c r="J40" s="19">
        <f t="shared" si="6"/>
        <v>1.9916</v>
      </c>
      <c r="K40" s="19">
        <f t="shared" si="6"/>
        <v>2.218</v>
      </c>
      <c r="L40" s="19">
        <f t="shared" si="6"/>
        <v>2.3435000000000001</v>
      </c>
      <c r="M40" s="19">
        <f t="shared" si="6"/>
        <v>2.4618000000000002</v>
      </c>
      <c r="N40" s="19">
        <f t="shared" si="6"/>
        <v>2.4779</v>
      </c>
      <c r="O40" s="19">
        <f t="shared" si="6"/>
        <v>2.4921000000000002</v>
      </c>
      <c r="P40" s="19">
        <f t="shared" si="6"/>
        <v>2.6398999999999999</v>
      </c>
      <c r="Q40" s="21">
        <f t="shared" si="6"/>
        <v>2.7492000000000001</v>
      </c>
    </row>
    <row r="41" spans="3:17" x14ac:dyDescent="0.3">
      <c r="D41" s="18" t="s">
        <v>107</v>
      </c>
      <c r="E41" s="44">
        <f>ROUND(E28/E34,4)</f>
        <v>0.71550000000000002</v>
      </c>
      <c r="F41" s="42">
        <f t="shared" ref="F41:Q41" si="7">ROUND(F28/F34,4)</f>
        <v>0.76280000000000003</v>
      </c>
      <c r="G41" s="42">
        <f t="shared" si="7"/>
        <v>0.81020000000000003</v>
      </c>
      <c r="H41" s="42">
        <f t="shared" si="7"/>
        <v>0.78100000000000003</v>
      </c>
      <c r="I41" s="42">
        <f t="shared" si="7"/>
        <v>0.75190000000000001</v>
      </c>
      <c r="J41" s="42">
        <f t="shared" si="7"/>
        <v>0.84209999999999996</v>
      </c>
      <c r="K41" s="42">
        <f t="shared" si="7"/>
        <v>0.93240000000000001</v>
      </c>
      <c r="L41" s="42">
        <f t="shared" si="7"/>
        <v>0.96050000000000002</v>
      </c>
      <c r="M41" s="42">
        <f t="shared" si="7"/>
        <v>0.98860000000000003</v>
      </c>
      <c r="N41" s="42">
        <f t="shared" si="7"/>
        <v>1.0552999999999999</v>
      </c>
      <c r="O41" s="42">
        <f t="shared" si="7"/>
        <v>1.1221000000000001</v>
      </c>
      <c r="P41" s="42">
        <f t="shared" si="7"/>
        <v>1.1473</v>
      </c>
      <c r="Q41" s="43">
        <f t="shared" si="7"/>
        <v>1.1578999999999999</v>
      </c>
    </row>
    <row r="42" spans="3:17" x14ac:dyDescent="0.3">
      <c r="D42" s="22" t="s">
        <v>108</v>
      </c>
      <c r="E42" s="45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34">
        <v>0</v>
      </c>
    </row>
    <row r="43" spans="3:17" x14ac:dyDescent="0.3">
      <c r="D43" s="22" t="s">
        <v>109</v>
      </c>
      <c r="E43" s="45">
        <f>ROUND(E16*E25,4)</f>
        <v>0.71550000000000002</v>
      </c>
      <c r="F43" s="13">
        <f>ROUND(F31*F25,4)</f>
        <v>0.76280000000000003</v>
      </c>
      <c r="G43" s="13">
        <f t="shared" ref="G43:Q43" si="8">ROUND(G16*G25,4)</f>
        <v>0.81020000000000003</v>
      </c>
      <c r="H43" s="13">
        <f>ROUND(H31*H25,4)</f>
        <v>0.78100000000000003</v>
      </c>
      <c r="I43" s="13">
        <f t="shared" si="8"/>
        <v>0.75190000000000001</v>
      </c>
      <c r="J43" s="13">
        <f>ROUND(J31*J25,4)</f>
        <v>0.84209999999999996</v>
      </c>
      <c r="K43" s="13">
        <f t="shared" si="8"/>
        <v>0.93240000000000001</v>
      </c>
      <c r="L43" s="13">
        <f>ROUND(L31*L25,4)</f>
        <v>0.96050000000000002</v>
      </c>
      <c r="M43" s="13">
        <f t="shared" si="8"/>
        <v>0.98860000000000003</v>
      </c>
      <c r="N43" s="13">
        <f>ROUND(N31*N25,4)</f>
        <v>1.0552999999999999</v>
      </c>
      <c r="O43" s="13">
        <f t="shared" si="8"/>
        <v>1.1221000000000001</v>
      </c>
      <c r="P43" s="13">
        <f t="shared" si="8"/>
        <v>1.1473</v>
      </c>
      <c r="Q43" s="34">
        <f t="shared" si="8"/>
        <v>1.1578999999999999</v>
      </c>
    </row>
    <row r="44" spans="3:17" ht="15" thickBot="1" x14ac:dyDescent="0.35">
      <c r="D44" s="25" t="s">
        <v>110</v>
      </c>
      <c r="E44" s="46">
        <v>0</v>
      </c>
      <c r="F44" s="32">
        <v>0</v>
      </c>
      <c r="G44" s="32">
        <v>0</v>
      </c>
      <c r="H44" s="32">
        <v>0</v>
      </c>
      <c r="I44" s="32">
        <v>0</v>
      </c>
      <c r="J44" s="32">
        <v>0</v>
      </c>
      <c r="K44" s="32">
        <v>0</v>
      </c>
      <c r="L44" s="32">
        <v>0</v>
      </c>
      <c r="M44" s="32">
        <v>0</v>
      </c>
      <c r="N44" s="32">
        <v>0</v>
      </c>
      <c r="O44" s="32">
        <v>0</v>
      </c>
      <c r="P44" s="32">
        <v>0</v>
      </c>
      <c r="Q44" s="33">
        <v>0</v>
      </c>
    </row>
    <row r="45" spans="3:17" x14ac:dyDescent="0.3">
      <c r="D45" s="18" t="s">
        <v>111</v>
      </c>
      <c r="E45" s="18">
        <f>E40*E41</f>
        <v>0.89237160000000004</v>
      </c>
      <c r="F45" s="19">
        <f t="shared" ref="F45:Q45" si="9">F40*F41</f>
        <v>1.0328312000000002</v>
      </c>
      <c r="G45" s="19">
        <f t="shared" si="9"/>
        <v>1.17333164</v>
      </c>
      <c r="H45" s="19">
        <f t="shared" si="9"/>
        <v>1.2297626000000002</v>
      </c>
      <c r="I45" s="19">
        <f t="shared" si="9"/>
        <v>1.2863505200000001</v>
      </c>
      <c r="J45" s="19">
        <f t="shared" si="9"/>
        <v>1.6771263599999999</v>
      </c>
      <c r="K45" s="19">
        <f t="shared" si="9"/>
        <v>2.0680632000000001</v>
      </c>
      <c r="L45" s="19">
        <f t="shared" si="9"/>
        <v>2.2509317500000003</v>
      </c>
      <c r="M45" s="19">
        <f t="shared" si="9"/>
        <v>2.4337354800000002</v>
      </c>
      <c r="N45" s="19">
        <f t="shared" si="9"/>
        <v>2.6149278699999998</v>
      </c>
      <c r="O45" s="19">
        <f t="shared" si="9"/>
        <v>2.7963854100000005</v>
      </c>
      <c r="P45" s="19">
        <f t="shared" si="9"/>
        <v>3.0287572699999998</v>
      </c>
      <c r="Q45" s="21">
        <f t="shared" si="9"/>
        <v>3.18329868</v>
      </c>
    </row>
    <row r="46" spans="3:17" x14ac:dyDescent="0.3">
      <c r="D46" s="22" t="s">
        <v>112</v>
      </c>
      <c r="E46" s="22">
        <f>E40*E42</f>
        <v>0</v>
      </c>
      <c r="F46">
        <f t="shared" ref="F46:Q46" si="10">F40*F42</f>
        <v>0</v>
      </c>
      <c r="G46">
        <f t="shared" si="10"/>
        <v>0</v>
      </c>
      <c r="H46">
        <f t="shared" si="10"/>
        <v>0</v>
      </c>
      <c r="I46">
        <f t="shared" si="10"/>
        <v>0</v>
      </c>
      <c r="J46">
        <f t="shared" si="10"/>
        <v>0</v>
      </c>
      <c r="K46">
        <f t="shared" si="10"/>
        <v>0</v>
      </c>
      <c r="L46">
        <f t="shared" si="10"/>
        <v>0</v>
      </c>
      <c r="M46">
        <f t="shared" si="10"/>
        <v>0</v>
      </c>
      <c r="N46">
        <f t="shared" si="10"/>
        <v>0</v>
      </c>
      <c r="O46">
        <f t="shared" si="10"/>
        <v>0</v>
      </c>
      <c r="P46">
        <f t="shared" si="10"/>
        <v>0</v>
      </c>
      <c r="Q46" s="24">
        <f t="shared" si="10"/>
        <v>0</v>
      </c>
    </row>
    <row r="47" spans="3:17" x14ac:dyDescent="0.3">
      <c r="D47" s="22" t="s">
        <v>113</v>
      </c>
      <c r="E47" s="22">
        <f>E40*E43</f>
        <v>0.89237160000000004</v>
      </c>
      <c r="F47">
        <f t="shared" ref="F47:Q47" si="11">F40*F43</f>
        <v>1.0328312000000002</v>
      </c>
      <c r="G47">
        <f t="shared" si="11"/>
        <v>1.17333164</v>
      </c>
      <c r="H47">
        <f t="shared" si="11"/>
        <v>1.2297626000000002</v>
      </c>
      <c r="I47">
        <f t="shared" si="11"/>
        <v>1.2863505200000001</v>
      </c>
      <c r="J47">
        <f t="shared" si="11"/>
        <v>1.6771263599999999</v>
      </c>
      <c r="K47">
        <f t="shared" si="11"/>
        <v>2.0680632000000001</v>
      </c>
      <c r="L47">
        <f t="shared" si="11"/>
        <v>2.2509317500000003</v>
      </c>
      <c r="M47">
        <f t="shared" si="11"/>
        <v>2.4337354800000002</v>
      </c>
      <c r="N47">
        <f t="shared" si="11"/>
        <v>2.6149278699999998</v>
      </c>
      <c r="O47">
        <f t="shared" si="11"/>
        <v>2.7963854100000005</v>
      </c>
      <c r="P47">
        <f t="shared" si="11"/>
        <v>3.0287572699999998</v>
      </c>
      <c r="Q47" s="24">
        <f t="shared" si="11"/>
        <v>3.18329868</v>
      </c>
    </row>
    <row r="48" spans="3:17" ht="15" thickBot="1" x14ac:dyDescent="0.35">
      <c r="D48" s="22" t="s">
        <v>114</v>
      </c>
      <c r="E48" s="22">
        <f>E40*E44</f>
        <v>0</v>
      </c>
      <c r="F48">
        <f t="shared" ref="F48:Q48" si="12">F40*F44</f>
        <v>0</v>
      </c>
      <c r="G48">
        <f t="shared" si="12"/>
        <v>0</v>
      </c>
      <c r="H48">
        <f t="shared" si="12"/>
        <v>0</v>
      </c>
      <c r="I48">
        <f t="shared" si="12"/>
        <v>0</v>
      </c>
      <c r="J48">
        <f t="shared" si="12"/>
        <v>0</v>
      </c>
      <c r="K48">
        <f t="shared" si="12"/>
        <v>0</v>
      </c>
      <c r="L48">
        <f t="shared" si="12"/>
        <v>0</v>
      </c>
      <c r="M48">
        <f t="shared" si="12"/>
        <v>0</v>
      </c>
      <c r="N48">
        <f t="shared" si="12"/>
        <v>0</v>
      </c>
      <c r="O48">
        <f t="shared" si="12"/>
        <v>0</v>
      </c>
      <c r="P48">
        <f t="shared" si="12"/>
        <v>0</v>
      </c>
      <c r="Q48" s="24">
        <f t="shared" si="12"/>
        <v>0</v>
      </c>
    </row>
    <row r="49" spans="3:30" ht="15" thickBot="1" x14ac:dyDescent="0.35">
      <c r="D49" s="29" t="s">
        <v>115</v>
      </c>
      <c r="E49" s="47">
        <f>E45-E46-E47-E48</f>
        <v>0</v>
      </c>
      <c r="F49" s="35">
        <f t="shared" ref="F49:Q49" si="13">F45-F46-F47-F48</f>
        <v>0</v>
      </c>
      <c r="G49" s="35">
        <f t="shared" si="13"/>
        <v>0</v>
      </c>
      <c r="H49" s="35">
        <f t="shared" si="13"/>
        <v>0</v>
      </c>
      <c r="I49" s="35">
        <f t="shared" si="13"/>
        <v>0</v>
      </c>
      <c r="J49" s="35">
        <f t="shared" si="13"/>
        <v>0</v>
      </c>
      <c r="K49" s="35">
        <f t="shared" si="13"/>
        <v>0</v>
      </c>
      <c r="L49" s="35">
        <f t="shared" si="13"/>
        <v>0</v>
      </c>
      <c r="M49" s="35">
        <f t="shared" si="13"/>
        <v>0</v>
      </c>
      <c r="N49" s="35">
        <f t="shared" si="13"/>
        <v>0</v>
      </c>
      <c r="O49" s="35">
        <f t="shared" si="13"/>
        <v>0</v>
      </c>
      <c r="P49" s="35">
        <f t="shared" si="13"/>
        <v>0</v>
      </c>
      <c r="Q49" s="36">
        <f t="shared" si="13"/>
        <v>0</v>
      </c>
    </row>
    <row r="52" spans="3:30" x14ac:dyDescent="0.3">
      <c r="C52" s="1" t="s">
        <v>116</v>
      </c>
    </row>
    <row r="53" spans="3:30" ht="15" thickBot="1" x14ac:dyDescent="0.35">
      <c r="E53" s="53">
        <v>2010</v>
      </c>
      <c r="F53" s="53">
        <v>2011</v>
      </c>
      <c r="G53" s="53">
        <v>2012</v>
      </c>
      <c r="H53" s="53">
        <v>2013</v>
      </c>
      <c r="I53" s="53">
        <v>2014</v>
      </c>
      <c r="J53" s="53">
        <v>2015</v>
      </c>
      <c r="K53" s="53">
        <v>2016</v>
      </c>
      <c r="L53" s="53">
        <v>2017</v>
      </c>
      <c r="M53" s="53">
        <v>2018</v>
      </c>
      <c r="N53" s="53">
        <v>2019</v>
      </c>
      <c r="O53" s="53">
        <v>2020</v>
      </c>
      <c r="P53" s="53">
        <v>2021</v>
      </c>
      <c r="Q53" s="53">
        <v>2022</v>
      </c>
      <c r="R53" s="150">
        <v>2023</v>
      </c>
      <c r="S53" s="150">
        <v>2024</v>
      </c>
      <c r="T53" s="150">
        <v>2025</v>
      </c>
      <c r="U53" s="150">
        <v>2026</v>
      </c>
      <c r="V53" s="150">
        <v>2027</v>
      </c>
      <c r="W53" s="150">
        <v>2028</v>
      </c>
      <c r="X53" s="150">
        <v>2029</v>
      </c>
      <c r="Y53" s="150">
        <v>2030</v>
      </c>
      <c r="Z53" s="150">
        <v>2031</v>
      </c>
      <c r="AA53" s="150">
        <v>2032</v>
      </c>
      <c r="AB53" s="150">
        <v>2033</v>
      </c>
      <c r="AC53" s="150">
        <v>2034</v>
      </c>
      <c r="AD53" s="150">
        <v>2035</v>
      </c>
    </row>
    <row r="54" spans="3:30" ht="15" thickBot="1" x14ac:dyDescent="0.35">
      <c r="D54" s="29" t="s">
        <v>106</v>
      </c>
      <c r="E54" s="18">
        <f>E40</f>
        <v>1.2472000000000001</v>
      </c>
      <c r="F54" s="19">
        <f t="shared" ref="F54:Q54" si="14">F40</f>
        <v>1.3540000000000001</v>
      </c>
      <c r="G54" s="19">
        <f t="shared" si="14"/>
        <v>1.4481999999999999</v>
      </c>
      <c r="H54" s="19">
        <f t="shared" si="14"/>
        <v>1.5746</v>
      </c>
      <c r="I54" s="19">
        <f t="shared" si="14"/>
        <v>1.7108000000000001</v>
      </c>
      <c r="J54" s="19">
        <f t="shared" si="14"/>
        <v>1.9916</v>
      </c>
      <c r="K54" s="19">
        <f t="shared" si="14"/>
        <v>2.218</v>
      </c>
      <c r="L54" s="19">
        <f t="shared" si="14"/>
        <v>2.3435000000000001</v>
      </c>
      <c r="M54" s="19">
        <f t="shared" si="14"/>
        <v>2.4618000000000002</v>
      </c>
      <c r="N54" s="19">
        <f t="shared" si="14"/>
        <v>2.4779</v>
      </c>
      <c r="O54" s="19">
        <f t="shared" si="14"/>
        <v>2.4921000000000002</v>
      </c>
      <c r="P54" s="19">
        <f t="shared" si="14"/>
        <v>2.6398999999999999</v>
      </c>
      <c r="Q54" s="21">
        <f t="shared" si="14"/>
        <v>2.7492000000000001</v>
      </c>
      <c r="R54" s="197">
        <v>2.9081999999999999</v>
      </c>
      <c r="S54" s="198">
        <v>3.0701000000000001</v>
      </c>
      <c r="T54" s="198">
        <v>3.2347999999999999</v>
      </c>
      <c r="U54" s="198">
        <v>3.4022000000000001</v>
      </c>
      <c r="V54" s="198">
        <v>3.5720999999999998</v>
      </c>
      <c r="W54" s="198">
        <v>3.7446000000000002</v>
      </c>
      <c r="X54" s="198">
        <v>3.9197000000000002</v>
      </c>
      <c r="Y54" s="198">
        <v>4.0970000000000004</v>
      </c>
      <c r="Z54" s="198">
        <v>4.1769999999999996</v>
      </c>
      <c r="AA54" s="198">
        <v>4.2571000000000003</v>
      </c>
      <c r="AB54" s="198">
        <v>4.3372000000000002</v>
      </c>
      <c r="AC54" s="198">
        <v>4.4173</v>
      </c>
      <c r="AD54" s="199">
        <v>4.4973000000000001</v>
      </c>
    </row>
    <row r="55" spans="3:30" x14ac:dyDescent="0.3">
      <c r="D55" s="18" t="s">
        <v>107</v>
      </c>
      <c r="E55" s="44">
        <f>E41</f>
        <v>0.71550000000000002</v>
      </c>
      <c r="F55" s="42">
        <f t="shared" ref="F55:Q55" si="15">F41</f>
        <v>0.76280000000000003</v>
      </c>
      <c r="G55" s="42">
        <f t="shared" si="15"/>
        <v>0.81020000000000003</v>
      </c>
      <c r="H55" s="42">
        <f t="shared" si="15"/>
        <v>0.78100000000000003</v>
      </c>
      <c r="I55" s="42">
        <f t="shared" si="15"/>
        <v>0.75190000000000001</v>
      </c>
      <c r="J55" s="42">
        <f t="shared" si="15"/>
        <v>0.84209999999999996</v>
      </c>
      <c r="K55" s="42">
        <f t="shared" si="15"/>
        <v>0.93240000000000001</v>
      </c>
      <c r="L55" s="42">
        <f t="shared" si="15"/>
        <v>0.96050000000000002</v>
      </c>
      <c r="M55" s="42">
        <f t="shared" si="15"/>
        <v>0.98860000000000003</v>
      </c>
      <c r="N55" s="42">
        <f t="shared" si="15"/>
        <v>1.0552999999999999</v>
      </c>
      <c r="O55" s="42">
        <f t="shared" si="15"/>
        <v>1.1221000000000001</v>
      </c>
      <c r="P55" s="42">
        <f t="shared" si="15"/>
        <v>1.1473</v>
      </c>
      <c r="Q55" s="42">
        <f t="shared" si="15"/>
        <v>1.1578999999999999</v>
      </c>
      <c r="R55" s="18">
        <f>ROUND(R57*$Q$25,4)</f>
        <v>1.2068000000000001</v>
      </c>
      <c r="S55" s="19">
        <f t="shared" ref="S55:AD55" si="16">ROUND(S57*$Q$25,4)</f>
        <v>1.2572000000000001</v>
      </c>
      <c r="T55" s="19">
        <f t="shared" si="16"/>
        <v>1.3104</v>
      </c>
      <c r="U55" s="19">
        <f t="shared" si="16"/>
        <v>1.3664000000000001</v>
      </c>
      <c r="V55" s="19">
        <f t="shared" si="16"/>
        <v>1.4224000000000001</v>
      </c>
      <c r="W55" s="19">
        <f t="shared" si="16"/>
        <v>1.4812000000000001</v>
      </c>
      <c r="X55" s="19">
        <f t="shared" si="16"/>
        <v>1.5427999999999999</v>
      </c>
      <c r="Y55" s="19">
        <f t="shared" si="16"/>
        <v>1.6072</v>
      </c>
      <c r="Z55" s="19">
        <f t="shared" si="16"/>
        <v>1.6744000000000001</v>
      </c>
      <c r="AA55" s="19">
        <f t="shared" si="16"/>
        <v>1.7444</v>
      </c>
      <c r="AB55" s="19">
        <f t="shared" si="16"/>
        <v>1.8171999999999999</v>
      </c>
      <c r="AC55" s="19">
        <f t="shared" si="16"/>
        <v>1.8928</v>
      </c>
      <c r="AD55" s="21">
        <f t="shared" si="16"/>
        <v>1.9712000000000001</v>
      </c>
    </row>
    <row r="56" spans="3:30" x14ac:dyDescent="0.3">
      <c r="D56" s="22" t="s">
        <v>117</v>
      </c>
      <c r="E56" s="45">
        <f t="shared" ref="E56:Q58" si="17">E42</f>
        <v>0</v>
      </c>
      <c r="F56" s="13">
        <f t="shared" si="17"/>
        <v>0</v>
      </c>
      <c r="G56" s="13">
        <f t="shared" si="17"/>
        <v>0</v>
      </c>
      <c r="H56" s="13">
        <f t="shared" si="17"/>
        <v>0</v>
      </c>
      <c r="I56" s="13">
        <f t="shared" si="17"/>
        <v>0</v>
      </c>
      <c r="J56" s="13">
        <f t="shared" si="17"/>
        <v>0</v>
      </c>
      <c r="K56" s="13">
        <f t="shared" si="17"/>
        <v>0</v>
      </c>
      <c r="L56" s="13">
        <f t="shared" si="17"/>
        <v>0</v>
      </c>
      <c r="M56" s="13">
        <f t="shared" si="17"/>
        <v>0</v>
      </c>
      <c r="N56" s="13">
        <f t="shared" si="17"/>
        <v>0</v>
      </c>
      <c r="O56" s="13">
        <f t="shared" si="17"/>
        <v>0</v>
      </c>
      <c r="P56" s="13">
        <f t="shared" si="17"/>
        <v>0</v>
      </c>
      <c r="Q56" s="13">
        <f t="shared" si="17"/>
        <v>0</v>
      </c>
      <c r="R56" s="22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 s="24">
        <v>0</v>
      </c>
    </row>
    <row r="57" spans="3:30" x14ac:dyDescent="0.3">
      <c r="D57" s="22" t="s">
        <v>118</v>
      </c>
      <c r="E57" s="45">
        <f>ROUND(E16,4)</f>
        <v>2.5600000000000001E-2</v>
      </c>
      <c r="F57" s="13">
        <f>ROUND(F31,4)</f>
        <v>2.7199999999999998E-2</v>
      </c>
      <c r="G57" s="13">
        <f t="shared" ref="G57:Q57" si="18">ROUND(G16,4)</f>
        <v>2.8899999999999999E-2</v>
      </c>
      <c r="H57" s="13">
        <f>ROUND(H31,4)</f>
        <v>2.7900000000000001E-2</v>
      </c>
      <c r="I57" s="13">
        <f t="shared" si="18"/>
        <v>2.69E-2</v>
      </c>
      <c r="J57" s="13">
        <f>ROUND(J31,4)</f>
        <v>3.0099999999999998E-2</v>
      </c>
      <c r="K57" s="13">
        <f t="shared" si="18"/>
        <v>3.3300000000000003E-2</v>
      </c>
      <c r="L57" s="13">
        <f>ROUND(L31,4)</f>
        <v>3.4299999999999997E-2</v>
      </c>
      <c r="M57" s="13">
        <f t="shared" si="18"/>
        <v>3.5299999999999998E-2</v>
      </c>
      <c r="N57" s="13">
        <f>ROUND(N31,4)</f>
        <v>3.7699999999999997E-2</v>
      </c>
      <c r="O57" s="13">
        <f t="shared" si="18"/>
        <v>4.0099999999999997E-2</v>
      </c>
      <c r="P57" s="13">
        <f t="shared" si="18"/>
        <v>4.1000000000000002E-2</v>
      </c>
      <c r="Q57" s="13">
        <f t="shared" si="18"/>
        <v>4.1399999999999999E-2</v>
      </c>
      <c r="R57" s="22">
        <f>ROUND(Q57*(1+$Q$67),4)</f>
        <v>4.3099999999999999E-2</v>
      </c>
      <c r="S57">
        <f t="shared" ref="S57:AD57" si="19">ROUND(R57*(1+$Q$67),4)</f>
        <v>4.4900000000000002E-2</v>
      </c>
      <c r="T57">
        <f t="shared" si="19"/>
        <v>4.6800000000000001E-2</v>
      </c>
      <c r="U57">
        <f t="shared" si="19"/>
        <v>4.8800000000000003E-2</v>
      </c>
      <c r="V57">
        <f t="shared" si="19"/>
        <v>5.0799999999999998E-2</v>
      </c>
      <c r="W57">
        <f t="shared" si="19"/>
        <v>5.2900000000000003E-2</v>
      </c>
      <c r="X57">
        <f t="shared" si="19"/>
        <v>5.5100000000000003E-2</v>
      </c>
      <c r="Y57">
        <f t="shared" si="19"/>
        <v>5.74E-2</v>
      </c>
      <c r="Z57">
        <f t="shared" si="19"/>
        <v>5.9799999999999999E-2</v>
      </c>
      <c r="AA57">
        <f t="shared" si="19"/>
        <v>6.2300000000000001E-2</v>
      </c>
      <c r="AB57">
        <f t="shared" si="19"/>
        <v>6.4899999999999999E-2</v>
      </c>
      <c r="AC57">
        <f t="shared" si="19"/>
        <v>6.7599999999999993E-2</v>
      </c>
      <c r="AD57" s="24">
        <f t="shared" si="19"/>
        <v>7.0400000000000004E-2</v>
      </c>
    </row>
    <row r="58" spans="3:30" ht="15" thickBot="1" x14ac:dyDescent="0.35">
      <c r="D58" s="25" t="s">
        <v>119</v>
      </c>
      <c r="E58" s="45">
        <f t="shared" si="17"/>
        <v>0</v>
      </c>
      <c r="F58" s="13">
        <f t="shared" si="17"/>
        <v>0</v>
      </c>
      <c r="G58" s="13">
        <f t="shared" si="17"/>
        <v>0</v>
      </c>
      <c r="H58" s="13">
        <f t="shared" si="17"/>
        <v>0</v>
      </c>
      <c r="I58" s="13">
        <f t="shared" si="17"/>
        <v>0</v>
      </c>
      <c r="J58" s="13">
        <f t="shared" si="17"/>
        <v>0</v>
      </c>
      <c r="K58" s="13">
        <f t="shared" si="17"/>
        <v>0</v>
      </c>
      <c r="L58" s="13">
        <f t="shared" si="17"/>
        <v>0</v>
      </c>
      <c r="M58" s="13">
        <f t="shared" si="17"/>
        <v>0</v>
      </c>
      <c r="N58" s="13">
        <f t="shared" si="17"/>
        <v>0</v>
      </c>
      <c r="O58" s="13">
        <f t="shared" si="17"/>
        <v>0</v>
      </c>
      <c r="P58" s="13">
        <f t="shared" si="17"/>
        <v>0</v>
      </c>
      <c r="Q58" s="13">
        <f t="shared" si="17"/>
        <v>0</v>
      </c>
      <c r="R58" s="22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s="24">
        <v>0</v>
      </c>
    </row>
    <row r="59" spans="3:30" x14ac:dyDescent="0.3">
      <c r="D59" s="18" t="s">
        <v>111</v>
      </c>
      <c r="E59" s="44">
        <f>E54*E55</f>
        <v>0.89237160000000004</v>
      </c>
      <c r="F59" s="42">
        <f t="shared" ref="F59:Q59" si="20">F54*F55</f>
        <v>1.0328312000000002</v>
      </c>
      <c r="G59" s="42">
        <f t="shared" si="20"/>
        <v>1.17333164</v>
      </c>
      <c r="H59" s="42">
        <f t="shared" si="20"/>
        <v>1.2297626000000002</v>
      </c>
      <c r="I59" s="42">
        <f t="shared" si="20"/>
        <v>1.2863505200000001</v>
      </c>
      <c r="J59" s="42">
        <f t="shared" si="20"/>
        <v>1.6771263599999999</v>
      </c>
      <c r="K59" s="42">
        <f t="shared" si="20"/>
        <v>2.0680632000000001</v>
      </c>
      <c r="L59" s="42">
        <f t="shared" si="20"/>
        <v>2.2509317500000003</v>
      </c>
      <c r="M59" s="42">
        <f t="shared" si="20"/>
        <v>2.4337354800000002</v>
      </c>
      <c r="N59" s="42">
        <f t="shared" si="20"/>
        <v>2.6149278699999998</v>
      </c>
      <c r="O59" s="42">
        <f t="shared" si="20"/>
        <v>2.7963854100000005</v>
      </c>
      <c r="P59" s="42">
        <f t="shared" si="20"/>
        <v>3.0287572699999998</v>
      </c>
      <c r="Q59" s="42">
        <f t="shared" si="20"/>
        <v>3.18329868</v>
      </c>
      <c r="R59" s="44">
        <f>R54*R55</f>
        <v>3.50961576</v>
      </c>
      <c r="S59" s="42">
        <f t="shared" ref="S59:AD59" si="21">S54*S55</f>
        <v>3.8597297200000003</v>
      </c>
      <c r="T59" s="42">
        <f t="shared" si="21"/>
        <v>4.2388819199999999</v>
      </c>
      <c r="U59" s="42">
        <f t="shared" si="21"/>
        <v>4.6487660800000006</v>
      </c>
      <c r="V59" s="42">
        <f t="shared" si="21"/>
        <v>5.0809550400000001</v>
      </c>
      <c r="W59" s="42">
        <f t="shared" si="21"/>
        <v>5.5465015200000005</v>
      </c>
      <c r="X59" s="42">
        <f t="shared" si="21"/>
        <v>6.0473131599999999</v>
      </c>
      <c r="Y59" s="42">
        <f t="shared" si="21"/>
        <v>6.5846984000000006</v>
      </c>
      <c r="Z59" s="42">
        <f t="shared" si="21"/>
        <v>6.9939688000000002</v>
      </c>
      <c r="AA59" s="42">
        <f t="shared" si="21"/>
        <v>7.4260852399999999</v>
      </c>
      <c r="AB59" s="42">
        <f t="shared" si="21"/>
        <v>7.8815598399999995</v>
      </c>
      <c r="AC59" s="42">
        <f t="shared" si="21"/>
        <v>8.3610654400000008</v>
      </c>
      <c r="AD59" s="43">
        <f t="shared" si="21"/>
        <v>8.8650777600000001</v>
      </c>
    </row>
    <row r="60" spans="3:30" x14ac:dyDescent="0.3">
      <c r="D60" s="22" t="s">
        <v>120</v>
      </c>
      <c r="E60" s="45">
        <f>E54*E56</f>
        <v>0</v>
      </c>
      <c r="F60" s="13">
        <f t="shared" ref="F60:Q60" si="22">F54*F56</f>
        <v>0</v>
      </c>
      <c r="G60" s="13">
        <f t="shared" si="22"/>
        <v>0</v>
      </c>
      <c r="H60" s="13">
        <f t="shared" si="22"/>
        <v>0</v>
      </c>
      <c r="I60" s="13">
        <f t="shared" si="22"/>
        <v>0</v>
      </c>
      <c r="J60" s="13">
        <f t="shared" si="22"/>
        <v>0</v>
      </c>
      <c r="K60" s="13">
        <f t="shared" si="22"/>
        <v>0</v>
      </c>
      <c r="L60" s="13">
        <f t="shared" si="22"/>
        <v>0</v>
      </c>
      <c r="M60" s="13">
        <f t="shared" si="22"/>
        <v>0</v>
      </c>
      <c r="N60" s="13">
        <f t="shared" si="22"/>
        <v>0</v>
      </c>
      <c r="O60" s="13">
        <f t="shared" si="22"/>
        <v>0</v>
      </c>
      <c r="P60" s="13">
        <f t="shared" si="22"/>
        <v>0</v>
      </c>
      <c r="Q60" s="13">
        <f t="shared" si="22"/>
        <v>0</v>
      </c>
      <c r="R60" s="45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34">
        <v>0</v>
      </c>
    </row>
    <row r="61" spans="3:30" x14ac:dyDescent="0.3">
      <c r="D61" s="22" t="s">
        <v>121</v>
      </c>
      <c r="E61" s="45">
        <f>E54*E57</f>
        <v>3.1928320000000003E-2</v>
      </c>
      <c r="F61" s="13">
        <f t="shared" ref="F61:Q61" si="23">F54*F57</f>
        <v>3.6828800000000002E-2</v>
      </c>
      <c r="G61" s="13">
        <f t="shared" si="23"/>
        <v>4.1852979999999998E-2</v>
      </c>
      <c r="H61" s="13">
        <f t="shared" si="23"/>
        <v>4.3931339999999999E-2</v>
      </c>
      <c r="I61" s="13">
        <f t="shared" si="23"/>
        <v>4.6020520000000002E-2</v>
      </c>
      <c r="J61" s="13">
        <f t="shared" si="23"/>
        <v>5.9947159999999999E-2</v>
      </c>
      <c r="K61" s="13">
        <f t="shared" si="23"/>
        <v>7.3859400000000006E-2</v>
      </c>
      <c r="L61" s="13">
        <f t="shared" si="23"/>
        <v>8.0382049999999997E-2</v>
      </c>
      <c r="M61" s="13">
        <f t="shared" si="23"/>
        <v>8.6901539999999999E-2</v>
      </c>
      <c r="N61" s="13">
        <f t="shared" si="23"/>
        <v>9.3416829999999992E-2</v>
      </c>
      <c r="O61" s="13">
        <f t="shared" si="23"/>
        <v>9.9933209999999995E-2</v>
      </c>
      <c r="P61" s="13">
        <f t="shared" si="23"/>
        <v>0.1082359</v>
      </c>
      <c r="Q61" s="13">
        <f t="shared" si="23"/>
        <v>0.11381688</v>
      </c>
      <c r="R61" s="45">
        <f>R54*R57</f>
        <v>0.12534341999999998</v>
      </c>
      <c r="S61" s="13">
        <f t="shared" ref="S61:AD61" si="24">S54*S57</f>
        <v>0.13784749000000002</v>
      </c>
      <c r="T61" s="13">
        <f t="shared" si="24"/>
        <v>0.15138863999999999</v>
      </c>
      <c r="U61" s="13">
        <f t="shared" si="24"/>
        <v>0.16602736000000001</v>
      </c>
      <c r="V61" s="13">
        <f t="shared" si="24"/>
        <v>0.18146267999999999</v>
      </c>
      <c r="W61" s="13">
        <f t="shared" si="24"/>
        <v>0.19808934000000003</v>
      </c>
      <c r="X61" s="13">
        <f t="shared" si="24"/>
        <v>0.21597547000000003</v>
      </c>
      <c r="Y61" s="13">
        <f t="shared" si="24"/>
        <v>0.23516780000000001</v>
      </c>
      <c r="Z61" s="13">
        <f t="shared" si="24"/>
        <v>0.24978459999999997</v>
      </c>
      <c r="AA61" s="13">
        <f t="shared" si="24"/>
        <v>0.26521733000000003</v>
      </c>
      <c r="AB61" s="13">
        <f t="shared" si="24"/>
        <v>0.28148428000000003</v>
      </c>
      <c r="AC61" s="13">
        <f t="shared" si="24"/>
        <v>0.29860947999999998</v>
      </c>
      <c r="AD61" s="34">
        <f t="shared" si="24"/>
        <v>0.31660992000000004</v>
      </c>
    </row>
    <row r="62" spans="3:30" ht="15" thickBot="1" x14ac:dyDescent="0.35">
      <c r="D62" s="25" t="s">
        <v>122</v>
      </c>
      <c r="E62" s="46">
        <f>E54*E58</f>
        <v>0</v>
      </c>
      <c r="F62" s="32">
        <f t="shared" ref="F62:Q62" si="25">F54*F58</f>
        <v>0</v>
      </c>
      <c r="G62" s="32">
        <f t="shared" si="25"/>
        <v>0</v>
      </c>
      <c r="H62" s="32">
        <f t="shared" si="25"/>
        <v>0</v>
      </c>
      <c r="I62" s="32">
        <f t="shared" si="25"/>
        <v>0</v>
      </c>
      <c r="J62" s="32">
        <f t="shared" si="25"/>
        <v>0</v>
      </c>
      <c r="K62" s="32">
        <f t="shared" si="25"/>
        <v>0</v>
      </c>
      <c r="L62" s="32">
        <f t="shared" si="25"/>
        <v>0</v>
      </c>
      <c r="M62" s="32">
        <f t="shared" si="25"/>
        <v>0</v>
      </c>
      <c r="N62" s="32">
        <f t="shared" si="25"/>
        <v>0</v>
      </c>
      <c r="O62" s="32">
        <f t="shared" si="25"/>
        <v>0</v>
      </c>
      <c r="P62" s="32">
        <f t="shared" si="25"/>
        <v>0</v>
      </c>
      <c r="Q62" s="32">
        <f t="shared" si="25"/>
        <v>0</v>
      </c>
      <c r="R62" s="46">
        <v>0</v>
      </c>
      <c r="S62" s="32">
        <v>0</v>
      </c>
      <c r="T62" s="32">
        <v>0</v>
      </c>
      <c r="U62" s="32">
        <v>0</v>
      </c>
      <c r="V62" s="32">
        <v>0</v>
      </c>
      <c r="W62" s="32">
        <v>0</v>
      </c>
      <c r="X62" s="32">
        <v>0</v>
      </c>
      <c r="Y62" s="32">
        <v>0</v>
      </c>
      <c r="Z62" s="32">
        <v>0</v>
      </c>
      <c r="AA62" s="32">
        <v>0</v>
      </c>
      <c r="AB62" s="32">
        <v>0</v>
      </c>
      <c r="AC62" s="32">
        <v>0</v>
      </c>
      <c r="AD62" s="33">
        <v>0</v>
      </c>
    </row>
    <row r="65" spans="3:17" x14ac:dyDescent="0.3">
      <c r="E65">
        <f>(F57-E57)/(E57)</f>
        <v>6.2499999999999889E-2</v>
      </c>
      <c r="F65">
        <f t="shared" ref="F65:P65" si="26">(G57-F57)/(F57)</f>
        <v>6.2500000000000014E-2</v>
      </c>
      <c r="G65">
        <f t="shared" si="26"/>
        <v>-3.4602076124567387E-2</v>
      </c>
      <c r="H65">
        <f t="shared" si="26"/>
        <v>-3.5842293906810069E-2</v>
      </c>
      <c r="I65">
        <f t="shared" si="26"/>
        <v>0.11895910780669137</v>
      </c>
      <c r="J65">
        <f t="shared" si="26"/>
        <v>0.10631229235880416</v>
      </c>
      <c r="K65">
        <f t="shared" si="26"/>
        <v>3.0030030030029846E-2</v>
      </c>
      <c r="L65">
        <f t="shared" si="26"/>
        <v>2.9154518950437348E-2</v>
      </c>
      <c r="M65">
        <f t="shared" si="26"/>
        <v>6.7988668555240772E-2</v>
      </c>
      <c r="N65">
        <f t="shared" si="26"/>
        <v>6.3660477453580888E-2</v>
      </c>
      <c r="O65">
        <f t="shared" si="26"/>
        <v>2.244389027431434E-2</v>
      </c>
      <c r="P65">
        <f t="shared" si="26"/>
        <v>9.7560975609755508E-3</v>
      </c>
      <c r="Q65" s="148"/>
    </row>
    <row r="67" spans="3:17" x14ac:dyDescent="0.3">
      <c r="P67" t="s">
        <v>123</v>
      </c>
      <c r="Q67">
        <f>AVERAGE(E65:P65)</f>
        <v>4.1905059413224727E-2</v>
      </c>
    </row>
    <row r="69" spans="3:17" x14ac:dyDescent="0.3">
      <c r="C69" s="200" t="s">
        <v>124</v>
      </c>
    </row>
    <row r="70" spans="3:17" ht="15" thickBot="1" x14ac:dyDescent="0.35">
      <c r="E70" s="53">
        <v>2010</v>
      </c>
      <c r="F70" s="53">
        <v>2011</v>
      </c>
      <c r="G70" s="53">
        <v>2012</v>
      </c>
      <c r="H70" s="53">
        <v>2013</v>
      </c>
      <c r="I70" s="53">
        <v>2014</v>
      </c>
      <c r="J70" s="53">
        <v>2015</v>
      </c>
      <c r="K70" s="53">
        <v>2016</v>
      </c>
      <c r="L70" s="53">
        <v>2017</v>
      </c>
      <c r="M70" s="53">
        <v>2018</v>
      </c>
      <c r="N70" s="53">
        <v>2019</v>
      </c>
      <c r="O70" s="53">
        <v>2020</v>
      </c>
      <c r="P70" s="53">
        <v>2021</v>
      </c>
      <c r="Q70" s="53">
        <v>2022</v>
      </c>
    </row>
    <row r="71" spans="3:17" ht="15" thickBot="1" x14ac:dyDescent="0.35">
      <c r="D71" s="29" t="s">
        <v>106</v>
      </c>
      <c r="E71" s="18">
        <f>ROUND(E35/1000,4)</f>
        <v>1.2472000000000001</v>
      </c>
      <c r="F71" s="19">
        <f t="shared" ref="F71:Q71" si="27">ROUND(F35/1000,4)</f>
        <v>1.3540000000000001</v>
      </c>
      <c r="G71" s="19">
        <f t="shared" si="27"/>
        <v>1.4481999999999999</v>
      </c>
      <c r="H71" s="19">
        <f t="shared" si="27"/>
        <v>1.5746</v>
      </c>
      <c r="I71" s="19">
        <f t="shared" si="27"/>
        <v>1.7108000000000001</v>
      </c>
      <c r="J71" s="19">
        <f t="shared" si="27"/>
        <v>1.9966999999999999</v>
      </c>
      <c r="K71" s="19">
        <f t="shared" si="27"/>
        <v>2.218</v>
      </c>
      <c r="L71" s="19">
        <f t="shared" si="27"/>
        <v>2.3477000000000001</v>
      </c>
      <c r="M71" s="19">
        <f t="shared" si="27"/>
        <v>2.4618000000000002</v>
      </c>
      <c r="N71" s="19">
        <f t="shared" si="27"/>
        <v>2.4777999999999998</v>
      </c>
      <c r="O71" s="19">
        <f t="shared" si="27"/>
        <v>2.4921000000000002</v>
      </c>
      <c r="P71" s="19">
        <f t="shared" si="27"/>
        <v>2.6398999999999999</v>
      </c>
      <c r="Q71" s="21">
        <f t="shared" si="27"/>
        <v>2.7492000000000001</v>
      </c>
    </row>
    <row r="72" spans="3:17" x14ac:dyDescent="0.3">
      <c r="D72" s="18" t="s">
        <v>125</v>
      </c>
      <c r="E72" s="44">
        <f>ROUND(E29/E35,4)</f>
        <v>0.71550000000000002</v>
      </c>
      <c r="F72" s="42">
        <f t="shared" ref="F72:Q72" si="28">ROUND(F29/F35,4)</f>
        <v>0.76280000000000003</v>
      </c>
      <c r="G72" s="42">
        <f t="shared" si="28"/>
        <v>0.81020000000000003</v>
      </c>
      <c r="H72" s="42">
        <f t="shared" si="28"/>
        <v>0.78100000000000003</v>
      </c>
      <c r="I72" s="42">
        <f t="shared" si="28"/>
        <v>0.75190000000000001</v>
      </c>
      <c r="J72" s="42">
        <f t="shared" si="28"/>
        <v>0.86150000000000004</v>
      </c>
      <c r="K72" s="42">
        <f t="shared" si="28"/>
        <v>0.97119999999999995</v>
      </c>
      <c r="L72" s="42">
        <f t="shared" si="28"/>
        <v>1.0371999999999999</v>
      </c>
      <c r="M72" s="42">
        <f t="shared" si="28"/>
        <v>1.1032999999999999</v>
      </c>
      <c r="N72" s="42">
        <f t="shared" si="28"/>
        <v>1.1696</v>
      </c>
      <c r="O72" s="42">
        <f t="shared" si="28"/>
        <v>1.2358</v>
      </c>
      <c r="P72" s="42">
        <f t="shared" si="28"/>
        <v>1.2497</v>
      </c>
      <c r="Q72" s="43">
        <f t="shared" si="28"/>
        <v>1.2547999999999999</v>
      </c>
    </row>
    <row r="73" spans="3:17" x14ac:dyDescent="0.3">
      <c r="D73" s="22" t="s">
        <v>126</v>
      </c>
      <c r="E73" s="45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34">
        <v>0</v>
      </c>
    </row>
    <row r="74" spans="3:17" x14ac:dyDescent="0.3">
      <c r="D74" s="22" t="s">
        <v>127</v>
      </c>
      <c r="E74" s="45">
        <f>ROUND(E21*E25,4)</f>
        <v>0.71550000000000002</v>
      </c>
      <c r="F74" s="13">
        <f>ROUND(F32*F25,4)</f>
        <v>0.76280000000000003</v>
      </c>
      <c r="G74" s="13">
        <f t="shared" ref="G74:Q74" si="29">ROUND(G21*G25,4)</f>
        <v>0.81020000000000003</v>
      </c>
      <c r="H74" s="13">
        <f>ROUND(H32*H25,4)</f>
        <v>0.78100000000000003</v>
      </c>
      <c r="I74" s="13">
        <f t="shared" si="29"/>
        <v>0.75190000000000001</v>
      </c>
      <c r="J74" s="13">
        <f>ROUND(J32*J25,4)</f>
        <v>0.86150000000000004</v>
      </c>
      <c r="K74" s="13">
        <f t="shared" si="29"/>
        <v>0.97119999999999995</v>
      </c>
      <c r="L74" s="13">
        <f>ROUND(L32*L25,4)</f>
        <v>1.0371999999999999</v>
      </c>
      <c r="M74" s="13">
        <f t="shared" si="29"/>
        <v>1.1032999999999999</v>
      </c>
      <c r="N74" s="13">
        <f>ROUND(N32*N25,4)</f>
        <v>1.1696</v>
      </c>
      <c r="O74" s="13">
        <f t="shared" si="29"/>
        <v>1.2358</v>
      </c>
      <c r="P74" s="13">
        <f t="shared" si="29"/>
        <v>1.2497</v>
      </c>
      <c r="Q74" s="34">
        <f t="shared" si="29"/>
        <v>1.2547999999999999</v>
      </c>
    </row>
    <row r="75" spans="3:17" ht="15" thickBot="1" x14ac:dyDescent="0.35">
      <c r="D75" s="25" t="s">
        <v>128</v>
      </c>
      <c r="E75" s="46">
        <v>0</v>
      </c>
      <c r="F75" s="32">
        <v>0</v>
      </c>
      <c r="G75" s="32">
        <v>0</v>
      </c>
      <c r="H75" s="32">
        <v>0</v>
      </c>
      <c r="I75" s="32">
        <v>0</v>
      </c>
      <c r="J75" s="32">
        <v>0</v>
      </c>
      <c r="K75" s="32">
        <v>0</v>
      </c>
      <c r="L75" s="32">
        <v>0</v>
      </c>
      <c r="M75" s="32">
        <v>0</v>
      </c>
      <c r="N75" s="32">
        <v>0</v>
      </c>
      <c r="O75" s="32">
        <v>0</v>
      </c>
      <c r="P75" s="32">
        <v>0</v>
      </c>
      <c r="Q75" s="33">
        <v>0</v>
      </c>
    </row>
    <row r="76" spans="3:17" x14ac:dyDescent="0.3">
      <c r="D76" s="18" t="s">
        <v>129</v>
      </c>
      <c r="E76" s="18">
        <f>E71*E72</f>
        <v>0.89237160000000004</v>
      </c>
      <c r="F76" s="19">
        <f t="shared" ref="F76:Q76" si="30">F71*F72</f>
        <v>1.0328312000000002</v>
      </c>
      <c r="G76" s="19">
        <f t="shared" si="30"/>
        <v>1.17333164</v>
      </c>
      <c r="H76" s="19">
        <f t="shared" si="30"/>
        <v>1.2297626000000002</v>
      </c>
      <c r="I76" s="19">
        <f t="shared" si="30"/>
        <v>1.2863505200000001</v>
      </c>
      <c r="J76" s="19">
        <f t="shared" si="30"/>
        <v>1.7201570500000001</v>
      </c>
      <c r="K76" s="19">
        <f t="shared" si="30"/>
        <v>2.1541215999999999</v>
      </c>
      <c r="L76" s="19">
        <f t="shared" si="30"/>
        <v>2.4350344399999999</v>
      </c>
      <c r="M76" s="19">
        <f t="shared" si="30"/>
        <v>2.71610394</v>
      </c>
      <c r="N76" s="19">
        <f t="shared" si="30"/>
        <v>2.8980348799999995</v>
      </c>
      <c r="O76" s="19">
        <f t="shared" si="30"/>
        <v>3.0797371800000004</v>
      </c>
      <c r="P76" s="19">
        <f t="shared" si="30"/>
        <v>3.2990830299999998</v>
      </c>
      <c r="Q76" s="21">
        <f t="shared" si="30"/>
        <v>3.4496961599999998</v>
      </c>
    </row>
    <row r="77" spans="3:17" x14ac:dyDescent="0.3">
      <c r="D77" s="22" t="s">
        <v>130</v>
      </c>
      <c r="E77" s="22">
        <f>E71*E73</f>
        <v>0</v>
      </c>
      <c r="F77">
        <f t="shared" ref="F77:Q77" si="31">F71*F73</f>
        <v>0</v>
      </c>
      <c r="G77">
        <f t="shared" si="31"/>
        <v>0</v>
      </c>
      <c r="H77">
        <f t="shared" si="31"/>
        <v>0</v>
      </c>
      <c r="I77">
        <f t="shared" si="31"/>
        <v>0</v>
      </c>
      <c r="J77">
        <f t="shared" si="31"/>
        <v>0</v>
      </c>
      <c r="K77">
        <f t="shared" si="31"/>
        <v>0</v>
      </c>
      <c r="L77">
        <f t="shared" si="31"/>
        <v>0</v>
      </c>
      <c r="M77">
        <f t="shared" si="31"/>
        <v>0</v>
      </c>
      <c r="N77">
        <f t="shared" si="31"/>
        <v>0</v>
      </c>
      <c r="O77">
        <f t="shared" si="31"/>
        <v>0</v>
      </c>
      <c r="P77">
        <f t="shared" si="31"/>
        <v>0</v>
      </c>
      <c r="Q77" s="24">
        <f t="shared" si="31"/>
        <v>0</v>
      </c>
    </row>
    <row r="78" spans="3:17" x14ac:dyDescent="0.3">
      <c r="D78" s="22" t="s">
        <v>131</v>
      </c>
      <c r="E78" s="22">
        <f>E71*E74</f>
        <v>0.89237160000000004</v>
      </c>
      <c r="F78">
        <f t="shared" ref="F78:Q78" si="32">F71*F74</f>
        <v>1.0328312000000002</v>
      </c>
      <c r="G78">
        <f t="shared" si="32"/>
        <v>1.17333164</v>
      </c>
      <c r="H78">
        <f t="shared" si="32"/>
        <v>1.2297626000000002</v>
      </c>
      <c r="I78">
        <f t="shared" si="32"/>
        <v>1.2863505200000001</v>
      </c>
      <c r="J78">
        <f t="shared" si="32"/>
        <v>1.7201570500000001</v>
      </c>
      <c r="K78">
        <f t="shared" si="32"/>
        <v>2.1541215999999999</v>
      </c>
      <c r="L78">
        <f t="shared" si="32"/>
        <v>2.4350344399999999</v>
      </c>
      <c r="M78">
        <f t="shared" si="32"/>
        <v>2.71610394</v>
      </c>
      <c r="N78">
        <f t="shared" si="32"/>
        <v>2.8980348799999995</v>
      </c>
      <c r="O78">
        <f t="shared" si="32"/>
        <v>3.0797371800000004</v>
      </c>
      <c r="P78">
        <f t="shared" si="32"/>
        <v>3.2990830299999998</v>
      </c>
      <c r="Q78" s="24">
        <f t="shared" si="32"/>
        <v>3.4496961599999998</v>
      </c>
    </row>
    <row r="79" spans="3:17" ht="15" thickBot="1" x14ac:dyDescent="0.35">
      <c r="D79" s="22" t="s">
        <v>132</v>
      </c>
      <c r="E79" s="22">
        <f>E71*E75</f>
        <v>0</v>
      </c>
      <c r="F79">
        <f t="shared" ref="F79:Q79" si="33">F71*F75</f>
        <v>0</v>
      </c>
      <c r="G79">
        <f t="shared" si="33"/>
        <v>0</v>
      </c>
      <c r="H79">
        <f t="shared" si="33"/>
        <v>0</v>
      </c>
      <c r="I79">
        <f t="shared" si="33"/>
        <v>0</v>
      </c>
      <c r="J79">
        <f t="shared" si="33"/>
        <v>0</v>
      </c>
      <c r="K79">
        <f t="shared" si="33"/>
        <v>0</v>
      </c>
      <c r="L79">
        <f t="shared" si="33"/>
        <v>0</v>
      </c>
      <c r="M79">
        <f t="shared" si="33"/>
        <v>0</v>
      </c>
      <c r="N79">
        <f t="shared" si="33"/>
        <v>0</v>
      </c>
      <c r="O79">
        <f t="shared" si="33"/>
        <v>0</v>
      </c>
      <c r="P79">
        <f t="shared" si="33"/>
        <v>0</v>
      </c>
      <c r="Q79" s="24">
        <f t="shared" si="33"/>
        <v>0</v>
      </c>
    </row>
    <row r="80" spans="3:17" ht="15" thickBot="1" x14ac:dyDescent="0.35">
      <c r="D80" s="29" t="s">
        <v>115</v>
      </c>
      <c r="E80" s="47">
        <f>E76-E77-E78-E79</f>
        <v>0</v>
      </c>
      <c r="F80" s="35">
        <f t="shared" ref="F80:Q80" si="34">F76-F77-F78-F79</f>
        <v>0</v>
      </c>
      <c r="G80" s="35">
        <f t="shared" si="34"/>
        <v>0</v>
      </c>
      <c r="H80" s="35">
        <f t="shared" si="34"/>
        <v>0</v>
      </c>
      <c r="I80" s="35">
        <f t="shared" si="34"/>
        <v>0</v>
      </c>
      <c r="J80" s="35">
        <f t="shared" si="34"/>
        <v>0</v>
      </c>
      <c r="K80" s="35">
        <f t="shared" si="34"/>
        <v>0</v>
      </c>
      <c r="L80" s="35">
        <f t="shared" si="34"/>
        <v>0</v>
      </c>
      <c r="M80" s="35">
        <f t="shared" si="34"/>
        <v>0</v>
      </c>
      <c r="N80" s="35">
        <f t="shared" si="34"/>
        <v>0</v>
      </c>
      <c r="O80" s="35">
        <f t="shared" si="34"/>
        <v>0</v>
      </c>
      <c r="P80" s="35">
        <f t="shared" si="34"/>
        <v>0</v>
      </c>
      <c r="Q80" s="36">
        <f t="shared" si="34"/>
        <v>0</v>
      </c>
    </row>
    <row r="83" spans="3:30" x14ac:dyDescent="0.3">
      <c r="C83" s="200" t="s">
        <v>133</v>
      </c>
    </row>
    <row r="84" spans="3:30" ht="15" thickBot="1" x14ac:dyDescent="0.35">
      <c r="E84" s="53">
        <v>2010</v>
      </c>
      <c r="F84" s="53">
        <v>2011</v>
      </c>
      <c r="G84" s="53">
        <v>2012</v>
      </c>
      <c r="H84" s="53">
        <v>2013</v>
      </c>
      <c r="I84" s="53">
        <v>2014</v>
      </c>
      <c r="J84" s="53">
        <v>2015</v>
      </c>
      <c r="K84" s="53">
        <v>2016</v>
      </c>
      <c r="L84" s="53">
        <v>2017</v>
      </c>
      <c r="M84" s="53">
        <v>2018</v>
      </c>
      <c r="N84" s="53">
        <v>2019</v>
      </c>
      <c r="O84" s="53">
        <v>2020</v>
      </c>
      <c r="P84" s="53">
        <v>2021</v>
      </c>
      <c r="Q84" s="53">
        <v>2022</v>
      </c>
      <c r="R84" s="150">
        <v>2023</v>
      </c>
      <c r="S84" s="150">
        <v>2024</v>
      </c>
      <c r="T84" s="150">
        <v>2025</v>
      </c>
      <c r="U84" s="150">
        <v>2026</v>
      </c>
      <c r="V84" s="150">
        <v>2027</v>
      </c>
      <c r="W84" s="150">
        <v>2028</v>
      </c>
      <c r="X84" s="150">
        <v>2029</v>
      </c>
      <c r="Y84" s="150">
        <v>2030</v>
      </c>
      <c r="Z84" s="150">
        <v>2031</v>
      </c>
      <c r="AA84" s="150">
        <v>2032</v>
      </c>
      <c r="AB84" s="150">
        <v>2033</v>
      </c>
      <c r="AC84" s="150">
        <v>2034</v>
      </c>
      <c r="AD84" s="150">
        <v>2035</v>
      </c>
    </row>
    <row r="85" spans="3:30" ht="15" thickBot="1" x14ac:dyDescent="0.35">
      <c r="D85" s="29" t="s">
        <v>106</v>
      </c>
      <c r="E85" s="18">
        <f>E71</f>
        <v>1.2472000000000001</v>
      </c>
      <c r="F85" s="19">
        <f t="shared" ref="F85:Q85" si="35">F71</f>
        <v>1.3540000000000001</v>
      </c>
      <c r="G85" s="19">
        <f t="shared" si="35"/>
        <v>1.4481999999999999</v>
      </c>
      <c r="H85" s="19">
        <f t="shared" si="35"/>
        <v>1.5746</v>
      </c>
      <c r="I85" s="19">
        <f t="shared" si="35"/>
        <v>1.7108000000000001</v>
      </c>
      <c r="J85" s="19">
        <f t="shared" si="35"/>
        <v>1.9966999999999999</v>
      </c>
      <c r="K85" s="19">
        <f t="shared" si="35"/>
        <v>2.218</v>
      </c>
      <c r="L85" s="19">
        <f t="shared" si="35"/>
        <v>2.3477000000000001</v>
      </c>
      <c r="M85" s="19">
        <f t="shared" si="35"/>
        <v>2.4618000000000002</v>
      </c>
      <c r="N85" s="19">
        <f t="shared" si="35"/>
        <v>2.4777999999999998</v>
      </c>
      <c r="O85" s="19">
        <f t="shared" si="35"/>
        <v>2.4921000000000002</v>
      </c>
      <c r="P85" s="19">
        <f t="shared" si="35"/>
        <v>2.6398999999999999</v>
      </c>
      <c r="Q85" s="21">
        <f t="shared" si="35"/>
        <v>2.7492000000000001</v>
      </c>
      <c r="R85" s="18">
        <v>2.9081999999999999</v>
      </c>
      <c r="S85" s="19">
        <v>3.0701000000000001</v>
      </c>
      <c r="T85" s="19">
        <v>3.2347999999999999</v>
      </c>
      <c r="U85" s="19">
        <v>3.4022000000000001</v>
      </c>
      <c r="V85" s="19">
        <v>3.5720999999999998</v>
      </c>
      <c r="W85" s="19">
        <v>3.7446000000000002</v>
      </c>
      <c r="X85" s="19">
        <v>3.9197000000000002</v>
      </c>
      <c r="Y85" s="19">
        <v>4.0970000000000004</v>
      </c>
      <c r="Z85" s="19">
        <v>4.1769999999999996</v>
      </c>
      <c r="AA85" s="19">
        <v>4.2571000000000003</v>
      </c>
      <c r="AB85" s="19">
        <v>4.3372000000000002</v>
      </c>
      <c r="AC85" s="19">
        <v>4.4173</v>
      </c>
      <c r="AD85" s="21">
        <v>4.4973000000000001</v>
      </c>
    </row>
    <row r="86" spans="3:30" x14ac:dyDescent="0.3">
      <c r="D86" s="18" t="s">
        <v>125</v>
      </c>
      <c r="E86" s="44">
        <f>E72</f>
        <v>0.71550000000000002</v>
      </c>
      <c r="F86" s="42">
        <f t="shared" ref="F86:Q86" si="36">F72</f>
        <v>0.76280000000000003</v>
      </c>
      <c r="G86" s="42">
        <f t="shared" si="36"/>
        <v>0.81020000000000003</v>
      </c>
      <c r="H86" s="42">
        <f t="shared" si="36"/>
        <v>0.78100000000000003</v>
      </c>
      <c r="I86" s="42">
        <f t="shared" si="36"/>
        <v>0.75190000000000001</v>
      </c>
      <c r="J86" s="42">
        <f t="shared" si="36"/>
        <v>0.86150000000000004</v>
      </c>
      <c r="K86" s="42">
        <f t="shared" si="36"/>
        <v>0.97119999999999995</v>
      </c>
      <c r="L86" s="42">
        <f t="shared" si="36"/>
        <v>1.0371999999999999</v>
      </c>
      <c r="M86" s="42">
        <f t="shared" si="36"/>
        <v>1.1032999999999999</v>
      </c>
      <c r="N86" s="42">
        <f t="shared" si="36"/>
        <v>1.1696</v>
      </c>
      <c r="O86" s="42">
        <f t="shared" si="36"/>
        <v>1.2358</v>
      </c>
      <c r="P86" s="42">
        <f t="shared" si="36"/>
        <v>1.2497</v>
      </c>
      <c r="Q86" s="43">
        <f t="shared" si="36"/>
        <v>1.2547999999999999</v>
      </c>
      <c r="R86" s="18">
        <f>ROUND(R88*$Q$25,4)</f>
        <v>1.3160000000000001</v>
      </c>
      <c r="S86" s="19">
        <f t="shared" ref="S86:AD86" si="37">ROUND(S88*$Q$25,4)</f>
        <v>1.3804000000000001</v>
      </c>
      <c r="T86" s="19">
        <f t="shared" si="37"/>
        <v>1.4476</v>
      </c>
      <c r="U86" s="19">
        <f t="shared" si="37"/>
        <v>1.5176000000000001</v>
      </c>
      <c r="V86" s="19">
        <f t="shared" si="37"/>
        <v>1.5931999999999999</v>
      </c>
      <c r="W86" s="19">
        <f t="shared" si="37"/>
        <v>1.6716</v>
      </c>
      <c r="X86" s="19">
        <f t="shared" si="37"/>
        <v>1.7527999999999999</v>
      </c>
      <c r="Y86" s="19">
        <f t="shared" si="37"/>
        <v>1.8395999999999999</v>
      </c>
      <c r="Z86" s="19">
        <f t="shared" si="37"/>
        <v>1.9292</v>
      </c>
      <c r="AA86" s="19">
        <f t="shared" si="37"/>
        <v>2.0244</v>
      </c>
      <c r="AB86" s="19">
        <f t="shared" si="37"/>
        <v>2.1223999999999998</v>
      </c>
      <c r="AC86" s="19">
        <f t="shared" si="37"/>
        <v>2.226</v>
      </c>
      <c r="AD86" s="21">
        <f t="shared" si="37"/>
        <v>2.3351999999999999</v>
      </c>
    </row>
    <row r="87" spans="3:30" x14ac:dyDescent="0.3">
      <c r="D87" s="22" t="s">
        <v>134</v>
      </c>
      <c r="E87" s="45">
        <f t="shared" ref="E87:Q87" si="38">E73</f>
        <v>0</v>
      </c>
      <c r="F87" s="13">
        <f t="shared" si="38"/>
        <v>0</v>
      </c>
      <c r="G87" s="13">
        <f t="shared" si="38"/>
        <v>0</v>
      </c>
      <c r="H87" s="13">
        <f t="shared" si="38"/>
        <v>0</v>
      </c>
      <c r="I87" s="13">
        <f t="shared" si="38"/>
        <v>0</v>
      </c>
      <c r="J87" s="13">
        <f t="shared" si="38"/>
        <v>0</v>
      </c>
      <c r="K87" s="13">
        <f t="shared" si="38"/>
        <v>0</v>
      </c>
      <c r="L87" s="13">
        <f t="shared" si="38"/>
        <v>0</v>
      </c>
      <c r="M87" s="13">
        <f t="shared" si="38"/>
        <v>0</v>
      </c>
      <c r="N87" s="13">
        <f t="shared" si="38"/>
        <v>0</v>
      </c>
      <c r="O87" s="13">
        <f t="shared" si="38"/>
        <v>0</v>
      </c>
      <c r="P87" s="13">
        <f t="shared" si="38"/>
        <v>0</v>
      </c>
      <c r="Q87" s="34">
        <f t="shared" si="38"/>
        <v>0</v>
      </c>
      <c r="R87" s="45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13">
        <v>0</v>
      </c>
      <c r="AC87" s="13">
        <v>0</v>
      </c>
      <c r="AD87" s="34">
        <v>0</v>
      </c>
    </row>
    <row r="88" spans="3:30" x14ac:dyDescent="0.3">
      <c r="D88" s="22" t="s">
        <v>135</v>
      </c>
      <c r="E88" s="45">
        <f>ROUND(E32,4)</f>
        <v>2.5600000000000001E-2</v>
      </c>
      <c r="F88" s="13">
        <f t="shared" ref="F88:Q88" si="39">ROUND(F32,4)</f>
        <v>2.7199999999999998E-2</v>
      </c>
      <c r="G88" s="13">
        <f t="shared" si="39"/>
        <v>2.8899999999999999E-2</v>
      </c>
      <c r="H88" s="13">
        <f t="shared" si="39"/>
        <v>2.7900000000000001E-2</v>
      </c>
      <c r="I88" s="13">
        <f t="shared" si="39"/>
        <v>2.69E-2</v>
      </c>
      <c r="J88" s="13">
        <f t="shared" si="39"/>
        <v>3.0800000000000001E-2</v>
      </c>
      <c r="K88" s="13">
        <f t="shared" si="39"/>
        <v>3.4700000000000002E-2</v>
      </c>
      <c r="L88" s="13">
        <f t="shared" si="39"/>
        <v>3.6999999999999998E-2</v>
      </c>
      <c r="M88" s="13">
        <f t="shared" si="39"/>
        <v>3.9399999999999998E-2</v>
      </c>
      <c r="N88" s="13">
        <f t="shared" si="39"/>
        <v>4.1799999999999997E-2</v>
      </c>
      <c r="O88" s="13">
        <f t="shared" si="39"/>
        <v>4.41E-2</v>
      </c>
      <c r="P88" s="13">
        <f t="shared" si="39"/>
        <v>4.4600000000000001E-2</v>
      </c>
      <c r="Q88" s="34">
        <f t="shared" si="39"/>
        <v>4.48E-2</v>
      </c>
      <c r="R88" s="22">
        <f>ROUND(Q88*(1+$Q$98),4)</f>
        <v>4.7E-2</v>
      </c>
      <c r="S88">
        <f t="shared" ref="S88:AD88" si="40">ROUND(R88*(1+$Q$98),4)</f>
        <v>4.9299999999999997E-2</v>
      </c>
      <c r="T88">
        <f t="shared" si="40"/>
        <v>5.1700000000000003E-2</v>
      </c>
      <c r="U88">
        <f t="shared" si="40"/>
        <v>5.4199999999999998E-2</v>
      </c>
      <c r="V88">
        <f t="shared" si="40"/>
        <v>5.6899999999999999E-2</v>
      </c>
      <c r="W88">
        <f t="shared" si="40"/>
        <v>5.9700000000000003E-2</v>
      </c>
      <c r="X88">
        <f t="shared" si="40"/>
        <v>6.2600000000000003E-2</v>
      </c>
      <c r="Y88">
        <f t="shared" si="40"/>
        <v>6.5699999999999995E-2</v>
      </c>
      <c r="Z88">
        <f t="shared" si="40"/>
        <v>6.8900000000000003E-2</v>
      </c>
      <c r="AA88">
        <f t="shared" si="40"/>
        <v>7.2300000000000003E-2</v>
      </c>
      <c r="AB88">
        <f t="shared" si="40"/>
        <v>7.5800000000000006E-2</v>
      </c>
      <c r="AC88">
        <f t="shared" si="40"/>
        <v>7.9500000000000001E-2</v>
      </c>
      <c r="AD88" s="24">
        <f t="shared" si="40"/>
        <v>8.3400000000000002E-2</v>
      </c>
    </row>
    <row r="89" spans="3:30" ht="15" thickBot="1" x14ac:dyDescent="0.35">
      <c r="D89" s="25" t="s">
        <v>136</v>
      </c>
      <c r="E89" s="46">
        <f t="shared" ref="E89:Q89" si="41">E75</f>
        <v>0</v>
      </c>
      <c r="F89" s="32">
        <f t="shared" si="41"/>
        <v>0</v>
      </c>
      <c r="G89" s="32">
        <f t="shared" si="41"/>
        <v>0</v>
      </c>
      <c r="H89" s="32">
        <f t="shared" si="41"/>
        <v>0</v>
      </c>
      <c r="I89" s="32">
        <f t="shared" si="41"/>
        <v>0</v>
      </c>
      <c r="J89" s="32">
        <f t="shared" si="41"/>
        <v>0</v>
      </c>
      <c r="K89" s="32">
        <f t="shared" si="41"/>
        <v>0</v>
      </c>
      <c r="L89" s="32">
        <f t="shared" si="41"/>
        <v>0</v>
      </c>
      <c r="M89" s="32">
        <f t="shared" si="41"/>
        <v>0</v>
      </c>
      <c r="N89" s="32">
        <f t="shared" si="41"/>
        <v>0</v>
      </c>
      <c r="O89" s="32">
        <f t="shared" si="41"/>
        <v>0</v>
      </c>
      <c r="P89" s="32">
        <f t="shared" si="41"/>
        <v>0</v>
      </c>
      <c r="Q89" s="33">
        <f t="shared" si="41"/>
        <v>0</v>
      </c>
      <c r="R89" s="46">
        <v>0</v>
      </c>
      <c r="S89" s="32">
        <v>0</v>
      </c>
      <c r="T89" s="32">
        <v>0</v>
      </c>
      <c r="U89" s="32">
        <v>0</v>
      </c>
      <c r="V89" s="32">
        <v>0</v>
      </c>
      <c r="W89" s="32">
        <v>0</v>
      </c>
      <c r="X89" s="32">
        <v>0</v>
      </c>
      <c r="Y89" s="32">
        <v>0</v>
      </c>
      <c r="Z89" s="32">
        <v>0</v>
      </c>
      <c r="AA89" s="32">
        <v>0</v>
      </c>
      <c r="AB89" s="32">
        <v>0</v>
      </c>
      <c r="AC89" s="32">
        <v>0</v>
      </c>
      <c r="AD89" s="33">
        <v>0</v>
      </c>
    </row>
    <row r="90" spans="3:30" x14ac:dyDescent="0.3">
      <c r="D90" s="18" t="s">
        <v>129</v>
      </c>
      <c r="E90" s="44">
        <f>E85*E86</f>
        <v>0.89237160000000004</v>
      </c>
      <c r="F90" s="42">
        <f t="shared" ref="F90:Q90" si="42">F85*F86</f>
        <v>1.0328312000000002</v>
      </c>
      <c r="G90" s="42">
        <f t="shared" si="42"/>
        <v>1.17333164</v>
      </c>
      <c r="H90" s="42">
        <f t="shared" si="42"/>
        <v>1.2297626000000002</v>
      </c>
      <c r="I90" s="42">
        <f t="shared" si="42"/>
        <v>1.2863505200000001</v>
      </c>
      <c r="J90" s="42">
        <f t="shared" si="42"/>
        <v>1.7201570500000001</v>
      </c>
      <c r="K90" s="42">
        <f t="shared" si="42"/>
        <v>2.1541215999999999</v>
      </c>
      <c r="L90" s="42">
        <f t="shared" si="42"/>
        <v>2.4350344399999999</v>
      </c>
      <c r="M90" s="42">
        <f t="shared" si="42"/>
        <v>2.71610394</v>
      </c>
      <c r="N90" s="42">
        <f t="shared" si="42"/>
        <v>2.8980348799999995</v>
      </c>
      <c r="O90" s="42">
        <f t="shared" si="42"/>
        <v>3.0797371800000004</v>
      </c>
      <c r="P90" s="42">
        <f t="shared" si="42"/>
        <v>3.2990830299999998</v>
      </c>
      <c r="Q90" s="42">
        <f t="shared" si="42"/>
        <v>3.4496961599999998</v>
      </c>
      <c r="R90" s="44">
        <f>R85*R86</f>
        <v>3.8271912000000001</v>
      </c>
      <c r="S90" s="42">
        <f t="shared" ref="S90:AD90" si="43">S85*S86</f>
        <v>4.2379660399999999</v>
      </c>
      <c r="T90" s="42">
        <f t="shared" si="43"/>
        <v>4.6826964799999997</v>
      </c>
      <c r="U90" s="42">
        <f t="shared" si="43"/>
        <v>5.1631787200000003</v>
      </c>
      <c r="V90" s="42">
        <f t="shared" si="43"/>
        <v>5.6910697199999998</v>
      </c>
      <c r="W90" s="42">
        <f t="shared" si="43"/>
        <v>6.2594733600000003</v>
      </c>
      <c r="X90" s="42">
        <f t="shared" si="43"/>
        <v>6.8704501599999999</v>
      </c>
      <c r="Y90" s="42">
        <f t="shared" si="43"/>
        <v>7.5368412000000005</v>
      </c>
      <c r="Z90" s="42">
        <f t="shared" si="43"/>
        <v>8.0582683999999993</v>
      </c>
      <c r="AA90" s="42">
        <f t="shared" si="43"/>
        <v>8.6180732400000011</v>
      </c>
      <c r="AB90" s="42">
        <f t="shared" si="43"/>
        <v>9.2052732800000001</v>
      </c>
      <c r="AC90" s="42">
        <f t="shared" si="43"/>
        <v>9.8329097999999995</v>
      </c>
      <c r="AD90" s="43">
        <f t="shared" si="43"/>
        <v>10.502094959999999</v>
      </c>
    </row>
    <row r="91" spans="3:30" x14ac:dyDescent="0.3">
      <c r="D91" s="22" t="s">
        <v>137</v>
      </c>
      <c r="E91" s="45">
        <f>E85*E87</f>
        <v>0</v>
      </c>
      <c r="F91" s="13">
        <f t="shared" ref="F91:Q91" si="44">F85*F87</f>
        <v>0</v>
      </c>
      <c r="G91" s="13">
        <f t="shared" si="44"/>
        <v>0</v>
      </c>
      <c r="H91" s="13">
        <f t="shared" si="44"/>
        <v>0</v>
      </c>
      <c r="I91" s="13">
        <f t="shared" si="44"/>
        <v>0</v>
      </c>
      <c r="J91" s="13">
        <f t="shared" si="44"/>
        <v>0</v>
      </c>
      <c r="K91" s="13">
        <f t="shared" si="44"/>
        <v>0</v>
      </c>
      <c r="L91" s="13">
        <f t="shared" si="44"/>
        <v>0</v>
      </c>
      <c r="M91" s="13">
        <f t="shared" si="44"/>
        <v>0</v>
      </c>
      <c r="N91" s="13">
        <f t="shared" si="44"/>
        <v>0</v>
      </c>
      <c r="O91" s="13">
        <f t="shared" si="44"/>
        <v>0</v>
      </c>
      <c r="P91" s="13">
        <f t="shared" si="44"/>
        <v>0</v>
      </c>
      <c r="Q91" s="13">
        <f t="shared" si="44"/>
        <v>0</v>
      </c>
      <c r="R91" s="45">
        <v>0</v>
      </c>
      <c r="S91" s="13">
        <v>0</v>
      </c>
      <c r="T91" s="13">
        <v>0</v>
      </c>
      <c r="U91" s="13">
        <v>0</v>
      </c>
      <c r="V91" s="13">
        <v>0</v>
      </c>
      <c r="W91" s="13">
        <v>0</v>
      </c>
      <c r="X91" s="13">
        <v>0</v>
      </c>
      <c r="Y91" s="13">
        <v>0</v>
      </c>
      <c r="Z91" s="13">
        <v>0</v>
      </c>
      <c r="AA91" s="13">
        <v>0</v>
      </c>
      <c r="AB91" s="13">
        <v>0</v>
      </c>
      <c r="AC91" s="13">
        <v>0</v>
      </c>
      <c r="AD91" s="34">
        <v>0</v>
      </c>
    </row>
    <row r="92" spans="3:30" x14ac:dyDescent="0.3">
      <c r="D92" s="22" t="s">
        <v>138</v>
      </c>
      <c r="E92" s="45">
        <f>E85*E88</f>
        <v>3.1928320000000003E-2</v>
      </c>
      <c r="F92" s="13">
        <f t="shared" ref="F92:Q92" si="45">F85*F88</f>
        <v>3.6828800000000002E-2</v>
      </c>
      <c r="G92" s="13">
        <f t="shared" si="45"/>
        <v>4.1852979999999998E-2</v>
      </c>
      <c r="H92" s="13">
        <f t="shared" si="45"/>
        <v>4.3931339999999999E-2</v>
      </c>
      <c r="I92" s="13">
        <f t="shared" si="45"/>
        <v>4.6020520000000002E-2</v>
      </c>
      <c r="J92" s="13">
        <f t="shared" si="45"/>
        <v>6.1498360000000002E-2</v>
      </c>
      <c r="K92" s="13">
        <f t="shared" si="45"/>
        <v>7.6964600000000008E-2</v>
      </c>
      <c r="L92" s="13">
        <f t="shared" si="45"/>
        <v>8.6864899999999995E-2</v>
      </c>
      <c r="M92" s="13">
        <f t="shared" si="45"/>
        <v>9.6994919999999998E-2</v>
      </c>
      <c r="N92" s="13">
        <f t="shared" si="45"/>
        <v>0.10357203999999998</v>
      </c>
      <c r="O92" s="13">
        <f t="shared" si="45"/>
        <v>0.10990161000000001</v>
      </c>
      <c r="P92" s="13">
        <f t="shared" si="45"/>
        <v>0.11773954</v>
      </c>
      <c r="Q92" s="13">
        <f t="shared" si="45"/>
        <v>0.12316416000000001</v>
      </c>
      <c r="R92" s="45">
        <f>R85*R88</f>
        <v>0.13668539999999998</v>
      </c>
      <c r="S92" s="13">
        <f t="shared" ref="S92:AD92" si="46">S85*S88</f>
        <v>0.15135593</v>
      </c>
      <c r="T92" s="13">
        <f t="shared" si="46"/>
        <v>0.16723916</v>
      </c>
      <c r="U92" s="13">
        <f t="shared" si="46"/>
        <v>0.18439923999999999</v>
      </c>
      <c r="V92" s="13">
        <f t="shared" si="46"/>
        <v>0.20325248999999998</v>
      </c>
      <c r="W92" s="13">
        <f t="shared" si="46"/>
        <v>0.22355262000000001</v>
      </c>
      <c r="X92" s="13">
        <f t="shared" si="46"/>
        <v>0.24537322000000003</v>
      </c>
      <c r="Y92" s="13">
        <f t="shared" si="46"/>
        <v>0.26917289999999999</v>
      </c>
      <c r="Z92" s="13">
        <f t="shared" si="46"/>
        <v>0.28779529999999998</v>
      </c>
      <c r="AA92" s="13">
        <f t="shared" si="46"/>
        <v>0.30778833000000005</v>
      </c>
      <c r="AB92" s="13">
        <f t="shared" si="46"/>
        <v>0.32875976000000007</v>
      </c>
      <c r="AC92" s="13">
        <f t="shared" si="46"/>
        <v>0.35117535</v>
      </c>
      <c r="AD92" s="34">
        <f t="shared" si="46"/>
        <v>0.37507482000000003</v>
      </c>
    </row>
    <row r="93" spans="3:30" ht="15" thickBot="1" x14ac:dyDescent="0.35">
      <c r="D93" s="25" t="s">
        <v>139</v>
      </c>
      <c r="E93" s="46">
        <f>E85*E89</f>
        <v>0</v>
      </c>
      <c r="F93" s="32">
        <f t="shared" ref="F93:Q93" si="47">F85*F89</f>
        <v>0</v>
      </c>
      <c r="G93" s="32">
        <f t="shared" si="47"/>
        <v>0</v>
      </c>
      <c r="H93" s="32">
        <f t="shared" si="47"/>
        <v>0</v>
      </c>
      <c r="I93" s="32">
        <f t="shared" si="47"/>
        <v>0</v>
      </c>
      <c r="J93" s="32">
        <f t="shared" si="47"/>
        <v>0</v>
      </c>
      <c r="K93" s="32">
        <f t="shared" si="47"/>
        <v>0</v>
      </c>
      <c r="L93" s="32">
        <f t="shared" si="47"/>
        <v>0</v>
      </c>
      <c r="M93" s="32">
        <f t="shared" si="47"/>
        <v>0</v>
      </c>
      <c r="N93" s="32">
        <f t="shared" si="47"/>
        <v>0</v>
      </c>
      <c r="O93" s="32">
        <f t="shared" si="47"/>
        <v>0</v>
      </c>
      <c r="P93" s="32">
        <f t="shared" si="47"/>
        <v>0</v>
      </c>
      <c r="Q93" s="32">
        <f t="shared" si="47"/>
        <v>0</v>
      </c>
      <c r="R93" s="46">
        <v>0</v>
      </c>
      <c r="S93" s="32">
        <v>0</v>
      </c>
      <c r="T93" s="32">
        <v>0</v>
      </c>
      <c r="U93" s="32">
        <v>0</v>
      </c>
      <c r="V93" s="32">
        <v>0</v>
      </c>
      <c r="W93" s="32">
        <v>0</v>
      </c>
      <c r="X93" s="32">
        <v>0</v>
      </c>
      <c r="Y93" s="32">
        <v>0</v>
      </c>
      <c r="Z93" s="32">
        <v>0</v>
      </c>
      <c r="AA93" s="32">
        <v>0</v>
      </c>
      <c r="AB93" s="32">
        <v>0</v>
      </c>
      <c r="AC93" s="32">
        <v>0</v>
      </c>
      <c r="AD93" s="33">
        <v>0</v>
      </c>
    </row>
    <row r="96" spans="3:30" x14ac:dyDescent="0.3">
      <c r="E96">
        <f>(F88-E88)/(E88)</f>
        <v>6.2499999999999889E-2</v>
      </c>
      <c r="F96">
        <f t="shared" ref="F96" si="48">(G88-F88)/(F88)</f>
        <v>6.2500000000000014E-2</v>
      </c>
      <c r="G96">
        <f t="shared" ref="G96" si="49">(H88-G88)/(G88)</f>
        <v>-3.4602076124567387E-2</v>
      </c>
      <c r="H96">
        <f t="shared" ref="H96" si="50">(I88-H88)/(H88)</f>
        <v>-3.5842293906810069E-2</v>
      </c>
      <c r="I96">
        <f t="shared" ref="I96" si="51">(J88-I88)/(I88)</f>
        <v>0.14498141263940523</v>
      </c>
      <c r="J96">
        <f t="shared" ref="J96" si="52">(K88-J88)/(J88)</f>
        <v>0.12662337662337664</v>
      </c>
      <c r="K96">
        <f t="shared" ref="K96" si="53">(L88-K88)/(K88)</f>
        <v>6.6282420749279439E-2</v>
      </c>
      <c r="L96">
        <f t="shared" ref="L96" si="54">(M88-L88)/(L88)</f>
        <v>6.4864864864864855E-2</v>
      </c>
      <c r="M96">
        <f t="shared" ref="M96" si="55">(N88-M88)/(M88)</f>
        <v>6.0913705583756333E-2</v>
      </c>
      <c r="N96">
        <f t="shared" ref="N96" si="56">(O88-N88)/(N88)</f>
        <v>5.5023923444976162E-2</v>
      </c>
      <c r="O96">
        <f t="shared" ref="O96" si="57">(P88-O88)/(O88)</f>
        <v>1.1337868480725634E-2</v>
      </c>
      <c r="P96">
        <f t="shared" ref="P96" si="58">(Q88-P88)/(P88)</f>
        <v>4.4843049327353991E-3</v>
      </c>
      <c r="Q96" s="148"/>
    </row>
    <row r="98" spans="16:17" x14ac:dyDescent="0.3">
      <c r="P98" t="s">
        <v>123</v>
      </c>
      <c r="Q98">
        <f>AVERAGE(E96:P96)</f>
        <v>4.9088958940645182E-2</v>
      </c>
    </row>
  </sheetData>
  <dataValidations count="1">
    <dataValidation allowBlank="1" showInputMessage="1" showErrorMessage="1" sqref="C9 E18 D15:E17 D31:E31 D34:E35 D21:D22 D32 F35:Q35" xr:uid="{FBB4A6A3-B9B5-4459-973A-81EF6F0F3909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2AF73-FD1C-4051-B527-D5897C920CEF}">
  <sheetPr>
    <tabColor theme="8" tint="0.59999389629810485"/>
  </sheetPr>
  <dimension ref="C9:AD67"/>
  <sheetViews>
    <sheetView topLeftCell="M34" workbookViewId="0">
      <selection activeCell="E52" sqref="E52:AD55"/>
    </sheetView>
  </sheetViews>
  <sheetFormatPr defaultColWidth="13.5546875" defaultRowHeight="14.4" x14ac:dyDescent="0.3"/>
  <cols>
    <col min="4" max="4" width="31.88671875" customWidth="1"/>
  </cols>
  <sheetData>
    <row r="9" spans="4:17" x14ac:dyDescent="0.3">
      <c r="D9" t="s">
        <v>140</v>
      </c>
    </row>
    <row r="13" spans="4:17" x14ac:dyDescent="0.3">
      <c r="D13" s="3"/>
      <c r="E13" s="3">
        <v>2010</v>
      </c>
      <c r="F13" s="3">
        <v>2011</v>
      </c>
      <c r="G13" s="3">
        <v>2012</v>
      </c>
      <c r="H13" s="3">
        <v>2013</v>
      </c>
      <c r="I13" s="3">
        <v>2014</v>
      </c>
      <c r="J13" s="3">
        <v>2015</v>
      </c>
      <c r="K13" s="3">
        <v>2016</v>
      </c>
      <c r="L13" s="3">
        <v>2017</v>
      </c>
      <c r="M13" s="3">
        <v>2018</v>
      </c>
      <c r="N13" s="3">
        <v>2019</v>
      </c>
      <c r="O13" s="3">
        <v>2020</v>
      </c>
      <c r="P13" s="3">
        <v>2021</v>
      </c>
      <c r="Q13" s="3">
        <v>2022</v>
      </c>
    </row>
    <row r="14" spans="4:17" x14ac:dyDescent="0.3">
      <c r="D14" s="50" t="s">
        <v>87</v>
      </c>
      <c r="E14" s="3">
        <v>1126.663971268661</v>
      </c>
      <c r="F14" s="51"/>
      <c r="G14" s="3">
        <v>1087.624424007965</v>
      </c>
      <c r="H14" s="51"/>
      <c r="I14" s="3">
        <v>1543.8981544362512</v>
      </c>
      <c r="J14" s="51"/>
      <c r="K14" s="3">
        <v>713.32918043030213</v>
      </c>
      <c r="L14" s="51"/>
      <c r="M14" s="3">
        <v>453.7744769602736</v>
      </c>
      <c r="N14" s="51"/>
      <c r="O14" s="3">
        <v>436.56464840170332</v>
      </c>
      <c r="P14" s="3">
        <v>374.49650226474358</v>
      </c>
      <c r="Q14" s="3">
        <v>384.70669000897817</v>
      </c>
    </row>
    <row r="15" spans="4:17" x14ac:dyDescent="0.3">
      <c r="D15" s="49" t="s">
        <v>141</v>
      </c>
      <c r="E15" s="3">
        <v>2.5554767317693228E-2</v>
      </c>
      <c r="F15" s="51"/>
      <c r="G15" s="3">
        <v>2.8934470119578323E-2</v>
      </c>
      <c r="H15" s="51"/>
      <c r="I15" s="3">
        <v>2.6852394195171329E-2</v>
      </c>
      <c r="J15" s="51"/>
      <c r="K15" s="3">
        <v>3.4685067305399934E-2</v>
      </c>
      <c r="L15" s="51"/>
      <c r="M15" s="3">
        <v>3.9403173841497795E-2</v>
      </c>
      <c r="N15" s="51"/>
      <c r="O15" s="3">
        <v>4.4136493663486001E-2</v>
      </c>
      <c r="P15" s="3">
        <v>4.4631560074107172E-2</v>
      </c>
      <c r="Q15" s="3">
        <v>4.4813347940164214E-2</v>
      </c>
    </row>
    <row r="16" spans="4:17" x14ac:dyDescent="0.3">
      <c r="D16" s="49" t="s">
        <v>142</v>
      </c>
      <c r="E16" s="3">
        <v>28.79163563099884</v>
      </c>
      <c r="F16" s="51"/>
      <c r="G16" s="3">
        <v>31.469836397782046</v>
      </c>
      <c r="H16" s="51"/>
      <c r="I16" s="3">
        <v>41.457361840119717</v>
      </c>
      <c r="J16" s="51"/>
      <c r="K16" s="3">
        <v>24.741870634130805</v>
      </c>
      <c r="L16" s="51"/>
      <c r="M16" s="3">
        <v>17.880154600500397</v>
      </c>
      <c r="N16" s="51"/>
      <c r="O16" s="3">
        <v>19.268432837883772</v>
      </c>
      <c r="P16" s="3">
        <v>16.714363138371915</v>
      </c>
      <c r="Q16" s="3">
        <v>17.239994754281234</v>
      </c>
    </row>
    <row r="17" spans="4:17" x14ac:dyDescent="0.3">
      <c r="D17" s="3" t="s">
        <v>143</v>
      </c>
      <c r="E17" s="3">
        <f>E16*E22</f>
        <v>806.16579766796758</v>
      </c>
      <c r="F17" s="54">
        <f t="shared" ref="F17:Q17" si="0">F16*F22</f>
        <v>0</v>
      </c>
      <c r="G17" s="3">
        <f t="shared" si="0"/>
        <v>881.1554191378973</v>
      </c>
      <c r="H17" s="3">
        <f t="shared" si="0"/>
        <v>0</v>
      </c>
      <c r="I17" s="3">
        <f t="shared" si="0"/>
        <v>1160.8061315233522</v>
      </c>
      <c r="J17" s="3">
        <f t="shared" si="0"/>
        <v>0</v>
      </c>
      <c r="K17" s="3">
        <f t="shared" si="0"/>
        <v>692.77237775566255</v>
      </c>
      <c r="L17" s="3">
        <f t="shared" si="0"/>
        <v>0</v>
      </c>
      <c r="M17" s="3">
        <f t="shared" si="0"/>
        <v>500.64432881401115</v>
      </c>
      <c r="N17" s="3">
        <f t="shared" si="0"/>
        <v>0</v>
      </c>
      <c r="O17" s="3">
        <f t="shared" si="0"/>
        <v>539.51611946074559</v>
      </c>
      <c r="P17" s="3">
        <f t="shared" si="0"/>
        <v>468.00216787441366</v>
      </c>
      <c r="Q17" s="3">
        <f t="shared" si="0"/>
        <v>482.71985311987453</v>
      </c>
    </row>
    <row r="21" spans="4:17" x14ac:dyDescent="0.3">
      <c r="D21" t="s">
        <v>95</v>
      </c>
    </row>
    <row r="22" spans="4:17" x14ac:dyDescent="0.3">
      <c r="D22" t="s">
        <v>96</v>
      </c>
      <c r="E22">
        <v>28</v>
      </c>
      <c r="F22">
        <v>28</v>
      </c>
      <c r="G22">
        <v>28</v>
      </c>
      <c r="H22">
        <v>28</v>
      </c>
      <c r="I22">
        <v>28</v>
      </c>
      <c r="J22">
        <v>28</v>
      </c>
      <c r="K22">
        <v>28</v>
      </c>
      <c r="L22">
        <v>28</v>
      </c>
      <c r="M22">
        <v>28</v>
      </c>
      <c r="N22">
        <v>28</v>
      </c>
      <c r="O22">
        <v>28</v>
      </c>
      <c r="P22">
        <v>28</v>
      </c>
      <c r="Q22">
        <v>28</v>
      </c>
    </row>
    <row r="24" spans="4:17" x14ac:dyDescent="0.3">
      <c r="D24" t="s">
        <v>144</v>
      </c>
    </row>
    <row r="25" spans="4:17" x14ac:dyDescent="0.3">
      <c r="D25" s="3" t="s">
        <v>62</v>
      </c>
      <c r="E25" s="7">
        <v>806.16579766796758</v>
      </c>
      <c r="F25" s="8">
        <v>843.66060840293244</v>
      </c>
      <c r="G25" s="7">
        <v>881.1554191378973</v>
      </c>
      <c r="H25" s="8">
        <v>1020.9807753306247</v>
      </c>
      <c r="I25" s="7">
        <v>1160.8061315233524</v>
      </c>
      <c r="J25" s="8">
        <v>926.78925463950736</v>
      </c>
      <c r="K25" s="7">
        <v>692.77237775566266</v>
      </c>
      <c r="L25" s="8">
        <v>596.7083532848369</v>
      </c>
      <c r="M25" s="7">
        <v>500.64432881401109</v>
      </c>
      <c r="N25" s="8">
        <v>520.08022413737831</v>
      </c>
      <c r="O25" s="7">
        <v>539.51611946074559</v>
      </c>
      <c r="P25" s="7">
        <v>468.00216787441366</v>
      </c>
      <c r="Q25" s="7">
        <v>482.71985311987453</v>
      </c>
    </row>
    <row r="27" spans="4:17" x14ac:dyDescent="0.3">
      <c r="D27" t="s">
        <v>101</v>
      </c>
    </row>
    <row r="28" spans="4:17" x14ac:dyDescent="0.3">
      <c r="D28" s="49" t="s">
        <v>141</v>
      </c>
      <c r="E28" s="3">
        <v>2.5554767317693228E-2</v>
      </c>
      <c r="F28" s="4">
        <v>2.7244618718635774E-2</v>
      </c>
      <c r="G28" s="3">
        <v>2.893447011957832E-2</v>
      </c>
      <c r="H28" s="4">
        <v>2.7893432157374824E-2</v>
      </c>
      <c r="I28" s="3">
        <v>2.6852394195171325E-2</v>
      </c>
      <c r="J28" s="4">
        <v>3.0768730750285633E-2</v>
      </c>
      <c r="K28" s="3">
        <v>3.4685067305399941E-2</v>
      </c>
      <c r="L28" s="4">
        <v>3.7044120573448858E-2</v>
      </c>
      <c r="M28" s="3">
        <v>3.9403173841497788E-2</v>
      </c>
      <c r="N28" s="4">
        <v>4.1769833752491894E-2</v>
      </c>
      <c r="O28" s="3">
        <v>4.4136493663486001E-2</v>
      </c>
      <c r="P28" s="3">
        <v>4.4631560074107172E-2</v>
      </c>
      <c r="Q28" s="3">
        <v>4.4813347940164214E-2</v>
      </c>
    </row>
    <row r="30" spans="4:17" x14ac:dyDescent="0.3">
      <c r="D30" t="s">
        <v>102</v>
      </c>
    </row>
    <row r="31" spans="4:17" x14ac:dyDescent="0.3">
      <c r="D31" s="50" t="s">
        <v>87</v>
      </c>
      <c r="E31" s="3">
        <v>1126.663971268661</v>
      </c>
      <c r="F31" s="51">
        <f>F25/(F28*F22)</f>
        <v>1105.9334808668295</v>
      </c>
      <c r="G31" s="3">
        <v>1087.624424007965</v>
      </c>
      <c r="H31" s="51">
        <f>H25/(H28*H22)</f>
        <v>1307.2467709682751</v>
      </c>
      <c r="I31" s="3">
        <v>1543.8981544362512</v>
      </c>
      <c r="J31" s="51">
        <f>J25/(J28*J22)</f>
        <v>1075.7550093878342</v>
      </c>
      <c r="K31" s="3">
        <v>713.32918043030213</v>
      </c>
      <c r="L31" s="51">
        <f>L25/(L28*L22)</f>
        <v>575.28731381438536</v>
      </c>
      <c r="M31" s="3">
        <v>453.7744769602736</v>
      </c>
      <c r="N31" s="51">
        <f>N25/(N28*N22)</f>
        <v>444.68201212517351</v>
      </c>
      <c r="O31" s="3">
        <v>436.56464840170332</v>
      </c>
      <c r="P31" s="3">
        <v>374.49650226474358</v>
      </c>
      <c r="Q31" s="3">
        <v>384.70669000897817</v>
      </c>
    </row>
    <row r="36" spans="4:17" ht="15" thickBot="1" x14ac:dyDescent="0.35">
      <c r="E36" s="53">
        <v>2010</v>
      </c>
      <c r="F36" s="53">
        <v>2011</v>
      </c>
      <c r="G36" s="53">
        <v>2012</v>
      </c>
      <c r="H36" s="53">
        <v>2013</v>
      </c>
      <c r="I36" s="53">
        <v>2014</v>
      </c>
      <c r="J36" s="53">
        <v>2015</v>
      </c>
      <c r="K36" s="53">
        <v>2016</v>
      </c>
      <c r="L36" s="53">
        <v>2017</v>
      </c>
      <c r="M36" s="53">
        <v>2018</v>
      </c>
      <c r="N36" s="53">
        <v>2019</v>
      </c>
      <c r="O36" s="53">
        <v>2020</v>
      </c>
      <c r="P36" s="53">
        <v>2021</v>
      </c>
      <c r="Q36" s="53">
        <v>2022</v>
      </c>
    </row>
    <row r="37" spans="4:17" ht="15" thickBot="1" x14ac:dyDescent="0.35">
      <c r="D37" s="29" t="s">
        <v>106</v>
      </c>
      <c r="E37" s="18">
        <f>ROUND(E31/1000,4)</f>
        <v>1.1267</v>
      </c>
      <c r="F37" s="19">
        <f t="shared" ref="F37:Q37" si="1">ROUND(F31/1000,4)</f>
        <v>1.1059000000000001</v>
      </c>
      <c r="G37" s="19">
        <f t="shared" si="1"/>
        <v>1.0875999999999999</v>
      </c>
      <c r="H37" s="19">
        <f t="shared" si="1"/>
        <v>1.3071999999999999</v>
      </c>
      <c r="I37" s="19">
        <f t="shared" si="1"/>
        <v>1.5439000000000001</v>
      </c>
      <c r="J37" s="19">
        <f t="shared" si="1"/>
        <v>1.0758000000000001</v>
      </c>
      <c r="K37" s="19">
        <f t="shared" si="1"/>
        <v>0.71330000000000005</v>
      </c>
      <c r="L37" s="19">
        <f t="shared" si="1"/>
        <v>0.57530000000000003</v>
      </c>
      <c r="M37" s="19">
        <f t="shared" si="1"/>
        <v>0.45379999999999998</v>
      </c>
      <c r="N37" s="19">
        <f t="shared" si="1"/>
        <v>0.44469999999999998</v>
      </c>
      <c r="O37" s="19">
        <f t="shared" si="1"/>
        <v>0.43659999999999999</v>
      </c>
      <c r="P37" s="19">
        <f t="shared" si="1"/>
        <v>0.3745</v>
      </c>
      <c r="Q37" s="21">
        <f t="shared" si="1"/>
        <v>0.38469999999999999</v>
      </c>
    </row>
    <row r="38" spans="4:17" x14ac:dyDescent="0.3">
      <c r="D38" s="18" t="s">
        <v>145</v>
      </c>
      <c r="E38" s="44">
        <f>ROUND(E25/E31,4)</f>
        <v>0.71550000000000002</v>
      </c>
      <c r="F38" s="42">
        <f t="shared" ref="F38:Q38" si="2">ROUND(F25/F31,4)</f>
        <v>0.76280000000000003</v>
      </c>
      <c r="G38" s="42">
        <f t="shared" si="2"/>
        <v>0.81020000000000003</v>
      </c>
      <c r="H38" s="42">
        <f t="shared" si="2"/>
        <v>0.78100000000000003</v>
      </c>
      <c r="I38" s="42">
        <f t="shared" si="2"/>
        <v>0.75190000000000001</v>
      </c>
      <c r="J38" s="42">
        <f t="shared" si="2"/>
        <v>0.86150000000000004</v>
      </c>
      <c r="K38" s="42">
        <f t="shared" si="2"/>
        <v>0.97119999999999995</v>
      </c>
      <c r="L38" s="42">
        <f t="shared" si="2"/>
        <v>1.0371999999999999</v>
      </c>
      <c r="M38" s="42">
        <f t="shared" si="2"/>
        <v>1.1032999999999999</v>
      </c>
      <c r="N38" s="42">
        <f t="shared" si="2"/>
        <v>1.1696</v>
      </c>
      <c r="O38" s="42">
        <f t="shared" si="2"/>
        <v>1.2358</v>
      </c>
      <c r="P38" s="42">
        <f t="shared" si="2"/>
        <v>1.2497</v>
      </c>
      <c r="Q38" s="43">
        <f t="shared" si="2"/>
        <v>1.2547999999999999</v>
      </c>
    </row>
    <row r="39" spans="4:17" x14ac:dyDescent="0.3">
      <c r="D39" s="22" t="s">
        <v>146</v>
      </c>
      <c r="E39" s="45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34">
        <v>0</v>
      </c>
    </row>
    <row r="40" spans="4:17" x14ac:dyDescent="0.3">
      <c r="D40" s="22" t="s">
        <v>147</v>
      </c>
      <c r="E40" s="45">
        <f>ROUND(E15*E22,4)</f>
        <v>0.71550000000000002</v>
      </c>
      <c r="F40" s="13">
        <f>ROUND(F28*F22,4)</f>
        <v>0.76280000000000003</v>
      </c>
      <c r="G40" s="13">
        <f>ROUND(G15*G22,4)</f>
        <v>0.81020000000000003</v>
      </c>
      <c r="H40" s="13">
        <f>ROUND(H28*H22,4)</f>
        <v>0.78100000000000003</v>
      </c>
      <c r="I40" s="13">
        <f>ROUND(I15*I22,4)</f>
        <v>0.75190000000000001</v>
      </c>
      <c r="J40" s="13">
        <f>ROUND(J28*J22,4)</f>
        <v>0.86150000000000004</v>
      </c>
      <c r="K40" s="13">
        <f>ROUND(K15*K22,4)</f>
        <v>0.97119999999999995</v>
      </c>
      <c r="L40" s="13">
        <f>ROUND(L28*L22,4)</f>
        <v>1.0371999999999999</v>
      </c>
      <c r="M40" s="13">
        <f>ROUND(M15*M22,4)</f>
        <v>1.1032999999999999</v>
      </c>
      <c r="N40" s="13">
        <f>ROUND(N28*N22,4)</f>
        <v>1.1696</v>
      </c>
      <c r="O40" s="13">
        <f>ROUND(O15*O22,4)</f>
        <v>1.2358</v>
      </c>
      <c r="P40" s="13">
        <f>ROUND(P15*P22,4)</f>
        <v>1.2497</v>
      </c>
      <c r="Q40" s="34">
        <f>ROUND(Q15*Q22,4)</f>
        <v>1.2547999999999999</v>
      </c>
    </row>
    <row r="41" spans="4:17" ht="15" thickBot="1" x14ac:dyDescent="0.35">
      <c r="D41" s="25" t="s">
        <v>148</v>
      </c>
      <c r="E41" s="45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34">
        <v>0</v>
      </c>
    </row>
    <row r="42" spans="4:17" x14ac:dyDescent="0.3">
      <c r="D42" s="18" t="s">
        <v>149</v>
      </c>
      <c r="E42" s="18">
        <f>E37*E38</f>
        <v>0.80615385000000006</v>
      </c>
      <c r="F42" s="19">
        <f t="shared" ref="F42:Q42" si="3">F37*F38</f>
        <v>0.84358052000000017</v>
      </c>
      <c r="G42" s="19">
        <f t="shared" si="3"/>
        <v>0.88117351999999993</v>
      </c>
      <c r="H42" s="19">
        <f t="shared" si="3"/>
        <v>1.0209231999999999</v>
      </c>
      <c r="I42" s="19">
        <f t="shared" si="3"/>
        <v>1.1608584100000001</v>
      </c>
      <c r="J42" s="19">
        <f t="shared" si="3"/>
        <v>0.92680170000000017</v>
      </c>
      <c r="K42" s="19">
        <f t="shared" si="3"/>
        <v>0.69275695999999998</v>
      </c>
      <c r="L42" s="19">
        <f t="shared" si="3"/>
        <v>0.59670115999999995</v>
      </c>
      <c r="M42" s="19">
        <f t="shared" si="3"/>
        <v>0.50067753999999998</v>
      </c>
      <c r="N42" s="19">
        <f t="shared" si="3"/>
        <v>0.52012111999999999</v>
      </c>
      <c r="O42" s="19">
        <f t="shared" si="3"/>
        <v>0.53955027999999994</v>
      </c>
      <c r="P42" s="19">
        <f t="shared" si="3"/>
        <v>0.46801265000000003</v>
      </c>
      <c r="Q42" s="21">
        <f t="shared" si="3"/>
        <v>0.48272155999999994</v>
      </c>
    </row>
    <row r="43" spans="4:17" x14ac:dyDescent="0.3">
      <c r="D43" s="22" t="s">
        <v>150</v>
      </c>
      <c r="E43" s="22">
        <f>E37*E39</f>
        <v>0</v>
      </c>
      <c r="F43">
        <f t="shared" ref="F43:Q43" si="4">F37*F39</f>
        <v>0</v>
      </c>
      <c r="G43">
        <f t="shared" si="4"/>
        <v>0</v>
      </c>
      <c r="H43">
        <f t="shared" si="4"/>
        <v>0</v>
      </c>
      <c r="I43">
        <f t="shared" si="4"/>
        <v>0</v>
      </c>
      <c r="J43">
        <f t="shared" si="4"/>
        <v>0</v>
      </c>
      <c r="K43">
        <f t="shared" si="4"/>
        <v>0</v>
      </c>
      <c r="L43">
        <f t="shared" si="4"/>
        <v>0</v>
      </c>
      <c r="M43">
        <f t="shared" si="4"/>
        <v>0</v>
      </c>
      <c r="N43">
        <f t="shared" si="4"/>
        <v>0</v>
      </c>
      <c r="O43">
        <f t="shared" si="4"/>
        <v>0</v>
      </c>
      <c r="P43">
        <f t="shared" si="4"/>
        <v>0</v>
      </c>
      <c r="Q43" s="24">
        <f t="shared" si="4"/>
        <v>0</v>
      </c>
    </row>
    <row r="44" spans="4:17" x14ac:dyDescent="0.3">
      <c r="D44" s="22" t="s">
        <v>151</v>
      </c>
      <c r="E44" s="22">
        <f>E37*E40</f>
        <v>0.80615385000000006</v>
      </c>
      <c r="F44">
        <f t="shared" ref="F44:Q44" si="5">F37*F40</f>
        <v>0.84358052000000017</v>
      </c>
      <c r="G44">
        <f t="shared" si="5"/>
        <v>0.88117351999999993</v>
      </c>
      <c r="H44">
        <f t="shared" si="5"/>
        <v>1.0209231999999999</v>
      </c>
      <c r="I44">
        <f t="shared" si="5"/>
        <v>1.1608584100000001</v>
      </c>
      <c r="J44">
        <f t="shared" si="5"/>
        <v>0.92680170000000017</v>
      </c>
      <c r="K44">
        <f t="shared" si="5"/>
        <v>0.69275695999999998</v>
      </c>
      <c r="L44">
        <f t="shared" si="5"/>
        <v>0.59670115999999995</v>
      </c>
      <c r="M44">
        <f t="shared" si="5"/>
        <v>0.50067753999999998</v>
      </c>
      <c r="N44">
        <f t="shared" si="5"/>
        <v>0.52012111999999999</v>
      </c>
      <c r="O44">
        <f t="shared" si="5"/>
        <v>0.53955027999999994</v>
      </c>
      <c r="P44">
        <f t="shared" si="5"/>
        <v>0.46801265000000003</v>
      </c>
      <c r="Q44" s="24">
        <f t="shared" si="5"/>
        <v>0.48272155999999994</v>
      </c>
    </row>
    <row r="45" spans="4:17" ht="15" thickBot="1" x14ac:dyDescent="0.35">
      <c r="D45" s="22" t="s">
        <v>152</v>
      </c>
      <c r="E45" s="25">
        <f>E37*E41</f>
        <v>0</v>
      </c>
      <c r="F45" s="26">
        <f t="shared" ref="F45:Q45" si="6">F37*F41</f>
        <v>0</v>
      </c>
      <c r="G45" s="26">
        <f t="shared" si="6"/>
        <v>0</v>
      </c>
      <c r="H45" s="26">
        <f t="shared" si="6"/>
        <v>0</v>
      </c>
      <c r="I45" s="26">
        <f t="shared" si="6"/>
        <v>0</v>
      </c>
      <c r="J45" s="26">
        <f t="shared" si="6"/>
        <v>0</v>
      </c>
      <c r="K45" s="26">
        <f t="shared" si="6"/>
        <v>0</v>
      </c>
      <c r="L45" s="26">
        <f t="shared" si="6"/>
        <v>0</v>
      </c>
      <c r="M45" s="26">
        <f t="shared" si="6"/>
        <v>0</v>
      </c>
      <c r="N45" s="26">
        <f t="shared" si="6"/>
        <v>0</v>
      </c>
      <c r="O45" s="26">
        <f t="shared" si="6"/>
        <v>0</v>
      </c>
      <c r="P45" s="26">
        <f t="shared" si="6"/>
        <v>0</v>
      </c>
      <c r="Q45" s="28">
        <f t="shared" si="6"/>
        <v>0</v>
      </c>
    </row>
    <row r="46" spans="4:17" ht="15" thickBot="1" x14ac:dyDescent="0.35">
      <c r="D46" s="29" t="s">
        <v>115</v>
      </c>
      <c r="E46" s="47">
        <f>E42-E43-E44-E45</f>
        <v>0</v>
      </c>
      <c r="F46" s="35">
        <f t="shared" ref="F46:Q46" si="7">F42-F43-F44-F45</f>
        <v>0</v>
      </c>
      <c r="G46" s="35">
        <f t="shared" si="7"/>
        <v>0</v>
      </c>
      <c r="H46" s="35">
        <f t="shared" si="7"/>
        <v>0</v>
      </c>
      <c r="I46" s="35">
        <f t="shared" si="7"/>
        <v>0</v>
      </c>
      <c r="J46" s="35">
        <f t="shared" si="7"/>
        <v>0</v>
      </c>
      <c r="K46" s="35">
        <f t="shared" si="7"/>
        <v>0</v>
      </c>
      <c r="L46" s="35">
        <f t="shared" si="7"/>
        <v>0</v>
      </c>
      <c r="M46" s="35">
        <f t="shared" si="7"/>
        <v>0</v>
      </c>
      <c r="N46" s="35">
        <f t="shared" si="7"/>
        <v>0</v>
      </c>
      <c r="O46" s="35">
        <f t="shared" si="7"/>
        <v>0</v>
      </c>
      <c r="P46" s="35">
        <f t="shared" si="7"/>
        <v>0</v>
      </c>
      <c r="Q46" s="36">
        <f t="shared" si="7"/>
        <v>0</v>
      </c>
    </row>
    <row r="49" spans="3:30" x14ac:dyDescent="0.3">
      <c r="C49" s="1" t="s">
        <v>153</v>
      </c>
    </row>
    <row r="50" spans="3:30" ht="15" thickBot="1" x14ac:dyDescent="0.35">
      <c r="E50" s="53">
        <v>2010</v>
      </c>
      <c r="F50" s="53">
        <v>2011</v>
      </c>
      <c r="G50" s="53">
        <v>2012</v>
      </c>
      <c r="H50" s="53">
        <v>2013</v>
      </c>
      <c r="I50" s="53">
        <v>2014</v>
      </c>
      <c r="J50" s="53">
        <v>2015</v>
      </c>
      <c r="K50" s="53">
        <v>2016</v>
      </c>
      <c r="L50" s="53">
        <v>2017</v>
      </c>
      <c r="M50" s="53">
        <v>2018</v>
      </c>
      <c r="N50" s="53">
        <v>2019</v>
      </c>
      <c r="O50" s="53">
        <v>2020</v>
      </c>
      <c r="P50" s="53">
        <v>2021</v>
      </c>
      <c r="Q50" s="53">
        <v>2022</v>
      </c>
      <c r="R50" s="150">
        <v>2023</v>
      </c>
      <c r="S50" s="150">
        <v>2024</v>
      </c>
      <c r="T50" s="150">
        <v>2025</v>
      </c>
      <c r="U50" s="150">
        <v>2026</v>
      </c>
      <c r="V50" s="150">
        <v>2027</v>
      </c>
      <c r="W50" s="150">
        <v>2028</v>
      </c>
      <c r="X50" s="150">
        <v>2029</v>
      </c>
      <c r="Y50" s="150">
        <v>2030</v>
      </c>
      <c r="Z50" s="150">
        <v>2031</v>
      </c>
      <c r="AA50" s="150">
        <v>2032</v>
      </c>
      <c r="AB50" s="150">
        <v>2033</v>
      </c>
      <c r="AC50" s="150">
        <v>2034</v>
      </c>
      <c r="AD50" s="150">
        <v>2035</v>
      </c>
    </row>
    <row r="51" spans="3:30" ht="15" thickBot="1" x14ac:dyDescent="0.35">
      <c r="D51" s="29" t="s">
        <v>106</v>
      </c>
      <c r="E51" s="18">
        <f>E37</f>
        <v>1.1267</v>
      </c>
      <c r="F51" s="19">
        <f t="shared" ref="F51:Q51" si="8">F37</f>
        <v>1.1059000000000001</v>
      </c>
      <c r="G51" s="19">
        <f t="shared" si="8"/>
        <v>1.0875999999999999</v>
      </c>
      <c r="H51" s="19">
        <f t="shared" si="8"/>
        <v>1.3071999999999999</v>
      </c>
      <c r="I51" s="19">
        <f t="shared" si="8"/>
        <v>1.5439000000000001</v>
      </c>
      <c r="J51" s="19">
        <f t="shared" si="8"/>
        <v>1.0758000000000001</v>
      </c>
      <c r="K51" s="19">
        <f t="shared" si="8"/>
        <v>0.71330000000000005</v>
      </c>
      <c r="L51" s="19">
        <f t="shared" si="8"/>
        <v>0.57530000000000003</v>
      </c>
      <c r="M51" s="19">
        <f t="shared" si="8"/>
        <v>0.45379999999999998</v>
      </c>
      <c r="N51" s="19">
        <f t="shared" si="8"/>
        <v>0.44469999999999998</v>
      </c>
      <c r="O51" s="19">
        <f t="shared" si="8"/>
        <v>0.43659999999999999</v>
      </c>
      <c r="P51" s="19">
        <f t="shared" si="8"/>
        <v>0.3745</v>
      </c>
      <c r="Q51" s="21">
        <f t="shared" si="8"/>
        <v>0.38469999999999999</v>
      </c>
      <c r="R51" s="18">
        <v>0.40689999999999998</v>
      </c>
      <c r="S51" s="19">
        <v>0.42959999999999998</v>
      </c>
      <c r="T51" s="19">
        <v>0.4526</v>
      </c>
      <c r="U51" s="19">
        <v>0.47599999999999998</v>
      </c>
      <c r="V51" s="19">
        <v>0.49980000000000002</v>
      </c>
      <c r="W51" s="19">
        <v>0.52390000000000003</v>
      </c>
      <c r="X51" s="19">
        <v>0.5484</v>
      </c>
      <c r="Y51" s="19">
        <v>0.57330000000000003</v>
      </c>
      <c r="Z51" s="19">
        <v>0.58440000000000003</v>
      </c>
      <c r="AA51" s="19">
        <v>0.59570000000000001</v>
      </c>
      <c r="AB51" s="19">
        <v>0.6069</v>
      </c>
      <c r="AC51" s="19">
        <v>0.61809999999999998</v>
      </c>
      <c r="AD51" s="21">
        <v>0.62929999999999997</v>
      </c>
    </row>
    <row r="52" spans="3:30" x14ac:dyDescent="0.3">
      <c r="D52" s="18" t="s">
        <v>145</v>
      </c>
      <c r="E52" s="44">
        <f>E38</f>
        <v>0.71550000000000002</v>
      </c>
      <c r="F52" s="42">
        <f t="shared" ref="F52:Q52" si="9">F38</f>
        <v>0.76280000000000003</v>
      </c>
      <c r="G52" s="42">
        <f t="shared" si="9"/>
        <v>0.81020000000000003</v>
      </c>
      <c r="H52" s="42">
        <f t="shared" si="9"/>
        <v>0.78100000000000003</v>
      </c>
      <c r="I52" s="42">
        <f t="shared" si="9"/>
        <v>0.75190000000000001</v>
      </c>
      <c r="J52" s="42">
        <f t="shared" si="9"/>
        <v>0.86150000000000004</v>
      </c>
      <c r="K52" s="42">
        <f t="shared" si="9"/>
        <v>0.97119999999999995</v>
      </c>
      <c r="L52" s="42">
        <f t="shared" si="9"/>
        <v>1.0371999999999999</v>
      </c>
      <c r="M52" s="42">
        <f t="shared" si="9"/>
        <v>1.1032999999999999</v>
      </c>
      <c r="N52" s="42">
        <f t="shared" si="9"/>
        <v>1.1696</v>
      </c>
      <c r="O52" s="42">
        <f t="shared" si="9"/>
        <v>1.2358</v>
      </c>
      <c r="P52" s="42">
        <f t="shared" si="9"/>
        <v>1.2497</v>
      </c>
      <c r="Q52" s="42">
        <f t="shared" si="9"/>
        <v>1.2547999999999999</v>
      </c>
      <c r="R52" s="44">
        <f>ROUND(R54*$Q$22,4)</f>
        <v>1.3160000000000001</v>
      </c>
      <c r="S52" s="42">
        <f t="shared" ref="S52:AD52" si="10">ROUND(S54*$Q$22,4)</f>
        <v>1.3804000000000001</v>
      </c>
      <c r="T52" s="42">
        <f t="shared" si="10"/>
        <v>1.4476</v>
      </c>
      <c r="U52" s="42">
        <f t="shared" si="10"/>
        <v>1.5176000000000001</v>
      </c>
      <c r="V52" s="42">
        <f t="shared" si="10"/>
        <v>1.5931999999999999</v>
      </c>
      <c r="W52" s="42">
        <f t="shared" si="10"/>
        <v>1.6716</v>
      </c>
      <c r="X52" s="42">
        <f t="shared" si="10"/>
        <v>1.7527999999999999</v>
      </c>
      <c r="Y52" s="42">
        <f t="shared" si="10"/>
        <v>1.8395999999999999</v>
      </c>
      <c r="Z52" s="42">
        <f t="shared" si="10"/>
        <v>1.9292</v>
      </c>
      <c r="AA52" s="42">
        <f t="shared" si="10"/>
        <v>2.0244</v>
      </c>
      <c r="AB52" s="42">
        <f t="shared" si="10"/>
        <v>2.1223999999999998</v>
      </c>
      <c r="AC52" s="42">
        <f t="shared" si="10"/>
        <v>2.226</v>
      </c>
      <c r="AD52" s="43">
        <f t="shared" si="10"/>
        <v>2.3351999999999999</v>
      </c>
    </row>
    <row r="53" spans="3:30" x14ac:dyDescent="0.3">
      <c r="D53" s="22" t="s">
        <v>154</v>
      </c>
      <c r="E53" s="45">
        <f t="shared" ref="E53:Q55" si="11">E39</f>
        <v>0</v>
      </c>
      <c r="F53" s="13">
        <f t="shared" si="11"/>
        <v>0</v>
      </c>
      <c r="G53" s="13">
        <f t="shared" si="11"/>
        <v>0</v>
      </c>
      <c r="H53" s="13">
        <f t="shared" si="11"/>
        <v>0</v>
      </c>
      <c r="I53" s="13">
        <f t="shared" si="11"/>
        <v>0</v>
      </c>
      <c r="J53" s="13">
        <f t="shared" si="11"/>
        <v>0</v>
      </c>
      <c r="K53" s="13">
        <f t="shared" si="11"/>
        <v>0</v>
      </c>
      <c r="L53" s="13">
        <f t="shared" si="11"/>
        <v>0</v>
      </c>
      <c r="M53" s="13">
        <f t="shared" si="11"/>
        <v>0</v>
      </c>
      <c r="N53" s="13">
        <f t="shared" si="11"/>
        <v>0</v>
      </c>
      <c r="O53" s="13">
        <f t="shared" si="11"/>
        <v>0</v>
      </c>
      <c r="P53" s="13">
        <f t="shared" si="11"/>
        <v>0</v>
      </c>
      <c r="Q53" s="13">
        <f t="shared" si="11"/>
        <v>0</v>
      </c>
      <c r="R53" s="45">
        <v>0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34">
        <v>0</v>
      </c>
    </row>
    <row r="54" spans="3:30" x14ac:dyDescent="0.3">
      <c r="D54" s="22" t="s">
        <v>155</v>
      </c>
      <c r="E54" s="45">
        <f>ROUND(E15,4)</f>
        <v>2.5600000000000001E-2</v>
      </c>
      <c r="F54" s="13">
        <f>ROUND(F28,4)</f>
        <v>2.7199999999999998E-2</v>
      </c>
      <c r="G54" s="13">
        <f t="shared" ref="G54:Q54" si="12">ROUND(G15,4)</f>
        <v>2.8899999999999999E-2</v>
      </c>
      <c r="H54" s="13">
        <f>ROUND(H28,4)</f>
        <v>2.7900000000000001E-2</v>
      </c>
      <c r="I54" s="13">
        <f t="shared" si="12"/>
        <v>2.69E-2</v>
      </c>
      <c r="J54" s="13">
        <f>ROUND(J28,4)</f>
        <v>3.0800000000000001E-2</v>
      </c>
      <c r="K54" s="13">
        <f t="shared" si="12"/>
        <v>3.4700000000000002E-2</v>
      </c>
      <c r="L54" s="13">
        <f>ROUND(L28,4)</f>
        <v>3.6999999999999998E-2</v>
      </c>
      <c r="M54" s="13">
        <f t="shared" si="12"/>
        <v>3.9399999999999998E-2</v>
      </c>
      <c r="N54" s="13">
        <f>ROUND(N28,4)</f>
        <v>4.1799999999999997E-2</v>
      </c>
      <c r="O54" s="13">
        <f t="shared" si="12"/>
        <v>4.41E-2</v>
      </c>
      <c r="P54" s="13">
        <f t="shared" si="12"/>
        <v>4.4600000000000001E-2</v>
      </c>
      <c r="Q54" s="13">
        <f t="shared" si="12"/>
        <v>4.48E-2</v>
      </c>
      <c r="R54" s="45">
        <f>ROUND(Q54*(1+$Q$67),4)</f>
        <v>4.7E-2</v>
      </c>
      <c r="S54" s="13">
        <f t="shared" ref="S54:AD54" si="13">ROUND(R54*(1+$Q$67),4)</f>
        <v>4.9299999999999997E-2</v>
      </c>
      <c r="T54" s="13">
        <f t="shared" si="13"/>
        <v>5.1700000000000003E-2</v>
      </c>
      <c r="U54" s="13">
        <f t="shared" si="13"/>
        <v>5.4199999999999998E-2</v>
      </c>
      <c r="V54" s="13">
        <f t="shared" si="13"/>
        <v>5.6899999999999999E-2</v>
      </c>
      <c r="W54" s="13">
        <f t="shared" si="13"/>
        <v>5.9700000000000003E-2</v>
      </c>
      <c r="X54" s="13">
        <f t="shared" si="13"/>
        <v>6.2600000000000003E-2</v>
      </c>
      <c r="Y54" s="13">
        <f t="shared" si="13"/>
        <v>6.5699999999999995E-2</v>
      </c>
      <c r="Z54" s="13">
        <f t="shared" si="13"/>
        <v>6.8900000000000003E-2</v>
      </c>
      <c r="AA54" s="13">
        <f t="shared" si="13"/>
        <v>7.2300000000000003E-2</v>
      </c>
      <c r="AB54" s="13">
        <f t="shared" si="13"/>
        <v>7.5800000000000006E-2</v>
      </c>
      <c r="AC54" s="13">
        <f t="shared" si="13"/>
        <v>7.9500000000000001E-2</v>
      </c>
      <c r="AD54" s="34">
        <f t="shared" si="13"/>
        <v>8.3400000000000002E-2</v>
      </c>
    </row>
    <row r="55" spans="3:30" ht="15" thickBot="1" x14ac:dyDescent="0.35">
      <c r="D55" s="25" t="s">
        <v>156</v>
      </c>
      <c r="E55" s="45">
        <f t="shared" si="11"/>
        <v>0</v>
      </c>
      <c r="F55" s="13">
        <f t="shared" si="11"/>
        <v>0</v>
      </c>
      <c r="G55" s="13">
        <f t="shared" si="11"/>
        <v>0</v>
      </c>
      <c r="H55" s="13">
        <f t="shared" si="11"/>
        <v>0</v>
      </c>
      <c r="I55" s="13">
        <f t="shared" si="11"/>
        <v>0</v>
      </c>
      <c r="J55" s="13">
        <f t="shared" si="11"/>
        <v>0</v>
      </c>
      <c r="K55" s="13">
        <f t="shared" si="11"/>
        <v>0</v>
      </c>
      <c r="L55" s="13">
        <f t="shared" si="11"/>
        <v>0</v>
      </c>
      <c r="M55" s="13">
        <f t="shared" si="11"/>
        <v>0</v>
      </c>
      <c r="N55" s="13">
        <f t="shared" si="11"/>
        <v>0</v>
      </c>
      <c r="O55" s="13">
        <f t="shared" si="11"/>
        <v>0</v>
      </c>
      <c r="P55" s="13">
        <f t="shared" si="11"/>
        <v>0</v>
      </c>
      <c r="Q55" s="13">
        <f t="shared" si="11"/>
        <v>0</v>
      </c>
      <c r="R55" s="46">
        <v>0</v>
      </c>
      <c r="S55" s="32">
        <v>0</v>
      </c>
      <c r="T55" s="32">
        <v>0</v>
      </c>
      <c r="U55" s="32">
        <v>0</v>
      </c>
      <c r="V55" s="32">
        <v>0</v>
      </c>
      <c r="W55" s="32">
        <v>0</v>
      </c>
      <c r="X55" s="32">
        <v>0</v>
      </c>
      <c r="Y55" s="32">
        <v>0</v>
      </c>
      <c r="Z55" s="32">
        <v>0</v>
      </c>
      <c r="AA55" s="32">
        <v>0</v>
      </c>
      <c r="AB55" s="32">
        <v>0</v>
      </c>
      <c r="AC55" s="32">
        <v>0</v>
      </c>
      <c r="AD55" s="33">
        <v>0</v>
      </c>
    </row>
    <row r="56" spans="3:30" x14ac:dyDescent="0.3">
      <c r="D56" s="18" t="s">
        <v>149</v>
      </c>
      <c r="E56" s="18">
        <f>E51*E52</f>
        <v>0.80615385000000006</v>
      </c>
      <c r="F56" s="19">
        <f t="shared" ref="F56:Q56" si="14">F51*F52</f>
        <v>0.84358052000000017</v>
      </c>
      <c r="G56" s="19">
        <f t="shared" si="14"/>
        <v>0.88117351999999993</v>
      </c>
      <c r="H56" s="19">
        <f t="shared" si="14"/>
        <v>1.0209231999999999</v>
      </c>
      <c r="I56" s="19">
        <f t="shared" si="14"/>
        <v>1.1608584100000001</v>
      </c>
      <c r="J56" s="19">
        <f t="shared" si="14"/>
        <v>0.92680170000000017</v>
      </c>
      <c r="K56" s="19">
        <f t="shared" si="14"/>
        <v>0.69275695999999998</v>
      </c>
      <c r="L56" s="19">
        <f t="shared" si="14"/>
        <v>0.59670115999999995</v>
      </c>
      <c r="M56" s="19">
        <f t="shared" si="14"/>
        <v>0.50067753999999998</v>
      </c>
      <c r="N56" s="19">
        <f t="shared" si="14"/>
        <v>0.52012111999999999</v>
      </c>
      <c r="O56" s="19">
        <f t="shared" si="14"/>
        <v>0.53955027999999994</v>
      </c>
      <c r="P56" s="19">
        <f t="shared" si="14"/>
        <v>0.46801265000000003</v>
      </c>
      <c r="Q56" s="21">
        <f t="shared" si="14"/>
        <v>0.48272155999999994</v>
      </c>
      <c r="R56" s="44">
        <f>R51*R52</f>
        <v>0.53548039999999997</v>
      </c>
      <c r="S56" s="42">
        <f t="shared" ref="S56:AD56" si="15">S51*S52</f>
        <v>0.59301983999999996</v>
      </c>
      <c r="T56" s="42">
        <f t="shared" si="15"/>
        <v>0.65518376</v>
      </c>
      <c r="U56" s="42">
        <f t="shared" si="15"/>
        <v>0.72237759999999995</v>
      </c>
      <c r="V56" s="42">
        <f t="shared" si="15"/>
        <v>0.79628136000000005</v>
      </c>
      <c r="W56" s="42">
        <f t="shared" si="15"/>
        <v>0.87575124000000004</v>
      </c>
      <c r="X56" s="42">
        <f t="shared" si="15"/>
        <v>0.9612355199999999</v>
      </c>
      <c r="Y56" s="42">
        <f t="shared" si="15"/>
        <v>1.0546426799999999</v>
      </c>
      <c r="Z56" s="42">
        <f t="shared" si="15"/>
        <v>1.1274244800000002</v>
      </c>
      <c r="AA56" s="42">
        <f t="shared" si="15"/>
        <v>1.2059350799999999</v>
      </c>
      <c r="AB56" s="42">
        <f t="shared" si="15"/>
        <v>1.2880845599999999</v>
      </c>
      <c r="AC56" s="42">
        <f t="shared" si="15"/>
        <v>1.3758906</v>
      </c>
      <c r="AD56" s="43">
        <f t="shared" si="15"/>
        <v>1.4695413599999998</v>
      </c>
    </row>
    <row r="57" spans="3:30" x14ac:dyDescent="0.3">
      <c r="D57" s="22" t="s">
        <v>157</v>
      </c>
      <c r="E57" s="22">
        <f>E51*E53</f>
        <v>0</v>
      </c>
      <c r="F57">
        <f t="shared" ref="F57:Q57" si="16">F51*F53</f>
        <v>0</v>
      </c>
      <c r="G57">
        <f t="shared" si="16"/>
        <v>0</v>
      </c>
      <c r="H57">
        <f t="shared" si="16"/>
        <v>0</v>
      </c>
      <c r="I57">
        <f t="shared" si="16"/>
        <v>0</v>
      </c>
      <c r="J57">
        <f t="shared" si="16"/>
        <v>0</v>
      </c>
      <c r="K57">
        <f t="shared" si="16"/>
        <v>0</v>
      </c>
      <c r="L57">
        <f t="shared" si="16"/>
        <v>0</v>
      </c>
      <c r="M57">
        <f t="shared" si="16"/>
        <v>0</v>
      </c>
      <c r="N57">
        <f t="shared" si="16"/>
        <v>0</v>
      </c>
      <c r="O57">
        <f t="shared" si="16"/>
        <v>0</v>
      </c>
      <c r="P57">
        <f t="shared" si="16"/>
        <v>0</v>
      </c>
      <c r="Q57" s="24">
        <f t="shared" si="16"/>
        <v>0</v>
      </c>
      <c r="R57" s="45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34">
        <v>0</v>
      </c>
    </row>
    <row r="58" spans="3:30" x14ac:dyDescent="0.3">
      <c r="D58" s="22" t="s">
        <v>158</v>
      </c>
      <c r="E58" s="22">
        <f>E51*E54</f>
        <v>2.8843520000000001E-2</v>
      </c>
      <c r="F58">
        <f t="shared" ref="F58:Q58" si="17">F51*F54</f>
        <v>3.008048E-2</v>
      </c>
      <c r="G58">
        <f t="shared" si="17"/>
        <v>3.1431639999999997E-2</v>
      </c>
      <c r="H58">
        <f t="shared" si="17"/>
        <v>3.6470879999999997E-2</v>
      </c>
      <c r="I58">
        <f t="shared" si="17"/>
        <v>4.1530910000000004E-2</v>
      </c>
      <c r="J58">
        <f t="shared" si="17"/>
        <v>3.3134640000000007E-2</v>
      </c>
      <c r="K58">
        <f t="shared" si="17"/>
        <v>2.4751510000000004E-2</v>
      </c>
      <c r="L58">
        <f t="shared" si="17"/>
        <v>2.1286099999999999E-2</v>
      </c>
      <c r="M58">
        <f t="shared" si="17"/>
        <v>1.7879719999999998E-2</v>
      </c>
      <c r="N58">
        <f t="shared" si="17"/>
        <v>1.8588459999999998E-2</v>
      </c>
      <c r="O58">
        <f t="shared" si="17"/>
        <v>1.925406E-2</v>
      </c>
      <c r="P58">
        <f t="shared" si="17"/>
        <v>1.6702700000000001E-2</v>
      </c>
      <c r="Q58" s="24">
        <f t="shared" si="17"/>
        <v>1.7234559999999999E-2</v>
      </c>
      <c r="R58" s="45">
        <f>R51*R54</f>
        <v>1.91243E-2</v>
      </c>
      <c r="S58" s="13">
        <f t="shared" ref="S58:AD58" si="18">S51*S54</f>
        <v>2.1179279999999998E-2</v>
      </c>
      <c r="T58" s="13">
        <f t="shared" si="18"/>
        <v>2.3399420000000001E-2</v>
      </c>
      <c r="U58" s="13">
        <f t="shared" si="18"/>
        <v>2.5799199999999998E-2</v>
      </c>
      <c r="V58" s="13">
        <f t="shared" si="18"/>
        <v>2.8438620000000001E-2</v>
      </c>
      <c r="W58" s="13">
        <f t="shared" si="18"/>
        <v>3.1276830000000005E-2</v>
      </c>
      <c r="X58" s="13">
        <f t="shared" si="18"/>
        <v>3.432984E-2</v>
      </c>
      <c r="Y58" s="13">
        <f t="shared" si="18"/>
        <v>3.7665810000000001E-2</v>
      </c>
      <c r="Z58" s="13">
        <f t="shared" si="18"/>
        <v>4.0265160000000001E-2</v>
      </c>
      <c r="AA58" s="13">
        <f t="shared" si="18"/>
        <v>4.3069110000000001E-2</v>
      </c>
      <c r="AB58" s="13">
        <f t="shared" si="18"/>
        <v>4.6003020000000006E-2</v>
      </c>
      <c r="AC58" s="13">
        <f t="shared" si="18"/>
        <v>4.9138950000000001E-2</v>
      </c>
      <c r="AD58" s="34">
        <f t="shared" si="18"/>
        <v>5.2483620000000002E-2</v>
      </c>
    </row>
    <row r="59" spans="3:30" ht="15" thickBot="1" x14ac:dyDescent="0.35">
      <c r="D59" s="25" t="s">
        <v>159</v>
      </c>
      <c r="E59" s="25">
        <f>E51*E55</f>
        <v>0</v>
      </c>
      <c r="F59" s="26">
        <f t="shared" ref="F59:Q59" si="19">F51*F55</f>
        <v>0</v>
      </c>
      <c r="G59" s="26">
        <f t="shared" si="19"/>
        <v>0</v>
      </c>
      <c r="H59" s="26">
        <f t="shared" si="19"/>
        <v>0</v>
      </c>
      <c r="I59" s="26">
        <f t="shared" si="19"/>
        <v>0</v>
      </c>
      <c r="J59" s="26">
        <f t="shared" si="19"/>
        <v>0</v>
      </c>
      <c r="K59" s="26">
        <f t="shared" si="19"/>
        <v>0</v>
      </c>
      <c r="L59" s="26">
        <f t="shared" si="19"/>
        <v>0</v>
      </c>
      <c r="M59" s="26">
        <f t="shared" si="19"/>
        <v>0</v>
      </c>
      <c r="N59" s="26">
        <f t="shared" si="19"/>
        <v>0</v>
      </c>
      <c r="O59" s="26">
        <f t="shared" si="19"/>
        <v>0</v>
      </c>
      <c r="P59" s="26">
        <f t="shared" si="19"/>
        <v>0</v>
      </c>
      <c r="Q59" s="28">
        <f t="shared" si="19"/>
        <v>0</v>
      </c>
      <c r="R59" s="46">
        <v>0</v>
      </c>
      <c r="S59" s="32">
        <v>0</v>
      </c>
      <c r="T59" s="32">
        <v>0</v>
      </c>
      <c r="U59" s="32">
        <v>0</v>
      </c>
      <c r="V59" s="32">
        <v>0</v>
      </c>
      <c r="W59" s="32">
        <v>0</v>
      </c>
      <c r="X59" s="32">
        <v>0</v>
      </c>
      <c r="Y59" s="32">
        <v>0</v>
      </c>
      <c r="Z59" s="32">
        <v>0</v>
      </c>
      <c r="AA59" s="32">
        <v>0</v>
      </c>
      <c r="AB59" s="32">
        <v>0</v>
      </c>
      <c r="AC59" s="32">
        <v>0</v>
      </c>
      <c r="AD59" s="33">
        <v>0</v>
      </c>
    </row>
    <row r="65" spans="5:17" x14ac:dyDescent="0.3">
      <c r="E65">
        <f>(F54-E54)/(E54)</f>
        <v>6.2499999999999889E-2</v>
      </c>
      <c r="F65">
        <f t="shared" ref="F65:P65" si="20">(G54-F54)/(F54)</f>
        <v>6.2500000000000014E-2</v>
      </c>
      <c r="G65">
        <f t="shared" si="20"/>
        <v>-3.4602076124567387E-2</v>
      </c>
      <c r="H65">
        <f t="shared" si="20"/>
        <v>-3.5842293906810069E-2</v>
      </c>
      <c r="I65">
        <f t="shared" si="20"/>
        <v>0.14498141263940523</v>
      </c>
      <c r="J65">
        <f t="shared" si="20"/>
        <v>0.12662337662337664</v>
      </c>
      <c r="K65">
        <f t="shared" si="20"/>
        <v>6.6282420749279439E-2</v>
      </c>
      <c r="L65">
        <f t="shared" si="20"/>
        <v>6.4864864864864855E-2</v>
      </c>
      <c r="M65">
        <f t="shared" si="20"/>
        <v>6.0913705583756333E-2</v>
      </c>
      <c r="N65">
        <f t="shared" si="20"/>
        <v>5.5023923444976162E-2</v>
      </c>
      <c r="O65">
        <f t="shared" si="20"/>
        <v>1.1337868480725634E-2</v>
      </c>
      <c r="P65">
        <f t="shared" si="20"/>
        <v>4.4843049327353991E-3</v>
      </c>
      <c r="Q65" s="148"/>
    </row>
    <row r="67" spans="5:17" x14ac:dyDescent="0.3">
      <c r="P67" t="s">
        <v>123</v>
      </c>
      <c r="Q67">
        <f>AVERAGE(E65:P65)</f>
        <v>4.9088958940645182E-2</v>
      </c>
    </row>
  </sheetData>
  <dataValidations disablePrompts="1" count="1">
    <dataValidation allowBlank="1" showInputMessage="1" showErrorMessage="1" sqref="D14:D16 D28 D31" xr:uid="{80EDC59D-494B-4249-9309-1FFB62FD604B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9AAEE-5983-4E84-A3C1-55F7B5BECA34}">
  <sheetPr>
    <tabColor theme="8" tint="0.59999389629810485"/>
  </sheetPr>
  <dimension ref="C4:AF54"/>
  <sheetViews>
    <sheetView topLeftCell="A10" workbookViewId="0">
      <selection activeCell="G19" sqref="G19"/>
    </sheetView>
  </sheetViews>
  <sheetFormatPr defaultRowHeight="14.4" x14ac:dyDescent="0.3"/>
  <cols>
    <col min="4" max="4" width="49.88671875" bestFit="1" customWidth="1"/>
    <col min="7" max="19" width="9.5546875" bestFit="1" customWidth="1"/>
  </cols>
  <sheetData>
    <row r="4" spans="4:32" x14ac:dyDescent="0.3">
      <c r="D4" t="s">
        <v>160</v>
      </c>
      <c r="G4" s="3">
        <v>2010</v>
      </c>
      <c r="H4" s="3">
        <v>2011</v>
      </c>
      <c r="I4" s="3">
        <v>2012</v>
      </c>
      <c r="J4" s="3">
        <v>2013</v>
      </c>
      <c r="K4" s="3">
        <v>2014</v>
      </c>
      <c r="L4" s="3">
        <v>2015</v>
      </c>
      <c r="M4" s="3">
        <v>2016</v>
      </c>
      <c r="N4" s="3">
        <v>2017</v>
      </c>
      <c r="O4" s="3">
        <v>2018</v>
      </c>
      <c r="P4" s="3">
        <v>2019</v>
      </c>
      <c r="Q4" s="3">
        <v>2020</v>
      </c>
      <c r="R4" s="3">
        <v>2021</v>
      </c>
      <c r="S4" s="3">
        <v>2022</v>
      </c>
      <c r="T4" s="3">
        <v>2023</v>
      </c>
      <c r="U4" s="3">
        <v>2024</v>
      </c>
      <c r="V4" s="3">
        <v>2025</v>
      </c>
      <c r="W4" s="3">
        <v>2026</v>
      </c>
      <c r="X4" s="3">
        <v>2027</v>
      </c>
      <c r="Y4" s="3">
        <v>2028</v>
      </c>
      <c r="Z4" s="3">
        <v>2029</v>
      </c>
      <c r="AA4" s="3">
        <v>2030</v>
      </c>
      <c r="AB4" s="3">
        <v>2031</v>
      </c>
      <c r="AC4" s="3">
        <v>2032</v>
      </c>
      <c r="AD4" s="3">
        <v>2033</v>
      </c>
      <c r="AE4" s="3">
        <v>2034</v>
      </c>
      <c r="AF4" s="3">
        <v>2035</v>
      </c>
    </row>
    <row r="5" spans="4:32" x14ac:dyDescent="0.3">
      <c r="D5" t="s">
        <v>161</v>
      </c>
      <c r="G5" s="3">
        <v>5.5486560000000011</v>
      </c>
      <c r="H5" s="4">
        <f>H11/$G$14</f>
        <v>6.4440780000000011</v>
      </c>
      <c r="I5" s="3">
        <v>7.3395000000000001</v>
      </c>
      <c r="J5" s="4">
        <f>J11/$G$14</f>
        <v>22.248019980000006</v>
      </c>
      <c r="K5" s="3">
        <v>37.156539960000003</v>
      </c>
      <c r="L5" s="4">
        <f>L11/$G$14</f>
        <v>32.165541000000012</v>
      </c>
      <c r="M5" s="3">
        <v>27.174542040000009</v>
      </c>
      <c r="N5" s="4">
        <f>N11/$G$14</f>
        <v>30.462821640000005</v>
      </c>
      <c r="O5" s="3">
        <v>33.751101239999997</v>
      </c>
      <c r="P5" s="4">
        <f>P11/$G$14</f>
        <v>35.256653100000001</v>
      </c>
      <c r="Q5" s="3">
        <v>36.762204959999991</v>
      </c>
      <c r="R5" s="3">
        <v>38.536304520000002</v>
      </c>
      <c r="S5" s="3">
        <v>33.691481880000005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4:32" x14ac:dyDescent="0.3">
      <c r="D6" t="s">
        <v>162</v>
      </c>
    </row>
    <row r="7" spans="4:32" x14ac:dyDescent="0.3">
      <c r="D7" t="s">
        <v>163</v>
      </c>
    </row>
    <row r="11" spans="4:32" x14ac:dyDescent="0.3">
      <c r="D11" t="s">
        <v>164</v>
      </c>
      <c r="G11" s="2">
        <v>1.0625676240000002</v>
      </c>
      <c r="H11" s="9">
        <v>1.2340409370000001</v>
      </c>
      <c r="I11" s="10">
        <v>1.40551425</v>
      </c>
      <c r="J11" s="9">
        <v>4.2604958261700006</v>
      </c>
      <c r="K11" s="10">
        <v>7.1154774023400007</v>
      </c>
      <c r="L11" s="9">
        <v>6.1597011015000014</v>
      </c>
      <c r="M11" s="10">
        <v>5.2039248006600012</v>
      </c>
      <c r="N11" s="9">
        <v>5.8336303440600004</v>
      </c>
      <c r="O11" s="10">
        <v>6.4633358874599995</v>
      </c>
      <c r="P11" s="9">
        <v>6.751649068649999</v>
      </c>
      <c r="Q11" s="10">
        <v>7.0399622498399985</v>
      </c>
      <c r="R11" s="9">
        <v>7.3797023155800003</v>
      </c>
      <c r="S11" s="9">
        <v>6.4519187800200015</v>
      </c>
    </row>
    <row r="14" spans="4:32" x14ac:dyDescent="0.3">
      <c r="D14" t="s">
        <v>165</v>
      </c>
      <c r="G14" s="13">
        <f>G11/G5</f>
        <v>0.19149999999999998</v>
      </c>
      <c r="H14" s="14"/>
      <c r="I14" s="13">
        <f t="shared" ref="I14:S14" si="0">I11/I5</f>
        <v>0.1915</v>
      </c>
      <c r="J14" s="14"/>
      <c r="K14" s="13">
        <f t="shared" si="0"/>
        <v>0.1915</v>
      </c>
      <c r="L14" s="14"/>
      <c r="M14" s="13">
        <f t="shared" si="0"/>
        <v>0.19149999999999998</v>
      </c>
      <c r="N14" s="14"/>
      <c r="O14" s="13">
        <f t="shared" si="0"/>
        <v>0.1915</v>
      </c>
      <c r="P14" s="14"/>
      <c r="Q14" s="13">
        <f t="shared" si="0"/>
        <v>0.1915</v>
      </c>
      <c r="R14" s="13">
        <f t="shared" si="0"/>
        <v>0.1915</v>
      </c>
      <c r="S14" s="13">
        <f t="shared" si="0"/>
        <v>0.1915</v>
      </c>
    </row>
    <row r="15" spans="4:32" x14ac:dyDescent="0.3">
      <c r="D15" t="s">
        <v>166</v>
      </c>
      <c r="G15">
        <f>0.3/1000</f>
        <v>2.9999999999999997E-4</v>
      </c>
      <c r="H15">
        <f t="shared" ref="H15:S15" si="1">0.3/1000</f>
        <v>2.9999999999999997E-4</v>
      </c>
      <c r="I15">
        <f t="shared" si="1"/>
        <v>2.9999999999999997E-4</v>
      </c>
      <c r="J15">
        <f t="shared" si="1"/>
        <v>2.9999999999999997E-4</v>
      </c>
      <c r="K15">
        <f t="shared" si="1"/>
        <v>2.9999999999999997E-4</v>
      </c>
      <c r="L15">
        <f t="shared" si="1"/>
        <v>2.9999999999999997E-4</v>
      </c>
      <c r="M15">
        <f t="shared" si="1"/>
        <v>2.9999999999999997E-4</v>
      </c>
      <c r="N15">
        <f t="shared" si="1"/>
        <v>2.9999999999999997E-4</v>
      </c>
      <c r="O15">
        <f t="shared" si="1"/>
        <v>2.9999999999999997E-4</v>
      </c>
      <c r="P15">
        <f t="shared" si="1"/>
        <v>2.9999999999999997E-4</v>
      </c>
      <c r="Q15">
        <f t="shared" si="1"/>
        <v>2.9999999999999997E-4</v>
      </c>
      <c r="R15">
        <f t="shared" si="1"/>
        <v>2.9999999999999997E-4</v>
      </c>
      <c r="S15">
        <f t="shared" si="1"/>
        <v>2.9999999999999997E-4</v>
      </c>
    </row>
    <row r="16" spans="4:32" x14ac:dyDescent="0.3">
      <c r="D16" t="s">
        <v>167</v>
      </c>
      <c r="G16">
        <f>4/1000</f>
        <v>4.0000000000000001E-3</v>
      </c>
      <c r="H16">
        <f t="shared" ref="H16:S16" si="2">4/1000</f>
        <v>4.0000000000000001E-3</v>
      </c>
      <c r="I16">
        <f t="shared" si="2"/>
        <v>4.0000000000000001E-3</v>
      </c>
      <c r="J16">
        <f t="shared" si="2"/>
        <v>4.0000000000000001E-3</v>
      </c>
      <c r="K16">
        <f t="shared" si="2"/>
        <v>4.0000000000000001E-3</v>
      </c>
      <c r="L16">
        <f t="shared" si="2"/>
        <v>4.0000000000000001E-3</v>
      </c>
      <c r="M16">
        <f t="shared" si="2"/>
        <v>4.0000000000000001E-3</v>
      </c>
      <c r="N16">
        <f t="shared" si="2"/>
        <v>4.0000000000000001E-3</v>
      </c>
      <c r="O16">
        <f t="shared" si="2"/>
        <v>4.0000000000000001E-3</v>
      </c>
      <c r="P16">
        <f t="shared" si="2"/>
        <v>4.0000000000000001E-3</v>
      </c>
      <c r="Q16">
        <f t="shared" si="2"/>
        <v>4.0000000000000001E-3</v>
      </c>
      <c r="R16">
        <f t="shared" si="2"/>
        <v>4.0000000000000001E-3</v>
      </c>
      <c r="S16">
        <f t="shared" si="2"/>
        <v>4.0000000000000001E-3</v>
      </c>
    </row>
    <row r="18" spans="4:19" x14ac:dyDescent="0.3">
      <c r="D18" t="s">
        <v>95</v>
      </c>
    </row>
    <row r="19" spans="4:19" x14ac:dyDescent="0.3">
      <c r="D19" t="s">
        <v>168</v>
      </c>
      <c r="G19">
        <v>265</v>
      </c>
      <c r="H19">
        <v>265</v>
      </c>
      <c r="I19">
        <v>265</v>
      </c>
      <c r="J19">
        <v>265</v>
      </c>
      <c r="K19">
        <v>265</v>
      </c>
      <c r="L19">
        <v>265</v>
      </c>
      <c r="M19">
        <v>265</v>
      </c>
      <c r="N19">
        <v>265</v>
      </c>
      <c r="O19">
        <v>265</v>
      </c>
      <c r="P19">
        <v>265</v>
      </c>
      <c r="Q19">
        <v>265</v>
      </c>
      <c r="R19">
        <v>265</v>
      </c>
      <c r="S19">
        <v>265</v>
      </c>
    </row>
    <row r="20" spans="4:19" x14ac:dyDescent="0.3">
      <c r="D20" t="s">
        <v>96</v>
      </c>
      <c r="G20">
        <v>28</v>
      </c>
      <c r="H20">
        <v>28</v>
      </c>
      <c r="I20">
        <v>28</v>
      </c>
      <c r="J20">
        <v>28</v>
      </c>
      <c r="K20">
        <v>28</v>
      </c>
      <c r="L20">
        <v>28</v>
      </c>
      <c r="M20">
        <v>28</v>
      </c>
      <c r="N20">
        <v>28</v>
      </c>
      <c r="O20">
        <v>28</v>
      </c>
      <c r="P20">
        <v>28</v>
      </c>
      <c r="Q20">
        <v>28</v>
      </c>
      <c r="R20">
        <v>28</v>
      </c>
      <c r="S20">
        <v>28</v>
      </c>
    </row>
    <row r="21" spans="4:19" x14ac:dyDescent="0.3">
      <c r="D21" t="s">
        <v>169</v>
      </c>
    </row>
    <row r="23" spans="4:19" x14ac:dyDescent="0.3">
      <c r="D23" s="1" t="s">
        <v>170</v>
      </c>
    </row>
    <row r="24" spans="4:19" x14ac:dyDescent="0.3">
      <c r="D24" t="s">
        <v>171</v>
      </c>
      <c r="G24">
        <f>G15*G19</f>
        <v>7.9499999999999987E-2</v>
      </c>
      <c r="H24">
        <f t="shared" ref="H24:S24" si="3">H15*H19</f>
        <v>7.9499999999999987E-2</v>
      </c>
      <c r="I24">
        <f t="shared" si="3"/>
        <v>7.9499999999999987E-2</v>
      </c>
      <c r="J24">
        <f t="shared" si="3"/>
        <v>7.9499999999999987E-2</v>
      </c>
      <c r="K24">
        <f t="shared" si="3"/>
        <v>7.9499999999999987E-2</v>
      </c>
      <c r="L24">
        <f t="shared" si="3"/>
        <v>7.9499999999999987E-2</v>
      </c>
      <c r="M24">
        <f t="shared" si="3"/>
        <v>7.9499999999999987E-2</v>
      </c>
      <c r="N24">
        <f t="shared" si="3"/>
        <v>7.9499999999999987E-2</v>
      </c>
      <c r="O24">
        <f t="shared" si="3"/>
        <v>7.9499999999999987E-2</v>
      </c>
      <c r="P24">
        <f t="shared" si="3"/>
        <v>7.9499999999999987E-2</v>
      </c>
      <c r="Q24">
        <f t="shared" si="3"/>
        <v>7.9499999999999987E-2</v>
      </c>
      <c r="R24">
        <f t="shared" si="3"/>
        <v>7.9499999999999987E-2</v>
      </c>
      <c r="S24">
        <f t="shared" si="3"/>
        <v>7.9499999999999987E-2</v>
      </c>
    </row>
    <row r="25" spans="4:19" x14ac:dyDescent="0.3">
      <c r="D25" t="s">
        <v>172</v>
      </c>
      <c r="G25">
        <f>G16*G20</f>
        <v>0.112</v>
      </c>
      <c r="H25">
        <f t="shared" ref="H25:S25" si="4">H16*H20</f>
        <v>0.112</v>
      </c>
      <c r="I25">
        <f t="shared" si="4"/>
        <v>0.112</v>
      </c>
      <c r="J25">
        <f t="shared" si="4"/>
        <v>0.112</v>
      </c>
      <c r="K25">
        <f t="shared" si="4"/>
        <v>0.112</v>
      </c>
      <c r="L25">
        <f t="shared" si="4"/>
        <v>0.112</v>
      </c>
      <c r="M25">
        <f t="shared" si="4"/>
        <v>0.112</v>
      </c>
      <c r="N25">
        <f t="shared" si="4"/>
        <v>0.112</v>
      </c>
      <c r="O25">
        <f t="shared" si="4"/>
        <v>0.112</v>
      </c>
      <c r="P25">
        <f t="shared" si="4"/>
        <v>0.112</v>
      </c>
      <c r="Q25">
        <f t="shared" si="4"/>
        <v>0.112</v>
      </c>
      <c r="R25">
        <f t="shared" si="4"/>
        <v>0.112</v>
      </c>
      <c r="S25">
        <f t="shared" si="4"/>
        <v>0.112</v>
      </c>
    </row>
    <row r="26" spans="4:19" x14ac:dyDescent="0.3">
      <c r="D26" t="s">
        <v>173</v>
      </c>
      <c r="G26" s="15">
        <f t="shared" ref="G26:S26" si="5">G24+G25</f>
        <v>0.1915</v>
      </c>
      <c r="H26" s="15">
        <f t="shared" si="5"/>
        <v>0.1915</v>
      </c>
      <c r="I26" s="15">
        <f t="shared" si="5"/>
        <v>0.1915</v>
      </c>
      <c r="J26" s="15">
        <f t="shared" si="5"/>
        <v>0.1915</v>
      </c>
      <c r="K26" s="15">
        <f t="shared" si="5"/>
        <v>0.1915</v>
      </c>
      <c r="L26" s="15">
        <f t="shared" si="5"/>
        <v>0.1915</v>
      </c>
      <c r="M26" s="15">
        <f t="shared" si="5"/>
        <v>0.1915</v>
      </c>
      <c r="N26" s="15">
        <f t="shared" si="5"/>
        <v>0.1915</v>
      </c>
      <c r="O26" s="15">
        <f t="shared" si="5"/>
        <v>0.1915</v>
      </c>
      <c r="P26" s="15">
        <f t="shared" si="5"/>
        <v>0.1915</v>
      </c>
      <c r="Q26" s="15">
        <f t="shared" si="5"/>
        <v>0.1915</v>
      </c>
      <c r="R26" s="15">
        <f t="shared" si="5"/>
        <v>0.1915</v>
      </c>
      <c r="S26" s="15">
        <f t="shared" si="5"/>
        <v>0.1915</v>
      </c>
    </row>
    <row r="31" spans="4:19" ht="15" thickBot="1" x14ac:dyDescent="0.35">
      <c r="G31" s="3">
        <v>2010</v>
      </c>
      <c r="H31" s="3">
        <v>2011</v>
      </c>
      <c r="I31" s="3">
        <v>2012</v>
      </c>
      <c r="J31" s="3">
        <v>2013</v>
      </c>
      <c r="K31" s="3">
        <v>2014</v>
      </c>
      <c r="L31" s="3">
        <v>2015</v>
      </c>
      <c r="M31" s="3">
        <v>2016</v>
      </c>
      <c r="N31" s="3">
        <v>2017</v>
      </c>
      <c r="O31" s="3">
        <v>2018</v>
      </c>
      <c r="P31" s="3">
        <v>2019</v>
      </c>
      <c r="Q31" s="3">
        <v>2020</v>
      </c>
      <c r="R31" s="3">
        <v>2021</v>
      </c>
      <c r="S31" s="3">
        <v>2022</v>
      </c>
    </row>
    <row r="32" spans="4:19" ht="15" thickBot="1" x14ac:dyDescent="0.35">
      <c r="D32" s="29" t="s">
        <v>106</v>
      </c>
      <c r="E32" s="30"/>
      <c r="F32" s="30"/>
      <c r="G32" s="29">
        <f>ROUND(G5/1000,4)</f>
        <v>5.4999999999999997E-3</v>
      </c>
      <c r="H32" s="30">
        <f t="shared" ref="H32:S32" si="6">ROUND(H5/1000,4)</f>
        <v>6.4000000000000003E-3</v>
      </c>
      <c r="I32" s="30">
        <f t="shared" si="6"/>
        <v>7.3000000000000001E-3</v>
      </c>
      <c r="J32" s="30">
        <f t="shared" si="6"/>
        <v>2.2200000000000001E-2</v>
      </c>
      <c r="K32" s="30">
        <f t="shared" si="6"/>
        <v>3.7199999999999997E-2</v>
      </c>
      <c r="L32" s="30">
        <f t="shared" si="6"/>
        <v>3.2199999999999999E-2</v>
      </c>
      <c r="M32" s="30">
        <f t="shared" si="6"/>
        <v>2.7199999999999998E-2</v>
      </c>
      <c r="N32" s="30">
        <f t="shared" si="6"/>
        <v>3.0499999999999999E-2</v>
      </c>
      <c r="O32" s="30">
        <f t="shared" si="6"/>
        <v>3.3799999999999997E-2</v>
      </c>
      <c r="P32" s="30">
        <f t="shared" si="6"/>
        <v>3.5299999999999998E-2</v>
      </c>
      <c r="Q32" s="30">
        <f t="shared" si="6"/>
        <v>3.6799999999999999E-2</v>
      </c>
      <c r="R32" s="30">
        <f t="shared" si="6"/>
        <v>3.85E-2</v>
      </c>
      <c r="S32" s="31">
        <f t="shared" si="6"/>
        <v>3.3700000000000001E-2</v>
      </c>
    </row>
    <row r="33" spans="3:32" x14ac:dyDescent="0.3">
      <c r="D33" s="22" t="s">
        <v>145</v>
      </c>
      <c r="G33" s="45">
        <f>ROUND(G26,4)</f>
        <v>0.1915</v>
      </c>
      <c r="H33" s="13">
        <f t="shared" ref="H33:S33" si="7">ROUND(H26,4)</f>
        <v>0.1915</v>
      </c>
      <c r="I33" s="13">
        <f t="shared" si="7"/>
        <v>0.1915</v>
      </c>
      <c r="J33" s="13">
        <f t="shared" si="7"/>
        <v>0.1915</v>
      </c>
      <c r="K33" s="13">
        <f t="shared" si="7"/>
        <v>0.1915</v>
      </c>
      <c r="L33" s="13">
        <f t="shared" si="7"/>
        <v>0.1915</v>
      </c>
      <c r="M33" s="13">
        <f t="shared" si="7"/>
        <v>0.1915</v>
      </c>
      <c r="N33" s="13">
        <f t="shared" si="7"/>
        <v>0.1915</v>
      </c>
      <c r="O33" s="13">
        <f t="shared" si="7"/>
        <v>0.1915</v>
      </c>
      <c r="P33" s="13">
        <f t="shared" si="7"/>
        <v>0.1915</v>
      </c>
      <c r="Q33" s="13">
        <f t="shared" si="7"/>
        <v>0.1915</v>
      </c>
      <c r="R33" s="13">
        <f t="shared" si="7"/>
        <v>0.1915</v>
      </c>
      <c r="S33" s="34">
        <f t="shared" si="7"/>
        <v>0.1915</v>
      </c>
    </row>
    <row r="34" spans="3:32" x14ac:dyDescent="0.3">
      <c r="D34" s="22" t="s">
        <v>146</v>
      </c>
      <c r="G34" s="45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34">
        <v>0</v>
      </c>
    </row>
    <row r="35" spans="3:32" x14ac:dyDescent="0.3">
      <c r="D35" s="22" t="s">
        <v>147</v>
      </c>
      <c r="G35" s="45">
        <f>ROUND(G25,4)</f>
        <v>0.112</v>
      </c>
      <c r="H35" s="13">
        <f t="shared" ref="H35:S35" si="8">ROUND(H25,4)</f>
        <v>0.112</v>
      </c>
      <c r="I35" s="13">
        <f t="shared" si="8"/>
        <v>0.112</v>
      </c>
      <c r="J35" s="13">
        <f t="shared" si="8"/>
        <v>0.112</v>
      </c>
      <c r="K35" s="13">
        <f t="shared" si="8"/>
        <v>0.112</v>
      </c>
      <c r="L35" s="13">
        <f t="shared" si="8"/>
        <v>0.112</v>
      </c>
      <c r="M35" s="13">
        <f t="shared" si="8"/>
        <v>0.112</v>
      </c>
      <c r="N35" s="13">
        <f t="shared" si="8"/>
        <v>0.112</v>
      </c>
      <c r="O35" s="13">
        <f t="shared" si="8"/>
        <v>0.112</v>
      </c>
      <c r="P35" s="13">
        <f t="shared" si="8"/>
        <v>0.112</v>
      </c>
      <c r="Q35" s="13">
        <f t="shared" si="8"/>
        <v>0.112</v>
      </c>
      <c r="R35" s="13">
        <f t="shared" si="8"/>
        <v>0.112</v>
      </c>
      <c r="S35" s="34">
        <f t="shared" si="8"/>
        <v>0.112</v>
      </c>
    </row>
    <row r="36" spans="3:32" ht="15" thickBot="1" x14ac:dyDescent="0.35">
      <c r="D36" s="25" t="s">
        <v>148</v>
      </c>
      <c r="E36" s="26"/>
      <c r="F36" s="26"/>
      <c r="G36" s="25">
        <f>ROUND(G24,4)</f>
        <v>7.9500000000000001E-2</v>
      </c>
      <c r="H36" s="26">
        <f t="shared" ref="H36:S36" si="9">ROUND(H24,4)</f>
        <v>7.9500000000000001E-2</v>
      </c>
      <c r="I36" s="26">
        <f t="shared" si="9"/>
        <v>7.9500000000000001E-2</v>
      </c>
      <c r="J36" s="26">
        <f t="shared" si="9"/>
        <v>7.9500000000000001E-2</v>
      </c>
      <c r="K36" s="26">
        <f t="shared" si="9"/>
        <v>7.9500000000000001E-2</v>
      </c>
      <c r="L36" s="26">
        <f t="shared" si="9"/>
        <v>7.9500000000000001E-2</v>
      </c>
      <c r="M36" s="26">
        <f t="shared" si="9"/>
        <v>7.9500000000000001E-2</v>
      </c>
      <c r="N36" s="26">
        <f t="shared" si="9"/>
        <v>7.9500000000000001E-2</v>
      </c>
      <c r="O36" s="26">
        <f t="shared" si="9"/>
        <v>7.9500000000000001E-2</v>
      </c>
      <c r="P36" s="26">
        <f t="shared" si="9"/>
        <v>7.9500000000000001E-2</v>
      </c>
      <c r="Q36" s="26">
        <f t="shared" si="9"/>
        <v>7.9500000000000001E-2</v>
      </c>
      <c r="R36" s="26">
        <f t="shared" si="9"/>
        <v>7.9500000000000001E-2</v>
      </c>
      <c r="S36" s="28">
        <f t="shared" si="9"/>
        <v>7.9500000000000001E-2</v>
      </c>
    </row>
    <row r="37" spans="3:32" x14ac:dyDescent="0.3">
      <c r="D37" s="18" t="s">
        <v>149</v>
      </c>
      <c r="E37" s="19"/>
      <c r="F37" s="19"/>
      <c r="G37" s="18">
        <f>G32*G33</f>
        <v>1.0532499999999999E-3</v>
      </c>
      <c r="H37" s="19">
        <f t="shared" ref="H37:S37" si="10">H32*H33</f>
        <v>1.2256000000000001E-3</v>
      </c>
      <c r="I37" s="19">
        <f t="shared" si="10"/>
        <v>1.39795E-3</v>
      </c>
      <c r="J37" s="19">
        <f t="shared" si="10"/>
        <v>4.2513000000000004E-3</v>
      </c>
      <c r="K37" s="19">
        <f t="shared" si="10"/>
        <v>7.1237999999999996E-3</v>
      </c>
      <c r="L37" s="19">
        <f t="shared" si="10"/>
        <v>6.1663000000000004E-3</v>
      </c>
      <c r="M37" s="19">
        <f t="shared" si="10"/>
        <v>5.2087999999999995E-3</v>
      </c>
      <c r="N37" s="19">
        <f t="shared" si="10"/>
        <v>5.8407499999999996E-3</v>
      </c>
      <c r="O37" s="19">
        <f t="shared" si="10"/>
        <v>6.4726999999999996E-3</v>
      </c>
      <c r="P37" s="19">
        <f t="shared" si="10"/>
        <v>6.7599499999999998E-3</v>
      </c>
      <c r="Q37" s="19">
        <f t="shared" si="10"/>
        <v>7.0472E-3</v>
      </c>
      <c r="R37" s="19">
        <f t="shared" si="10"/>
        <v>7.37275E-3</v>
      </c>
      <c r="S37" s="21">
        <f t="shared" si="10"/>
        <v>6.4535500000000006E-3</v>
      </c>
    </row>
    <row r="38" spans="3:32" x14ac:dyDescent="0.3">
      <c r="D38" s="22" t="s">
        <v>150</v>
      </c>
      <c r="G38" s="22">
        <f>G32*G34</f>
        <v>0</v>
      </c>
      <c r="H38">
        <f t="shared" ref="H38:S38" si="11">H32*H34</f>
        <v>0</v>
      </c>
      <c r="I38">
        <f t="shared" si="11"/>
        <v>0</v>
      </c>
      <c r="J38">
        <f t="shared" si="11"/>
        <v>0</v>
      </c>
      <c r="K38">
        <f t="shared" si="11"/>
        <v>0</v>
      </c>
      <c r="L38">
        <f t="shared" si="11"/>
        <v>0</v>
      </c>
      <c r="M38">
        <f t="shared" si="11"/>
        <v>0</v>
      </c>
      <c r="N38">
        <f t="shared" si="11"/>
        <v>0</v>
      </c>
      <c r="O38">
        <f t="shared" si="11"/>
        <v>0</v>
      </c>
      <c r="P38">
        <f t="shared" si="11"/>
        <v>0</v>
      </c>
      <c r="Q38">
        <f t="shared" si="11"/>
        <v>0</v>
      </c>
      <c r="R38">
        <f t="shared" si="11"/>
        <v>0</v>
      </c>
      <c r="S38" s="24">
        <f t="shared" si="11"/>
        <v>0</v>
      </c>
    </row>
    <row r="39" spans="3:32" x14ac:dyDescent="0.3">
      <c r="D39" s="22" t="s">
        <v>151</v>
      </c>
      <c r="G39" s="22">
        <f>G32*G35</f>
        <v>6.1600000000000001E-4</v>
      </c>
      <c r="H39">
        <f t="shared" ref="H39:S39" si="12">H32*H35</f>
        <v>7.1680000000000008E-4</v>
      </c>
      <c r="I39">
        <f t="shared" si="12"/>
        <v>8.1760000000000003E-4</v>
      </c>
      <c r="J39">
        <f t="shared" si="12"/>
        <v>2.4864000000000002E-3</v>
      </c>
      <c r="K39">
        <f t="shared" si="12"/>
        <v>4.1663999999999998E-3</v>
      </c>
      <c r="L39">
        <f t="shared" si="12"/>
        <v>3.6064000000000001E-3</v>
      </c>
      <c r="M39">
        <f t="shared" si="12"/>
        <v>3.0463999999999999E-3</v>
      </c>
      <c r="N39">
        <f t="shared" si="12"/>
        <v>3.4160000000000002E-3</v>
      </c>
      <c r="O39">
        <f t="shared" si="12"/>
        <v>3.7855999999999996E-3</v>
      </c>
      <c r="P39">
        <f t="shared" si="12"/>
        <v>3.9535999999999998E-3</v>
      </c>
      <c r="Q39">
        <f t="shared" si="12"/>
        <v>4.1216000000000004E-3</v>
      </c>
      <c r="R39">
        <f t="shared" si="12"/>
        <v>4.3119999999999999E-3</v>
      </c>
      <c r="S39" s="24">
        <f t="shared" si="12"/>
        <v>3.7744000000000002E-3</v>
      </c>
    </row>
    <row r="40" spans="3:32" ht="15" thickBot="1" x14ac:dyDescent="0.35">
      <c r="D40" s="22" t="s">
        <v>152</v>
      </c>
      <c r="G40" s="22">
        <f>G32*G36</f>
        <v>4.3724999999999998E-4</v>
      </c>
      <c r="H40">
        <f t="shared" ref="H40:S40" si="13">H32*H36</f>
        <v>5.0880000000000001E-4</v>
      </c>
      <c r="I40">
        <f t="shared" si="13"/>
        <v>5.8034999999999998E-4</v>
      </c>
      <c r="J40">
        <f t="shared" si="13"/>
        <v>1.7649E-3</v>
      </c>
      <c r="K40">
        <f t="shared" si="13"/>
        <v>2.9573999999999998E-3</v>
      </c>
      <c r="L40">
        <f t="shared" si="13"/>
        <v>2.5598999999999999E-3</v>
      </c>
      <c r="M40">
        <f t="shared" si="13"/>
        <v>2.1624000000000001E-3</v>
      </c>
      <c r="N40">
        <f t="shared" si="13"/>
        <v>2.4247499999999998E-3</v>
      </c>
      <c r="O40">
        <f t="shared" si="13"/>
        <v>2.6871E-3</v>
      </c>
      <c r="P40">
        <f t="shared" si="13"/>
        <v>2.80635E-3</v>
      </c>
      <c r="Q40">
        <f t="shared" si="13"/>
        <v>2.9256E-3</v>
      </c>
      <c r="R40">
        <f t="shared" si="13"/>
        <v>3.0607500000000001E-3</v>
      </c>
      <c r="S40" s="24">
        <f t="shared" si="13"/>
        <v>2.6791499999999999E-3</v>
      </c>
    </row>
    <row r="41" spans="3:32" ht="15" thickBot="1" x14ac:dyDescent="0.35">
      <c r="D41" s="29" t="s">
        <v>115</v>
      </c>
      <c r="E41" s="30"/>
      <c r="F41" s="30"/>
      <c r="G41" s="47">
        <f>G37-G38-G39-G40</f>
        <v>0</v>
      </c>
      <c r="H41" s="35">
        <f t="shared" ref="H41:S41" si="14">H37-H38-H39-H40</f>
        <v>0</v>
      </c>
      <c r="I41" s="35">
        <f t="shared" si="14"/>
        <v>0</v>
      </c>
      <c r="J41" s="35">
        <f t="shared" si="14"/>
        <v>0</v>
      </c>
      <c r="K41" s="35">
        <f t="shared" si="14"/>
        <v>0</v>
      </c>
      <c r="L41" s="35">
        <f t="shared" si="14"/>
        <v>0</v>
      </c>
      <c r="M41" s="35">
        <f t="shared" si="14"/>
        <v>0</v>
      </c>
      <c r="N41" s="35">
        <f t="shared" si="14"/>
        <v>0</v>
      </c>
      <c r="O41" s="35">
        <f t="shared" si="14"/>
        <v>0</v>
      </c>
      <c r="P41" s="35">
        <f t="shared" si="14"/>
        <v>0</v>
      </c>
      <c r="Q41" s="35">
        <f t="shared" si="14"/>
        <v>0</v>
      </c>
      <c r="R41" s="35">
        <f t="shared" si="14"/>
        <v>0</v>
      </c>
      <c r="S41" s="36">
        <f t="shared" si="14"/>
        <v>0</v>
      </c>
    </row>
    <row r="44" spans="3:32" x14ac:dyDescent="0.3">
      <c r="C44" s="1" t="s">
        <v>153</v>
      </c>
    </row>
    <row r="45" spans="3:32" ht="15" thickBot="1" x14ac:dyDescent="0.35">
      <c r="G45" s="53">
        <v>2010</v>
      </c>
      <c r="H45" s="53">
        <v>2011</v>
      </c>
      <c r="I45" s="53">
        <v>2012</v>
      </c>
      <c r="J45" s="53">
        <v>2013</v>
      </c>
      <c r="K45" s="53">
        <v>2014</v>
      </c>
      <c r="L45" s="53">
        <v>2015</v>
      </c>
      <c r="M45" s="53">
        <v>2016</v>
      </c>
      <c r="N45" s="53">
        <v>2017</v>
      </c>
      <c r="O45" s="53">
        <v>2018</v>
      </c>
      <c r="P45" s="53">
        <v>2019</v>
      </c>
      <c r="Q45" s="53">
        <v>2020</v>
      </c>
      <c r="R45" s="53">
        <v>2021</v>
      </c>
      <c r="S45" s="53">
        <v>2022</v>
      </c>
      <c r="T45" s="150">
        <v>2023</v>
      </c>
      <c r="U45" s="150">
        <v>2024</v>
      </c>
      <c r="V45" s="150">
        <v>2025</v>
      </c>
      <c r="W45" s="150">
        <v>2026</v>
      </c>
      <c r="X45" s="150">
        <v>2027</v>
      </c>
      <c r="Y45" s="150">
        <v>2028</v>
      </c>
      <c r="Z45" s="150">
        <v>2029</v>
      </c>
      <c r="AA45" s="150">
        <v>2030</v>
      </c>
      <c r="AB45" s="150">
        <v>2031</v>
      </c>
      <c r="AC45" s="150">
        <v>2032</v>
      </c>
      <c r="AD45" s="150">
        <v>2033</v>
      </c>
      <c r="AE45" s="150">
        <v>2034</v>
      </c>
      <c r="AF45" s="150">
        <v>2035</v>
      </c>
    </row>
    <row r="46" spans="3:32" ht="15" thickBot="1" x14ac:dyDescent="0.35">
      <c r="D46" s="29" t="s">
        <v>106</v>
      </c>
      <c r="E46" s="30"/>
      <c r="F46" s="30"/>
      <c r="G46" s="18">
        <f>G32</f>
        <v>5.4999999999999997E-3</v>
      </c>
      <c r="H46" s="19">
        <f t="shared" ref="H46:S46" si="15">H32</f>
        <v>6.4000000000000003E-3</v>
      </c>
      <c r="I46" s="19">
        <f t="shared" si="15"/>
        <v>7.3000000000000001E-3</v>
      </c>
      <c r="J46" s="19">
        <f t="shared" si="15"/>
        <v>2.2200000000000001E-2</v>
      </c>
      <c r="K46" s="19">
        <f t="shared" si="15"/>
        <v>3.7199999999999997E-2</v>
      </c>
      <c r="L46" s="19">
        <f t="shared" si="15"/>
        <v>3.2199999999999999E-2</v>
      </c>
      <c r="M46" s="19">
        <f t="shared" si="15"/>
        <v>2.7199999999999998E-2</v>
      </c>
      <c r="N46" s="19">
        <f t="shared" si="15"/>
        <v>3.0499999999999999E-2</v>
      </c>
      <c r="O46" s="19">
        <f t="shared" si="15"/>
        <v>3.3799999999999997E-2</v>
      </c>
      <c r="P46" s="19">
        <f t="shared" si="15"/>
        <v>3.5299999999999998E-2</v>
      </c>
      <c r="Q46" s="19">
        <f t="shared" si="15"/>
        <v>3.6799999999999999E-2</v>
      </c>
      <c r="R46" s="19">
        <f t="shared" si="15"/>
        <v>3.85E-2</v>
      </c>
      <c r="S46" s="21">
        <f t="shared" si="15"/>
        <v>3.3700000000000001E-2</v>
      </c>
      <c r="T46" s="18">
        <v>3.56E-2</v>
      </c>
      <c r="U46" s="19">
        <v>3.7600000000000001E-2</v>
      </c>
      <c r="V46" s="19">
        <v>3.9600000000000003E-2</v>
      </c>
      <c r="W46" s="19">
        <v>4.1700000000000001E-2</v>
      </c>
      <c r="X46" s="19">
        <v>4.3700000000000003E-2</v>
      </c>
      <c r="Y46" s="19">
        <v>4.5900000000000003E-2</v>
      </c>
      <c r="Z46" s="19">
        <v>4.8000000000000001E-2</v>
      </c>
      <c r="AA46" s="19">
        <v>5.0200000000000002E-2</v>
      </c>
      <c r="AB46" s="19">
        <v>5.1200000000000002E-2</v>
      </c>
      <c r="AC46" s="19">
        <v>5.21E-2</v>
      </c>
      <c r="AD46" s="19">
        <v>5.3100000000000001E-2</v>
      </c>
      <c r="AE46" s="19">
        <v>5.4100000000000002E-2</v>
      </c>
      <c r="AF46" s="21">
        <v>5.5100000000000003E-2</v>
      </c>
    </row>
    <row r="47" spans="3:32" x14ac:dyDescent="0.3">
      <c r="D47" s="22" t="s">
        <v>145</v>
      </c>
      <c r="G47" s="44">
        <f>G33</f>
        <v>0.1915</v>
      </c>
      <c r="H47" s="42">
        <f t="shared" ref="H47:S47" si="16">H33</f>
        <v>0.1915</v>
      </c>
      <c r="I47" s="42">
        <f t="shared" si="16"/>
        <v>0.1915</v>
      </c>
      <c r="J47" s="42">
        <f t="shared" si="16"/>
        <v>0.1915</v>
      </c>
      <c r="K47" s="42">
        <f t="shared" si="16"/>
        <v>0.1915</v>
      </c>
      <c r="L47" s="42">
        <f t="shared" si="16"/>
        <v>0.1915</v>
      </c>
      <c r="M47" s="42">
        <f t="shared" si="16"/>
        <v>0.1915</v>
      </c>
      <c r="N47" s="42">
        <f t="shared" si="16"/>
        <v>0.1915</v>
      </c>
      <c r="O47" s="42">
        <f t="shared" si="16"/>
        <v>0.1915</v>
      </c>
      <c r="P47" s="42">
        <f t="shared" si="16"/>
        <v>0.1915</v>
      </c>
      <c r="Q47" s="42">
        <f t="shared" si="16"/>
        <v>0.1915</v>
      </c>
      <c r="R47" s="42">
        <f t="shared" si="16"/>
        <v>0.1915</v>
      </c>
      <c r="S47" s="42">
        <f t="shared" si="16"/>
        <v>0.1915</v>
      </c>
      <c r="T47" s="44">
        <f>S47</f>
        <v>0.1915</v>
      </c>
      <c r="U47" s="42">
        <f t="shared" ref="U47:AF47" si="17">T47</f>
        <v>0.1915</v>
      </c>
      <c r="V47" s="42">
        <f t="shared" si="17"/>
        <v>0.1915</v>
      </c>
      <c r="W47" s="42">
        <f t="shared" si="17"/>
        <v>0.1915</v>
      </c>
      <c r="X47" s="42">
        <f t="shared" si="17"/>
        <v>0.1915</v>
      </c>
      <c r="Y47" s="42">
        <f t="shared" si="17"/>
        <v>0.1915</v>
      </c>
      <c r="Z47" s="42">
        <f t="shared" si="17"/>
        <v>0.1915</v>
      </c>
      <c r="AA47" s="42">
        <f t="shared" si="17"/>
        <v>0.1915</v>
      </c>
      <c r="AB47" s="42">
        <f t="shared" si="17"/>
        <v>0.1915</v>
      </c>
      <c r="AC47" s="42">
        <f t="shared" si="17"/>
        <v>0.1915</v>
      </c>
      <c r="AD47" s="42">
        <f t="shared" si="17"/>
        <v>0.1915</v>
      </c>
      <c r="AE47" s="42">
        <f t="shared" si="17"/>
        <v>0.1915</v>
      </c>
      <c r="AF47" s="43">
        <f t="shared" si="17"/>
        <v>0.1915</v>
      </c>
    </row>
    <row r="48" spans="3:32" x14ac:dyDescent="0.3">
      <c r="D48" s="22" t="s">
        <v>154</v>
      </c>
      <c r="G48" s="45">
        <f>G34</f>
        <v>0</v>
      </c>
      <c r="H48" s="13">
        <f t="shared" ref="H48:S48" si="18">H34</f>
        <v>0</v>
      </c>
      <c r="I48" s="13">
        <f t="shared" si="18"/>
        <v>0</v>
      </c>
      <c r="J48" s="13">
        <f t="shared" si="18"/>
        <v>0</v>
      </c>
      <c r="K48" s="13">
        <f t="shared" si="18"/>
        <v>0</v>
      </c>
      <c r="L48" s="13">
        <f t="shared" si="18"/>
        <v>0</v>
      </c>
      <c r="M48" s="13">
        <f t="shared" si="18"/>
        <v>0</v>
      </c>
      <c r="N48" s="13">
        <f t="shared" si="18"/>
        <v>0</v>
      </c>
      <c r="O48" s="13">
        <f t="shared" si="18"/>
        <v>0</v>
      </c>
      <c r="P48" s="13">
        <f t="shared" si="18"/>
        <v>0</v>
      </c>
      <c r="Q48" s="13">
        <f t="shared" si="18"/>
        <v>0</v>
      </c>
      <c r="R48" s="13">
        <f t="shared" si="18"/>
        <v>0</v>
      </c>
      <c r="S48" s="13">
        <f t="shared" si="18"/>
        <v>0</v>
      </c>
      <c r="T48" s="45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34">
        <v>0</v>
      </c>
    </row>
    <row r="49" spans="4:32" x14ac:dyDescent="0.3">
      <c r="D49" s="22" t="s">
        <v>155</v>
      </c>
      <c r="G49" s="45">
        <f>ROUND(G16,4)</f>
        <v>4.0000000000000001E-3</v>
      </c>
      <c r="H49" s="13">
        <f t="shared" ref="H49:S49" si="19">ROUND(H16,4)</f>
        <v>4.0000000000000001E-3</v>
      </c>
      <c r="I49" s="13">
        <f t="shared" si="19"/>
        <v>4.0000000000000001E-3</v>
      </c>
      <c r="J49" s="13">
        <f t="shared" si="19"/>
        <v>4.0000000000000001E-3</v>
      </c>
      <c r="K49" s="13">
        <f t="shared" si="19"/>
        <v>4.0000000000000001E-3</v>
      </c>
      <c r="L49" s="13">
        <f t="shared" si="19"/>
        <v>4.0000000000000001E-3</v>
      </c>
      <c r="M49" s="13">
        <f t="shared" si="19"/>
        <v>4.0000000000000001E-3</v>
      </c>
      <c r="N49" s="13">
        <f t="shared" si="19"/>
        <v>4.0000000000000001E-3</v>
      </c>
      <c r="O49" s="13">
        <f t="shared" si="19"/>
        <v>4.0000000000000001E-3</v>
      </c>
      <c r="P49" s="13">
        <f t="shared" si="19"/>
        <v>4.0000000000000001E-3</v>
      </c>
      <c r="Q49" s="13">
        <f t="shared" si="19"/>
        <v>4.0000000000000001E-3</v>
      </c>
      <c r="R49" s="13">
        <f t="shared" si="19"/>
        <v>4.0000000000000001E-3</v>
      </c>
      <c r="S49" s="13">
        <f t="shared" si="19"/>
        <v>4.0000000000000001E-3</v>
      </c>
      <c r="T49" s="45">
        <f>S49</f>
        <v>4.0000000000000001E-3</v>
      </c>
      <c r="U49" s="13">
        <f t="shared" ref="U49:AF49" si="20">T49</f>
        <v>4.0000000000000001E-3</v>
      </c>
      <c r="V49" s="13">
        <f t="shared" si="20"/>
        <v>4.0000000000000001E-3</v>
      </c>
      <c r="W49" s="13">
        <f t="shared" si="20"/>
        <v>4.0000000000000001E-3</v>
      </c>
      <c r="X49" s="13">
        <f t="shared" si="20"/>
        <v>4.0000000000000001E-3</v>
      </c>
      <c r="Y49" s="13">
        <f t="shared" si="20"/>
        <v>4.0000000000000001E-3</v>
      </c>
      <c r="Z49" s="13">
        <f t="shared" si="20"/>
        <v>4.0000000000000001E-3</v>
      </c>
      <c r="AA49" s="13">
        <f t="shared" si="20"/>
        <v>4.0000000000000001E-3</v>
      </c>
      <c r="AB49" s="13">
        <f t="shared" si="20"/>
        <v>4.0000000000000001E-3</v>
      </c>
      <c r="AC49" s="13">
        <f t="shared" si="20"/>
        <v>4.0000000000000001E-3</v>
      </c>
      <c r="AD49" s="13">
        <f t="shared" si="20"/>
        <v>4.0000000000000001E-3</v>
      </c>
      <c r="AE49" s="13">
        <f t="shared" si="20"/>
        <v>4.0000000000000001E-3</v>
      </c>
      <c r="AF49" s="34">
        <f t="shared" si="20"/>
        <v>4.0000000000000001E-3</v>
      </c>
    </row>
    <row r="50" spans="4:32" ht="15" thickBot="1" x14ac:dyDescent="0.35">
      <c r="D50" s="25" t="s">
        <v>156</v>
      </c>
      <c r="E50" s="26"/>
      <c r="F50" s="26"/>
      <c r="G50" s="22">
        <f>ROUND(G15,4)</f>
        <v>2.9999999999999997E-4</v>
      </c>
      <c r="H50">
        <f t="shared" ref="H50:S50" si="21">ROUND(H15,4)</f>
        <v>2.9999999999999997E-4</v>
      </c>
      <c r="I50">
        <f t="shared" si="21"/>
        <v>2.9999999999999997E-4</v>
      </c>
      <c r="J50">
        <f t="shared" si="21"/>
        <v>2.9999999999999997E-4</v>
      </c>
      <c r="K50">
        <f t="shared" si="21"/>
        <v>2.9999999999999997E-4</v>
      </c>
      <c r="L50">
        <f t="shared" si="21"/>
        <v>2.9999999999999997E-4</v>
      </c>
      <c r="M50">
        <f t="shared" si="21"/>
        <v>2.9999999999999997E-4</v>
      </c>
      <c r="N50">
        <f t="shared" si="21"/>
        <v>2.9999999999999997E-4</v>
      </c>
      <c r="O50">
        <f t="shared" si="21"/>
        <v>2.9999999999999997E-4</v>
      </c>
      <c r="P50">
        <f t="shared" si="21"/>
        <v>2.9999999999999997E-4</v>
      </c>
      <c r="Q50">
        <f t="shared" si="21"/>
        <v>2.9999999999999997E-4</v>
      </c>
      <c r="R50">
        <f t="shared" si="21"/>
        <v>2.9999999999999997E-4</v>
      </c>
      <c r="S50">
        <f t="shared" si="21"/>
        <v>2.9999999999999997E-4</v>
      </c>
      <c r="T50" s="25">
        <f>S50</f>
        <v>2.9999999999999997E-4</v>
      </c>
      <c r="U50" s="26">
        <f t="shared" ref="U50:AF50" si="22">T50</f>
        <v>2.9999999999999997E-4</v>
      </c>
      <c r="V50" s="26">
        <f t="shared" si="22"/>
        <v>2.9999999999999997E-4</v>
      </c>
      <c r="W50" s="26">
        <f t="shared" si="22"/>
        <v>2.9999999999999997E-4</v>
      </c>
      <c r="X50" s="26">
        <f t="shared" si="22"/>
        <v>2.9999999999999997E-4</v>
      </c>
      <c r="Y50" s="26">
        <f t="shared" si="22"/>
        <v>2.9999999999999997E-4</v>
      </c>
      <c r="Z50" s="26">
        <f t="shared" si="22"/>
        <v>2.9999999999999997E-4</v>
      </c>
      <c r="AA50" s="26">
        <f t="shared" si="22"/>
        <v>2.9999999999999997E-4</v>
      </c>
      <c r="AB50" s="26">
        <f t="shared" si="22"/>
        <v>2.9999999999999997E-4</v>
      </c>
      <c r="AC50" s="26">
        <f t="shared" si="22"/>
        <v>2.9999999999999997E-4</v>
      </c>
      <c r="AD50" s="26">
        <f t="shared" si="22"/>
        <v>2.9999999999999997E-4</v>
      </c>
      <c r="AE50" s="26">
        <f t="shared" si="22"/>
        <v>2.9999999999999997E-4</v>
      </c>
      <c r="AF50" s="28">
        <f t="shared" si="22"/>
        <v>2.9999999999999997E-4</v>
      </c>
    </row>
    <row r="51" spans="4:32" x14ac:dyDescent="0.3">
      <c r="D51" s="18" t="s">
        <v>149</v>
      </c>
      <c r="E51" s="19"/>
      <c r="F51" s="19"/>
      <c r="G51" s="18">
        <f>G46*G47</f>
        <v>1.0532499999999999E-3</v>
      </c>
      <c r="H51" s="19">
        <f t="shared" ref="H51:S51" si="23">H46*H47</f>
        <v>1.2256000000000001E-3</v>
      </c>
      <c r="I51" s="19">
        <f t="shared" si="23"/>
        <v>1.39795E-3</v>
      </c>
      <c r="J51" s="19">
        <f t="shared" si="23"/>
        <v>4.2513000000000004E-3</v>
      </c>
      <c r="K51" s="19">
        <f t="shared" si="23"/>
        <v>7.1237999999999996E-3</v>
      </c>
      <c r="L51" s="19">
        <f t="shared" si="23"/>
        <v>6.1663000000000004E-3</v>
      </c>
      <c r="M51" s="19">
        <f t="shared" si="23"/>
        <v>5.2087999999999995E-3</v>
      </c>
      <c r="N51" s="19">
        <f t="shared" si="23"/>
        <v>5.8407499999999996E-3</v>
      </c>
      <c r="O51" s="19">
        <f t="shared" si="23"/>
        <v>6.4726999999999996E-3</v>
      </c>
      <c r="P51" s="19">
        <f t="shared" si="23"/>
        <v>6.7599499999999998E-3</v>
      </c>
      <c r="Q51" s="19">
        <f t="shared" si="23"/>
        <v>7.0472E-3</v>
      </c>
      <c r="R51" s="19">
        <f t="shared" si="23"/>
        <v>7.37275E-3</v>
      </c>
      <c r="S51" s="19">
        <f t="shared" si="23"/>
        <v>6.4535500000000006E-3</v>
      </c>
      <c r="T51" s="45">
        <f>T46*T47</f>
        <v>6.8174000000000004E-3</v>
      </c>
      <c r="U51" s="13">
        <f t="shared" ref="U51:AF51" si="24">U46*U47</f>
        <v>7.2004E-3</v>
      </c>
      <c r="V51" s="13">
        <f t="shared" si="24"/>
        <v>7.5834000000000006E-3</v>
      </c>
      <c r="W51" s="13">
        <f t="shared" si="24"/>
        <v>7.985550000000001E-3</v>
      </c>
      <c r="X51" s="13">
        <f t="shared" si="24"/>
        <v>8.3685500000000006E-3</v>
      </c>
      <c r="Y51" s="13">
        <f t="shared" si="24"/>
        <v>8.7898500000000001E-3</v>
      </c>
      <c r="Z51" s="13">
        <f t="shared" si="24"/>
        <v>9.1920000000000005E-3</v>
      </c>
      <c r="AA51" s="13">
        <f t="shared" si="24"/>
        <v>9.6133E-3</v>
      </c>
      <c r="AB51" s="13">
        <f t="shared" si="24"/>
        <v>9.8048000000000007E-3</v>
      </c>
      <c r="AC51" s="13">
        <f t="shared" si="24"/>
        <v>9.9771500000000006E-3</v>
      </c>
      <c r="AD51" s="13">
        <f t="shared" si="24"/>
        <v>1.0168650000000001E-2</v>
      </c>
      <c r="AE51" s="13">
        <f t="shared" si="24"/>
        <v>1.036015E-2</v>
      </c>
      <c r="AF51" s="34">
        <f t="shared" si="24"/>
        <v>1.0551650000000001E-2</v>
      </c>
    </row>
    <row r="52" spans="4:32" x14ac:dyDescent="0.3">
      <c r="D52" s="22" t="s">
        <v>157</v>
      </c>
      <c r="G52" s="22">
        <f>G46*G48</f>
        <v>0</v>
      </c>
      <c r="H52">
        <f t="shared" ref="H52:S52" si="25">H46*H48</f>
        <v>0</v>
      </c>
      <c r="I52">
        <f t="shared" si="25"/>
        <v>0</v>
      </c>
      <c r="J52">
        <f t="shared" si="25"/>
        <v>0</v>
      </c>
      <c r="K52">
        <f t="shared" si="25"/>
        <v>0</v>
      </c>
      <c r="L52">
        <f t="shared" si="25"/>
        <v>0</v>
      </c>
      <c r="M52">
        <f t="shared" si="25"/>
        <v>0</v>
      </c>
      <c r="N52">
        <f t="shared" si="25"/>
        <v>0</v>
      </c>
      <c r="O52">
        <f t="shared" si="25"/>
        <v>0</v>
      </c>
      <c r="P52">
        <f t="shared" si="25"/>
        <v>0</v>
      </c>
      <c r="Q52">
        <f t="shared" si="25"/>
        <v>0</v>
      </c>
      <c r="R52">
        <f t="shared" si="25"/>
        <v>0</v>
      </c>
      <c r="S52">
        <f t="shared" si="25"/>
        <v>0</v>
      </c>
      <c r="T52" s="45">
        <f>T46*T48</f>
        <v>0</v>
      </c>
      <c r="U52" s="13">
        <f t="shared" ref="U52:AF52" si="26">U46*U48</f>
        <v>0</v>
      </c>
      <c r="V52" s="13">
        <f t="shared" si="26"/>
        <v>0</v>
      </c>
      <c r="W52" s="13">
        <f t="shared" si="26"/>
        <v>0</v>
      </c>
      <c r="X52" s="13">
        <f t="shared" si="26"/>
        <v>0</v>
      </c>
      <c r="Y52" s="13">
        <f t="shared" si="26"/>
        <v>0</v>
      </c>
      <c r="Z52" s="13">
        <f t="shared" si="26"/>
        <v>0</v>
      </c>
      <c r="AA52" s="13">
        <f t="shared" si="26"/>
        <v>0</v>
      </c>
      <c r="AB52" s="13">
        <f t="shared" si="26"/>
        <v>0</v>
      </c>
      <c r="AC52" s="13">
        <f t="shared" si="26"/>
        <v>0</v>
      </c>
      <c r="AD52" s="13">
        <f t="shared" si="26"/>
        <v>0</v>
      </c>
      <c r="AE52" s="13">
        <f t="shared" si="26"/>
        <v>0</v>
      </c>
      <c r="AF52" s="34">
        <f t="shared" si="26"/>
        <v>0</v>
      </c>
    </row>
    <row r="53" spans="4:32" x14ac:dyDescent="0.3">
      <c r="D53" s="22" t="s">
        <v>158</v>
      </c>
      <c r="G53" s="22">
        <f>G46*G49</f>
        <v>2.1999999999999999E-5</v>
      </c>
      <c r="H53">
        <f t="shared" ref="H53:S53" si="27">H46*H49</f>
        <v>2.5600000000000002E-5</v>
      </c>
      <c r="I53">
        <f t="shared" si="27"/>
        <v>2.9200000000000002E-5</v>
      </c>
      <c r="J53">
        <f t="shared" si="27"/>
        <v>8.8800000000000004E-5</v>
      </c>
      <c r="K53">
        <f t="shared" si="27"/>
        <v>1.4879999999999998E-4</v>
      </c>
      <c r="L53">
        <f t="shared" si="27"/>
        <v>1.2880000000000001E-4</v>
      </c>
      <c r="M53">
        <f t="shared" si="27"/>
        <v>1.088E-4</v>
      </c>
      <c r="N53">
        <f t="shared" si="27"/>
        <v>1.22E-4</v>
      </c>
      <c r="O53">
        <f t="shared" si="27"/>
        <v>1.3519999999999998E-4</v>
      </c>
      <c r="P53">
        <f t="shared" si="27"/>
        <v>1.4119999999999999E-4</v>
      </c>
      <c r="Q53">
        <f t="shared" si="27"/>
        <v>1.472E-4</v>
      </c>
      <c r="R53">
        <f t="shared" si="27"/>
        <v>1.54E-4</v>
      </c>
      <c r="S53">
        <f t="shared" si="27"/>
        <v>1.348E-4</v>
      </c>
      <c r="T53" s="45">
        <f>T46*T49</f>
        <v>1.4239999999999999E-4</v>
      </c>
      <c r="U53" s="13">
        <f t="shared" ref="U53:AF53" si="28">U46*U49</f>
        <v>1.504E-4</v>
      </c>
      <c r="V53" s="13">
        <f t="shared" si="28"/>
        <v>1.5840000000000003E-4</v>
      </c>
      <c r="W53" s="13">
        <f t="shared" si="28"/>
        <v>1.6680000000000002E-4</v>
      </c>
      <c r="X53" s="13">
        <f t="shared" si="28"/>
        <v>1.7480000000000002E-4</v>
      </c>
      <c r="Y53" s="13">
        <f t="shared" si="28"/>
        <v>1.8360000000000002E-4</v>
      </c>
      <c r="Z53" s="13">
        <f t="shared" si="28"/>
        <v>1.92E-4</v>
      </c>
      <c r="AA53" s="13">
        <f t="shared" si="28"/>
        <v>2.008E-4</v>
      </c>
      <c r="AB53" s="13">
        <f t="shared" si="28"/>
        <v>2.0480000000000002E-4</v>
      </c>
      <c r="AC53" s="13">
        <f t="shared" si="28"/>
        <v>2.084E-4</v>
      </c>
      <c r="AD53" s="13">
        <f t="shared" si="28"/>
        <v>2.1240000000000001E-4</v>
      </c>
      <c r="AE53" s="13">
        <f t="shared" si="28"/>
        <v>2.164E-4</v>
      </c>
      <c r="AF53" s="34">
        <f t="shared" si="28"/>
        <v>2.2040000000000002E-4</v>
      </c>
    </row>
    <row r="54" spans="4:32" ht="15" thickBot="1" x14ac:dyDescent="0.35">
      <c r="D54" s="25" t="s">
        <v>159</v>
      </c>
      <c r="E54" s="26"/>
      <c r="F54" s="26"/>
      <c r="G54" s="25">
        <f>G46*G50</f>
        <v>1.6499999999999997E-6</v>
      </c>
      <c r="H54" s="26">
        <f t="shared" ref="H54:S54" si="29">H46*H50</f>
        <v>1.9199999999999998E-6</v>
      </c>
      <c r="I54" s="26">
        <f t="shared" si="29"/>
        <v>2.1899999999999998E-6</v>
      </c>
      <c r="J54" s="26">
        <f t="shared" si="29"/>
        <v>6.6599999999999998E-6</v>
      </c>
      <c r="K54" s="26">
        <f t="shared" si="29"/>
        <v>1.1159999999999998E-5</v>
      </c>
      <c r="L54" s="26">
        <f t="shared" si="29"/>
        <v>9.659999999999999E-6</v>
      </c>
      <c r="M54" s="26">
        <f t="shared" si="29"/>
        <v>8.1599999999999981E-6</v>
      </c>
      <c r="N54" s="26">
        <f t="shared" si="29"/>
        <v>9.1499999999999988E-6</v>
      </c>
      <c r="O54" s="26">
        <f t="shared" si="29"/>
        <v>1.0139999999999998E-5</v>
      </c>
      <c r="P54" s="26">
        <f t="shared" si="29"/>
        <v>1.0589999999999999E-5</v>
      </c>
      <c r="Q54" s="26">
        <f t="shared" si="29"/>
        <v>1.1039999999999999E-5</v>
      </c>
      <c r="R54" s="26">
        <f t="shared" si="29"/>
        <v>1.155E-5</v>
      </c>
      <c r="S54" s="26">
        <f t="shared" si="29"/>
        <v>1.011E-5</v>
      </c>
      <c r="T54" s="46">
        <f>T46*T50</f>
        <v>1.0679999999999999E-5</v>
      </c>
      <c r="U54" s="32">
        <f t="shared" ref="U54:AF54" si="30">U46*U50</f>
        <v>1.1279999999999999E-5</v>
      </c>
      <c r="V54" s="32">
        <f t="shared" si="30"/>
        <v>1.188E-5</v>
      </c>
      <c r="W54" s="32">
        <f t="shared" si="30"/>
        <v>1.2509999999999999E-5</v>
      </c>
      <c r="X54" s="32">
        <f t="shared" si="30"/>
        <v>1.311E-5</v>
      </c>
      <c r="Y54" s="32">
        <f t="shared" si="30"/>
        <v>1.377E-5</v>
      </c>
      <c r="Z54" s="32">
        <f t="shared" si="30"/>
        <v>1.4399999999999999E-5</v>
      </c>
      <c r="AA54" s="32">
        <f t="shared" si="30"/>
        <v>1.506E-5</v>
      </c>
      <c r="AB54" s="32">
        <f t="shared" si="30"/>
        <v>1.5359999999999999E-5</v>
      </c>
      <c r="AC54" s="32">
        <f t="shared" si="30"/>
        <v>1.5629999999999998E-5</v>
      </c>
      <c r="AD54" s="32">
        <f t="shared" si="30"/>
        <v>1.5929999999999998E-5</v>
      </c>
      <c r="AE54" s="32">
        <f t="shared" si="30"/>
        <v>1.6229999999999999E-5</v>
      </c>
      <c r="AF54" s="33">
        <f t="shared" si="30"/>
        <v>1.6529999999999999E-5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543C0-1F11-4A15-9BB4-8FA0305E4238}">
  <sheetPr>
    <tabColor theme="8" tint="0.59999389629810485"/>
  </sheetPr>
  <dimension ref="B2:AB78"/>
  <sheetViews>
    <sheetView topLeftCell="D45" workbookViewId="0">
      <selection activeCell="C64" sqref="C64:C67"/>
    </sheetView>
  </sheetViews>
  <sheetFormatPr defaultColWidth="9" defaultRowHeight="14.4" x14ac:dyDescent="0.3"/>
  <cols>
    <col min="2" max="2" width="72.44140625" bestFit="1" customWidth="1"/>
    <col min="3" max="3" width="12.33203125" bestFit="1" customWidth="1"/>
    <col min="4" max="4" width="12" customWidth="1"/>
    <col min="5" max="5" width="12.33203125" customWidth="1"/>
    <col min="6" max="6" width="12" bestFit="1" customWidth="1"/>
    <col min="7" max="7" width="12.33203125" bestFit="1" customWidth="1"/>
    <col min="8" max="8" width="12" bestFit="1" customWidth="1"/>
    <col min="9" max="9" width="12.33203125" bestFit="1" customWidth="1"/>
    <col min="10" max="10" width="12" bestFit="1" customWidth="1"/>
    <col min="11" max="11" width="12.33203125" bestFit="1" customWidth="1"/>
    <col min="12" max="12" width="11" bestFit="1" customWidth="1"/>
    <col min="13" max="15" width="12.33203125" bestFit="1" customWidth="1"/>
  </cols>
  <sheetData>
    <row r="2" spans="2:15" x14ac:dyDescent="0.3">
      <c r="B2" s="1" t="s">
        <v>64</v>
      </c>
    </row>
    <row r="3" spans="2:15" x14ac:dyDescent="0.3">
      <c r="B3" s="1" t="s">
        <v>174</v>
      </c>
    </row>
    <row r="4" spans="2:15" ht="15" thickBot="1" x14ac:dyDescent="0.35">
      <c r="C4">
        <v>2010</v>
      </c>
      <c r="D4">
        <v>2011</v>
      </c>
      <c r="E4">
        <v>2012</v>
      </c>
      <c r="F4">
        <v>2013</v>
      </c>
      <c r="G4">
        <v>2014</v>
      </c>
      <c r="H4">
        <v>2015</v>
      </c>
      <c r="I4">
        <v>2016</v>
      </c>
      <c r="J4">
        <v>2017</v>
      </c>
      <c r="K4">
        <v>2018</v>
      </c>
      <c r="L4">
        <v>2019</v>
      </c>
      <c r="M4">
        <v>2020</v>
      </c>
      <c r="N4">
        <v>2021</v>
      </c>
      <c r="O4">
        <v>2022</v>
      </c>
    </row>
    <row r="5" spans="2:15" ht="15" thickBot="1" x14ac:dyDescent="0.35">
      <c r="B5" s="18" t="s">
        <v>175</v>
      </c>
      <c r="C5" s="19">
        <v>9.100780483043259</v>
      </c>
      <c r="D5" s="20">
        <f>D36/D37</f>
        <v>9.7188225959373842</v>
      </c>
      <c r="E5" s="19">
        <v>10.37070525838406</v>
      </c>
      <c r="F5" s="20">
        <f>F36/F37</f>
        <v>10.825826052949933</v>
      </c>
      <c r="G5" s="19">
        <v>11.296062197249723</v>
      </c>
      <c r="H5" s="20">
        <f>H36/H37</f>
        <v>11.232176360601448</v>
      </c>
      <c r="I5" s="19">
        <v>11.168560839615552</v>
      </c>
      <c r="J5" s="20">
        <f>J36/J37</f>
        <v>11.373138675602283</v>
      </c>
      <c r="K5" s="19">
        <v>11.580481250214408</v>
      </c>
      <c r="L5" s="20">
        <f>L36/L37</f>
        <v>15.114021096226429</v>
      </c>
      <c r="M5" s="19">
        <v>19.284896979999999</v>
      </c>
      <c r="N5" s="19">
        <v>9.1292779949000007</v>
      </c>
      <c r="O5" s="21">
        <v>13.651929237499999</v>
      </c>
    </row>
    <row r="6" spans="2:15" x14ac:dyDescent="0.3">
      <c r="B6" s="18" t="s">
        <v>176</v>
      </c>
      <c r="C6" s="19">
        <v>1.4485257469847128</v>
      </c>
      <c r="D6" s="20">
        <f>D28/D16</f>
        <v>1.4103882222808359</v>
      </c>
      <c r="E6" s="19">
        <v>1.3722794542492551</v>
      </c>
      <c r="F6" s="20">
        <f>F28/F16</f>
        <v>1.34989346093831</v>
      </c>
      <c r="G6" s="19">
        <v>1.3275182681563547</v>
      </c>
      <c r="H6" s="20">
        <f>H28/H16</f>
        <v>1.3303816178896888</v>
      </c>
      <c r="I6" s="19">
        <v>1.333245149520242</v>
      </c>
      <c r="J6" s="20">
        <f>J28/J16</f>
        <v>1.3242204857675026</v>
      </c>
      <c r="K6" s="19">
        <v>1.3151976451228018</v>
      </c>
      <c r="L6" s="20">
        <f>L28/L16</f>
        <v>1.2108968729921508</v>
      </c>
      <c r="M6" s="19">
        <v>1.1072273704462208</v>
      </c>
      <c r="N6" s="19">
        <v>1.438668367899014</v>
      </c>
      <c r="O6" s="21">
        <v>1.236465342266001</v>
      </c>
    </row>
    <row r="7" spans="2:15" x14ac:dyDescent="0.3">
      <c r="B7" s="22" t="s">
        <v>177</v>
      </c>
      <c r="C7">
        <v>5.3791321068051269E-6</v>
      </c>
      <c r="D7" s="23">
        <f>D29/D17</f>
        <v>5.3829545367443338E-6</v>
      </c>
      <c r="E7">
        <v>5.3791321068051269E-6</v>
      </c>
      <c r="F7" s="23">
        <f>F29/F17</f>
        <v>5.3805677480693696E-6</v>
      </c>
      <c r="G7">
        <v>5.3791321068051261E-6</v>
      </c>
      <c r="H7" s="23">
        <f>H29/H17</f>
        <v>5.3791562851720432E-6</v>
      </c>
      <c r="I7">
        <v>5.3791321068051269E-6</v>
      </c>
      <c r="J7" s="23">
        <f>J29/J17</f>
        <v>5.3793744402252211E-6</v>
      </c>
      <c r="K7">
        <v>5.3791321068051269E-6</v>
      </c>
      <c r="L7" s="23">
        <f>L29/L17</f>
        <v>6.2277029391347565E-6</v>
      </c>
      <c r="M7">
        <v>6.8678845008276529E-6</v>
      </c>
      <c r="N7">
        <v>1.7041027617551924E-5</v>
      </c>
      <c r="O7" s="24">
        <v>1.2334529595235168E-5</v>
      </c>
    </row>
    <row r="8" spans="2:15" ht="15" thickBot="1" x14ac:dyDescent="0.35">
      <c r="B8" s="25" t="s">
        <v>178</v>
      </c>
      <c r="C8" s="26">
        <v>7.5786279072417243E-5</v>
      </c>
      <c r="D8" s="27">
        <f>D30/D18</f>
        <v>7.5840133065283678E-5</v>
      </c>
      <c r="E8" s="26">
        <v>7.5786279072417243E-5</v>
      </c>
      <c r="F8" s="27">
        <f>F30/F18</f>
        <v>7.5806505738604179E-5</v>
      </c>
      <c r="G8" s="26">
        <v>7.5786279072417243E-5</v>
      </c>
      <c r="H8" s="27">
        <f>H30/H18</f>
        <v>7.5786619720021037E-5</v>
      </c>
      <c r="I8" s="26">
        <v>7.5786279072417243E-5</v>
      </c>
      <c r="J8" s="27">
        <f>J30/J18</f>
        <v>7.5789693293863971E-5</v>
      </c>
      <c r="K8" s="26">
        <v>7.5786279072417243E-5</v>
      </c>
      <c r="L8" s="27">
        <f>L30/L18</f>
        <v>8.4261151597051886E-5</v>
      </c>
      <c r="M8" s="26">
        <v>9.03758932343542E-5</v>
      </c>
      <c r="N8" s="26">
        <v>8.4413385759586702E-5</v>
      </c>
      <c r="O8" s="28">
        <v>8.8403213201902598E-5</v>
      </c>
    </row>
    <row r="9" spans="2:15" x14ac:dyDescent="0.3">
      <c r="B9" s="22" t="s">
        <v>179</v>
      </c>
      <c r="C9">
        <v>13.182714847344132</v>
      </c>
      <c r="D9" s="23"/>
      <c r="E9">
        <v>14.231505752155158</v>
      </c>
      <c r="F9" s="23"/>
      <c r="G9">
        <v>14.995728925079419</v>
      </c>
      <c r="H9" s="23"/>
      <c r="I9">
        <v>14.890429566539154</v>
      </c>
      <c r="J9" s="23"/>
      <c r="K9">
        <v>15.23062166967075</v>
      </c>
      <c r="L9" s="23"/>
      <c r="M9">
        <v>21.352765772491665</v>
      </c>
      <c r="N9">
        <v>13.134003473019167</v>
      </c>
      <c r="O9" s="24">
        <v>16.880137357236663</v>
      </c>
    </row>
    <row r="10" spans="2:15" x14ac:dyDescent="0.3">
      <c r="B10" s="22" t="s">
        <v>180</v>
      </c>
      <c r="C10">
        <v>4.8954300493323501E-5</v>
      </c>
      <c r="D10" s="23"/>
      <c r="E10">
        <v>5.578539362558646E-5</v>
      </c>
      <c r="F10" s="23"/>
      <c r="G10">
        <v>6.0763010845693647E-5</v>
      </c>
      <c r="H10" s="23"/>
      <c r="I10">
        <v>6.0077164199182443E-5</v>
      </c>
      <c r="J10" s="23"/>
      <c r="K10">
        <v>6.2292938505283097E-5</v>
      </c>
      <c r="L10" s="23"/>
      <c r="M10">
        <v>1.32446445069E-4</v>
      </c>
      <c r="N10">
        <v>1.5557227843939996E-4</v>
      </c>
      <c r="O10" s="24">
        <v>1.6839012521200001E-4</v>
      </c>
    </row>
    <row r="11" spans="2:15" ht="15" thickBot="1" x14ac:dyDescent="0.35">
      <c r="B11" s="25" t="s">
        <v>181</v>
      </c>
      <c r="C11" s="26">
        <v>6.8971428946472499E-4</v>
      </c>
      <c r="D11" s="27"/>
      <c r="E11" s="26">
        <v>7.8595716288967939E-4</v>
      </c>
      <c r="F11" s="27"/>
      <c r="G11" s="26">
        <v>8.5608652210015027E-4</v>
      </c>
      <c r="H11" s="27"/>
      <c r="I11" s="26">
        <v>8.464236686283749E-4</v>
      </c>
      <c r="J11" s="27"/>
      <c r="K11" s="26">
        <v>8.7764158382164453E-4</v>
      </c>
      <c r="L11" s="27"/>
      <c r="M11" s="26">
        <v>1.7428897904999997E-3</v>
      </c>
      <c r="N11" s="26">
        <v>7.7063326508999992E-4</v>
      </c>
      <c r="O11" s="28">
        <v>1.206874411E-3</v>
      </c>
    </row>
    <row r="15" spans="2:15" ht="15" thickBot="1" x14ac:dyDescent="0.35">
      <c r="B15" t="s">
        <v>95</v>
      </c>
    </row>
    <row r="16" spans="2:15" x14ac:dyDescent="0.3">
      <c r="B16" s="18" t="s">
        <v>182</v>
      </c>
      <c r="C16" s="19">
        <v>1</v>
      </c>
      <c r="D16" s="19">
        <v>1</v>
      </c>
      <c r="E16" s="19">
        <v>1</v>
      </c>
      <c r="F16" s="19">
        <v>1</v>
      </c>
      <c r="G16" s="19">
        <v>1</v>
      </c>
      <c r="H16" s="19">
        <v>1</v>
      </c>
      <c r="I16" s="19">
        <v>1</v>
      </c>
      <c r="J16" s="19">
        <v>1</v>
      </c>
      <c r="K16" s="19">
        <v>1</v>
      </c>
      <c r="L16" s="19">
        <v>1</v>
      </c>
      <c r="M16" s="19">
        <v>1</v>
      </c>
      <c r="N16" s="19">
        <v>1</v>
      </c>
      <c r="O16" s="21">
        <v>1</v>
      </c>
    </row>
    <row r="17" spans="2:15" x14ac:dyDescent="0.3">
      <c r="B17" s="22" t="s">
        <v>96</v>
      </c>
      <c r="C17">
        <v>28</v>
      </c>
      <c r="D17">
        <v>28</v>
      </c>
      <c r="E17">
        <v>28</v>
      </c>
      <c r="F17">
        <v>28</v>
      </c>
      <c r="G17">
        <v>28</v>
      </c>
      <c r="H17">
        <v>28</v>
      </c>
      <c r="I17">
        <v>28</v>
      </c>
      <c r="J17">
        <v>28</v>
      </c>
      <c r="K17">
        <v>28</v>
      </c>
      <c r="L17">
        <v>28</v>
      </c>
      <c r="M17">
        <v>28</v>
      </c>
      <c r="N17">
        <v>28</v>
      </c>
      <c r="O17" s="24">
        <v>28</v>
      </c>
    </row>
    <row r="18" spans="2:15" ht="15" thickBot="1" x14ac:dyDescent="0.35">
      <c r="B18" s="25" t="s">
        <v>168</v>
      </c>
      <c r="C18" s="26">
        <v>265</v>
      </c>
      <c r="D18" s="26">
        <v>265</v>
      </c>
      <c r="E18" s="26">
        <v>265</v>
      </c>
      <c r="F18" s="26">
        <v>265</v>
      </c>
      <c r="G18" s="26">
        <v>265</v>
      </c>
      <c r="H18" s="26">
        <v>265</v>
      </c>
      <c r="I18" s="26">
        <v>265</v>
      </c>
      <c r="J18" s="26">
        <v>265</v>
      </c>
      <c r="K18" s="26">
        <v>265</v>
      </c>
      <c r="L18" s="26">
        <v>265</v>
      </c>
      <c r="M18" s="26">
        <v>265</v>
      </c>
      <c r="N18" s="26">
        <v>265</v>
      </c>
      <c r="O18" s="28">
        <v>265</v>
      </c>
    </row>
    <row r="20" spans="2:15" ht="15" thickBot="1" x14ac:dyDescent="0.35"/>
    <row r="21" spans="2:15" x14ac:dyDescent="0.3">
      <c r="B21" s="18" t="s">
        <v>183</v>
      </c>
      <c r="C21" s="19">
        <f>C5*C6*C16</f>
        <v>13.182714847344132</v>
      </c>
      <c r="D21" s="19">
        <f t="shared" ref="D21:O21" si="0">D5*D6*D16</f>
        <v>13.707312923746946</v>
      </c>
      <c r="E21" s="19">
        <f t="shared" si="0"/>
        <v>14.231505752155158</v>
      </c>
      <c r="F21" s="19">
        <f t="shared" si="0"/>
        <v>14.613711798132709</v>
      </c>
      <c r="G21" s="19">
        <f t="shared" si="0"/>
        <v>14.995728925079419</v>
      </c>
      <c r="H21" s="19">
        <f t="shared" si="0"/>
        <v>14.943080959039271</v>
      </c>
      <c r="I21" s="19">
        <f t="shared" si="0"/>
        <v>14.890429566539156</v>
      </c>
      <c r="J21" s="19">
        <f t="shared" si="0"/>
        <v>15.060543221707226</v>
      </c>
      <c r="K21" s="19">
        <f t="shared" si="0"/>
        <v>15.230621669670748</v>
      </c>
      <c r="L21" s="19">
        <f t="shared" si="0"/>
        <v>18.301520883757981</v>
      </c>
      <c r="M21" s="19">
        <f t="shared" si="0"/>
        <v>21.352765772491665</v>
      </c>
      <c r="N21" s="19">
        <f t="shared" si="0"/>
        <v>13.134003473019167</v>
      </c>
      <c r="O21" s="21">
        <f t="shared" si="0"/>
        <v>16.880137357236663</v>
      </c>
    </row>
    <row r="22" spans="2:15" x14ac:dyDescent="0.3">
      <c r="B22" s="22" t="s">
        <v>184</v>
      </c>
      <c r="C22">
        <f>C5*C7*C17</f>
        <v>1.3707204138130571E-3</v>
      </c>
      <c r="D22">
        <f>D5*D7*D17</f>
        <v>1.4648474451692056E-3</v>
      </c>
      <c r="E22">
        <f t="shared" ref="E22:O22" si="1">E5*E7*E17</f>
        <v>1.5619910215164208E-3</v>
      </c>
      <c r="F22">
        <f t="shared" si="1"/>
        <v>1.6309745341879232E-3</v>
      </c>
      <c r="G22">
        <f t="shared" si="1"/>
        <v>1.7013643036794222E-3</v>
      </c>
      <c r="H22">
        <f t="shared" si="1"/>
        <v>1.6917496978561236E-3</v>
      </c>
      <c r="I22">
        <f t="shared" si="1"/>
        <v>1.6821605975771083E-3</v>
      </c>
      <c r="J22">
        <f t="shared" si="1"/>
        <v>1.7130504019068115E-3</v>
      </c>
      <c r="K22">
        <f t="shared" si="1"/>
        <v>1.7442022781479268E-3</v>
      </c>
      <c r="L22">
        <f t="shared" si="1"/>
        <v>2.6355177408871932E-3</v>
      </c>
      <c r="M22">
        <f t="shared" si="1"/>
        <v>3.708500461932E-3</v>
      </c>
      <c r="N22">
        <f t="shared" si="1"/>
        <v>4.3560237963031993E-3</v>
      </c>
      <c r="O22" s="24">
        <f t="shared" si="1"/>
        <v>4.7149235059359999E-3</v>
      </c>
    </row>
    <row r="23" spans="2:15" ht="15" thickBot="1" x14ac:dyDescent="0.35">
      <c r="B23" s="25" t="s">
        <v>185</v>
      </c>
      <c r="C23" s="26">
        <f>C5*C8*C18</f>
        <v>0.18277428670815205</v>
      </c>
      <c r="D23" s="26">
        <f>D5*D8*D18</f>
        <v>0.1953253517121509</v>
      </c>
      <c r="E23" s="26">
        <f t="shared" ref="E23:O23" si="2">E5*E8*E18</f>
        <v>0.20827864816576505</v>
      </c>
      <c r="F23" s="26">
        <f t="shared" si="2"/>
        <v>0.21747703187414114</v>
      </c>
      <c r="G23" s="26">
        <f t="shared" si="2"/>
        <v>0.22686292835653982</v>
      </c>
      <c r="H23" s="26">
        <f t="shared" si="2"/>
        <v>0.22558089979431464</v>
      </c>
      <c r="I23" s="26">
        <f t="shared" si="2"/>
        <v>0.22430227218651932</v>
      </c>
      <c r="J23" s="26">
        <f t="shared" si="2"/>
        <v>0.228421173383307</v>
      </c>
      <c r="K23" s="26">
        <f t="shared" si="2"/>
        <v>0.23257501971273578</v>
      </c>
      <c r="L23" s="26">
        <f t="shared" si="2"/>
        <v>0.33748407804999647</v>
      </c>
      <c r="M23" s="26">
        <f t="shared" si="2"/>
        <v>0.46186579448249993</v>
      </c>
      <c r="N23" s="26">
        <f t="shared" si="2"/>
        <v>0.20421781524884999</v>
      </c>
      <c r="O23" s="28">
        <f t="shared" si="2"/>
        <v>0.319821718915</v>
      </c>
    </row>
    <row r="24" spans="2:15" ht="15" thickBot="1" x14ac:dyDescent="0.35">
      <c r="B24" s="25" t="s">
        <v>186</v>
      </c>
      <c r="C24" s="26">
        <f>SUM(C21:C23)</f>
        <v>13.366859854466098</v>
      </c>
      <c r="D24" s="27">
        <f t="shared" ref="D24:O24" si="3">SUM(D21:D23)</f>
        <v>13.904103122904266</v>
      </c>
      <c r="E24" s="26">
        <f t="shared" si="3"/>
        <v>14.441346391342439</v>
      </c>
      <c r="F24" s="27">
        <f t="shared" si="3"/>
        <v>14.832819804541037</v>
      </c>
      <c r="G24" s="26">
        <f t="shared" si="3"/>
        <v>15.224293217739639</v>
      </c>
      <c r="H24" s="27">
        <f t="shared" si="3"/>
        <v>15.170353608531443</v>
      </c>
      <c r="I24" s="26">
        <f t="shared" si="3"/>
        <v>15.116413999323253</v>
      </c>
      <c r="J24" s="27">
        <f t="shared" si="3"/>
        <v>15.29067744549244</v>
      </c>
      <c r="K24" s="26">
        <f t="shared" si="3"/>
        <v>15.464940891661632</v>
      </c>
      <c r="L24" s="27">
        <f t="shared" si="3"/>
        <v>18.641640479548865</v>
      </c>
      <c r="M24" s="26">
        <f t="shared" si="3"/>
        <v>21.818340067436097</v>
      </c>
      <c r="N24" s="26">
        <f t="shared" si="3"/>
        <v>13.34257731206432</v>
      </c>
      <c r="O24" s="28">
        <f t="shared" si="3"/>
        <v>17.204673999657601</v>
      </c>
    </row>
    <row r="27" spans="2:15" x14ac:dyDescent="0.3">
      <c r="B27" s="1" t="s">
        <v>170</v>
      </c>
    </row>
    <row r="28" spans="2:15" x14ac:dyDescent="0.3">
      <c r="B28" t="s">
        <v>187</v>
      </c>
      <c r="C28" s="13">
        <f>C6*C16</f>
        <v>1.4485257469847128</v>
      </c>
      <c r="D28" s="14">
        <f>D37*D41</f>
        <v>1.4103882222808359</v>
      </c>
      <c r="E28" s="13">
        <f>E6*E16</f>
        <v>1.3722794542492551</v>
      </c>
      <c r="F28" s="14">
        <f>F37*F41</f>
        <v>1.34989346093831</v>
      </c>
      <c r="G28" s="13">
        <f>G6*G16</f>
        <v>1.3275182681563547</v>
      </c>
      <c r="H28" s="14">
        <f>H37*H41</f>
        <v>1.3303816178896888</v>
      </c>
      <c r="I28" s="13">
        <f>I6*I16</f>
        <v>1.333245149520242</v>
      </c>
      <c r="J28" s="14">
        <f>J37*J41</f>
        <v>1.3242204857675026</v>
      </c>
      <c r="K28" s="13">
        <f>K6*K16</f>
        <v>1.3151976451228018</v>
      </c>
      <c r="L28" s="14">
        <f>L37*L41</f>
        <v>1.2108968729921508</v>
      </c>
      <c r="M28" s="13">
        <f t="shared" ref="M28:O30" si="4">M6*M16</f>
        <v>1.1072273704462208</v>
      </c>
      <c r="N28" s="13">
        <f t="shared" si="4"/>
        <v>1.438668367899014</v>
      </c>
      <c r="O28" s="13">
        <f t="shared" si="4"/>
        <v>1.236465342266001</v>
      </c>
    </row>
    <row r="29" spans="2:15" x14ac:dyDescent="0.3">
      <c r="B29" t="s">
        <v>172</v>
      </c>
      <c r="C29" s="13">
        <f>C7*C17</f>
        <v>1.5061569899054355E-4</v>
      </c>
      <c r="D29" s="14">
        <f>D37*D42</f>
        <v>1.5072272702884134E-4</v>
      </c>
      <c r="E29" s="13">
        <f>E7*E17</f>
        <v>1.5061569899054355E-4</v>
      </c>
      <c r="F29" s="14">
        <f>F37*F42</f>
        <v>1.5065589694594235E-4</v>
      </c>
      <c r="G29" s="13">
        <f>G7*G17</f>
        <v>1.5061569899054353E-4</v>
      </c>
      <c r="H29" s="14">
        <f>H37*H42</f>
        <v>1.5061637598481721E-4</v>
      </c>
      <c r="I29" s="13">
        <f>I7*I17</f>
        <v>1.5061569899054355E-4</v>
      </c>
      <c r="J29" s="14">
        <f>J37*J42</f>
        <v>1.5062248432630619E-4</v>
      </c>
      <c r="K29" s="13">
        <f>K7*K17</f>
        <v>1.5061569899054355E-4</v>
      </c>
      <c r="L29" s="14">
        <f>L37*L42</f>
        <v>1.7437568229577318E-4</v>
      </c>
      <c r="M29" s="13">
        <f t="shared" si="4"/>
        <v>1.9230076602317427E-4</v>
      </c>
      <c r="N29" s="13">
        <f t="shared" si="4"/>
        <v>4.7714877329145387E-4</v>
      </c>
      <c r="O29" s="13">
        <f t="shared" si="4"/>
        <v>3.4536682866658468E-4</v>
      </c>
    </row>
    <row r="30" spans="2:15" x14ac:dyDescent="0.3">
      <c r="B30" t="s">
        <v>188</v>
      </c>
      <c r="C30" s="13">
        <f>C8*C18</f>
        <v>2.008336395419057E-2</v>
      </c>
      <c r="D30" s="14">
        <f>D37*D43</f>
        <v>2.0097635262300174E-2</v>
      </c>
      <c r="E30" s="13">
        <f>E8*E18</f>
        <v>2.008336395419057E-2</v>
      </c>
      <c r="F30" s="14">
        <f>F37*F43</f>
        <v>2.0088724020730107E-2</v>
      </c>
      <c r="G30" s="13">
        <f>G8*G18</f>
        <v>2.008336395419057E-2</v>
      </c>
      <c r="H30" s="14">
        <f>H37*H43</f>
        <v>2.0083454225805576E-2</v>
      </c>
      <c r="I30" s="13">
        <f>I8*I18</f>
        <v>2.008336395419057E-2</v>
      </c>
      <c r="J30" s="14">
        <f>J37*J43</f>
        <v>2.0084268722873951E-2</v>
      </c>
      <c r="K30" s="13">
        <f>K8*K18</f>
        <v>2.008336395419057E-2</v>
      </c>
      <c r="L30" s="14">
        <f>L37*L43</f>
        <v>2.232920517321875E-2</v>
      </c>
      <c r="M30" s="13">
        <f t="shared" si="4"/>
        <v>2.3949611707103864E-2</v>
      </c>
      <c r="N30" s="13">
        <f t="shared" si="4"/>
        <v>2.2369547226290476E-2</v>
      </c>
      <c r="O30" s="13">
        <f t="shared" si="4"/>
        <v>2.3426851498504188E-2</v>
      </c>
    </row>
    <row r="31" spans="2:15" x14ac:dyDescent="0.3">
      <c r="B31" t="s">
        <v>173</v>
      </c>
      <c r="C31" s="13">
        <f>SUM(C28:C30)</f>
        <v>1.468759726637894</v>
      </c>
      <c r="D31" s="14">
        <f t="shared" ref="D31:O31" si="5">SUM(D28:D30)</f>
        <v>1.4306365802701648</v>
      </c>
      <c r="E31" s="13">
        <f t="shared" si="5"/>
        <v>1.3925134339024363</v>
      </c>
      <c r="F31" s="14">
        <f t="shared" si="5"/>
        <v>1.3701328408559861</v>
      </c>
      <c r="G31" s="13">
        <f t="shared" si="5"/>
        <v>1.3477522478095358</v>
      </c>
      <c r="H31" s="14">
        <f t="shared" si="5"/>
        <v>1.3506156884914791</v>
      </c>
      <c r="I31" s="13">
        <f t="shared" si="5"/>
        <v>1.3534791291734232</v>
      </c>
      <c r="J31" s="14">
        <f t="shared" si="5"/>
        <v>1.344455376974703</v>
      </c>
      <c r="K31" s="13">
        <f t="shared" si="5"/>
        <v>1.335431624775983</v>
      </c>
      <c r="L31" s="14">
        <f t="shared" si="5"/>
        <v>1.2334004538476653</v>
      </c>
      <c r="M31" s="13">
        <f t="shared" si="5"/>
        <v>1.1313692829193478</v>
      </c>
      <c r="N31" s="13">
        <f t="shared" si="5"/>
        <v>1.4615150638985961</v>
      </c>
      <c r="O31" s="13">
        <f t="shared" si="5"/>
        <v>1.2602375605931717</v>
      </c>
    </row>
    <row r="35" spans="2:15" x14ac:dyDescent="0.3">
      <c r="B35" t="s">
        <v>189</v>
      </c>
    </row>
    <row r="36" spans="2:15" x14ac:dyDescent="0.3">
      <c r="B36" s="3" t="s">
        <v>64</v>
      </c>
      <c r="C36" s="5">
        <v>13.366859854466096</v>
      </c>
      <c r="D36" s="6">
        <v>13.904103122904267</v>
      </c>
      <c r="E36" s="5">
        <v>14.441346391342439</v>
      </c>
      <c r="F36" s="6">
        <v>14.832819804541039</v>
      </c>
      <c r="G36" s="5">
        <v>15.224293217739639</v>
      </c>
      <c r="H36" s="6">
        <v>15.170353608531446</v>
      </c>
      <c r="I36" s="5">
        <v>15.116413999323251</v>
      </c>
      <c r="J36" s="6">
        <v>15.290677445492442</v>
      </c>
      <c r="K36" s="5">
        <v>15.464940891661634</v>
      </c>
      <c r="L36" s="6">
        <v>18.641640479548865</v>
      </c>
      <c r="M36" s="5">
        <v>21.818340067436097</v>
      </c>
      <c r="N36" s="5">
        <v>13.34257731206432</v>
      </c>
      <c r="O36" s="5">
        <v>17.204673999657601</v>
      </c>
    </row>
    <row r="37" spans="2:15" x14ac:dyDescent="0.3">
      <c r="B37" t="s">
        <v>190</v>
      </c>
      <c r="C37" s="37">
        <v>1.4687597266378938</v>
      </c>
      <c r="D37" s="38">
        <v>1.430636580270165</v>
      </c>
      <c r="E37" s="37">
        <v>1.3925134339024363</v>
      </c>
      <c r="F37" s="38">
        <v>1.3701328408559861</v>
      </c>
      <c r="G37" s="37">
        <v>1.3477522478095358</v>
      </c>
      <c r="H37" s="38">
        <v>1.3506156884914795</v>
      </c>
      <c r="I37" s="37">
        <v>1.3534791291734232</v>
      </c>
      <c r="J37" s="38">
        <v>1.344455376974703</v>
      </c>
      <c r="K37" s="37">
        <v>1.3354316247759828</v>
      </c>
      <c r="L37" s="38">
        <v>1.2334004538476653</v>
      </c>
      <c r="M37" s="37">
        <v>1.1313692829193476</v>
      </c>
      <c r="N37" s="37">
        <f>N31</f>
        <v>1.4615150638985961</v>
      </c>
      <c r="O37" s="37">
        <f>O31</f>
        <v>1.2602375605931717</v>
      </c>
    </row>
    <row r="38" spans="2:15" x14ac:dyDescent="0.3"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</row>
    <row r="39" spans="2:15" x14ac:dyDescent="0.3"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</row>
    <row r="40" spans="2:15" x14ac:dyDescent="0.3"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</row>
    <row r="41" spans="2:15" x14ac:dyDescent="0.3">
      <c r="B41" t="s">
        <v>191</v>
      </c>
      <c r="C41" s="39">
        <v>0.98622376465924866</v>
      </c>
      <c r="D41" s="40">
        <v>0.98584660963617654</v>
      </c>
      <c r="E41" s="39">
        <v>0.98546945461310442</v>
      </c>
      <c r="F41" s="40">
        <v>0.98522816232546351</v>
      </c>
      <c r="G41" s="39">
        <v>0.98498687003782259</v>
      </c>
      <c r="H41" s="40">
        <v>0.98501863204003626</v>
      </c>
      <c r="I41" s="39">
        <v>0.98505039404224992</v>
      </c>
      <c r="J41" s="40">
        <v>0.98494937686014317</v>
      </c>
      <c r="K41" s="39">
        <v>0.98484835967803641</v>
      </c>
      <c r="L41" s="40">
        <v>0.98175484629885346</v>
      </c>
      <c r="M41" s="39">
        <v>0.9786613329196705</v>
      </c>
      <c r="N41" s="39">
        <f>N28/(N28+N29+N30)</f>
        <v>0.9843677998510405</v>
      </c>
      <c r="O41" s="39">
        <f>O28/(O28+O29+O30)</f>
        <v>0.9811367165441558</v>
      </c>
    </row>
    <row r="42" spans="2:15" x14ac:dyDescent="0.3">
      <c r="C42" s="39">
        <v>1.025461797862028E-4</v>
      </c>
      <c r="D42" s="40">
        <v>1.0535360909084156E-4</v>
      </c>
      <c r="E42" s="39">
        <v>1.0816103839548031E-4</v>
      </c>
      <c r="F42" s="40">
        <v>1.0995714609090061E-4</v>
      </c>
      <c r="G42" s="39">
        <v>1.117532537863209E-4</v>
      </c>
      <c r="H42" s="40">
        <v>1.1151682693175482E-4</v>
      </c>
      <c r="I42" s="39">
        <v>1.1128040007718875E-4</v>
      </c>
      <c r="J42" s="40">
        <v>1.1203234179868229E-4</v>
      </c>
      <c r="K42" s="39">
        <v>1.1278428352017584E-4</v>
      </c>
      <c r="L42" s="40">
        <v>1.4137799426925616E-4</v>
      </c>
      <c r="M42" s="39">
        <v>1.6997170501833645E-4</v>
      </c>
      <c r="N42" s="39">
        <f>N29/(N28+N29+N30)</f>
        <v>3.2647543982109768E-4</v>
      </c>
      <c r="O42" s="39">
        <f>O29/(O28+O29+O30)</f>
        <v>2.7404898843359863E-4</v>
      </c>
    </row>
    <row r="43" spans="2:15" x14ac:dyDescent="0.3">
      <c r="C43" s="39">
        <v>1.3673689160965057E-2</v>
      </c>
      <c r="D43" s="40">
        <v>1.4048036754732558E-2</v>
      </c>
      <c r="E43" s="39">
        <v>1.4422384348500059E-2</v>
      </c>
      <c r="F43" s="40">
        <v>1.4661880528445507E-2</v>
      </c>
      <c r="G43" s="39">
        <v>1.4901376708390954E-2</v>
      </c>
      <c r="H43" s="40">
        <v>1.4869851133031818E-2</v>
      </c>
      <c r="I43" s="39">
        <v>1.4838325557672682E-2</v>
      </c>
      <c r="J43" s="40">
        <v>1.493859079805804E-2</v>
      </c>
      <c r="K43" s="39">
        <v>1.5038856038443394E-2</v>
      </c>
      <c r="L43" s="40">
        <v>1.8103775706877261E-2</v>
      </c>
      <c r="M43" s="39">
        <v>2.1168695375311127E-2</v>
      </c>
      <c r="N43" s="39">
        <f>N30/(N28+N29+N30)</f>
        <v>1.5305724709138227E-2</v>
      </c>
      <c r="O43" s="39">
        <f>O30/(O28+O29+O30)</f>
        <v>1.8589234467410714E-2</v>
      </c>
    </row>
    <row r="44" spans="2:15" x14ac:dyDescent="0.3">
      <c r="C44" s="41">
        <f>SUM(C41:C43)</f>
        <v>0.99999999999999989</v>
      </c>
      <c r="D44" s="41">
        <f t="shared" ref="D44:O44" si="6">SUM(D41:D43)</f>
        <v>0.99999999999999989</v>
      </c>
      <c r="E44" s="41">
        <f t="shared" si="6"/>
        <v>1</v>
      </c>
      <c r="F44" s="41">
        <f t="shared" si="6"/>
        <v>0.99999999999999989</v>
      </c>
      <c r="G44" s="41">
        <f t="shared" si="6"/>
        <v>0.99999999999999989</v>
      </c>
      <c r="H44" s="41">
        <f t="shared" si="6"/>
        <v>0.99999999999999989</v>
      </c>
      <c r="I44" s="41">
        <f t="shared" si="6"/>
        <v>0.99999999999999989</v>
      </c>
      <c r="J44" s="41">
        <f t="shared" si="6"/>
        <v>0.99999999999999989</v>
      </c>
      <c r="K44" s="41">
        <f t="shared" si="6"/>
        <v>0.99999999999999989</v>
      </c>
      <c r="L44" s="41">
        <f t="shared" si="6"/>
        <v>1</v>
      </c>
      <c r="M44" s="41">
        <f t="shared" si="6"/>
        <v>0.99999999999999989</v>
      </c>
      <c r="N44" s="41">
        <f t="shared" si="6"/>
        <v>0.99999999999999989</v>
      </c>
      <c r="O44" s="41">
        <f t="shared" si="6"/>
        <v>1.0000000000000002</v>
      </c>
    </row>
    <row r="48" spans="2:15" ht="15" thickBot="1" x14ac:dyDescent="0.35">
      <c r="C48" s="3">
        <v>2010</v>
      </c>
      <c r="D48" s="3">
        <v>2011</v>
      </c>
      <c r="E48" s="3">
        <v>2012</v>
      </c>
      <c r="F48" s="3">
        <v>2013</v>
      </c>
      <c r="G48" s="3">
        <v>2014</v>
      </c>
      <c r="H48" s="3">
        <v>2015</v>
      </c>
      <c r="I48" s="3">
        <v>2016</v>
      </c>
      <c r="J48" s="3">
        <v>2017</v>
      </c>
      <c r="K48" s="3">
        <v>2018</v>
      </c>
      <c r="L48" s="3">
        <v>2019</v>
      </c>
      <c r="M48" s="3">
        <v>2020</v>
      </c>
      <c r="N48" s="3">
        <v>2021</v>
      </c>
      <c r="O48" s="3">
        <v>2022</v>
      </c>
    </row>
    <row r="49" spans="2:28" ht="15" thickBot="1" x14ac:dyDescent="0.35">
      <c r="B49" s="29" t="s">
        <v>106</v>
      </c>
      <c r="C49" s="29">
        <f>ROUND(C5/1000,4)</f>
        <v>9.1000000000000004E-3</v>
      </c>
      <c r="D49" s="30">
        <f t="shared" ref="D49:O49" si="7">ROUND(D5/1000,4)</f>
        <v>9.7000000000000003E-3</v>
      </c>
      <c r="E49" s="30">
        <f t="shared" si="7"/>
        <v>1.04E-2</v>
      </c>
      <c r="F49" s="30">
        <f t="shared" si="7"/>
        <v>1.0800000000000001E-2</v>
      </c>
      <c r="G49" s="30">
        <f t="shared" si="7"/>
        <v>1.1299999999999999E-2</v>
      </c>
      <c r="H49" s="30">
        <f t="shared" si="7"/>
        <v>1.12E-2</v>
      </c>
      <c r="I49" s="30">
        <f t="shared" si="7"/>
        <v>1.12E-2</v>
      </c>
      <c r="J49" s="30">
        <f t="shared" si="7"/>
        <v>1.14E-2</v>
      </c>
      <c r="K49" s="30">
        <f t="shared" si="7"/>
        <v>1.1599999999999999E-2</v>
      </c>
      <c r="L49" s="30">
        <f t="shared" si="7"/>
        <v>1.5100000000000001E-2</v>
      </c>
      <c r="M49" s="30">
        <f t="shared" si="7"/>
        <v>1.9300000000000001E-2</v>
      </c>
      <c r="N49" s="30">
        <f t="shared" si="7"/>
        <v>9.1000000000000004E-3</v>
      </c>
      <c r="O49" s="31">
        <f t="shared" si="7"/>
        <v>1.37E-2</v>
      </c>
    </row>
    <row r="50" spans="2:28" x14ac:dyDescent="0.3">
      <c r="B50" s="18" t="s">
        <v>145</v>
      </c>
      <c r="C50" s="44">
        <f>ROUND(C31,4)</f>
        <v>1.4688000000000001</v>
      </c>
      <c r="D50" s="42">
        <f t="shared" ref="D50:O50" si="8">ROUND(D31,4)</f>
        <v>1.4306000000000001</v>
      </c>
      <c r="E50" s="42">
        <f t="shared" si="8"/>
        <v>1.3925000000000001</v>
      </c>
      <c r="F50" s="42">
        <f t="shared" si="8"/>
        <v>1.3701000000000001</v>
      </c>
      <c r="G50" s="42">
        <f t="shared" si="8"/>
        <v>1.3478000000000001</v>
      </c>
      <c r="H50" s="42">
        <f t="shared" si="8"/>
        <v>1.3506</v>
      </c>
      <c r="I50" s="42">
        <f t="shared" si="8"/>
        <v>1.3534999999999999</v>
      </c>
      <c r="J50" s="42">
        <f t="shared" si="8"/>
        <v>1.3445</v>
      </c>
      <c r="K50" s="42">
        <f t="shared" si="8"/>
        <v>1.3353999999999999</v>
      </c>
      <c r="L50" s="42">
        <f t="shared" si="8"/>
        <v>1.2334000000000001</v>
      </c>
      <c r="M50" s="42">
        <f t="shared" si="8"/>
        <v>1.1314</v>
      </c>
      <c r="N50" s="42">
        <f t="shared" si="8"/>
        <v>1.4615</v>
      </c>
      <c r="O50" s="43">
        <f t="shared" si="8"/>
        <v>1.2602</v>
      </c>
    </row>
    <row r="51" spans="2:28" x14ac:dyDescent="0.3">
      <c r="B51" s="22" t="s">
        <v>146</v>
      </c>
      <c r="C51" s="45">
        <f>ROUND(C28,4)</f>
        <v>1.4484999999999999</v>
      </c>
      <c r="D51" s="13">
        <f t="shared" ref="D51:O51" si="9">ROUND(D28,4)</f>
        <v>1.4104000000000001</v>
      </c>
      <c r="E51" s="13">
        <f t="shared" si="9"/>
        <v>1.3723000000000001</v>
      </c>
      <c r="F51" s="13">
        <f t="shared" si="9"/>
        <v>1.3499000000000001</v>
      </c>
      <c r="G51" s="13">
        <f t="shared" si="9"/>
        <v>1.3274999999999999</v>
      </c>
      <c r="H51" s="13">
        <f t="shared" si="9"/>
        <v>1.3304</v>
      </c>
      <c r="I51" s="13">
        <f t="shared" si="9"/>
        <v>1.3331999999999999</v>
      </c>
      <c r="J51" s="13">
        <f t="shared" si="9"/>
        <v>1.3242</v>
      </c>
      <c r="K51" s="13">
        <f t="shared" si="9"/>
        <v>1.3151999999999999</v>
      </c>
      <c r="L51" s="13">
        <f t="shared" si="9"/>
        <v>1.2109000000000001</v>
      </c>
      <c r="M51" s="13">
        <f t="shared" si="9"/>
        <v>1.1072</v>
      </c>
      <c r="N51" s="13">
        <f t="shared" si="9"/>
        <v>1.4387000000000001</v>
      </c>
      <c r="O51" s="34">
        <f t="shared" si="9"/>
        <v>1.2364999999999999</v>
      </c>
    </row>
    <row r="52" spans="2:28" x14ac:dyDescent="0.3">
      <c r="B52" s="22" t="s">
        <v>147</v>
      </c>
      <c r="C52" s="45">
        <f>ROUND(C29,4)</f>
        <v>2.0000000000000001E-4</v>
      </c>
      <c r="D52" s="13">
        <f t="shared" ref="D52:O52" si="10">ROUND(D29,4)</f>
        <v>2.0000000000000001E-4</v>
      </c>
      <c r="E52" s="13">
        <f t="shared" si="10"/>
        <v>2.0000000000000001E-4</v>
      </c>
      <c r="F52" s="13">
        <f t="shared" si="10"/>
        <v>2.0000000000000001E-4</v>
      </c>
      <c r="G52" s="13">
        <f t="shared" si="10"/>
        <v>2.0000000000000001E-4</v>
      </c>
      <c r="H52" s="13">
        <f t="shared" si="10"/>
        <v>2.0000000000000001E-4</v>
      </c>
      <c r="I52" s="13">
        <f t="shared" si="10"/>
        <v>2.0000000000000001E-4</v>
      </c>
      <c r="J52" s="13">
        <f t="shared" si="10"/>
        <v>2.0000000000000001E-4</v>
      </c>
      <c r="K52" s="13">
        <f t="shared" si="10"/>
        <v>2.0000000000000001E-4</v>
      </c>
      <c r="L52" s="13">
        <f t="shared" si="10"/>
        <v>2.0000000000000001E-4</v>
      </c>
      <c r="M52" s="13">
        <f t="shared" si="10"/>
        <v>2.0000000000000001E-4</v>
      </c>
      <c r="N52" s="13">
        <f t="shared" si="10"/>
        <v>5.0000000000000001E-4</v>
      </c>
      <c r="O52" s="34">
        <f t="shared" si="10"/>
        <v>2.9999999999999997E-4</v>
      </c>
    </row>
    <row r="53" spans="2:28" ht="15" thickBot="1" x14ac:dyDescent="0.35">
      <c r="B53" s="25" t="s">
        <v>148</v>
      </c>
      <c r="C53" s="45">
        <f>ROUND(C30,4)</f>
        <v>2.01E-2</v>
      </c>
      <c r="D53" s="32">
        <f t="shared" ref="D53:O53" si="11">ROUND(D30,4)</f>
        <v>2.01E-2</v>
      </c>
      <c r="E53" s="32">
        <f t="shared" si="11"/>
        <v>2.01E-2</v>
      </c>
      <c r="F53" s="32">
        <f t="shared" si="11"/>
        <v>2.01E-2</v>
      </c>
      <c r="G53" s="32">
        <f t="shared" si="11"/>
        <v>2.01E-2</v>
      </c>
      <c r="H53" s="32">
        <f t="shared" si="11"/>
        <v>2.01E-2</v>
      </c>
      <c r="I53" s="32">
        <f t="shared" si="11"/>
        <v>2.01E-2</v>
      </c>
      <c r="J53" s="32">
        <f t="shared" si="11"/>
        <v>2.01E-2</v>
      </c>
      <c r="K53" s="32">
        <f t="shared" si="11"/>
        <v>2.01E-2</v>
      </c>
      <c r="L53" s="32">
        <f t="shared" si="11"/>
        <v>2.23E-2</v>
      </c>
      <c r="M53" s="32">
        <f t="shared" si="11"/>
        <v>2.3900000000000001E-2</v>
      </c>
      <c r="N53" s="32">
        <f t="shared" si="11"/>
        <v>2.24E-2</v>
      </c>
      <c r="O53" s="33">
        <f t="shared" si="11"/>
        <v>2.3400000000000001E-2</v>
      </c>
    </row>
    <row r="54" spans="2:28" x14ac:dyDescent="0.3">
      <c r="B54" s="18" t="s">
        <v>149</v>
      </c>
      <c r="C54" s="18">
        <f>C49*C50</f>
        <v>1.3366080000000002E-2</v>
      </c>
      <c r="D54" s="19">
        <f t="shared" ref="D54:O54" si="12">D49*D50</f>
        <v>1.3876820000000002E-2</v>
      </c>
      <c r="E54" s="19">
        <f t="shared" si="12"/>
        <v>1.4482E-2</v>
      </c>
      <c r="F54" s="19">
        <f t="shared" si="12"/>
        <v>1.4797080000000002E-2</v>
      </c>
      <c r="G54" s="19">
        <f t="shared" si="12"/>
        <v>1.523014E-2</v>
      </c>
      <c r="H54" s="19">
        <f t="shared" si="12"/>
        <v>1.512672E-2</v>
      </c>
      <c r="I54" s="19">
        <f t="shared" si="12"/>
        <v>1.5159199999999999E-2</v>
      </c>
      <c r="J54" s="19">
        <f t="shared" si="12"/>
        <v>1.53273E-2</v>
      </c>
      <c r="K54" s="19">
        <f t="shared" si="12"/>
        <v>1.5490639999999998E-2</v>
      </c>
      <c r="L54" s="19">
        <f t="shared" si="12"/>
        <v>1.8624340000000003E-2</v>
      </c>
      <c r="M54" s="19">
        <f t="shared" si="12"/>
        <v>2.1836020000000001E-2</v>
      </c>
      <c r="N54" s="19">
        <f t="shared" si="12"/>
        <v>1.3299650000000001E-2</v>
      </c>
      <c r="O54" s="21">
        <f t="shared" si="12"/>
        <v>1.7264740000000001E-2</v>
      </c>
    </row>
    <row r="55" spans="2:28" x14ac:dyDescent="0.3">
      <c r="B55" s="22" t="s">
        <v>150</v>
      </c>
      <c r="C55" s="22">
        <f>C49*C51</f>
        <v>1.318135E-2</v>
      </c>
      <c r="D55">
        <f t="shared" ref="D55:O55" si="13">D49*D51</f>
        <v>1.3680880000000001E-2</v>
      </c>
      <c r="E55">
        <f t="shared" si="13"/>
        <v>1.427192E-2</v>
      </c>
      <c r="F55">
        <f t="shared" si="13"/>
        <v>1.4578920000000002E-2</v>
      </c>
      <c r="G55">
        <f t="shared" si="13"/>
        <v>1.5000749999999998E-2</v>
      </c>
      <c r="H55">
        <f t="shared" si="13"/>
        <v>1.4900480000000001E-2</v>
      </c>
      <c r="I55">
        <f t="shared" si="13"/>
        <v>1.493184E-2</v>
      </c>
      <c r="J55">
        <f t="shared" si="13"/>
        <v>1.5095880000000001E-2</v>
      </c>
      <c r="K55">
        <f t="shared" si="13"/>
        <v>1.5256319999999999E-2</v>
      </c>
      <c r="L55">
        <f t="shared" si="13"/>
        <v>1.8284590000000003E-2</v>
      </c>
      <c r="M55">
        <f t="shared" si="13"/>
        <v>2.1368959999999999E-2</v>
      </c>
      <c r="N55">
        <f t="shared" si="13"/>
        <v>1.3092170000000002E-2</v>
      </c>
      <c r="O55" s="24">
        <f t="shared" si="13"/>
        <v>1.6940049999999998E-2</v>
      </c>
    </row>
    <row r="56" spans="2:28" x14ac:dyDescent="0.3">
      <c r="B56" s="22" t="s">
        <v>151</v>
      </c>
      <c r="C56" s="22">
        <f>C49*C52</f>
        <v>1.8200000000000002E-6</v>
      </c>
      <c r="D56">
        <f t="shared" ref="D56:O56" si="14">D49*D52</f>
        <v>1.9400000000000001E-6</v>
      </c>
      <c r="E56">
        <f>E49*E52</f>
        <v>2.08E-6</v>
      </c>
      <c r="F56">
        <f t="shared" si="14"/>
        <v>2.1600000000000001E-6</v>
      </c>
      <c r="G56">
        <f t="shared" si="14"/>
        <v>2.26E-6</v>
      </c>
      <c r="H56">
        <f t="shared" si="14"/>
        <v>2.2400000000000002E-6</v>
      </c>
      <c r="I56">
        <f t="shared" si="14"/>
        <v>2.2400000000000002E-6</v>
      </c>
      <c r="J56">
        <f t="shared" si="14"/>
        <v>2.2800000000000002E-6</v>
      </c>
      <c r="K56">
        <f t="shared" si="14"/>
        <v>2.3199999999999998E-6</v>
      </c>
      <c r="L56">
        <f t="shared" si="14"/>
        <v>3.0200000000000003E-6</v>
      </c>
      <c r="M56">
        <f t="shared" si="14"/>
        <v>3.8600000000000003E-6</v>
      </c>
      <c r="N56">
        <f t="shared" si="14"/>
        <v>4.5500000000000005E-6</v>
      </c>
      <c r="O56" s="24">
        <f t="shared" si="14"/>
        <v>4.1099999999999996E-6</v>
      </c>
    </row>
    <row r="57" spans="2:28" ht="15" thickBot="1" x14ac:dyDescent="0.35">
      <c r="B57" s="22" t="s">
        <v>152</v>
      </c>
      <c r="C57" s="22">
        <f>C49*C53</f>
        <v>1.8291E-4</v>
      </c>
      <c r="D57">
        <f t="shared" ref="D57:O57" si="15">D49*D53</f>
        <v>1.9497000000000001E-4</v>
      </c>
      <c r="E57">
        <f t="shared" si="15"/>
        <v>2.0903999999999999E-4</v>
      </c>
      <c r="F57">
        <f t="shared" si="15"/>
        <v>2.1708E-4</v>
      </c>
      <c r="G57">
        <f t="shared" si="15"/>
        <v>2.2712999999999998E-4</v>
      </c>
      <c r="H57">
        <f t="shared" si="15"/>
        <v>2.2511999999999999E-4</v>
      </c>
      <c r="I57">
        <f t="shared" si="15"/>
        <v>2.2511999999999999E-4</v>
      </c>
      <c r="J57">
        <f t="shared" si="15"/>
        <v>2.2914000000000002E-4</v>
      </c>
      <c r="K57">
        <f t="shared" si="15"/>
        <v>2.3315999999999997E-4</v>
      </c>
      <c r="L57">
        <f t="shared" si="15"/>
        <v>3.3673000000000004E-4</v>
      </c>
      <c r="M57">
        <f t="shared" si="15"/>
        <v>4.6127000000000006E-4</v>
      </c>
      <c r="N57">
        <f t="shared" si="15"/>
        <v>2.0384E-4</v>
      </c>
      <c r="O57" s="24">
        <f t="shared" si="15"/>
        <v>3.2058E-4</v>
      </c>
    </row>
    <row r="58" spans="2:28" ht="15" thickBot="1" x14ac:dyDescent="0.35">
      <c r="B58" s="29" t="s">
        <v>115</v>
      </c>
      <c r="C58" s="47">
        <f>C54-C55-C56-C57</f>
        <v>2.7376104855258987E-18</v>
      </c>
      <c r="D58" s="35">
        <f t="shared" ref="D58:O58" si="16">D54-D55-D56-D57</f>
        <v>-9.6999999999966037E-7</v>
      </c>
      <c r="E58" s="35">
        <f t="shared" si="16"/>
        <v>-1.040000000000356E-6</v>
      </c>
      <c r="F58" s="35">
        <f t="shared" si="16"/>
        <v>-1.079999999999766E-6</v>
      </c>
      <c r="G58" s="35">
        <f t="shared" si="16"/>
        <v>1.2197274440461925E-18</v>
      </c>
      <c r="H58" s="35">
        <f t="shared" si="16"/>
        <v>-1.1200000000009108E-6</v>
      </c>
      <c r="I58" s="35">
        <f t="shared" si="16"/>
        <v>-6.2341624917916505E-19</v>
      </c>
      <c r="J58" s="35">
        <f t="shared" si="16"/>
        <v>-4.87890977618477E-19</v>
      </c>
      <c r="K58" s="35">
        <f t="shared" si="16"/>
        <v>-1.1600000000002938E-6</v>
      </c>
      <c r="L58" s="35">
        <f t="shared" si="16"/>
        <v>0</v>
      </c>
      <c r="M58" s="35">
        <f t="shared" si="16"/>
        <v>1.9300000000017112E-6</v>
      </c>
      <c r="N58" s="35">
        <f t="shared" si="16"/>
        <v>-9.1000000000053169E-7</v>
      </c>
      <c r="O58" s="36">
        <f t="shared" si="16"/>
        <v>2.4936649967166602E-18</v>
      </c>
    </row>
    <row r="61" spans="2:28" x14ac:dyDescent="0.3">
      <c r="B61" s="1" t="s">
        <v>153</v>
      </c>
    </row>
    <row r="62" spans="2:28" ht="15" thickBot="1" x14ac:dyDescent="0.35">
      <c r="C62" s="53">
        <v>2010</v>
      </c>
      <c r="D62" s="53">
        <v>2011</v>
      </c>
      <c r="E62" s="53">
        <v>2012</v>
      </c>
      <c r="F62" s="53">
        <v>2013</v>
      </c>
      <c r="G62" s="53">
        <v>2014</v>
      </c>
      <c r="H62" s="53">
        <v>2015</v>
      </c>
      <c r="I62" s="53">
        <v>2016</v>
      </c>
      <c r="J62" s="53">
        <v>2017</v>
      </c>
      <c r="K62" s="53">
        <v>2018</v>
      </c>
      <c r="L62" s="53">
        <v>2019</v>
      </c>
      <c r="M62" s="53">
        <v>2020</v>
      </c>
      <c r="N62" s="53">
        <v>2021</v>
      </c>
      <c r="O62" s="53">
        <v>2022</v>
      </c>
      <c r="P62" s="150">
        <v>2023</v>
      </c>
      <c r="Q62" s="150">
        <v>2024</v>
      </c>
      <c r="R62" s="150">
        <v>2025</v>
      </c>
      <c r="S62" s="150">
        <v>2026</v>
      </c>
      <c r="T62" s="150">
        <v>2027</v>
      </c>
      <c r="U62" s="150">
        <v>2028</v>
      </c>
      <c r="V62" s="150">
        <v>2029</v>
      </c>
      <c r="W62" s="150">
        <v>2030</v>
      </c>
      <c r="X62" s="150">
        <v>2031</v>
      </c>
      <c r="Y62" s="150">
        <v>2032</v>
      </c>
      <c r="Z62" s="150">
        <v>2033</v>
      </c>
      <c r="AA62" s="150">
        <v>2034</v>
      </c>
      <c r="AB62" s="150">
        <v>2035</v>
      </c>
    </row>
    <row r="63" spans="2:28" ht="15" thickBot="1" x14ac:dyDescent="0.35">
      <c r="B63" s="29" t="s">
        <v>106</v>
      </c>
      <c r="C63" s="18">
        <f>C49</f>
        <v>9.1000000000000004E-3</v>
      </c>
      <c r="D63" s="19">
        <f t="shared" ref="D63:O63" si="17">D49</f>
        <v>9.7000000000000003E-3</v>
      </c>
      <c r="E63" s="19">
        <f t="shared" si="17"/>
        <v>1.04E-2</v>
      </c>
      <c r="F63" s="19">
        <f t="shared" si="17"/>
        <v>1.0800000000000001E-2</v>
      </c>
      <c r="G63" s="19">
        <f t="shared" si="17"/>
        <v>1.1299999999999999E-2</v>
      </c>
      <c r="H63" s="19">
        <f t="shared" si="17"/>
        <v>1.12E-2</v>
      </c>
      <c r="I63" s="19">
        <f t="shared" si="17"/>
        <v>1.12E-2</v>
      </c>
      <c r="J63" s="19">
        <f t="shared" si="17"/>
        <v>1.14E-2</v>
      </c>
      <c r="K63" s="19">
        <f t="shared" si="17"/>
        <v>1.1599999999999999E-2</v>
      </c>
      <c r="L63" s="19">
        <f t="shared" si="17"/>
        <v>1.5100000000000001E-2</v>
      </c>
      <c r="M63" s="19">
        <f t="shared" si="17"/>
        <v>1.9300000000000001E-2</v>
      </c>
      <c r="N63" s="19">
        <f t="shared" si="17"/>
        <v>9.1000000000000004E-3</v>
      </c>
      <c r="O63" s="21">
        <f t="shared" si="17"/>
        <v>1.37E-2</v>
      </c>
      <c r="P63" s="18">
        <v>1.44E-2</v>
      </c>
      <c r="Q63" s="19">
        <v>1.52E-2</v>
      </c>
      <c r="R63" s="19">
        <v>1.61E-2</v>
      </c>
      <c r="S63" s="19">
        <v>1.6899999999999998E-2</v>
      </c>
      <c r="T63" s="19">
        <v>1.78E-2</v>
      </c>
      <c r="U63" s="19">
        <v>1.8599999999999998E-2</v>
      </c>
      <c r="V63" s="19">
        <v>1.95E-2</v>
      </c>
      <c r="W63" s="19">
        <v>2.0400000000000001E-2</v>
      </c>
      <c r="X63" s="19">
        <v>2.0799999999999999E-2</v>
      </c>
      <c r="Y63" s="19">
        <v>2.12E-2</v>
      </c>
      <c r="Z63" s="19">
        <v>2.1600000000000001E-2</v>
      </c>
      <c r="AA63" s="19">
        <v>2.1999999999999999E-2</v>
      </c>
      <c r="AB63" s="21">
        <v>2.24E-2</v>
      </c>
    </row>
    <row r="64" spans="2:28" x14ac:dyDescent="0.3">
      <c r="B64" s="18" t="s">
        <v>145</v>
      </c>
      <c r="C64" s="44">
        <f>C50</f>
        <v>1.4688000000000001</v>
      </c>
      <c r="D64" s="42">
        <f t="shared" ref="D64:O64" si="18">D50</f>
        <v>1.4306000000000001</v>
      </c>
      <c r="E64" s="42">
        <f t="shared" si="18"/>
        <v>1.3925000000000001</v>
      </c>
      <c r="F64" s="42">
        <f t="shared" si="18"/>
        <v>1.3701000000000001</v>
      </c>
      <c r="G64" s="42">
        <f t="shared" si="18"/>
        <v>1.3478000000000001</v>
      </c>
      <c r="H64" s="42">
        <f t="shared" si="18"/>
        <v>1.3506</v>
      </c>
      <c r="I64" s="42">
        <f t="shared" si="18"/>
        <v>1.3534999999999999</v>
      </c>
      <c r="J64" s="42">
        <f t="shared" si="18"/>
        <v>1.3445</v>
      </c>
      <c r="K64" s="42">
        <f t="shared" si="18"/>
        <v>1.3353999999999999</v>
      </c>
      <c r="L64" s="42">
        <f t="shared" si="18"/>
        <v>1.2334000000000001</v>
      </c>
      <c r="M64" s="42">
        <f t="shared" si="18"/>
        <v>1.1314</v>
      </c>
      <c r="N64" s="42">
        <f t="shared" si="18"/>
        <v>1.4615</v>
      </c>
      <c r="O64" s="42">
        <f t="shared" si="18"/>
        <v>1.2602</v>
      </c>
      <c r="P64" s="44">
        <f>ROUND(P65*$O$16+P67*$O$18,4)</f>
        <v>1.2524999999999999</v>
      </c>
      <c r="Q64" s="42">
        <f>ROUND(Q65*$O$16+Q67*$O$18,4)</f>
        <v>1.2421</v>
      </c>
      <c r="R64" s="42">
        <f>ROUND(R65*$O$16+R67*$O$18,4)</f>
        <v>1.2318</v>
      </c>
      <c r="S64" s="42">
        <f t="shared" ref="S64:AA64" si="19">ROUND(S65*$O$16+S67*$O$18,4)</f>
        <v>1.2216</v>
      </c>
      <c r="T64" s="42">
        <f t="shared" si="19"/>
        <v>1.2115</v>
      </c>
      <c r="U64" s="42">
        <f t="shared" si="19"/>
        <v>1.2015</v>
      </c>
      <c r="V64" s="42">
        <f t="shared" si="19"/>
        <v>1.1916</v>
      </c>
      <c r="W64" s="42">
        <f t="shared" si="19"/>
        <v>1.1817</v>
      </c>
      <c r="X64" s="42">
        <f t="shared" si="19"/>
        <v>1.1718999999999999</v>
      </c>
      <c r="Y64" s="42">
        <f t="shared" si="19"/>
        <v>1.1621999999999999</v>
      </c>
      <c r="Z64" s="42">
        <f t="shared" si="19"/>
        <v>1.1526000000000001</v>
      </c>
      <c r="AA64" s="42">
        <f t="shared" si="19"/>
        <v>1.1431</v>
      </c>
      <c r="AB64" s="43">
        <f>ROUND(AB65*$O$16+AB67*$O$18,4)</f>
        <v>1.1335999999999999</v>
      </c>
    </row>
    <row r="65" spans="2:28" x14ac:dyDescent="0.3">
      <c r="B65" s="22" t="s">
        <v>154</v>
      </c>
      <c r="C65" s="45">
        <f t="shared" ref="C65" si="20">C51</f>
        <v>1.4484999999999999</v>
      </c>
      <c r="D65" s="13">
        <f t="shared" ref="D65:O65" si="21">D51</f>
        <v>1.4104000000000001</v>
      </c>
      <c r="E65" s="13">
        <f t="shared" si="21"/>
        <v>1.3723000000000001</v>
      </c>
      <c r="F65" s="13">
        <f t="shared" si="21"/>
        <v>1.3499000000000001</v>
      </c>
      <c r="G65" s="13">
        <f t="shared" si="21"/>
        <v>1.3274999999999999</v>
      </c>
      <c r="H65" s="13">
        <f t="shared" si="21"/>
        <v>1.3304</v>
      </c>
      <c r="I65" s="13">
        <f t="shared" si="21"/>
        <v>1.3331999999999999</v>
      </c>
      <c r="J65" s="13">
        <f t="shared" si="21"/>
        <v>1.3242</v>
      </c>
      <c r="K65" s="13">
        <f t="shared" si="21"/>
        <v>1.3151999999999999</v>
      </c>
      <c r="L65" s="13">
        <f t="shared" si="21"/>
        <v>1.2109000000000001</v>
      </c>
      <c r="M65" s="13">
        <f t="shared" si="21"/>
        <v>1.1072</v>
      </c>
      <c r="N65" s="13">
        <f t="shared" si="21"/>
        <v>1.4387000000000001</v>
      </c>
      <c r="O65" s="13">
        <f t="shared" si="21"/>
        <v>1.2364999999999999</v>
      </c>
      <c r="P65" s="45">
        <f>ROUND(O65*(1+$O$78),4)</f>
        <v>1.226</v>
      </c>
      <c r="Q65" s="13">
        <f t="shared" ref="Q65:AB65" si="22">ROUND(P65*(1+$O$78),4)</f>
        <v>1.2156</v>
      </c>
      <c r="R65" s="13">
        <f t="shared" si="22"/>
        <v>1.2053</v>
      </c>
      <c r="S65" s="13">
        <f t="shared" si="22"/>
        <v>1.1951000000000001</v>
      </c>
      <c r="T65" s="13">
        <f t="shared" si="22"/>
        <v>1.1850000000000001</v>
      </c>
      <c r="U65" s="13">
        <f t="shared" si="22"/>
        <v>1.175</v>
      </c>
      <c r="V65" s="13">
        <f t="shared" si="22"/>
        <v>1.1651</v>
      </c>
      <c r="W65" s="13">
        <f t="shared" si="22"/>
        <v>1.1552</v>
      </c>
      <c r="X65" s="13">
        <f t="shared" si="22"/>
        <v>1.1454</v>
      </c>
      <c r="Y65" s="13">
        <f t="shared" si="22"/>
        <v>1.1356999999999999</v>
      </c>
      <c r="Z65" s="13">
        <f t="shared" si="22"/>
        <v>1.1261000000000001</v>
      </c>
      <c r="AA65" s="13">
        <f t="shared" si="22"/>
        <v>1.1166</v>
      </c>
      <c r="AB65" s="34">
        <f t="shared" si="22"/>
        <v>1.1071</v>
      </c>
    </row>
    <row r="66" spans="2:28" x14ac:dyDescent="0.3">
      <c r="B66" s="22" t="s">
        <v>155</v>
      </c>
      <c r="C66" s="45">
        <f>ROUND(C7,4)</f>
        <v>0</v>
      </c>
      <c r="D66" s="13">
        <f>ROUND(D7,4)</f>
        <v>0</v>
      </c>
      <c r="E66" s="13">
        <f t="shared" ref="E66:O66" si="23">ROUND(E7,4)</f>
        <v>0</v>
      </c>
      <c r="F66" s="13">
        <f t="shared" si="23"/>
        <v>0</v>
      </c>
      <c r="G66" s="13">
        <f t="shared" si="23"/>
        <v>0</v>
      </c>
      <c r="H66" s="13">
        <f t="shared" si="23"/>
        <v>0</v>
      </c>
      <c r="I66" s="13">
        <f t="shared" si="23"/>
        <v>0</v>
      </c>
      <c r="J66" s="13">
        <f t="shared" si="23"/>
        <v>0</v>
      </c>
      <c r="K66" s="13">
        <f t="shared" si="23"/>
        <v>0</v>
      </c>
      <c r="L66" s="13">
        <f t="shared" si="23"/>
        <v>0</v>
      </c>
      <c r="M66" s="13">
        <f t="shared" si="23"/>
        <v>0</v>
      </c>
      <c r="N66" s="13">
        <f t="shared" si="23"/>
        <v>0</v>
      </c>
      <c r="O66" s="13">
        <f t="shared" si="23"/>
        <v>0</v>
      </c>
      <c r="P66" s="45">
        <f>O66</f>
        <v>0</v>
      </c>
      <c r="Q66" s="13">
        <f t="shared" ref="Q66:AB67" si="24">P66</f>
        <v>0</v>
      </c>
      <c r="R66" s="13">
        <f t="shared" si="24"/>
        <v>0</v>
      </c>
      <c r="S66" s="13">
        <f t="shared" si="24"/>
        <v>0</v>
      </c>
      <c r="T66" s="13">
        <f t="shared" si="24"/>
        <v>0</v>
      </c>
      <c r="U66" s="13">
        <f t="shared" si="24"/>
        <v>0</v>
      </c>
      <c r="V66" s="13">
        <f t="shared" si="24"/>
        <v>0</v>
      </c>
      <c r="W66" s="13">
        <f t="shared" si="24"/>
        <v>0</v>
      </c>
      <c r="X66" s="13">
        <f t="shared" si="24"/>
        <v>0</v>
      </c>
      <c r="Y66" s="13">
        <f t="shared" si="24"/>
        <v>0</v>
      </c>
      <c r="Z66" s="13">
        <f t="shared" si="24"/>
        <v>0</v>
      </c>
      <c r="AA66" s="13">
        <f t="shared" si="24"/>
        <v>0</v>
      </c>
      <c r="AB66" s="34">
        <f t="shared" si="24"/>
        <v>0</v>
      </c>
    </row>
    <row r="67" spans="2:28" ht="15" thickBot="1" x14ac:dyDescent="0.35">
      <c r="B67" s="25" t="s">
        <v>156</v>
      </c>
      <c r="C67" s="45">
        <f>ROUND(C8,4)</f>
        <v>1E-4</v>
      </c>
      <c r="D67" s="13">
        <f>ROUND(D8,4)</f>
        <v>1E-4</v>
      </c>
      <c r="E67" s="13">
        <f t="shared" ref="E67:O67" si="25">ROUND(E8,4)</f>
        <v>1E-4</v>
      </c>
      <c r="F67" s="13">
        <f t="shared" si="25"/>
        <v>1E-4</v>
      </c>
      <c r="G67" s="13">
        <f t="shared" si="25"/>
        <v>1E-4</v>
      </c>
      <c r="H67" s="13">
        <f t="shared" si="25"/>
        <v>1E-4</v>
      </c>
      <c r="I67" s="13">
        <f t="shared" si="25"/>
        <v>1E-4</v>
      </c>
      <c r="J67" s="13">
        <f t="shared" si="25"/>
        <v>1E-4</v>
      </c>
      <c r="K67" s="13">
        <f t="shared" si="25"/>
        <v>1E-4</v>
      </c>
      <c r="L67" s="13">
        <f t="shared" si="25"/>
        <v>1E-4</v>
      </c>
      <c r="M67" s="13">
        <f t="shared" si="25"/>
        <v>1E-4</v>
      </c>
      <c r="N67" s="13">
        <f t="shared" si="25"/>
        <v>1E-4</v>
      </c>
      <c r="O67" s="13">
        <f t="shared" si="25"/>
        <v>1E-4</v>
      </c>
      <c r="P67" s="25">
        <f>O67</f>
        <v>1E-4</v>
      </c>
      <c r="Q67" s="26">
        <f t="shared" si="24"/>
        <v>1E-4</v>
      </c>
      <c r="R67" s="26">
        <f t="shared" si="24"/>
        <v>1E-4</v>
      </c>
      <c r="S67" s="26">
        <f t="shared" si="24"/>
        <v>1E-4</v>
      </c>
      <c r="T67" s="26">
        <f t="shared" si="24"/>
        <v>1E-4</v>
      </c>
      <c r="U67" s="26">
        <f t="shared" si="24"/>
        <v>1E-4</v>
      </c>
      <c r="V67" s="26">
        <f t="shared" si="24"/>
        <v>1E-4</v>
      </c>
      <c r="W67" s="26">
        <f t="shared" si="24"/>
        <v>1E-4</v>
      </c>
      <c r="X67" s="26">
        <f t="shared" si="24"/>
        <v>1E-4</v>
      </c>
      <c r="Y67" s="26">
        <f t="shared" si="24"/>
        <v>1E-4</v>
      </c>
      <c r="Z67" s="26">
        <f t="shared" si="24"/>
        <v>1E-4</v>
      </c>
      <c r="AA67" s="26">
        <f t="shared" si="24"/>
        <v>1E-4</v>
      </c>
      <c r="AB67" s="28">
        <f t="shared" si="24"/>
        <v>1E-4</v>
      </c>
    </row>
    <row r="68" spans="2:28" x14ac:dyDescent="0.3">
      <c r="B68" s="18" t="s">
        <v>149</v>
      </c>
      <c r="C68" s="18">
        <f>C63*C64</f>
        <v>1.3366080000000002E-2</v>
      </c>
      <c r="D68" s="19">
        <f t="shared" ref="D68:O68" si="26">D63*D64</f>
        <v>1.3876820000000002E-2</v>
      </c>
      <c r="E68" s="19">
        <f t="shared" si="26"/>
        <v>1.4482E-2</v>
      </c>
      <c r="F68" s="19">
        <f t="shared" si="26"/>
        <v>1.4797080000000002E-2</v>
      </c>
      <c r="G68" s="19">
        <f t="shared" si="26"/>
        <v>1.523014E-2</v>
      </c>
      <c r="H68" s="19">
        <f t="shared" si="26"/>
        <v>1.512672E-2</v>
      </c>
      <c r="I68" s="19">
        <f t="shared" si="26"/>
        <v>1.5159199999999999E-2</v>
      </c>
      <c r="J68" s="19">
        <f t="shared" si="26"/>
        <v>1.53273E-2</v>
      </c>
      <c r="K68" s="19">
        <f t="shared" si="26"/>
        <v>1.5490639999999998E-2</v>
      </c>
      <c r="L68" s="19">
        <f t="shared" si="26"/>
        <v>1.8624340000000003E-2</v>
      </c>
      <c r="M68" s="19">
        <f t="shared" si="26"/>
        <v>2.1836020000000001E-2</v>
      </c>
      <c r="N68" s="19">
        <f t="shared" si="26"/>
        <v>1.3299650000000001E-2</v>
      </c>
      <c r="O68" s="21">
        <f t="shared" si="26"/>
        <v>1.7264740000000001E-2</v>
      </c>
      <c r="P68" s="45">
        <f>P63*P64</f>
        <v>1.8036E-2</v>
      </c>
      <c r="Q68" s="13">
        <f t="shared" ref="Q68:AB68" si="27">Q63*Q64</f>
        <v>1.8879919999999998E-2</v>
      </c>
      <c r="R68" s="13">
        <f t="shared" si="27"/>
        <v>1.9831979999999999E-2</v>
      </c>
      <c r="S68" s="13">
        <f t="shared" si="27"/>
        <v>2.064504E-2</v>
      </c>
      <c r="T68" s="13">
        <f t="shared" si="27"/>
        <v>2.1564699999999999E-2</v>
      </c>
      <c r="U68" s="13">
        <f t="shared" si="27"/>
        <v>2.2347899999999997E-2</v>
      </c>
      <c r="V68" s="13">
        <f t="shared" si="27"/>
        <v>2.3236199999999999E-2</v>
      </c>
      <c r="W68" s="13">
        <f t="shared" si="27"/>
        <v>2.4106680000000002E-2</v>
      </c>
      <c r="X68" s="13">
        <f t="shared" si="27"/>
        <v>2.4375519999999998E-2</v>
      </c>
      <c r="Y68" s="13">
        <f t="shared" si="27"/>
        <v>2.4638639999999996E-2</v>
      </c>
      <c r="Z68" s="13">
        <f t="shared" si="27"/>
        <v>2.4896160000000004E-2</v>
      </c>
      <c r="AA68" s="13">
        <f t="shared" si="27"/>
        <v>2.5148199999999999E-2</v>
      </c>
      <c r="AB68" s="34">
        <f t="shared" si="27"/>
        <v>2.5392639999999998E-2</v>
      </c>
    </row>
    <row r="69" spans="2:28" x14ac:dyDescent="0.3">
      <c r="B69" s="22" t="s">
        <v>157</v>
      </c>
      <c r="C69" s="22">
        <f>C63*C65</f>
        <v>1.318135E-2</v>
      </c>
      <c r="D69">
        <f t="shared" ref="D69:O69" si="28">D63*D65</f>
        <v>1.3680880000000001E-2</v>
      </c>
      <c r="E69">
        <f t="shared" si="28"/>
        <v>1.427192E-2</v>
      </c>
      <c r="F69">
        <f t="shared" si="28"/>
        <v>1.4578920000000002E-2</v>
      </c>
      <c r="G69">
        <f t="shared" si="28"/>
        <v>1.5000749999999998E-2</v>
      </c>
      <c r="H69">
        <f t="shared" si="28"/>
        <v>1.4900480000000001E-2</v>
      </c>
      <c r="I69">
        <f t="shared" si="28"/>
        <v>1.493184E-2</v>
      </c>
      <c r="J69">
        <f t="shared" si="28"/>
        <v>1.5095880000000001E-2</v>
      </c>
      <c r="K69">
        <f t="shared" si="28"/>
        <v>1.5256319999999999E-2</v>
      </c>
      <c r="L69">
        <f t="shared" si="28"/>
        <v>1.8284590000000003E-2</v>
      </c>
      <c r="M69">
        <f t="shared" si="28"/>
        <v>2.1368959999999999E-2</v>
      </c>
      <c r="N69">
        <f t="shared" si="28"/>
        <v>1.3092170000000002E-2</v>
      </c>
      <c r="O69" s="24">
        <f t="shared" si="28"/>
        <v>1.6940049999999998E-2</v>
      </c>
      <c r="P69" s="45">
        <f>P63*P65</f>
        <v>1.7654400000000001E-2</v>
      </c>
      <c r="Q69" s="13">
        <f t="shared" ref="Q69:AB69" si="29">Q63*Q65</f>
        <v>1.847712E-2</v>
      </c>
      <c r="R69" s="13">
        <f t="shared" si="29"/>
        <v>1.9405330000000002E-2</v>
      </c>
      <c r="S69" s="13">
        <f t="shared" si="29"/>
        <v>2.019719E-2</v>
      </c>
      <c r="T69" s="13">
        <f t="shared" si="29"/>
        <v>2.1093000000000001E-2</v>
      </c>
      <c r="U69" s="13">
        <f t="shared" si="29"/>
        <v>2.1854999999999999E-2</v>
      </c>
      <c r="V69" s="13">
        <f t="shared" si="29"/>
        <v>2.2719450000000002E-2</v>
      </c>
      <c r="W69" s="13">
        <f t="shared" si="29"/>
        <v>2.3566080000000003E-2</v>
      </c>
      <c r="X69" s="13">
        <f t="shared" si="29"/>
        <v>2.382432E-2</v>
      </c>
      <c r="Y69" s="13">
        <f t="shared" si="29"/>
        <v>2.4076839999999999E-2</v>
      </c>
      <c r="Z69" s="13">
        <f t="shared" si="29"/>
        <v>2.4323760000000003E-2</v>
      </c>
      <c r="AA69" s="13">
        <f t="shared" si="29"/>
        <v>2.4565199999999999E-2</v>
      </c>
      <c r="AB69" s="34">
        <f t="shared" si="29"/>
        <v>2.4799039999999998E-2</v>
      </c>
    </row>
    <row r="70" spans="2:28" x14ac:dyDescent="0.3">
      <c r="B70" s="22" t="s">
        <v>158</v>
      </c>
      <c r="C70" s="22">
        <f>C63*C66</f>
        <v>0</v>
      </c>
      <c r="D70">
        <f t="shared" ref="D70:O70" si="30">D63*D66</f>
        <v>0</v>
      </c>
      <c r="E70">
        <f t="shared" si="30"/>
        <v>0</v>
      </c>
      <c r="F70">
        <f t="shared" si="30"/>
        <v>0</v>
      </c>
      <c r="G70">
        <f t="shared" si="30"/>
        <v>0</v>
      </c>
      <c r="H70">
        <f t="shared" si="30"/>
        <v>0</v>
      </c>
      <c r="I70">
        <f t="shared" si="30"/>
        <v>0</v>
      </c>
      <c r="J70">
        <f t="shared" si="30"/>
        <v>0</v>
      </c>
      <c r="K70">
        <f t="shared" si="30"/>
        <v>0</v>
      </c>
      <c r="L70">
        <f t="shared" si="30"/>
        <v>0</v>
      </c>
      <c r="M70">
        <f t="shared" si="30"/>
        <v>0</v>
      </c>
      <c r="N70">
        <f t="shared" si="30"/>
        <v>0</v>
      </c>
      <c r="O70" s="24">
        <f t="shared" si="30"/>
        <v>0</v>
      </c>
      <c r="P70" s="45">
        <f>P63*P66</f>
        <v>0</v>
      </c>
      <c r="Q70" s="13">
        <f t="shared" ref="Q70:AB70" si="31">Q63*Q66</f>
        <v>0</v>
      </c>
      <c r="R70" s="13">
        <f t="shared" si="31"/>
        <v>0</v>
      </c>
      <c r="S70" s="13">
        <f t="shared" si="31"/>
        <v>0</v>
      </c>
      <c r="T70" s="13">
        <f t="shared" si="31"/>
        <v>0</v>
      </c>
      <c r="U70" s="13">
        <f t="shared" si="31"/>
        <v>0</v>
      </c>
      <c r="V70" s="13">
        <f t="shared" si="31"/>
        <v>0</v>
      </c>
      <c r="W70" s="13">
        <f t="shared" si="31"/>
        <v>0</v>
      </c>
      <c r="X70" s="13">
        <f t="shared" si="31"/>
        <v>0</v>
      </c>
      <c r="Y70" s="13">
        <f t="shared" si="31"/>
        <v>0</v>
      </c>
      <c r="Z70" s="13">
        <f t="shared" si="31"/>
        <v>0</v>
      </c>
      <c r="AA70" s="13">
        <f t="shared" si="31"/>
        <v>0</v>
      </c>
      <c r="AB70" s="34">
        <f t="shared" si="31"/>
        <v>0</v>
      </c>
    </row>
    <row r="71" spans="2:28" ht="15" thickBot="1" x14ac:dyDescent="0.35">
      <c r="B71" s="25" t="s">
        <v>159</v>
      </c>
      <c r="C71" s="25">
        <f>C63*C67</f>
        <v>9.1000000000000008E-7</v>
      </c>
      <c r="D71" s="26">
        <f t="shared" ref="D71:O71" si="32">D63*D67</f>
        <v>9.7000000000000003E-7</v>
      </c>
      <c r="E71" s="26">
        <f t="shared" si="32"/>
        <v>1.04E-6</v>
      </c>
      <c r="F71" s="26">
        <f t="shared" si="32"/>
        <v>1.08E-6</v>
      </c>
      <c r="G71" s="26">
        <f t="shared" si="32"/>
        <v>1.13E-6</v>
      </c>
      <c r="H71" s="26">
        <f t="shared" si="32"/>
        <v>1.1200000000000001E-6</v>
      </c>
      <c r="I71" s="26">
        <f t="shared" si="32"/>
        <v>1.1200000000000001E-6</v>
      </c>
      <c r="J71" s="26">
        <f t="shared" si="32"/>
        <v>1.1400000000000001E-6</v>
      </c>
      <c r="K71" s="26">
        <f t="shared" si="32"/>
        <v>1.1599999999999999E-6</v>
      </c>
      <c r="L71" s="26">
        <f t="shared" si="32"/>
        <v>1.5100000000000002E-6</v>
      </c>
      <c r="M71" s="26">
        <f t="shared" si="32"/>
        <v>1.9300000000000002E-6</v>
      </c>
      <c r="N71" s="26">
        <f t="shared" si="32"/>
        <v>9.1000000000000008E-7</v>
      </c>
      <c r="O71" s="28">
        <f t="shared" si="32"/>
        <v>1.37E-6</v>
      </c>
      <c r="P71" s="46">
        <f>P63*P67</f>
        <v>1.44E-6</v>
      </c>
      <c r="Q71" s="32">
        <f t="shared" ref="Q71:AB71" si="33">Q63*Q67</f>
        <v>1.5200000000000001E-6</v>
      </c>
      <c r="R71" s="32">
        <f t="shared" si="33"/>
        <v>1.61E-6</v>
      </c>
      <c r="S71" s="32">
        <f t="shared" si="33"/>
        <v>1.6899999999999999E-6</v>
      </c>
      <c r="T71" s="32">
        <f t="shared" si="33"/>
        <v>1.7800000000000001E-6</v>
      </c>
      <c r="U71" s="32">
        <f t="shared" si="33"/>
        <v>1.86E-6</v>
      </c>
      <c r="V71" s="32">
        <f t="shared" si="33"/>
        <v>1.95E-6</v>
      </c>
      <c r="W71" s="32">
        <f t="shared" si="33"/>
        <v>2.0400000000000004E-6</v>
      </c>
      <c r="X71" s="32">
        <f t="shared" si="33"/>
        <v>2.08E-6</v>
      </c>
      <c r="Y71" s="32">
        <f t="shared" si="33"/>
        <v>2.12E-6</v>
      </c>
      <c r="Z71" s="32">
        <f t="shared" si="33"/>
        <v>2.1600000000000001E-6</v>
      </c>
      <c r="AA71" s="32">
        <f t="shared" si="33"/>
        <v>2.2000000000000001E-6</v>
      </c>
      <c r="AB71" s="33">
        <f t="shared" si="33"/>
        <v>2.2400000000000002E-6</v>
      </c>
    </row>
    <row r="76" spans="2:28" x14ac:dyDescent="0.3">
      <c r="C76">
        <f>(D65-C65)/(C65)</f>
        <v>-2.6303072143596687E-2</v>
      </c>
      <c r="D76">
        <f t="shared" ref="D76:N76" si="34">(E65-D65)/(D65)</f>
        <v>-2.7013613159387422E-2</v>
      </c>
      <c r="E76">
        <f t="shared" si="34"/>
        <v>-1.6322961451577623E-2</v>
      </c>
      <c r="F76">
        <f t="shared" si="34"/>
        <v>-1.6593821764575297E-2</v>
      </c>
      <c r="G76">
        <f t="shared" si="34"/>
        <v>2.184557438794821E-3</v>
      </c>
      <c r="H76">
        <f t="shared" si="34"/>
        <v>2.1046301864100373E-3</v>
      </c>
      <c r="I76">
        <f t="shared" si="34"/>
        <v>-6.7506750675066741E-3</v>
      </c>
      <c r="J76">
        <f t="shared" si="34"/>
        <v>-6.7965564114183044E-3</v>
      </c>
      <c r="K76">
        <f t="shared" si="34"/>
        <v>-7.9303527980535166E-2</v>
      </c>
      <c r="L76">
        <f t="shared" si="34"/>
        <v>-8.563878107193007E-2</v>
      </c>
      <c r="M76">
        <f t="shared" si="34"/>
        <v>0.29940390173410419</v>
      </c>
      <c r="N76">
        <f t="shared" si="34"/>
        <v>-0.14054354625703772</v>
      </c>
      <c r="O76" s="148"/>
    </row>
    <row r="78" spans="2:28" x14ac:dyDescent="0.3">
      <c r="N78" t="s">
        <v>123</v>
      </c>
      <c r="O78">
        <f>AVERAGE(C76:N76)</f>
        <v>-8.4644554956879933E-3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93AD8-F2A5-454C-A737-DD70D836F421}">
  <sheetPr>
    <tabColor theme="8" tint="0.59999389629810485"/>
  </sheetPr>
  <dimension ref="C3:AE105"/>
  <sheetViews>
    <sheetView topLeftCell="B1" zoomScale="83" zoomScaleNormal="83" workbookViewId="0">
      <selection activeCell="B1" sqref="B1"/>
    </sheetView>
  </sheetViews>
  <sheetFormatPr defaultRowHeight="14.4" x14ac:dyDescent="0.3"/>
  <cols>
    <col min="4" max="4" width="37.33203125" bestFit="1" customWidth="1"/>
    <col min="5" max="5" width="46" bestFit="1" customWidth="1"/>
    <col min="6" max="6" width="13.109375" bestFit="1" customWidth="1"/>
    <col min="7" max="18" width="9.6640625" bestFit="1" customWidth="1"/>
  </cols>
  <sheetData>
    <row r="3" spans="4:18" x14ac:dyDescent="0.3">
      <c r="D3" t="s">
        <v>65</v>
      </c>
    </row>
    <row r="7" spans="4:18" x14ac:dyDescent="0.3">
      <c r="E7" s="3"/>
      <c r="F7" s="3">
        <v>2010</v>
      </c>
      <c r="G7" s="3">
        <v>2011</v>
      </c>
      <c r="H7" s="3">
        <v>2012</v>
      </c>
      <c r="I7" s="3">
        <v>2013</v>
      </c>
      <c r="J7" s="3">
        <v>2014</v>
      </c>
      <c r="K7" s="3">
        <v>2015</v>
      </c>
      <c r="L7" s="3">
        <v>2016</v>
      </c>
      <c r="M7" s="3">
        <v>2017</v>
      </c>
      <c r="N7" s="3">
        <v>2018</v>
      </c>
      <c r="O7" s="3">
        <v>2019</v>
      </c>
      <c r="P7" s="3">
        <v>2020</v>
      </c>
      <c r="Q7" s="3">
        <v>2021</v>
      </c>
      <c r="R7" s="3">
        <v>2022</v>
      </c>
    </row>
    <row r="8" spans="4:18" x14ac:dyDescent="0.3">
      <c r="E8" s="52" t="s">
        <v>192</v>
      </c>
      <c r="F8" s="5">
        <v>341.69643812499999</v>
      </c>
      <c r="G8" s="6"/>
      <c r="H8" s="5">
        <v>353.26582031250001</v>
      </c>
      <c r="I8" s="6"/>
      <c r="J8" s="5">
        <v>364.78325843749997</v>
      </c>
      <c r="K8" s="6"/>
      <c r="L8" s="5">
        <v>376.18093093749997</v>
      </c>
      <c r="M8" s="6"/>
      <c r="N8" s="5">
        <v>387.4281778125</v>
      </c>
      <c r="O8" s="6"/>
      <c r="P8" s="5">
        <v>398.50554</v>
      </c>
      <c r="Q8" s="5">
        <v>399.13181156249999</v>
      </c>
      <c r="R8" s="5">
        <v>387.4281778125</v>
      </c>
    </row>
    <row r="9" spans="4:18" x14ac:dyDescent="0.3">
      <c r="E9" s="50" t="s">
        <v>193</v>
      </c>
      <c r="F9" s="5">
        <v>85.97410411805599</v>
      </c>
      <c r="G9" s="6"/>
      <c r="H9" s="5">
        <v>87.989754847500009</v>
      </c>
      <c r="I9" s="6"/>
      <c r="J9" s="5">
        <v>91.179472319397021</v>
      </c>
      <c r="K9" s="6"/>
      <c r="L9" s="5">
        <v>89.433555465826004</v>
      </c>
      <c r="M9" s="6"/>
      <c r="N9" s="5">
        <v>89.666377472925021</v>
      </c>
      <c r="O9" s="6"/>
      <c r="P9" s="5">
        <v>97.616641860672004</v>
      </c>
      <c r="Q9" s="5">
        <v>96.983282711600978</v>
      </c>
      <c r="R9" s="5">
        <v>92.475696675878993</v>
      </c>
    </row>
    <row r="10" spans="4:18" x14ac:dyDescent="0.3">
      <c r="E10" s="50" t="s">
        <v>194</v>
      </c>
      <c r="F10" s="5">
        <v>2.364824524183172E-2</v>
      </c>
      <c r="G10" s="6"/>
      <c r="H10" s="5">
        <v>2.9449580699842593E-2</v>
      </c>
      <c r="I10" s="6"/>
      <c r="J10" s="5">
        <v>2.9129109981283263E-2</v>
      </c>
      <c r="K10" s="6"/>
      <c r="L10" s="5">
        <v>2.9092028308315226E-2</v>
      </c>
      <c r="M10" s="6"/>
      <c r="N10" s="5">
        <v>2.9414055999142208E-2</v>
      </c>
      <c r="O10" s="6"/>
      <c r="P10" s="5">
        <v>2.7624715664728575E-2</v>
      </c>
      <c r="Q10" s="5">
        <v>2.8341136924992755E-2</v>
      </c>
      <c r="R10" s="5">
        <v>2.8866159112906745E-2</v>
      </c>
    </row>
    <row r="11" spans="4:18" ht="15" x14ac:dyDescent="0.3">
      <c r="E11" s="50" t="s">
        <v>195</v>
      </c>
      <c r="F11" s="5">
        <v>7.8571428571428559E-3</v>
      </c>
      <c r="G11" s="6"/>
      <c r="H11" s="5">
        <v>7.8571428571428559E-3</v>
      </c>
      <c r="I11" s="6"/>
      <c r="J11" s="5">
        <v>7.8571428571428594E-3</v>
      </c>
      <c r="K11" s="6"/>
      <c r="L11" s="5">
        <v>7.8571428571428559E-3</v>
      </c>
      <c r="M11" s="6"/>
      <c r="N11" s="5">
        <v>7.8571428571428559E-3</v>
      </c>
      <c r="O11" s="6"/>
      <c r="P11" s="5">
        <v>7.8571428571428577E-3</v>
      </c>
      <c r="Q11" s="5">
        <v>7.8571428571428577E-3</v>
      </c>
      <c r="R11" s="5">
        <v>7.8571428571428577E-3</v>
      </c>
    </row>
    <row r="12" spans="4:18" x14ac:dyDescent="0.3">
      <c r="E12" s="49" t="s">
        <v>142</v>
      </c>
      <c r="F12" s="5">
        <v>8.0805211670403807</v>
      </c>
      <c r="G12" s="6"/>
      <c r="H12" s="5">
        <v>10.403530283789062</v>
      </c>
      <c r="I12" s="6"/>
      <c r="J12" s="5">
        <v>10.625811654356813</v>
      </c>
      <c r="K12" s="6"/>
      <c r="L12" s="5">
        <v>10.943866291882124</v>
      </c>
      <c r="M12" s="6"/>
      <c r="N12" s="5">
        <v>11.395834117822499</v>
      </c>
      <c r="O12" s="6"/>
      <c r="P12" s="5">
        <v>11.00860223331912</v>
      </c>
      <c r="Q12" s="5">
        <v>11.311849322613218</v>
      </c>
      <c r="R12" s="5">
        <v>11.183563425559152</v>
      </c>
    </row>
    <row r="13" spans="4:18" ht="15" thickBot="1" x14ac:dyDescent="0.35">
      <c r="E13" s="48" t="s">
        <v>196</v>
      </c>
      <c r="F13" s="123">
        <v>0.67551081807044</v>
      </c>
      <c r="G13" s="124"/>
      <c r="H13" s="123">
        <v>0.69134807380178565</v>
      </c>
      <c r="I13" s="124"/>
      <c r="J13" s="123">
        <v>0.7164101396524053</v>
      </c>
      <c r="K13" s="124"/>
      <c r="L13" s="123">
        <v>0.70269222151720423</v>
      </c>
      <c r="M13" s="124"/>
      <c r="N13" s="123">
        <v>0.70452153728726796</v>
      </c>
      <c r="O13" s="124"/>
      <c r="P13" s="123">
        <v>0.76698790033385156</v>
      </c>
      <c r="Q13" s="123">
        <v>0.76201150701972198</v>
      </c>
      <c r="R13" s="123">
        <v>0.72659475959619213</v>
      </c>
    </row>
    <row r="14" spans="4:18" x14ac:dyDescent="0.3">
      <c r="E14" s="120" t="s">
        <v>197</v>
      </c>
      <c r="F14" s="125">
        <f>F12*F20</f>
        <v>226.25459267713066</v>
      </c>
      <c r="G14" s="126"/>
      <c r="H14" s="125">
        <f t="shared" ref="H14:R14" si="0">H12*H20</f>
        <v>291.2988479460937</v>
      </c>
      <c r="I14" s="126"/>
      <c r="J14" s="125">
        <f t="shared" si="0"/>
        <v>297.52272632199077</v>
      </c>
      <c r="K14" s="126"/>
      <c r="L14" s="125">
        <f t="shared" si="0"/>
        <v>306.42825617269943</v>
      </c>
      <c r="M14" s="126"/>
      <c r="N14" s="125">
        <f t="shared" si="0"/>
        <v>319.08335529902996</v>
      </c>
      <c r="O14" s="126"/>
      <c r="P14" s="125">
        <f t="shared" si="0"/>
        <v>308.24086253293535</v>
      </c>
      <c r="Q14" s="125">
        <f t="shared" si="0"/>
        <v>316.73178103317014</v>
      </c>
      <c r="R14" s="125">
        <f t="shared" si="0"/>
        <v>313.13977591565623</v>
      </c>
    </row>
    <row r="15" spans="4:18" x14ac:dyDescent="0.3">
      <c r="E15" s="121" t="s">
        <v>198</v>
      </c>
      <c r="F15" s="7">
        <f>F13*F21</f>
        <v>179.0103667886666</v>
      </c>
      <c r="G15" s="8"/>
      <c r="H15" s="7">
        <f t="shared" ref="H15:R15" si="1">H13*H21</f>
        <v>183.2072395574732</v>
      </c>
      <c r="I15" s="8"/>
      <c r="J15" s="7">
        <f t="shared" si="1"/>
        <v>189.84868700788741</v>
      </c>
      <c r="K15" s="8"/>
      <c r="L15" s="7">
        <f t="shared" si="1"/>
        <v>186.21343870205911</v>
      </c>
      <c r="M15" s="8"/>
      <c r="N15" s="7">
        <f t="shared" si="1"/>
        <v>186.698207381126</v>
      </c>
      <c r="O15" s="8"/>
      <c r="P15" s="7">
        <f t="shared" si="1"/>
        <v>203.25179358847066</v>
      </c>
      <c r="Q15" s="7">
        <f t="shared" si="1"/>
        <v>201.93304936022633</v>
      </c>
      <c r="R15" s="7">
        <f t="shared" si="1"/>
        <v>192.54761129299092</v>
      </c>
    </row>
    <row r="16" spans="4:18" ht="15" thickBot="1" x14ac:dyDescent="0.35">
      <c r="E16" s="122" t="s">
        <v>143</v>
      </c>
      <c r="F16" s="127">
        <f>F14+F15</f>
        <v>405.26495946579723</v>
      </c>
      <c r="G16" s="128"/>
      <c r="H16" s="127">
        <f t="shared" ref="H16:R16" si="2">H14+H15</f>
        <v>474.5060875035669</v>
      </c>
      <c r="I16" s="128"/>
      <c r="J16" s="127">
        <f t="shared" si="2"/>
        <v>487.37141332987818</v>
      </c>
      <c r="K16" s="128"/>
      <c r="L16" s="127">
        <f t="shared" si="2"/>
        <v>492.64169487475851</v>
      </c>
      <c r="M16" s="128"/>
      <c r="N16" s="127">
        <f t="shared" si="2"/>
        <v>505.78156268015596</v>
      </c>
      <c r="O16" s="128"/>
      <c r="P16" s="127">
        <f t="shared" si="2"/>
        <v>511.49265612140601</v>
      </c>
      <c r="Q16" s="127">
        <f t="shared" si="2"/>
        <v>518.66483039339641</v>
      </c>
      <c r="R16" s="127">
        <f t="shared" si="2"/>
        <v>505.68738720864712</v>
      </c>
    </row>
    <row r="18" spans="5:18" ht="15" thickBot="1" x14ac:dyDescent="0.35">
      <c r="E18" t="s">
        <v>95</v>
      </c>
    </row>
    <row r="19" spans="5:18" x14ac:dyDescent="0.3">
      <c r="E19" s="18" t="s">
        <v>182</v>
      </c>
      <c r="F19" s="19">
        <v>1</v>
      </c>
      <c r="G19" s="19">
        <v>1</v>
      </c>
      <c r="H19" s="19">
        <v>1</v>
      </c>
      <c r="I19" s="19">
        <v>1</v>
      </c>
      <c r="J19" s="19">
        <v>1</v>
      </c>
      <c r="K19" s="19">
        <v>1</v>
      </c>
      <c r="L19" s="19">
        <v>1</v>
      </c>
      <c r="M19" s="19">
        <v>1</v>
      </c>
      <c r="N19" s="19">
        <v>1</v>
      </c>
      <c r="O19" s="19">
        <v>1</v>
      </c>
      <c r="P19" s="19">
        <v>1</v>
      </c>
      <c r="Q19" s="19">
        <v>1</v>
      </c>
      <c r="R19" s="21">
        <v>1</v>
      </c>
    </row>
    <row r="20" spans="5:18" x14ac:dyDescent="0.3">
      <c r="E20" s="22" t="s">
        <v>96</v>
      </c>
      <c r="F20">
        <v>28</v>
      </c>
      <c r="G20">
        <v>28</v>
      </c>
      <c r="H20">
        <v>28</v>
      </c>
      <c r="I20">
        <v>28</v>
      </c>
      <c r="J20">
        <v>28</v>
      </c>
      <c r="K20">
        <v>28</v>
      </c>
      <c r="L20">
        <v>28</v>
      </c>
      <c r="M20">
        <v>28</v>
      </c>
      <c r="N20">
        <v>28</v>
      </c>
      <c r="O20">
        <v>28</v>
      </c>
      <c r="P20">
        <v>28</v>
      </c>
      <c r="Q20">
        <v>28</v>
      </c>
      <c r="R20" s="24">
        <v>28</v>
      </c>
    </row>
    <row r="21" spans="5:18" ht="15" thickBot="1" x14ac:dyDescent="0.35">
      <c r="E21" s="25" t="s">
        <v>168</v>
      </c>
      <c r="F21" s="26">
        <v>265</v>
      </c>
      <c r="G21" s="26">
        <v>265</v>
      </c>
      <c r="H21" s="26">
        <v>265</v>
      </c>
      <c r="I21" s="26">
        <v>265</v>
      </c>
      <c r="J21" s="26">
        <v>265</v>
      </c>
      <c r="K21" s="26">
        <v>265</v>
      </c>
      <c r="L21" s="26">
        <v>265</v>
      </c>
      <c r="M21" s="26">
        <v>265</v>
      </c>
      <c r="N21" s="26">
        <v>265</v>
      </c>
      <c r="O21" s="26">
        <v>265</v>
      </c>
      <c r="P21" s="26">
        <v>265</v>
      </c>
      <c r="Q21" s="26">
        <v>265</v>
      </c>
      <c r="R21" s="28">
        <v>265</v>
      </c>
    </row>
    <row r="24" spans="5:18" ht="15" thickBot="1" x14ac:dyDescent="0.35">
      <c r="E24" t="s">
        <v>144</v>
      </c>
    </row>
    <row r="25" spans="5:18" x14ac:dyDescent="0.3">
      <c r="E25" s="132" t="s">
        <v>199</v>
      </c>
      <c r="F25" s="136">
        <v>0.55828807152577331</v>
      </c>
      <c r="G25" s="138">
        <v>0.5860935729950133</v>
      </c>
      <c r="H25" s="136">
        <v>0.61389907446425318</v>
      </c>
      <c r="I25" s="138">
        <v>0.61218156170522797</v>
      </c>
      <c r="J25" s="136">
        <v>0.61046404894620265</v>
      </c>
      <c r="K25" s="138">
        <v>0.61623722293747507</v>
      </c>
      <c r="L25" s="136">
        <v>0.62201039692874738</v>
      </c>
      <c r="M25" s="138">
        <v>0.62644112856055489</v>
      </c>
      <c r="N25" s="136">
        <v>0.63087186019236241</v>
      </c>
      <c r="O25" s="138">
        <v>0.61675097230059217</v>
      </c>
      <c r="P25" s="136">
        <v>0.60263008440882182</v>
      </c>
      <c r="Q25" s="136">
        <f t="shared" ref="Q25:R25" si="3">Q14/Q16</f>
        <v>0.61066754958676439</v>
      </c>
      <c r="R25" s="136">
        <f t="shared" si="3"/>
        <v>0.61923588334714474</v>
      </c>
    </row>
    <row r="26" spans="5:18" ht="15" thickBot="1" x14ac:dyDescent="0.35">
      <c r="E26" s="133" t="s">
        <v>200</v>
      </c>
      <c r="F26" s="137">
        <v>0.44171192847422669</v>
      </c>
      <c r="G26" s="139">
        <v>0.4139064270049867</v>
      </c>
      <c r="H26" s="137">
        <v>0.38610092553574665</v>
      </c>
      <c r="I26" s="139">
        <v>0.38781843829477192</v>
      </c>
      <c r="J26" s="137">
        <v>0.38953595105379724</v>
      </c>
      <c r="K26" s="139">
        <v>0.38376277706252493</v>
      </c>
      <c r="L26" s="137">
        <v>0.37798960307125262</v>
      </c>
      <c r="M26" s="139">
        <v>0.37355887143944511</v>
      </c>
      <c r="N26" s="137">
        <v>0.36912813980763753</v>
      </c>
      <c r="O26" s="139">
        <v>0.38324902769940788</v>
      </c>
      <c r="P26" s="137">
        <v>0.39736991559117824</v>
      </c>
      <c r="Q26" s="137">
        <f t="shared" ref="Q26:R26" si="4">Q15/Q16</f>
        <v>0.38933245041323572</v>
      </c>
      <c r="R26" s="137">
        <f t="shared" si="4"/>
        <v>0.38076411665285531</v>
      </c>
    </row>
    <row r="27" spans="5:18" x14ac:dyDescent="0.3">
      <c r="E27" s="132" t="s">
        <v>201</v>
      </c>
      <c r="F27" s="125">
        <f>F14</f>
        <v>226.25459267713066</v>
      </c>
      <c r="G27" s="126">
        <f>G25*G29</f>
        <v>257.81407816791909</v>
      </c>
      <c r="H27" s="125">
        <f t="shared" ref="H27:R27" si="5">H14</f>
        <v>291.2988479460937</v>
      </c>
      <c r="I27" s="126">
        <f>I25*I29</f>
        <v>294.42183531467009</v>
      </c>
      <c r="J27" s="125">
        <f t="shared" si="5"/>
        <v>297.52272632199077</v>
      </c>
      <c r="K27" s="126">
        <f>K25*K29</f>
        <v>301.96027812117427</v>
      </c>
      <c r="L27" s="125">
        <f t="shared" si="5"/>
        <v>306.42825617269943</v>
      </c>
      <c r="M27" s="126">
        <f>M25*M29</f>
        <v>312.7266961219031</v>
      </c>
      <c r="N27" s="125">
        <f t="shared" si="5"/>
        <v>319.08335529902996</v>
      </c>
      <c r="O27" s="126">
        <f>O25*O29</f>
        <v>313.70243177109438</v>
      </c>
      <c r="P27" s="125">
        <f t="shared" si="5"/>
        <v>308.24086253293535</v>
      </c>
      <c r="Q27" s="125">
        <f t="shared" si="5"/>
        <v>316.73178103317014</v>
      </c>
      <c r="R27" s="134">
        <f t="shared" si="5"/>
        <v>313.13977591565623</v>
      </c>
    </row>
    <row r="28" spans="5:18" ht="15" thickBot="1" x14ac:dyDescent="0.35">
      <c r="E28" s="133" t="s">
        <v>202</v>
      </c>
      <c r="F28" s="127">
        <f>F15</f>
        <v>179.0103667886666</v>
      </c>
      <c r="G28" s="128">
        <f>G26*G29</f>
        <v>182.07144531676289</v>
      </c>
      <c r="H28" s="127">
        <f t="shared" ref="H28:R28" si="6">H15</f>
        <v>183.2072395574732</v>
      </c>
      <c r="I28" s="128">
        <f>I26*I29</f>
        <v>186.51691510205242</v>
      </c>
      <c r="J28" s="127">
        <f t="shared" si="6"/>
        <v>189.84868700788741</v>
      </c>
      <c r="K28" s="128">
        <f>K26*K29</f>
        <v>188.04627598114405</v>
      </c>
      <c r="L28" s="127">
        <f t="shared" si="6"/>
        <v>186.21343870205911</v>
      </c>
      <c r="M28" s="128">
        <f>M26*M29</f>
        <v>186.48493265555413</v>
      </c>
      <c r="N28" s="127">
        <f t="shared" si="6"/>
        <v>186.698207381126</v>
      </c>
      <c r="O28" s="128">
        <f>O26*O29</f>
        <v>194.93467762968669</v>
      </c>
      <c r="P28" s="127">
        <f t="shared" si="6"/>
        <v>203.25179358847066</v>
      </c>
      <c r="Q28" s="127">
        <f t="shared" si="6"/>
        <v>201.93304936022633</v>
      </c>
      <c r="R28" s="135">
        <f t="shared" si="6"/>
        <v>192.54761129299092</v>
      </c>
    </row>
    <row r="29" spans="5:18" x14ac:dyDescent="0.3">
      <c r="E29" s="129" t="s">
        <v>65</v>
      </c>
      <c r="F29" s="130">
        <v>405.26495946579712</v>
      </c>
      <c r="G29" s="131">
        <v>439.88552348468198</v>
      </c>
      <c r="H29" s="130">
        <v>474.50608750356696</v>
      </c>
      <c r="I29" s="131">
        <v>480.93875041672254</v>
      </c>
      <c r="J29" s="130">
        <v>487.37141332987812</v>
      </c>
      <c r="K29" s="131">
        <v>490.00655410231832</v>
      </c>
      <c r="L29" s="130">
        <v>492.64169487475851</v>
      </c>
      <c r="M29" s="131">
        <v>499.21162877745724</v>
      </c>
      <c r="N29" s="130">
        <v>505.78156268015601</v>
      </c>
      <c r="O29" s="131">
        <v>508.63710940078101</v>
      </c>
      <c r="P29" s="130">
        <v>511.49265612140601</v>
      </c>
      <c r="Q29" s="130">
        <v>518.66483039339641</v>
      </c>
      <c r="R29" s="130">
        <v>505.68738720864712</v>
      </c>
    </row>
    <row r="31" spans="5:18" x14ac:dyDescent="0.3">
      <c r="E31" t="s">
        <v>101</v>
      </c>
    </row>
    <row r="32" spans="5:18" x14ac:dyDescent="0.3">
      <c r="E32" s="50" t="s">
        <v>194</v>
      </c>
      <c r="F32" s="5">
        <v>2.364824524183172E-2</v>
      </c>
      <c r="G32" s="6">
        <v>2.6548912970837155E-2</v>
      </c>
      <c r="H32" s="5">
        <v>2.944958069984259E-2</v>
      </c>
      <c r="I32" s="6">
        <v>2.9289345340562926E-2</v>
      </c>
      <c r="J32" s="5">
        <v>2.9129109981283263E-2</v>
      </c>
      <c r="K32" s="6">
        <v>2.9110569144799245E-2</v>
      </c>
      <c r="L32" s="5">
        <v>2.9092028308315226E-2</v>
      </c>
      <c r="M32" s="6">
        <v>2.9253042153728717E-2</v>
      </c>
      <c r="N32" s="5">
        <v>2.9414055999142204E-2</v>
      </c>
      <c r="O32" s="6">
        <v>2.851938583193539E-2</v>
      </c>
      <c r="P32" s="5">
        <v>2.7624715664728572E-2</v>
      </c>
      <c r="Q32" s="5">
        <v>2.8341136924992755E-2</v>
      </c>
      <c r="R32" s="5">
        <v>2.8866159112906745E-2</v>
      </c>
    </row>
    <row r="33" spans="4:18" ht="15" x14ac:dyDescent="0.3">
      <c r="E33" s="50" t="s">
        <v>195</v>
      </c>
      <c r="F33" s="5">
        <v>7.8571428571428559E-3</v>
      </c>
      <c r="G33" s="6">
        <v>7.8571428571428559E-3</v>
      </c>
      <c r="H33" s="5">
        <v>7.8571428571428559E-3</v>
      </c>
      <c r="I33" s="6">
        <v>7.8571428571428577E-3</v>
      </c>
      <c r="J33" s="5">
        <v>7.8571428571428594E-3</v>
      </c>
      <c r="K33" s="6">
        <v>7.8571428571428577E-3</v>
      </c>
      <c r="L33" s="5">
        <v>7.8571428571428559E-3</v>
      </c>
      <c r="M33" s="6">
        <v>7.8571428571428559E-3</v>
      </c>
      <c r="N33" s="5">
        <v>7.8571428571428577E-3</v>
      </c>
      <c r="O33" s="6">
        <v>7.8571428571428577E-3</v>
      </c>
      <c r="P33" s="5">
        <v>7.8571428571428577E-3</v>
      </c>
      <c r="Q33" s="5">
        <v>7.8571428571428577E-3</v>
      </c>
      <c r="R33" s="5">
        <v>7.8571428571428577E-3</v>
      </c>
    </row>
    <row r="35" spans="4:18" x14ac:dyDescent="0.3">
      <c r="E35" t="s">
        <v>102</v>
      </c>
    </row>
    <row r="36" spans="4:18" x14ac:dyDescent="0.3">
      <c r="E36" s="52" t="s">
        <v>192</v>
      </c>
      <c r="F36" s="7">
        <v>341.69643812499999</v>
      </c>
      <c r="G36" s="8">
        <f>G27/(G32*G20)</f>
        <v>346.81817892011094</v>
      </c>
      <c r="H36" s="7">
        <v>353.26582031250001</v>
      </c>
      <c r="I36" s="8">
        <f>I27/(I32*I20)</f>
        <v>359.0065064510045</v>
      </c>
      <c r="J36" s="7">
        <v>364.78325843749997</v>
      </c>
      <c r="K36" s="8">
        <f>K27/(K32*K20)</f>
        <v>370.45980082156746</v>
      </c>
      <c r="L36" s="7">
        <v>376.18093093749997</v>
      </c>
      <c r="M36" s="8">
        <f>M27/(M32*M20)</f>
        <v>381.79996860116751</v>
      </c>
      <c r="N36" s="7">
        <v>387.4281778125</v>
      </c>
      <c r="O36" s="8">
        <f>O27/(O32*O20)</f>
        <v>392.84360271859259</v>
      </c>
      <c r="P36" s="7">
        <v>398.50554</v>
      </c>
      <c r="Q36" s="7">
        <v>399.13181156249999</v>
      </c>
      <c r="R36" s="7">
        <v>387.4281778125</v>
      </c>
    </row>
    <row r="37" spans="4:18" x14ac:dyDescent="0.3">
      <c r="E37" s="50" t="s">
        <v>193</v>
      </c>
      <c r="F37" s="7">
        <v>85.974104118056005</v>
      </c>
      <c r="G37" s="8">
        <f>G28/(G33*G21)</f>
        <v>87.444261901704323</v>
      </c>
      <c r="H37" s="7">
        <v>87.989754847500009</v>
      </c>
      <c r="I37" s="8">
        <f>I28/(I33*I21)</f>
        <v>89.579307424656392</v>
      </c>
      <c r="J37" s="7">
        <v>91.179472319397021</v>
      </c>
      <c r="K37" s="8">
        <f>K28/(K33*K21)</f>
        <v>90.313820368302459</v>
      </c>
      <c r="L37" s="7">
        <v>89.433555465826004</v>
      </c>
      <c r="M37" s="8">
        <f>M28/(M33*M21)</f>
        <v>89.563947072993415</v>
      </c>
      <c r="N37" s="7">
        <v>89.666377472925021</v>
      </c>
      <c r="O37" s="8">
        <f>O28/(O33*O21)</f>
        <v>93.622143630038195</v>
      </c>
      <c r="P37" s="7">
        <v>97.616641860672004</v>
      </c>
      <c r="Q37" s="7">
        <v>96.983282711600978</v>
      </c>
      <c r="R37" s="7">
        <v>92.475696675878993</v>
      </c>
    </row>
    <row r="41" spans="4:18" ht="15" thickBot="1" x14ac:dyDescent="0.35">
      <c r="F41" s="53">
        <v>2010</v>
      </c>
      <c r="G41" s="53">
        <v>2011</v>
      </c>
      <c r="H41" s="53">
        <v>2012</v>
      </c>
      <c r="I41" s="53">
        <v>2013</v>
      </c>
      <c r="J41" s="53">
        <v>2014</v>
      </c>
      <c r="K41" s="53">
        <v>2015</v>
      </c>
      <c r="L41" s="53">
        <v>2016</v>
      </c>
      <c r="M41" s="53">
        <v>2017</v>
      </c>
      <c r="N41" s="53">
        <v>2018</v>
      </c>
      <c r="O41" s="53">
        <v>2019</v>
      </c>
      <c r="P41" s="53">
        <v>2020</v>
      </c>
      <c r="Q41" s="53">
        <v>2021</v>
      </c>
      <c r="R41" s="53">
        <v>2022</v>
      </c>
    </row>
    <row r="42" spans="4:18" ht="15" thickBot="1" x14ac:dyDescent="0.35">
      <c r="D42" t="s">
        <v>203</v>
      </c>
      <c r="E42" s="29" t="s">
        <v>204</v>
      </c>
      <c r="F42" s="18">
        <f>ROUND(F36/1000,4)</f>
        <v>0.3417</v>
      </c>
      <c r="G42" s="19">
        <f t="shared" ref="G42:R42" si="7">ROUND(G36/1000,4)</f>
        <v>0.3468</v>
      </c>
      <c r="H42" s="19">
        <f t="shared" si="7"/>
        <v>0.3533</v>
      </c>
      <c r="I42" s="19">
        <f t="shared" si="7"/>
        <v>0.35899999999999999</v>
      </c>
      <c r="J42" s="19">
        <f t="shared" si="7"/>
        <v>0.36480000000000001</v>
      </c>
      <c r="K42" s="19">
        <f t="shared" si="7"/>
        <v>0.3705</v>
      </c>
      <c r="L42" s="19">
        <f t="shared" si="7"/>
        <v>0.37619999999999998</v>
      </c>
      <c r="M42" s="19">
        <f t="shared" si="7"/>
        <v>0.38179999999999997</v>
      </c>
      <c r="N42" s="19">
        <f t="shared" si="7"/>
        <v>0.38740000000000002</v>
      </c>
      <c r="O42" s="19">
        <f t="shared" si="7"/>
        <v>0.39279999999999998</v>
      </c>
      <c r="P42" s="19">
        <f t="shared" si="7"/>
        <v>0.39850000000000002</v>
      </c>
      <c r="Q42" s="19">
        <f t="shared" si="7"/>
        <v>0.39910000000000001</v>
      </c>
      <c r="R42" s="21">
        <f t="shared" si="7"/>
        <v>0.38740000000000002</v>
      </c>
    </row>
    <row r="43" spans="4:18" x14ac:dyDescent="0.3">
      <c r="E43" s="18" t="s">
        <v>145</v>
      </c>
      <c r="F43" s="44">
        <f>ROUND(F27/F36,4)</f>
        <v>0.66220000000000001</v>
      </c>
      <c r="G43" s="42">
        <f t="shared" ref="G43:R43" si="8">ROUND(G27/G36,4)</f>
        <v>0.74339999999999995</v>
      </c>
      <c r="H43" s="42">
        <f t="shared" si="8"/>
        <v>0.8246</v>
      </c>
      <c r="I43" s="42">
        <f t="shared" si="8"/>
        <v>0.82010000000000005</v>
      </c>
      <c r="J43" s="42">
        <f t="shared" si="8"/>
        <v>0.81559999999999999</v>
      </c>
      <c r="K43" s="42">
        <f t="shared" si="8"/>
        <v>0.81510000000000005</v>
      </c>
      <c r="L43" s="42">
        <f t="shared" si="8"/>
        <v>0.81459999999999999</v>
      </c>
      <c r="M43" s="42">
        <f t="shared" si="8"/>
        <v>0.81910000000000005</v>
      </c>
      <c r="N43" s="42">
        <f t="shared" si="8"/>
        <v>0.8236</v>
      </c>
      <c r="O43" s="42">
        <f t="shared" si="8"/>
        <v>0.79849999999999999</v>
      </c>
      <c r="P43" s="42">
        <f t="shared" si="8"/>
        <v>0.77349999999999997</v>
      </c>
      <c r="Q43" s="42">
        <f t="shared" si="8"/>
        <v>0.79359999999999997</v>
      </c>
      <c r="R43" s="43">
        <f t="shared" si="8"/>
        <v>0.80830000000000002</v>
      </c>
    </row>
    <row r="44" spans="4:18" x14ac:dyDescent="0.3">
      <c r="E44" s="22" t="s">
        <v>205</v>
      </c>
      <c r="F44" s="45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34">
        <v>0</v>
      </c>
    </row>
    <row r="45" spans="4:18" x14ac:dyDescent="0.3">
      <c r="E45" s="22" t="s">
        <v>206</v>
      </c>
      <c r="F45" s="45">
        <f>ROUND(F32*F20,4)</f>
        <v>0.66220000000000001</v>
      </c>
      <c r="G45" s="13">
        <f t="shared" ref="G45:R45" si="9">ROUND(G32*G20,4)</f>
        <v>0.74339999999999995</v>
      </c>
      <c r="H45" s="13">
        <f t="shared" si="9"/>
        <v>0.8246</v>
      </c>
      <c r="I45" s="13">
        <f t="shared" si="9"/>
        <v>0.82010000000000005</v>
      </c>
      <c r="J45" s="13">
        <f t="shared" si="9"/>
        <v>0.81559999999999999</v>
      </c>
      <c r="K45" s="13">
        <f t="shared" si="9"/>
        <v>0.81510000000000005</v>
      </c>
      <c r="L45" s="13">
        <f t="shared" si="9"/>
        <v>0.81459999999999999</v>
      </c>
      <c r="M45" s="13">
        <f t="shared" si="9"/>
        <v>0.81910000000000005</v>
      </c>
      <c r="N45" s="13">
        <f t="shared" si="9"/>
        <v>0.8236</v>
      </c>
      <c r="O45" s="13">
        <f t="shared" si="9"/>
        <v>0.79849999999999999</v>
      </c>
      <c r="P45" s="13">
        <f t="shared" si="9"/>
        <v>0.77349999999999997</v>
      </c>
      <c r="Q45" s="13">
        <f t="shared" si="9"/>
        <v>0.79359999999999997</v>
      </c>
      <c r="R45" s="34">
        <f t="shared" si="9"/>
        <v>0.80830000000000002</v>
      </c>
    </row>
    <row r="46" spans="4:18" ht="15" thickBot="1" x14ac:dyDescent="0.35">
      <c r="E46" s="25" t="s">
        <v>207</v>
      </c>
      <c r="F46" s="46">
        <v>0</v>
      </c>
      <c r="G46" s="32">
        <v>0</v>
      </c>
      <c r="H46" s="32">
        <v>0</v>
      </c>
      <c r="I46" s="32">
        <v>0</v>
      </c>
      <c r="J46" s="32">
        <v>0</v>
      </c>
      <c r="K46" s="32">
        <v>0</v>
      </c>
      <c r="L46" s="32">
        <v>0</v>
      </c>
      <c r="M46" s="32">
        <v>0</v>
      </c>
      <c r="N46" s="32">
        <v>0</v>
      </c>
      <c r="O46" s="32">
        <v>0</v>
      </c>
      <c r="P46" s="32">
        <v>0</v>
      </c>
      <c r="Q46" s="32">
        <v>0</v>
      </c>
      <c r="R46" s="33">
        <v>0</v>
      </c>
    </row>
    <row r="47" spans="4:18" x14ac:dyDescent="0.3">
      <c r="E47" s="18" t="s">
        <v>149</v>
      </c>
      <c r="F47" s="22">
        <f>F42*F43</f>
        <v>0.22627374</v>
      </c>
      <c r="G47">
        <f t="shared" ref="G47:R47" si="10">G42*G43</f>
        <v>0.25781112</v>
      </c>
      <c r="H47">
        <f t="shared" si="10"/>
        <v>0.29133118000000002</v>
      </c>
      <c r="I47">
        <f t="shared" si="10"/>
        <v>0.29441590000000001</v>
      </c>
      <c r="J47">
        <f t="shared" si="10"/>
        <v>0.29753088</v>
      </c>
      <c r="K47">
        <f t="shared" si="10"/>
        <v>0.30199455000000003</v>
      </c>
      <c r="L47">
        <f t="shared" si="10"/>
        <v>0.30645252000000001</v>
      </c>
      <c r="M47">
        <f t="shared" si="10"/>
        <v>0.31273237999999998</v>
      </c>
      <c r="N47">
        <f t="shared" si="10"/>
        <v>0.31906264000000001</v>
      </c>
      <c r="O47">
        <f t="shared" si="10"/>
        <v>0.31365080000000001</v>
      </c>
      <c r="P47">
        <f t="shared" si="10"/>
        <v>0.30823974999999998</v>
      </c>
      <c r="Q47">
        <f t="shared" si="10"/>
        <v>0.31672576000000002</v>
      </c>
      <c r="R47" s="24">
        <f t="shared" si="10"/>
        <v>0.31313542</v>
      </c>
    </row>
    <row r="48" spans="4:18" x14ac:dyDescent="0.3">
      <c r="E48" s="22" t="s">
        <v>150</v>
      </c>
      <c r="F48" s="22">
        <f>F42*F44</f>
        <v>0</v>
      </c>
      <c r="G48">
        <f t="shared" ref="G48:R48" si="11">G42*G44</f>
        <v>0</v>
      </c>
      <c r="H48">
        <f t="shared" si="11"/>
        <v>0</v>
      </c>
      <c r="I48">
        <f t="shared" si="11"/>
        <v>0</v>
      </c>
      <c r="J48">
        <f t="shared" si="11"/>
        <v>0</v>
      </c>
      <c r="K48">
        <f t="shared" si="11"/>
        <v>0</v>
      </c>
      <c r="L48">
        <f t="shared" si="11"/>
        <v>0</v>
      </c>
      <c r="M48">
        <f t="shared" si="11"/>
        <v>0</v>
      </c>
      <c r="N48">
        <f t="shared" si="11"/>
        <v>0</v>
      </c>
      <c r="O48">
        <f t="shared" si="11"/>
        <v>0</v>
      </c>
      <c r="P48">
        <f t="shared" si="11"/>
        <v>0</v>
      </c>
      <c r="Q48">
        <f t="shared" si="11"/>
        <v>0</v>
      </c>
      <c r="R48" s="24">
        <f t="shared" si="11"/>
        <v>0</v>
      </c>
    </row>
    <row r="49" spans="4:18" x14ac:dyDescent="0.3">
      <c r="E49" s="22" t="s">
        <v>151</v>
      </c>
      <c r="F49" s="22">
        <f>F42*F45</f>
        <v>0.22627374</v>
      </c>
      <c r="G49">
        <f t="shared" ref="G49:R49" si="12">G42*G45</f>
        <v>0.25781112</v>
      </c>
      <c r="H49">
        <f t="shared" si="12"/>
        <v>0.29133118000000002</v>
      </c>
      <c r="I49">
        <f t="shared" si="12"/>
        <v>0.29441590000000001</v>
      </c>
      <c r="J49">
        <f t="shared" si="12"/>
        <v>0.29753088</v>
      </c>
      <c r="K49">
        <f t="shared" si="12"/>
        <v>0.30199455000000003</v>
      </c>
      <c r="L49">
        <f t="shared" si="12"/>
        <v>0.30645252000000001</v>
      </c>
      <c r="M49">
        <f t="shared" si="12"/>
        <v>0.31273237999999998</v>
      </c>
      <c r="N49">
        <f t="shared" si="12"/>
        <v>0.31906264000000001</v>
      </c>
      <c r="O49">
        <f t="shared" si="12"/>
        <v>0.31365080000000001</v>
      </c>
      <c r="P49">
        <f t="shared" si="12"/>
        <v>0.30823974999999998</v>
      </c>
      <c r="Q49">
        <f t="shared" si="12"/>
        <v>0.31672576000000002</v>
      </c>
      <c r="R49" s="24">
        <f t="shared" si="12"/>
        <v>0.31313542</v>
      </c>
    </row>
    <row r="50" spans="4:18" ht="15" thickBot="1" x14ac:dyDescent="0.35">
      <c r="E50" s="22" t="s">
        <v>152</v>
      </c>
      <c r="F50" s="25">
        <f>F42*F46</f>
        <v>0</v>
      </c>
      <c r="G50" s="26">
        <f t="shared" ref="G50:R50" si="13">G42*G46</f>
        <v>0</v>
      </c>
      <c r="H50" s="26">
        <f t="shared" si="13"/>
        <v>0</v>
      </c>
      <c r="I50" s="26">
        <f t="shared" si="13"/>
        <v>0</v>
      </c>
      <c r="J50" s="26">
        <f t="shared" si="13"/>
        <v>0</v>
      </c>
      <c r="K50" s="26">
        <f t="shared" si="13"/>
        <v>0</v>
      </c>
      <c r="L50" s="26">
        <f t="shared" si="13"/>
        <v>0</v>
      </c>
      <c r="M50" s="26">
        <f t="shared" si="13"/>
        <v>0</v>
      </c>
      <c r="N50" s="26">
        <f t="shared" si="13"/>
        <v>0</v>
      </c>
      <c r="O50" s="26">
        <f t="shared" si="13"/>
        <v>0</v>
      </c>
      <c r="P50" s="26">
        <f t="shared" si="13"/>
        <v>0</v>
      </c>
      <c r="Q50" s="26">
        <f t="shared" si="13"/>
        <v>0</v>
      </c>
      <c r="R50" s="28">
        <f t="shared" si="13"/>
        <v>0</v>
      </c>
    </row>
    <row r="51" spans="4:18" ht="15" thickBot="1" x14ac:dyDescent="0.35">
      <c r="E51" s="29" t="s">
        <v>115</v>
      </c>
      <c r="F51" s="47">
        <f>F47-F48-F49-F50</f>
        <v>0</v>
      </c>
      <c r="G51" s="35">
        <f t="shared" ref="G51:R51" si="14">G47-G48-G49-G50</f>
        <v>0</v>
      </c>
      <c r="H51" s="35">
        <f t="shared" si="14"/>
        <v>0</v>
      </c>
      <c r="I51" s="35">
        <f t="shared" si="14"/>
        <v>0</v>
      </c>
      <c r="J51" s="35">
        <f t="shared" si="14"/>
        <v>0</v>
      </c>
      <c r="K51" s="35">
        <f t="shared" si="14"/>
        <v>0</v>
      </c>
      <c r="L51" s="35">
        <f t="shared" si="14"/>
        <v>0</v>
      </c>
      <c r="M51" s="35">
        <f t="shared" si="14"/>
        <v>0</v>
      </c>
      <c r="N51" s="35">
        <f t="shared" si="14"/>
        <v>0</v>
      </c>
      <c r="O51" s="35">
        <f t="shared" si="14"/>
        <v>0</v>
      </c>
      <c r="P51" s="35">
        <f t="shared" si="14"/>
        <v>0</v>
      </c>
      <c r="Q51" s="35">
        <f t="shared" si="14"/>
        <v>0</v>
      </c>
      <c r="R51" s="36">
        <f t="shared" si="14"/>
        <v>0</v>
      </c>
    </row>
    <row r="55" spans="4:18" ht="15" thickBot="1" x14ac:dyDescent="0.35">
      <c r="F55" s="53">
        <v>2010</v>
      </c>
      <c r="G55" s="53">
        <v>2011</v>
      </c>
      <c r="H55" s="53">
        <v>2012</v>
      </c>
      <c r="I55" s="53">
        <v>2013</v>
      </c>
      <c r="J55" s="53">
        <v>2014</v>
      </c>
      <c r="K55" s="53">
        <v>2015</v>
      </c>
      <c r="L55" s="53">
        <v>2016</v>
      </c>
      <c r="M55" s="53">
        <v>2017</v>
      </c>
      <c r="N55" s="53">
        <v>2018</v>
      </c>
      <c r="O55" s="53">
        <v>2019</v>
      </c>
      <c r="P55" s="53">
        <v>2020</v>
      </c>
      <c r="Q55" s="53">
        <v>2021</v>
      </c>
      <c r="R55" s="53">
        <v>2022</v>
      </c>
    </row>
    <row r="56" spans="4:18" ht="15" thickBot="1" x14ac:dyDescent="0.35">
      <c r="D56" t="s">
        <v>208</v>
      </c>
      <c r="E56" s="29" t="s">
        <v>209</v>
      </c>
      <c r="F56" s="18">
        <f>ROUND(F37/1000,4)</f>
        <v>8.5999999999999993E-2</v>
      </c>
      <c r="G56" s="19">
        <f t="shared" ref="G56:R56" si="15">ROUND(G37/1000,4)</f>
        <v>8.7400000000000005E-2</v>
      </c>
      <c r="H56" s="19">
        <f t="shared" si="15"/>
        <v>8.7999999999999995E-2</v>
      </c>
      <c r="I56" s="19">
        <f t="shared" si="15"/>
        <v>8.9599999999999999E-2</v>
      </c>
      <c r="J56" s="19">
        <f t="shared" si="15"/>
        <v>9.1200000000000003E-2</v>
      </c>
      <c r="K56" s="19">
        <f t="shared" si="15"/>
        <v>9.0300000000000005E-2</v>
      </c>
      <c r="L56" s="19">
        <f t="shared" si="15"/>
        <v>8.9399999999999993E-2</v>
      </c>
      <c r="M56" s="19">
        <f t="shared" si="15"/>
        <v>8.9599999999999999E-2</v>
      </c>
      <c r="N56" s="19">
        <f t="shared" si="15"/>
        <v>8.9700000000000002E-2</v>
      </c>
      <c r="O56" s="19">
        <f t="shared" si="15"/>
        <v>9.3600000000000003E-2</v>
      </c>
      <c r="P56" s="19">
        <f t="shared" si="15"/>
        <v>9.7600000000000006E-2</v>
      </c>
      <c r="Q56" s="19">
        <f t="shared" si="15"/>
        <v>9.7000000000000003E-2</v>
      </c>
      <c r="R56" s="21">
        <f t="shared" si="15"/>
        <v>9.2499999999999999E-2</v>
      </c>
    </row>
    <row r="57" spans="4:18" x14ac:dyDescent="0.3">
      <c r="E57" s="18" t="s">
        <v>210</v>
      </c>
      <c r="F57" s="44">
        <f>ROUND(F28/F37,4)</f>
        <v>2.0821000000000001</v>
      </c>
      <c r="G57" s="42">
        <f t="shared" ref="G57:R57" si="16">ROUND(G28/G37,4)</f>
        <v>2.0821000000000001</v>
      </c>
      <c r="H57" s="42">
        <f t="shared" si="16"/>
        <v>2.0821000000000001</v>
      </c>
      <c r="I57" s="42">
        <f t="shared" si="16"/>
        <v>2.0821000000000001</v>
      </c>
      <c r="J57" s="42">
        <f t="shared" si="16"/>
        <v>2.0821000000000001</v>
      </c>
      <c r="K57" s="42">
        <f t="shared" si="16"/>
        <v>2.0821000000000001</v>
      </c>
      <c r="L57" s="42">
        <f t="shared" si="16"/>
        <v>2.0821000000000001</v>
      </c>
      <c r="M57" s="42">
        <f t="shared" si="16"/>
        <v>2.0821000000000001</v>
      </c>
      <c r="N57" s="42">
        <f t="shared" si="16"/>
        <v>2.0821000000000001</v>
      </c>
      <c r="O57" s="42">
        <f t="shared" si="16"/>
        <v>2.0821000000000001</v>
      </c>
      <c r="P57" s="42">
        <f t="shared" si="16"/>
        <v>2.0821000000000001</v>
      </c>
      <c r="Q57" s="42">
        <f t="shared" si="16"/>
        <v>2.0821000000000001</v>
      </c>
      <c r="R57" s="43">
        <f t="shared" si="16"/>
        <v>2.0821000000000001</v>
      </c>
    </row>
    <row r="58" spans="4:18" x14ac:dyDescent="0.3">
      <c r="E58" s="22" t="s">
        <v>211</v>
      </c>
      <c r="F58" s="45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34">
        <v>0</v>
      </c>
    </row>
    <row r="59" spans="4:18" x14ac:dyDescent="0.3">
      <c r="E59" s="22" t="s">
        <v>212</v>
      </c>
      <c r="F59" s="45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34">
        <v>0</v>
      </c>
    </row>
    <row r="60" spans="4:18" ht="15" thickBot="1" x14ac:dyDescent="0.35">
      <c r="E60" s="25" t="s">
        <v>213</v>
      </c>
      <c r="F60" s="46">
        <f>ROUND(F33*F21,4)</f>
        <v>2.0821000000000001</v>
      </c>
      <c r="G60" s="32">
        <f t="shared" ref="G60:R60" si="17">ROUND(G33*G21,4)</f>
        <v>2.0821000000000001</v>
      </c>
      <c r="H60" s="32">
        <f t="shared" si="17"/>
        <v>2.0821000000000001</v>
      </c>
      <c r="I60" s="32">
        <f t="shared" si="17"/>
        <v>2.0821000000000001</v>
      </c>
      <c r="J60" s="32">
        <f t="shared" si="17"/>
        <v>2.0821000000000001</v>
      </c>
      <c r="K60" s="32">
        <f t="shared" si="17"/>
        <v>2.0821000000000001</v>
      </c>
      <c r="L60" s="32">
        <f t="shared" si="17"/>
        <v>2.0821000000000001</v>
      </c>
      <c r="M60" s="32">
        <f t="shared" si="17"/>
        <v>2.0821000000000001</v>
      </c>
      <c r="N60" s="32">
        <f t="shared" si="17"/>
        <v>2.0821000000000001</v>
      </c>
      <c r="O60" s="32">
        <f t="shared" si="17"/>
        <v>2.0821000000000001</v>
      </c>
      <c r="P60" s="32">
        <f t="shared" si="17"/>
        <v>2.0821000000000001</v>
      </c>
      <c r="Q60" s="32">
        <f t="shared" si="17"/>
        <v>2.0821000000000001</v>
      </c>
      <c r="R60" s="33">
        <f t="shared" si="17"/>
        <v>2.0821000000000001</v>
      </c>
    </row>
    <row r="61" spans="4:18" x14ac:dyDescent="0.3">
      <c r="E61" s="18" t="s">
        <v>149</v>
      </c>
      <c r="F61" s="22">
        <f>F56*F57</f>
        <v>0.17906059999999999</v>
      </c>
      <c r="G61">
        <f t="shared" ref="G61:R61" si="18">G56*G57</f>
        <v>0.18197554000000002</v>
      </c>
      <c r="H61">
        <f t="shared" si="18"/>
        <v>0.18322479999999999</v>
      </c>
      <c r="I61">
        <f t="shared" si="18"/>
        <v>0.18655616</v>
      </c>
      <c r="J61">
        <f t="shared" si="18"/>
        <v>0.18988752</v>
      </c>
      <c r="K61">
        <f t="shared" si="18"/>
        <v>0.18801363000000001</v>
      </c>
      <c r="L61">
        <f t="shared" si="18"/>
        <v>0.18613974</v>
      </c>
      <c r="M61">
        <f t="shared" si="18"/>
        <v>0.18655616</v>
      </c>
      <c r="N61">
        <f t="shared" si="18"/>
        <v>0.18676437000000001</v>
      </c>
      <c r="O61">
        <f t="shared" si="18"/>
        <v>0.19488456000000001</v>
      </c>
      <c r="P61">
        <f t="shared" si="18"/>
        <v>0.20321296000000003</v>
      </c>
      <c r="Q61">
        <f t="shared" si="18"/>
        <v>0.20196370000000002</v>
      </c>
      <c r="R61" s="24">
        <f t="shared" si="18"/>
        <v>0.19259424999999999</v>
      </c>
    </row>
    <row r="62" spans="4:18" x14ac:dyDescent="0.3">
      <c r="E62" s="22" t="s">
        <v>150</v>
      </c>
      <c r="F62" s="22">
        <f>F56*F58</f>
        <v>0</v>
      </c>
      <c r="G62">
        <f t="shared" ref="G62:R62" si="19">G56*G58</f>
        <v>0</v>
      </c>
      <c r="H62">
        <f t="shared" si="19"/>
        <v>0</v>
      </c>
      <c r="I62">
        <f t="shared" si="19"/>
        <v>0</v>
      </c>
      <c r="J62">
        <f t="shared" si="19"/>
        <v>0</v>
      </c>
      <c r="K62">
        <f t="shared" si="19"/>
        <v>0</v>
      </c>
      <c r="L62">
        <f t="shared" si="19"/>
        <v>0</v>
      </c>
      <c r="M62">
        <f t="shared" si="19"/>
        <v>0</v>
      </c>
      <c r="N62">
        <f t="shared" si="19"/>
        <v>0</v>
      </c>
      <c r="O62">
        <f t="shared" si="19"/>
        <v>0</v>
      </c>
      <c r="P62">
        <f t="shared" si="19"/>
        <v>0</v>
      </c>
      <c r="Q62">
        <f t="shared" si="19"/>
        <v>0</v>
      </c>
      <c r="R62" s="24">
        <f t="shared" si="19"/>
        <v>0</v>
      </c>
    </row>
    <row r="63" spans="4:18" x14ac:dyDescent="0.3">
      <c r="E63" s="22" t="s">
        <v>151</v>
      </c>
      <c r="F63" s="22">
        <f>F56*F59</f>
        <v>0</v>
      </c>
      <c r="G63">
        <f t="shared" ref="G63:R63" si="20">G56*G59</f>
        <v>0</v>
      </c>
      <c r="H63">
        <f t="shared" si="20"/>
        <v>0</v>
      </c>
      <c r="I63">
        <f t="shared" si="20"/>
        <v>0</v>
      </c>
      <c r="J63">
        <f t="shared" si="20"/>
        <v>0</v>
      </c>
      <c r="K63">
        <f t="shared" si="20"/>
        <v>0</v>
      </c>
      <c r="L63">
        <f t="shared" si="20"/>
        <v>0</v>
      </c>
      <c r="M63">
        <f t="shared" si="20"/>
        <v>0</v>
      </c>
      <c r="N63">
        <f t="shared" si="20"/>
        <v>0</v>
      </c>
      <c r="O63">
        <f t="shared" si="20"/>
        <v>0</v>
      </c>
      <c r="P63">
        <f t="shared" si="20"/>
        <v>0</v>
      </c>
      <c r="Q63">
        <f t="shared" si="20"/>
        <v>0</v>
      </c>
      <c r="R63" s="24">
        <f t="shared" si="20"/>
        <v>0</v>
      </c>
    </row>
    <row r="64" spans="4:18" ht="15" thickBot="1" x14ac:dyDescent="0.35">
      <c r="E64" s="22" t="s">
        <v>152</v>
      </c>
      <c r="F64" s="25">
        <f>F56*F60</f>
        <v>0.17906059999999999</v>
      </c>
      <c r="G64" s="26">
        <f t="shared" ref="G64:R64" si="21">G56*G60</f>
        <v>0.18197554000000002</v>
      </c>
      <c r="H64" s="26">
        <f t="shared" si="21"/>
        <v>0.18322479999999999</v>
      </c>
      <c r="I64" s="26">
        <f t="shared" si="21"/>
        <v>0.18655616</v>
      </c>
      <c r="J64" s="26">
        <f t="shared" si="21"/>
        <v>0.18988752</v>
      </c>
      <c r="K64" s="26">
        <f t="shared" si="21"/>
        <v>0.18801363000000001</v>
      </c>
      <c r="L64" s="26">
        <f t="shared" si="21"/>
        <v>0.18613974</v>
      </c>
      <c r="M64" s="26">
        <f t="shared" si="21"/>
        <v>0.18655616</v>
      </c>
      <c r="N64" s="26">
        <f t="shared" si="21"/>
        <v>0.18676437000000001</v>
      </c>
      <c r="O64" s="26">
        <f t="shared" si="21"/>
        <v>0.19488456000000001</v>
      </c>
      <c r="P64" s="26">
        <f t="shared" si="21"/>
        <v>0.20321296000000003</v>
      </c>
      <c r="Q64" s="26">
        <f t="shared" si="21"/>
        <v>0.20196370000000002</v>
      </c>
      <c r="R64" s="28">
        <f t="shared" si="21"/>
        <v>0.19259424999999999</v>
      </c>
    </row>
    <row r="65" spans="3:31" ht="15" thickBot="1" x14ac:dyDescent="0.35">
      <c r="E65" s="29" t="s">
        <v>115</v>
      </c>
      <c r="F65" s="47">
        <f>F61-F62-F63-F64</f>
        <v>0</v>
      </c>
      <c r="G65" s="35">
        <f t="shared" ref="G65" si="22">G61-G62-G63-G64</f>
        <v>0</v>
      </c>
      <c r="H65" s="35">
        <f t="shared" ref="H65" si="23">H61-H62-H63-H64</f>
        <v>0</v>
      </c>
      <c r="I65" s="35">
        <f t="shared" ref="I65" si="24">I61-I62-I63-I64</f>
        <v>0</v>
      </c>
      <c r="J65" s="35">
        <f t="shared" ref="J65" si="25">J61-J62-J63-J64</f>
        <v>0</v>
      </c>
      <c r="K65" s="35">
        <f t="shared" ref="K65" si="26">K61-K62-K63-K64</f>
        <v>0</v>
      </c>
      <c r="L65" s="35">
        <f t="shared" ref="L65" si="27">L61-L62-L63-L64</f>
        <v>0</v>
      </c>
      <c r="M65" s="35">
        <f t="shared" ref="M65" si="28">M61-M62-M63-M64</f>
        <v>0</v>
      </c>
      <c r="N65" s="35">
        <f t="shared" ref="N65" si="29">N61-N62-N63-N64</f>
        <v>0</v>
      </c>
      <c r="O65" s="35">
        <f t="shared" ref="O65" si="30">O61-O62-O63-O64</f>
        <v>0</v>
      </c>
      <c r="P65" s="35">
        <f t="shared" ref="P65" si="31">P61-P62-P63-P64</f>
        <v>0</v>
      </c>
      <c r="Q65" s="35">
        <f t="shared" ref="Q65" si="32">Q61-Q62-Q63-Q64</f>
        <v>0</v>
      </c>
      <c r="R65" s="36">
        <f t="shared" ref="R65" si="33">R61-R62-R63-R64</f>
        <v>0</v>
      </c>
    </row>
    <row r="69" spans="3:31" ht="15" thickBot="1" x14ac:dyDescent="0.35">
      <c r="F69" s="53">
        <v>2010</v>
      </c>
      <c r="G69" s="53">
        <v>2011</v>
      </c>
      <c r="H69" s="53">
        <v>2012</v>
      </c>
      <c r="I69" s="53">
        <v>2013</v>
      </c>
      <c r="J69" s="53">
        <v>2014</v>
      </c>
      <c r="K69" s="53">
        <v>2015</v>
      </c>
      <c r="L69" s="53">
        <v>2016</v>
      </c>
      <c r="M69" s="53">
        <v>2017</v>
      </c>
      <c r="N69" s="53">
        <v>2018</v>
      </c>
      <c r="O69" s="53">
        <v>2019</v>
      </c>
      <c r="P69" s="53">
        <v>2020</v>
      </c>
      <c r="Q69" s="53">
        <v>2021</v>
      </c>
      <c r="R69" s="53">
        <v>2022</v>
      </c>
      <c r="S69" s="150">
        <v>2023</v>
      </c>
      <c r="T69" s="150">
        <v>2024</v>
      </c>
      <c r="U69" s="150">
        <v>2025</v>
      </c>
      <c r="V69" s="150">
        <v>2026</v>
      </c>
      <c r="W69" s="150">
        <v>2027</v>
      </c>
      <c r="X69" s="150">
        <v>2028</v>
      </c>
      <c r="Y69" s="150">
        <v>2029</v>
      </c>
      <c r="Z69" s="150">
        <v>2030</v>
      </c>
      <c r="AA69" s="150">
        <v>2031</v>
      </c>
      <c r="AB69" s="150">
        <v>2032</v>
      </c>
      <c r="AC69" s="150">
        <v>2033</v>
      </c>
      <c r="AD69" s="150">
        <v>2034</v>
      </c>
      <c r="AE69" s="150">
        <v>2035</v>
      </c>
    </row>
    <row r="70" spans="3:31" ht="15" thickBot="1" x14ac:dyDescent="0.35">
      <c r="C70" s="1" t="s">
        <v>153</v>
      </c>
      <c r="D70" t="s">
        <v>203</v>
      </c>
      <c r="E70" s="29" t="s">
        <v>204</v>
      </c>
      <c r="F70" s="18">
        <f>F42</f>
        <v>0.3417</v>
      </c>
      <c r="G70" s="19">
        <f t="shared" ref="G70:R70" si="34">G42</f>
        <v>0.3468</v>
      </c>
      <c r="H70" s="19">
        <f t="shared" si="34"/>
        <v>0.3533</v>
      </c>
      <c r="I70" s="19">
        <f t="shared" si="34"/>
        <v>0.35899999999999999</v>
      </c>
      <c r="J70" s="19">
        <f t="shared" si="34"/>
        <v>0.36480000000000001</v>
      </c>
      <c r="K70" s="19">
        <f t="shared" si="34"/>
        <v>0.3705</v>
      </c>
      <c r="L70" s="19">
        <f t="shared" si="34"/>
        <v>0.37619999999999998</v>
      </c>
      <c r="M70" s="19">
        <f t="shared" si="34"/>
        <v>0.38179999999999997</v>
      </c>
      <c r="N70" s="19">
        <f t="shared" si="34"/>
        <v>0.38740000000000002</v>
      </c>
      <c r="O70" s="19">
        <f t="shared" si="34"/>
        <v>0.39279999999999998</v>
      </c>
      <c r="P70" s="19">
        <f t="shared" si="34"/>
        <v>0.39850000000000002</v>
      </c>
      <c r="Q70" s="19">
        <f t="shared" si="34"/>
        <v>0.39910000000000001</v>
      </c>
      <c r="R70" s="19">
        <f t="shared" si="34"/>
        <v>0.38740000000000002</v>
      </c>
      <c r="S70" s="44">
        <f>Act_T_Aguas!S12</f>
        <v>0.4178</v>
      </c>
      <c r="T70" s="42">
        <f>Act_T_Aguas!T12</f>
        <v>0.4491</v>
      </c>
      <c r="U70" s="42">
        <f>Act_T_Aguas!U12</f>
        <v>0.44729999999999998</v>
      </c>
      <c r="V70" s="42">
        <f>Act_T_Aguas!V12</f>
        <v>0.4647</v>
      </c>
      <c r="W70" s="42">
        <f>Act_T_Aguas!W12</f>
        <v>0.54549999999999998</v>
      </c>
      <c r="X70" s="42">
        <f>Act_T_Aguas!X12</f>
        <v>0.57940000000000003</v>
      </c>
      <c r="Y70" s="42">
        <f>Act_T_Aguas!Y12</f>
        <v>0.61319999999999997</v>
      </c>
      <c r="Z70" s="42">
        <f>Act_T_Aguas!Z12</f>
        <v>0.64710000000000001</v>
      </c>
      <c r="AA70" s="42">
        <f>Act_T_Aguas!AA12</f>
        <v>0.68189999999999995</v>
      </c>
      <c r="AB70" s="42">
        <f>Act_T_Aguas!AB12</f>
        <v>0.71750000000000003</v>
      </c>
      <c r="AC70" s="42">
        <f>Act_T_Aguas!AC12</f>
        <v>0.75309999999999999</v>
      </c>
      <c r="AD70" s="42">
        <f>Act_T_Aguas!AD12</f>
        <v>0.78959999999999997</v>
      </c>
      <c r="AE70" s="43">
        <f>Act_T_Aguas!AE12</f>
        <v>0.82599999999999996</v>
      </c>
    </row>
    <row r="71" spans="3:31" x14ac:dyDescent="0.3">
      <c r="E71" s="18" t="s">
        <v>214</v>
      </c>
      <c r="F71" s="44">
        <f>F43</f>
        <v>0.66220000000000001</v>
      </c>
      <c r="G71" s="42">
        <f t="shared" ref="G71:R71" si="35">G43</f>
        <v>0.74339999999999995</v>
      </c>
      <c r="H71" s="42">
        <f t="shared" si="35"/>
        <v>0.8246</v>
      </c>
      <c r="I71" s="42">
        <f t="shared" si="35"/>
        <v>0.82010000000000005</v>
      </c>
      <c r="J71" s="42">
        <f t="shared" si="35"/>
        <v>0.81559999999999999</v>
      </c>
      <c r="K71" s="42">
        <f t="shared" si="35"/>
        <v>0.81510000000000005</v>
      </c>
      <c r="L71" s="42">
        <f t="shared" si="35"/>
        <v>0.81459999999999999</v>
      </c>
      <c r="M71" s="42">
        <f t="shared" si="35"/>
        <v>0.81910000000000005</v>
      </c>
      <c r="N71" s="42">
        <f t="shared" si="35"/>
        <v>0.8236</v>
      </c>
      <c r="O71" s="42">
        <f t="shared" si="35"/>
        <v>0.79849999999999999</v>
      </c>
      <c r="P71" s="42">
        <f t="shared" si="35"/>
        <v>0.77349999999999997</v>
      </c>
      <c r="Q71" s="42">
        <f t="shared" si="35"/>
        <v>0.79359999999999997</v>
      </c>
      <c r="R71" s="42">
        <f t="shared" si="35"/>
        <v>0.80830000000000002</v>
      </c>
      <c r="S71" s="44">
        <f>ROUND(S73*$R$20,4)</f>
        <v>0.82379999999999998</v>
      </c>
      <c r="T71" s="42">
        <f t="shared" ref="T71:AE71" si="36">ROUND(T73*$R$20,4)</f>
        <v>0.8387</v>
      </c>
      <c r="U71" s="42">
        <f t="shared" si="36"/>
        <v>0.8538</v>
      </c>
      <c r="V71" s="42">
        <f t="shared" si="36"/>
        <v>0.86929999999999996</v>
      </c>
      <c r="W71" s="42">
        <f t="shared" si="36"/>
        <v>0.88500000000000001</v>
      </c>
      <c r="X71" s="42">
        <f t="shared" si="36"/>
        <v>0.90100000000000002</v>
      </c>
      <c r="Y71" s="42">
        <f t="shared" si="36"/>
        <v>0.91720000000000002</v>
      </c>
      <c r="Z71" s="42">
        <f t="shared" si="36"/>
        <v>0.93379999999999996</v>
      </c>
      <c r="AA71" s="42">
        <f t="shared" si="36"/>
        <v>0.95069999999999999</v>
      </c>
      <c r="AB71" s="42">
        <f t="shared" si="36"/>
        <v>0.96779999999999999</v>
      </c>
      <c r="AC71" s="42">
        <f t="shared" si="36"/>
        <v>0.98529999999999995</v>
      </c>
      <c r="AD71" s="42">
        <f t="shared" si="36"/>
        <v>1.0031000000000001</v>
      </c>
      <c r="AE71" s="43">
        <f t="shared" si="36"/>
        <v>1.0212000000000001</v>
      </c>
    </row>
    <row r="72" spans="3:31" x14ac:dyDescent="0.3">
      <c r="E72" s="22" t="s">
        <v>215</v>
      </c>
      <c r="F72" s="45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45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34">
        <v>0</v>
      </c>
    </row>
    <row r="73" spans="3:31" x14ac:dyDescent="0.3">
      <c r="E73" s="22" t="s">
        <v>216</v>
      </c>
      <c r="F73" s="45">
        <f>ROUND(F32,4)</f>
        <v>2.3599999999999999E-2</v>
      </c>
      <c r="G73" s="13">
        <f t="shared" ref="G73:R73" si="37">ROUND(G32,4)</f>
        <v>2.6499999999999999E-2</v>
      </c>
      <c r="H73" s="13">
        <f t="shared" si="37"/>
        <v>2.9399999999999999E-2</v>
      </c>
      <c r="I73" s="13">
        <f t="shared" si="37"/>
        <v>2.93E-2</v>
      </c>
      <c r="J73" s="13">
        <f t="shared" si="37"/>
        <v>2.9100000000000001E-2</v>
      </c>
      <c r="K73" s="13">
        <f t="shared" si="37"/>
        <v>2.9100000000000001E-2</v>
      </c>
      <c r="L73" s="13">
        <f t="shared" si="37"/>
        <v>2.9100000000000001E-2</v>
      </c>
      <c r="M73" s="13">
        <f t="shared" si="37"/>
        <v>2.93E-2</v>
      </c>
      <c r="N73" s="13">
        <f t="shared" si="37"/>
        <v>2.9399999999999999E-2</v>
      </c>
      <c r="O73" s="13">
        <f t="shared" si="37"/>
        <v>2.8500000000000001E-2</v>
      </c>
      <c r="P73" s="13">
        <f t="shared" si="37"/>
        <v>2.76E-2</v>
      </c>
      <c r="Q73" s="13">
        <f t="shared" si="37"/>
        <v>2.8299999999999999E-2</v>
      </c>
      <c r="R73" s="13">
        <f t="shared" si="37"/>
        <v>2.8899999999999999E-2</v>
      </c>
      <c r="S73" s="45">
        <f>R73*(1+$R$98)</f>
        <v>2.9421997533288682E-2</v>
      </c>
      <c r="T73" s="13">
        <f t="shared" ref="T73:AE73" si="38">S73*(1+$R$98)</f>
        <v>2.9953423489579425E-2</v>
      </c>
      <c r="U73" s="13">
        <f t="shared" si="38"/>
        <v>3.0494448166918934E-2</v>
      </c>
      <c r="V73" s="13">
        <f t="shared" si="38"/>
        <v>3.1045244939311021E-2</v>
      </c>
      <c r="W73" s="13">
        <f t="shared" si="38"/>
        <v>3.1605990312275151E-2</v>
      </c>
      <c r="X73" s="13">
        <f t="shared" si="38"/>
        <v>3.2176863979408499E-2</v>
      </c>
      <c r="Y73" s="13">
        <f t="shared" si="38"/>
        <v>3.275804887996963E-2</v>
      </c>
      <c r="Z73" s="13">
        <f t="shared" si="38"/>
        <v>3.3349731257502305E-2</v>
      </c>
      <c r="AA73" s="13">
        <f t="shared" si="38"/>
        <v>3.3952100719518111E-2</v>
      </c>
      <c r="AB73" s="13">
        <f t="shared" si="38"/>
        <v>3.4565350298257122E-2</v>
      </c>
      <c r="AC73" s="13">
        <f t="shared" si="38"/>
        <v>3.518967651254603E-2</v>
      </c>
      <c r="AD73" s="13">
        <f t="shared" si="38"/>
        <v>3.5825279430773564E-2</v>
      </c>
      <c r="AE73" s="34">
        <f t="shared" si="38"/>
        <v>3.6472362735003379E-2</v>
      </c>
    </row>
    <row r="74" spans="3:31" ht="15" thickBot="1" x14ac:dyDescent="0.35">
      <c r="E74" s="25" t="s">
        <v>217</v>
      </c>
      <c r="F74" s="46">
        <v>0</v>
      </c>
      <c r="G74" s="32">
        <v>0</v>
      </c>
      <c r="H74" s="32">
        <v>0</v>
      </c>
      <c r="I74" s="32">
        <v>0</v>
      </c>
      <c r="J74" s="32">
        <v>0</v>
      </c>
      <c r="K74" s="32">
        <v>0</v>
      </c>
      <c r="L74" s="32">
        <v>0</v>
      </c>
      <c r="M74" s="32">
        <v>0</v>
      </c>
      <c r="N74" s="32">
        <v>0</v>
      </c>
      <c r="O74" s="32">
        <v>0</v>
      </c>
      <c r="P74" s="32">
        <v>0</v>
      </c>
      <c r="Q74" s="32">
        <v>0</v>
      </c>
      <c r="R74" s="32">
        <v>0</v>
      </c>
      <c r="S74" s="46">
        <v>0</v>
      </c>
      <c r="T74" s="32">
        <v>0</v>
      </c>
      <c r="U74" s="32">
        <v>0</v>
      </c>
      <c r="V74" s="32">
        <v>0</v>
      </c>
      <c r="W74" s="32">
        <v>0</v>
      </c>
      <c r="X74" s="32">
        <v>0</v>
      </c>
      <c r="Y74" s="32">
        <v>0</v>
      </c>
      <c r="Z74" s="32">
        <v>0</v>
      </c>
      <c r="AA74" s="32">
        <v>0</v>
      </c>
      <c r="AB74" s="32">
        <v>0</v>
      </c>
      <c r="AC74" s="32">
        <v>0</v>
      </c>
      <c r="AD74" s="32">
        <v>0</v>
      </c>
      <c r="AE74" s="33">
        <v>0</v>
      </c>
    </row>
    <row r="75" spans="3:31" x14ac:dyDescent="0.3">
      <c r="E75" s="18" t="s">
        <v>149</v>
      </c>
      <c r="F75" s="45">
        <f>F70*F71</f>
        <v>0.22627374</v>
      </c>
      <c r="G75" s="13">
        <f t="shared" ref="G75:R75" si="39">G70*G71</f>
        <v>0.25781112</v>
      </c>
      <c r="H75" s="13">
        <f t="shared" si="39"/>
        <v>0.29133118000000002</v>
      </c>
      <c r="I75" s="13">
        <f t="shared" si="39"/>
        <v>0.29441590000000001</v>
      </c>
      <c r="J75" s="13">
        <f t="shared" si="39"/>
        <v>0.29753088</v>
      </c>
      <c r="K75" s="13">
        <f t="shared" si="39"/>
        <v>0.30199455000000003</v>
      </c>
      <c r="L75" s="13">
        <f t="shared" si="39"/>
        <v>0.30645252000000001</v>
      </c>
      <c r="M75" s="13">
        <f t="shared" si="39"/>
        <v>0.31273237999999998</v>
      </c>
      <c r="N75" s="13">
        <f t="shared" si="39"/>
        <v>0.31906264000000001</v>
      </c>
      <c r="O75" s="13">
        <f t="shared" si="39"/>
        <v>0.31365080000000001</v>
      </c>
      <c r="P75" s="13">
        <f t="shared" si="39"/>
        <v>0.30823974999999998</v>
      </c>
      <c r="Q75" s="13">
        <f t="shared" si="39"/>
        <v>0.31672576000000002</v>
      </c>
      <c r="R75" s="34">
        <f t="shared" si="39"/>
        <v>0.31313542</v>
      </c>
      <c r="S75" s="44">
        <f>S70*S71</f>
        <v>0.34418364000000001</v>
      </c>
      <c r="T75" s="42">
        <f t="shared" ref="T75:AE75" si="40">T70*T71</f>
        <v>0.37666017000000002</v>
      </c>
      <c r="U75" s="42">
        <f t="shared" si="40"/>
        <v>0.38190473999999996</v>
      </c>
      <c r="V75" s="42">
        <f t="shared" si="40"/>
        <v>0.40396370999999998</v>
      </c>
      <c r="W75" s="42">
        <f t="shared" si="40"/>
        <v>0.48276750000000002</v>
      </c>
      <c r="X75" s="42">
        <f t="shared" si="40"/>
        <v>0.52203940000000004</v>
      </c>
      <c r="Y75" s="42">
        <f t="shared" si="40"/>
        <v>0.56242703999999999</v>
      </c>
      <c r="Z75" s="42">
        <f t="shared" si="40"/>
        <v>0.60426197999999998</v>
      </c>
      <c r="AA75" s="42">
        <f t="shared" si="40"/>
        <v>0.64828232999999991</v>
      </c>
      <c r="AB75" s="42">
        <f t="shared" si="40"/>
        <v>0.69439649999999997</v>
      </c>
      <c r="AC75" s="42">
        <f t="shared" si="40"/>
        <v>0.74202942999999999</v>
      </c>
      <c r="AD75" s="42">
        <f t="shared" si="40"/>
        <v>0.7920477600000001</v>
      </c>
      <c r="AE75" s="43">
        <f t="shared" si="40"/>
        <v>0.84351120000000002</v>
      </c>
    </row>
    <row r="76" spans="3:31" x14ac:dyDescent="0.3">
      <c r="E76" s="22" t="s">
        <v>157</v>
      </c>
      <c r="F76" s="45">
        <f>F70*F72</f>
        <v>0</v>
      </c>
      <c r="G76" s="13">
        <f t="shared" ref="G76:R76" si="41">G70*G72</f>
        <v>0</v>
      </c>
      <c r="H76" s="13">
        <f t="shared" si="41"/>
        <v>0</v>
      </c>
      <c r="I76" s="13">
        <f t="shared" si="41"/>
        <v>0</v>
      </c>
      <c r="J76" s="13">
        <f t="shared" si="41"/>
        <v>0</v>
      </c>
      <c r="K76" s="13">
        <f t="shared" si="41"/>
        <v>0</v>
      </c>
      <c r="L76" s="13">
        <f t="shared" si="41"/>
        <v>0</v>
      </c>
      <c r="M76" s="13">
        <f t="shared" si="41"/>
        <v>0</v>
      </c>
      <c r="N76" s="13">
        <f t="shared" si="41"/>
        <v>0</v>
      </c>
      <c r="O76" s="13">
        <f t="shared" si="41"/>
        <v>0</v>
      </c>
      <c r="P76" s="13">
        <f t="shared" si="41"/>
        <v>0</v>
      </c>
      <c r="Q76" s="13">
        <f t="shared" si="41"/>
        <v>0</v>
      </c>
      <c r="R76" s="34">
        <f t="shared" si="41"/>
        <v>0</v>
      </c>
      <c r="S76" s="45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13">
        <v>0</v>
      </c>
      <c r="AA76" s="13">
        <v>0</v>
      </c>
      <c r="AB76" s="13">
        <v>0</v>
      </c>
      <c r="AC76" s="13">
        <v>0</v>
      </c>
      <c r="AD76" s="13">
        <v>0</v>
      </c>
      <c r="AE76" s="34">
        <v>0</v>
      </c>
    </row>
    <row r="77" spans="3:31" x14ac:dyDescent="0.3">
      <c r="E77" s="22" t="s">
        <v>158</v>
      </c>
      <c r="F77" s="45">
        <f>F70*F73</f>
        <v>8.0641199999999993E-3</v>
      </c>
      <c r="G77" s="13">
        <f t="shared" ref="G77:R77" si="42">G70*G73</f>
        <v>9.1901999999999991E-3</v>
      </c>
      <c r="H77" s="13">
        <f t="shared" si="42"/>
        <v>1.038702E-2</v>
      </c>
      <c r="I77" s="13">
        <f t="shared" si="42"/>
        <v>1.0518699999999999E-2</v>
      </c>
      <c r="J77" s="13">
        <f t="shared" si="42"/>
        <v>1.0615680000000001E-2</v>
      </c>
      <c r="K77" s="13">
        <f t="shared" si="42"/>
        <v>1.0781550000000001E-2</v>
      </c>
      <c r="L77" s="13">
        <f t="shared" si="42"/>
        <v>1.0947419999999999E-2</v>
      </c>
      <c r="M77" s="13">
        <f t="shared" si="42"/>
        <v>1.1186739999999999E-2</v>
      </c>
      <c r="N77" s="13">
        <f t="shared" si="42"/>
        <v>1.138956E-2</v>
      </c>
      <c r="O77" s="13">
        <f t="shared" si="42"/>
        <v>1.11948E-2</v>
      </c>
      <c r="P77" s="13">
        <f t="shared" si="42"/>
        <v>1.0998600000000001E-2</v>
      </c>
      <c r="Q77" s="13">
        <f t="shared" si="42"/>
        <v>1.1294530000000001E-2</v>
      </c>
      <c r="R77" s="34">
        <f t="shared" si="42"/>
        <v>1.119586E-2</v>
      </c>
      <c r="S77" s="45">
        <f>S70*S73</f>
        <v>1.2292510569408012E-2</v>
      </c>
      <c r="T77" s="13">
        <f t="shared" ref="T77:AE77" si="43">T70*T73</f>
        <v>1.345208248917012E-2</v>
      </c>
      <c r="U77" s="13">
        <f t="shared" si="43"/>
        <v>1.3640166665062839E-2</v>
      </c>
      <c r="V77" s="13">
        <f t="shared" si="43"/>
        <v>1.4426725323297831E-2</v>
      </c>
      <c r="W77" s="13">
        <f t="shared" si="43"/>
        <v>1.7241067715346094E-2</v>
      </c>
      <c r="X77" s="13">
        <f t="shared" si="43"/>
        <v>1.8643274989669285E-2</v>
      </c>
      <c r="Y77" s="13">
        <f t="shared" si="43"/>
        <v>2.0087235573197377E-2</v>
      </c>
      <c r="Z77" s="13">
        <f t="shared" si="43"/>
        <v>2.1580611096729742E-2</v>
      </c>
      <c r="AA77" s="13">
        <f t="shared" si="43"/>
        <v>2.3151937480639397E-2</v>
      </c>
      <c r="AB77" s="13">
        <f t="shared" si="43"/>
        <v>2.4800638838999484E-2</v>
      </c>
      <c r="AC77" s="13">
        <f t="shared" si="43"/>
        <v>2.6501345381598415E-2</v>
      </c>
      <c r="AD77" s="13">
        <f t="shared" si="43"/>
        <v>2.8287640638538804E-2</v>
      </c>
      <c r="AE77" s="34">
        <f t="shared" si="43"/>
        <v>3.0126171619112789E-2</v>
      </c>
    </row>
    <row r="78" spans="3:31" ht="15" thickBot="1" x14ac:dyDescent="0.35">
      <c r="E78" s="25" t="s">
        <v>159</v>
      </c>
      <c r="F78" s="46">
        <f>F70*F74</f>
        <v>0</v>
      </c>
      <c r="G78" s="32">
        <f t="shared" ref="G78:R78" si="44">G70*G74</f>
        <v>0</v>
      </c>
      <c r="H78" s="32">
        <f t="shared" si="44"/>
        <v>0</v>
      </c>
      <c r="I78" s="32">
        <f t="shared" si="44"/>
        <v>0</v>
      </c>
      <c r="J78" s="32">
        <f t="shared" si="44"/>
        <v>0</v>
      </c>
      <c r="K78" s="32">
        <f t="shared" si="44"/>
        <v>0</v>
      </c>
      <c r="L78" s="32">
        <f t="shared" si="44"/>
        <v>0</v>
      </c>
      <c r="M78" s="32">
        <f t="shared" si="44"/>
        <v>0</v>
      </c>
      <c r="N78" s="32">
        <f t="shared" si="44"/>
        <v>0</v>
      </c>
      <c r="O78" s="32">
        <f t="shared" si="44"/>
        <v>0</v>
      </c>
      <c r="P78" s="32">
        <f t="shared" si="44"/>
        <v>0</v>
      </c>
      <c r="Q78" s="32">
        <f t="shared" si="44"/>
        <v>0</v>
      </c>
      <c r="R78" s="33">
        <f t="shared" si="44"/>
        <v>0</v>
      </c>
      <c r="S78" s="46">
        <v>0</v>
      </c>
      <c r="T78" s="32">
        <v>0</v>
      </c>
      <c r="U78" s="32">
        <v>0</v>
      </c>
      <c r="V78" s="32">
        <v>0</v>
      </c>
      <c r="W78" s="32">
        <v>0</v>
      </c>
      <c r="X78" s="32">
        <v>0</v>
      </c>
      <c r="Y78" s="32">
        <v>0</v>
      </c>
      <c r="Z78" s="32">
        <v>0</v>
      </c>
      <c r="AA78" s="32">
        <v>0</v>
      </c>
      <c r="AB78" s="32">
        <v>0</v>
      </c>
      <c r="AC78" s="32">
        <v>0</v>
      </c>
      <c r="AD78" s="32">
        <v>0</v>
      </c>
      <c r="AE78" s="33">
        <v>0</v>
      </c>
    </row>
    <row r="82" spans="3:31" ht="15" thickBot="1" x14ac:dyDescent="0.35">
      <c r="F82" s="53">
        <v>2010</v>
      </c>
      <c r="G82" s="53">
        <v>2011</v>
      </c>
      <c r="H82" s="53">
        <v>2012</v>
      </c>
      <c r="I82" s="53">
        <v>2013</v>
      </c>
      <c r="J82" s="53">
        <v>2014</v>
      </c>
      <c r="K82" s="53">
        <v>2015</v>
      </c>
      <c r="L82" s="53">
        <v>2016</v>
      </c>
      <c r="M82" s="53">
        <v>2017</v>
      </c>
      <c r="N82" s="53">
        <v>2018</v>
      </c>
      <c r="O82" s="53">
        <v>2019</v>
      </c>
      <c r="P82" s="53">
        <v>2020</v>
      </c>
      <c r="Q82" s="53">
        <v>2021</v>
      </c>
      <c r="R82" s="53">
        <v>2022</v>
      </c>
      <c r="S82" s="150">
        <v>2023</v>
      </c>
      <c r="T82" s="150">
        <v>2024</v>
      </c>
      <c r="U82" s="150">
        <v>2025</v>
      </c>
      <c r="V82" s="150">
        <v>2026</v>
      </c>
      <c r="W82" s="150">
        <v>2027</v>
      </c>
      <c r="X82" s="150">
        <v>2028</v>
      </c>
      <c r="Y82" s="150">
        <v>2029</v>
      </c>
      <c r="Z82" s="150">
        <v>2030</v>
      </c>
      <c r="AA82" s="150">
        <v>2031</v>
      </c>
      <c r="AB82" s="150">
        <v>2032</v>
      </c>
      <c r="AC82" s="150">
        <v>2033</v>
      </c>
      <c r="AD82" s="150">
        <v>2034</v>
      </c>
      <c r="AE82" s="150">
        <v>2035</v>
      </c>
    </row>
    <row r="83" spans="3:31" ht="15" thickBot="1" x14ac:dyDescent="0.35">
      <c r="C83" s="1" t="s">
        <v>153</v>
      </c>
      <c r="D83" t="s">
        <v>208</v>
      </c>
      <c r="E83" s="29" t="s">
        <v>209</v>
      </c>
      <c r="F83" s="18">
        <f>F56</f>
        <v>8.5999999999999993E-2</v>
      </c>
      <c r="G83" s="19">
        <f t="shared" ref="G83:Q83" si="45">G56</f>
        <v>8.7400000000000005E-2</v>
      </c>
      <c r="H83" s="19">
        <f t="shared" si="45"/>
        <v>8.7999999999999995E-2</v>
      </c>
      <c r="I83" s="19">
        <f t="shared" si="45"/>
        <v>8.9599999999999999E-2</v>
      </c>
      <c r="J83" s="19">
        <f t="shared" si="45"/>
        <v>9.1200000000000003E-2</v>
      </c>
      <c r="K83" s="19">
        <f t="shared" si="45"/>
        <v>9.0300000000000005E-2</v>
      </c>
      <c r="L83" s="19">
        <f t="shared" si="45"/>
        <v>8.9399999999999993E-2</v>
      </c>
      <c r="M83" s="19">
        <f t="shared" si="45"/>
        <v>8.9599999999999999E-2</v>
      </c>
      <c r="N83" s="19">
        <f t="shared" si="45"/>
        <v>8.9700000000000002E-2</v>
      </c>
      <c r="O83" s="19">
        <f t="shared" si="45"/>
        <v>9.3600000000000003E-2</v>
      </c>
      <c r="P83" s="19">
        <f t="shared" si="45"/>
        <v>9.7600000000000006E-2</v>
      </c>
      <c r="Q83" s="19">
        <f t="shared" si="45"/>
        <v>9.7000000000000003E-2</v>
      </c>
      <c r="R83" s="19">
        <f>R56</f>
        <v>9.2499999999999999E-2</v>
      </c>
      <c r="S83" s="44">
        <f>Act_T_Aguas!S13</f>
        <v>9.98E-2</v>
      </c>
      <c r="T83" s="42">
        <f>Act_T_Aguas!T13</f>
        <v>0.1072</v>
      </c>
      <c r="U83" s="42">
        <f>Act_T_Aguas!U13</f>
        <v>0.10680000000000001</v>
      </c>
      <c r="V83" s="42">
        <f>Act_T_Aguas!V13</f>
        <v>0.111</v>
      </c>
      <c r="W83" s="42">
        <f>Act_T_Aguas!W13</f>
        <v>0.13020000000000001</v>
      </c>
      <c r="X83" s="42">
        <f>Act_T_Aguas!X13</f>
        <v>0.13830000000000001</v>
      </c>
      <c r="Y83" s="42">
        <f>Act_T_Aguas!Y13</f>
        <v>0.1464</v>
      </c>
      <c r="Z83" s="42">
        <f>Act_T_Aguas!Z13</f>
        <v>0.1545</v>
      </c>
      <c r="AA83" s="42">
        <f>Act_T_Aguas!AA13</f>
        <v>0.1628</v>
      </c>
      <c r="AB83" s="42">
        <f>Act_T_Aguas!AB13</f>
        <v>0.17130000000000001</v>
      </c>
      <c r="AC83" s="42">
        <f>Act_T_Aguas!AC13</f>
        <v>0.17979999999999999</v>
      </c>
      <c r="AD83" s="42">
        <f>Act_T_Aguas!AD13</f>
        <v>0.1885</v>
      </c>
      <c r="AE83" s="43">
        <f>Act_T_Aguas!AE13</f>
        <v>0.19719999999999999</v>
      </c>
    </row>
    <row r="84" spans="3:31" x14ac:dyDescent="0.3">
      <c r="E84" s="18" t="s">
        <v>210</v>
      </c>
      <c r="F84" s="44">
        <f>F57</f>
        <v>2.0821000000000001</v>
      </c>
      <c r="G84" s="42">
        <f t="shared" ref="G84:R84" si="46">G57</f>
        <v>2.0821000000000001</v>
      </c>
      <c r="H84" s="42">
        <f t="shared" si="46"/>
        <v>2.0821000000000001</v>
      </c>
      <c r="I84" s="42">
        <f t="shared" si="46"/>
        <v>2.0821000000000001</v>
      </c>
      <c r="J84" s="42">
        <f t="shared" si="46"/>
        <v>2.0821000000000001</v>
      </c>
      <c r="K84" s="42">
        <f t="shared" si="46"/>
        <v>2.0821000000000001</v>
      </c>
      <c r="L84" s="42">
        <f t="shared" si="46"/>
        <v>2.0821000000000001</v>
      </c>
      <c r="M84" s="42">
        <f t="shared" si="46"/>
        <v>2.0821000000000001</v>
      </c>
      <c r="N84" s="42">
        <f t="shared" si="46"/>
        <v>2.0821000000000001</v>
      </c>
      <c r="O84" s="42">
        <f t="shared" si="46"/>
        <v>2.0821000000000001</v>
      </c>
      <c r="P84" s="42">
        <f t="shared" si="46"/>
        <v>2.0821000000000001</v>
      </c>
      <c r="Q84" s="42">
        <f t="shared" si="46"/>
        <v>2.0821000000000001</v>
      </c>
      <c r="R84" s="42">
        <f t="shared" si="46"/>
        <v>2.0821000000000001</v>
      </c>
      <c r="S84" s="44">
        <f>ROUND(S87*$R$21,4)</f>
        <v>2.0935000000000001</v>
      </c>
      <c r="T84" s="42">
        <f t="shared" ref="T84:AE84" si="47">ROUND(T87*$R$21,4)</f>
        <v>2.0935000000000001</v>
      </c>
      <c r="U84" s="42">
        <f t="shared" si="47"/>
        <v>2.0935000000000001</v>
      </c>
      <c r="V84" s="42">
        <f t="shared" si="47"/>
        <v>2.0935000000000001</v>
      </c>
      <c r="W84" s="42">
        <f t="shared" si="47"/>
        <v>2.0935000000000001</v>
      </c>
      <c r="X84" s="42">
        <f t="shared" si="47"/>
        <v>2.0935000000000001</v>
      </c>
      <c r="Y84" s="42">
        <f t="shared" si="47"/>
        <v>2.0935000000000001</v>
      </c>
      <c r="Z84" s="42">
        <f t="shared" si="47"/>
        <v>2.0935000000000001</v>
      </c>
      <c r="AA84" s="42">
        <f t="shared" si="47"/>
        <v>2.0935000000000001</v>
      </c>
      <c r="AB84" s="42">
        <f t="shared" si="47"/>
        <v>2.0935000000000001</v>
      </c>
      <c r="AC84" s="42">
        <f t="shared" si="47"/>
        <v>2.0935000000000001</v>
      </c>
      <c r="AD84" s="42">
        <f t="shared" si="47"/>
        <v>2.0935000000000001</v>
      </c>
      <c r="AE84" s="43">
        <f t="shared" si="47"/>
        <v>2.0935000000000001</v>
      </c>
    </row>
    <row r="85" spans="3:31" x14ac:dyDescent="0.3">
      <c r="E85" s="22" t="s">
        <v>218</v>
      </c>
      <c r="F85" s="45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45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13">
        <v>0</v>
      </c>
      <c r="AC85" s="13">
        <v>0</v>
      </c>
      <c r="AD85" s="13">
        <v>0</v>
      </c>
      <c r="AE85" s="34">
        <v>0</v>
      </c>
    </row>
    <row r="86" spans="3:31" x14ac:dyDescent="0.3">
      <c r="E86" s="22" t="s">
        <v>219</v>
      </c>
      <c r="F86" s="45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0</v>
      </c>
      <c r="Q86" s="13">
        <v>0</v>
      </c>
      <c r="R86" s="13">
        <v>0</v>
      </c>
      <c r="S86" s="45">
        <v>0</v>
      </c>
      <c r="T86" s="13">
        <v>0</v>
      </c>
      <c r="U86" s="13">
        <v>0</v>
      </c>
      <c r="V86" s="13">
        <v>0</v>
      </c>
      <c r="W86" s="13">
        <v>0</v>
      </c>
      <c r="X86" s="13">
        <v>0</v>
      </c>
      <c r="Y86" s="13">
        <v>0</v>
      </c>
      <c r="Z86" s="13">
        <v>0</v>
      </c>
      <c r="AA86" s="13">
        <v>0</v>
      </c>
      <c r="AB86" s="13">
        <v>0</v>
      </c>
      <c r="AC86" s="13">
        <v>0</v>
      </c>
      <c r="AD86" s="13">
        <v>0</v>
      </c>
      <c r="AE86" s="34">
        <v>0</v>
      </c>
    </row>
    <row r="87" spans="3:31" ht="15" thickBot="1" x14ac:dyDescent="0.35">
      <c r="E87" s="25" t="s">
        <v>220</v>
      </c>
      <c r="F87" s="46">
        <f>ROUND(F33,4)</f>
        <v>7.9000000000000008E-3</v>
      </c>
      <c r="G87" s="32">
        <f t="shared" ref="G87:R87" si="48">ROUND(G33,4)</f>
        <v>7.9000000000000008E-3</v>
      </c>
      <c r="H87" s="32">
        <f t="shared" si="48"/>
        <v>7.9000000000000008E-3</v>
      </c>
      <c r="I87" s="32">
        <f t="shared" si="48"/>
        <v>7.9000000000000008E-3</v>
      </c>
      <c r="J87" s="32">
        <f t="shared" si="48"/>
        <v>7.9000000000000008E-3</v>
      </c>
      <c r="K87" s="32">
        <f t="shared" si="48"/>
        <v>7.9000000000000008E-3</v>
      </c>
      <c r="L87" s="32">
        <f t="shared" si="48"/>
        <v>7.9000000000000008E-3</v>
      </c>
      <c r="M87" s="32">
        <f t="shared" si="48"/>
        <v>7.9000000000000008E-3</v>
      </c>
      <c r="N87" s="32">
        <f t="shared" si="48"/>
        <v>7.9000000000000008E-3</v>
      </c>
      <c r="O87" s="32">
        <f t="shared" si="48"/>
        <v>7.9000000000000008E-3</v>
      </c>
      <c r="P87" s="32">
        <f t="shared" si="48"/>
        <v>7.9000000000000008E-3</v>
      </c>
      <c r="Q87" s="32">
        <f t="shared" si="48"/>
        <v>7.9000000000000008E-3</v>
      </c>
      <c r="R87" s="32">
        <f t="shared" si="48"/>
        <v>7.9000000000000008E-3</v>
      </c>
      <c r="S87" s="46">
        <f>R87</f>
        <v>7.9000000000000008E-3</v>
      </c>
      <c r="T87" s="32">
        <f t="shared" ref="T87:AD87" si="49">S87</f>
        <v>7.9000000000000008E-3</v>
      </c>
      <c r="U87" s="32">
        <f t="shared" si="49"/>
        <v>7.9000000000000008E-3</v>
      </c>
      <c r="V87" s="32">
        <f t="shared" si="49"/>
        <v>7.9000000000000008E-3</v>
      </c>
      <c r="W87" s="32">
        <f t="shared" si="49"/>
        <v>7.9000000000000008E-3</v>
      </c>
      <c r="X87" s="32">
        <f t="shared" si="49"/>
        <v>7.9000000000000008E-3</v>
      </c>
      <c r="Y87" s="32">
        <f t="shared" si="49"/>
        <v>7.9000000000000008E-3</v>
      </c>
      <c r="Z87" s="32">
        <f t="shared" si="49"/>
        <v>7.9000000000000008E-3</v>
      </c>
      <c r="AA87" s="32">
        <f t="shared" si="49"/>
        <v>7.9000000000000008E-3</v>
      </c>
      <c r="AB87" s="32">
        <f t="shared" si="49"/>
        <v>7.9000000000000008E-3</v>
      </c>
      <c r="AC87" s="32">
        <f t="shared" si="49"/>
        <v>7.9000000000000008E-3</v>
      </c>
      <c r="AD87" s="32">
        <f t="shared" si="49"/>
        <v>7.9000000000000008E-3</v>
      </c>
      <c r="AE87" s="33">
        <f>AD87</f>
        <v>7.9000000000000008E-3</v>
      </c>
    </row>
    <row r="88" spans="3:31" x14ac:dyDescent="0.3">
      <c r="E88" s="18" t="s">
        <v>149</v>
      </c>
      <c r="F88" s="45">
        <f t="shared" ref="F88:R88" si="50">F83*F84</f>
        <v>0.17906059999999999</v>
      </c>
      <c r="G88" s="13">
        <f t="shared" si="50"/>
        <v>0.18197554000000002</v>
      </c>
      <c r="H88" s="13">
        <f t="shared" si="50"/>
        <v>0.18322479999999999</v>
      </c>
      <c r="I88" s="13">
        <f t="shared" si="50"/>
        <v>0.18655616</v>
      </c>
      <c r="J88" s="13">
        <f t="shared" si="50"/>
        <v>0.18988752</v>
      </c>
      <c r="K88" s="13">
        <f t="shared" si="50"/>
        <v>0.18801363000000001</v>
      </c>
      <c r="L88" s="13">
        <f t="shared" si="50"/>
        <v>0.18613974</v>
      </c>
      <c r="M88" s="13">
        <f t="shared" si="50"/>
        <v>0.18655616</v>
      </c>
      <c r="N88" s="13">
        <f t="shared" si="50"/>
        <v>0.18676437000000001</v>
      </c>
      <c r="O88" s="13">
        <f t="shared" si="50"/>
        <v>0.19488456000000001</v>
      </c>
      <c r="P88" s="13">
        <f t="shared" si="50"/>
        <v>0.20321296000000003</v>
      </c>
      <c r="Q88" s="13">
        <f t="shared" si="50"/>
        <v>0.20196370000000002</v>
      </c>
      <c r="R88" s="13">
        <f t="shared" si="50"/>
        <v>0.19259424999999999</v>
      </c>
      <c r="S88" s="44">
        <f>S83*S84</f>
        <v>0.20893130000000001</v>
      </c>
      <c r="T88" s="42">
        <f t="shared" ref="T88:AE88" si="51">T83*T84</f>
        <v>0.22442320000000002</v>
      </c>
      <c r="U88" s="42">
        <f t="shared" si="51"/>
        <v>0.22358580000000003</v>
      </c>
      <c r="V88" s="42">
        <f t="shared" si="51"/>
        <v>0.23237850000000002</v>
      </c>
      <c r="W88" s="42">
        <f t="shared" si="51"/>
        <v>0.27257370000000003</v>
      </c>
      <c r="X88" s="42">
        <f t="shared" si="51"/>
        <v>0.28953105000000001</v>
      </c>
      <c r="Y88" s="42">
        <f t="shared" si="51"/>
        <v>0.30648840000000005</v>
      </c>
      <c r="Z88" s="42">
        <f t="shared" si="51"/>
        <v>0.32344575000000003</v>
      </c>
      <c r="AA88" s="42">
        <f t="shared" si="51"/>
        <v>0.34082180000000001</v>
      </c>
      <c r="AB88" s="42">
        <f t="shared" si="51"/>
        <v>0.35861655000000003</v>
      </c>
      <c r="AC88" s="42">
        <f t="shared" si="51"/>
        <v>0.3764113</v>
      </c>
      <c r="AD88" s="42">
        <f t="shared" si="51"/>
        <v>0.39462475000000002</v>
      </c>
      <c r="AE88" s="43">
        <f t="shared" si="51"/>
        <v>0.41283819999999999</v>
      </c>
    </row>
    <row r="89" spans="3:31" x14ac:dyDescent="0.3">
      <c r="E89" s="22" t="s">
        <v>157</v>
      </c>
      <c r="F89" s="45">
        <f t="shared" ref="F89:R89" si="52">F83*F85</f>
        <v>0</v>
      </c>
      <c r="G89" s="13">
        <f t="shared" si="52"/>
        <v>0</v>
      </c>
      <c r="H89" s="13">
        <f t="shared" si="52"/>
        <v>0</v>
      </c>
      <c r="I89" s="13">
        <f t="shared" si="52"/>
        <v>0</v>
      </c>
      <c r="J89" s="13">
        <f t="shared" si="52"/>
        <v>0</v>
      </c>
      <c r="K89" s="13">
        <f t="shared" si="52"/>
        <v>0</v>
      </c>
      <c r="L89" s="13">
        <f t="shared" si="52"/>
        <v>0</v>
      </c>
      <c r="M89" s="13">
        <f t="shared" si="52"/>
        <v>0</v>
      </c>
      <c r="N89" s="13">
        <f t="shared" si="52"/>
        <v>0</v>
      </c>
      <c r="O89" s="13">
        <f t="shared" si="52"/>
        <v>0</v>
      </c>
      <c r="P89" s="13">
        <f t="shared" si="52"/>
        <v>0</v>
      </c>
      <c r="Q89" s="13">
        <f t="shared" si="52"/>
        <v>0</v>
      </c>
      <c r="R89" s="13">
        <f t="shared" si="52"/>
        <v>0</v>
      </c>
      <c r="S89" s="45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0</v>
      </c>
      <c r="AA89" s="13">
        <v>0</v>
      </c>
      <c r="AB89" s="13">
        <v>0</v>
      </c>
      <c r="AC89" s="13">
        <v>0</v>
      </c>
      <c r="AD89" s="13">
        <v>0</v>
      </c>
      <c r="AE89" s="34">
        <v>0</v>
      </c>
    </row>
    <row r="90" spans="3:31" x14ac:dyDescent="0.3">
      <c r="E90" s="22" t="s">
        <v>158</v>
      </c>
      <c r="F90" s="45">
        <f t="shared" ref="F90:R90" si="53">F83*F86</f>
        <v>0</v>
      </c>
      <c r="G90" s="13">
        <f t="shared" si="53"/>
        <v>0</v>
      </c>
      <c r="H90" s="13">
        <f t="shared" si="53"/>
        <v>0</v>
      </c>
      <c r="I90" s="13">
        <f t="shared" si="53"/>
        <v>0</v>
      </c>
      <c r="J90" s="13">
        <f t="shared" si="53"/>
        <v>0</v>
      </c>
      <c r="K90" s="13">
        <f t="shared" si="53"/>
        <v>0</v>
      </c>
      <c r="L90" s="13">
        <f t="shared" si="53"/>
        <v>0</v>
      </c>
      <c r="M90" s="13">
        <f t="shared" si="53"/>
        <v>0</v>
      </c>
      <c r="N90" s="13">
        <f t="shared" si="53"/>
        <v>0</v>
      </c>
      <c r="O90" s="13">
        <f t="shared" si="53"/>
        <v>0</v>
      </c>
      <c r="P90" s="13">
        <f t="shared" si="53"/>
        <v>0</v>
      </c>
      <c r="Q90" s="13">
        <f t="shared" si="53"/>
        <v>0</v>
      </c>
      <c r="R90" s="13">
        <f t="shared" si="53"/>
        <v>0</v>
      </c>
      <c r="S90" s="45">
        <f>S83*S86</f>
        <v>0</v>
      </c>
      <c r="T90" s="13">
        <f t="shared" ref="T90:AE90" si="54">T83*T86</f>
        <v>0</v>
      </c>
      <c r="U90" s="13">
        <f t="shared" si="54"/>
        <v>0</v>
      </c>
      <c r="V90" s="13">
        <f t="shared" si="54"/>
        <v>0</v>
      </c>
      <c r="W90" s="13">
        <f t="shared" si="54"/>
        <v>0</v>
      </c>
      <c r="X90" s="13">
        <f t="shared" si="54"/>
        <v>0</v>
      </c>
      <c r="Y90" s="13">
        <f t="shared" si="54"/>
        <v>0</v>
      </c>
      <c r="Z90" s="13">
        <f t="shared" si="54"/>
        <v>0</v>
      </c>
      <c r="AA90" s="13">
        <f t="shared" si="54"/>
        <v>0</v>
      </c>
      <c r="AB90" s="13">
        <f t="shared" si="54"/>
        <v>0</v>
      </c>
      <c r="AC90" s="13">
        <f t="shared" si="54"/>
        <v>0</v>
      </c>
      <c r="AD90" s="13">
        <f t="shared" si="54"/>
        <v>0</v>
      </c>
      <c r="AE90" s="34">
        <f t="shared" si="54"/>
        <v>0</v>
      </c>
    </row>
    <row r="91" spans="3:31" ht="15" thickBot="1" x14ac:dyDescent="0.35">
      <c r="E91" s="25" t="s">
        <v>159</v>
      </c>
      <c r="F91" s="46">
        <f t="shared" ref="F91:R91" si="55">F83*F87</f>
        <v>6.7940000000000003E-4</v>
      </c>
      <c r="G91" s="32">
        <f t="shared" si="55"/>
        <v>6.9046000000000016E-4</v>
      </c>
      <c r="H91" s="32">
        <f t="shared" si="55"/>
        <v>6.9519999999999998E-4</v>
      </c>
      <c r="I91" s="32">
        <f t="shared" si="55"/>
        <v>7.0784000000000005E-4</v>
      </c>
      <c r="J91" s="32">
        <f t="shared" si="55"/>
        <v>7.2048000000000012E-4</v>
      </c>
      <c r="K91" s="32">
        <f t="shared" si="55"/>
        <v>7.1337000000000006E-4</v>
      </c>
      <c r="L91" s="32">
        <f t="shared" si="55"/>
        <v>7.0626E-4</v>
      </c>
      <c r="M91" s="32">
        <f t="shared" si="55"/>
        <v>7.0784000000000005E-4</v>
      </c>
      <c r="N91" s="32">
        <f t="shared" si="55"/>
        <v>7.0863000000000013E-4</v>
      </c>
      <c r="O91" s="32">
        <f t="shared" si="55"/>
        <v>7.3944000000000006E-4</v>
      </c>
      <c r="P91" s="32">
        <f t="shared" si="55"/>
        <v>7.7104000000000007E-4</v>
      </c>
      <c r="Q91" s="32">
        <f t="shared" si="55"/>
        <v>7.6630000000000014E-4</v>
      </c>
      <c r="R91" s="32">
        <f t="shared" si="55"/>
        <v>7.3075000000000006E-4</v>
      </c>
      <c r="S91" s="46">
        <f>S83*S87</f>
        <v>7.8842000000000007E-4</v>
      </c>
      <c r="T91" s="32">
        <f t="shared" ref="T91:AE91" si="56">T83*T87</f>
        <v>8.4688000000000016E-4</v>
      </c>
      <c r="U91" s="32">
        <f t="shared" si="56"/>
        <v>8.4372000000000017E-4</v>
      </c>
      <c r="V91" s="32">
        <f t="shared" si="56"/>
        <v>8.7690000000000012E-4</v>
      </c>
      <c r="W91" s="32">
        <f t="shared" si="56"/>
        <v>1.0285800000000001E-3</v>
      </c>
      <c r="X91" s="32">
        <f t="shared" si="56"/>
        <v>1.0925700000000002E-3</v>
      </c>
      <c r="Y91" s="32">
        <f t="shared" si="56"/>
        <v>1.1565600000000001E-3</v>
      </c>
      <c r="Z91" s="32">
        <f t="shared" si="56"/>
        <v>1.2205500000000002E-3</v>
      </c>
      <c r="AA91" s="32">
        <f t="shared" si="56"/>
        <v>1.2861200000000002E-3</v>
      </c>
      <c r="AB91" s="32">
        <f t="shared" si="56"/>
        <v>1.3532700000000002E-3</v>
      </c>
      <c r="AC91" s="32">
        <f t="shared" si="56"/>
        <v>1.4204200000000001E-3</v>
      </c>
      <c r="AD91" s="32">
        <f t="shared" si="56"/>
        <v>1.4891500000000001E-3</v>
      </c>
      <c r="AE91" s="33">
        <f t="shared" si="56"/>
        <v>1.55788E-3</v>
      </c>
    </row>
    <row r="96" spans="3:31" x14ac:dyDescent="0.3">
      <c r="F96">
        <f>(G73-F73)/(F73)</f>
        <v>0.12288135593220338</v>
      </c>
      <c r="G96">
        <f t="shared" ref="G96:Q96" si="57">(H73-G73)/(G73)</f>
        <v>0.10943396226415093</v>
      </c>
      <c r="H96">
        <f t="shared" si="57"/>
        <v>-3.4013605442176666E-3</v>
      </c>
      <c r="I96">
        <f t="shared" si="57"/>
        <v>-6.8259385665528595E-3</v>
      </c>
      <c r="J96">
        <f t="shared" si="57"/>
        <v>0</v>
      </c>
      <c r="K96">
        <f t="shared" si="57"/>
        <v>0</v>
      </c>
      <c r="L96">
        <f t="shared" si="57"/>
        <v>6.8728522336769342E-3</v>
      </c>
      <c r="M96">
        <f t="shared" si="57"/>
        <v>3.4129692832764297E-3</v>
      </c>
      <c r="N96">
        <f t="shared" si="57"/>
        <v>-3.0612244897959117E-2</v>
      </c>
      <c r="O96">
        <f t="shared" si="57"/>
        <v>-3.1578947368421102E-2</v>
      </c>
      <c r="P96">
        <f t="shared" si="57"/>
        <v>2.5362318840579684E-2</v>
      </c>
      <c r="Q96">
        <f t="shared" si="57"/>
        <v>2.1201413427561832E-2</v>
      </c>
      <c r="R96" s="148"/>
    </row>
    <row r="98" spans="6:18" x14ac:dyDescent="0.3">
      <c r="Q98" t="s">
        <v>123</v>
      </c>
      <c r="R98">
        <f>AVERAGE(F96:Q96)</f>
        <v>1.8062198383691535E-2</v>
      </c>
    </row>
    <row r="103" spans="6:18" x14ac:dyDescent="0.3">
      <c r="F103">
        <f>(G87-F87)/(F87)</f>
        <v>0</v>
      </c>
      <c r="G103">
        <f t="shared" ref="G103:Q103" si="58">(H87-G87)/(G87)</f>
        <v>0</v>
      </c>
      <c r="H103">
        <f t="shared" si="58"/>
        <v>0</v>
      </c>
      <c r="I103">
        <f t="shared" si="58"/>
        <v>0</v>
      </c>
      <c r="J103">
        <f t="shared" si="58"/>
        <v>0</v>
      </c>
      <c r="K103">
        <f t="shared" si="58"/>
        <v>0</v>
      </c>
      <c r="L103">
        <f t="shared" si="58"/>
        <v>0</v>
      </c>
      <c r="M103">
        <f t="shared" si="58"/>
        <v>0</v>
      </c>
      <c r="N103">
        <f t="shared" si="58"/>
        <v>0</v>
      </c>
      <c r="O103">
        <f t="shared" si="58"/>
        <v>0</v>
      </c>
      <c r="P103">
        <f t="shared" si="58"/>
        <v>0</v>
      </c>
      <c r="Q103">
        <f t="shared" si="58"/>
        <v>0</v>
      </c>
      <c r="R103" s="148"/>
    </row>
    <row r="105" spans="6:18" x14ac:dyDescent="0.3">
      <c r="Q105" t="s">
        <v>123</v>
      </c>
      <c r="R105">
        <f>AVERAGE(F103:Q103)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4ABB7-DAB6-4748-B9F2-CC9014FBDEB8}">
  <sheetPr>
    <tabColor theme="8" tint="0.59999389629810485"/>
  </sheetPr>
  <dimension ref="D3:AE60"/>
  <sheetViews>
    <sheetView zoomScaleNormal="100" workbookViewId="0">
      <selection activeCell="E52" sqref="E52"/>
    </sheetView>
  </sheetViews>
  <sheetFormatPr defaultRowHeight="14.4" x14ac:dyDescent="0.3"/>
  <cols>
    <col min="4" max="4" width="34.88671875" bestFit="1" customWidth="1"/>
    <col min="5" max="5" width="38.44140625" customWidth="1"/>
    <col min="6" max="18" width="12" bestFit="1" customWidth="1"/>
  </cols>
  <sheetData>
    <row r="3" spans="4:18" x14ac:dyDescent="0.3">
      <c r="D3" t="s">
        <v>66</v>
      </c>
    </row>
    <row r="4" spans="4:18" x14ac:dyDescent="0.3">
      <c r="D4" t="s">
        <v>221</v>
      </c>
    </row>
    <row r="8" spans="4:18" x14ac:dyDescent="0.3">
      <c r="E8" s="3"/>
      <c r="F8" s="3">
        <v>2010</v>
      </c>
      <c r="G8" s="3">
        <v>2011</v>
      </c>
      <c r="H8" s="3">
        <v>2012</v>
      </c>
      <c r="I8" s="3">
        <v>2013</v>
      </c>
      <c r="J8" s="3">
        <v>2014</v>
      </c>
      <c r="K8" s="3">
        <v>2015</v>
      </c>
      <c r="L8" s="3">
        <v>2016</v>
      </c>
      <c r="M8" s="3">
        <v>2017</v>
      </c>
      <c r="N8" s="3">
        <v>2018</v>
      </c>
      <c r="O8" s="3">
        <v>2019</v>
      </c>
      <c r="P8" s="3">
        <v>2020</v>
      </c>
      <c r="Q8" s="3">
        <v>2021</v>
      </c>
      <c r="R8" s="3">
        <v>2022</v>
      </c>
    </row>
    <row r="9" spans="4:18" x14ac:dyDescent="0.3">
      <c r="E9" s="52" t="s">
        <v>222</v>
      </c>
      <c r="F9" s="3">
        <v>219.43939169313597</v>
      </c>
      <c r="G9" s="4"/>
      <c r="H9" s="3">
        <v>631.76723798851265</v>
      </c>
      <c r="I9" s="4"/>
      <c r="J9" s="3">
        <v>264.30920514097505</v>
      </c>
      <c r="K9" s="4"/>
      <c r="L9" s="3">
        <v>828.12724254844591</v>
      </c>
      <c r="M9" s="4"/>
      <c r="N9" s="3">
        <v>900.56503011342295</v>
      </c>
      <c r="O9" s="4"/>
      <c r="P9" s="3">
        <v>820.33365856023352</v>
      </c>
      <c r="Q9" s="3">
        <v>700.69913034885224</v>
      </c>
      <c r="R9" s="3">
        <v>850.37721868621963</v>
      </c>
    </row>
    <row r="10" spans="4:18" x14ac:dyDescent="0.3">
      <c r="E10" s="50" t="s">
        <v>223</v>
      </c>
      <c r="F10" s="3">
        <v>2.5000000000000001E-2</v>
      </c>
      <c r="G10" s="4"/>
      <c r="H10" s="3">
        <v>2.4999999999999998E-2</v>
      </c>
      <c r="I10" s="4"/>
      <c r="J10" s="3">
        <v>2.5000000000000005E-2</v>
      </c>
      <c r="K10" s="4"/>
      <c r="L10" s="3">
        <v>2.5000000000000001E-2</v>
      </c>
      <c r="M10" s="4"/>
      <c r="N10" s="3">
        <v>2.5000000000000001E-2</v>
      </c>
      <c r="O10" s="4"/>
      <c r="P10" s="3">
        <v>2.5000000000000005E-2</v>
      </c>
      <c r="Q10" s="3">
        <v>2.4999999999999998E-2</v>
      </c>
      <c r="R10" s="3">
        <v>2.5000000000000001E-2</v>
      </c>
    </row>
    <row r="11" spans="4:18" x14ac:dyDescent="0.3">
      <c r="E11" s="52" t="s">
        <v>142</v>
      </c>
      <c r="F11" s="3">
        <v>5.4859847923283995</v>
      </c>
      <c r="G11" s="4"/>
      <c r="H11" s="3">
        <v>15.794180949712816</v>
      </c>
      <c r="I11" s="4"/>
      <c r="J11" s="3">
        <v>6.6077301285243779</v>
      </c>
      <c r="K11" s="4"/>
      <c r="L11" s="3">
        <v>20.703181063711149</v>
      </c>
      <c r="M11" s="4"/>
      <c r="N11" s="3">
        <v>22.514125752835575</v>
      </c>
      <c r="O11" s="4"/>
      <c r="P11" s="3">
        <v>20.508341464005841</v>
      </c>
      <c r="Q11" s="3">
        <v>17.517478258721304</v>
      </c>
      <c r="R11" s="3">
        <v>21.259430467155493</v>
      </c>
    </row>
    <row r="12" spans="4:18" x14ac:dyDescent="0.3">
      <c r="E12" s="3" t="s">
        <v>143</v>
      </c>
      <c r="F12" s="3">
        <f t="shared" ref="F12:R12" si="0">F11*F17</f>
        <v>153.60757418519518</v>
      </c>
      <c r="G12" s="119">
        <f t="shared" si="0"/>
        <v>0</v>
      </c>
      <c r="H12" s="3">
        <f t="shared" si="0"/>
        <v>442.23706659195886</v>
      </c>
      <c r="I12" s="4">
        <f t="shared" si="0"/>
        <v>0</v>
      </c>
      <c r="J12" s="3">
        <f t="shared" si="0"/>
        <v>185.01644359868257</v>
      </c>
      <c r="K12" s="4">
        <f t="shared" si="0"/>
        <v>0</v>
      </c>
      <c r="L12" s="3">
        <f t="shared" si="0"/>
        <v>579.68906978391215</v>
      </c>
      <c r="M12" s="4">
        <f t="shared" si="0"/>
        <v>0</v>
      </c>
      <c r="N12" s="3">
        <f t="shared" si="0"/>
        <v>630.39552107939608</v>
      </c>
      <c r="O12" s="4">
        <f t="shared" si="0"/>
        <v>0</v>
      </c>
      <c r="P12" s="3">
        <f t="shared" si="0"/>
        <v>574.23356099216358</v>
      </c>
      <c r="Q12" s="3">
        <f t="shared" si="0"/>
        <v>490.48939124419655</v>
      </c>
      <c r="R12" s="3">
        <f t="shared" si="0"/>
        <v>595.26405308035385</v>
      </c>
    </row>
    <row r="16" spans="4:18" x14ac:dyDescent="0.3">
      <c r="E16" t="s">
        <v>95</v>
      </c>
    </row>
    <row r="17" spans="5:18" x14ac:dyDescent="0.3">
      <c r="E17" t="s">
        <v>96</v>
      </c>
      <c r="F17">
        <v>28</v>
      </c>
      <c r="G17">
        <v>28</v>
      </c>
      <c r="H17">
        <v>28</v>
      </c>
      <c r="I17">
        <v>28</v>
      </c>
      <c r="J17">
        <v>28</v>
      </c>
      <c r="K17">
        <v>28</v>
      </c>
      <c r="L17">
        <v>28</v>
      </c>
      <c r="M17">
        <v>28</v>
      </c>
      <c r="N17">
        <v>28</v>
      </c>
      <c r="O17">
        <v>28</v>
      </c>
      <c r="P17">
        <v>28</v>
      </c>
      <c r="Q17">
        <v>28</v>
      </c>
      <c r="R17">
        <v>28</v>
      </c>
    </row>
    <row r="19" spans="5:18" x14ac:dyDescent="0.3">
      <c r="E19" t="s">
        <v>144</v>
      </c>
    </row>
    <row r="20" spans="5:18" x14ac:dyDescent="0.3">
      <c r="E20" s="3" t="s">
        <v>66</v>
      </c>
      <c r="F20" s="7">
        <v>153.60757418519518</v>
      </c>
      <c r="G20" s="8">
        <v>297.92232038857702</v>
      </c>
      <c r="H20" s="7">
        <v>442.23706659195886</v>
      </c>
      <c r="I20" s="8">
        <v>313.62675509532068</v>
      </c>
      <c r="J20" s="7">
        <v>185.01644359868237</v>
      </c>
      <c r="K20" s="8">
        <v>382.35275669129732</v>
      </c>
      <c r="L20" s="7">
        <v>579.68906978391215</v>
      </c>
      <c r="M20" s="8">
        <v>605.04229543165411</v>
      </c>
      <c r="N20" s="7">
        <v>630.39552107939608</v>
      </c>
      <c r="O20" s="8">
        <v>602.31454103577983</v>
      </c>
      <c r="P20" s="7">
        <v>574.23356099216358</v>
      </c>
      <c r="Q20" s="7">
        <v>490.48939124419655</v>
      </c>
      <c r="R20" s="7">
        <v>595.26405308035385</v>
      </c>
    </row>
    <row r="22" spans="5:18" x14ac:dyDescent="0.3">
      <c r="E22" t="s">
        <v>101</v>
      </c>
    </row>
    <row r="23" spans="5:18" x14ac:dyDescent="0.3">
      <c r="E23" s="49" t="s">
        <v>141</v>
      </c>
      <c r="F23" s="3">
        <v>2.5000000000000001E-2</v>
      </c>
      <c r="G23" s="4">
        <v>2.5000000000000001E-2</v>
      </c>
      <c r="H23" s="3">
        <v>2.5000000000000001E-2</v>
      </c>
      <c r="I23" s="4">
        <v>2.5000000000000001E-2</v>
      </c>
      <c r="J23" s="3">
        <v>2.5000000000000001E-2</v>
      </c>
      <c r="K23" s="4">
        <v>2.5000000000000001E-2</v>
      </c>
      <c r="L23" s="3">
        <v>2.5000000000000001E-2</v>
      </c>
      <c r="M23" s="4">
        <v>2.5000000000000001E-2</v>
      </c>
      <c r="N23" s="3">
        <v>2.5000000000000001E-2</v>
      </c>
      <c r="O23" s="4">
        <v>2.5000000000000001E-2</v>
      </c>
      <c r="P23" s="3">
        <v>2.5000000000000001E-2</v>
      </c>
      <c r="Q23" s="3">
        <v>2.4999999999999998E-2</v>
      </c>
      <c r="R23" s="3">
        <v>2.5000000000000001E-2</v>
      </c>
    </row>
    <row r="25" spans="5:18" x14ac:dyDescent="0.3">
      <c r="E25" t="s">
        <v>102</v>
      </c>
    </row>
    <row r="26" spans="5:18" x14ac:dyDescent="0.3">
      <c r="E26" s="50" t="s">
        <v>222</v>
      </c>
      <c r="F26" s="3">
        <v>219.43939169313597</v>
      </c>
      <c r="G26" s="51">
        <f>G20/(G23*G17)</f>
        <v>425.60331484082428</v>
      </c>
      <c r="H26" s="3">
        <v>631.76723798851265</v>
      </c>
      <c r="I26" s="51">
        <f>I20/(I23*I17)</f>
        <v>448.03822156474376</v>
      </c>
      <c r="J26" s="3">
        <v>264.30920514097505</v>
      </c>
      <c r="K26" s="51">
        <f>K20/(K23*K17)</f>
        <v>546.21822384471045</v>
      </c>
      <c r="L26" s="3">
        <v>828.12724254844591</v>
      </c>
      <c r="M26" s="51">
        <f>M20/(M23*M17)</f>
        <v>864.34613633093431</v>
      </c>
      <c r="N26" s="3">
        <v>900.56503011342295</v>
      </c>
      <c r="O26" s="51">
        <f>O20/(O23*O17)</f>
        <v>860.44934433682829</v>
      </c>
      <c r="P26" s="3">
        <v>820.33365856023352</v>
      </c>
      <c r="Q26" s="3">
        <v>700.69913034885224</v>
      </c>
      <c r="R26" s="3">
        <v>850.37721868621963</v>
      </c>
    </row>
    <row r="31" spans="5:18" ht="15" thickBot="1" x14ac:dyDescent="0.35">
      <c r="F31" s="53">
        <v>2010</v>
      </c>
      <c r="G31" s="53">
        <v>2011</v>
      </c>
      <c r="H31" s="53">
        <v>2012</v>
      </c>
      <c r="I31" s="53">
        <v>2013</v>
      </c>
      <c r="J31" s="53">
        <v>2014</v>
      </c>
      <c r="K31" s="53">
        <v>2015</v>
      </c>
      <c r="L31" s="53">
        <v>2016</v>
      </c>
      <c r="M31" s="53">
        <v>2017</v>
      </c>
      <c r="N31" s="53">
        <v>2018</v>
      </c>
      <c r="O31" s="53">
        <v>2019</v>
      </c>
      <c r="P31" s="53">
        <v>2020</v>
      </c>
      <c r="Q31" s="53">
        <v>2021</v>
      </c>
      <c r="R31" s="53">
        <v>2022</v>
      </c>
    </row>
    <row r="32" spans="5:18" ht="15" thickBot="1" x14ac:dyDescent="0.35">
      <c r="E32" s="29" t="s">
        <v>204</v>
      </c>
      <c r="F32" s="18">
        <f>ROUND(F26/1000,4)</f>
        <v>0.21940000000000001</v>
      </c>
      <c r="G32" s="19">
        <f t="shared" ref="G32:R32" si="1">ROUND(G26/1000,4)</f>
        <v>0.42559999999999998</v>
      </c>
      <c r="H32" s="19">
        <f t="shared" si="1"/>
        <v>0.63180000000000003</v>
      </c>
      <c r="I32" s="19">
        <f t="shared" si="1"/>
        <v>0.44800000000000001</v>
      </c>
      <c r="J32" s="19">
        <f t="shared" si="1"/>
        <v>0.26429999999999998</v>
      </c>
      <c r="K32" s="19">
        <f t="shared" si="1"/>
        <v>0.54620000000000002</v>
      </c>
      <c r="L32" s="19">
        <f t="shared" si="1"/>
        <v>0.82809999999999995</v>
      </c>
      <c r="M32" s="19">
        <f t="shared" si="1"/>
        <v>0.86429999999999996</v>
      </c>
      <c r="N32" s="19">
        <f t="shared" si="1"/>
        <v>0.90059999999999996</v>
      </c>
      <c r="O32" s="19">
        <f t="shared" si="1"/>
        <v>0.86040000000000005</v>
      </c>
      <c r="P32" s="19">
        <f t="shared" si="1"/>
        <v>0.82030000000000003</v>
      </c>
      <c r="Q32" s="19">
        <f t="shared" si="1"/>
        <v>0.70069999999999999</v>
      </c>
      <c r="R32" s="21">
        <f t="shared" si="1"/>
        <v>0.85040000000000004</v>
      </c>
    </row>
    <row r="33" spans="4:31" x14ac:dyDescent="0.3">
      <c r="E33" s="18" t="s">
        <v>214</v>
      </c>
      <c r="F33" s="44">
        <f>ROUND(F20/F26,4)</f>
        <v>0.7</v>
      </c>
      <c r="G33" s="42">
        <f t="shared" ref="G33:R33" si="2">ROUND(G20/G26,4)</f>
        <v>0.7</v>
      </c>
      <c r="H33" s="42">
        <f t="shared" si="2"/>
        <v>0.7</v>
      </c>
      <c r="I33" s="42">
        <f t="shared" si="2"/>
        <v>0.7</v>
      </c>
      <c r="J33" s="42">
        <f t="shared" si="2"/>
        <v>0.7</v>
      </c>
      <c r="K33" s="42">
        <f t="shared" si="2"/>
        <v>0.7</v>
      </c>
      <c r="L33" s="42">
        <f t="shared" si="2"/>
        <v>0.7</v>
      </c>
      <c r="M33" s="42">
        <f t="shared" si="2"/>
        <v>0.7</v>
      </c>
      <c r="N33" s="42">
        <f t="shared" si="2"/>
        <v>0.7</v>
      </c>
      <c r="O33" s="42">
        <f t="shared" si="2"/>
        <v>0.7</v>
      </c>
      <c r="P33" s="42">
        <f t="shared" si="2"/>
        <v>0.7</v>
      </c>
      <c r="Q33" s="42">
        <f t="shared" si="2"/>
        <v>0.7</v>
      </c>
      <c r="R33" s="43">
        <f t="shared" si="2"/>
        <v>0.7</v>
      </c>
    </row>
    <row r="34" spans="4:31" x14ac:dyDescent="0.3">
      <c r="E34" s="22" t="s">
        <v>205</v>
      </c>
      <c r="F34" s="45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34">
        <v>0</v>
      </c>
    </row>
    <row r="35" spans="4:31" x14ac:dyDescent="0.3">
      <c r="E35" s="22" t="s">
        <v>206</v>
      </c>
      <c r="F35" s="45">
        <f>ROUND(F10*F17,4)</f>
        <v>0.7</v>
      </c>
      <c r="G35" s="13">
        <f>ROUND(G23*G17,4)</f>
        <v>0.7</v>
      </c>
      <c r="H35" s="13">
        <f>ROUND(H10*H17,4)</f>
        <v>0.7</v>
      </c>
      <c r="I35" s="13">
        <f>ROUND(I23*I17,4)</f>
        <v>0.7</v>
      </c>
      <c r="J35" s="13">
        <f>ROUND(J10*J17,4)</f>
        <v>0.7</v>
      </c>
      <c r="K35" s="13">
        <f>ROUND(K23*K17,4)</f>
        <v>0.7</v>
      </c>
      <c r="L35" s="13">
        <f>ROUND(L10*L17,4)</f>
        <v>0.7</v>
      </c>
      <c r="M35" s="13">
        <f>ROUND(M23*M17,4)</f>
        <v>0.7</v>
      </c>
      <c r="N35" s="13">
        <f>ROUND(N10*N17,4)</f>
        <v>0.7</v>
      </c>
      <c r="O35" s="13">
        <f>ROUND(O23*O17,4)</f>
        <v>0.7</v>
      </c>
      <c r="P35" s="13">
        <f>ROUND(P10*P17,4)</f>
        <v>0.7</v>
      </c>
      <c r="Q35" s="13">
        <f>ROUND(Q10*Q17,4)</f>
        <v>0.7</v>
      </c>
      <c r="R35" s="34">
        <f>ROUND(R10*R17,4)</f>
        <v>0.7</v>
      </c>
    </row>
    <row r="36" spans="4:31" ht="15" thickBot="1" x14ac:dyDescent="0.35">
      <c r="E36" s="25" t="s">
        <v>207</v>
      </c>
      <c r="F36" s="45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34">
        <v>0</v>
      </c>
    </row>
    <row r="37" spans="4:31" x14ac:dyDescent="0.3">
      <c r="E37" s="18" t="s">
        <v>149</v>
      </c>
      <c r="F37" s="18">
        <f>F32*F33</f>
        <v>0.15357999999999999</v>
      </c>
      <c r="G37" s="19">
        <f t="shared" ref="G37:R37" si="3">G32*G33</f>
        <v>0.29791999999999996</v>
      </c>
      <c r="H37" s="19">
        <f t="shared" si="3"/>
        <v>0.44225999999999999</v>
      </c>
      <c r="I37" s="19">
        <f t="shared" si="3"/>
        <v>0.31359999999999999</v>
      </c>
      <c r="J37" s="19">
        <f t="shared" si="3"/>
        <v>0.18500999999999998</v>
      </c>
      <c r="K37" s="19">
        <f t="shared" si="3"/>
        <v>0.38234000000000001</v>
      </c>
      <c r="L37" s="19">
        <f t="shared" si="3"/>
        <v>0.57966999999999991</v>
      </c>
      <c r="M37" s="19">
        <f t="shared" si="3"/>
        <v>0.60500999999999994</v>
      </c>
      <c r="N37" s="19">
        <f t="shared" si="3"/>
        <v>0.63041999999999998</v>
      </c>
      <c r="O37" s="19">
        <f t="shared" si="3"/>
        <v>0.60228000000000004</v>
      </c>
      <c r="P37" s="19">
        <f t="shared" si="3"/>
        <v>0.57421</v>
      </c>
      <c r="Q37" s="19">
        <f t="shared" si="3"/>
        <v>0.49048999999999998</v>
      </c>
      <c r="R37" s="21">
        <f t="shared" si="3"/>
        <v>0.59528000000000003</v>
      </c>
    </row>
    <row r="38" spans="4:31" x14ac:dyDescent="0.3">
      <c r="E38" s="22" t="s">
        <v>150</v>
      </c>
      <c r="F38" s="22">
        <f>F32*F34</f>
        <v>0</v>
      </c>
      <c r="G38">
        <f t="shared" ref="G38:R38" si="4">G32*G34</f>
        <v>0</v>
      </c>
      <c r="H38">
        <f t="shared" si="4"/>
        <v>0</v>
      </c>
      <c r="I38">
        <f t="shared" si="4"/>
        <v>0</v>
      </c>
      <c r="J38">
        <f t="shared" si="4"/>
        <v>0</v>
      </c>
      <c r="K38">
        <f t="shared" si="4"/>
        <v>0</v>
      </c>
      <c r="L38">
        <f t="shared" si="4"/>
        <v>0</v>
      </c>
      <c r="M38">
        <f t="shared" si="4"/>
        <v>0</v>
      </c>
      <c r="N38">
        <f t="shared" si="4"/>
        <v>0</v>
      </c>
      <c r="O38">
        <f t="shared" si="4"/>
        <v>0</v>
      </c>
      <c r="P38">
        <f t="shared" si="4"/>
        <v>0</v>
      </c>
      <c r="Q38">
        <f t="shared" si="4"/>
        <v>0</v>
      </c>
      <c r="R38" s="24">
        <f t="shared" si="4"/>
        <v>0</v>
      </c>
    </row>
    <row r="39" spans="4:31" x14ac:dyDescent="0.3">
      <c r="E39" s="22" t="s">
        <v>151</v>
      </c>
      <c r="F39" s="22">
        <f>F32*F35</f>
        <v>0.15357999999999999</v>
      </c>
      <c r="G39">
        <f t="shared" ref="G39:R39" si="5">G32*G35</f>
        <v>0.29791999999999996</v>
      </c>
      <c r="H39">
        <f t="shared" si="5"/>
        <v>0.44225999999999999</v>
      </c>
      <c r="I39">
        <f t="shared" si="5"/>
        <v>0.31359999999999999</v>
      </c>
      <c r="J39">
        <f t="shared" si="5"/>
        <v>0.18500999999999998</v>
      </c>
      <c r="K39">
        <f t="shared" si="5"/>
        <v>0.38234000000000001</v>
      </c>
      <c r="L39">
        <f t="shared" si="5"/>
        <v>0.57966999999999991</v>
      </c>
      <c r="M39">
        <f t="shared" si="5"/>
        <v>0.60500999999999994</v>
      </c>
      <c r="N39">
        <f t="shared" si="5"/>
        <v>0.63041999999999998</v>
      </c>
      <c r="O39">
        <f t="shared" si="5"/>
        <v>0.60228000000000004</v>
      </c>
      <c r="P39">
        <f t="shared" si="5"/>
        <v>0.57421</v>
      </c>
      <c r="Q39">
        <f t="shared" si="5"/>
        <v>0.49048999999999998</v>
      </c>
      <c r="R39" s="24">
        <f t="shared" si="5"/>
        <v>0.59528000000000003</v>
      </c>
    </row>
    <row r="40" spans="4:31" ht="15" thickBot="1" x14ac:dyDescent="0.35">
      <c r="E40" s="22" t="s">
        <v>152</v>
      </c>
      <c r="F40" s="25">
        <f>F32*F36</f>
        <v>0</v>
      </c>
      <c r="G40" s="26">
        <f t="shared" ref="G40:R40" si="6">G32*G36</f>
        <v>0</v>
      </c>
      <c r="H40" s="26">
        <f t="shared" si="6"/>
        <v>0</v>
      </c>
      <c r="I40" s="26">
        <f t="shared" si="6"/>
        <v>0</v>
      </c>
      <c r="J40" s="26">
        <f t="shared" si="6"/>
        <v>0</v>
      </c>
      <c r="K40" s="26">
        <f t="shared" si="6"/>
        <v>0</v>
      </c>
      <c r="L40" s="26">
        <f t="shared" si="6"/>
        <v>0</v>
      </c>
      <c r="M40" s="26">
        <f t="shared" si="6"/>
        <v>0</v>
      </c>
      <c r="N40" s="26">
        <f t="shared" si="6"/>
        <v>0</v>
      </c>
      <c r="O40" s="26">
        <f t="shared" si="6"/>
        <v>0</v>
      </c>
      <c r="P40" s="26">
        <f t="shared" si="6"/>
        <v>0</v>
      </c>
      <c r="Q40" s="26">
        <f t="shared" si="6"/>
        <v>0</v>
      </c>
      <c r="R40" s="28">
        <f t="shared" si="6"/>
        <v>0</v>
      </c>
    </row>
    <row r="41" spans="4:31" ht="15" thickBot="1" x14ac:dyDescent="0.35">
      <c r="E41" s="29" t="s">
        <v>115</v>
      </c>
      <c r="F41" s="47">
        <f>F37-F38-F39-F40</f>
        <v>0</v>
      </c>
      <c r="G41" s="35">
        <f t="shared" ref="G41:R41" si="7">G37-G38-G39-G40</f>
        <v>0</v>
      </c>
      <c r="H41" s="35">
        <f t="shared" si="7"/>
        <v>0</v>
      </c>
      <c r="I41" s="35">
        <f t="shared" si="7"/>
        <v>0</v>
      </c>
      <c r="J41" s="35">
        <f t="shared" si="7"/>
        <v>0</v>
      </c>
      <c r="K41" s="35">
        <f t="shared" si="7"/>
        <v>0</v>
      </c>
      <c r="L41" s="35">
        <f t="shared" si="7"/>
        <v>0</v>
      </c>
      <c r="M41" s="35">
        <f t="shared" si="7"/>
        <v>0</v>
      </c>
      <c r="N41" s="35">
        <f t="shared" si="7"/>
        <v>0</v>
      </c>
      <c r="O41" s="35">
        <f t="shared" si="7"/>
        <v>0</v>
      </c>
      <c r="P41" s="35">
        <f t="shared" si="7"/>
        <v>0</v>
      </c>
      <c r="Q41" s="35">
        <f t="shared" si="7"/>
        <v>0</v>
      </c>
      <c r="R41" s="36">
        <f t="shared" si="7"/>
        <v>0</v>
      </c>
    </row>
    <row r="45" spans="4:31" ht="15" thickBot="1" x14ac:dyDescent="0.35">
      <c r="D45" s="1" t="s">
        <v>153</v>
      </c>
      <c r="F45" s="53">
        <v>2010</v>
      </c>
      <c r="G45" s="53">
        <v>2011</v>
      </c>
      <c r="H45" s="53">
        <v>2012</v>
      </c>
      <c r="I45" s="53">
        <v>2013</v>
      </c>
      <c r="J45" s="53">
        <v>2014</v>
      </c>
      <c r="K45" s="53">
        <v>2015</v>
      </c>
      <c r="L45" s="53">
        <v>2016</v>
      </c>
      <c r="M45" s="53">
        <v>2017</v>
      </c>
      <c r="N45" s="53">
        <v>2018</v>
      </c>
      <c r="O45" s="53">
        <v>2019</v>
      </c>
      <c r="P45" s="53">
        <v>2020</v>
      </c>
      <c r="Q45" s="53">
        <v>2021</v>
      </c>
      <c r="R45" s="53">
        <v>2022</v>
      </c>
      <c r="S45" s="150">
        <v>2023</v>
      </c>
      <c r="T45" s="150">
        <v>2024</v>
      </c>
      <c r="U45" s="150">
        <v>2025</v>
      </c>
      <c r="V45" s="150">
        <v>2026</v>
      </c>
      <c r="W45" s="150">
        <v>2027</v>
      </c>
      <c r="X45" s="150">
        <v>2028</v>
      </c>
      <c r="Y45" s="150">
        <v>2029</v>
      </c>
      <c r="Z45" s="150">
        <v>2030</v>
      </c>
      <c r="AA45" s="150">
        <v>2031</v>
      </c>
      <c r="AB45" s="150">
        <v>2032</v>
      </c>
      <c r="AC45" s="150">
        <v>2033</v>
      </c>
      <c r="AD45" s="150">
        <v>2034</v>
      </c>
      <c r="AE45" s="150">
        <v>2035</v>
      </c>
    </row>
    <row r="46" spans="4:31" ht="15" thickBot="1" x14ac:dyDescent="0.35">
      <c r="E46" s="29" t="s">
        <v>204</v>
      </c>
      <c r="F46" s="29">
        <f>F32</f>
        <v>0.21940000000000001</v>
      </c>
      <c r="G46" s="30">
        <f t="shared" ref="G46:R46" si="8">G32</f>
        <v>0.42559999999999998</v>
      </c>
      <c r="H46" s="30">
        <f t="shared" si="8"/>
        <v>0.63180000000000003</v>
      </c>
      <c r="I46" s="30">
        <f t="shared" si="8"/>
        <v>0.44800000000000001</v>
      </c>
      <c r="J46" s="30">
        <f t="shared" si="8"/>
        <v>0.26429999999999998</v>
      </c>
      <c r="K46" s="30">
        <f t="shared" si="8"/>
        <v>0.54620000000000002</v>
      </c>
      <c r="L46" s="30">
        <f t="shared" si="8"/>
        <v>0.82809999999999995</v>
      </c>
      <c r="M46" s="30">
        <f t="shared" si="8"/>
        <v>0.86429999999999996</v>
      </c>
      <c r="N46" s="30">
        <f t="shared" si="8"/>
        <v>0.90059999999999996</v>
      </c>
      <c r="O46" s="30">
        <f t="shared" si="8"/>
        <v>0.86040000000000005</v>
      </c>
      <c r="P46" s="30">
        <f t="shared" si="8"/>
        <v>0.82030000000000003</v>
      </c>
      <c r="Q46" s="30">
        <f t="shared" si="8"/>
        <v>0.70069999999999999</v>
      </c>
      <c r="R46" s="30">
        <f t="shared" si="8"/>
        <v>0.85040000000000004</v>
      </c>
      <c r="S46" s="44">
        <f>Act_T_Aguas!S14</f>
        <v>0.91710000000000003</v>
      </c>
      <c r="T46" s="42">
        <f>Act_T_Aguas!T14</f>
        <v>0.98580000000000001</v>
      </c>
      <c r="U46" s="42">
        <f>Act_T_Aguas!U14</f>
        <v>0.98199999999999998</v>
      </c>
      <c r="V46" s="42">
        <f>Act_T_Aguas!V14</f>
        <v>1.0201</v>
      </c>
      <c r="W46" s="42">
        <f>Act_T_Aguas!W14</f>
        <v>1.1974</v>
      </c>
      <c r="X46" s="42">
        <f>Act_T_Aguas!X14</f>
        <v>1.2718</v>
      </c>
      <c r="Y46" s="42">
        <f>Act_T_Aguas!Y14</f>
        <v>1.3461000000000001</v>
      </c>
      <c r="Z46" s="42">
        <f>Act_T_Aguas!Z14</f>
        <v>1.4205000000000001</v>
      </c>
      <c r="AA46" s="42">
        <f>Act_T_Aguas!AA14</f>
        <v>1.4967999999999999</v>
      </c>
      <c r="AB46" s="42">
        <f>Act_T_Aguas!AB14</f>
        <v>1.575</v>
      </c>
      <c r="AC46" s="42">
        <f>Act_T_Aguas!AC14</f>
        <v>1.6531</v>
      </c>
      <c r="AD46" s="42">
        <f>Act_T_Aguas!AD14</f>
        <v>1.7332000000000001</v>
      </c>
      <c r="AE46" s="43">
        <f>Act_T_Aguas!AE14</f>
        <v>1.8132999999999999</v>
      </c>
    </row>
    <row r="47" spans="4:31" x14ac:dyDescent="0.3">
      <c r="E47" s="18" t="s">
        <v>214</v>
      </c>
      <c r="F47" s="45">
        <f>F33</f>
        <v>0.7</v>
      </c>
      <c r="G47" s="13">
        <f t="shared" ref="G47:R47" si="9">G33</f>
        <v>0.7</v>
      </c>
      <c r="H47" s="13">
        <f t="shared" si="9"/>
        <v>0.7</v>
      </c>
      <c r="I47" s="13">
        <f t="shared" si="9"/>
        <v>0.7</v>
      </c>
      <c r="J47" s="13">
        <f t="shared" si="9"/>
        <v>0.7</v>
      </c>
      <c r="K47" s="13">
        <f t="shared" si="9"/>
        <v>0.7</v>
      </c>
      <c r="L47" s="13">
        <f t="shared" si="9"/>
        <v>0.7</v>
      </c>
      <c r="M47" s="13">
        <f t="shared" si="9"/>
        <v>0.7</v>
      </c>
      <c r="N47" s="13">
        <f t="shared" si="9"/>
        <v>0.7</v>
      </c>
      <c r="O47" s="13">
        <f t="shared" si="9"/>
        <v>0.7</v>
      </c>
      <c r="P47" s="13">
        <f t="shared" si="9"/>
        <v>0.7</v>
      </c>
      <c r="Q47" s="13">
        <f t="shared" si="9"/>
        <v>0.7</v>
      </c>
      <c r="R47" s="13">
        <f t="shared" si="9"/>
        <v>0.7</v>
      </c>
      <c r="S47" s="44">
        <f>ROUND(S49*$R$17,4)</f>
        <v>0.7</v>
      </c>
      <c r="T47" s="42">
        <f t="shared" ref="T47:AE47" si="10">ROUND(T49*$R$17,4)</f>
        <v>0.7</v>
      </c>
      <c r="U47" s="42">
        <f t="shared" si="10"/>
        <v>0.7</v>
      </c>
      <c r="V47" s="42">
        <f t="shared" si="10"/>
        <v>0.7</v>
      </c>
      <c r="W47" s="42">
        <f t="shared" si="10"/>
        <v>0.7</v>
      </c>
      <c r="X47" s="42">
        <f t="shared" si="10"/>
        <v>0.7</v>
      </c>
      <c r="Y47" s="42">
        <f t="shared" si="10"/>
        <v>0.7</v>
      </c>
      <c r="Z47" s="42">
        <f t="shared" si="10"/>
        <v>0.7</v>
      </c>
      <c r="AA47" s="42">
        <f t="shared" si="10"/>
        <v>0.7</v>
      </c>
      <c r="AB47" s="42">
        <f t="shared" si="10"/>
        <v>0.7</v>
      </c>
      <c r="AC47" s="42">
        <f t="shared" si="10"/>
        <v>0.7</v>
      </c>
      <c r="AD47" s="42">
        <f t="shared" si="10"/>
        <v>0.7</v>
      </c>
      <c r="AE47" s="43">
        <f t="shared" si="10"/>
        <v>0.7</v>
      </c>
    </row>
    <row r="48" spans="4:31" x14ac:dyDescent="0.3">
      <c r="E48" s="22" t="s">
        <v>215</v>
      </c>
      <c r="F48" s="45">
        <f>F34</f>
        <v>0</v>
      </c>
      <c r="G48" s="13">
        <f t="shared" ref="G48:R48" si="11">G34</f>
        <v>0</v>
      </c>
      <c r="H48" s="13">
        <f t="shared" si="11"/>
        <v>0</v>
      </c>
      <c r="I48" s="13">
        <f t="shared" si="11"/>
        <v>0</v>
      </c>
      <c r="J48" s="13">
        <f t="shared" si="11"/>
        <v>0</v>
      </c>
      <c r="K48" s="13">
        <f t="shared" si="11"/>
        <v>0</v>
      </c>
      <c r="L48" s="13">
        <f t="shared" si="11"/>
        <v>0</v>
      </c>
      <c r="M48" s="13">
        <f t="shared" si="11"/>
        <v>0</v>
      </c>
      <c r="N48" s="13">
        <f t="shared" si="11"/>
        <v>0</v>
      </c>
      <c r="O48" s="13">
        <f t="shared" si="11"/>
        <v>0</v>
      </c>
      <c r="P48" s="13">
        <f t="shared" si="11"/>
        <v>0</v>
      </c>
      <c r="Q48" s="13">
        <f t="shared" si="11"/>
        <v>0</v>
      </c>
      <c r="R48" s="13">
        <f t="shared" si="11"/>
        <v>0</v>
      </c>
      <c r="S48" s="45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34">
        <v>0</v>
      </c>
    </row>
    <row r="49" spans="5:31" x14ac:dyDescent="0.3">
      <c r="E49" s="22" t="s">
        <v>216</v>
      </c>
      <c r="F49" s="45">
        <f>ROUND(F10,4)</f>
        <v>2.5000000000000001E-2</v>
      </c>
      <c r="G49" s="13">
        <f>ROUND(G23,4)</f>
        <v>2.5000000000000001E-2</v>
      </c>
      <c r="H49" s="13">
        <f t="shared" ref="H49:R49" si="12">ROUND(H10,4)</f>
        <v>2.5000000000000001E-2</v>
      </c>
      <c r="I49" s="13">
        <f>ROUND(I23,4)</f>
        <v>2.5000000000000001E-2</v>
      </c>
      <c r="J49" s="13">
        <f t="shared" si="12"/>
        <v>2.5000000000000001E-2</v>
      </c>
      <c r="K49" s="13">
        <f>ROUND(K23,4)</f>
        <v>2.5000000000000001E-2</v>
      </c>
      <c r="L49" s="13">
        <f t="shared" si="12"/>
        <v>2.5000000000000001E-2</v>
      </c>
      <c r="M49" s="13">
        <f>ROUND(M23,4)</f>
        <v>2.5000000000000001E-2</v>
      </c>
      <c r="N49" s="13">
        <f t="shared" si="12"/>
        <v>2.5000000000000001E-2</v>
      </c>
      <c r="O49" s="13">
        <f>ROUND(O23,4)</f>
        <v>2.5000000000000001E-2</v>
      </c>
      <c r="P49" s="13">
        <f t="shared" si="12"/>
        <v>2.5000000000000001E-2</v>
      </c>
      <c r="Q49" s="13">
        <f t="shared" si="12"/>
        <v>2.5000000000000001E-2</v>
      </c>
      <c r="R49" s="13">
        <f t="shared" si="12"/>
        <v>2.5000000000000001E-2</v>
      </c>
      <c r="S49" s="45">
        <f>R49</f>
        <v>2.5000000000000001E-2</v>
      </c>
      <c r="T49" s="13">
        <f t="shared" ref="T49:AE49" si="13">S49</f>
        <v>2.5000000000000001E-2</v>
      </c>
      <c r="U49" s="13">
        <f t="shared" si="13"/>
        <v>2.5000000000000001E-2</v>
      </c>
      <c r="V49" s="13">
        <f t="shared" si="13"/>
        <v>2.5000000000000001E-2</v>
      </c>
      <c r="W49" s="13">
        <f t="shared" si="13"/>
        <v>2.5000000000000001E-2</v>
      </c>
      <c r="X49" s="13">
        <f t="shared" si="13"/>
        <v>2.5000000000000001E-2</v>
      </c>
      <c r="Y49" s="13">
        <f t="shared" si="13"/>
        <v>2.5000000000000001E-2</v>
      </c>
      <c r="Z49" s="13">
        <f t="shared" si="13"/>
        <v>2.5000000000000001E-2</v>
      </c>
      <c r="AA49" s="13">
        <f t="shared" si="13"/>
        <v>2.5000000000000001E-2</v>
      </c>
      <c r="AB49" s="13">
        <f t="shared" si="13"/>
        <v>2.5000000000000001E-2</v>
      </c>
      <c r="AC49" s="13">
        <f t="shared" si="13"/>
        <v>2.5000000000000001E-2</v>
      </c>
      <c r="AD49" s="13">
        <f t="shared" si="13"/>
        <v>2.5000000000000001E-2</v>
      </c>
      <c r="AE49" s="34">
        <f t="shared" si="13"/>
        <v>2.5000000000000001E-2</v>
      </c>
    </row>
    <row r="50" spans="5:31" ht="15" thickBot="1" x14ac:dyDescent="0.35">
      <c r="E50" s="25" t="s">
        <v>217</v>
      </c>
      <c r="F50" s="45">
        <f>F36</f>
        <v>0</v>
      </c>
      <c r="G50" s="13">
        <f t="shared" ref="G50:R50" si="14">G36</f>
        <v>0</v>
      </c>
      <c r="H50" s="13">
        <f t="shared" si="14"/>
        <v>0</v>
      </c>
      <c r="I50" s="13">
        <f t="shared" si="14"/>
        <v>0</v>
      </c>
      <c r="J50" s="13">
        <f t="shared" si="14"/>
        <v>0</v>
      </c>
      <c r="K50" s="13">
        <f t="shared" si="14"/>
        <v>0</v>
      </c>
      <c r="L50" s="13">
        <f t="shared" si="14"/>
        <v>0</v>
      </c>
      <c r="M50" s="13">
        <f t="shared" si="14"/>
        <v>0</v>
      </c>
      <c r="N50" s="13">
        <f t="shared" si="14"/>
        <v>0</v>
      </c>
      <c r="O50" s="13">
        <f t="shared" si="14"/>
        <v>0</v>
      </c>
      <c r="P50" s="13">
        <f t="shared" si="14"/>
        <v>0</v>
      </c>
      <c r="Q50" s="13">
        <f t="shared" si="14"/>
        <v>0</v>
      </c>
      <c r="R50" s="13">
        <f t="shared" si="14"/>
        <v>0</v>
      </c>
      <c r="S50" s="46">
        <f>R50</f>
        <v>0</v>
      </c>
      <c r="T50" s="32">
        <f t="shared" ref="T50:AD50" si="15">S50</f>
        <v>0</v>
      </c>
      <c r="U50" s="32">
        <f t="shared" si="15"/>
        <v>0</v>
      </c>
      <c r="V50" s="32">
        <f t="shared" si="15"/>
        <v>0</v>
      </c>
      <c r="W50" s="32">
        <f t="shared" si="15"/>
        <v>0</v>
      </c>
      <c r="X50" s="32">
        <f t="shared" si="15"/>
        <v>0</v>
      </c>
      <c r="Y50" s="32">
        <f t="shared" si="15"/>
        <v>0</v>
      </c>
      <c r="Z50" s="32">
        <f t="shared" si="15"/>
        <v>0</v>
      </c>
      <c r="AA50" s="32">
        <f t="shared" si="15"/>
        <v>0</v>
      </c>
      <c r="AB50" s="32">
        <f t="shared" si="15"/>
        <v>0</v>
      </c>
      <c r="AC50" s="32">
        <f t="shared" si="15"/>
        <v>0</v>
      </c>
      <c r="AD50" s="32">
        <f t="shared" si="15"/>
        <v>0</v>
      </c>
      <c r="AE50" s="33">
        <f>AD50</f>
        <v>0</v>
      </c>
    </row>
    <row r="51" spans="5:31" x14ac:dyDescent="0.3">
      <c r="E51" s="18" t="s">
        <v>149</v>
      </c>
      <c r="F51" s="18">
        <f>F46*F47</f>
        <v>0.15357999999999999</v>
      </c>
      <c r="G51" s="19">
        <f t="shared" ref="G51:R51" si="16">G46*G47</f>
        <v>0.29791999999999996</v>
      </c>
      <c r="H51" s="19">
        <f t="shared" si="16"/>
        <v>0.44225999999999999</v>
      </c>
      <c r="I51" s="19">
        <f t="shared" si="16"/>
        <v>0.31359999999999999</v>
      </c>
      <c r="J51" s="19">
        <f t="shared" si="16"/>
        <v>0.18500999999999998</v>
      </c>
      <c r="K51" s="19">
        <f t="shared" si="16"/>
        <v>0.38234000000000001</v>
      </c>
      <c r="L51" s="19">
        <f t="shared" si="16"/>
        <v>0.57966999999999991</v>
      </c>
      <c r="M51" s="19">
        <f t="shared" si="16"/>
        <v>0.60500999999999994</v>
      </c>
      <c r="N51" s="19">
        <f t="shared" si="16"/>
        <v>0.63041999999999998</v>
      </c>
      <c r="O51" s="19">
        <f t="shared" si="16"/>
        <v>0.60228000000000004</v>
      </c>
      <c r="P51" s="19">
        <f t="shared" si="16"/>
        <v>0.57421</v>
      </c>
      <c r="Q51" s="19">
        <f t="shared" si="16"/>
        <v>0.49048999999999998</v>
      </c>
      <c r="R51" s="19">
        <f t="shared" si="16"/>
        <v>0.59528000000000003</v>
      </c>
      <c r="S51" s="44">
        <f>S46*S47</f>
        <v>0.64196999999999993</v>
      </c>
      <c r="T51" s="42">
        <f t="shared" ref="T51:AE51" si="17">T46*T47</f>
        <v>0.69006000000000001</v>
      </c>
      <c r="U51" s="42">
        <f t="shared" si="17"/>
        <v>0.6873999999999999</v>
      </c>
      <c r="V51" s="42">
        <f t="shared" si="17"/>
        <v>0.71406999999999998</v>
      </c>
      <c r="W51" s="42">
        <f t="shared" si="17"/>
        <v>0.83817999999999993</v>
      </c>
      <c r="X51" s="42">
        <f t="shared" si="17"/>
        <v>0.89025999999999994</v>
      </c>
      <c r="Y51" s="42">
        <f t="shared" si="17"/>
        <v>0.94226999999999994</v>
      </c>
      <c r="Z51" s="42">
        <f t="shared" si="17"/>
        <v>0.99434999999999996</v>
      </c>
      <c r="AA51" s="42">
        <f t="shared" si="17"/>
        <v>1.0477599999999998</v>
      </c>
      <c r="AB51" s="42">
        <f t="shared" si="17"/>
        <v>1.1024999999999998</v>
      </c>
      <c r="AC51" s="42">
        <f t="shared" si="17"/>
        <v>1.15717</v>
      </c>
      <c r="AD51" s="42">
        <f t="shared" si="17"/>
        <v>1.2132399999999999</v>
      </c>
      <c r="AE51" s="43">
        <f t="shared" si="17"/>
        <v>1.2693099999999999</v>
      </c>
    </row>
    <row r="52" spans="5:31" x14ac:dyDescent="0.3">
      <c r="E52" s="22" t="s">
        <v>157</v>
      </c>
      <c r="F52" s="22">
        <f>F46*F48</f>
        <v>0</v>
      </c>
      <c r="G52">
        <f t="shared" ref="G52:R52" si="18">G46*G48</f>
        <v>0</v>
      </c>
      <c r="H52">
        <f t="shared" si="18"/>
        <v>0</v>
      </c>
      <c r="I52">
        <f t="shared" si="18"/>
        <v>0</v>
      </c>
      <c r="J52">
        <f t="shared" si="18"/>
        <v>0</v>
      </c>
      <c r="K52">
        <f t="shared" si="18"/>
        <v>0</v>
      </c>
      <c r="L52">
        <f t="shared" si="18"/>
        <v>0</v>
      </c>
      <c r="M52">
        <f t="shared" si="18"/>
        <v>0</v>
      </c>
      <c r="N52">
        <f t="shared" si="18"/>
        <v>0</v>
      </c>
      <c r="O52">
        <f t="shared" si="18"/>
        <v>0</v>
      </c>
      <c r="P52">
        <f t="shared" si="18"/>
        <v>0</v>
      </c>
      <c r="Q52">
        <f t="shared" si="18"/>
        <v>0</v>
      </c>
      <c r="R52">
        <f t="shared" si="18"/>
        <v>0</v>
      </c>
      <c r="S52" s="45">
        <f>S46*S48</f>
        <v>0</v>
      </c>
      <c r="T52" s="13">
        <f t="shared" ref="T52:AE52" si="19">T46*T48</f>
        <v>0</v>
      </c>
      <c r="U52" s="13">
        <f t="shared" si="19"/>
        <v>0</v>
      </c>
      <c r="V52" s="13">
        <f t="shared" si="19"/>
        <v>0</v>
      </c>
      <c r="W52" s="13">
        <f t="shared" si="19"/>
        <v>0</v>
      </c>
      <c r="X52" s="13">
        <f t="shared" si="19"/>
        <v>0</v>
      </c>
      <c r="Y52" s="13">
        <f t="shared" si="19"/>
        <v>0</v>
      </c>
      <c r="Z52" s="13">
        <f t="shared" si="19"/>
        <v>0</v>
      </c>
      <c r="AA52" s="13">
        <f t="shared" si="19"/>
        <v>0</v>
      </c>
      <c r="AB52" s="13">
        <f t="shared" si="19"/>
        <v>0</v>
      </c>
      <c r="AC52" s="13">
        <f t="shared" si="19"/>
        <v>0</v>
      </c>
      <c r="AD52" s="13">
        <f t="shared" si="19"/>
        <v>0</v>
      </c>
      <c r="AE52" s="34">
        <f t="shared" si="19"/>
        <v>0</v>
      </c>
    </row>
    <row r="53" spans="5:31" x14ac:dyDescent="0.3">
      <c r="E53" s="22" t="s">
        <v>158</v>
      </c>
      <c r="F53" s="22">
        <f>F46*F49</f>
        <v>5.4850000000000003E-3</v>
      </c>
      <c r="G53">
        <f t="shared" ref="G53:R53" si="20">G46*G49</f>
        <v>1.064E-2</v>
      </c>
      <c r="H53">
        <f t="shared" si="20"/>
        <v>1.5795E-2</v>
      </c>
      <c r="I53">
        <f t="shared" si="20"/>
        <v>1.1200000000000002E-2</v>
      </c>
      <c r="J53">
        <f t="shared" si="20"/>
        <v>6.6074999999999997E-3</v>
      </c>
      <c r="K53">
        <f t="shared" si="20"/>
        <v>1.3655E-2</v>
      </c>
      <c r="L53">
        <f t="shared" si="20"/>
        <v>2.0702499999999999E-2</v>
      </c>
      <c r="M53">
        <f t="shared" si="20"/>
        <v>2.1607500000000002E-2</v>
      </c>
      <c r="N53">
        <f t="shared" si="20"/>
        <v>2.2515E-2</v>
      </c>
      <c r="O53">
        <f t="shared" si="20"/>
        <v>2.1510000000000001E-2</v>
      </c>
      <c r="P53">
        <f t="shared" si="20"/>
        <v>2.0507500000000001E-2</v>
      </c>
      <c r="Q53">
        <f t="shared" si="20"/>
        <v>1.7517500000000002E-2</v>
      </c>
      <c r="R53">
        <f t="shared" si="20"/>
        <v>2.1260000000000001E-2</v>
      </c>
      <c r="S53" s="45">
        <f>S46*S49</f>
        <v>2.2927500000000003E-2</v>
      </c>
      <c r="T53" s="13">
        <f t="shared" ref="T53:AE53" si="21">T46*T49</f>
        <v>2.4645E-2</v>
      </c>
      <c r="U53" s="13">
        <f t="shared" si="21"/>
        <v>2.4550000000000002E-2</v>
      </c>
      <c r="V53" s="13">
        <f t="shared" si="21"/>
        <v>2.5502500000000001E-2</v>
      </c>
      <c r="W53" s="13">
        <f t="shared" si="21"/>
        <v>2.9935000000000003E-2</v>
      </c>
      <c r="X53" s="13">
        <f t="shared" si="21"/>
        <v>3.1795000000000004E-2</v>
      </c>
      <c r="Y53" s="13">
        <f t="shared" si="21"/>
        <v>3.3652500000000002E-2</v>
      </c>
      <c r="Z53" s="13">
        <f t="shared" si="21"/>
        <v>3.5512500000000002E-2</v>
      </c>
      <c r="AA53" s="13">
        <f t="shared" si="21"/>
        <v>3.7420000000000002E-2</v>
      </c>
      <c r="AB53" s="13">
        <f t="shared" si="21"/>
        <v>3.9375E-2</v>
      </c>
      <c r="AC53" s="13">
        <f t="shared" si="21"/>
        <v>4.1327500000000003E-2</v>
      </c>
      <c r="AD53" s="13">
        <f t="shared" si="21"/>
        <v>4.3330000000000007E-2</v>
      </c>
      <c r="AE53" s="34">
        <f t="shared" si="21"/>
        <v>4.5332499999999998E-2</v>
      </c>
    </row>
    <row r="54" spans="5:31" ht="15" thickBot="1" x14ac:dyDescent="0.35">
      <c r="E54" s="25" t="s">
        <v>159</v>
      </c>
      <c r="F54" s="25">
        <f>F46*F50</f>
        <v>0</v>
      </c>
      <c r="G54" s="26">
        <f t="shared" ref="G54:R54" si="22">G46*G50</f>
        <v>0</v>
      </c>
      <c r="H54" s="26">
        <f t="shared" si="22"/>
        <v>0</v>
      </c>
      <c r="I54" s="26">
        <f t="shared" si="22"/>
        <v>0</v>
      </c>
      <c r="J54" s="26">
        <f t="shared" si="22"/>
        <v>0</v>
      </c>
      <c r="K54" s="26">
        <f t="shared" si="22"/>
        <v>0</v>
      </c>
      <c r="L54" s="26">
        <f t="shared" si="22"/>
        <v>0</v>
      </c>
      <c r="M54" s="26">
        <f t="shared" si="22"/>
        <v>0</v>
      </c>
      <c r="N54" s="26">
        <f t="shared" si="22"/>
        <v>0</v>
      </c>
      <c r="O54" s="26">
        <f t="shared" si="22"/>
        <v>0</v>
      </c>
      <c r="P54" s="26">
        <f t="shared" si="22"/>
        <v>0</v>
      </c>
      <c r="Q54" s="26">
        <f t="shared" si="22"/>
        <v>0</v>
      </c>
      <c r="R54" s="26">
        <f t="shared" si="22"/>
        <v>0</v>
      </c>
      <c r="S54" s="46">
        <f>S46*S50</f>
        <v>0</v>
      </c>
      <c r="T54" s="32">
        <f t="shared" ref="T54:AE54" si="23">T46*T50</f>
        <v>0</v>
      </c>
      <c r="U54" s="32">
        <f t="shared" si="23"/>
        <v>0</v>
      </c>
      <c r="V54" s="32">
        <f t="shared" si="23"/>
        <v>0</v>
      </c>
      <c r="W54" s="32">
        <f t="shared" si="23"/>
        <v>0</v>
      </c>
      <c r="X54" s="32">
        <f t="shared" si="23"/>
        <v>0</v>
      </c>
      <c r="Y54" s="32">
        <f t="shared" si="23"/>
        <v>0</v>
      </c>
      <c r="Z54" s="32">
        <f t="shared" si="23"/>
        <v>0</v>
      </c>
      <c r="AA54" s="32">
        <f t="shared" si="23"/>
        <v>0</v>
      </c>
      <c r="AB54" s="32">
        <f t="shared" si="23"/>
        <v>0</v>
      </c>
      <c r="AC54" s="32">
        <f t="shared" si="23"/>
        <v>0</v>
      </c>
      <c r="AD54" s="32">
        <f t="shared" si="23"/>
        <v>0</v>
      </c>
      <c r="AE54" s="33">
        <f t="shared" si="23"/>
        <v>0</v>
      </c>
    </row>
    <row r="58" spans="5:31" x14ac:dyDescent="0.3">
      <c r="F58">
        <f>(G49-F49)/(F49)</f>
        <v>0</v>
      </c>
      <c r="G58">
        <f t="shared" ref="G58:Q58" si="24">(H49-G49)/(G49)</f>
        <v>0</v>
      </c>
      <c r="H58">
        <f t="shared" si="24"/>
        <v>0</v>
      </c>
      <c r="I58">
        <f t="shared" si="24"/>
        <v>0</v>
      </c>
      <c r="J58">
        <f t="shared" si="24"/>
        <v>0</v>
      </c>
      <c r="K58">
        <f t="shared" si="24"/>
        <v>0</v>
      </c>
      <c r="L58">
        <f t="shared" si="24"/>
        <v>0</v>
      </c>
      <c r="M58">
        <f t="shared" si="24"/>
        <v>0</v>
      </c>
      <c r="N58">
        <f t="shared" si="24"/>
        <v>0</v>
      </c>
      <c r="O58">
        <f t="shared" si="24"/>
        <v>0</v>
      </c>
      <c r="P58">
        <f t="shared" si="24"/>
        <v>0</v>
      </c>
      <c r="Q58">
        <f t="shared" si="24"/>
        <v>0</v>
      </c>
      <c r="R58" s="148"/>
    </row>
    <row r="60" spans="5:31" x14ac:dyDescent="0.3">
      <c r="Q60" t="s">
        <v>123</v>
      </c>
      <c r="R60">
        <f>AVERAGE(F58:Q58)</f>
        <v>0</v>
      </c>
    </row>
  </sheetData>
  <dataValidations disablePrompts="1" count="1">
    <dataValidation allowBlank="1" showInputMessage="1" showErrorMessage="1" sqref="E23 E26" xr:uid="{40555040-E9B9-4929-980F-05CB7FD72AE5}"/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DA354-AC4E-4396-870A-FE3174444BE8}">
  <sheetPr>
    <tabColor theme="9" tint="0.59999389629810485"/>
  </sheetPr>
  <dimension ref="B4:AB32"/>
  <sheetViews>
    <sheetView workbookViewId="0">
      <selection activeCell="S7" sqref="S7"/>
    </sheetView>
  </sheetViews>
  <sheetFormatPr defaultRowHeight="14.4" x14ac:dyDescent="0.3"/>
  <cols>
    <col min="2" max="2" width="60.6640625" bestFit="1" customWidth="1"/>
    <col min="3" max="3" width="11.6640625" bestFit="1" customWidth="1"/>
  </cols>
  <sheetData>
    <row r="4" spans="2:28" x14ac:dyDescent="0.3">
      <c r="C4" t="s">
        <v>224</v>
      </c>
    </row>
    <row r="6" spans="2:28" x14ac:dyDescent="0.3">
      <c r="C6">
        <v>2010</v>
      </c>
      <c r="D6">
        <v>2011</v>
      </c>
      <c r="E6">
        <v>2012</v>
      </c>
      <c r="F6">
        <v>2013</v>
      </c>
      <c r="G6">
        <v>2014</v>
      </c>
      <c r="H6">
        <v>2015</v>
      </c>
      <c r="I6">
        <v>2016</v>
      </c>
      <c r="J6">
        <v>2017</v>
      </c>
      <c r="K6">
        <v>2018</v>
      </c>
      <c r="L6">
        <v>2019</v>
      </c>
      <c r="M6">
        <v>2020</v>
      </c>
      <c r="N6">
        <v>2021</v>
      </c>
      <c r="O6">
        <v>2022</v>
      </c>
      <c r="P6">
        <v>2023</v>
      </c>
      <c r="Q6">
        <v>2024</v>
      </c>
      <c r="R6">
        <v>2025</v>
      </c>
      <c r="S6">
        <v>2026</v>
      </c>
      <c r="T6">
        <v>2027</v>
      </c>
      <c r="U6">
        <v>2028</v>
      </c>
      <c r="V6">
        <v>2029</v>
      </c>
      <c r="W6">
        <v>2030</v>
      </c>
      <c r="X6">
        <v>2031</v>
      </c>
      <c r="Y6">
        <v>2032</v>
      </c>
      <c r="Z6">
        <v>2033</v>
      </c>
      <c r="AA6">
        <v>2034</v>
      </c>
      <c r="AB6">
        <v>2035</v>
      </c>
    </row>
    <row r="7" spans="2:28" x14ac:dyDescent="0.3">
      <c r="B7">
        <v>1</v>
      </c>
      <c r="C7" s="152">
        <v>0</v>
      </c>
      <c r="D7" s="152">
        <v>0</v>
      </c>
      <c r="E7" s="152">
        <v>0</v>
      </c>
      <c r="F7" s="152">
        <v>0</v>
      </c>
      <c r="G7" s="152">
        <v>0</v>
      </c>
      <c r="H7" s="152">
        <v>0</v>
      </c>
      <c r="I7" s="152">
        <v>0</v>
      </c>
      <c r="J7" s="152">
        <v>0</v>
      </c>
      <c r="K7" s="152">
        <v>0</v>
      </c>
      <c r="L7" s="152">
        <v>0</v>
      </c>
      <c r="M7" s="152">
        <v>0</v>
      </c>
      <c r="N7" s="152">
        <v>0</v>
      </c>
      <c r="O7" s="152">
        <v>0</v>
      </c>
      <c r="P7" s="152">
        <v>0</v>
      </c>
      <c r="Q7" s="152">
        <v>0</v>
      </c>
      <c r="R7" s="152">
        <v>0</v>
      </c>
      <c r="S7" s="152">
        <v>7.4999999999999964</v>
      </c>
      <c r="T7" s="152">
        <v>15</v>
      </c>
      <c r="U7" s="152">
        <v>22.500000000000004</v>
      </c>
      <c r="V7" s="152">
        <v>30.000000000000004</v>
      </c>
      <c r="W7" s="152">
        <v>0</v>
      </c>
      <c r="X7" s="152">
        <v>0</v>
      </c>
      <c r="Y7" s="152">
        <v>0</v>
      </c>
      <c r="Z7" s="152">
        <v>0</v>
      </c>
      <c r="AA7" s="152">
        <v>0</v>
      </c>
      <c r="AB7" s="152">
        <v>0</v>
      </c>
    </row>
    <row r="10" spans="2:28" x14ac:dyDescent="0.3">
      <c r="C10" s="1"/>
    </row>
    <row r="11" spans="2:28" x14ac:dyDescent="0.3">
      <c r="C11" t="s">
        <v>225</v>
      </c>
    </row>
    <row r="13" spans="2:28" x14ac:dyDescent="0.3">
      <c r="C13">
        <v>2010</v>
      </c>
      <c r="D13">
        <v>2011</v>
      </c>
      <c r="E13">
        <v>2012</v>
      </c>
      <c r="F13">
        <v>2013</v>
      </c>
      <c r="G13">
        <v>2014</v>
      </c>
      <c r="H13">
        <v>2015</v>
      </c>
      <c r="I13">
        <v>2016</v>
      </c>
      <c r="J13">
        <v>2017</v>
      </c>
      <c r="K13">
        <v>2018</v>
      </c>
      <c r="L13">
        <v>2019</v>
      </c>
      <c r="M13">
        <v>2020</v>
      </c>
      <c r="N13">
        <v>2021</v>
      </c>
      <c r="O13">
        <v>2022</v>
      </c>
      <c r="P13">
        <v>2023</v>
      </c>
      <c r="Q13">
        <v>2024</v>
      </c>
      <c r="R13">
        <v>2025</v>
      </c>
      <c r="S13">
        <v>2026</v>
      </c>
      <c r="T13">
        <v>2027</v>
      </c>
      <c r="U13">
        <v>2028</v>
      </c>
      <c r="V13">
        <v>2029</v>
      </c>
      <c r="W13">
        <v>2030</v>
      </c>
      <c r="X13">
        <v>2031</v>
      </c>
      <c r="Y13">
        <v>2032</v>
      </c>
      <c r="Z13">
        <v>2033</v>
      </c>
      <c r="AA13">
        <v>2034</v>
      </c>
      <c r="AB13">
        <v>2035</v>
      </c>
    </row>
    <row r="14" spans="2:28" x14ac:dyDescent="0.3"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5</v>
      </c>
      <c r="T14">
        <v>10</v>
      </c>
      <c r="U14">
        <v>15</v>
      </c>
      <c r="V14">
        <v>20</v>
      </c>
      <c r="W14">
        <v>25</v>
      </c>
      <c r="X14">
        <v>30</v>
      </c>
      <c r="Y14">
        <v>35</v>
      </c>
      <c r="Z14">
        <v>40</v>
      </c>
      <c r="AA14">
        <v>45</v>
      </c>
      <c r="AB14">
        <v>50</v>
      </c>
    </row>
    <row r="15" spans="2:28" x14ac:dyDescent="0.3">
      <c r="B15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 s="152">
        <v>12.857142857142854</v>
      </c>
      <c r="W15" s="152">
        <v>25.714285714285708</v>
      </c>
      <c r="X15" s="152">
        <v>38.571428571428569</v>
      </c>
      <c r="Y15" s="152">
        <v>51.428571428571431</v>
      </c>
      <c r="Z15" s="152">
        <v>64.285714285714278</v>
      </c>
      <c r="AA15" s="152">
        <v>77.142857142857139</v>
      </c>
      <c r="AB15" s="152">
        <v>90</v>
      </c>
    </row>
    <row r="20" spans="2:28" x14ac:dyDescent="0.3">
      <c r="B20" t="s">
        <v>71</v>
      </c>
      <c r="C20">
        <v>2010</v>
      </c>
      <c r="D20">
        <v>2011</v>
      </c>
      <c r="E20">
        <v>2012</v>
      </c>
      <c r="F20">
        <v>2013</v>
      </c>
      <c r="G20">
        <v>2014</v>
      </c>
      <c r="H20">
        <v>2015</v>
      </c>
      <c r="I20">
        <v>2016</v>
      </c>
      <c r="J20">
        <v>2017</v>
      </c>
      <c r="K20">
        <v>2018</v>
      </c>
      <c r="L20">
        <v>2019</v>
      </c>
      <c r="M20">
        <v>2020</v>
      </c>
      <c r="N20">
        <v>2021</v>
      </c>
      <c r="O20">
        <v>2022</v>
      </c>
      <c r="P20">
        <v>2023</v>
      </c>
      <c r="Q20">
        <v>2024</v>
      </c>
      <c r="R20">
        <v>2025</v>
      </c>
      <c r="S20">
        <v>2026</v>
      </c>
      <c r="T20">
        <v>2027</v>
      </c>
      <c r="U20">
        <v>2028</v>
      </c>
      <c r="V20">
        <v>2029</v>
      </c>
      <c r="W20">
        <v>2030</v>
      </c>
      <c r="X20">
        <v>2031</v>
      </c>
      <c r="Y20">
        <v>2032</v>
      </c>
      <c r="Z20">
        <v>2033</v>
      </c>
      <c r="AA20">
        <v>2034</v>
      </c>
      <c r="AB20">
        <v>2035</v>
      </c>
    </row>
    <row r="21" spans="2:28" x14ac:dyDescent="0.3">
      <c r="B21" t="s">
        <v>67</v>
      </c>
      <c r="C21" s="152">
        <f>C7</f>
        <v>0</v>
      </c>
      <c r="D21" s="152">
        <f t="shared" ref="D21:AB21" si="0">D7</f>
        <v>0</v>
      </c>
      <c r="E21" s="152">
        <f t="shared" si="0"/>
        <v>0</v>
      </c>
      <c r="F21" s="152">
        <f t="shared" si="0"/>
        <v>0</v>
      </c>
      <c r="G21" s="152">
        <f t="shared" si="0"/>
        <v>0</v>
      </c>
      <c r="H21" s="152">
        <f t="shared" si="0"/>
        <v>0</v>
      </c>
      <c r="I21" s="152">
        <f t="shared" si="0"/>
        <v>0</v>
      </c>
      <c r="J21" s="152">
        <f t="shared" si="0"/>
        <v>0</v>
      </c>
      <c r="K21" s="152">
        <f t="shared" si="0"/>
        <v>0</v>
      </c>
      <c r="L21" s="152">
        <f t="shared" si="0"/>
        <v>0</v>
      </c>
      <c r="M21" s="152">
        <f t="shared" si="0"/>
        <v>0</v>
      </c>
      <c r="N21" s="152">
        <f t="shared" si="0"/>
        <v>0</v>
      </c>
      <c r="O21" s="152">
        <f t="shared" si="0"/>
        <v>0</v>
      </c>
      <c r="P21" s="152">
        <f t="shared" si="0"/>
        <v>0</v>
      </c>
      <c r="Q21" s="152">
        <f t="shared" si="0"/>
        <v>0</v>
      </c>
      <c r="R21" s="152">
        <f t="shared" si="0"/>
        <v>0</v>
      </c>
      <c r="S21" s="152">
        <f t="shared" si="0"/>
        <v>7.4999999999999964</v>
      </c>
      <c r="T21" s="152">
        <f t="shared" si="0"/>
        <v>15</v>
      </c>
      <c r="U21" s="152">
        <f t="shared" si="0"/>
        <v>22.500000000000004</v>
      </c>
      <c r="V21" s="152">
        <f t="shared" si="0"/>
        <v>30.000000000000004</v>
      </c>
      <c r="W21" s="152">
        <f t="shared" si="0"/>
        <v>0</v>
      </c>
      <c r="X21" s="152">
        <f t="shared" si="0"/>
        <v>0</v>
      </c>
      <c r="Y21" s="152">
        <f t="shared" si="0"/>
        <v>0</v>
      </c>
      <c r="Z21" s="152">
        <f t="shared" si="0"/>
        <v>0</v>
      </c>
      <c r="AA21" s="152">
        <f t="shared" si="0"/>
        <v>0</v>
      </c>
      <c r="AB21" s="152">
        <f t="shared" si="0"/>
        <v>0</v>
      </c>
    </row>
    <row r="22" spans="2:28" x14ac:dyDescent="0.3">
      <c r="B22" t="s">
        <v>68</v>
      </c>
      <c r="C22" s="152">
        <f>C7+C14+C15</f>
        <v>0</v>
      </c>
      <c r="D22" s="152">
        <f t="shared" ref="D22:AB22" si="1">D7+D14+D15</f>
        <v>0</v>
      </c>
      <c r="E22" s="152">
        <f t="shared" si="1"/>
        <v>0</v>
      </c>
      <c r="F22" s="152">
        <f t="shared" si="1"/>
        <v>0</v>
      </c>
      <c r="G22" s="152">
        <f t="shared" si="1"/>
        <v>0</v>
      </c>
      <c r="H22" s="152">
        <f t="shared" si="1"/>
        <v>0</v>
      </c>
      <c r="I22" s="152">
        <f t="shared" si="1"/>
        <v>0</v>
      </c>
      <c r="J22" s="152">
        <f t="shared" si="1"/>
        <v>0</v>
      </c>
      <c r="K22" s="152">
        <f t="shared" si="1"/>
        <v>0</v>
      </c>
      <c r="L22" s="152">
        <f t="shared" si="1"/>
        <v>0</v>
      </c>
      <c r="M22" s="152">
        <f t="shared" si="1"/>
        <v>0</v>
      </c>
      <c r="N22" s="152">
        <f t="shared" si="1"/>
        <v>0</v>
      </c>
      <c r="O22" s="152">
        <f t="shared" si="1"/>
        <v>0</v>
      </c>
      <c r="P22" s="152">
        <f t="shared" si="1"/>
        <v>0</v>
      </c>
      <c r="Q22" s="152">
        <f t="shared" si="1"/>
        <v>0</v>
      </c>
      <c r="R22" s="152">
        <f t="shared" si="1"/>
        <v>0</v>
      </c>
      <c r="S22" s="152">
        <f t="shared" si="1"/>
        <v>12.499999999999996</v>
      </c>
      <c r="T22" s="152">
        <f t="shared" si="1"/>
        <v>25</v>
      </c>
      <c r="U22" s="152">
        <f t="shared" si="1"/>
        <v>37.5</v>
      </c>
      <c r="V22" s="152">
        <f t="shared" si="1"/>
        <v>62.857142857142854</v>
      </c>
      <c r="W22" s="152">
        <f t="shared" si="1"/>
        <v>50.714285714285708</v>
      </c>
      <c r="X22" s="152">
        <f t="shared" si="1"/>
        <v>68.571428571428569</v>
      </c>
      <c r="Y22" s="152">
        <f t="shared" si="1"/>
        <v>86.428571428571431</v>
      </c>
      <c r="Z22" s="152">
        <f t="shared" si="1"/>
        <v>104.28571428571428</v>
      </c>
      <c r="AA22" s="152">
        <f t="shared" si="1"/>
        <v>122.14285714285714</v>
      </c>
      <c r="AB22" s="152">
        <f t="shared" si="1"/>
        <v>140</v>
      </c>
    </row>
    <row r="25" spans="2:28" x14ac:dyDescent="0.3">
      <c r="B25" t="s">
        <v>226</v>
      </c>
      <c r="C25">
        <v>2010</v>
      </c>
      <c r="D25">
        <v>2011</v>
      </c>
      <c r="E25">
        <v>2012</v>
      </c>
      <c r="F25">
        <v>2013</v>
      </c>
      <c r="G25">
        <v>2014</v>
      </c>
      <c r="H25">
        <v>2015</v>
      </c>
      <c r="I25">
        <v>2016</v>
      </c>
      <c r="J25">
        <v>2017</v>
      </c>
      <c r="K25">
        <v>2018</v>
      </c>
      <c r="L25">
        <v>2019</v>
      </c>
      <c r="M25">
        <v>2020</v>
      </c>
      <c r="N25">
        <v>2021</v>
      </c>
      <c r="O25">
        <v>2022</v>
      </c>
      <c r="P25">
        <v>2023</v>
      </c>
      <c r="Q25">
        <v>2024</v>
      </c>
      <c r="R25">
        <v>2025</v>
      </c>
      <c r="S25">
        <v>2026</v>
      </c>
      <c r="T25">
        <v>2027</v>
      </c>
      <c r="U25">
        <v>2028</v>
      </c>
      <c r="V25">
        <v>2029</v>
      </c>
      <c r="W25">
        <v>2030</v>
      </c>
      <c r="X25">
        <v>2031</v>
      </c>
      <c r="Y25">
        <v>2032</v>
      </c>
      <c r="Z25">
        <v>2033</v>
      </c>
      <c r="AA25">
        <v>2034</v>
      </c>
      <c r="AB25">
        <v>2035</v>
      </c>
    </row>
    <row r="26" spans="2:28" x14ac:dyDescent="0.3">
      <c r="B26" t="s">
        <v>67</v>
      </c>
      <c r="C26" s="13">
        <f>C21/1000</f>
        <v>0</v>
      </c>
      <c r="D26" s="13">
        <f t="shared" ref="D26:AB26" si="2">D21/1000</f>
        <v>0</v>
      </c>
      <c r="E26" s="13">
        <f t="shared" si="2"/>
        <v>0</v>
      </c>
      <c r="F26" s="13">
        <f t="shared" si="2"/>
        <v>0</v>
      </c>
      <c r="G26" s="13">
        <f t="shared" si="2"/>
        <v>0</v>
      </c>
      <c r="H26" s="13">
        <f t="shared" si="2"/>
        <v>0</v>
      </c>
      <c r="I26" s="13">
        <f t="shared" si="2"/>
        <v>0</v>
      </c>
      <c r="J26" s="13">
        <f t="shared" si="2"/>
        <v>0</v>
      </c>
      <c r="K26" s="13">
        <f t="shared" si="2"/>
        <v>0</v>
      </c>
      <c r="L26" s="13">
        <f t="shared" si="2"/>
        <v>0</v>
      </c>
      <c r="M26" s="13">
        <f t="shared" si="2"/>
        <v>0</v>
      </c>
      <c r="N26" s="13">
        <f t="shared" si="2"/>
        <v>0</v>
      </c>
      <c r="O26" s="13">
        <f t="shared" si="2"/>
        <v>0</v>
      </c>
      <c r="P26" s="13">
        <f t="shared" si="2"/>
        <v>0</v>
      </c>
      <c r="Q26" s="13">
        <f t="shared" si="2"/>
        <v>0</v>
      </c>
      <c r="R26" s="13">
        <f t="shared" si="2"/>
        <v>0</v>
      </c>
      <c r="S26" s="13">
        <f t="shared" si="2"/>
        <v>7.4999999999999963E-3</v>
      </c>
      <c r="T26" s="13">
        <f t="shared" si="2"/>
        <v>1.4999999999999999E-2</v>
      </c>
      <c r="U26" s="13">
        <f t="shared" si="2"/>
        <v>2.2500000000000003E-2</v>
      </c>
      <c r="V26" s="13">
        <f t="shared" si="2"/>
        <v>3.0000000000000002E-2</v>
      </c>
      <c r="W26" s="13">
        <f t="shared" si="2"/>
        <v>0</v>
      </c>
      <c r="X26" s="13">
        <f t="shared" si="2"/>
        <v>0</v>
      </c>
      <c r="Y26" s="13">
        <f t="shared" si="2"/>
        <v>0</v>
      </c>
      <c r="Z26" s="13">
        <f t="shared" si="2"/>
        <v>0</v>
      </c>
      <c r="AA26" s="13">
        <f t="shared" si="2"/>
        <v>0</v>
      </c>
      <c r="AB26" s="13">
        <f t="shared" si="2"/>
        <v>0</v>
      </c>
    </row>
    <row r="27" spans="2:28" x14ac:dyDescent="0.3">
      <c r="B27" t="s">
        <v>68</v>
      </c>
      <c r="C27" s="13">
        <f>C22/1000</f>
        <v>0</v>
      </c>
      <c r="D27" s="13">
        <f t="shared" ref="D27:AB27" si="3">D22/1000</f>
        <v>0</v>
      </c>
      <c r="E27" s="13">
        <f t="shared" si="3"/>
        <v>0</v>
      </c>
      <c r="F27" s="13">
        <f t="shared" si="3"/>
        <v>0</v>
      </c>
      <c r="G27" s="13">
        <f t="shared" si="3"/>
        <v>0</v>
      </c>
      <c r="H27" s="13">
        <f t="shared" si="3"/>
        <v>0</v>
      </c>
      <c r="I27" s="13">
        <f t="shared" si="3"/>
        <v>0</v>
      </c>
      <c r="J27" s="13">
        <f t="shared" si="3"/>
        <v>0</v>
      </c>
      <c r="K27" s="13">
        <f t="shared" si="3"/>
        <v>0</v>
      </c>
      <c r="L27" s="13">
        <f t="shared" si="3"/>
        <v>0</v>
      </c>
      <c r="M27" s="13">
        <f t="shared" si="3"/>
        <v>0</v>
      </c>
      <c r="N27" s="13">
        <f t="shared" si="3"/>
        <v>0</v>
      </c>
      <c r="O27" s="13">
        <f t="shared" si="3"/>
        <v>0</v>
      </c>
      <c r="P27" s="13">
        <f t="shared" si="3"/>
        <v>0</v>
      </c>
      <c r="Q27" s="13">
        <f t="shared" si="3"/>
        <v>0</v>
      </c>
      <c r="R27" s="13">
        <f t="shared" si="3"/>
        <v>0</v>
      </c>
      <c r="S27" s="13">
        <f t="shared" si="3"/>
        <v>1.2499999999999997E-2</v>
      </c>
      <c r="T27" s="13">
        <f t="shared" si="3"/>
        <v>2.5000000000000001E-2</v>
      </c>
      <c r="U27" s="13">
        <f t="shared" si="3"/>
        <v>3.7499999999999999E-2</v>
      </c>
      <c r="V27" s="13">
        <f t="shared" si="3"/>
        <v>6.2857142857142848E-2</v>
      </c>
      <c r="W27" s="13">
        <f t="shared" si="3"/>
        <v>5.0714285714285705E-2</v>
      </c>
      <c r="X27" s="13">
        <f t="shared" si="3"/>
        <v>6.8571428571428575E-2</v>
      </c>
      <c r="Y27" s="13">
        <f t="shared" si="3"/>
        <v>8.6428571428571424E-2</v>
      </c>
      <c r="Z27" s="13">
        <f t="shared" si="3"/>
        <v>0.10428571428571427</v>
      </c>
      <c r="AA27" s="13">
        <f t="shared" si="3"/>
        <v>0.12214285714285714</v>
      </c>
      <c r="AB27" s="13">
        <f t="shared" si="3"/>
        <v>0.14000000000000001</v>
      </c>
    </row>
    <row r="30" spans="2:28" x14ac:dyDescent="0.3">
      <c r="B30" t="s">
        <v>227</v>
      </c>
      <c r="C30">
        <v>2010</v>
      </c>
      <c r="D30">
        <v>2011</v>
      </c>
      <c r="E30">
        <v>2012</v>
      </c>
      <c r="F30">
        <v>2013</v>
      </c>
      <c r="G30">
        <v>2014</v>
      </c>
      <c r="H30">
        <v>2015</v>
      </c>
      <c r="I30">
        <v>2016</v>
      </c>
      <c r="J30">
        <v>2017</v>
      </c>
      <c r="K30">
        <v>2018</v>
      </c>
      <c r="L30">
        <v>2019</v>
      </c>
      <c r="M30">
        <v>2020</v>
      </c>
      <c r="N30">
        <v>2021</v>
      </c>
      <c r="O30">
        <v>2022</v>
      </c>
      <c r="P30">
        <v>2023</v>
      </c>
      <c r="Q30">
        <v>2024</v>
      </c>
      <c r="R30">
        <v>2025</v>
      </c>
      <c r="S30">
        <v>2026</v>
      </c>
      <c r="T30">
        <v>2027</v>
      </c>
      <c r="U30">
        <v>2028</v>
      </c>
      <c r="V30">
        <v>2029</v>
      </c>
      <c r="W30">
        <v>2030</v>
      </c>
      <c r="X30">
        <v>2031</v>
      </c>
      <c r="Y30">
        <v>2032</v>
      </c>
      <c r="Z30">
        <v>2033</v>
      </c>
      <c r="AA30">
        <v>2034</v>
      </c>
      <c r="AB30">
        <v>2035</v>
      </c>
    </row>
    <row r="31" spans="2:28" x14ac:dyDescent="0.3">
      <c r="B31" t="s">
        <v>67</v>
      </c>
      <c r="C31" s="152">
        <f>C21/28</f>
        <v>0</v>
      </c>
      <c r="D31" s="152">
        <f t="shared" ref="D31:AB31" si="4">D21/28</f>
        <v>0</v>
      </c>
      <c r="E31" s="152">
        <f t="shared" si="4"/>
        <v>0</v>
      </c>
      <c r="F31" s="152">
        <f t="shared" si="4"/>
        <v>0</v>
      </c>
      <c r="G31" s="152">
        <f t="shared" si="4"/>
        <v>0</v>
      </c>
      <c r="H31" s="152">
        <f t="shared" si="4"/>
        <v>0</v>
      </c>
      <c r="I31" s="152">
        <f t="shared" si="4"/>
        <v>0</v>
      </c>
      <c r="J31" s="152">
        <f t="shared" si="4"/>
        <v>0</v>
      </c>
      <c r="K31" s="152">
        <f t="shared" si="4"/>
        <v>0</v>
      </c>
      <c r="L31" s="152">
        <f t="shared" si="4"/>
        <v>0</v>
      </c>
      <c r="M31" s="152">
        <f t="shared" si="4"/>
        <v>0</v>
      </c>
      <c r="N31" s="152">
        <f t="shared" si="4"/>
        <v>0</v>
      </c>
      <c r="O31" s="152">
        <f t="shared" si="4"/>
        <v>0</v>
      </c>
      <c r="P31" s="152">
        <f t="shared" si="4"/>
        <v>0</v>
      </c>
      <c r="Q31" s="152">
        <f t="shared" si="4"/>
        <v>0</v>
      </c>
      <c r="R31" s="152">
        <f t="shared" si="4"/>
        <v>0</v>
      </c>
      <c r="S31" s="152">
        <f t="shared" si="4"/>
        <v>0.26785714285714274</v>
      </c>
      <c r="T31" s="152">
        <f t="shared" si="4"/>
        <v>0.5357142857142857</v>
      </c>
      <c r="U31" s="152">
        <f t="shared" si="4"/>
        <v>0.80357142857142871</v>
      </c>
      <c r="V31" s="152">
        <f t="shared" si="4"/>
        <v>1.0714285714285716</v>
      </c>
      <c r="W31" s="152">
        <f t="shared" si="4"/>
        <v>0</v>
      </c>
      <c r="X31" s="152">
        <f t="shared" si="4"/>
        <v>0</v>
      </c>
      <c r="Y31" s="152">
        <f t="shared" si="4"/>
        <v>0</v>
      </c>
      <c r="Z31" s="152">
        <f t="shared" si="4"/>
        <v>0</v>
      </c>
      <c r="AA31" s="152">
        <f t="shared" si="4"/>
        <v>0</v>
      </c>
      <c r="AB31" s="152">
        <f t="shared" si="4"/>
        <v>0</v>
      </c>
    </row>
    <row r="32" spans="2:28" x14ac:dyDescent="0.3">
      <c r="B32" t="s">
        <v>68</v>
      </c>
      <c r="C32" s="152">
        <f>C22/28</f>
        <v>0</v>
      </c>
      <c r="D32" s="152">
        <f t="shared" ref="D32:AB32" si="5">D22/28</f>
        <v>0</v>
      </c>
      <c r="E32" s="152">
        <f t="shared" si="5"/>
        <v>0</v>
      </c>
      <c r="F32" s="152">
        <f t="shared" si="5"/>
        <v>0</v>
      </c>
      <c r="G32" s="152">
        <f t="shared" si="5"/>
        <v>0</v>
      </c>
      <c r="H32" s="152">
        <f t="shared" si="5"/>
        <v>0</v>
      </c>
      <c r="I32" s="152">
        <f t="shared" si="5"/>
        <v>0</v>
      </c>
      <c r="J32" s="152">
        <f t="shared" si="5"/>
        <v>0</v>
      </c>
      <c r="K32" s="152">
        <f t="shared" si="5"/>
        <v>0</v>
      </c>
      <c r="L32" s="152">
        <f t="shared" si="5"/>
        <v>0</v>
      </c>
      <c r="M32" s="152">
        <f t="shared" si="5"/>
        <v>0</v>
      </c>
      <c r="N32" s="152">
        <f t="shared" si="5"/>
        <v>0</v>
      </c>
      <c r="O32" s="152">
        <f t="shared" si="5"/>
        <v>0</v>
      </c>
      <c r="P32" s="152">
        <f t="shared" si="5"/>
        <v>0</v>
      </c>
      <c r="Q32" s="152">
        <f t="shared" si="5"/>
        <v>0</v>
      </c>
      <c r="R32" s="152">
        <f t="shared" si="5"/>
        <v>0</v>
      </c>
      <c r="S32" s="152">
        <f t="shared" si="5"/>
        <v>0.44642857142857129</v>
      </c>
      <c r="T32" s="152">
        <f t="shared" si="5"/>
        <v>0.8928571428571429</v>
      </c>
      <c r="U32" s="152">
        <f t="shared" si="5"/>
        <v>1.3392857142857142</v>
      </c>
      <c r="V32" s="152">
        <f t="shared" si="5"/>
        <v>2.2448979591836733</v>
      </c>
      <c r="W32" s="152">
        <f t="shared" si="5"/>
        <v>1.8112244897959182</v>
      </c>
      <c r="X32" s="152">
        <f t="shared" si="5"/>
        <v>2.4489795918367347</v>
      </c>
      <c r="Y32" s="152">
        <f t="shared" si="5"/>
        <v>3.0867346938775513</v>
      </c>
      <c r="Z32" s="152">
        <f t="shared" si="5"/>
        <v>3.7244897959183669</v>
      </c>
      <c r="AA32" s="152">
        <f t="shared" si="5"/>
        <v>4.3622448979591839</v>
      </c>
      <c r="AB32" s="152">
        <f t="shared" si="5"/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5F38E-06DD-43E1-97A2-9DDB164E8B16}">
  <sheetPr>
    <tabColor theme="9" tint="0.59999389629810485"/>
  </sheetPr>
  <dimension ref="B4:AB59"/>
  <sheetViews>
    <sheetView topLeftCell="B4" workbookViewId="0">
      <selection activeCell="N42" sqref="N42"/>
    </sheetView>
  </sheetViews>
  <sheetFormatPr defaultRowHeight="14.4" x14ac:dyDescent="0.3"/>
  <cols>
    <col min="2" max="2" width="59.44140625" bestFit="1" customWidth="1"/>
    <col min="3" max="3" width="11.6640625" bestFit="1" customWidth="1"/>
  </cols>
  <sheetData>
    <row r="4" spans="2:28" x14ac:dyDescent="0.3">
      <c r="C4" t="s">
        <v>224</v>
      </c>
    </row>
    <row r="6" spans="2:28" x14ac:dyDescent="0.3">
      <c r="C6">
        <v>2010</v>
      </c>
      <c r="D6">
        <v>2011</v>
      </c>
      <c r="E6">
        <v>2012</v>
      </c>
      <c r="F6">
        <v>2013</v>
      </c>
      <c r="G6">
        <v>2014</v>
      </c>
      <c r="H6">
        <v>2015</v>
      </c>
      <c r="I6">
        <v>2016</v>
      </c>
      <c r="J6">
        <v>2017</v>
      </c>
      <c r="K6">
        <v>2018</v>
      </c>
      <c r="L6">
        <v>2019</v>
      </c>
      <c r="M6">
        <v>2020</v>
      </c>
      <c r="N6">
        <v>2021</v>
      </c>
      <c r="O6">
        <v>2022</v>
      </c>
      <c r="P6">
        <v>2023</v>
      </c>
      <c r="Q6">
        <v>2024</v>
      </c>
      <c r="R6">
        <v>2025</v>
      </c>
      <c r="S6">
        <v>2026</v>
      </c>
      <c r="T6">
        <v>2027</v>
      </c>
      <c r="U6">
        <v>2028</v>
      </c>
      <c r="V6">
        <v>2029</v>
      </c>
      <c r="W6">
        <v>2030</v>
      </c>
      <c r="X6">
        <v>2031</v>
      </c>
      <c r="Y6">
        <v>2032</v>
      </c>
      <c r="Z6">
        <v>2033</v>
      </c>
      <c r="AA6">
        <v>2034</v>
      </c>
      <c r="AB6">
        <v>2035</v>
      </c>
    </row>
    <row r="7" spans="2:28" x14ac:dyDescent="0.3">
      <c r="B7">
        <v>1</v>
      </c>
      <c r="C7" s="152">
        <v>0</v>
      </c>
      <c r="D7" s="152">
        <v>0</v>
      </c>
      <c r="E7" s="152">
        <v>0</v>
      </c>
      <c r="F7" s="152">
        <v>0</v>
      </c>
      <c r="G7" s="152">
        <v>0</v>
      </c>
      <c r="H7" s="152">
        <v>0</v>
      </c>
      <c r="I7" s="152">
        <v>0</v>
      </c>
      <c r="J7" s="152">
        <v>0</v>
      </c>
      <c r="K7" s="152">
        <v>0</v>
      </c>
      <c r="L7" s="152">
        <v>0</v>
      </c>
      <c r="M7" s="152">
        <v>0</v>
      </c>
      <c r="N7" s="152">
        <v>0</v>
      </c>
      <c r="O7" s="152">
        <v>0</v>
      </c>
      <c r="P7" s="152">
        <v>0</v>
      </c>
      <c r="Q7" s="152">
        <v>0</v>
      </c>
      <c r="R7" s="152">
        <v>0</v>
      </c>
      <c r="S7" s="152">
        <v>0</v>
      </c>
      <c r="T7" s="152">
        <v>0</v>
      </c>
      <c r="U7" s="152">
        <v>0</v>
      </c>
      <c r="V7" s="152">
        <v>0</v>
      </c>
      <c r="W7" s="152">
        <v>0</v>
      </c>
      <c r="X7" s="152">
        <v>0</v>
      </c>
      <c r="Y7" s="152">
        <v>0</v>
      </c>
      <c r="Z7" s="152">
        <v>0</v>
      </c>
      <c r="AA7" s="152">
        <v>0</v>
      </c>
      <c r="AB7" s="152">
        <v>0</v>
      </c>
    </row>
    <row r="10" spans="2:28" x14ac:dyDescent="0.3">
      <c r="C10" s="1"/>
    </row>
    <row r="11" spans="2:28" x14ac:dyDescent="0.3">
      <c r="C11" t="s">
        <v>225</v>
      </c>
    </row>
    <row r="13" spans="2:28" x14ac:dyDescent="0.3">
      <c r="C13">
        <v>2010</v>
      </c>
      <c r="D13">
        <v>2011</v>
      </c>
      <c r="E13">
        <v>2012</v>
      </c>
      <c r="F13">
        <v>2013</v>
      </c>
      <c r="G13">
        <v>2014</v>
      </c>
      <c r="H13">
        <v>2015</v>
      </c>
      <c r="I13">
        <v>2016</v>
      </c>
      <c r="J13">
        <v>2017</v>
      </c>
      <c r="K13">
        <v>2018</v>
      </c>
      <c r="L13">
        <v>2019</v>
      </c>
      <c r="M13">
        <v>2020</v>
      </c>
      <c r="N13">
        <v>2021</v>
      </c>
      <c r="O13">
        <v>2022</v>
      </c>
      <c r="P13">
        <v>2023</v>
      </c>
      <c r="Q13">
        <v>2024</v>
      </c>
      <c r="R13">
        <v>2025</v>
      </c>
      <c r="S13">
        <v>2026</v>
      </c>
      <c r="T13">
        <v>2027</v>
      </c>
      <c r="U13">
        <v>2028</v>
      </c>
      <c r="V13">
        <v>2029</v>
      </c>
      <c r="W13">
        <v>2030</v>
      </c>
      <c r="X13">
        <v>2031</v>
      </c>
      <c r="Y13">
        <v>2032</v>
      </c>
      <c r="Z13">
        <v>2033</v>
      </c>
      <c r="AA13">
        <v>2034</v>
      </c>
      <c r="AB13">
        <v>2035</v>
      </c>
    </row>
    <row r="14" spans="2:28" x14ac:dyDescent="0.3"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0.4</v>
      </c>
      <c r="T14">
        <v>0.8</v>
      </c>
      <c r="U14">
        <v>1.2</v>
      </c>
      <c r="V14">
        <v>1.5999999999999999</v>
      </c>
      <c r="W14">
        <v>2</v>
      </c>
      <c r="X14">
        <v>2.4</v>
      </c>
      <c r="Y14">
        <v>2.8</v>
      </c>
      <c r="Z14">
        <v>3.1999999999999997</v>
      </c>
      <c r="AA14">
        <v>3.5999999999999996</v>
      </c>
      <c r="AB14">
        <v>3.9999999999999996</v>
      </c>
    </row>
    <row r="19" spans="2:28" x14ac:dyDescent="0.3">
      <c r="C19">
        <v>2010</v>
      </c>
      <c r="D19">
        <v>2011</v>
      </c>
      <c r="E19">
        <v>2012</v>
      </c>
      <c r="F19">
        <v>2013</v>
      </c>
      <c r="G19">
        <v>2014</v>
      </c>
      <c r="H19">
        <v>2015</v>
      </c>
      <c r="I19">
        <v>2016</v>
      </c>
      <c r="J19">
        <v>2017</v>
      </c>
      <c r="K19">
        <v>2018</v>
      </c>
      <c r="L19">
        <v>2019</v>
      </c>
      <c r="M19">
        <v>2020</v>
      </c>
      <c r="N19">
        <v>2021</v>
      </c>
      <c r="O19">
        <v>2022</v>
      </c>
      <c r="P19">
        <v>2023</v>
      </c>
      <c r="Q19">
        <v>2024</v>
      </c>
      <c r="R19">
        <v>2025</v>
      </c>
      <c r="S19">
        <v>2026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2032</v>
      </c>
      <c r="Z19">
        <v>2033</v>
      </c>
      <c r="AA19">
        <v>2034</v>
      </c>
      <c r="AB19">
        <v>2035</v>
      </c>
    </row>
    <row r="20" spans="2:28" x14ac:dyDescent="0.3">
      <c r="B20" t="s">
        <v>67</v>
      </c>
      <c r="C20" s="152">
        <f t="shared" ref="C20:AB20" si="0">C7</f>
        <v>0</v>
      </c>
      <c r="D20" s="152">
        <f t="shared" si="0"/>
        <v>0</v>
      </c>
      <c r="E20" s="152">
        <f t="shared" si="0"/>
        <v>0</v>
      </c>
      <c r="F20" s="152">
        <f t="shared" si="0"/>
        <v>0</v>
      </c>
      <c r="G20" s="152">
        <f t="shared" si="0"/>
        <v>0</v>
      </c>
      <c r="H20" s="152">
        <f t="shared" si="0"/>
        <v>0</v>
      </c>
      <c r="I20" s="152">
        <f t="shared" si="0"/>
        <v>0</v>
      </c>
      <c r="J20" s="152">
        <f t="shared" si="0"/>
        <v>0</v>
      </c>
      <c r="K20" s="152">
        <f t="shared" si="0"/>
        <v>0</v>
      </c>
      <c r="L20" s="152">
        <f t="shared" si="0"/>
        <v>0</v>
      </c>
      <c r="M20" s="152">
        <f t="shared" si="0"/>
        <v>0</v>
      </c>
      <c r="N20" s="152">
        <f t="shared" si="0"/>
        <v>0</v>
      </c>
      <c r="O20" s="152">
        <f t="shared" si="0"/>
        <v>0</v>
      </c>
      <c r="P20" s="152">
        <f t="shared" si="0"/>
        <v>0</v>
      </c>
      <c r="Q20" s="152">
        <f t="shared" si="0"/>
        <v>0</v>
      </c>
      <c r="R20" s="152">
        <f t="shared" si="0"/>
        <v>0</v>
      </c>
      <c r="S20" s="152">
        <f t="shared" si="0"/>
        <v>0</v>
      </c>
      <c r="T20" s="152">
        <f t="shared" si="0"/>
        <v>0</v>
      </c>
      <c r="U20" s="152">
        <f t="shared" si="0"/>
        <v>0</v>
      </c>
      <c r="V20" s="152">
        <f t="shared" si="0"/>
        <v>0</v>
      </c>
      <c r="W20" s="152">
        <f t="shared" si="0"/>
        <v>0</v>
      </c>
      <c r="X20" s="152">
        <f t="shared" si="0"/>
        <v>0</v>
      </c>
      <c r="Y20" s="152">
        <f t="shared" si="0"/>
        <v>0</v>
      </c>
      <c r="Z20" s="152">
        <f t="shared" si="0"/>
        <v>0</v>
      </c>
      <c r="AA20" s="152">
        <f t="shared" si="0"/>
        <v>0</v>
      </c>
      <c r="AB20" s="152">
        <f t="shared" si="0"/>
        <v>0</v>
      </c>
    </row>
    <row r="21" spans="2:28" x14ac:dyDescent="0.3">
      <c r="B21" t="s">
        <v>68</v>
      </c>
      <c r="C21" s="152">
        <f>C7+C14</f>
        <v>0</v>
      </c>
      <c r="D21" s="152">
        <f t="shared" ref="D21:AB21" si="1">D7+D14</f>
        <v>0</v>
      </c>
      <c r="E21" s="152">
        <f t="shared" si="1"/>
        <v>0</v>
      </c>
      <c r="F21" s="152">
        <f t="shared" si="1"/>
        <v>0</v>
      </c>
      <c r="G21" s="152">
        <f t="shared" si="1"/>
        <v>0</v>
      </c>
      <c r="H21" s="152">
        <f t="shared" si="1"/>
        <v>0</v>
      </c>
      <c r="I21" s="152">
        <f t="shared" si="1"/>
        <v>0</v>
      </c>
      <c r="J21" s="152">
        <f t="shared" si="1"/>
        <v>0</v>
      </c>
      <c r="K21" s="152">
        <f t="shared" si="1"/>
        <v>0</v>
      </c>
      <c r="L21" s="152">
        <f t="shared" si="1"/>
        <v>0</v>
      </c>
      <c r="M21" s="152">
        <f t="shared" si="1"/>
        <v>0</v>
      </c>
      <c r="N21" s="152">
        <f t="shared" si="1"/>
        <v>0</v>
      </c>
      <c r="O21" s="152">
        <f t="shared" si="1"/>
        <v>0</v>
      </c>
      <c r="P21" s="152">
        <f t="shared" si="1"/>
        <v>0</v>
      </c>
      <c r="Q21" s="152">
        <f t="shared" si="1"/>
        <v>0</v>
      </c>
      <c r="R21" s="152">
        <f t="shared" si="1"/>
        <v>0</v>
      </c>
      <c r="S21" s="152">
        <f t="shared" si="1"/>
        <v>0.4</v>
      </c>
      <c r="T21" s="152">
        <f t="shared" si="1"/>
        <v>0.8</v>
      </c>
      <c r="U21" s="152">
        <f t="shared" si="1"/>
        <v>1.2</v>
      </c>
      <c r="V21" s="152">
        <f t="shared" si="1"/>
        <v>1.5999999999999999</v>
      </c>
      <c r="W21" s="152">
        <f t="shared" si="1"/>
        <v>2</v>
      </c>
      <c r="X21" s="152">
        <f t="shared" si="1"/>
        <v>2.4</v>
      </c>
      <c r="Y21" s="152">
        <f t="shared" si="1"/>
        <v>2.8</v>
      </c>
      <c r="Z21" s="152">
        <f t="shared" si="1"/>
        <v>3.1999999999999997</v>
      </c>
      <c r="AA21" s="152">
        <f t="shared" si="1"/>
        <v>3.5999999999999996</v>
      </c>
      <c r="AB21" s="152">
        <f t="shared" si="1"/>
        <v>3.9999999999999996</v>
      </c>
    </row>
    <row r="23" spans="2:28" x14ac:dyDescent="0.3">
      <c r="R23" t="s">
        <v>226</v>
      </c>
      <c r="S23">
        <f>S21/1000</f>
        <v>4.0000000000000002E-4</v>
      </c>
      <c r="T23">
        <f>T21/1000</f>
        <v>8.0000000000000004E-4</v>
      </c>
      <c r="U23">
        <f t="shared" ref="U23:AB23" si="2">U21/1000</f>
        <v>1.1999999999999999E-3</v>
      </c>
      <c r="V23">
        <f t="shared" si="2"/>
        <v>1.5999999999999999E-3</v>
      </c>
      <c r="W23">
        <f t="shared" si="2"/>
        <v>2E-3</v>
      </c>
      <c r="X23">
        <f t="shared" si="2"/>
        <v>2.3999999999999998E-3</v>
      </c>
      <c r="Y23">
        <f t="shared" si="2"/>
        <v>2.8E-3</v>
      </c>
      <c r="Z23">
        <f t="shared" si="2"/>
        <v>3.1999999999999997E-3</v>
      </c>
      <c r="AA23">
        <f t="shared" si="2"/>
        <v>3.5999999999999995E-3</v>
      </c>
      <c r="AB23">
        <f t="shared" si="2"/>
        <v>3.9999999999999992E-3</v>
      </c>
    </row>
    <row r="24" spans="2:28" x14ac:dyDescent="0.3">
      <c r="R24" t="s">
        <v>228</v>
      </c>
      <c r="S24" s="13">
        <f>S23/S30</f>
        <v>2.6357406431207171E-4</v>
      </c>
      <c r="T24" s="13">
        <f>T23/T30</f>
        <v>5.021340697966357E-4</v>
      </c>
      <c r="U24" s="13">
        <f t="shared" ref="U24:AB24" si="3">U23/U30</f>
        <v>7.1787508973438613E-4</v>
      </c>
      <c r="V24" s="13">
        <f t="shared" si="3"/>
        <v>9.1282519397535371E-4</v>
      </c>
      <c r="W24" s="13">
        <f t="shared" si="3"/>
        <v>1.087192868014786E-3</v>
      </c>
      <c r="X24" s="13">
        <f t="shared" si="3"/>
        <v>1.2440389798880364E-3</v>
      </c>
      <c r="Y24" s="13">
        <f t="shared" si="3"/>
        <v>1.3831258644536654E-3</v>
      </c>
      <c r="Z24" s="13">
        <f t="shared" si="3"/>
        <v>1.5077271013946476E-3</v>
      </c>
      <c r="AA24" s="13">
        <f t="shared" si="3"/>
        <v>1.6172506738544473E-3</v>
      </c>
      <c r="AB24" s="13">
        <f t="shared" si="3"/>
        <v>1.7129153819801298E-3</v>
      </c>
    </row>
    <row r="26" spans="2:28" x14ac:dyDescent="0.3">
      <c r="B26" s="1" t="s">
        <v>229</v>
      </c>
    </row>
    <row r="28" spans="2:28" ht="15" thickBot="1" x14ac:dyDescent="0.35">
      <c r="C28" s="53">
        <v>2010</v>
      </c>
      <c r="D28" s="53">
        <v>2011</v>
      </c>
      <c r="E28" s="53">
        <v>2012</v>
      </c>
      <c r="F28" s="53">
        <v>2013</v>
      </c>
      <c r="G28" s="53">
        <v>2014</v>
      </c>
      <c r="H28" s="53">
        <v>2015</v>
      </c>
      <c r="I28" s="53">
        <v>2016</v>
      </c>
      <c r="J28" s="53">
        <v>2017</v>
      </c>
      <c r="K28" s="53">
        <v>2018</v>
      </c>
      <c r="L28" s="53">
        <v>2019</v>
      </c>
      <c r="M28" s="53">
        <v>2020</v>
      </c>
      <c r="N28" s="53">
        <v>2021</v>
      </c>
      <c r="O28" s="53">
        <v>2022</v>
      </c>
      <c r="P28" s="150">
        <v>2023</v>
      </c>
      <c r="Q28" s="150">
        <v>2024</v>
      </c>
      <c r="R28" s="150">
        <v>2025</v>
      </c>
      <c r="S28" s="150">
        <v>2026</v>
      </c>
      <c r="T28" s="150">
        <v>2027</v>
      </c>
      <c r="U28" s="150">
        <v>2028</v>
      </c>
      <c r="V28" s="150">
        <v>2029</v>
      </c>
      <c r="W28" s="150">
        <v>2030</v>
      </c>
      <c r="X28" s="150">
        <v>2031</v>
      </c>
      <c r="Y28" s="150">
        <v>2032</v>
      </c>
      <c r="Z28" s="150">
        <v>2033</v>
      </c>
      <c r="AA28" s="150">
        <v>2034</v>
      </c>
      <c r="AB28" s="150">
        <v>2035</v>
      </c>
    </row>
    <row r="29" spans="2:28" ht="15" thickBot="1" x14ac:dyDescent="0.35">
      <c r="B29" s="29" t="s">
        <v>106</v>
      </c>
      <c r="C29" s="44">
        <v>1.2472000000000001</v>
      </c>
      <c r="D29" s="42">
        <v>1.3540000000000001</v>
      </c>
      <c r="E29" s="42">
        <v>1.4481999999999999</v>
      </c>
      <c r="F29" s="42">
        <v>1.5746</v>
      </c>
      <c r="G29" s="42">
        <v>1.7108000000000001</v>
      </c>
      <c r="H29" s="42">
        <v>1.9966999999999999</v>
      </c>
      <c r="I29" s="42">
        <v>2.218</v>
      </c>
      <c r="J29" s="42">
        <v>2.3477000000000001</v>
      </c>
      <c r="K29" s="42">
        <v>2.4618000000000002</v>
      </c>
      <c r="L29" s="42">
        <v>2.4777999999999998</v>
      </c>
      <c r="M29" s="42">
        <v>2.4921000000000002</v>
      </c>
      <c r="N29" s="42">
        <v>2.6398999999999999</v>
      </c>
      <c r="O29" s="43">
        <v>2.7492000000000001</v>
      </c>
      <c r="P29" s="44">
        <v>2.9081999999999999</v>
      </c>
      <c r="Q29" s="42">
        <v>3.0701000000000001</v>
      </c>
      <c r="R29" s="42">
        <v>3.2347999999999999</v>
      </c>
      <c r="S29" s="42">
        <v>3.4022000000000001</v>
      </c>
      <c r="T29" s="42">
        <v>3.5720999999999998</v>
      </c>
      <c r="U29" s="42">
        <v>3.7446000000000002</v>
      </c>
      <c r="V29" s="42">
        <v>3.9197000000000002</v>
      </c>
      <c r="W29" s="42">
        <v>4.0970000000000004</v>
      </c>
      <c r="X29" s="42">
        <v>4.1769999999999996</v>
      </c>
      <c r="Y29" s="42">
        <v>4.2571000000000003</v>
      </c>
      <c r="Z29" s="42">
        <v>4.3372000000000002</v>
      </c>
      <c r="AA29" s="42">
        <v>4.4173</v>
      </c>
      <c r="AB29" s="43">
        <v>4.4973000000000001</v>
      </c>
    </row>
    <row r="30" spans="2:28" x14ac:dyDescent="0.3">
      <c r="B30" s="18" t="s">
        <v>125</v>
      </c>
      <c r="C30" s="44">
        <v>0.71550000000000002</v>
      </c>
      <c r="D30" s="42">
        <v>0.76280000000000003</v>
      </c>
      <c r="E30" s="42">
        <v>0.81020000000000003</v>
      </c>
      <c r="F30" s="42">
        <v>0.78100000000000003</v>
      </c>
      <c r="G30" s="42">
        <v>0.75190000000000001</v>
      </c>
      <c r="H30" s="42">
        <v>0.86150000000000004</v>
      </c>
      <c r="I30" s="42">
        <v>0.97119999999999995</v>
      </c>
      <c r="J30" s="42">
        <v>1.0371999999999999</v>
      </c>
      <c r="K30" s="42">
        <v>1.1032999999999999</v>
      </c>
      <c r="L30" s="42">
        <v>1.1696</v>
      </c>
      <c r="M30" s="42">
        <v>1.2358</v>
      </c>
      <c r="N30" s="42">
        <v>1.2497</v>
      </c>
      <c r="O30" s="42">
        <v>1.2547999999999999</v>
      </c>
      <c r="P30" s="44">
        <v>1.3160000000000001</v>
      </c>
      <c r="Q30" s="42">
        <v>1.3804000000000001</v>
      </c>
      <c r="R30" s="42">
        <v>1.4476</v>
      </c>
      <c r="S30" s="42">
        <v>1.5176000000000001</v>
      </c>
      <c r="T30" s="153">
        <v>1.5931999999999999</v>
      </c>
      <c r="U30" s="153">
        <v>1.6716</v>
      </c>
      <c r="V30" s="153">
        <v>1.7527999999999999</v>
      </c>
      <c r="W30" s="153">
        <v>1.8395999999999999</v>
      </c>
      <c r="X30" s="153">
        <v>1.9292</v>
      </c>
      <c r="Y30" s="153">
        <v>2.0244</v>
      </c>
      <c r="Z30" s="153">
        <v>2.1223999999999998</v>
      </c>
      <c r="AA30" s="153">
        <v>2.226</v>
      </c>
      <c r="AB30" s="154">
        <v>2.3351999999999999</v>
      </c>
    </row>
    <row r="31" spans="2:28" x14ac:dyDescent="0.3">
      <c r="B31" s="22" t="s">
        <v>134</v>
      </c>
      <c r="C31" s="45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45">
        <v>0</v>
      </c>
      <c r="Q31" s="13">
        <v>0</v>
      </c>
      <c r="R31" s="13">
        <v>0</v>
      </c>
      <c r="S31" s="13">
        <v>0</v>
      </c>
      <c r="T31" s="155">
        <v>0</v>
      </c>
      <c r="U31" s="155">
        <v>0</v>
      </c>
      <c r="V31" s="155">
        <v>0</v>
      </c>
      <c r="W31" s="155">
        <v>0</v>
      </c>
      <c r="X31" s="155">
        <v>0</v>
      </c>
      <c r="Y31" s="155">
        <v>0</v>
      </c>
      <c r="Z31" s="155">
        <v>0</v>
      </c>
      <c r="AA31" s="155">
        <v>0</v>
      </c>
      <c r="AB31" s="156">
        <v>0</v>
      </c>
    </row>
    <row r="32" spans="2:28" x14ac:dyDescent="0.3">
      <c r="B32" s="22" t="s">
        <v>135</v>
      </c>
      <c r="C32" s="45">
        <v>2.5600000000000001E-2</v>
      </c>
      <c r="D32" s="13">
        <v>2.7199999999999998E-2</v>
      </c>
      <c r="E32" s="13">
        <v>2.8899999999999999E-2</v>
      </c>
      <c r="F32" s="13">
        <v>2.7900000000000001E-2</v>
      </c>
      <c r="G32" s="13">
        <v>2.69E-2</v>
      </c>
      <c r="H32" s="13">
        <v>3.0800000000000001E-2</v>
      </c>
      <c r="I32" s="13">
        <v>3.4700000000000002E-2</v>
      </c>
      <c r="J32" s="13">
        <v>3.6999999999999998E-2</v>
      </c>
      <c r="K32" s="13">
        <v>3.9399999999999998E-2</v>
      </c>
      <c r="L32" s="13">
        <v>4.1799999999999997E-2</v>
      </c>
      <c r="M32" s="13">
        <v>4.41E-2</v>
      </c>
      <c r="N32" s="13">
        <v>4.4600000000000001E-2</v>
      </c>
      <c r="O32" s="13">
        <v>4.48E-2</v>
      </c>
      <c r="P32" s="45">
        <v>4.7E-2</v>
      </c>
      <c r="Q32" s="13">
        <v>4.9299999999999997E-2</v>
      </c>
      <c r="R32" s="13">
        <v>5.1700000000000003E-2</v>
      </c>
      <c r="S32" s="13">
        <v>5.4199999999999998E-2</v>
      </c>
      <c r="T32" s="155">
        <v>5.6899999999999999E-2</v>
      </c>
      <c r="U32" s="155">
        <v>5.9700000000000003E-2</v>
      </c>
      <c r="V32" s="155">
        <v>6.2600000000000003E-2</v>
      </c>
      <c r="W32" s="155">
        <v>6.5699999999999995E-2</v>
      </c>
      <c r="X32" s="155">
        <v>6.8900000000000003E-2</v>
      </c>
      <c r="Y32" s="155">
        <v>7.2300000000000003E-2</v>
      </c>
      <c r="Z32" s="155">
        <v>7.5800000000000006E-2</v>
      </c>
      <c r="AA32" s="155">
        <v>7.9500000000000001E-2</v>
      </c>
      <c r="AB32" s="156">
        <v>8.3400000000000002E-2</v>
      </c>
    </row>
    <row r="33" spans="2:28" ht="15" thickBot="1" x14ac:dyDescent="0.35">
      <c r="B33" s="25" t="s">
        <v>136</v>
      </c>
      <c r="C33" s="45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45">
        <v>0</v>
      </c>
      <c r="Q33" s="13">
        <v>0</v>
      </c>
      <c r="R33" s="13">
        <v>0</v>
      </c>
      <c r="S33" s="13">
        <v>0</v>
      </c>
      <c r="T33" s="155">
        <v>0</v>
      </c>
      <c r="U33" s="155">
        <v>0</v>
      </c>
      <c r="V33" s="155">
        <v>0</v>
      </c>
      <c r="W33" s="155">
        <v>0</v>
      </c>
      <c r="X33" s="155">
        <v>0</v>
      </c>
      <c r="Y33" s="155">
        <v>0</v>
      </c>
      <c r="Z33" s="155">
        <v>0</v>
      </c>
      <c r="AA33" s="155">
        <v>0</v>
      </c>
      <c r="AB33" s="156">
        <v>0</v>
      </c>
    </row>
    <row r="34" spans="2:28" x14ac:dyDescent="0.3">
      <c r="B34" s="18" t="s">
        <v>129</v>
      </c>
      <c r="C34" s="44">
        <v>0.89237160000000004</v>
      </c>
      <c r="D34" s="42">
        <v>1.0328312000000002</v>
      </c>
      <c r="E34" s="42">
        <v>1.17333164</v>
      </c>
      <c r="F34" s="42">
        <v>1.2297626000000002</v>
      </c>
      <c r="G34" s="42">
        <v>1.2863505200000001</v>
      </c>
      <c r="H34" s="42">
        <v>1.7201570500000001</v>
      </c>
      <c r="I34" s="42">
        <v>2.1541215999999999</v>
      </c>
      <c r="J34" s="42">
        <v>2.4350344399999999</v>
      </c>
      <c r="K34" s="42">
        <v>2.71610394</v>
      </c>
      <c r="L34" s="42">
        <v>2.8980348799999995</v>
      </c>
      <c r="M34" s="42">
        <v>3.0797371800000004</v>
      </c>
      <c r="N34" s="42">
        <v>3.2990830299999998</v>
      </c>
      <c r="O34" s="42">
        <v>3.4496961599999998</v>
      </c>
      <c r="P34" s="44">
        <v>3.8271912000000001</v>
      </c>
      <c r="Q34" s="42">
        <v>4.2379660399999999</v>
      </c>
      <c r="R34" s="42">
        <v>4.6826964799999997</v>
      </c>
      <c r="S34" s="42">
        <v>5.1631787200000003</v>
      </c>
      <c r="T34" s="42">
        <v>5.6910697199999998</v>
      </c>
      <c r="U34" s="42">
        <v>6.2594733600000003</v>
      </c>
      <c r="V34" s="42">
        <v>6.8704501599999999</v>
      </c>
      <c r="W34" s="42">
        <v>7.5368412000000005</v>
      </c>
      <c r="X34" s="42">
        <v>8.0582683999999993</v>
      </c>
      <c r="Y34" s="42">
        <v>8.6180732400000011</v>
      </c>
      <c r="Z34" s="42">
        <v>9.2052732800000001</v>
      </c>
      <c r="AA34" s="42">
        <v>9.8329097999999995</v>
      </c>
      <c r="AB34" s="43">
        <v>10.502094959999999</v>
      </c>
    </row>
    <row r="35" spans="2:28" x14ac:dyDescent="0.3">
      <c r="B35" s="22" t="s">
        <v>137</v>
      </c>
      <c r="C35" s="45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45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34">
        <v>0</v>
      </c>
    </row>
    <row r="36" spans="2:28" x14ac:dyDescent="0.3">
      <c r="B36" s="22" t="s">
        <v>138</v>
      </c>
      <c r="C36" s="45">
        <v>3.1928320000000003E-2</v>
      </c>
      <c r="D36" s="13">
        <v>3.6828800000000002E-2</v>
      </c>
      <c r="E36" s="13">
        <v>4.1852979999999998E-2</v>
      </c>
      <c r="F36" s="13">
        <v>4.3931339999999999E-2</v>
      </c>
      <c r="G36" s="13">
        <v>4.6020520000000002E-2</v>
      </c>
      <c r="H36" s="13">
        <v>6.1498360000000002E-2</v>
      </c>
      <c r="I36" s="13">
        <v>7.6964600000000008E-2</v>
      </c>
      <c r="J36" s="13">
        <v>8.6864899999999995E-2</v>
      </c>
      <c r="K36" s="13">
        <v>9.6994919999999998E-2</v>
      </c>
      <c r="L36" s="13">
        <v>0.10357203999999998</v>
      </c>
      <c r="M36" s="13">
        <v>0.10990161000000001</v>
      </c>
      <c r="N36" s="13">
        <v>0.11773954</v>
      </c>
      <c r="O36" s="13">
        <v>0.12316416000000001</v>
      </c>
      <c r="P36" s="45">
        <v>0.13668539999999998</v>
      </c>
      <c r="Q36" s="13">
        <v>0.15135593</v>
      </c>
      <c r="R36" s="13">
        <v>0.16723916</v>
      </c>
      <c r="S36" s="13">
        <v>0.18439923999999999</v>
      </c>
      <c r="T36" s="13">
        <v>0.20325248999999998</v>
      </c>
      <c r="U36" s="13">
        <v>0.22355262000000001</v>
      </c>
      <c r="V36" s="13">
        <v>0.24537322000000003</v>
      </c>
      <c r="W36" s="13">
        <v>0.26917289999999999</v>
      </c>
      <c r="X36" s="13">
        <v>0.28779529999999998</v>
      </c>
      <c r="Y36" s="13">
        <v>0.30778833000000005</v>
      </c>
      <c r="Z36" s="13">
        <v>0.32875976000000007</v>
      </c>
      <c r="AA36" s="13">
        <v>0.35117535</v>
      </c>
      <c r="AB36" s="34">
        <v>0.37507482000000003</v>
      </c>
    </row>
    <row r="37" spans="2:28" ht="15" thickBot="1" x14ac:dyDescent="0.35">
      <c r="B37" s="25" t="s">
        <v>139</v>
      </c>
      <c r="C37" s="46">
        <v>0</v>
      </c>
      <c r="D37" s="32">
        <v>0</v>
      </c>
      <c r="E37" s="32">
        <v>0</v>
      </c>
      <c r="F37" s="32">
        <v>0</v>
      </c>
      <c r="G37" s="32">
        <v>0</v>
      </c>
      <c r="H37" s="32">
        <v>0</v>
      </c>
      <c r="I37" s="32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46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2">
        <v>0</v>
      </c>
      <c r="X37" s="32">
        <v>0</v>
      </c>
      <c r="Y37" s="32">
        <v>0</v>
      </c>
      <c r="Z37" s="32">
        <v>0</v>
      </c>
      <c r="AA37" s="32">
        <v>0</v>
      </c>
      <c r="AB37" s="33">
        <v>0</v>
      </c>
    </row>
    <row r="40" spans="2:28" x14ac:dyDescent="0.3">
      <c r="B40" s="1" t="s">
        <v>230</v>
      </c>
    </row>
    <row r="43" spans="2:28" ht="15" thickBot="1" x14ac:dyDescent="0.35">
      <c r="C43" s="53">
        <v>2010</v>
      </c>
      <c r="D43" s="53">
        <v>2011</v>
      </c>
      <c r="E43" s="53">
        <v>2012</v>
      </c>
      <c r="F43" s="53">
        <v>2013</v>
      </c>
      <c r="G43" s="53">
        <v>2014</v>
      </c>
      <c r="H43" s="53">
        <v>2015</v>
      </c>
      <c r="I43" s="53">
        <v>2016</v>
      </c>
      <c r="J43" s="53">
        <v>2017</v>
      </c>
      <c r="K43" s="53">
        <v>2018</v>
      </c>
      <c r="L43" s="53">
        <v>2019</v>
      </c>
      <c r="M43" s="53">
        <v>2020</v>
      </c>
      <c r="N43" s="53">
        <v>2021</v>
      </c>
      <c r="O43" s="53">
        <v>2022</v>
      </c>
      <c r="P43" s="150">
        <v>2023</v>
      </c>
      <c r="Q43" s="150">
        <v>2024</v>
      </c>
      <c r="R43" s="150">
        <v>2025</v>
      </c>
      <c r="S43" s="150">
        <v>2026</v>
      </c>
      <c r="T43" s="150">
        <v>2027</v>
      </c>
      <c r="U43" s="150">
        <v>2028</v>
      </c>
      <c r="V43" s="150">
        <v>2029</v>
      </c>
      <c r="W43" s="150">
        <v>2030</v>
      </c>
      <c r="X43" s="150">
        <v>2031</v>
      </c>
      <c r="Y43" s="150">
        <v>2032</v>
      </c>
      <c r="Z43" s="150">
        <v>2033</v>
      </c>
      <c r="AA43" s="150">
        <v>2034</v>
      </c>
      <c r="AB43" s="150">
        <v>2035</v>
      </c>
    </row>
    <row r="44" spans="2:28" ht="15" thickBot="1" x14ac:dyDescent="0.35">
      <c r="B44" s="29" t="s">
        <v>106</v>
      </c>
      <c r="C44" s="44">
        <v>1.2472000000000001</v>
      </c>
      <c r="D44" s="42">
        <v>1.3540000000000001</v>
      </c>
      <c r="E44" s="42">
        <v>1.4481999999999999</v>
      </c>
      <c r="F44" s="42">
        <v>1.5746</v>
      </c>
      <c r="G44" s="42">
        <v>1.7108000000000001</v>
      </c>
      <c r="H44" s="42">
        <v>1.9966999999999999</v>
      </c>
      <c r="I44" s="42">
        <v>2.218</v>
      </c>
      <c r="J44" s="42">
        <v>2.3477000000000001</v>
      </c>
      <c r="K44" s="42">
        <v>2.4618000000000002</v>
      </c>
      <c r="L44" s="42">
        <v>2.4777999999999998</v>
      </c>
      <c r="M44" s="42">
        <v>2.4921000000000002</v>
      </c>
      <c r="N44" s="42">
        <v>2.6398999999999999</v>
      </c>
      <c r="O44" s="43">
        <v>2.7492000000000001</v>
      </c>
      <c r="P44" s="47">
        <v>2.9081999999999999</v>
      </c>
      <c r="Q44" s="35">
        <v>3.0701000000000001</v>
      </c>
      <c r="R44" s="35">
        <v>3.2347999999999999</v>
      </c>
      <c r="S44" s="157">
        <f>ROUND(S29-S24,4)</f>
        <v>3.4018999999999999</v>
      </c>
      <c r="T44" s="157">
        <f t="shared" ref="T44:AB44" si="4">ROUND(T29-T24,4)</f>
        <v>3.5716000000000001</v>
      </c>
      <c r="U44" s="157">
        <f t="shared" si="4"/>
        <v>3.7439</v>
      </c>
      <c r="V44" s="157">
        <f t="shared" si="4"/>
        <v>3.9188000000000001</v>
      </c>
      <c r="W44" s="157">
        <f t="shared" si="4"/>
        <v>4.0959000000000003</v>
      </c>
      <c r="X44" s="157">
        <f t="shared" si="4"/>
        <v>4.1757999999999997</v>
      </c>
      <c r="Y44" s="157">
        <f t="shared" si="4"/>
        <v>4.2557</v>
      </c>
      <c r="Z44" s="157">
        <f t="shared" si="4"/>
        <v>4.3357000000000001</v>
      </c>
      <c r="AA44" s="157">
        <f t="shared" si="4"/>
        <v>4.4157000000000002</v>
      </c>
      <c r="AB44" s="158">
        <f t="shared" si="4"/>
        <v>4.4955999999999996</v>
      </c>
    </row>
    <row r="45" spans="2:28" x14ac:dyDescent="0.3">
      <c r="B45" s="18" t="s">
        <v>145</v>
      </c>
      <c r="C45" s="44">
        <v>0.71550000000000002</v>
      </c>
      <c r="D45" s="42">
        <v>0.76280000000000003</v>
      </c>
      <c r="E45" s="42">
        <v>0.81020000000000003</v>
      </c>
      <c r="F45" s="42">
        <v>0.78100000000000003</v>
      </c>
      <c r="G45" s="42">
        <v>0.75190000000000001</v>
      </c>
      <c r="H45" s="42">
        <v>0.86150000000000004</v>
      </c>
      <c r="I45" s="42">
        <v>0.97119999999999995</v>
      </c>
      <c r="J45" s="42">
        <v>1.0371999999999999</v>
      </c>
      <c r="K45" s="42">
        <v>1.1032999999999999</v>
      </c>
      <c r="L45" s="42">
        <v>1.1696</v>
      </c>
      <c r="M45" s="42">
        <v>1.2358</v>
      </c>
      <c r="N45" s="42">
        <v>1.2497</v>
      </c>
      <c r="O45" s="42">
        <v>1.2547999999999999</v>
      </c>
      <c r="P45" s="44">
        <v>1.3160000000000001</v>
      </c>
      <c r="Q45" s="42">
        <v>1.3804000000000001</v>
      </c>
      <c r="R45" s="42">
        <v>1.4476</v>
      </c>
      <c r="S45" s="42">
        <v>1.5176000000000001</v>
      </c>
      <c r="T45" s="153">
        <v>1.5931999999999999</v>
      </c>
      <c r="U45" s="153">
        <v>1.6716</v>
      </c>
      <c r="V45" s="153">
        <v>1.7527999999999999</v>
      </c>
      <c r="W45" s="153">
        <v>1.8395999999999999</v>
      </c>
      <c r="X45" s="153">
        <v>1.9292</v>
      </c>
      <c r="Y45" s="153">
        <v>2.0244</v>
      </c>
      <c r="Z45" s="153">
        <v>2.1223999999999998</v>
      </c>
      <c r="AA45" s="153">
        <v>2.226</v>
      </c>
      <c r="AB45" s="154">
        <v>2.3351999999999999</v>
      </c>
    </row>
    <row r="46" spans="2:28" x14ac:dyDescent="0.3">
      <c r="B46" s="22" t="s">
        <v>154</v>
      </c>
      <c r="C46" s="45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45">
        <v>0</v>
      </c>
      <c r="Q46" s="13">
        <v>0</v>
      </c>
      <c r="R46" s="13">
        <v>0</v>
      </c>
      <c r="S46" s="13">
        <v>0</v>
      </c>
      <c r="T46" s="155">
        <v>0</v>
      </c>
      <c r="U46" s="155">
        <v>0</v>
      </c>
      <c r="V46" s="155">
        <v>0</v>
      </c>
      <c r="W46" s="155">
        <v>0</v>
      </c>
      <c r="X46" s="155">
        <v>0</v>
      </c>
      <c r="Y46" s="155">
        <v>0</v>
      </c>
      <c r="Z46" s="155">
        <v>0</v>
      </c>
      <c r="AA46" s="155">
        <v>0</v>
      </c>
      <c r="AB46" s="156">
        <v>0</v>
      </c>
    </row>
    <row r="47" spans="2:28" x14ac:dyDescent="0.3">
      <c r="B47" s="22" t="s">
        <v>155</v>
      </c>
      <c r="C47" s="45">
        <v>2.5600000000000001E-2</v>
      </c>
      <c r="D47" s="13">
        <v>2.7199999999999998E-2</v>
      </c>
      <c r="E47" s="13">
        <v>2.8899999999999999E-2</v>
      </c>
      <c r="F47" s="13">
        <v>2.7900000000000001E-2</v>
      </c>
      <c r="G47" s="13">
        <v>2.69E-2</v>
      </c>
      <c r="H47" s="13">
        <v>3.0800000000000001E-2</v>
      </c>
      <c r="I47" s="13">
        <v>3.4700000000000002E-2</v>
      </c>
      <c r="J47" s="13">
        <v>3.6999999999999998E-2</v>
      </c>
      <c r="K47" s="13">
        <v>3.9399999999999998E-2</v>
      </c>
      <c r="L47" s="13">
        <v>4.1799999999999997E-2</v>
      </c>
      <c r="M47" s="13">
        <v>4.41E-2</v>
      </c>
      <c r="N47" s="13">
        <v>4.4600000000000001E-2</v>
      </c>
      <c r="O47" s="13">
        <v>4.48E-2</v>
      </c>
      <c r="P47" s="45">
        <v>4.7E-2</v>
      </c>
      <c r="Q47" s="13">
        <v>4.9299999999999997E-2</v>
      </c>
      <c r="R47" s="13">
        <v>5.1700000000000003E-2</v>
      </c>
      <c r="S47" s="13">
        <v>5.4199999999999998E-2</v>
      </c>
      <c r="T47" s="155">
        <v>5.6899999999999999E-2</v>
      </c>
      <c r="U47" s="155">
        <v>5.9700000000000003E-2</v>
      </c>
      <c r="V47" s="155">
        <v>6.2600000000000003E-2</v>
      </c>
      <c r="W47" s="155">
        <v>6.5699999999999995E-2</v>
      </c>
      <c r="X47" s="155">
        <v>6.8900000000000003E-2</v>
      </c>
      <c r="Y47" s="155">
        <v>7.2300000000000003E-2</v>
      </c>
      <c r="Z47" s="155">
        <v>7.5800000000000006E-2</v>
      </c>
      <c r="AA47" s="155">
        <v>7.9500000000000001E-2</v>
      </c>
      <c r="AB47" s="156">
        <v>8.3400000000000002E-2</v>
      </c>
    </row>
    <row r="48" spans="2:28" ht="15" thickBot="1" x14ac:dyDescent="0.35">
      <c r="B48" s="25" t="s">
        <v>156</v>
      </c>
      <c r="C48" s="45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45">
        <v>0</v>
      </c>
      <c r="Q48" s="13">
        <v>0</v>
      </c>
      <c r="R48" s="13">
        <v>0</v>
      </c>
      <c r="S48" s="13">
        <v>0</v>
      </c>
      <c r="T48" s="155">
        <v>0</v>
      </c>
      <c r="U48" s="155">
        <v>0</v>
      </c>
      <c r="V48" s="155">
        <v>0</v>
      </c>
      <c r="W48" s="155">
        <v>0</v>
      </c>
      <c r="X48" s="155">
        <v>0</v>
      </c>
      <c r="Y48" s="155">
        <v>0</v>
      </c>
      <c r="Z48" s="155">
        <v>0</v>
      </c>
      <c r="AA48" s="155">
        <v>0</v>
      </c>
      <c r="AB48" s="156">
        <v>0</v>
      </c>
    </row>
    <row r="49" spans="2:28" x14ac:dyDescent="0.3">
      <c r="B49" s="18" t="s">
        <v>149</v>
      </c>
      <c r="C49" s="44">
        <f>C44*C45</f>
        <v>0.89237160000000004</v>
      </c>
      <c r="D49" s="42">
        <f t="shared" ref="D49:AB49" si="5">D44*D45</f>
        <v>1.0328312000000002</v>
      </c>
      <c r="E49" s="42">
        <f t="shared" si="5"/>
        <v>1.17333164</v>
      </c>
      <c r="F49" s="42">
        <f t="shared" si="5"/>
        <v>1.2297626000000002</v>
      </c>
      <c r="G49" s="42">
        <f t="shared" si="5"/>
        <v>1.2863505200000001</v>
      </c>
      <c r="H49" s="42">
        <f t="shared" si="5"/>
        <v>1.7201570500000001</v>
      </c>
      <c r="I49" s="42">
        <f t="shared" si="5"/>
        <v>2.1541215999999999</v>
      </c>
      <c r="J49" s="42">
        <f t="shared" si="5"/>
        <v>2.4350344399999999</v>
      </c>
      <c r="K49" s="42">
        <f t="shared" si="5"/>
        <v>2.71610394</v>
      </c>
      <c r="L49" s="42">
        <f t="shared" si="5"/>
        <v>2.8980348799999995</v>
      </c>
      <c r="M49" s="42">
        <f t="shared" si="5"/>
        <v>3.0797371800000004</v>
      </c>
      <c r="N49" s="42">
        <f t="shared" si="5"/>
        <v>3.2990830299999998</v>
      </c>
      <c r="O49" s="43">
        <f t="shared" si="5"/>
        <v>3.4496961599999998</v>
      </c>
      <c r="P49" s="44">
        <f t="shared" si="5"/>
        <v>3.8271912000000001</v>
      </c>
      <c r="Q49" s="42">
        <f t="shared" si="5"/>
        <v>4.2379660399999999</v>
      </c>
      <c r="R49" s="42">
        <f t="shared" si="5"/>
        <v>4.6826964799999997</v>
      </c>
      <c r="S49" s="42">
        <f t="shared" si="5"/>
        <v>5.1627234399999997</v>
      </c>
      <c r="T49" s="42">
        <f t="shared" si="5"/>
        <v>5.6902731199999996</v>
      </c>
      <c r="U49" s="42">
        <f t="shared" si="5"/>
        <v>6.25830324</v>
      </c>
      <c r="V49" s="42">
        <f t="shared" si="5"/>
        <v>6.8688726400000002</v>
      </c>
      <c r="W49" s="42">
        <f t="shared" si="5"/>
        <v>7.53481764</v>
      </c>
      <c r="X49" s="42">
        <f t="shared" si="5"/>
        <v>8.0559533600000002</v>
      </c>
      <c r="Y49" s="42">
        <f t="shared" si="5"/>
        <v>8.6152390800000003</v>
      </c>
      <c r="Z49" s="42">
        <f t="shared" si="5"/>
        <v>9.2020896800000003</v>
      </c>
      <c r="AA49" s="42">
        <f t="shared" si="5"/>
        <v>9.8293482000000001</v>
      </c>
      <c r="AB49" s="43">
        <f t="shared" si="5"/>
        <v>10.498125119999999</v>
      </c>
    </row>
    <row r="50" spans="2:28" x14ac:dyDescent="0.3">
      <c r="B50" s="22" t="s">
        <v>157</v>
      </c>
      <c r="C50" s="45">
        <f>C44*C46</f>
        <v>0</v>
      </c>
      <c r="D50" s="13">
        <f t="shared" ref="D50:AB50" si="6">D44*D46</f>
        <v>0</v>
      </c>
      <c r="E50" s="13">
        <f t="shared" si="6"/>
        <v>0</v>
      </c>
      <c r="F50" s="13">
        <f t="shared" si="6"/>
        <v>0</v>
      </c>
      <c r="G50" s="13">
        <f t="shared" si="6"/>
        <v>0</v>
      </c>
      <c r="H50" s="13">
        <f t="shared" si="6"/>
        <v>0</v>
      </c>
      <c r="I50" s="13">
        <f t="shared" si="6"/>
        <v>0</v>
      </c>
      <c r="J50" s="13">
        <f t="shared" si="6"/>
        <v>0</v>
      </c>
      <c r="K50" s="13">
        <f t="shared" si="6"/>
        <v>0</v>
      </c>
      <c r="L50" s="13">
        <f t="shared" si="6"/>
        <v>0</v>
      </c>
      <c r="M50" s="13">
        <f t="shared" si="6"/>
        <v>0</v>
      </c>
      <c r="N50" s="13">
        <f t="shared" si="6"/>
        <v>0</v>
      </c>
      <c r="O50" s="34">
        <f t="shared" si="6"/>
        <v>0</v>
      </c>
      <c r="P50" s="45">
        <f t="shared" si="6"/>
        <v>0</v>
      </c>
      <c r="Q50" s="13">
        <f t="shared" si="6"/>
        <v>0</v>
      </c>
      <c r="R50" s="13">
        <f t="shared" si="6"/>
        <v>0</v>
      </c>
      <c r="S50" s="13">
        <f t="shared" si="6"/>
        <v>0</v>
      </c>
      <c r="T50" s="13">
        <f t="shared" si="6"/>
        <v>0</v>
      </c>
      <c r="U50" s="13">
        <f t="shared" si="6"/>
        <v>0</v>
      </c>
      <c r="V50" s="13">
        <f t="shared" si="6"/>
        <v>0</v>
      </c>
      <c r="W50" s="13">
        <f t="shared" si="6"/>
        <v>0</v>
      </c>
      <c r="X50" s="13">
        <f t="shared" si="6"/>
        <v>0</v>
      </c>
      <c r="Y50" s="13">
        <f t="shared" si="6"/>
        <v>0</v>
      </c>
      <c r="Z50" s="13">
        <f t="shared" si="6"/>
        <v>0</v>
      </c>
      <c r="AA50" s="13">
        <f t="shared" si="6"/>
        <v>0</v>
      </c>
      <c r="AB50" s="34">
        <f t="shared" si="6"/>
        <v>0</v>
      </c>
    </row>
    <row r="51" spans="2:28" x14ac:dyDescent="0.3">
      <c r="B51" s="22" t="s">
        <v>158</v>
      </c>
      <c r="C51" s="45">
        <f>C44*C47</f>
        <v>3.1928320000000003E-2</v>
      </c>
      <c r="D51" s="13">
        <f t="shared" ref="D51:AB51" si="7">D44*D47</f>
        <v>3.6828800000000002E-2</v>
      </c>
      <c r="E51" s="13">
        <f t="shared" si="7"/>
        <v>4.1852979999999998E-2</v>
      </c>
      <c r="F51" s="13">
        <f t="shared" si="7"/>
        <v>4.3931339999999999E-2</v>
      </c>
      <c r="G51" s="13">
        <f t="shared" si="7"/>
        <v>4.6020520000000002E-2</v>
      </c>
      <c r="H51" s="13">
        <f t="shared" si="7"/>
        <v>6.1498360000000002E-2</v>
      </c>
      <c r="I51" s="13">
        <f t="shared" si="7"/>
        <v>7.6964600000000008E-2</v>
      </c>
      <c r="J51" s="13">
        <f t="shared" si="7"/>
        <v>8.6864899999999995E-2</v>
      </c>
      <c r="K51" s="13">
        <f t="shared" si="7"/>
        <v>9.6994919999999998E-2</v>
      </c>
      <c r="L51" s="13">
        <f t="shared" si="7"/>
        <v>0.10357203999999998</v>
      </c>
      <c r="M51" s="13">
        <f t="shared" si="7"/>
        <v>0.10990161000000001</v>
      </c>
      <c r="N51" s="13">
        <f t="shared" si="7"/>
        <v>0.11773954</v>
      </c>
      <c r="O51" s="34">
        <f t="shared" si="7"/>
        <v>0.12316416000000001</v>
      </c>
      <c r="P51" s="45">
        <f t="shared" si="7"/>
        <v>0.13668539999999998</v>
      </c>
      <c r="Q51" s="13">
        <f t="shared" si="7"/>
        <v>0.15135593</v>
      </c>
      <c r="R51" s="13">
        <f t="shared" si="7"/>
        <v>0.16723916</v>
      </c>
      <c r="S51" s="13">
        <f t="shared" si="7"/>
        <v>0.18438298</v>
      </c>
      <c r="T51" s="13">
        <f t="shared" si="7"/>
        <v>0.20322403999999999</v>
      </c>
      <c r="U51" s="13">
        <f t="shared" si="7"/>
        <v>0.22351083000000002</v>
      </c>
      <c r="V51" s="13">
        <f t="shared" si="7"/>
        <v>0.24531688000000001</v>
      </c>
      <c r="W51" s="13">
        <f t="shared" si="7"/>
        <v>0.26910063000000001</v>
      </c>
      <c r="X51" s="13">
        <f t="shared" si="7"/>
        <v>0.28771261999999997</v>
      </c>
      <c r="Y51" s="13">
        <f t="shared" si="7"/>
        <v>0.30768711000000004</v>
      </c>
      <c r="Z51" s="13">
        <f t="shared" si="7"/>
        <v>0.32864606000000002</v>
      </c>
      <c r="AA51" s="13">
        <f t="shared" si="7"/>
        <v>0.35104815</v>
      </c>
      <c r="AB51" s="34">
        <f t="shared" si="7"/>
        <v>0.37493304</v>
      </c>
    </row>
    <row r="52" spans="2:28" ht="15" thickBot="1" x14ac:dyDescent="0.35">
      <c r="B52" s="25" t="s">
        <v>159</v>
      </c>
      <c r="C52" s="46">
        <f>C44*C48</f>
        <v>0</v>
      </c>
      <c r="D52" s="32">
        <f t="shared" ref="D52:AB52" si="8">D44*D48</f>
        <v>0</v>
      </c>
      <c r="E52" s="32">
        <f t="shared" si="8"/>
        <v>0</v>
      </c>
      <c r="F52" s="32">
        <f t="shared" si="8"/>
        <v>0</v>
      </c>
      <c r="G52" s="32">
        <f t="shared" si="8"/>
        <v>0</v>
      </c>
      <c r="H52" s="32">
        <f t="shared" si="8"/>
        <v>0</v>
      </c>
      <c r="I52" s="32">
        <f t="shared" si="8"/>
        <v>0</v>
      </c>
      <c r="J52" s="32">
        <f t="shared" si="8"/>
        <v>0</v>
      </c>
      <c r="K52" s="32">
        <f t="shared" si="8"/>
        <v>0</v>
      </c>
      <c r="L52" s="32">
        <f t="shared" si="8"/>
        <v>0</v>
      </c>
      <c r="M52" s="32">
        <f t="shared" si="8"/>
        <v>0</v>
      </c>
      <c r="N52" s="32">
        <f t="shared" si="8"/>
        <v>0</v>
      </c>
      <c r="O52" s="33">
        <f t="shared" si="8"/>
        <v>0</v>
      </c>
      <c r="P52" s="46">
        <f t="shared" si="8"/>
        <v>0</v>
      </c>
      <c r="Q52" s="32">
        <f t="shared" si="8"/>
        <v>0</v>
      </c>
      <c r="R52" s="32">
        <f t="shared" si="8"/>
        <v>0</v>
      </c>
      <c r="S52" s="32">
        <f t="shared" si="8"/>
        <v>0</v>
      </c>
      <c r="T52" s="32">
        <f t="shared" si="8"/>
        <v>0</v>
      </c>
      <c r="U52" s="32">
        <f t="shared" si="8"/>
        <v>0</v>
      </c>
      <c r="V52" s="32">
        <f t="shared" si="8"/>
        <v>0</v>
      </c>
      <c r="W52" s="32">
        <f t="shared" si="8"/>
        <v>0</v>
      </c>
      <c r="X52" s="32">
        <f t="shared" si="8"/>
        <v>0</v>
      </c>
      <c r="Y52" s="32">
        <f t="shared" si="8"/>
        <v>0</v>
      </c>
      <c r="Z52" s="32">
        <f t="shared" si="8"/>
        <v>0</v>
      </c>
      <c r="AA52" s="32">
        <f t="shared" si="8"/>
        <v>0</v>
      </c>
      <c r="AB52" s="33">
        <f t="shared" si="8"/>
        <v>0</v>
      </c>
    </row>
    <row r="56" spans="2:28" x14ac:dyDescent="0.3">
      <c r="B56" s="1" t="s">
        <v>231</v>
      </c>
    </row>
    <row r="58" spans="2:28" x14ac:dyDescent="0.3">
      <c r="B58" t="s">
        <v>76</v>
      </c>
      <c r="C58" s="13">
        <v>4.0671999999999997</v>
      </c>
      <c r="D58" s="13">
        <v>4.2162000000000006</v>
      </c>
      <c r="E58" s="13">
        <v>4.3482000000000003</v>
      </c>
      <c r="F58" s="13">
        <v>4.9634</v>
      </c>
      <c r="G58" s="13">
        <v>5.6248000000000005</v>
      </c>
      <c r="H58" s="13">
        <v>5.2972000000000001</v>
      </c>
      <c r="I58" s="13">
        <v>5.0569000000000006</v>
      </c>
      <c r="J58" s="13">
        <v>5.0416000000000007</v>
      </c>
      <c r="K58" s="13">
        <v>5.0421000000000005</v>
      </c>
      <c r="L58" s="13">
        <v>5.0625</v>
      </c>
      <c r="M58" s="13">
        <v>5.0825999999999993</v>
      </c>
      <c r="N58" s="13">
        <v>5.2141000000000002</v>
      </c>
      <c r="O58" s="13">
        <v>5.4172000000000002</v>
      </c>
      <c r="P58" s="13">
        <v>5.7306999999999997</v>
      </c>
      <c r="Q58" s="13">
        <v>6.0497999999999994</v>
      </c>
      <c r="R58" s="13">
        <v>6.3742000000000001</v>
      </c>
      <c r="S58" s="13">
        <v>6.7039999999999997</v>
      </c>
      <c r="T58" s="13">
        <v>7.0388999999999999</v>
      </c>
      <c r="U58" s="13">
        <v>7.3788</v>
      </c>
      <c r="V58" s="13">
        <v>7.7237999999999998</v>
      </c>
      <c r="W58" s="13">
        <v>8.0731000000000002</v>
      </c>
      <c r="X58" s="13">
        <v>8.2308000000000003</v>
      </c>
      <c r="Y58" s="13">
        <v>8.3887</v>
      </c>
      <c r="Z58" s="13">
        <v>8.5465</v>
      </c>
      <c r="AA58" s="13">
        <v>8.7042999999999999</v>
      </c>
      <c r="AB58" s="13">
        <v>8.8620000000000001</v>
      </c>
    </row>
    <row r="59" spans="2:28" x14ac:dyDescent="0.3">
      <c r="B59" t="s">
        <v>232</v>
      </c>
      <c r="C59" s="13">
        <f>C58</f>
        <v>4.0671999999999997</v>
      </c>
      <c r="D59" s="13">
        <f t="shared" ref="D59:R59" si="9">D58</f>
        <v>4.2162000000000006</v>
      </c>
      <c r="E59" s="13">
        <f t="shared" si="9"/>
        <v>4.3482000000000003</v>
      </c>
      <c r="F59" s="13">
        <f t="shared" si="9"/>
        <v>4.9634</v>
      </c>
      <c r="G59" s="13">
        <f t="shared" si="9"/>
        <v>5.6248000000000005</v>
      </c>
      <c r="H59" s="13">
        <f t="shared" si="9"/>
        <v>5.2972000000000001</v>
      </c>
      <c r="I59" s="13">
        <f t="shared" si="9"/>
        <v>5.0569000000000006</v>
      </c>
      <c r="J59" s="13">
        <f t="shared" si="9"/>
        <v>5.0416000000000007</v>
      </c>
      <c r="K59" s="13">
        <f t="shared" si="9"/>
        <v>5.0421000000000005</v>
      </c>
      <c r="L59" s="13">
        <f t="shared" si="9"/>
        <v>5.0625</v>
      </c>
      <c r="M59" s="13">
        <f t="shared" si="9"/>
        <v>5.0825999999999993</v>
      </c>
      <c r="N59" s="13">
        <f t="shared" si="9"/>
        <v>5.2141000000000002</v>
      </c>
      <c r="O59" s="13">
        <f t="shared" si="9"/>
        <v>5.4172000000000002</v>
      </c>
      <c r="P59" s="13">
        <f t="shared" si="9"/>
        <v>5.7306999999999997</v>
      </c>
      <c r="Q59" s="13">
        <f>Q58</f>
        <v>6.0497999999999994</v>
      </c>
      <c r="R59" s="13">
        <f t="shared" si="9"/>
        <v>6.3742000000000001</v>
      </c>
      <c r="S59" s="13">
        <f>ROUND(S58-S24,4)</f>
        <v>6.7037000000000004</v>
      </c>
      <c r="T59" s="13">
        <f t="shared" ref="T59:AB59" si="10">ROUND(T58-T24,4)</f>
        <v>7.0384000000000002</v>
      </c>
      <c r="U59" s="13">
        <f t="shared" si="10"/>
        <v>7.3780999999999999</v>
      </c>
      <c r="V59" s="13">
        <f t="shared" si="10"/>
        <v>7.7229000000000001</v>
      </c>
      <c r="W59" s="13">
        <f t="shared" si="10"/>
        <v>8.0719999999999992</v>
      </c>
      <c r="X59" s="13">
        <f t="shared" si="10"/>
        <v>8.2295999999999996</v>
      </c>
      <c r="Y59" s="13">
        <f t="shared" si="10"/>
        <v>8.3872999999999998</v>
      </c>
      <c r="Z59" s="13">
        <f t="shared" si="10"/>
        <v>8.5449999999999999</v>
      </c>
      <c r="AA59" s="13">
        <f t="shared" si="10"/>
        <v>8.7027000000000001</v>
      </c>
      <c r="AB59" s="13">
        <f t="shared" si="10"/>
        <v>8.8603000000000005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3AC3B-0A9C-4A0F-83B8-7AD8DCB5FB5F}">
  <sheetPr>
    <tabColor theme="9" tint="0.59999389629810485"/>
  </sheetPr>
  <dimension ref="B4:AB90"/>
  <sheetViews>
    <sheetView topLeftCell="A63" workbookViewId="0">
      <selection activeCell="AB90" sqref="AB90"/>
    </sheetView>
  </sheetViews>
  <sheetFormatPr defaultRowHeight="14.4" x14ac:dyDescent="0.3"/>
  <cols>
    <col min="2" max="2" width="63.44140625" customWidth="1"/>
    <col min="3" max="3" width="11.6640625" bestFit="1" customWidth="1"/>
  </cols>
  <sheetData>
    <row r="4" spans="2:28" x14ac:dyDescent="0.3">
      <c r="C4" t="s">
        <v>224</v>
      </c>
    </row>
    <row r="6" spans="2:28" x14ac:dyDescent="0.3">
      <c r="C6">
        <v>2010</v>
      </c>
      <c r="D6">
        <v>2011</v>
      </c>
      <c r="E6">
        <v>2012</v>
      </c>
      <c r="F6">
        <v>2013</v>
      </c>
      <c r="G6">
        <v>2014</v>
      </c>
      <c r="H6">
        <v>2015</v>
      </c>
      <c r="I6">
        <v>2016</v>
      </c>
      <c r="J6">
        <v>2017</v>
      </c>
      <c r="K6">
        <v>2018</v>
      </c>
      <c r="L6">
        <v>2019</v>
      </c>
      <c r="M6">
        <v>2020</v>
      </c>
      <c r="N6">
        <v>2021</v>
      </c>
      <c r="O6">
        <v>2022</v>
      </c>
      <c r="P6">
        <v>2023</v>
      </c>
      <c r="Q6">
        <v>2024</v>
      </c>
      <c r="R6">
        <v>2025</v>
      </c>
      <c r="S6">
        <v>2026</v>
      </c>
      <c r="T6">
        <v>2027</v>
      </c>
      <c r="U6">
        <v>2028</v>
      </c>
      <c r="V6">
        <v>2029</v>
      </c>
      <c r="W6">
        <v>2030</v>
      </c>
      <c r="X6">
        <v>2031</v>
      </c>
      <c r="Y6">
        <v>2032</v>
      </c>
      <c r="Z6">
        <v>2033</v>
      </c>
      <c r="AA6">
        <v>2034</v>
      </c>
      <c r="AB6">
        <v>2035</v>
      </c>
    </row>
    <row r="7" spans="2:28" x14ac:dyDescent="0.3">
      <c r="B7">
        <v>1</v>
      </c>
      <c r="C7" s="152">
        <v>0</v>
      </c>
      <c r="D7" s="152">
        <v>0</v>
      </c>
      <c r="E7" s="152">
        <v>0</v>
      </c>
      <c r="F7" s="152">
        <v>0</v>
      </c>
      <c r="G7" s="152">
        <v>0</v>
      </c>
      <c r="H7" s="152">
        <v>0</v>
      </c>
      <c r="I7" s="152">
        <v>0</v>
      </c>
      <c r="J7" s="152">
        <v>0</v>
      </c>
      <c r="K7" s="152">
        <v>0</v>
      </c>
      <c r="L7" s="152">
        <v>0</v>
      </c>
      <c r="M7" s="152">
        <v>0</v>
      </c>
      <c r="N7" s="152">
        <v>0</v>
      </c>
      <c r="O7" s="152">
        <v>0</v>
      </c>
      <c r="P7" s="152">
        <v>0</v>
      </c>
      <c r="Q7" s="152">
        <v>0</v>
      </c>
      <c r="R7" s="152">
        <v>0</v>
      </c>
      <c r="S7" s="152">
        <v>1.1000000000000001</v>
      </c>
      <c r="T7" s="152">
        <v>2.2000000000000002</v>
      </c>
      <c r="U7" s="152">
        <v>3.3</v>
      </c>
      <c r="V7" s="152">
        <v>4.3999999999999995</v>
      </c>
      <c r="W7" s="152">
        <v>5.5</v>
      </c>
      <c r="X7" s="152">
        <v>6.6</v>
      </c>
      <c r="Y7" s="152">
        <v>7.6999999999999993</v>
      </c>
      <c r="Z7" s="152">
        <v>8.7999999999999989</v>
      </c>
      <c r="AA7" s="152">
        <v>9.8999999999999986</v>
      </c>
      <c r="AB7" s="152">
        <v>10.999999999999998</v>
      </c>
    </row>
    <row r="10" spans="2:28" x14ac:dyDescent="0.3">
      <c r="C10" s="1"/>
    </row>
    <row r="11" spans="2:28" x14ac:dyDescent="0.3">
      <c r="C11" t="s">
        <v>225</v>
      </c>
    </row>
    <row r="13" spans="2:28" x14ac:dyDescent="0.3">
      <c r="C13">
        <v>2010</v>
      </c>
      <c r="D13">
        <v>2011</v>
      </c>
      <c r="E13">
        <v>2012</v>
      </c>
      <c r="F13">
        <v>2013</v>
      </c>
      <c r="G13">
        <v>2014</v>
      </c>
      <c r="H13">
        <v>2015</v>
      </c>
      <c r="I13">
        <v>2016</v>
      </c>
      <c r="J13">
        <v>2017</v>
      </c>
      <c r="K13">
        <v>2018</v>
      </c>
      <c r="L13">
        <v>2019</v>
      </c>
      <c r="M13">
        <v>2020</v>
      </c>
      <c r="N13">
        <v>2021</v>
      </c>
      <c r="O13">
        <v>2022</v>
      </c>
      <c r="P13">
        <v>2023</v>
      </c>
      <c r="Q13">
        <v>2024</v>
      </c>
      <c r="R13">
        <v>2025</v>
      </c>
      <c r="S13">
        <v>2026</v>
      </c>
      <c r="T13">
        <v>2027</v>
      </c>
      <c r="U13">
        <v>2028</v>
      </c>
      <c r="V13">
        <v>2029</v>
      </c>
      <c r="W13">
        <v>2030</v>
      </c>
      <c r="X13">
        <v>2031</v>
      </c>
      <c r="Y13">
        <v>2032</v>
      </c>
      <c r="Z13">
        <v>2033</v>
      </c>
      <c r="AA13">
        <v>2034</v>
      </c>
      <c r="AB13">
        <v>2035</v>
      </c>
    </row>
    <row r="14" spans="2:28" x14ac:dyDescent="0.3"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0.30624999999999969</v>
      </c>
      <c r="V14">
        <v>0.61249999999999982</v>
      </c>
      <c r="W14">
        <v>0.91874999999999996</v>
      </c>
      <c r="X14">
        <v>1.2250000000000001</v>
      </c>
      <c r="Y14">
        <v>1.5312500000000002</v>
      </c>
      <c r="Z14">
        <v>1.8375000000000001</v>
      </c>
      <c r="AA14">
        <v>2.1437500000000007</v>
      </c>
      <c r="AB14">
        <v>2.4500000000000011</v>
      </c>
    </row>
    <row r="15" spans="2:28" x14ac:dyDescent="0.3">
      <c r="B15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0.62499999999999978</v>
      </c>
      <c r="V15">
        <v>1.25</v>
      </c>
      <c r="W15">
        <v>1.875</v>
      </c>
      <c r="X15">
        <v>2.5</v>
      </c>
      <c r="Y15">
        <v>3.1250000000000004</v>
      </c>
      <c r="Z15">
        <v>3.7500000000000004</v>
      </c>
      <c r="AA15">
        <v>4.375</v>
      </c>
      <c r="AB15">
        <v>5</v>
      </c>
    </row>
    <row r="20" spans="2:28" x14ac:dyDescent="0.3">
      <c r="C20">
        <v>2010</v>
      </c>
      <c r="D20">
        <v>2011</v>
      </c>
      <c r="E20">
        <v>2012</v>
      </c>
      <c r="F20">
        <v>2013</v>
      </c>
      <c r="G20">
        <v>2014</v>
      </c>
      <c r="H20">
        <v>2015</v>
      </c>
      <c r="I20">
        <v>2016</v>
      </c>
      <c r="J20">
        <v>2017</v>
      </c>
      <c r="K20">
        <v>2018</v>
      </c>
      <c r="L20">
        <v>2019</v>
      </c>
      <c r="M20">
        <v>2020</v>
      </c>
      <c r="N20">
        <v>2021</v>
      </c>
      <c r="O20">
        <v>2022</v>
      </c>
      <c r="P20">
        <v>2023</v>
      </c>
      <c r="Q20">
        <v>2024</v>
      </c>
      <c r="R20">
        <v>2025</v>
      </c>
      <c r="S20">
        <v>2026</v>
      </c>
      <c r="T20">
        <v>2027</v>
      </c>
      <c r="U20">
        <v>2028</v>
      </c>
      <c r="V20">
        <v>2029</v>
      </c>
      <c r="W20">
        <v>2030</v>
      </c>
      <c r="X20">
        <v>2031</v>
      </c>
      <c r="Y20">
        <v>2032</v>
      </c>
      <c r="Z20">
        <v>2033</v>
      </c>
      <c r="AA20">
        <v>2034</v>
      </c>
      <c r="AB20">
        <v>2035</v>
      </c>
    </row>
    <row r="21" spans="2:28" x14ac:dyDescent="0.3">
      <c r="B21" t="s">
        <v>67</v>
      </c>
      <c r="C21" s="152">
        <f>C7</f>
        <v>0</v>
      </c>
      <c r="D21" s="152">
        <f t="shared" ref="D21:AB21" si="0">D7</f>
        <v>0</v>
      </c>
      <c r="E21" s="152">
        <f t="shared" si="0"/>
        <v>0</v>
      </c>
      <c r="F21" s="152">
        <f t="shared" si="0"/>
        <v>0</v>
      </c>
      <c r="G21" s="152">
        <f t="shared" si="0"/>
        <v>0</v>
      </c>
      <c r="H21" s="152">
        <f t="shared" si="0"/>
        <v>0</v>
      </c>
      <c r="I21" s="152">
        <f t="shared" si="0"/>
        <v>0</v>
      </c>
      <c r="J21" s="152">
        <f t="shared" si="0"/>
        <v>0</v>
      </c>
      <c r="K21" s="152">
        <f t="shared" si="0"/>
        <v>0</v>
      </c>
      <c r="L21" s="152">
        <f t="shared" si="0"/>
        <v>0</v>
      </c>
      <c r="M21" s="152">
        <f t="shared" si="0"/>
        <v>0</v>
      </c>
      <c r="N21" s="152">
        <f t="shared" si="0"/>
        <v>0</v>
      </c>
      <c r="O21" s="152">
        <f t="shared" si="0"/>
        <v>0</v>
      </c>
      <c r="P21" s="152">
        <f t="shared" si="0"/>
        <v>0</v>
      </c>
      <c r="Q21" s="152">
        <f t="shared" si="0"/>
        <v>0</v>
      </c>
      <c r="R21" s="152">
        <f t="shared" si="0"/>
        <v>0</v>
      </c>
      <c r="S21" s="152">
        <f t="shared" si="0"/>
        <v>1.1000000000000001</v>
      </c>
      <c r="T21" s="152">
        <f t="shared" si="0"/>
        <v>2.2000000000000002</v>
      </c>
      <c r="U21" s="152">
        <f t="shared" si="0"/>
        <v>3.3</v>
      </c>
      <c r="V21" s="152">
        <f t="shared" si="0"/>
        <v>4.3999999999999995</v>
      </c>
      <c r="W21" s="152">
        <f t="shared" si="0"/>
        <v>5.5</v>
      </c>
      <c r="X21" s="152">
        <f t="shared" si="0"/>
        <v>6.6</v>
      </c>
      <c r="Y21" s="152">
        <f t="shared" si="0"/>
        <v>7.6999999999999993</v>
      </c>
      <c r="Z21" s="152">
        <f t="shared" si="0"/>
        <v>8.7999999999999989</v>
      </c>
      <c r="AA21" s="152">
        <f t="shared" si="0"/>
        <v>9.8999999999999986</v>
      </c>
      <c r="AB21" s="152">
        <f t="shared" si="0"/>
        <v>10.999999999999998</v>
      </c>
    </row>
    <row r="22" spans="2:28" x14ac:dyDescent="0.3">
      <c r="B22" t="s">
        <v>68</v>
      </c>
      <c r="C22" s="152">
        <f>C7+C14+C15</f>
        <v>0</v>
      </c>
      <c r="D22" s="152">
        <f t="shared" ref="D22:AB22" si="1">D7+D14+D15</f>
        <v>0</v>
      </c>
      <c r="E22" s="152">
        <f t="shared" si="1"/>
        <v>0</v>
      </c>
      <c r="F22" s="152">
        <f t="shared" si="1"/>
        <v>0</v>
      </c>
      <c r="G22" s="152">
        <f t="shared" si="1"/>
        <v>0</v>
      </c>
      <c r="H22" s="152">
        <f t="shared" si="1"/>
        <v>0</v>
      </c>
      <c r="I22" s="152">
        <f t="shared" si="1"/>
        <v>0</v>
      </c>
      <c r="J22" s="152">
        <f t="shared" si="1"/>
        <v>0</v>
      </c>
      <c r="K22" s="152">
        <f t="shared" si="1"/>
        <v>0</v>
      </c>
      <c r="L22" s="152">
        <f t="shared" si="1"/>
        <v>0</v>
      </c>
      <c r="M22" s="152">
        <f t="shared" si="1"/>
        <v>0</v>
      </c>
      <c r="N22" s="152">
        <f t="shared" si="1"/>
        <v>0</v>
      </c>
      <c r="O22" s="152">
        <f t="shared" si="1"/>
        <v>0</v>
      </c>
      <c r="P22" s="152">
        <f t="shared" si="1"/>
        <v>0</v>
      </c>
      <c r="Q22" s="152">
        <f t="shared" si="1"/>
        <v>0</v>
      </c>
      <c r="R22" s="152">
        <f t="shared" si="1"/>
        <v>0</v>
      </c>
      <c r="S22" s="152">
        <f t="shared" si="1"/>
        <v>1.1000000000000001</v>
      </c>
      <c r="T22" s="152">
        <f t="shared" si="1"/>
        <v>2.2000000000000002</v>
      </c>
      <c r="U22" s="152">
        <f t="shared" si="1"/>
        <v>4.2312499999999993</v>
      </c>
      <c r="V22" s="152">
        <f t="shared" si="1"/>
        <v>6.2624999999999993</v>
      </c>
      <c r="W22" s="152">
        <f t="shared" si="1"/>
        <v>8.2937499999999993</v>
      </c>
      <c r="X22" s="152">
        <f t="shared" si="1"/>
        <v>10.324999999999999</v>
      </c>
      <c r="Y22" s="152">
        <f t="shared" si="1"/>
        <v>12.356249999999999</v>
      </c>
      <c r="Z22" s="152">
        <f t="shared" si="1"/>
        <v>14.387499999999999</v>
      </c>
      <c r="AA22" s="152">
        <f t="shared" si="1"/>
        <v>16.418749999999999</v>
      </c>
      <c r="AB22" s="152">
        <f t="shared" si="1"/>
        <v>18.45</v>
      </c>
    </row>
    <row r="24" spans="2:28" x14ac:dyDescent="0.3">
      <c r="C24">
        <v>2010</v>
      </c>
      <c r="D24">
        <v>2011</v>
      </c>
      <c r="E24">
        <v>2012</v>
      </c>
      <c r="F24">
        <v>2013</v>
      </c>
      <c r="G24">
        <v>2014</v>
      </c>
      <c r="H24">
        <v>2015</v>
      </c>
      <c r="I24">
        <v>2016</v>
      </c>
      <c r="J24">
        <v>2017</v>
      </c>
      <c r="K24">
        <v>2018</v>
      </c>
      <c r="L24">
        <v>2019</v>
      </c>
      <c r="M24">
        <v>2020</v>
      </c>
      <c r="N24">
        <v>2021</v>
      </c>
      <c r="O24">
        <v>2022</v>
      </c>
      <c r="P24">
        <v>2023</v>
      </c>
      <c r="Q24">
        <v>2024</v>
      </c>
      <c r="R24">
        <v>2025</v>
      </c>
      <c r="S24">
        <v>2026</v>
      </c>
      <c r="T24">
        <v>2027</v>
      </c>
      <c r="U24">
        <v>2028</v>
      </c>
      <c r="V24">
        <v>2029</v>
      </c>
      <c r="W24">
        <v>2030</v>
      </c>
      <c r="X24">
        <v>2031</v>
      </c>
      <c r="Y24">
        <v>2032</v>
      </c>
      <c r="Z24">
        <v>2033</v>
      </c>
      <c r="AA24">
        <v>2034</v>
      </c>
      <c r="AB24">
        <v>2035</v>
      </c>
    </row>
    <row r="25" spans="2:28" x14ac:dyDescent="0.3">
      <c r="B25" t="s">
        <v>67</v>
      </c>
      <c r="C25" s="152">
        <v>0</v>
      </c>
      <c r="D25" s="152">
        <v>0</v>
      </c>
      <c r="E25" s="152">
        <v>0</v>
      </c>
      <c r="F25" s="152">
        <v>0</v>
      </c>
      <c r="G25" s="152">
        <v>0</v>
      </c>
      <c r="H25" s="152">
        <v>0</v>
      </c>
      <c r="I25" s="152">
        <v>0</v>
      </c>
      <c r="J25" s="152">
        <v>0</v>
      </c>
      <c r="K25" s="152">
        <v>0</v>
      </c>
      <c r="L25" s="152">
        <v>0</v>
      </c>
      <c r="M25" s="152">
        <v>0</v>
      </c>
      <c r="N25" s="152">
        <v>0</v>
      </c>
      <c r="O25" s="152">
        <v>0</v>
      </c>
      <c r="P25" s="152">
        <v>0</v>
      </c>
      <c r="Q25" s="152">
        <v>0</v>
      </c>
      <c r="R25" s="152">
        <v>-4.4408920985006262E-16</v>
      </c>
      <c r="S25" s="152">
        <v>1.3599999999999994</v>
      </c>
      <c r="T25" s="152">
        <v>2.7199999999999998</v>
      </c>
      <c r="U25" s="152">
        <v>4.0799999999999992</v>
      </c>
      <c r="V25" s="152">
        <v>5.4399999999999986</v>
      </c>
      <c r="W25" s="152">
        <v>6.8</v>
      </c>
      <c r="X25" s="152">
        <v>8.16</v>
      </c>
      <c r="Y25" s="152">
        <v>9.52</v>
      </c>
      <c r="Z25" s="152">
        <v>10.879999999999999</v>
      </c>
      <c r="AA25" s="152">
        <v>12.239999999999998</v>
      </c>
      <c r="AB25" s="152">
        <v>13.599999999999998</v>
      </c>
    </row>
    <row r="26" spans="2:28" x14ac:dyDescent="0.3">
      <c r="B26" t="s">
        <v>68</v>
      </c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</row>
    <row r="29" spans="2:28" x14ac:dyDescent="0.3">
      <c r="B29" s="1" t="s">
        <v>233</v>
      </c>
    </row>
    <row r="31" spans="2:28" ht="15" thickBot="1" x14ac:dyDescent="0.35">
      <c r="C31" s="53">
        <v>2010</v>
      </c>
      <c r="D31" s="53">
        <v>2011</v>
      </c>
      <c r="E31" s="53">
        <v>2012</v>
      </c>
      <c r="F31" s="53">
        <v>2013</v>
      </c>
      <c r="G31" s="53">
        <v>2014</v>
      </c>
      <c r="H31" s="53">
        <v>2015</v>
      </c>
      <c r="I31" s="53">
        <v>2016</v>
      </c>
      <c r="J31" s="53">
        <v>2017</v>
      </c>
      <c r="K31" s="53">
        <v>2018</v>
      </c>
      <c r="L31" s="53">
        <v>2019</v>
      </c>
      <c r="M31" s="53">
        <v>2020</v>
      </c>
      <c r="N31" s="53">
        <v>2021</v>
      </c>
      <c r="O31" s="53">
        <v>2022</v>
      </c>
      <c r="P31" s="150">
        <v>2023</v>
      </c>
      <c r="Q31" s="150">
        <v>2024</v>
      </c>
      <c r="R31" s="150">
        <v>2025</v>
      </c>
      <c r="S31" s="150">
        <v>2026</v>
      </c>
      <c r="T31" s="150">
        <v>2027</v>
      </c>
      <c r="U31" s="150">
        <v>2028</v>
      </c>
      <c r="V31" s="150">
        <v>2029</v>
      </c>
      <c r="W31" s="150">
        <v>2030</v>
      </c>
      <c r="X31" s="150">
        <v>2031</v>
      </c>
      <c r="Y31" s="150">
        <v>2032</v>
      </c>
      <c r="Z31" s="150">
        <v>2033</v>
      </c>
      <c r="AA31" s="150">
        <v>2034</v>
      </c>
      <c r="AB31" s="150">
        <v>2035</v>
      </c>
    </row>
    <row r="32" spans="2:28" ht="15" thickBot="1" x14ac:dyDescent="0.35">
      <c r="B32" s="29" t="s">
        <v>106</v>
      </c>
      <c r="C32" s="44">
        <v>1.2472000000000001</v>
      </c>
      <c r="D32" s="42">
        <v>1.3540000000000001</v>
      </c>
      <c r="E32" s="42">
        <v>1.4481999999999999</v>
      </c>
      <c r="F32" s="42">
        <v>1.5746</v>
      </c>
      <c r="G32" s="42">
        <v>1.7108000000000001</v>
      </c>
      <c r="H32" s="42">
        <v>1.9966999999999999</v>
      </c>
      <c r="I32" s="42">
        <v>2.218</v>
      </c>
      <c r="J32" s="42">
        <v>2.3477000000000001</v>
      </c>
      <c r="K32" s="42">
        <v>2.4618000000000002</v>
      </c>
      <c r="L32" s="42">
        <v>2.4777999999999998</v>
      </c>
      <c r="M32" s="42">
        <v>2.4921000000000002</v>
      </c>
      <c r="N32" s="42">
        <v>2.6398999999999999</v>
      </c>
      <c r="O32" s="43">
        <v>2.7492000000000001</v>
      </c>
      <c r="P32" s="44">
        <v>2.9081999999999999</v>
      </c>
      <c r="Q32" s="42">
        <v>3.0701000000000001</v>
      </c>
      <c r="R32" s="42">
        <v>3.2347999999999999</v>
      </c>
      <c r="S32" s="42">
        <v>3.4022000000000001</v>
      </c>
      <c r="T32" s="42">
        <v>3.5720999999999998</v>
      </c>
      <c r="U32" s="42">
        <v>3.7446000000000002</v>
      </c>
      <c r="V32" s="42">
        <v>3.9197000000000002</v>
      </c>
      <c r="W32" s="42">
        <v>4.0970000000000004</v>
      </c>
      <c r="X32" s="42">
        <v>4.1769999999999996</v>
      </c>
      <c r="Y32" s="42">
        <v>4.2571000000000003</v>
      </c>
      <c r="Z32" s="42">
        <v>4.3372000000000002</v>
      </c>
      <c r="AA32" s="42">
        <v>4.4173</v>
      </c>
      <c r="AB32" s="43">
        <v>4.4973000000000001</v>
      </c>
    </row>
    <row r="33" spans="2:28" x14ac:dyDescent="0.3">
      <c r="B33" s="18" t="s">
        <v>125</v>
      </c>
      <c r="C33" s="44">
        <v>0.71550000000000002</v>
      </c>
      <c r="D33" s="42">
        <v>0.76280000000000003</v>
      </c>
      <c r="E33" s="42">
        <v>0.81020000000000003</v>
      </c>
      <c r="F33" s="42">
        <v>0.78100000000000003</v>
      </c>
      <c r="G33" s="42">
        <v>0.75190000000000001</v>
      </c>
      <c r="H33" s="42">
        <v>0.86150000000000004</v>
      </c>
      <c r="I33" s="42">
        <v>0.97119999999999995</v>
      </c>
      <c r="J33" s="42">
        <v>1.0371999999999999</v>
      </c>
      <c r="K33" s="42">
        <v>1.1032999999999999</v>
      </c>
      <c r="L33" s="42">
        <v>1.1696</v>
      </c>
      <c r="M33" s="42">
        <v>1.2358</v>
      </c>
      <c r="N33" s="42">
        <v>1.2497</v>
      </c>
      <c r="O33" s="42">
        <v>1.2547999999999999</v>
      </c>
      <c r="P33" s="44">
        <v>1.3160000000000001</v>
      </c>
      <c r="Q33" s="42">
        <v>1.3804000000000001</v>
      </c>
      <c r="R33" s="42">
        <v>1.4476</v>
      </c>
      <c r="S33" s="42">
        <v>1.5176000000000001</v>
      </c>
      <c r="T33" s="42">
        <v>1.5931999999999999</v>
      </c>
      <c r="U33" s="42">
        <v>1.6716</v>
      </c>
      <c r="V33" s="42">
        <v>1.7527999999999999</v>
      </c>
      <c r="W33" s="42">
        <v>1.8395999999999999</v>
      </c>
      <c r="X33" s="42">
        <v>1.9292</v>
      </c>
      <c r="Y33" s="42">
        <v>2.0244</v>
      </c>
      <c r="Z33" s="42">
        <v>2.1223999999999998</v>
      </c>
      <c r="AA33" s="42">
        <v>2.226</v>
      </c>
      <c r="AB33" s="43">
        <v>2.3351999999999999</v>
      </c>
    </row>
    <row r="34" spans="2:28" x14ac:dyDescent="0.3">
      <c r="B34" s="22" t="s">
        <v>134</v>
      </c>
      <c r="C34" s="45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45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34">
        <v>0</v>
      </c>
    </row>
    <row r="35" spans="2:28" x14ac:dyDescent="0.3">
      <c r="B35" s="22" t="s">
        <v>135</v>
      </c>
      <c r="C35" s="45">
        <v>2.5600000000000001E-2</v>
      </c>
      <c r="D35" s="13">
        <v>2.7199999999999998E-2</v>
      </c>
      <c r="E35" s="13">
        <v>2.8899999999999999E-2</v>
      </c>
      <c r="F35" s="13">
        <v>2.7900000000000001E-2</v>
      </c>
      <c r="G35" s="13">
        <v>2.69E-2</v>
      </c>
      <c r="H35" s="13">
        <v>3.0800000000000001E-2</v>
      </c>
      <c r="I35" s="13">
        <v>3.4700000000000002E-2</v>
      </c>
      <c r="J35" s="13">
        <v>3.6999999999999998E-2</v>
      </c>
      <c r="K35" s="13">
        <v>3.9399999999999998E-2</v>
      </c>
      <c r="L35" s="13">
        <v>4.1799999999999997E-2</v>
      </c>
      <c r="M35" s="13">
        <v>4.41E-2</v>
      </c>
      <c r="N35" s="13">
        <v>4.4600000000000001E-2</v>
      </c>
      <c r="O35" s="13">
        <v>4.48E-2</v>
      </c>
      <c r="P35" s="45">
        <v>4.7E-2</v>
      </c>
      <c r="Q35" s="13">
        <v>4.9299999999999997E-2</v>
      </c>
      <c r="R35" s="13">
        <v>5.1700000000000003E-2</v>
      </c>
      <c r="S35" s="13">
        <v>5.4199999999999998E-2</v>
      </c>
      <c r="T35" s="13">
        <v>5.6899999999999999E-2</v>
      </c>
      <c r="U35" s="13">
        <v>5.9700000000000003E-2</v>
      </c>
      <c r="V35" s="13">
        <v>6.2600000000000003E-2</v>
      </c>
      <c r="W35" s="13">
        <v>6.5699999999999995E-2</v>
      </c>
      <c r="X35" s="13">
        <v>6.8900000000000003E-2</v>
      </c>
      <c r="Y35" s="13">
        <v>7.2300000000000003E-2</v>
      </c>
      <c r="Z35" s="13">
        <v>7.5800000000000006E-2</v>
      </c>
      <c r="AA35" s="13">
        <v>7.9500000000000001E-2</v>
      </c>
      <c r="AB35" s="34">
        <v>8.3400000000000002E-2</v>
      </c>
    </row>
    <row r="36" spans="2:28" ht="15" thickBot="1" x14ac:dyDescent="0.35">
      <c r="B36" s="25" t="s">
        <v>136</v>
      </c>
      <c r="C36" s="45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45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34">
        <v>0</v>
      </c>
    </row>
    <row r="37" spans="2:28" x14ac:dyDescent="0.3">
      <c r="B37" s="18" t="s">
        <v>129</v>
      </c>
      <c r="C37" s="44">
        <v>0.89237160000000004</v>
      </c>
      <c r="D37" s="42">
        <v>1.0328312000000002</v>
      </c>
      <c r="E37" s="42">
        <v>1.17333164</v>
      </c>
      <c r="F37" s="42">
        <v>1.2297626000000002</v>
      </c>
      <c r="G37" s="42">
        <v>1.2863505200000001</v>
      </c>
      <c r="H37" s="42">
        <v>1.7201570500000001</v>
      </c>
      <c r="I37" s="42">
        <v>2.1541215999999999</v>
      </c>
      <c r="J37" s="42">
        <v>2.4350344399999999</v>
      </c>
      <c r="K37" s="42">
        <v>2.71610394</v>
      </c>
      <c r="L37" s="42">
        <v>2.8980348799999995</v>
      </c>
      <c r="M37" s="42">
        <v>3.0797371800000004</v>
      </c>
      <c r="N37" s="42">
        <v>3.2990830299999998</v>
      </c>
      <c r="O37" s="42">
        <v>3.4496961599999998</v>
      </c>
      <c r="P37" s="44">
        <v>3.8271912000000001</v>
      </c>
      <c r="Q37" s="42">
        <v>4.2379660399999999</v>
      </c>
      <c r="R37" s="42">
        <v>4.6826964799999997</v>
      </c>
      <c r="S37" s="42">
        <v>5.1631787200000003</v>
      </c>
      <c r="T37" s="42">
        <v>5.6910697199999998</v>
      </c>
      <c r="U37" s="42">
        <v>6.2594733600000003</v>
      </c>
      <c r="V37" s="42">
        <v>6.8704501599999999</v>
      </c>
      <c r="W37" s="42">
        <v>7.5368412000000005</v>
      </c>
      <c r="X37" s="42">
        <v>8.0582683999999993</v>
      </c>
      <c r="Y37" s="42">
        <v>8.6180732400000011</v>
      </c>
      <c r="Z37" s="42">
        <v>9.2052732800000001</v>
      </c>
      <c r="AA37" s="42">
        <v>9.8329097999999995</v>
      </c>
      <c r="AB37" s="43">
        <v>10.502094959999999</v>
      </c>
    </row>
    <row r="38" spans="2:28" x14ac:dyDescent="0.3">
      <c r="B38" s="22" t="s">
        <v>137</v>
      </c>
      <c r="C38" s="45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45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34">
        <v>0</v>
      </c>
    </row>
    <row r="39" spans="2:28" x14ac:dyDescent="0.3">
      <c r="B39" s="22" t="s">
        <v>138</v>
      </c>
      <c r="C39" s="45">
        <v>3.1928320000000003E-2</v>
      </c>
      <c r="D39" s="13">
        <v>3.6828800000000002E-2</v>
      </c>
      <c r="E39" s="13">
        <v>4.1852979999999998E-2</v>
      </c>
      <c r="F39" s="13">
        <v>4.3931339999999999E-2</v>
      </c>
      <c r="G39" s="13">
        <v>4.6020520000000002E-2</v>
      </c>
      <c r="H39" s="13">
        <v>6.1498360000000002E-2</v>
      </c>
      <c r="I39" s="13">
        <v>7.6964600000000008E-2</v>
      </c>
      <c r="J39" s="13">
        <v>8.6864899999999995E-2</v>
      </c>
      <c r="K39" s="13">
        <v>9.6994919999999998E-2</v>
      </c>
      <c r="L39" s="13">
        <v>0.10357203999999998</v>
      </c>
      <c r="M39" s="13">
        <v>0.10990161000000001</v>
      </c>
      <c r="N39" s="13">
        <v>0.11773954</v>
      </c>
      <c r="O39" s="13">
        <v>0.12316416000000001</v>
      </c>
      <c r="P39" s="45">
        <v>0.13668539999999998</v>
      </c>
      <c r="Q39" s="13">
        <v>0.15135593</v>
      </c>
      <c r="R39" s="13">
        <v>0.16723916</v>
      </c>
      <c r="S39" s="13">
        <v>0.18439923999999999</v>
      </c>
      <c r="T39" s="13">
        <v>0.20325248999999998</v>
      </c>
      <c r="U39" s="13">
        <v>0.22355262000000001</v>
      </c>
      <c r="V39" s="13">
        <v>0.24537322000000003</v>
      </c>
      <c r="W39" s="13">
        <v>0.26917289999999999</v>
      </c>
      <c r="X39" s="13">
        <v>0.28779529999999998</v>
      </c>
      <c r="Y39" s="13">
        <v>0.30778833000000005</v>
      </c>
      <c r="Z39" s="13">
        <v>0.32875976000000007</v>
      </c>
      <c r="AA39" s="13">
        <v>0.35117535</v>
      </c>
      <c r="AB39" s="34">
        <v>0.37507482000000003</v>
      </c>
    </row>
    <row r="40" spans="2:28" ht="15" thickBot="1" x14ac:dyDescent="0.35">
      <c r="B40" s="25" t="s">
        <v>139</v>
      </c>
      <c r="C40" s="46">
        <v>0</v>
      </c>
      <c r="D40" s="32">
        <v>0</v>
      </c>
      <c r="E40" s="32">
        <v>0</v>
      </c>
      <c r="F40" s="32">
        <v>0</v>
      </c>
      <c r="G40" s="32">
        <v>0</v>
      </c>
      <c r="H40" s="32">
        <v>0</v>
      </c>
      <c r="I40" s="32">
        <v>0</v>
      </c>
      <c r="J40" s="32">
        <v>0</v>
      </c>
      <c r="K40" s="32">
        <v>0</v>
      </c>
      <c r="L40" s="32">
        <v>0</v>
      </c>
      <c r="M40" s="32">
        <v>0</v>
      </c>
      <c r="N40" s="32">
        <v>0</v>
      </c>
      <c r="O40" s="32">
        <v>0</v>
      </c>
      <c r="P40" s="46">
        <v>0</v>
      </c>
      <c r="Q40" s="32">
        <v>0</v>
      </c>
      <c r="R40" s="32">
        <v>0</v>
      </c>
      <c r="S40" s="32">
        <v>0</v>
      </c>
      <c r="T40" s="32">
        <v>0</v>
      </c>
      <c r="U40" s="32">
        <v>0</v>
      </c>
      <c r="V40" s="32">
        <v>0</v>
      </c>
      <c r="W40" s="32">
        <v>0</v>
      </c>
      <c r="X40" s="32">
        <v>0</v>
      </c>
      <c r="Y40" s="32">
        <v>0</v>
      </c>
      <c r="Z40" s="32">
        <v>0</v>
      </c>
      <c r="AA40" s="32">
        <v>0</v>
      </c>
      <c r="AB40" s="33">
        <v>0</v>
      </c>
    </row>
    <row r="43" spans="2:28" x14ac:dyDescent="0.3">
      <c r="P43" t="s">
        <v>234</v>
      </c>
    </row>
    <row r="44" spans="2:28" x14ac:dyDescent="0.3">
      <c r="B44" s="1" t="s">
        <v>235</v>
      </c>
      <c r="C44" s="13">
        <f>C32-C47</f>
        <v>0</v>
      </c>
      <c r="D44" s="13">
        <f t="shared" ref="D44:AB44" si="2">D32-D47</f>
        <v>0</v>
      </c>
      <c r="E44" s="13">
        <f t="shared" si="2"/>
        <v>0</v>
      </c>
      <c r="F44" s="13">
        <f t="shared" si="2"/>
        <v>0</v>
      </c>
      <c r="G44" s="13">
        <f t="shared" si="2"/>
        <v>0</v>
      </c>
      <c r="H44" s="13">
        <f t="shared" si="2"/>
        <v>0</v>
      </c>
      <c r="I44" s="13">
        <f t="shared" si="2"/>
        <v>0</v>
      </c>
      <c r="J44" s="13">
        <f t="shared" si="2"/>
        <v>0</v>
      </c>
      <c r="K44" s="13">
        <f t="shared" si="2"/>
        <v>0</v>
      </c>
      <c r="L44" s="13">
        <f t="shared" si="2"/>
        <v>0</v>
      </c>
      <c r="M44" s="13">
        <f t="shared" si="2"/>
        <v>0</v>
      </c>
      <c r="N44" s="13">
        <f t="shared" si="2"/>
        <v>0</v>
      </c>
      <c r="O44" s="13">
        <f t="shared" si="2"/>
        <v>0</v>
      </c>
      <c r="P44" s="13">
        <f t="shared" si="2"/>
        <v>0</v>
      </c>
      <c r="Q44" s="13">
        <f t="shared" si="2"/>
        <v>0</v>
      </c>
      <c r="R44" s="13">
        <f t="shared" si="2"/>
        <v>0</v>
      </c>
      <c r="S44" s="13">
        <f t="shared" si="2"/>
        <v>7.0000000000014495E-4</v>
      </c>
      <c r="T44" s="13">
        <f t="shared" si="2"/>
        <v>1.3999999999998458E-3</v>
      </c>
      <c r="U44" s="13">
        <f t="shared" si="2"/>
        <v>2.0000000000002238E-3</v>
      </c>
      <c r="V44" s="13">
        <f t="shared" si="2"/>
        <v>2.5000000000003908E-3</v>
      </c>
      <c r="W44" s="13">
        <f t="shared" si="2"/>
        <v>3.0000000000001137E-3</v>
      </c>
      <c r="X44" s="13">
        <f t="shared" si="2"/>
        <v>3.3999999999991815E-3</v>
      </c>
      <c r="Y44" s="13">
        <f t="shared" si="2"/>
        <v>3.8000000000000256E-3</v>
      </c>
      <c r="Z44" s="13">
        <f t="shared" si="2"/>
        <v>4.1000000000002146E-3</v>
      </c>
      <c r="AA44" s="13">
        <f t="shared" si="2"/>
        <v>4.4000000000004036E-3</v>
      </c>
      <c r="AB44" s="13">
        <f t="shared" si="2"/>
        <v>5.7999999999998053E-3</v>
      </c>
    </row>
    <row r="46" spans="2:28" ht="15" thickBot="1" x14ac:dyDescent="0.35">
      <c r="C46" s="53">
        <v>2010</v>
      </c>
      <c r="D46" s="53">
        <v>2011</v>
      </c>
      <c r="E46" s="53">
        <v>2012</v>
      </c>
      <c r="F46" s="53">
        <v>2013</v>
      </c>
      <c r="G46" s="53">
        <v>2014</v>
      </c>
      <c r="H46" s="53">
        <v>2015</v>
      </c>
      <c r="I46" s="53">
        <v>2016</v>
      </c>
      <c r="J46" s="53">
        <v>2017</v>
      </c>
      <c r="K46" s="53">
        <v>2018</v>
      </c>
      <c r="L46" s="53">
        <v>2019</v>
      </c>
      <c r="M46" s="53">
        <v>2020</v>
      </c>
      <c r="N46" s="53">
        <v>2021</v>
      </c>
      <c r="O46" s="53">
        <v>2022</v>
      </c>
      <c r="P46" s="150">
        <v>2023</v>
      </c>
      <c r="Q46" s="150">
        <v>2024</v>
      </c>
      <c r="R46" s="150">
        <v>2025</v>
      </c>
      <c r="S46" s="150">
        <v>2026</v>
      </c>
      <c r="T46" s="150">
        <v>2027</v>
      </c>
      <c r="U46" s="150">
        <v>2028</v>
      </c>
      <c r="V46" s="150">
        <v>2029</v>
      </c>
      <c r="W46" s="150">
        <v>2030</v>
      </c>
      <c r="X46" s="150">
        <v>2031</v>
      </c>
      <c r="Y46" s="150">
        <v>2032</v>
      </c>
      <c r="Z46" s="150">
        <v>2033</v>
      </c>
      <c r="AA46" s="150">
        <v>2034</v>
      </c>
      <c r="AB46" s="150">
        <v>2035</v>
      </c>
    </row>
    <row r="47" spans="2:28" ht="15" thickBot="1" x14ac:dyDescent="0.35">
      <c r="B47" s="29" t="s">
        <v>106</v>
      </c>
      <c r="C47" s="47">
        <f>ROUND(C52/C48,4)</f>
        <v>1.2472000000000001</v>
      </c>
      <c r="D47" s="35">
        <f t="shared" ref="D47:AB47" si="3">ROUND(D52/D48,4)</f>
        <v>1.3540000000000001</v>
      </c>
      <c r="E47" s="35">
        <f t="shared" si="3"/>
        <v>1.4481999999999999</v>
      </c>
      <c r="F47" s="35">
        <f t="shared" si="3"/>
        <v>1.5746</v>
      </c>
      <c r="G47" s="35">
        <f t="shared" si="3"/>
        <v>1.7108000000000001</v>
      </c>
      <c r="H47" s="35">
        <f t="shared" si="3"/>
        <v>1.9966999999999999</v>
      </c>
      <c r="I47" s="35">
        <f t="shared" si="3"/>
        <v>2.218</v>
      </c>
      <c r="J47" s="35">
        <f t="shared" si="3"/>
        <v>2.3477000000000001</v>
      </c>
      <c r="K47" s="35">
        <f t="shared" si="3"/>
        <v>2.4618000000000002</v>
      </c>
      <c r="L47" s="35">
        <f t="shared" si="3"/>
        <v>2.4777999999999998</v>
      </c>
      <c r="M47" s="35">
        <f t="shared" si="3"/>
        <v>2.4921000000000002</v>
      </c>
      <c r="N47" s="35">
        <f t="shared" si="3"/>
        <v>2.6398999999999999</v>
      </c>
      <c r="O47" s="35">
        <f t="shared" si="3"/>
        <v>2.7492000000000001</v>
      </c>
      <c r="P47" s="47">
        <f t="shared" si="3"/>
        <v>2.9081999999999999</v>
      </c>
      <c r="Q47" s="35">
        <f t="shared" si="3"/>
        <v>3.0701000000000001</v>
      </c>
      <c r="R47" s="35">
        <f t="shared" si="3"/>
        <v>3.2347999999999999</v>
      </c>
      <c r="S47" s="35">
        <f t="shared" si="3"/>
        <v>3.4015</v>
      </c>
      <c r="T47" s="35">
        <f t="shared" si="3"/>
        <v>3.5707</v>
      </c>
      <c r="U47" s="35">
        <f t="shared" si="3"/>
        <v>3.7425999999999999</v>
      </c>
      <c r="V47" s="35">
        <f t="shared" si="3"/>
        <v>3.9171999999999998</v>
      </c>
      <c r="W47" s="35">
        <f t="shared" si="3"/>
        <v>4.0940000000000003</v>
      </c>
      <c r="X47" s="35">
        <f t="shared" si="3"/>
        <v>4.1736000000000004</v>
      </c>
      <c r="Y47" s="35">
        <f t="shared" si="3"/>
        <v>4.2533000000000003</v>
      </c>
      <c r="Z47" s="35">
        <f t="shared" si="3"/>
        <v>4.3331</v>
      </c>
      <c r="AA47" s="35">
        <f t="shared" si="3"/>
        <v>4.4128999999999996</v>
      </c>
      <c r="AB47" s="36">
        <f t="shared" si="3"/>
        <v>4.4915000000000003</v>
      </c>
    </row>
    <row r="48" spans="2:28" x14ac:dyDescent="0.3">
      <c r="B48" s="18" t="s">
        <v>145</v>
      </c>
      <c r="C48" s="45">
        <v>0.71550000000000002</v>
      </c>
      <c r="D48" s="13">
        <v>0.76280000000000003</v>
      </c>
      <c r="E48" s="13">
        <v>0.81020000000000003</v>
      </c>
      <c r="F48" s="13">
        <v>0.78100000000000003</v>
      </c>
      <c r="G48" s="13">
        <v>0.75190000000000001</v>
      </c>
      <c r="H48" s="13">
        <v>0.86150000000000004</v>
      </c>
      <c r="I48" s="13">
        <v>0.97119999999999995</v>
      </c>
      <c r="J48" s="13">
        <v>1.0371999999999999</v>
      </c>
      <c r="K48" s="13">
        <v>1.1032999999999999</v>
      </c>
      <c r="L48" s="13">
        <v>1.1696</v>
      </c>
      <c r="M48" s="13">
        <v>1.2358</v>
      </c>
      <c r="N48" s="13">
        <v>1.2497</v>
      </c>
      <c r="O48" s="13">
        <v>1.2547999999999999</v>
      </c>
      <c r="P48" s="45">
        <v>1.3160000000000001</v>
      </c>
      <c r="Q48" s="13">
        <v>1.3804000000000001</v>
      </c>
      <c r="R48" s="13">
        <v>1.4476</v>
      </c>
      <c r="S48" s="13">
        <v>1.5176000000000001</v>
      </c>
      <c r="T48" s="13">
        <v>1.5931999999999999</v>
      </c>
      <c r="U48" s="13">
        <v>1.6716</v>
      </c>
      <c r="V48" s="13">
        <v>1.7527999999999999</v>
      </c>
      <c r="W48" s="13">
        <v>1.8395999999999999</v>
      </c>
      <c r="X48" s="13">
        <v>1.9292</v>
      </c>
      <c r="Y48" s="13">
        <v>2.0244</v>
      </c>
      <c r="Z48" s="13">
        <v>2.1223999999999998</v>
      </c>
      <c r="AA48" s="13">
        <v>2.226</v>
      </c>
      <c r="AB48" s="34">
        <v>2.3351999999999999</v>
      </c>
    </row>
    <row r="49" spans="2:28" x14ac:dyDescent="0.3">
      <c r="B49" s="22" t="s">
        <v>154</v>
      </c>
      <c r="C49" s="45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45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34">
        <v>0</v>
      </c>
    </row>
    <row r="50" spans="2:28" x14ac:dyDescent="0.3">
      <c r="B50" s="22" t="s">
        <v>155</v>
      </c>
      <c r="C50" s="45">
        <v>2.5600000000000001E-2</v>
      </c>
      <c r="D50" s="13">
        <v>2.7199999999999998E-2</v>
      </c>
      <c r="E50" s="13">
        <v>2.8899999999999999E-2</v>
      </c>
      <c r="F50" s="13">
        <v>2.7900000000000001E-2</v>
      </c>
      <c r="G50" s="13">
        <v>2.69E-2</v>
      </c>
      <c r="H50" s="13">
        <v>3.0800000000000001E-2</v>
      </c>
      <c r="I50" s="13">
        <v>3.4700000000000002E-2</v>
      </c>
      <c r="J50" s="13">
        <v>3.6999999999999998E-2</v>
      </c>
      <c r="K50" s="13">
        <v>3.9399999999999998E-2</v>
      </c>
      <c r="L50" s="13">
        <v>4.1799999999999997E-2</v>
      </c>
      <c r="M50" s="13">
        <v>4.41E-2</v>
      </c>
      <c r="N50" s="13">
        <v>4.4600000000000001E-2</v>
      </c>
      <c r="O50" s="13">
        <v>4.48E-2</v>
      </c>
      <c r="P50" s="45">
        <v>4.7E-2</v>
      </c>
      <c r="Q50" s="13">
        <v>4.9299999999999997E-2</v>
      </c>
      <c r="R50" s="13">
        <v>5.1700000000000003E-2</v>
      </c>
      <c r="S50" s="13">
        <v>5.4199999999999998E-2</v>
      </c>
      <c r="T50" s="13">
        <v>5.6899999999999999E-2</v>
      </c>
      <c r="U50" s="13">
        <v>5.9700000000000003E-2</v>
      </c>
      <c r="V50" s="13">
        <v>6.2600000000000003E-2</v>
      </c>
      <c r="W50" s="13">
        <v>6.5699999999999995E-2</v>
      </c>
      <c r="X50" s="13">
        <v>6.8900000000000003E-2</v>
      </c>
      <c r="Y50" s="13">
        <v>7.2300000000000003E-2</v>
      </c>
      <c r="Z50" s="13">
        <v>7.5800000000000006E-2</v>
      </c>
      <c r="AA50" s="13">
        <v>7.9500000000000001E-2</v>
      </c>
      <c r="AB50" s="34">
        <v>8.3400000000000002E-2</v>
      </c>
    </row>
    <row r="51" spans="2:28" ht="15" thickBot="1" x14ac:dyDescent="0.35">
      <c r="B51" s="25" t="s">
        <v>156</v>
      </c>
      <c r="C51" s="45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45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34">
        <v>0</v>
      </c>
    </row>
    <row r="52" spans="2:28" x14ac:dyDescent="0.3">
      <c r="B52" s="18" t="s">
        <v>149</v>
      </c>
      <c r="C52" s="44">
        <f>C37-(C21/1000)</f>
        <v>0.89237160000000004</v>
      </c>
      <c r="D52" s="42">
        <f>D37-(D21/1000)</f>
        <v>1.0328312000000002</v>
      </c>
      <c r="E52" s="42">
        <f t="shared" ref="E52:AA52" si="4">E37-(E21/1000)</f>
        <v>1.17333164</v>
      </c>
      <c r="F52" s="42">
        <f t="shared" si="4"/>
        <v>1.2297626000000002</v>
      </c>
      <c r="G52" s="42">
        <f t="shared" si="4"/>
        <v>1.2863505200000001</v>
      </c>
      <c r="H52" s="42">
        <f t="shared" si="4"/>
        <v>1.7201570500000001</v>
      </c>
      <c r="I52" s="42">
        <f t="shared" si="4"/>
        <v>2.1541215999999999</v>
      </c>
      <c r="J52" s="42">
        <f t="shared" si="4"/>
        <v>2.4350344399999999</v>
      </c>
      <c r="K52" s="42">
        <f t="shared" si="4"/>
        <v>2.71610394</v>
      </c>
      <c r="L52" s="42">
        <f t="shared" si="4"/>
        <v>2.8980348799999995</v>
      </c>
      <c r="M52" s="42">
        <f t="shared" si="4"/>
        <v>3.0797371800000004</v>
      </c>
      <c r="N52" s="42">
        <f t="shared" si="4"/>
        <v>3.2990830299999998</v>
      </c>
      <c r="O52" s="43">
        <f t="shared" si="4"/>
        <v>3.4496961599999998</v>
      </c>
      <c r="P52" s="44">
        <f t="shared" si="4"/>
        <v>3.8271912000000001</v>
      </c>
      <c r="Q52" s="42">
        <f t="shared" si="4"/>
        <v>4.2379660399999999</v>
      </c>
      <c r="R52" s="42">
        <f t="shared" si="4"/>
        <v>4.6826964799999997</v>
      </c>
      <c r="S52" s="42">
        <f t="shared" si="4"/>
        <v>5.1620787200000002</v>
      </c>
      <c r="T52" s="42">
        <f t="shared" si="4"/>
        <v>5.6888697199999996</v>
      </c>
      <c r="U52" s="42">
        <f t="shared" si="4"/>
        <v>6.25617336</v>
      </c>
      <c r="V52" s="42">
        <f t="shared" si="4"/>
        <v>6.8660501599999995</v>
      </c>
      <c r="W52" s="42">
        <f t="shared" si="4"/>
        <v>7.5313412000000008</v>
      </c>
      <c r="X52" s="42">
        <f t="shared" si="4"/>
        <v>8.0516683999999987</v>
      </c>
      <c r="Y52" s="42">
        <f t="shared" si="4"/>
        <v>8.6103732400000013</v>
      </c>
      <c r="Z52" s="42">
        <f t="shared" si="4"/>
        <v>9.1964732799999993</v>
      </c>
      <c r="AA52" s="42">
        <f t="shared" si="4"/>
        <v>9.8230097999999995</v>
      </c>
      <c r="AB52" s="43">
        <f>AB37-(AB25/1000)</f>
        <v>10.488494959999999</v>
      </c>
    </row>
    <row r="53" spans="2:28" x14ac:dyDescent="0.3">
      <c r="B53" s="22" t="s">
        <v>157</v>
      </c>
      <c r="C53" s="45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34">
        <v>0</v>
      </c>
      <c r="P53" s="45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34">
        <v>0</v>
      </c>
    </row>
    <row r="54" spans="2:28" x14ac:dyDescent="0.3">
      <c r="B54" s="22" t="s">
        <v>158</v>
      </c>
      <c r="C54" s="45">
        <f>C52/28</f>
        <v>3.1870414285714285E-2</v>
      </c>
      <c r="D54" s="13">
        <f t="shared" ref="D54:AB54" si="5">D52/28</f>
        <v>3.6886828571428575E-2</v>
      </c>
      <c r="E54" s="13">
        <f t="shared" si="5"/>
        <v>4.1904701428571431E-2</v>
      </c>
      <c r="F54" s="13">
        <f t="shared" si="5"/>
        <v>4.3920092857142864E-2</v>
      </c>
      <c r="G54" s="13">
        <f t="shared" si="5"/>
        <v>4.5941090000000004E-2</v>
      </c>
      <c r="H54" s="13">
        <f t="shared" si="5"/>
        <v>6.1434180357142862E-2</v>
      </c>
      <c r="I54" s="13">
        <f t="shared" si="5"/>
        <v>7.6932914285714277E-2</v>
      </c>
      <c r="J54" s="13">
        <f t="shared" si="5"/>
        <v>8.6965515714285707E-2</v>
      </c>
      <c r="K54" s="13">
        <f t="shared" si="5"/>
        <v>9.7003712142857149E-2</v>
      </c>
      <c r="L54" s="13">
        <f t="shared" si="5"/>
        <v>0.10350124571428569</v>
      </c>
      <c r="M54" s="13">
        <f t="shared" si="5"/>
        <v>0.10999061357142859</v>
      </c>
      <c r="N54" s="13">
        <f t="shared" si="5"/>
        <v>0.11782439392857143</v>
      </c>
      <c r="O54" s="34">
        <f t="shared" si="5"/>
        <v>0.12320343428571427</v>
      </c>
      <c r="P54" s="45">
        <f t="shared" si="5"/>
        <v>0.13668540000000001</v>
      </c>
      <c r="Q54" s="13">
        <f t="shared" si="5"/>
        <v>0.15135593</v>
      </c>
      <c r="R54" s="13">
        <f t="shared" si="5"/>
        <v>0.16723916</v>
      </c>
      <c r="S54" s="13">
        <f t="shared" si="5"/>
        <v>0.18435995428571431</v>
      </c>
      <c r="T54" s="13">
        <f t="shared" si="5"/>
        <v>0.20317391857142855</v>
      </c>
      <c r="U54" s="13">
        <f t="shared" si="5"/>
        <v>0.22343476285714287</v>
      </c>
      <c r="V54" s="13">
        <f t="shared" si="5"/>
        <v>0.24521607714285712</v>
      </c>
      <c r="W54" s="13">
        <f t="shared" si="5"/>
        <v>0.26897647142857145</v>
      </c>
      <c r="X54" s="13">
        <f t="shared" si="5"/>
        <v>0.28755958571428569</v>
      </c>
      <c r="Y54" s="13">
        <f t="shared" si="5"/>
        <v>0.30751333000000003</v>
      </c>
      <c r="Z54" s="13">
        <f t="shared" si="5"/>
        <v>0.32844547428571425</v>
      </c>
      <c r="AA54" s="13">
        <f t="shared" si="5"/>
        <v>0.35082177857142854</v>
      </c>
      <c r="AB54" s="34">
        <f t="shared" si="5"/>
        <v>0.37458910571428566</v>
      </c>
    </row>
    <row r="55" spans="2:28" ht="15" thickBot="1" x14ac:dyDescent="0.35">
      <c r="B55" s="25" t="s">
        <v>159</v>
      </c>
      <c r="C55" s="46">
        <v>0</v>
      </c>
      <c r="D55" s="32">
        <v>0</v>
      </c>
      <c r="E55" s="32">
        <v>0</v>
      </c>
      <c r="F55" s="32">
        <v>0</v>
      </c>
      <c r="G55" s="32">
        <v>0</v>
      </c>
      <c r="H55" s="32">
        <v>0</v>
      </c>
      <c r="I55" s="32">
        <v>0</v>
      </c>
      <c r="J55" s="32">
        <v>0</v>
      </c>
      <c r="K55" s="32">
        <v>0</v>
      </c>
      <c r="L55" s="32">
        <v>0</v>
      </c>
      <c r="M55" s="32">
        <v>0</v>
      </c>
      <c r="N55" s="32">
        <v>0</v>
      </c>
      <c r="O55" s="33">
        <v>0</v>
      </c>
      <c r="P55" s="46">
        <v>0</v>
      </c>
      <c r="Q55" s="32">
        <v>0</v>
      </c>
      <c r="R55" s="32">
        <v>0</v>
      </c>
      <c r="S55" s="32">
        <v>0</v>
      </c>
      <c r="T55" s="32">
        <v>0</v>
      </c>
      <c r="U55" s="32">
        <v>0</v>
      </c>
      <c r="V55" s="32">
        <v>0</v>
      </c>
      <c r="W55" s="32">
        <v>0</v>
      </c>
      <c r="X55" s="32">
        <v>0</v>
      </c>
      <c r="Y55" s="32">
        <v>0</v>
      </c>
      <c r="Z55" s="32">
        <v>0</v>
      </c>
      <c r="AA55" s="32">
        <v>0</v>
      </c>
      <c r="AB55" s="33">
        <v>0</v>
      </c>
    </row>
    <row r="57" spans="2:28" x14ac:dyDescent="0.3">
      <c r="B57" s="13"/>
      <c r="C57" s="13">
        <f t="shared" ref="C57:AA57" si="6">C37-C52</f>
        <v>0</v>
      </c>
      <c r="D57" s="13">
        <f t="shared" si="6"/>
        <v>0</v>
      </c>
      <c r="E57" s="13">
        <f t="shared" si="6"/>
        <v>0</v>
      </c>
      <c r="F57" s="13">
        <f t="shared" si="6"/>
        <v>0</v>
      </c>
      <c r="G57" s="13">
        <f t="shared" si="6"/>
        <v>0</v>
      </c>
      <c r="H57" s="13">
        <f t="shared" si="6"/>
        <v>0</v>
      </c>
      <c r="I57" s="13">
        <f t="shared" si="6"/>
        <v>0</v>
      </c>
      <c r="J57" s="13">
        <f t="shared" si="6"/>
        <v>0</v>
      </c>
      <c r="K57" s="13">
        <f t="shared" si="6"/>
        <v>0</v>
      </c>
      <c r="L57" s="13">
        <f t="shared" si="6"/>
        <v>0</v>
      </c>
      <c r="M57" s="13">
        <f t="shared" si="6"/>
        <v>0</v>
      </c>
      <c r="N57" s="13">
        <f t="shared" si="6"/>
        <v>0</v>
      </c>
      <c r="O57" s="13">
        <f t="shared" si="6"/>
        <v>0</v>
      </c>
      <c r="P57" s="13">
        <f t="shared" si="6"/>
        <v>0</v>
      </c>
      <c r="Q57" s="13">
        <f t="shared" si="6"/>
        <v>0</v>
      </c>
      <c r="R57" s="13">
        <f t="shared" si="6"/>
        <v>0</v>
      </c>
      <c r="S57" s="13">
        <f t="shared" si="6"/>
        <v>1.1000000000001009E-3</v>
      </c>
      <c r="T57" s="13">
        <f t="shared" si="6"/>
        <v>2.2000000000002018E-3</v>
      </c>
      <c r="U57" s="13">
        <f t="shared" si="6"/>
        <v>3.3000000000003027E-3</v>
      </c>
      <c r="V57" s="13">
        <f t="shared" si="6"/>
        <v>4.4000000000004036E-3</v>
      </c>
      <c r="W57" s="13">
        <f t="shared" si="6"/>
        <v>5.4999999999996163E-3</v>
      </c>
      <c r="X57" s="13">
        <f t="shared" si="6"/>
        <v>6.6000000000006054E-3</v>
      </c>
      <c r="Y57" s="13">
        <f t="shared" si="6"/>
        <v>7.6999999999998181E-3</v>
      </c>
      <c r="Z57" s="13">
        <f t="shared" si="6"/>
        <v>8.8000000000008072E-3</v>
      </c>
      <c r="AA57" s="13">
        <f t="shared" si="6"/>
        <v>9.9000000000000199E-3</v>
      </c>
      <c r="AB57" s="13">
        <f>AB37-AB52</f>
        <v>1.3600000000000279E-2</v>
      </c>
    </row>
    <row r="61" spans="2:28" x14ac:dyDescent="0.3">
      <c r="B61" s="1" t="s">
        <v>236</v>
      </c>
    </row>
    <row r="62" spans="2:28" ht="15" thickBot="1" x14ac:dyDescent="0.35">
      <c r="C62" s="53">
        <v>2010</v>
      </c>
      <c r="D62" s="53">
        <v>2011</v>
      </c>
      <c r="E62" s="53">
        <v>2012</v>
      </c>
      <c r="F62" s="53">
        <v>2013</v>
      </c>
      <c r="G62" s="53">
        <v>2014</v>
      </c>
      <c r="H62" s="53">
        <v>2015</v>
      </c>
      <c r="I62" s="53">
        <v>2016</v>
      </c>
      <c r="J62" s="53">
        <v>2017</v>
      </c>
      <c r="K62" s="53">
        <v>2018</v>
      </c>
      <c r="L62" s="53">
        <v>2019</v>
      </c>
      <c r="M62" s="53">
        <v>2020</v>
      </c>
      <c r="N62" s="53">
        <v>2021</v>
      </c>
      <c r="O62" s="53">
        <v>2022</v>
      </c>
      <c r="P62" s="150">
        <v>2023</v>
      </c>
      <c r="Q62" s="150">
        <v>2024</v>
      </c>
      <c r="R62" s="150">
        <v>2025</v>
      </c>
      <c r="S62" s="150">
        <v>2026</v>
      </c>
      <c r="T62" s="150">
        <v>2027</v>
      </c>
      <c r="U62" s="150">
        <v>2028</v>
      </c>
      <c r="V62" s="150">
        <v>2029</v>
      </c>
      <c r="W62" s="150">
        <v>2030</v>
      </c>
      <c r="X62" s="150">
        <v>2031</v>
      </c>
      <c r="Y62" s="150">
        <v>2032</v>
      </c>
      <c r="Z62" s="150">
        <v>2033</v>
      </c>
      <c r="AA62" s="150">
        <v>2034</v>
      </c>
      <c r="AB62" s="150">
        <v>2035</v>
      </c>
    </row>
    <row r="63" spans="2:28" ht="15" thickBot="1" x14ac:dyDescent="0.35">
      <c r="B63" s="29" t="s">
        <v>106</v>
      </c>
      <c r="C63" s="18">
        <v>5.4999999999999997E-3</v>
      </c>
      <c r="D63" s="19">
        <v>6.4000000000000003E-3</v>
      </c>
      <c r="E63" s="19">
        <v>7.3000000000000001E-3</v>
      </c>
      <c r="F63" s="19">
        <v>2.2200000000000001E-2</v>
      </c>
      <c r="G63" s="19">
        <v>3.7199999999999997E-2</v>
      </c>
      <c r="H63" s="19">
        <v>3.2199999999999999E-2</v>
      </c>
      <c r="I63" s="19">
        <v>2.7199999999999998E-2</v>
      </c>
      <c r="J63" s="19">
        <v>3.0499999999999999E-2</v>
      </c>
      <c r="K63" s="19">
        <v>3.3799999999999997E-2</v>
      </c>
      <c r="L63" s="19">
        <v>3.5299999999999998E-2</v>
      </c>
      <c r="M63" s="19">
        <v>3.6799999999999999E-2</v>
      </c>
      <c r="N63" s="19">
        <v>3.85E-2</v>
      </c>
      <c r="O63" s="21">
        <v>3.3700000000000001E-2</v>
      </c>
      <c r="P63" s="18">
        <v>3.56E-2</v>
      </c>
      <c r="Q63" s="19">
        <v>3.7600000000000001E-2</v>
      </c>
      <c r="R63" s="19">
        <v>3.9600000000000003E-2</v>
      </c>
      <c r="S63" s="19">
        <v>4.1700000000000001E-2</v>
      </c>
      <c r="T63" s="19">
        <v>4.3700000000000003E-2</v>
      </c>
      <c r="U63" s="19">
        <v>4.5900000000000003E-2</v>
      </c>
      <c r="V63" s="19">
        <v>4.8000000000000001E-2</v>
      </c>
      <c r="W63" s="19">
        <v>5.0200000000000002E-2</v>
      </c>
      <c r="X63" s="19">
        <v>5.1200000000000002E-2</v>
      </c>
      <c r="Y63" s="19">
        <v>5.21E-2</v>
      </c>
      <c r="Z63" s="19">
        <v>5.3100000000000001E-2</v>
      </c>
      <c r="AA63" s="19">
        <v>5.4100000000000002E-2</v>
      </c>
      <c r="AB63" s="21">
        <v>5.5100000000000003E-2</v>
      </c>
    </row>
    <row r="64" spans="2:28" x14ac:dyDescent="0.3">
      <c r="B64" s="22" t="s">
        <v>145</v>
      </c>
      <c r="C64" s="44">
        <v>0.1915</v>
      </c>
      <c r="D64" s="42">
        <v>0.1915</v>
      </c>
      <c r="E64" s="42">
        <v>0.1915</v>
      </c>
      <c r="F64" s="42">
        <v>0.1915</v>
      </c>
      <c r="G64" s="42">
        <v>0.1915</v>
      </c>
      <c r="H64" s="42">
        <v>0.1915</v>
      </c>
      <c r="I64" s="42">
        <v>0.1915</v>
      </c>
      <c r="J64" s="42">
        <v>0.1915</v>
      </c>
      <c r="K64" s="42">
        <v>0.1915</v>
      </c>
      <c r="L64" s="42">
        <v>0.1915</v>
      </c>
      <c r="M64" s="42">
        <v>0.1915</v>
      </c>
      <c r="N64" s="42">
        <v>0.1915</v>
      </c>
      <c r="O64" s="42">
        <v>0.1915</v>
      </c>
      <c r="P64" s="44">
        <v>0.1915</v>
      </c>
      <c r="Q64" s="42">
        <v>0.1915</v>
      </c>
      <c r="R64" s="42">
        <v>0.1915</v>
      </c>
      <c r="S64" s="42">
        <v>0.1915</v>
      </c>
      <c r="T64" s="42">
        <v>0.1915</v>
      </c>
      <c r="U64" s="42">
        <v>0.1915</v>
      </c>
      <c r="V64" s="42">
        <v>0.1915</v>
      </c>
      <c r="W64" s="42">
        <v>0.1915</v>
      </c>
      <c r="X64" s="42">
        <v>0.1915</v>
      </c>
      <c r="Y64" s="42">
        <v>0.1915</v>
      </c>
      <c r="Z64" s="42">
        <v>0.1915</v>
      </c>
      <c r="AA64" s="42">
        <v>0.1915</v>
      </c>
      <c r="AB64" s="43">
        <v>0.1915</v>
      </c>
    </row>
    <row r="65" spans="2:28" x14ac:dyDescent="0.3">
      <c r="B65" s="22" t="s">
        <v>154</v>
      </c>
      <c r="C65" s="45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45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34">
        <v>0</v>
      </c>
    </row>
    <row r="66" spans="2:28" x14ac:dyDescent="0.3">
      <c r="B66" s="22" t="s">
        <v>155</v>
      </c>
      <c r="C66" s="45">
        <v>4.0000000000000001E-3</v>
      </c>
      <c r="D66" s="13">
        <v>4.0000000000000001E-3</v>
      </c>
      <c r="E66" s="13">
        <v>4.0000000000000001E-3</v>
      </c>
      <c r="F66" s="13">
        <v>4.0000000000000001E-3</v>
      </c>
      <c r="G66" s="13">
        <v>4.0000000000000001E-3</v>
      </c>
      <c r="H66" s="13">
        <v>4.0000000000000001E-3</v>
      </c>
      <c r="I66" s="13">
        <v>4.0000000000000001E-3</v>
      </c>
      <c r="J66" s="13">
        <v>4.0000000000000001E-3</v>
      </c>
      <c r="K66" s="13">
        <v>4.0000000000000001E-3</v>
      </c>
      <c r="L66" s="13">
        <v>4.0000000000000001E-3</v>
      </c>
      <c r="M66" s="13">
        <v>4.0000000000000001E-3</v>
      </c>
      <c r="N66" s="13">
        <v>4.0000000000000001E-3</v>
      </c>
      <c r="O66" s="13">
        <v>4.0000000000000001E-3</v>
      </c>
      <c r="P66" s="45">
        <v>4.0000000000000001E-3</v>
      </c>
      <c r="Q66" s="13">
        <v>4.0000000000000001E-3</v>
      </c>
      <c r="R66" s="13">
        <v>4.0000000000000001E-3</v>
      </c>
      <c r="S66" s="13">
        <v>4.0000000000000001E-3</v>
      </c>
      <c r="T66" s="13">
        <v>4.0000000000000001E-3</v>
      </c>
      <c r="U66" s="13">
        <v>4.0000000000000001E-3</v>
      </c>
      <c r="V66" s="13">
        <v>4.0000000000000001E-3</v>
      </c>
      <c r="W66" s="13">
        <v>4.0000000000000001E-3</v>
      </c>
      <c r="X66" s="13">
        <v>4.0000000000000001E-3</v>
      </c>
      <c r="Y66" s="13">
        <v>4.0000000000000001E-3</v>
      </c>
      <c r="Z66" s="13">
        <v>4.0000000000000001E-3</v>
      </c>
      <c r="AA66" s="13">
        <v>4.0000000000000001E-3</v>
      </c>
      <c r="AB66" s="34">
        <v>4.0000000000000001E-3</v>
      </c>
    </row>
    <row r="67" spans="2:28" ht="15" thickBot="1" x14ac:dyDescent="0.35">
      <c r="B67" s="25" t="s">
        <v>156</v>
      </c>
      <c r="C67" s="22">
        <v>2.9999999999999997E-4</v>
      </c>
      <c r="D67">
        <v>2.9999999999999997E-4</v>
      </c>
      <c r="E67">
        <v>2.9999999999999997E-4</v>
      </c>
      <c r="F67">
        <v>2.9999999999999997E-4</v>
      </c>
      <c r="G67">
        <v>2.9999999999999997E-4</v>
      </c>
      <c r="H67">
        <v>2.9999999999999997E-4</v>
      </c>
      <c r="I67">
        <v>2.9999999999999997E-4</v>
      </c>
      <c r="J67">
        <v>2.9999999999999997E-4</v>
      </c>
      <c r="K67">
        <v>2.9999999999999997E-4</v>
      </c>
      <c r="L67">
        <v>2.9999999999999997E-4</v>
      </c>
      <c r="M67">
        <v>2.9999999999999997E-4</v>
      </c>
      <c r="N67">
        <v>2.9999999999999997E-4</v>
      </c>
      <c r="O67">
        <v>2.9999999999999997E-4</v>
      </c>
      <c r="P67" s="22">
        <v>2.9999999999999997E-4</v>
      </c>
      <c r="Q67">
        <v>2.9999999999999997E-4</v>
      </c>
      <c r="R67">
        <v>2.9999999999999997E-4</v>
      </c>
      <c r="S67">
        <v>2.9999999999999997E-4</v>
      </c>
      <c r="T67">
        <v>2.9999999999999997E-4</v>
      </c>
      <c r="U67">
        <v>2.9999999999999997E-4</v>
      </c>
      <c r="V67">
        <v>2.9999999999999997E-4</v>
      </c>
      <c r="W67">
        <v>2.9999999999999997E-4</v>
      </c>
      <c r="X67">
        <v>2.9999999999999997E-4</v>
      </c>
      <c r="Y67">
        <v>2.9999999999999997E-4</v>
      </c>
      <c r="Z67">
        <v>2.9999999999999997E-4</v>
      </c>
      <c r="AA67">
        <v>2.9999999999999997E-4</v>
      </c>
      <c r="AB67" s="24">
        <v>2.9999999999999997E-4</v>
      </c>
    </row>
    <row r="68" spans="2:28" x14ac:dyDescent="0.3">
      <c r="B68" s="18" t="s">
        <v>149</v>
      </c>
      <c r="C68" s="44">
        <f>C63*C64</f>
        <v>1.0532499999999999E-3</v>
      </c>
      <c r="D68" s="42">
        <f t="shared" ref="D68:AB68" si="7">D63*D64</f>
        <v>1.2256000000000001E-3</v>
      </c>
      <c r="E68" s="42">
        <f t="shared" si="7"/>
        <v>1.39795E-3</v>
      </c>
      <c r="F68" s="42">
        <f t="shared" si="7"/>
        <v>4.2513000000000004E-3</v>
      </c>
      <c r="G68" s="42">
        <f t="shared" si="7"/>
        <v>7.1237999999999996E-3</v>
      </c>
      <c r="H68" s="42">
        <f t="shared" si="7"/>
        <v>6.1663000000000004E-3</v>
      </c>
      <c r="I68" s="42">
        <f t="shared" si="7"/>
        <v>5.2087999999999995E-3</v>
      </c>
      <c r="J68" s="42">
        <f t="shared" si="7"/>
        <v>5.8407499999999996E-3</v>
      </c>
      <c r="K68" s="42">
        <f t="shared" si="7"/>
        <v>6.4726999999999996E-3</v>
      </c>
      <c r="L68" s="42">
        <f t="shared" si="7"/>
        <v>6.7599499999999998E-3</v>
      </c>
      <c r="M68" s="42">
        <f t="shared" si="7"/>
        <v>7.0472E-3</v>
      </c>
      <c r="N68" s="42">
        <f t="shared" si="7"/>
        <v>7.37275E-3</v>
      </c>
      <c r="O68" s="42">
        <f t="shared" si="7"/>
        <v>6.4535500000000006E-3</v>
      </c>
      <c r="P68" s="44">
        <f t="shared" si="7"/>
        <v>6.8174000000000004E-3</v>
      </c>
      <c r="Q68" s="42">
        <f t="shared" si="7"/>
        <v>7.2004E-3</v>
      </c>
      <c r="R68" s="42">
        <f t="shared" si="7"/>
        <v>7.5834000000000006E-3</v>
      </c>
      <c r="S68" s="42">
        <f t="shared" si="7"/>
        <v>7.985550000000001E-3</v>
      </c>
      <c r="T68" s="42">
        <f t="shared" si="7"/>
        <v>8.3685500000000006E-3</v>
      </c>
      <c r="U68" s="42">
        <f t="shared" si="7"/>
        <v>8.7898500000000001E-3</v>
      </c>
      <c r="V68" s="42">
        <f t="shared" si="7"/>
        <v>9.1920000000000005E-3</v>
      </c>
      <c r="W68" s="42">
        <f t="shared" si="7"/>
        <v>9.6133E-3</v>
      </c>
      <c r="X68" s="42">
        <f t="shared" si="7"/>
        <v>9.8048000000000007E-3</v>
      </c>
      <c r="Y68" s="42">
        <f t="shared" si="7"/>
        <v>9.9771500000000006E-3</v>
      </c>
      <c r="Z68" s="42">
        <f t="shared" si="7"/>
        <v>1.0168650000000001E-2</v>
      </c>
      <c r="AA68" s="42">
        <f t="shared" si="7"/>
        <v>1.036015E-2</v>
      </c>
      <c r="AB68" s="43">
        <f t="shared" si="7"/>
        <v>1.0551650000000001E-2</v>
      </c>
    </row>
    <row r="69" spans="2:28" x14ac:dyDescent="0.3">
      <c r="B69" s="22" t="s">
        <v>157</v>
      </c>
      <c r="C69" s="45">
        <f>C63*C65</f>
        <v>0</v>
      </c>
      <c r="D69" s="13">
        <f t="shared" ref="D69:AB69" si="8">D63*D65</f>
        <v>0</v>
      </c>
      <c r="E69" s="13">
        <f t="shared" si="8"/>
        <v>0</v>
      </c>
      <c r="F69" s="13">
        <f t="shared" si="8"/>
        <v>0</v>
      </c>
      <c r="G69" s="13">
        <f t="shared" si="8"/>
        <v>0</v>
      </c>
      <c r="H69" s="13">
        <f t="shared" si="8"/>
        <v>0</v>
      </c>
      <c r="I69" s="13">
        <f t="shared" si="8"/>
        <v>0</v>
      </c>
      <c r="J69" s="13">
        <f t="shared" si="8"/>
        <v>0</v>
      </c>
      <c r="K69" s="13">
        <f t="shared" si="8"/>
        <v>0</v>
      </c>
      <c r="L69" s="13">
        <f t="shared" si="8"/>
        <v>0</v>
      </c>
      <c r="M69" s="13">
        <f t="shared" si="8"/>
        <v>0</v>
      </c>
      <c r="N69" s="13">
        <f t="shared" si="8"/>
        <v>0</v>
      </c>
      <c r="O69" s="13">
        <f t="shared" si="8"/>
        <v>0</v>
      </c>
      <c r="P69" s="45">
        <f t="shared" si="8"/>
        <v>0</v>
      </c>
      <c r="Q69" s="13">
        <f t="shared" si="8"/>
        <v>0</v>
      </c>
      <c r="R69" s="13">
        <f t="shared" si="8"/>
        <v>0</v>
      </c>
      <c r="S69" s="13">
        <f t="shared" si="8"/>
        <v>0</v>
      </c>
      <c r="T69" s="13">
        <f t="shared" si="8"/>
        <v>0</v>
      </c>
      <c r="U69" s="13">
        <f t="shared" si="8"/>
        <v>0</v>
      </c>
      <c r="V69" s="13">
        <f t="shared" si="8"/>
        <v>0</v>
      </c>
      <c r="W69" s="13">
        <f t="shared" si="8"/>
        <v>0</v>
      </c>
      <c r="X69" s="13">
        <f t="shared" si="8"/>
        <v>0</v>
      </c>
      <c r="Y69" s="13">
        <f t="shared" si="8"/>
        <v>0</v>
      </c>
      <c r="Z69" s="13">
        <f t="shared" si="8"/>
        <v>0</v>
      </c>
      <c r="AA69" s="13">
        <f t="shared" si="8"/>
        <v>0</v>
      </c>
      <c r="AB69" s="34">
        <f t="shared" si="8"/>
        <v>0</v>
      </c>
    </row>
    <row r="70" spans="2:28" x14ac:dyDescent="0.3">
      <c r="B70" s="22" t="s">
        <v>158</v>
      </c>
      <c r="C70" s="45">
        <f>C63*C66</f>
        <v>2.1999999999999999E-5</v>
      </c>
      <c r="D70" s="13">
        <f t="shared" ref="D70:AB70" si="9">D63*D66</f>
        <v>2.5600000000000002E-5</v>
      </c>
      <c r="E70" s="13">
        <f t="shared" si="9"/>
        <v>2.9200000000000002E-5</v>
      </c>
      <c r="F70" s="13">
        <f t="shared" si="9"/>
        <v>8.8800000000000004E-5</v>
      </c>
      <c r="G70" s="13">
        <f t="shared" si="9"/>
        <v>1.4879999999999998E-4</v>
      </c>
      <c r="H70" s="13">
        <f t="shared" si="9"/>
        <v>1.2880000000000001E-4</v>
      </c>
      <c r="I70" s="13">
        <f t="shared" si="9"/>
        <v>1.088E-4</v>
      </c>
      <c r="J70" s="13">
        <f t="shared" si="9"/>
        <v>1.22E-4</v>
      </c>
      <c r="K70" s="13">
        <f t="shared" si="9"/>
        <v>1.3519999999999998E-4</v>
      </c>
      <c r="L70" s="13">
        <f t="shared" si="9"/>
        <v>1.4119999999999999E-4</v>
      </c>
      <c r="M70" s="13">
        <f t="shared" si="9"/>
        <v>1.472E-4</v>
      </c>
      <c r="N70" s="13">
        <f t="shared" si="9"/>
        <v>1.54E-4</v>
      </c>
      <c r="O70" s="13">
        <f t="shared" si="9"/>
        <v>1.348E-4</v>
      </c>
      <c r="P70" s="45">
        <f t="shared" si="9"/>
        <v>1.4239999999999999E-4</v>
      </c>
      <c r="Q70" s="13">
        <f t="shared" si="9"/>
        <v>1.504E-4</v>
      </c>
      <c r="R70" s="13">
        <f t="shared" si="9"/>
        <v>1.5840000000000003E-4</v>
      </c>
      <c r="S70" s="13">
        <f t="shared" si="9"/>
        <v>1.6680000000000002E-4</v>
      </c>
      <c r="T70" s="13">
        <f t="shared" si="9"/>
        <v>1.7480000000000002E-4</v>
      </c>
      <c r="U70" s="13">
        <f t="shared" si="9"/>
        <v>1.8360000000000002E-4</v>
      </c>
      <c r="V70" s="13">
        <f t="shared" si="9"/>
        <v>1.92E-4</v>
      </c>
      <c r="W70" s="13">
        <f t="shared" si="9"/>
        <v>2.008E-4</v>
      </c>
      <c r="X70" s="13">
        <f t="shared" si="9"/>
        <v>2.0480000000000002E-4</v>
      </c>
      <c r="Y70" s="13">
        <f t="shared" si="9"/>
        <v>2.084E-4</v>
      </c>
      <c r="Z70" s="13">
        <f t="shared" si="9"/>
        <v>2.1240000000000001E-4</v>
      </c>
      <c r="AA70" s="13">
        <f t="shared" si="9"/>
        <v>2.164E-4</v>
      </c>
      <c r="AB70" s="34">
        <f t="shared" si="9"/>
        <v>2.2040000000000002E-4</v>
      </c>
    </row>
    <row r="71" spans="2:28" ht="15" thickBot="1" x14ac:dyDescent="0.35">
      <c r="B71" s="25" t="s">
        <v>159</v>
      </c>
      <c r="C71" s="46">
        <f>C63*C67</f>
        <v>1.6499999999999997E-6</v>
      </c>
      <c r="D71" s="32">
        <f t="shared" ref="D71:AB71" si="10">D63*D67</f>
        <v>1.9199999999999998E-6</v>
      </c>
      <c r="E71" s="32">
        <f t="shared" si="10"/>
        <v>2.1899999999999998E-6</v>
      </c>
      <c r="F71" s="32">
        <f t="shared" si="10"/>
        <v>6.6599999999999998E-6</v>
      </c>
      <c r="G71" s="32">
        <f t="shared" si="10"/>
        <v>1.1159999999999998E-5</v>
      </c>
      <c r="H71" s="32">
        <f t="shared" si="10"/>
        <v>9.659999999999999E-6</v>
      </c>
      <c r="I71" s="32">
        <f t="shared" si="10"/>
        <v>8.1599999999999981E-6</v>
      </c>
      <c r="J71" s="32">
        <f t="shared" si="10"/>
        <v>9.1499999999999988E-6</v>
      </c>
      <c r="K71" s="32">
        <f t="shared" si="10"/>
        <v>1.0139999999999998E-5</v>
      </c>
      <c r="L71" s="32">
        <f t="shared" si="10"/>
        <v>1.0589999999999999E-5</v>
      </c>
      <c r="M71" s="32">
        <f t="shared" si="10"/>
        <v>1.1039999999999999E-5</v>
      </c>
      <c r="N71" s="32">
        <f t="shared" si="10"/>
        <v>1.155E-5</v>
      </c>
      <c r="O71" s="32">
        <f t="shared" si="10"/>
        <v>1.011E-5</v>
      </c>
      <c r="P71" s="46">
        <f t="shared" si="10"/>
        <v>1.0679999999999999E-5</v>
      </c>
      <c r="Q71" s="32">
        <f t="shared" si="10"/>
        <v>1.1279999999999999E-5</v>
      </c>
      <c r="R71" s="32">
        <f t="shared" si="10"/>
        <v>1.188E-5</v>
      </c>
      <c r="S71" s="32">
        <f t="shared" si="10"/>
        <v>1.2509999999999999E-5</v>
      </c>
      <c r="T71" s="32">
        <f t="shared" si="10"/>
        <v>1.311E-5</v>
      </c>
      <c r="U71" s="32">
        <f t="shared" si="10"/>
        <v>1.377E-5</v>
      </c>
      <c r="V71" s="32">
        <f t="shared" si="10"/>
        <v>1.4399999999999999E-5</v>
      </c>
      <c r="W71" s="32">
        <f t="shared" si="10"/>
        <v>1.506E-5</v>
      </c>
      <c r="X71" s="32">
        <f t="shared" si="10"/>
        <v>1.5359999999999999E-5</v>
      </c>
      <c r="Y71" s="32">
        <f t="shared" si="10"/>
        <v>1.5629999999999998E-5</v>
      </c>
      <c r="Z71" s="32">
        <f t="shared" si="10"/>
        <v>1.5929999999999998E-5</v>
      </c>
      <c r="AA71" s="32">
        <f t="shared" si="10"/>
        <v>1.6229999999999999E-5</v>
      </c>
      <c r="AB71" s="33">
        <f t="shared" si="10"/>
        <v>1.6529999999999999E-5</v>
      </c>
    </row>
    <row r="75" spans="2:28" x14ac:dyDescent="0.3">
      <c r="B75" s="1" t="s">
        <v>237</v>
      </c>
    </row>
    <row r="77" spans="2:28" ht="15" thickBot="1" x14ac:dyDescent="0.35">
      <c r="C77" s="53">
        <v>2010</v>
      </c>
      <c r="D77" s="53">
        <v>2011</v>
      </c>
      <c r="E77" s="53">
        <v>2012</v>
      </c>
      <c r="F77" s="53">
        <v>2013</v>
      </c>
      <c r="G77" s="53">
        <v>2014</v>
      </c>
      <c r="H77" s="53">
        <v>2015</v>
      </c>
      <c r="I77" s="53">
        <v>2016</v>
      </c>
      <c r="J77" s="53">
        <v>2017</v>
      </c>
      <c r="K77" s="53">
        <v>2018</v>
      </c>
      <c r="L77" s="53">
        <v>2019</v>
      </c>
      <c r="M77" s="53">
        <v>2020</v>
      </c>
      <c r="N77" s="53">
        <v>2021</v>
      </c>
      <c r="O77" s="53">
        <v>2022</v>
      </c>
      <c r="P77" s="150">
        <v>2023</v>
      </c>
      <c r="Q77" s="150">
        <v>2024</v>
      </c>
      <c r="R77" s="150">
        <v>2025</v>
      </c>
      <c r="S77" s="150">
        <v>2026</v>
      </c>
      <c r="T77" s="150">
        <v>2027</v>
      </c>
      <c r="U77" s="150">
        <v>2028</v>
      </c>
      <c r="V77" s="150">
        <v>2029</v>
      </c>
      <c r="W77" s="150">
        <v>2030</v>
      </c>
      <c r="X77" s="150">
        <v>2031</v>
      </c>
      <c r="Y77" s="150">
        <v>2032</v>
      </c>
      <c r="Z77" s="150">
        <v>2033</v>
      </c>
      <c r="AA77" s="150">
        <v>2034</v>
      </c>
      <c r="AB77" s="150">
        <v>2035</v>
      </c>
    </row>
    <row r="78" spans="2:28" ht="15" thickBot="1" x14ac:dyDescent="0.35">
      <c r="B78" s="29" t="s">
        <v>106</v>
      </c>
      <c r="C78" s="47">
        <f>C63+C57</f>
        <v>5.4999999999999997E-3</v>
      </c>
      <c r="D78" s="35">
        <f t="shared" ref="D78:AB78" si="11">D63+D57</f>
        <v>6.4000000000000003E-3</v>
      </c>
      <c r="E78" s="35">
        <f t="shared" si="11"/>
        <v>7.3000000000000001E-3</v>
      </c>
      <c r="F78" s="35">
        <f t="shared" si="11"/>
        <v>2.2200000000000001E-2</v>
      </c>
      <c r="G78" s="35">
        <f t="shared" si="11"/>
        <v>3.7199999999999997E-2</v>
      </c>
      <c r="H78" s="35">
        <f t="shared" si="11"/>
        <v>3.2199999999999999E-2</v>
      </c>
      <c r="I78" s="35">
        <f t="shared" si="11"/>
        <v>2.7199999999999998E-2</v>
      </c>
      <c r="J78" s="35">
        <f t="shared" si="11"/>
        <v>3.0499999999999999E-2</v>
      </c>
      <c r="K78" s="35">
        <f t="shared" si="11"/>
        <v>3.3799999999999997E-2</v>
      </c>
      <c r="L78" s="35">
        <f t="shared" si="11"/>
        <v>3.5299999999999998E-2</v>
      </c>
      <c r="M78" s="35">
        <f t="shared" si="11"/>
        <v>3.6799999999999999E-2</v>
      </c>
      <c r="N78" s="35">
        <f t="shared" si="11"/>
        <v>3.85E-2</v>
      </c>
      <c r="O78" s="35">
        <f t="shared" si="11"/>
        <v>3.3700000000000001E-2</v>
      </c>
      <c r="P78" s="47">
        <f t="shared" si="11"/>
        <v>3.56E-2</v>
      </c>
      <c r="Q78" s="35">
        <f t="shared" si="11"/>
        <v>3.7600000000000001E-2</v>
      </c>
      <c r="R78" s="35">
        <f t="shared" si="11"/>
        <v>3.9600000000000003E-2</v>
      </c>
      <c r="S78" s="35">
        <f t="shared" si="11"/>
        <v>4.2800000000000102E-2</v>
      </c>
      <c r="T78" s="35">
        <f t="shared" si="11"/>
        <v>4.5900000000000205E-2</v>
      </c>
      <c r="U78" s="35">
        <f t="shared" si="11"/>
        <v>4.9200000000000306E-2</v>
      </c>
      <c r="V78" s="35">
        <f t="shared" si="11"/>
        <v>5.2400000000000405E-2</v>
      </c>
      <c r="W78" s="35">
        <f t="shared" si="11"/>
        <v>5.5699999999999618E-2</v>
      </c>
      <c r="X78" s="35">
        <f t="shared" si="11"/>
        <v>5.7800000000000608E-2</v>
      </c>
      <c r="Y78" s="35">
        <f t="shared" si="11"/>
        <v>5.9799999999999819E-2</v>
      </c>
      <c r="Z78" s="35">
        <f t="shared" si="11"/>
        <v>6.1900000000000809E-2</v>
      </c>
      <c r="AA78" s="35">
        <f t="shared" si="11"/>
        <v>6.4000000000000029E-2</v>
      </c>
      <c r="AB78" s="36">
        <f t="shared" si="11"/>
        <v>6.8700000000000289E-2</v>
      </c>
    </row>
    <row r="79" spans="2:28" x14ac:dyDescent="0.3">
      <c r="B79" s="22" t="s">
        <v>145</v>
      </c>
      <c r="C79" s="45">
        <v>0.1915</v>
      </c>
      <c r="D79" s="13">
        <v>0.1915</v>
      </c>
      <c r="E79" s="13">
        <v>0.1915</v>
      </c>
      <c r="F79" s="13">
        <v>0.1915</v>
      </c>
      <c r="G79" s="13">
        <v>0.1915</v>
      </c>
      <c r="H79" s="13">
        <v>0.1915</v>
      </c>
      <c r="I79" s="13">
        <v>0.1915</v>
      </c>
      <c r="J79" s="13">
        <v>0.1915</v>
      </c>
      <c r="K79" s="13">
        <v>0.1915</v>
      </c>
      <c r="L79" s="13">
        <v>0.1915</v>
      </c>
      <c r="M79" s="13">
        <v>0.1915</v>
      </c>
      <c r="N79" s="13">
        <v>0.1915</v>
      </c>
      <c r="O79" s="13">
        <v>0.1915</v>
      </c>
      <c r="P79" s="45">
        <v>0.1915</v>
      </c>
      <c r="Q79" s="13">
        <v>0.1915</v>
      </c>
      <c r="R79" s="13">
        <v>0.1915</v>
      </c>
      <c r="S79" s="13">
        <v>0.1915</v>
      </c>
      <c r="T79" s="13">
        <v>0.1915</v>
      </c>
      <c r="U79" s="13">
        <v>0.1915</v>
      </c>
      <c r="V79" s="13">
        <v>0.1915</v>
      </c>
      <c r="W79" s="13">
        <v>0.1915</v>
      </c>
      <c r="X79" s="13">
        <v>0.1915</v>
      </c>
      <c r="Y79" s="13">
        <v>0.1915</v>
      </c>
      <c r="Z79" s="13">
        <v>0.1915</v>
      </c>
      <c r="AA79" s="13">
        <v>0.1915</v>
      </c>
      <c r="AB79" s="34">
        <v>0.1915</v>
      </c>
    </row>
    <row r="80" spans="2:28" x14ac:dyDescent="0.3">
      <c r="B80" s="22" t="s">
        <v>154</v>
      </c>
      <c r="C80" s="45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45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34">
        <v>0</v>
      </c>
    </row>
    <row r="81" spans="2:28" x14ac:dyDescent="0.3">
      <c r="B81" s="22" t="s">
        <v>155</v>
      </c>
      <c r="C81" s="45">
        <v>4.0000000000000001E-3</v>
      </c>
      <c r="D81" s="13">
        <v>4.0000000000000001E-3</v>
      </c>
      <c r="E81" s="13">
        <v>4.0000000000000001E-3</v>
      </c>
      <c r="F81" s="13">
        <v>4.0000000000000001E-3</v>
      </c>
      <c r="G81" s="13">
        <v>4.0000000000000001E-3</v>
      </c>
      <c r="H81" s="13">
        <v>4.0000000000000001E-3</v>
      </c>
      <c r="I81" s="13">
        <v>4.0000000000000001E-3</v>
      </c>
      <c r="J81" s="13">
        <v>4.0000000000000001E-3</v>
      </c>
      <c r="K81" s="13">
        <v>4.0000000000000001E-3</v>
      </c>
      <c r="L81" s="13">
        <v>4.0000000000000001E-3</v>
      </c>
      <c r="M81" s="13">
        <v>4.0000000000000001E-3</v>
      </c>
      <c r="N81" s="13">
        <v>4.0000000000000001E-3</v>
      </c>
      <c r="O81" s="13">
        <v>4.0000000000000001E-3</v>
      </c>
      <c r="P81" s="45">
        <v>4.0000000000000001E-3</v>
      </c>
      <c r="Q81" s="13">
        <v>4.0000000000000001E-3</v>
      </c>
      <c r="R81" s="13">
        <v>4.0000000000000001E-3</v>
      </c>
      <c r="S81" s="13">
        <v>4.0000000000000001E-3</v>
      </c>
      <c r="T81" s="13">
        <v>4.0000000000000001E-3</v>
      </c>
      <c r="U81" s="13">
        <v>4.0000000000000001E-3</v>
      </c>
      <c r="V81" s="13">
        <v>4.0000000000000001E-3</v>
      </c>
      <c r="W81" s="13">
        <v>4.0000000000000001E-3</v>
      </c>
      <c r="X81" s="13">
        <v>4.0000000000000001E-3</v>
      </c>
      <c r="Y81" s="13">
        <v>4.0000000000000001E-3</v>
      </c>
      <c r="Z81" s="13">
        <v>4.0000000000000001E-3</v>
      </c>
      <c r="AA81" s="13">
        <v>4.0000000000000001E-3</v>
      </c>
      <c r="AB81" s="34">
        <v>4.0000000000000001E-3</v>
      </c>
    </row>
    <row r="82" spans="2:28" ht="15" thickBot="1" x14ac:dyDescent="0.35">
      <c r="B82" s="25" t="s">
        <v>156</v>
      </c>
      <c r="C82" s="22">
        <v>2.9999999999999997E-4</v>
      </c>
      <c r="D82">
        <v>2.9999999999999997E-4</v>
      </c>
      <c r="E82">
        <v>2.9999999999999997E-4</v>
      </c>
      <c r="F82">
        <v>2.9999999999999997E-4</v>
      </c>
      <c r="G82">
        <v>2.9999999999999997E-4</v>
      </c>
      <c r="H82">
        <v>2.9999999999999997E-4</v>
      </c>
      <c r="I82">
        <v>2.9999999999999997E-4</v>
      </c>
      <c r="J82">
        <v>2.9999999999999997E-4</v>
      </c>
      <c r="K82">
        <v>2.9999999999999997E-4</v>
      </c>
      <c r="L82">
        <v>2.9999999999999997E-4</v>
      </c>
      <c r="M82">
        <v>2.9999999999999997E-4</v>
      </c>
      <c r="N82">
        <v>2.9999999999999997E-4</v>
      </c>
      <c r="O82">
        <v>2.9999999999999997E-4</v>
      </c>
      <c r="P82" s="22">
        <v>2.9999999999999997E-4</v>
      </c>
      <c r="Q82">
        <v>2.9999999999999997E-4</v>
      </c>
      <c r="R82">
        <v>2.9999999999999997E-4</v>
      </c>
      <c r="S82">
        <v>2.9999999999999997E-4</v>
      </c>
      <c r="T82">
        <v>2.9999999999999997E-4</v>
      </c>
      <c r="U82">
        <v>2.9999999999999997E-4</v>
      </c>
      <c r="V82">
        <v>2.9999999999999997E-4</v>
      </c>
      <c r="W82">
        <v>2.9999999999999997E-4</v>
      </c>
      <c r="X82">
        <v>2.9999999999999997E-4</v>
      </c>
      <c r="Y82">
        <v>2.9999999999999997E-4</v>
      </c>
      <c r="Z82">
        <v>2.9999999999999997E-4</v>
      </c>
      <c r="AA82">
        <v>2.9999999999999997E-4</v>
      </c>
      <c r="AB82" s="24">
        <v>2.9999999999999997E-4</v>
      </c>
    </row>
    <row r="83" spans="2:28" x14ac:dyDescent="0.3">
      <c r="B83" s="18" t="s">
        <v>149</v>
      </c>
      <c r="C83" s="44">
        <f>C78*C79</f>
        <v>1.0532499999999999E-3</v>
      </c>
      <c r="D83" s="42">
        <f t="shared" ref="D83:AB83" si="12">D78*D79</f>
        <v>1.2256000000000001E-3</v>
      </c>
      <c r="E83" s="42">
        <f t="shared" si="12"/>
        <v>1.39795E-3</v>
      </c>
      <c r="F83" s="42">
        <f t="shared" si="12"/>
        <v>4.2513000000000004E-3</v>
      </c>
      <c r="G83" s="42">
        <f t="shared" si="12"/>
        <v>7.1237999999999996E-3</v>
      </c>
      <c r="H83" s="42">
        <f t="shared" si="12"/>
        <v>6.1663000000000004E-3</v>
      </c>
      <c r="I83" s="42">
        <f t="shared" si="12"/>
        <v>5.2087999999999995E-3</v>
      </c>
      <c r="J83" s="42">
        <f t="shared" si="12"/>
        <v>5.8407499999999996E-3</v>
      </c>
      <c r="K83" s="42">
        <f t="shared" si="12"/>
        <v>6.4726999999999996E-3</v>
      </c>
      <c r="L83" s="42">
        <f t="shared" si="12"/>
        <v>6.7599499999999998E-3</v>
      </c>
      <c r="M83" s="42">
        <f t="shared" si="12"/>
        <v>7.0472E-3</v>
      </c>
      <c r="N83" s="42">
        <f t="shared" si="12"/>
        <v>7.37275E-3</v>
      </c>
      <c r="O83" s="42">
        <f t="shared" si="12"/>
        <v>6.4535500000000006E-3</v>
      </c>
      <c r="P83" s="44">
        <f t="shared" si="12"/>
        <v>6.8174000000000004E-3</v>
      </c>
      <c r="Q83" s="42">
        <f t="shared" si="12"/>
        <v>7.2004E-3</v>
      </c>
      <c r="R83" s="42">
        <f t="shared" si="12"/>
        <v>7.5834000000000006E-3</v>
      </c>
      <c r="S83" s="42">
        <f t="shared" si="12"/>
        <v>8.1962000000000198E-3</v>
      </c>
      <c r="T83" s="42">
        <f t="shared" si="12"/>
        <v>8.78985000000004E-3</v>
      </c>
      <c r="U83" s="42">
        <f t="shared" si="12"/>
        <v>9.4218000000000583E-3</v>
      </c>
      <c r="V83" s="42">
        <f t="shared" si="12"/>
        <v>1.0034600000000077E-2</v>
      </c>
      <c r="W83" s="42">
        <f t="shared" si="12"/>
        <v>1.0666549999999927E-2</v>
      </c>
      <c r="X83" s="42">
        <f t="shared" si="12"/>
        <v>1.1068700000000117E-2</v>
      </c>
      <c r="Y83" s="42">
        <f t="shared" si="12"/>
        <v>1.1451699999999966E-2</v>
      </c>
      <c r="Z83" s="42">
        <f t="shared" si="12"/>
        <v>1.1853850000000155E-2</v>
      </c>
      <c r="AA83" s="42">
        <f t="shared" si="12"/>
        <v>1.2256000000000006E-2</v>
      </c>
      <c r="AB83" s="43">
        <f t="shared" si="12"/>
        <v>1.3156050000000056E-2</v>
      </c>
    </row>
    <row r="84" spans="2:28" x14ac:dyDescent="0.3">
      <c r="B84" s="22" t="s">
        <v>157</v>
      </c>
      <c r="C84" s="45">
        <f>C78*C80</f>
        <v>0</v>
      </c>
      <c r="D84" s="13">
        <f t="shared" ref="D84:AB84" si="13">D78*D80</f>
        <v>0</v>
      </c>
      <c r="E84" s="13">
        <f t="shared" si="13"/>
        <v>0</v>
      </c>
      <c r="F84" s="13">
        <f t="shared" si="13"/>
        <v>0</v>
      </c>
      <c r="G84" s="13">
        <f t="shared" si="13"/>
        <v>0</v>
      </c>
      <c r="H84" s="13">
        <f t="shared" si="13"/>
        <v>0</v>
      </c>
      <c r="I84" s="13">
        <f t="shared" si="13"/>
        <v>0</v>
      </c>
      <c r="J84" s="13">
        <f t="shared" si="13"/>
        <v>0</v>
      </c>
      <c r="K84" s="13">
        <f t="shared" si="13"/>
        <v>0</v>
      </c>
      <c r="L84" s="13">
        <f t="shared" si="13"/>
        <v>0</v>
      </c>
      <c r="M84" s="13">
        <f t="shared" si="13"/>
        <v>0</v>
      </c>
      <c r="N84" s="13">
        <f t="shared" si="13"/>
        <v>0</v>
      </c>
      <c r="O84" s="13">
        <f t="shared" si="13"/>
        <v>0</v>
      </c>
      <c r="P84" s="45">
        <f t="shared" si="13"/>
        <v>0</v>
      </c>
      <c r="Q84" s="13">
        <f t="shared" si="13"/>
        <v>0</v>
      </c>
      <c r="R84" s="13">
        <f t="shared" si="13"/>
        <v>0</v>
      </c>
      <c r="S84" s="13">
        <f t="shared" si="13"/>
        <v>0</v>
      </c>
      <c r="T84" s="13">
        <f t="shared" si="13"/>
        <v>0</v>
      </c>
      <c r="U84" s="13">
        <f t="shared" si="13"/>
        <v>0</v>
      </c>
      <c r="V84" s="13">
        <f t="shared" si="13"/>
        <v>0</v>
      </c>
      <c r="W84" s="13">
        <f t="shared" si="13"/>
        <v>0</v>
      </c>
      <c r="X84" s="13">
        <f t="shared" si="13"/>
        <v>0</v>
      </c>
      <c r="Y84" s="13">
        <f t="shared" si="13"/>
        <v>0</v>
      </c>
      <c r="Z84" s="13">
        <f t="shared" si="13"/>
        <v>0</v>
      </c>
      <c r="AA84" s="13">
        <f t="shared" si="13"/>
        <v>0</v>
      </c>
      <c r="AB84" s="34">
        <f t="shared" si="13"/>
        <v>0</v>
      </c>
    </row>
    <row r="85" spans="2:28" x14ac:dyDescent="0.3">
      <c r="B85" s="22" t="s">
        <v>158</v>
      </c>
      <c r="C85" s="45">
        <f>C78*C81</f>
        <v>2.1999999999999999E-5</v>
      </c>
      <c r="D85" s="13">
        <f t="shared" ref="D85:AB85" si="14">D78*D81</f>
        <v>2.5600000000000002E-5</v>
      </c>
      <c r="E85" s="13">
        <f t="shared" si="14"/>
        <v>2.9200000000000002E-5</v>
      </c>
      <c r="F85" s="13">
        <f t="shared" si="14"/>
        <v>8.8800000000000004E-5</v>
      </c>
      <c r="G85" s="13">
        <f t="shared" si="14"/>
        <v>1.4879999999999998E-4</v>
      </c>
      <c r="H85" s="13">
        <f t="shared" si="14"/>
        <v>1.2880000000000001E-4</v>
      </c>
      <c r="I85" s="13">
        <f t="shared" si="14"/>
        <v>1.088E-4</v>
      </c>
      <c r="J85" s="13">
        <f t="shared" si="14"/>
        <v>1.22E-4</v>
      </c>
      <c r="K85" s="13">
        <f t="shared" si="14"/>
        <v>1.3519999999999998E-4</v>
      </c>
      <c r="L85" s="13">
        <f t="shared" si="14"/>
        <v>1.4119999999999999E-4</v>
      </c>
      <c r="M85" s="13">
        <f t="shared" si="14"/>
        <v>1.472E-4</v>
      </c>
      <c r="N85" s="13">
        <f t="shared" si="14"/>
        <v>1.54E-4</v>
      </c>
      <c r="O85" s="13">
        <f t="shared" si="14"/>
        <v>1.348E-4</v>
      </c>
      <c r="P85" s="45">
        <f t="shared" si="14"/>
        <v>1.4239999999999999E-4</v>
      </c>
      <c r="Q85" s="13">
        <f t="shared" si="14"/>
        <v>1.504E-4</v>
      </c>
      <c r="R85" s="13">
        <f t="shared" si="14"/>
        <v>1.5840000000000003E-4</v>
      </c>
      <c r="S85" s="13">
        <f t="shared" si="14"/>
        <v>1.7120000000000042E-4</v>
      </c>
      <c r="T85" s="13">
        <f t="shared" si="14"/>
        <v>1.8360000000000083E-4</v>
      </c>
      <c r="U85" s="13">
        <f t="shared" si="14"/>
        <v>1.9680000000000123E-4</v>
      </c>
      <c r="V85" s="13">
        <f t="shared" si="14"/>
        <v>2.0960000000000163E-4</v>
      </c>
      <c r="W85" s="13">
        <f t="shared" si="14"/>
        <v>2.2279999999999848E-4</v>
      </c>
      <c r="X85" s="13">
        <f t="shared" si="14"/>
        <v>2.3120000000000245E-4</v>
      </c>
      <c r="Y85" s="13">
        <f t="shared" si="14"/>
        <v>2.3919999999999928E-4</v>
      </c>
      <c r="Z85" s="13">
        <f t="shared" si="14"/>
        <v>2.4760000000000325E-4</v>
      </c>
      <c r="AA85" s="13">
        <f t="shared" si="14"/>
        <v>2.560000000000001E-4</v>
      </c>
      <c r="AB85" s="34">
        <f t="shared" si="14"/>
        <v>2.7480000000000115E-4</v>
      </c>
    </row>
    <row r="86" spans="2:28" ht="15" thickBot="1" x14ac:dyDescent="0.35">
      <c r="B86" s="25" t="s">
        <v>159</v>
      </c>
      <c r="C86" s="46">
        <f>C78*C82</f>
        <v>1.6499999999999997E-6</v>
      </c>
      <c r="D86" s="32">
        <f t="shared" ref="D86:AB86" si="15">D78*D82</f>
        <v>1.9199999999999998E-6</v>
      </c>
      <c r="E86" s="32">
        <f t="shared" si="15"/>
        <v>2.1899999999999998E-6</v>
      </c>
      <c r="F86" s="32">
        <f t="shared" si="15"/>
        <v>6.6599999999999998E-6</v>
      </c>
      <c r="G86" s="32">
        <f t="shared" si="15"/>
        <v>1.1159999999999998E-5</v>
      </c>
      <c r="H86" s="32">
        <f t="shared" si="15"/>
        <v>9.659999999999999E-6</v>
      </c>
      <c r="I86" s="32">
        <f t="shared" si="15"/>
        <v>8.1599999999999981E-6</v>
      </c>
      <c r="J86" s="32">
        <f t="shared" si="15"/>
        <v>9.1499999999999988E-6</v>
      </c>
      <c r="K86" s="32">
        <f t="shared" si="15"/>
        <v>1.0139999999999998E-5</v>
      </c>
      <c r="L86" s="32">
        <f t="shared" si="15"/>
        <v>1.0589999999999999E-5</v>
      </c>
      <c r="M86" s="32">
        <f t="shared" si="15"/>
        <v>1.1039999999999999E-5</v>
      </c>
      <c r="N86" s="32">
        <f t="shared" si="15"/>
        <v>1.155E-5</v>
      </c>
      <c r="O86" s="32">
        <f t="shared" si="15"/>
        <v>1.011E-5</v>
      </c>
      <c r="P86" s="46">
        <f t="shared" si="15"/>
        <v>1.0679999999999999E-5</v>
      </c>
      <c r="Q86" s="32">
        <f t="shared" si="15"/>
        <v>1.1279999999999999E-5</v>
      </c>
      <c r="R86" s="32">
        <f t="shared" si="15"/>
        <v>1.188E-5</v>
      </c>
      <c r="S86" s="32">
        <f t="shared" si="15"/>
        <v>1.284000000000003E-5</v>
      </c>
      <c r="T86" s="32">
        <f t="shared" si="15"/>
        <v>1.377000000000006E-5</v>
      </c>
      <c r="U86" s="32">
        <f t="shared" si="15"/>
        <v>1.4760000000000091E-5</v>
      </c>
      <c r="V86" s="32">
        <f t="shared" si="15"/>
        <v>1.5720000000000121E-5</v>
      </c>
      <c r="W86" s="32">
        <f t="shared" si="15"/>
        <v>1.6709999999999882E-5</v>
      </c>
      <c r="X86" s="32">
        <f t="shared" si="15"/>
        <v>1.734000000000018E-5</v>
      </c>
      <c r="Y86" s="32">
        <f t="shared" si="15"/>
        <v>1.7939999999999943E-5</v>
      </c>
      <c r="Z86" s="32">
        <f t="shared" si="15"/>
        <v>1.8570000000000241E-5</v>
      </c>
      <c r="AA86" s="32">
        <f t="shared" si="15"/>
        <v>1.9200000000000006E-5</v>
      </c>
      <c r="AB86" s="33">
        <f t="shared" si="15"/>
        <v>2.0610000000000086E-5</v>
      </c>
    </row>
    <row r="88" spans="2:28" x14ac:dyDescent="0.3">
      <c r="B88" s="1" t="s">
        <v>238</v>
      </c>
      <c r="C88" s="13">
        <f t="shared" ref="C88:AA88" si="16">C37+C68</f>
        <v>0.89342485000000005</v>
      </c>
      <c r="D88" s="13">
        <f t="shared" si="16"/>
        <v>1.0340568000000001</v>
      </c>
      <c r="E88" s="13">
        <f t="shared" si="16"/>
        <v>1.1747295900000001</v>
      </c>
      <c r="F88" s="13">
        <f t="shared" si="16"/>
        <v>1.2340139000000001</v>
      </c>
      <c r="G88" s="13">
        <f t="shared" si="16"/>
        <v>1.2934743200000001</v>
      </c>
      <c r="H88" s="13">
        <f t="shared" si="16"/>
        <v>1.7263233500000001</v>
      </c>
      <c r="I88" s="13">
        <f t="shared" si="16"/>
        <v>2.1593304</v>
      </c>
      <c r="J88" s="13">
        <f t="shared" si="16"/>
        <v>2.4408751899999999</v>
      </c>
      <c r="K88" s="13">
        <f t="shared" si="16"/>
        <v>2.7225766400000002</v>
      </c>
      <c r="L88" s="13">
        <f t="shared" si="16"/>
        <v>2.9047948299999997</v>
      </c>
      <c r="M88" s="13">
        <f t="shared" si="16"/>
        <v>3.0867843800000005</v>
      </c>
      <c r="N88" s="13">
        <f t="shared" si="16"/>
        <v>3.3064557799999998</v>
      </c>
      <c r="O88" s="13">
        <f t="shared" si="16"/>
        <v>3.4561497099999996</v>
      </c>
      <c r="P88" s="13">
        <f t="shared" si="16"/>
        <v>3.8340086000000002</v>
      </c>
      <c r="Q88" s="13">
        <f t="shared" si="16"/>
        <v>4.2451664400000002</v>
      </c>
      <c r="R88" s="13">
        <f t="shared" si="16"/>
        <v>4.6902798799999994</v>
      </c>
      <c r="S88" s="13">
        <f t="shared" si="16"/>
        <v>5.1711642700000002</v>
      </c>
      <c r="T88" s="13">
        <f t="shared" si="16"/>
        <v>5.6994382699999999</v>
      </c>
      <c r="U88" s="13">
        <f t="shared" si="16"/>
        <v>6.2682632100000006</v>
      </c>
      <c r="V88" s="13">
        <f t="shared" si="16"/>
        <v>6.8796421599999995</v>
      </c>
      <c r="W88" s="13">
        <f t="shared" si="16"/>
        <v>7.5464545000000003</v>
      </c>
      <c r="X88" s="13">
        <f t="shared" si="16"/>
        <v>8.0680731999999988</v>
      </c>
      <c r="Y88" s="13">
        <f t="shared" si="16"/>
        <v>8.6280503900000003</v>
      </c>
      <c r="Z88" s="13">
        <f t="shared" si="16"/>
        <v>9.2154419300000008</v>
      </c>
      <c r="AA88" s="13">
        <f t="shared" si="16"/>
        <v>9.8432699499999998</v>
      </c>
      <c r="AB88" s="13">
        <f>AB37+AB68</f>
        <v>10.512646609999999</v>
      </c>
    </row>
    <row r="89" spans="2:28" x14ac:dyDescent="0.3">
      <c r="B89" s="1" t="s">
        <v>239</v>
      </c>
      <c r="C89" s="13">
        <f t="shared" ref="C89:AA89" si="17">C83+C52</f>
        <v>0.89342485000000005</v>
      </c>
      <c r="D89" s="13">
        <f t="shared" si="17"/>
        <v>1.0340568000000001</v>
      </c>
      <c r="E89" s="13">
        <f t="shared" si="17"/>
        <v>1.1747295900000001</v>
      </c>
      <c r="F89" s="13">
        <f t="shared" si="17"/>
        <v>1.2340139000000001</v>
      </c>
      <c r="G89" s="13">
        <f t="shared" si="17"/>
        <v>1.2934743200000001</v>
      </c>
      <c r="H89" s="13">
        <f t="shared" si="17"/>
        <v>1.7263233500000001</v>
      </c>
      <c r="I89" s="13">
        <f t="shared" si="17"/>
        <v>2.1593304</v>
      </c>
      <c r="J89" s="13">
        <f t="shared" si="17"/>
        <v>2.4408751899999999</v>
      </c>
      <c r="K89" s="13">
        <f t="shared" si="17"/>
        <v>2.7225766400000002</v>
      </c>
      <c r="L89" s="13">
        <f t="shared" si="17"/>
        <v>2.9047948299999997</v>
      </c>
      <c r="M89" s="13">
        <f t="shared" si="17"/>
        <v>3.0867843800000005</v>
      </c>
      <c r="N89" s="13">
        <f t="shared" si="17"/>
        <v>3.3064557799999998</v>
      </c>
      <c r="O89" s="13">
        <f t="shared" si="17"/>
        <v>3.4561497099999996</v>
      </c>
      <c r="P89" s="13">
        <f t="shared" si="17"/>
        <v>3.8340086000000002</v>
      </c>
      <c r="Q89" s="13">
        <f t="shared" si="17"/>
        <v>4.2451664400000002</v>
      </c>
      <c r="R89" s="13">
        <f t="shared" si="17"/>
        <v>4.6902798799999994</v>
      </c>
      <c r="S89" s="13">
        <f t="shared" si="17"/>
        <v>5.1702749200000007</v>
      </c>
      <c r="T89" s="13">
        <f t="shared" si="17"/>
        <v>5.6976595699999999</v>
      </c>
      <c r="U89" s="13">
        <f t="shared" si="17"/>
        <v>6.2655951600000002</v>
      </c>
      <c r="V89" s="13">
        <f t="shared" si="17"/>
        <v>6.8760847599999995</v>
      </c>
      <c r="W89" s="13">
        <f t="shared" si="17"/>
        <v>7.5420077500000007</v>
      </c>
      <c r="X89" s="13">
        <f t="shared" si="17"/>
        <v>8.0627370999999997</v>
      </c>
      <c r="Y89" s="13">
        <f t="shared" si="17"/>
        <v>8.6218249400000015</v>
      </c>
      <c r="Z89" s="13">
        <f t="shared" si="17"/>
        <v>9.2083271299999989</v>
      </c>
      <c r="AA89" s="13">
        <f t="shared" si="17"/>
        <v>9.8352658000000002</v>
      </c>
      <c r="AB89" s="13">
        <f>AB83+AB52</f>
        <v>10.501651009999998</v>
      </c>
    </row>
    <row r="90" spans="2:28" x14ac:dyDescent="0.3">
      <c r="B90" s="1" t="s">
        <v>240</v>
      </c>
      <c r="C90" s="13">
        <f t="shared" ref="C90:AA90" si="18">C88-C89</f>
        <v>0</v>
      </c>
      <c r="D90" s="13">
        <f t="shared" si="18"/>
        <v>0</v>
      </c>
      <c r="E90" s="13">
        <f t="shared" si="18"/>
        <v>0</v>
      </c>
      <c r="F90" s="13">
        <f t="shared" si="18"/>
        <v>0</v>
      </c>
      <c r="G90" s="13">
        <f t="shared" si="18"/>
        <v>0</v>
      </c>
      <c r="H90" s="13">
        <f t="shared" si="18"/>
        <v>0</v>
      </c>
      <c r="I90" s="13">
        <f t="shared" si="18"/>
        <v>0</v>
      </c>
      <c r="J90" s="13">
        <f t="shared" si="18"/>
        <v>0</v>
      </c>
      <c r="K90" s="13">
        <f t="shared" si="18"/>
        <v>0</v>
      </c>
      <c r="L90" s="13">
        <f t="shared" si="18"/>
        <v>0</v>
      </c>
      <c r="M90" s="13">
        <f t="shared" si="18"/>
        <v>0</v>
      </c>
      <c r="N90" s="13">
        <f t="shared" si="18"/>
        <v>0</v>
      </c>
      <c r="O90" s="13">
        <f t="shared" si="18"/>
        <v>0</v>
      </c>
      <c r="P90" s="13">
        <f t="shared" si="18"/>
        <v>0</v>
      </c>
      <c r="Q90" s="13">
        <f t="shared" si="18"/>
        <v>0</v>
      </c>
      <c r="R90" s="13">
        <f t="shared" si="18"/>
        <v>0</v>
      </c>
      <c r="S90" s="13">
        <f t="shared" si="18"/>
        <v>8.8934999999956688E-4</v>
      </c>
      <c r="T90" s="13">
        <f t="shared" si="18"/>
        <v>1.7787000000000219E-3</v>
      </c>
      <c r="U90" s="13">
        <f t="shared" si="18"/>
        <v>2.668050000000477E-3</v>
      </c>
      <c r="V90" s="13">
        <f t="shared" si="18"/>
        <v>3.5574000000000439E-3</v>
      </c>
      <c r="W90" s="13">
        <f t="shared" si="18"/>
        <v>4.4467499999996107E-3</v>
      </c>
      <c r="X90" s="13">
        <f t="shared" si="18"/>
        <v>5.3360999999991776E-3</v>
      </c>
      <c r="Y90" s="13">
        <f t="shared" si="18"/>
        <v>6.2254499999987445E-3</v>
      </c>
      <c r="Z90" s="13">
        <f t="shared" si="18"/>
        <v>7.1148000000018641E-3</v>
      </c>
      <c r="AA90" s="13">
        <f t="shared" si="18"/>
        <v>8.0041499999996546E-3</v>
      </c>
      <c r="AB90" s="13">
        <f>AB88-AB89</f>
        <v>1.0995600000001104E-2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57400-94C4-4054-8B02-C07A4E384D3A}">
  <sheetPr>
    <tabColor theme="9" tint="0.59999389629810485"/>
  </sheetPr>
  <dimension ref="B4:AB90"/>
  <sheetViews>
    <sheetView workbookViewId="0">
      <selection activeCell="B36" sqref="B36"/>
    </sheetView>
  </sheetViews>
  <sheetFormatPr defaultRowHeight="14.4" x14ac:dyDescent="0.3"/>
  <cols>
    <col min="2" max="2" width="76.44140625" customWidth="1"/>
    <col min="3" max="3" width="11.6640625" bestFit="1" customWidth="1"/>
    <col min="28" max="28" width="9.5546875" bestFit="1" customWidth="1"/>
  </cols>
  <sheetData>
    <row r="4" spans="2:28" x14ac:dyDescent="0.3">
      <c r="C4" t="s">
        <v>224</v>
      </c>
    </row>
    <row r="6" spans="2:28" x14ac:dyDescent="0.3">
      <c r="C6">
        <v>2010</v>
      </c>
      <c r="D6">
        <v>2011</v>
      </c>
      <c r="E6">
        <v>2012</v>
      </c>
      <c r="F6">
        <v>2013</v>
      </c>
      <c r="G6">
        <v>2014</v>
      </c>
      <c r="H6">
        <v>2015</v>
      </c>
      <c r="I6">
        <v>2016</v>
      </c>
      <c r="J6">
        <v>2017</v>
      </c>
      <c r="K6">
        <v>2018</v>
      </c>
      <c r="L6">
        <v>2019</v>
      </c>
      <c r="M6">
        <v>2020</v>
      </c>
      <c r="N6">
        <v>2021</v>
      </c>
      <c r="O6">
        <v>2022</v>
      </c>
      <c r="P6">
        <v>2023</v>
      </c>
      <c r="Q6">
        <v>2024</v>
      </c>
      <c r="R6">
        <v>2025</v>
      </c>
      <c r="S6">
        <v>2026</v>
      </c>
      <c r="T6">
        <v>2027</v>
      </c>
      <c r="U6">
        <v>2028</v>
      </c>
      <c r="V6">
        <v>2029</v>
      </c>
      <c r="W6">
        <v>2030</v>
      </c>
      <c r="X6">
        <v>2031</v>
      </c>
      <c r="Y6">
        <v>2032</v>
      </c>
      <c r="Z6">
        <v>2033</v>
      </c>
      <c r="AA6">
        <v>2034</v>
      </c>
      <c r="AB6">
        <v>2035</v>
      </c>
    </row>
    <row r="7" spans="2:28" x14ac:dyDescent="0.3">
      <c r="B7">
        <v>1</v>
      </c>
      <c r="C7" s="152">
        <v>0</v>
      </c>
      <c r="D7" s="152">
        <v>0</v>
      </c>
      <c r="E7" s="152">
        <v>0</v>
      </c>
      <c r="F7" s="152">
        <v>0</v>
      </c>
      <c r="G7" s="152">
        <v>0</v>
      </c>
      <c r="H7" s="152">
        <v>0</v>
      </c>
      <c r="I7" s="152">
        <v>0</v>
      </c>
      <c r="J7" s="152">
        <v>0</v>
      </c>
      <c r="K7" s="152">
        <v>0</v>
      </c>
      <c r="L7" s="152">
        <v>0</v>
      </c>
      <c r="M7" s="152">
        <v>0</v>
      </c>
      <c r="N7" s="152">
        <v>0</v>
      </c>
      <c r="O7" s="152">
        <v>0</v>
      </c>
      <c r="P7" s="152">
        <v>0</v>
      </c>
      <c r="Q7" s="152">
        <v>0</v>
      </c>
      <c r="R7" s="152">
        <v>0</v>
      </c>
      <c r="S7" s="152">
        <v>1.1000000000000001</v>
      </c>
      <c r="T7" s="152">
        <v>2.2000000000000002</v>
      </c>
      <c r="U7" s="152">
        <v>3.3</v>
      </c>
      <c r="V7" s="152">
        <v>4.3999999999999995</v>
      </c>
      <c r="W7" s="152">
        <v>5.5</v>
      </c>
      <c r="X7" s="152">
        <v>6.6</v>
      </c>
      <c r="Y7" s="152">
        <v>7.6999999999999993</v>
      </c>
      <c r="Z7" s="152">
        <v>8.7999999999999989</v>
      </c>
      <c r="AA7" s="152">
        <v>9.8999999999999986</v>
      </c>
      <c r="AB7" s="152">
        <v>10.999999999999998</v>
      </c>
    </row>
    <row r="10" spans="2:28" x14ac:dyDescent="0.3">
      <c r="C10" s="1"/>
    </row>
    <row r="11" spans="2:28" x14ac:dyDescent="0.3">
      <c r="C11" t="s">
        <v>225</v>
      </c>
    </row>
    <row r="13" spans="2:28" x14ac:dyDescent="0.3">
      <c r="C13">
        <v>2010</v>
      </c>
      <c r="D13">
        <v>2011</v>
      </c>
      <c r="E13">
        <v>2012</v>
      </c>
      <c r="F13">
        <v>2013</v>
      </c>
      <c r="G13">
        <v>2014</v>
      </c>
      <c r="H13">
        <v>2015</v>
      </c>
      <c r="I13">
        <v>2016</v>
      </c>
      <c r="J13">
        <v>2017</v>
      </c>
      <c r="K13">
        <v>2018</v>
      </c>
      <c r="L13">
        <v>2019</v>
      </c>
      <c r="M13">
        <v>2020</v>
      </c>
      <c r="N13">
        <v>2021</v>
      </c>
      <c r="O13">
        <v>2022</v>
      </c>
      <c r="P13">
        <v>2023</v>
      </c>
      <c r="Q13">
        <v>2024</v>
      </c>
      <c r="R13">
        <v>2025</v>
      </c>
      <c r="S13">
        <v>2026</v>
      </c>
      <c r="T13">
        <v>2027</v>
      </c>
      <c r="U13">
        <v>2028</v>
      </c>
      <c r="V13">
        <v>2029</v>
      </c>
      <c r="W13">
        <v>2030</v>
      </c>
      <c r="X13">
        <v>2031</v>
      </c>
      <c r="Y13">
        <v>2032</v>
      </c>
      <c r="Z13">
        <v>2033</v>
      </c>
      <c r="AA13">
        <v>2034</v>
      </c>
      <c r="AB13">
        <v>2035</v>
      </c>
    </row>
    <row r="14" spans="2:28" x14ac:dyDescent="0.3"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0.30624999999999969</v>
      </c>
      <c r="V14">
        <v>0.61249999999999982</v>
      </c>
      <c r="W14">
        <v>0.91874999999999996</v>
      </c>
      <c r="X14">
        <v>1.2250000000000001</v>
      </c>
      <c r="Y14">
        <v>1.5312500000000002</v>
      </c>
      <c r="Z14">
        <v>1.8375000000000001</v>
      </c>
      <c r="AA14">
        <v>2.1437500000000007</v>
      </c>
      <c r="AB14">
        <v>2.4500000000000011</v>
      </c>
    </row>
    <row r="15" spans="2:28" x14ac:dyDescent="0.3">
      <c r="B15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0.625</v>
      </c>
      <c r="V15">
        <v>1.25</v>
      </c>
      <c r="W15">
        <v>1.875</v>
      </c>
      <c r="X15">
        <v>2.5</v>
      </c>
      <c r="Y15">
        <v>3.1250000000000004</v>
      </c>
      <c r="Z15">
        <v>3.7500000000000004</v>
      </c>
      <c r="AA15">
        <v>4.375</v>
      </c>
      <c r="AB15">
        <v>5</v>
      </c>
    </row>
    <row r="20" spans="2:28" x14ac:dyDescent="0.3">
      <c r="C20">
        <v>2010</v>
      </c>
      <c r="D20">
        <v>2011</v>
      </c>
      <c r="E20">
        <v>2012</v>
      </c>
      <c r="F20">
        <v>2013</v>
      </c>
      <c r="G20">
        <v>2014</v>
      </c>
      <c r="H20">
        <v>2015</v>
      </c>
      <c r="I20">
        <v>2016</v>
      </c>
      <c r="J20">
        <v>2017</v>
      </c>
      <c r="K20">
        <v>2018</v>
      </c>
      <c r="L20">
        <v>2019</v>
      </c>
      <c r="M20">
        <v>2020</v>
      </c>
      <c r="N20">
        <v>2021</v>
      </c>
      <c r="O20">
        <v>2022</v>
      </c>
      <c r="P20">
        <v>2023</v>
      </c>
      <c r="Q20">
        <v>2024</v>
      </c>
      <c r="R20">
        <v>2025</v>
      </c>
      <c r="S20">
        <v>2026</v>
      </c>
      <c r="T20">
        <v>2027</v>
      </c>
      <c r="U20">
        <v>2028</v>
      </c>
      <c r="V20">
        <v>2029</v>
      </c>
      <c r="W20">
        <v>2030</v>
      </c>
      <c r="X20">
        <v>2031</v>
      </c>
      <c r="Y20">
        <v>2032</v>
      </c>
      <c r="Z20">
        <v>2033</v>
      </c>
      <c r="AA20">
        <v>2034</v>
      </c>
      <c r="AB20">
        <v>2035</v>
      </c>
    </row>
    <row r="21" spans="2:28" x14ac:dyDescent="0.3">
      <c r="B21" t="s">
        <v>67</v>
      </c>
      <c r="C21" s="152">
        <f>C7</f>
        <v>0</v>
      </c>
      <c r="D21" s="152">
        <f t="shared" ref="D21:AB21" si="0">D7</f>
        <v>0</v>
      </c>
      <c r="E21" s="152">
        <f t="shared" si="0"/>
        <v>0</v>
      </c>
      <c r="F21" s="152">
        <f t="shared" si="0"/>
        <v>0</v>
      </c>
      <c r="G21" s="152">
        <f t="shared" si="0"/>
        <v>0</v>
      </c>
      <c r="H21" s="152">
        <f t="shared" si="0"/>
        <v>0</v>
      </c>
      <c r="I21" s="152">
        <f t="shared" si="0"/>
        <v>0</v>
      </c>
      <c r="J21" s="152">
        <f t="shared" si="0"/>
        <v>0</v>
      </c>
      <c r="K21" s="152">
        <f t="shared" si="0"/>
        <v>0</v>
      </c>
      <c r="L21" s="152">
        <f t="shared" si="0"/>
        <v>0</v>
      </c>
      <c r="M21" s="152">
        <f t="shared" si="0"/>
        <v>0</v>
      </c>
      <c r="N21" s="152">
        <f t="shared" si="0"/>
        <v>0</v>
      </c>
      <c r="O21" s="152">
        <f t="shared" si="0"/>
        <v>0</v>
      </c>
      <c r="P21" s="152">
        <f t="shared" si="0"/>
        <v>0</v>
      </c>
      <c r="Q21" s="152">
        <f t="shared" si="0"/>
        <v>0</v>
      </c>
      <c r="R21" s="152">
        <f t="shared" si="0"/>
        <v>0</v>
      </c>
      <c r="S21" s="152">
        <f t="shared" si="0"/>
        <v>1.1000000000000001</v>
      </c>
      <c r="T21" s="152">
        <f t="shared" si="0"/>
        <v>2.2000000000000002</v>
      </c>
      <c r="U21" s="152">
        <f t="shared" si="0"/>
        <v>3.3</v>
      </c>
      <c r="V21" s="152">
        <f t="shared" si="0"/>
        <v>4.3999999999999995</v>
      </c>
      <c r="W21" s="152">
        <f t="shared" si="0"/>
        <v>5.5</v>
      </c>
      <c r="X21" s="152">
        <f t="shared" si="0"/>
        <v>6.6</v>
      </c>
      <c r="Y21" s="152">
        <f t="shared" si="0"/>
        <v>7.6999999999999993</v>
      </c>
      <c r="Z21" s="152">
        <f t="shared" si="0"/>
        <v>8.7999999999999989</v>
      </c>
      <c r="AA21" s="152">
        <f t="shared" si="0"/>
        <v>9.8999999999999986</v>
      </c>
      <c r="AB21" s="152">
        <f t="shared" si="0"/>
        <v>10.999999999999998</v>
      </c>
    </row>
    <row r="22" spans="2:28" x14ac:dyDescent="0.3">
      <c r="B22" t="s">
        <v>68</v>
      </c>
      <c r="C22" s="152">
        <f>C7+C14+C15</f>
        <v>0</v>
      </c>
      <c r="D22" s="152">
        <f t="shared" ref="D22:AB22" si="1">D7+D14+D15</f>
        <v>0</v>
      </c>
      <c r="E22" s="152">
        <f t="shared" si="1"/>
        <v>0</v>
      </c>
      <c r="F22" s="152">
        <f t="shared" si="1"/>
        <v>0</v>
      </c>
      <c r="G22" s="152">
        <f t="shared" si="1"/>
        <v>0</v>
      </c>
      <c r="H22" s="152">
        <f t="shared" si="1"/>
        <v>0</v>
      </c>
      <c r="I22" s="152">
        <f t="shared" si="1"/>
        <v>0</v>
      </c>
      <c r="J22" s="152">
        <f t="shared" si="1"/>
        <v>0</v>
      </c>
      <c r="K22" s="152">
        <f t="shared" si="1"/>
        <v>0</v>
      </c>
      <c r="L22" s="152">
        <f t="shared" si="1"/>
        <v>0</v>
      </c>
      <c r="M22" s="152">
        <f t="shared" si="1"/>
        <v>0</v>
      </c>
      <c r="N22" s="152">
        <f t="shared" si="1"/>
        <v>0</v>
      </c>
      <c r="O22" s="152">
        <f t="shared" si="1"/>
        <v>0</v>
      </c>
      <c r="P22" s="152">
        <f t="shared" si="1"/>
        <v>0</v>
      </c>
      <c r="Q22" s="152">
        <f t="shared" si="1"/>
        <v>0</v>
      </c>
      <c r="R22" s="152">
        <f t="shared" si="1"/>
        <v>0</v>
      </c>
      <c r="S22" s="152">
        <f t="shared" si="1"/>
        <v>1.1000000000000001</v>
      </c>
      <c r="T22" s="152">
        <f t="shared" si="1"/>
        <v>2.2000000000000002</v>
      </c>
      <c r="U22" s="152">
        <f t="shared" si="1"/>
        <v>4.2312499999999993</v>
      </c>
      <c r="V22" s="152">
        <f t="shared" si="1"/>
        <v>6.2624999999999993</v>
      </c>
      <c r="W22" s="152">
        <f t="shared" si="1"/>
        <v>8.2937499999999993</v>
      </c>
      <c r="X22" s="152">
        <f t="shared" si="1"/>
        <v>10.324999999999999</v>
      </c>
      <c r="Y22" s="152">
        <f t="shared" si="1"/>
        <v>12.356249999999999</v>
      </c>
      <c r="Z22" s="152">
        <f t="shared" si="1"/>
        <v>14.387499999999999</v>
      </c>
      <c r="AA22" s="152">
        <f t="shared" si="1"/>
        <v>16.418749999999999</v>
      </c>
      <c r="AB22" s="143">
        <f t="shared" si="1"/>
        <v>18.45</v>
      </c>
    </row>
    <row r="24" spans="2:28" x14ac:dyDescent="0.3">
      <c r="C24">
        <v>2010</v>
      </c>
      <c r="D24">
        <v>2011</v>
      </c>
      <c r="E24">
        <v>2012</v>
      </c>
      <c r="F24">
        <v>2013</v>
      </c>
      <c r="G24">
        <v>2014</v>
      </c>
      <c r="H24">
        <v>2015</v>
      </c>
      <c r="I24">
        <v>2016</v>
      </c>
      <c r="J24">
        <v>2017</v>
      </c>
      <c r="K24">
        <v>2018</v>
      </c>
      <c r="L24">
        <v>2019</v>
      </c>
      <c r="M24">
        <v>2020</v>
      </c>
      <c r="N24">
        <v>2021</v>
      </c>
      <c r="O24">
        <v>2022</v>
      </c>
      <c r="P24">
        <v>2023</v>
      </c>
      <c r="Q24">
        <v>2024</v>
      </c>
      <c r="R24">
        <v>2025</v>
      </c>
      <c r="S24">
        <v>2026</v>
      </c>
      <c r="T24">
        <v>2027</v>
      </c>
      <c r="U24">
        <v>2028</v>
      </c>
      <c r="V24">
        <v>2029</v>
      </c>
      <c r="W24">
        <v>2030</v>
      </c>
      <c r="X24">
        <v>2031</v>
      </c>
      <c r="Y24">
        <v>2032</v>
      </c>
      <c r="Z24">
        <v>2033</v>
      </c>
      <c r="AA24">
        <v>2034</v>
      </c>
      <c r="AB24">
        <v>2035</v>
      </c>
    </row>
    <row r="25" spans="2:28" x14ac:dyDescent="0.3">
      <c r="B25" t="s">
        <v>67</v>
      </c>
      <c r="C25" s="152">
        <v>0</v>
      </c>
      <c r="D25" s="152">
        <v>0</v>
      </c>
      <c r="E25" s="152">
        <v>0</v>
      </c>
      <c r="F25" s="152">
        <v>0</v>
      </c>
      <c r="G25" s="152">
        <v>0</v>
      </c>
      <c r="H25" s="152">
        <v>0</v>
      </c>
      <c r="I25" s="152">
        <v>0</v>
      </c>
      <c r="J25" s="152">
        <v>0</v>
      </c>
      <c r="K25" s="152">
        <v>0</v>
      </c>
      <c r="L25" s="152">
        <v>0</v>
      </c>
      <c r="M25" s="152">
        <v>0</v>
      </c>
      <c r="N25" s="152">
        <v>0</v>
      </c>
      <c r="O25" s="152">
        <v>0</v>
      </c>
      <c r="P25" s="152">
        <v>0</v>
      </c>
      <c r="Q25" s="152">
        <v>0</v>
      </c>
      <c r="R25" s="152">
        <v>0</v>
      </c>
      <c r="S25" s="152">
        <v>1.3599999999999994</v>
      </c>
      <c r="T25" s="152">
        <v>2.7199999999999998</v>
      </c>
      <c r="U25" s="152">
        <v>4.0799999999999992</v>
      </c>
      <c r="V25" s="152">
        <v>5.4399999999999986</v>
      </c>
      <c r="W25" s="152">
        <v>6.8</v>
      </c>
      <c r="X25" s="152">
        <v>8.16</v>
      </c>
      <c r="Y25" s="152">
        <v>9.52</v>
      </c>
      <c r="Z25" s="152">
        <v>10.879999999999999</v>
      </c>
      <c r="AA25" s="152">
        <v>12.239999999999998</v>
      </c>
      <c r="AB25" s="152">
        <v>13.599999999999998</v>
      </c>
    </row>
    <row r="26" spans="2:28" x14ac:dyDescent="0.3">
      <c r="B26" t="s">
        <v>68</v>
      </c>
      <c r="C26" s="152">
        <v>0</v>
      </c>
      <c r="D26" s="152">
        <v>0</v>
      </c>
      <c r="E26" s="152">
        <v>0</v>
      </c>
      <c r="F26" s="152">
        <v>0</v>
      </c>
      <c r="G26" s="152">
        <v>0</v>
      </c>
      <c r="H26" s="152">
        <v>0</v>
      </c>
      <c r="I26" s="152">
        <v>0</v>
      </c>
      <c r="J26" s="152">
        <v>0</v>
      </c>
      <c r="K26" s="152">
        <v>0</v>
      </c>
      <c r="L26" s="152">
        <v>0</v>
      </c>
      <c r="M26" s="152">
        <v>0</v>
      </c>
      <c r="N26" s="152">
        <v>0</v>
      </c>
      <c r="O26" s="152">
        <v>0</v>
      </c>
      <c r="P26" s="152">
        <v>0</v>
      </c>
      <c r="Q26" s="152">
        <v>0</v>
      </c>
      <c r="R26" s="152">
        <v>0</v>
      </c>
      <c r="S26" s="152">
        <v>2.282</v>
      </c>
      <c r="T26" s="152">
        <v>4.5640000000000001</v>
      </c>
      <c r="U26" s="152">
        <v>6.8460000000000001</v>
      </c>
      <c r="V26" s="152">
        <v>9.1280000000000001</v>
      </c>
      <c r="W26" s="152">
        <v>11.41</v>
      </c>
      <c r="X26" s="152">
        <v>13.692</v>
      </c>
      <c r="Y26" s="152">
        <v>15.974</v>
      </c>
      <c r="Z26" s="152">
        <v>18.256</v>
      </c>
      <c r="AA26" s="152">
        <v>20.538</v>
      </c>
      <c r="AB26" s="152">
        <v>22.82</v>
      </c>
    </row>
    <row r="29" spans="2:28" x14ac:dyDescent="0.3">
      <c r="B29" s="1" t="s">
        <v>241</v>
      </c>
    </row>
    <row r="31" spans="2:28" ht="15" thickBot="1" x14ac:dyDescent="0.35">
      <c r="C31" s="53">
        <v>2010</v>
      </c>
      <c r="D31" s="53">
        <v>2011</v>
      </c>
      <c r="E31" s="53">
        <v>2012</v>
      </c>
      <c r="F31" s="53">
        <v>2013</v>
      </c>
      <c r="G31" s="53">
        <v>2014</v>
      </c>
      <c r="H31" s="53">
        <v>2015</v>
      </c>
      <c r="I31" s="53">
        <v>2016</v>
      </c>
      <c r="J31" s="53">
        <v>2017</v>
      </c>
      <c r="K31" s="53">
        <v>2018</v>
      </c>
      <c r="L31" s="53">
        <v>2019</v>
      </c>
      <c r="M31" s="53">
        <v>2020</v>
      </c>
      <c r="N31" s="53">
        <v>2021</v>
      </c>
      <c r="O31" s="53">
        <v>2022</v>
      </c>
      <c r="P31" s="150">
        <v>2023</v>
      </c>
      <c r="Q31" s="150">
        <v>2024</v>
      </c>
      <c r="R31" s="150">
        <v>2025</v>
      </c>
      <c r="S31" s="150">
        <v>2026</v>
      </c>
      <c r="T31" s="150">
        <v>2027</v>
      </c>
      <c r="U31" s="150">
        <v>2028</v>
      </c>
      <c r="V31" s="150">
        <v>2029</v>
      </c>
      <c r="W31" s="150">
        <v>2030</v>
      </c>
      <c r="X31" s="150">
        <v>2031</v>
      </c>
      <c r="Y31" s="150">
        <v>2032</v>
      </c>
      <c r="Z31" s="150">
        <v>2033</v>
      </c>
      <c r="AA31" s="150">
        <v>2034</v>
      </c>
      <c r="AB31" s="150">
        <v>2035</v>
      </c>
    </row>
    <row r="32" spans="2:28" ht="15" thickBot="1" x14ac:dyDescent="0.35">
      <c r="B32" s="29" t="s">
        <v>106</v>
      </c>
      <c r="C32" s="44">
        <v>1.2472000000000001</v>
      </c>
      <c r="D32" s="42">
        <v>1.3540000000000001</v>
      </c>
      <c r="E32" s="42">
        <v>1.4481999999999999</v>
      </c>
      <c r="F32" s="42">
        <v>1.5746</v>
      </c>
      <c r="G32" s="42">
        <v>1.7108000000000001</v>
      </c>
      <c r="H32" s="42">
        <v>1.9966999999999999</v>
      </c>
      <c r="I32" s="42">
        <v>2.218</v>
      </c>
      <c r="J32" s="42">
        <v>2.3477000000000001</v>
      </c>
      <c r="K32" s="42">
        <v>2.4618000000000002</v>
      </c>
      <c r="L32" s="42">
        <v>2.4777999999999998</v>
      </c>
      <c r="M32" s="42">
        <v>2.4921000000000002</v>
      </c>
      <c r="N32" s="42">
        <v>2.6398999999999999</v>
      </c>
      <c r="O32" s="43">
        <v>2.7492000000000001</v>
      </c>
      <c r="P32" s="44">
        <v>2.9081999999999999</v>
      </c>
      <c r="Q32" s="42">
        <v>3.0701000000000001</v>
      </c>
      <c r="R32" s="42">
        <v>3.2347999999999999</v>
      </c>
      <c r="S32" s="42">
        <v>3.4018999999999999</v>
      </c>
      <c r="T32" s="42">
        <v>3.5716000000000001</v>
      </c>
      <c r="U32" s="42">
        <v>3.7439</v>
      </c>
      <c r="V32" s="42">
        <v>3.9188000000000001</v>
      </c>
      <c r="W32" s="42">
        <v>4.0959000000000003</v>
      </c>
      <c r="X32" s="42">
        <v>4.1757999999999997</v>
      </c>
      <c r="Y32" s="42">
        <v>4.2557</v>
      </c>
      <c r="Z32" s="42">
        <v>4.3357000000000001</v>
      </c>
      <c r="AA32" s="42">
        <v>4.4157000000000002</v>
      </c>
      <c r="AB32" s="43">
        <v>4.4955999999999996</v>
      </c>
    </row>
    <row r="33" spans="2:28" x14ac:dyDescent="0.3">
      <c r="B33" s="18" t="s">
        <v>145</v>
      </c>
      <c r="C33" s="44">
        <v>0.71550000000000002</v>
      </c>
      <c r="D33" s="42">
        <v>0.76280000000000003</v>
      </c>
      <c r="E33" s="42">
        <v>0.81020000000000003</v>
      </c>
      <c r="F33" s="42">
        <v>0.78100000000000003</v>
      </c>
      <c r="G33" s="42">
        <v>0.75190000000000001</v>
      </c>
      <c r="H33" s="42">
        <v>0.86150000000000004</v>
      </c>
      <c r="I33" s="42">
        <v>0.97119999999999995</v>
      </c>
      <c r="J33" s="42">
        <v>1.0371999999999999</v>
      </c>
      <c r="K33" s="42">
        <v>1.1032999999999999</v>
      </c>
      <c r="L33" s="42">
        <v>1.1696</v>
      </c>
      <c r="M33" s="42">
        <v>1.2358</v>
      </c>
      <c r="N33" s="42">
        <v>1.2497</v>
      </c>
      <c r="O33" s="42">
        <v>1.2547999999999999</v>
      </c>
      <c r="P33" s="44">
        <v>1.3160000000000001</v>
      </c>
      <c r="Q33" s="42">
        <v>1.3804000000000001</v>
      </c>
      <c r="R33" s="42">
        <v>1.4476</v>
      </c>
      <c r="S33" s="42">
        <v>1.5176000000000001</v>
      </c>
      <c r="T33" s="42">
        <v>1.5931999999999999</v>
      </c>
      <c r="U33" s="42">
        <v>1.6716</v>
      </c>
      <c r="V33" s="42">
        <v>1.7527999999999999</v>
      </c>
      <c r="W33" s="42">
        <v>1.8395999999999999</v>
      </c>
      <c r="X33" s="42">
        <v>1.9292</v>
      </c>
      <c r="Y33" s="42">
        <v>2.0244</v>
      </c>
      <c r="Z33" s="42">
        <v>2.1223999999999998</v>
      </c>
      <c r="AA33" s="42">
        <v>2.226</v>
      </c>
      <c r="AB33" s="43">
        <v>2.3351999999999999</v>
      </c>
    </row>
    <row r="34" spans="2:28" x14ac:dyDescent="0.3">
      <c r="B34" s="22" t="s">
        <v>154</v>
      </c>
      <c r="C34" s="45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45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34">
        <v>0</v>
      </c>
    </row>
    <row r="35" spans="2:28" x14ac:dyDescent="0.3">
      <c r="B35" s="22" t="s">
        <v>155</v>
      </c>
      <c r="C35" s="45">
        <v>2.5600000000000001E-2</v>
      </c>
      <c r="D35" s="13">
        <v>2.7199999999999998E-2</v>
      </c>
      <c r="E35" s="13">
        <v>2.8899999999999999E-2</v>
      </c>
      <c r="F35" s="13">
        <v>2.7900000000000001E-2</v>
      </c>
      <c r="G35" s="13">
        <v>2.69E-2</v>
      </c>
      <c r="H35" s="13">
        <v>3.0800000000000001E-2</v>
      </c>
      <c r="I35" s="13">
        <v>3.4700000000000002E-2</v>
      </c>
      <c r="J35" s="13">
        <v>3.6999999999999998E-2</v>
      </c>
      <c r="K35" s="13">
        <v>3.9399999999999998E-2</v>
      </c>
      <c r="L35" s="13">
        <v>4.1799999999999997E-2</v>
      </c>
      <c r="M35" s="13">
        <v>4.41E-2</v>
      </c>
      <c r="N35" s="13">
        <v>4.4600000000000001E-2</v>
      </c>
      <c r="O35" s="13">
        <v>4.48E-2</v>
      </c>
      <c r="P35" s="45">
        <v>4.7E-2</v>
      </c>
      <c r="Q35" s="13">
        <v>4.9299999999999997E-2</v>
      </c>
      <c r="R35" s="13">
        <v>5.1700000000000003E-2</v>
      </c>
      <c r="S35" s="13">
        <v>5.4199999999999998E-2</v>
      </c>
      <c r="T35" s="13">
        <v>5.6899999999999999E-2</v>
      </c>
      <c r="U35" s="13">
        <v>5.9700000000000003E-2</v>
      </c>
      <c r="V35" s="13">
        <v>6.2600000000000003E-2</v>
      </c>
      <c r="W35" s="13">
        <v>6.5699999999999995E-2</v>
      </c>
      <c r="X35" s="13">
        <v>6.8900000000000003E-2</v>
      </c>
      <c r="Y35" s="13">
        <v>7.2300000000000003E-2</v>
      </c>
      <c r="Z35" s="13">
        <v>7.5800000000000006E-2</v>
      </c>
      <c r="AA35" s="13">
        <v>7.9500000000000001E-2</v>
      </c>
      <c r="AB35" s="34">
        <v>8.3400000000000002E-2</v>
      </c>
    </row>
    <row r="36" spans="2:28" ht="15" thickBot="1" x14ac:dyDescent="0.35">
      <c r="B36" s="25" t="s">
        <v>156</v>
      </c>
      <c r="C36" s="45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45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34">
        <v>0</v>
      </c>
    </row>
    <row r="37" spans="2:28" x14ac:dyDescent="0.3">
      <c r="B37" s="18" t="s">
        <v>149</v>
      </c>
      <c r="C37" s="44">
        <v>0.89237160000000004</v>
      </c>
      <c r="D37" s="42">
        <v>1.0328312000000002</v>
      </c>
      <c r="E37" s="42">
        <v>1.17333164</v>
      </c>
      <c r="F37" s="42">
        <v>1.2297626000000002</v>
      </c>
      <c r="G37" s="42">
        <v>1.2863505200000001</v>
      </c>
      <c r="H37" s="42">
        <v>1.7201570500000001</v>
      </c>
      <c r="I37" s="42">
        <v>2.1541215999999999</v>
      </c>
      <c r="J37" s="42">
        <v>2.4350344399999999</v>
      </c>
      <c r="K37" s="42">
        <v>2.71610394</v>
      </c>
      <c r="L37" s="42">
        <v>2.8980348799999995</v>
      </c>
      <c r="M37" s="42">
        <v>3.0797371800000004</v>
      </c>
      <c r="N37" s="42">
        <v>3.2990830299999998</v>
      </c>
      <c r="O37" s="42">
        <v>3.4496961599999998</v>
      </c>
      <c r="P37" s="44">
        <v>3.8271912000000001</v>
      </c>
      <c r="Q37" s="42">
        <v>4.2379660399999999</v>
      </c>
      <c r="R37" s="42">
        <v>4.6826964799999997</v>
      </c>
      <c r="S37" s="42">
        <v>5.1627234399999997</v>
      </c>
      <c r="T37" s="42">
        <v>5.6902731199999996</v>
      </c>
      <c r="U37" s="42">
        <v>6.25830324</v>
      </c>
      <c r="V37" s="42">
        <v>6.8688726400000002</v>
      </c>
      <c r="W37" s="42">
        <v>7.53481764</v>
      </c>
      <c r="X37" s="42">
        <v>8.0559533600000002</v>
      </c>
      <c r="Y37" s="42">
        <v>8.6152390800000003</v>
      </c>
      <c r="Z37" s="42">
        <v>9.2020896800000003</v>
      </c>
      <c r="AA37" s="42">
        <v>9.8293482000000001</v>
      </c>
      <c r="AB37" s="43">
        <v>10.498125119999999</v>
      </c>
    </row>
    <row r="38" spans="2:28" x14ac:dyDescent="0.3">
      <c r="B38" s="22" t="s">
        <v>157</v>
      </c>
      <c r="C38" s="45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45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34">
        <v>0</v>
      </c>
    </row>
    <row r="39" spans="2:28" x14ac:dyDescent="0.3">
      <c r="B39" s="22" t="s">
        <v>158</v>
      </c>
      <c r="C39" s="45">
        <v>3.1928320000000003E-2</v>
      </c>
      <c r="D39" s="13">
        <v>3.6828800000000002E-2</v>
      </c>
      <c r="E39" s="13">
        <v>4.1852979999999998E-2</v>
      </c>
      <c r="F39" s="13">
        <v>4.3931339999999999E-2</v>
      </c>
      <c r="G39" s="13">
        <v>4.6020520000000002E-2</v>
      </c>
      <c r="H39" s="13">
        <v>6.1498360000000002E-2</v>
      </c>
      <c r="I39" s="13">
        <v>7.6964600000000008E-2</v>
      </c>
      <c r="J39" s="13">
        <v>8.6864899999999995E-2</v>
      </c>
      <c r="K39" s="13">
        <v>9.6994919999999998E-2</v>
      </c>
      <c r="L39" s="13">
        <v>0.10357203999999998</v>
      </c>
      <c r="M39" s="13">
        <v>0.10990161000000001</v>
      </c>
      <c r="N39" s="13">
        <v>0.11773954</v>
      </c>
      <c r="O39" s="13">
        <v>0.12316416000000001</v>
      </c>
      <c r="P39" s="45">
        <v>0.13668539999999998</v>
      </c>
      <c r="Q39" s="13">
        <v>0.15135593</v>
      </c>
      <c r="R39" s="13">
        <v>0.16723916</v>
      </c>
      <c r="S39" s="13">
        <v>0.18438298</v>
      </c>
      <c r="T39" s="13">
        <v>0.20322403999999999</v>
      </c>
      <c r="U39" s="13">
        <v>0.22351083000000002</v>
      </c>
      <c r="V39" s="13">
        <v>0.24531688000000001</v>
      </c>
      <c r="W39" s="13">
        <v>0.26910063000000001</v>
      </c>
      <c r="X39" s="13">
        <v>0.28771261999999997</v>
      </c>
      <c r="Y39" s="13">
        <v>0.30768711000000004</v>
      </c>
      <c r="Z39" s="13">
        <v>0.32864606000000002</v>
      </c>
      <c r="AA39" s="13">
        <v>0.35104815</v>
      </c>
      <c r="AB39" s="34">
        <v>0.37493304</v>
      </c>
    </row>
    <row r="40" spans="2:28" ht="15" thickBot="1" x14ac:dyDescent="0.35">
      <c r="B40" s="25" t="s">
        <v>159</v>
      </c>
      <c r="C40" s="46">
        <v>0</v>
      </c>
      <c r="D40" s="32">
        <v>0</v>
      </c>
      <c r="E40" s="32">
        <v>0</v>
      </c>
      <c r="F40" s="32">
        <v>0</v>
      </c>
      <c r="G40" s="32">
        <v>0</v>
      </c>
      <c r="H40" s="32">
        <v>0</v>
      </c>
      <c r="I40" s="32">
        <v>0</v>
      </c>
      <c r="J40" s="32">
        <v>0</v>
      </c>
      <c r="K40" s="32">
        <v>0</v>
      </c>
      <c r="L40" s="32">
        <v>0</v>
      </c>
      <c r="M40" s="32">
        <v>0</v>
      </c>
      <c r="N40" s="32">
        <v>0</v>
      </c>
      <c r="O40" s="32">
        <v>0</v>
      </c>
      <c r="P40" s="46">
        <v>0</v>
      </c>
      <c r="Q40" s="32">
        <v>0</v>
      </c>
      <c r="R40" s="32">
        <v>0</v>
      </c>
      <c r="S40" s="32">
        <v>0</v>
      </c>
      <c r="T40" s="32">
        <v>0</v>
      </c>
      <c r="U40" s="32">
        <v>0</v>
      </c>
      <c r="V40" s="32">
        <v>0</v>
      </c>
      <c r="W40" s="32">
        <v>0</v>
      </c>
      <c r="X40" s="32">
        <v>0</v>
      </c>
      <c r="Y40" s="32">
        <v>0</v>
      </c>
      <c r="Z40" s="32">
        <v>0</v>
      </c>
      <c r="AA40" s="32">
        <v>0</v>
      </c>
      <c r="AB40" s="33">
        <v>0</v>
      </c>
    </row>
    <row r="43" spans="2:28" x14ac:dyDescent="0.3">
      <c r="P43" t="s">
        <v>234</v>
      </c>
    </row>
    <row r="44" spans="2:28" x14ac:dyDescent="0.3">
      <c r="B44" s="1" t="s">
        <v>242</v>
      </c>
      <c r="C44" s="13">
        <f>C32-C47</f>
        <v>0</v>
      </c>
      <c r="D44" s="13">
        <f t="shared" ref="D44:AB44" si="2">D32-D47</f>
        <v>0</v>
      </c>
      <c r="E44" s="13">
        <f t="shared" si="2"/>
        <v>0</v>
      </c>
      <c r="F44" s="13">
        <f t="shared" si="2"/>
        <v>0</v>
      </c>
      <c r="G44" s="13">
        <f t="shared" si="2"/>
        <v>0</v>
      </c>
      <c r="H44" s="13">
        <f t="shared" si="2"/>
        <v>0</v>
      </c>
      <c r="I44" s="13">
        <f t="shared" si="2"/>
        <v>0</v>
      </c>
      <c r="J44" s="13">
        <f t="shared" si="2"/>
        <v>0</v>
      </c>
      <c r="K44" s="13">
        <f t="shared" si="2"/>
        <v>0</v>
      </c>
      <c r="L44" s="13">
        <f t="shared" si="2"/>
        <v>0</v>
      </c>
      <c r="M44" s="13">
        <f t="shared" si="2"/>
        <v>0</v>
      </c>
      <c r="N44" s="13">
        <f t="shared" si="2"/>
        <v>0</v>
      </c>
      <c r="O44" s="13">
        <f t="shared" si="2"/>
        <v>0</v>
      </c>
      <c r="P44" s="13">
        <f t="shared" si="2"/>
        <v>0</v>
      </c>
      <c r="Q44" s="13">
        <f t="shared" si="2"/>
        <v>0</v>
      </c>
      <c r="R44" s="13">
        <f t="shared" si="2"/>
        <v>0</v>
      </c>
      <c r="S44" s="13">
        <f t="shared" si="2"/>
        <v>1.5000000000000568E-3</v>
      </c>
      <c r="T44" s="13">
        <f t="shared" si="2"/>
        <v>2.8999999999999027E-3</v>
      </c>
      <c r="U44" s="13">
        <f t="shared" si="2"/>
        <v>4.1000000000002146E-3</v>
      </c>
      <c r="V44" s="13">
        <f t="shared" si="2"/>
        <v>5.1999999999998714E-3</v>
      </c>
      <c r="W44" s="13">
        <f t="shared" si="2"/>
        <v>6.2000000000006494E-3</v>
      </c>
      <c r="X44" s="13">
        <f t="shared" si="2"/>
        <v>7.0999999999994401E-3</v>
      </c>
      <c r="Y44" s="13">
        <f t="shared" si="2"/>
        <v>7.9000000000002402E-3</v>
      </c>
      <c r="Z44" s="13">
        <f t="shared" si="2"/>
        <v>8.6000000000003851E-3</v>
      </c>
      <c r="AA44" s="13">
        <f t="shared" si="2"/>
        <v>9.1999999999998749E-3</v>
      </c>
      <c r="AB44" s="13">
        <f t="shared" si="2"/>
        <v>9.7999999999993648E-3</v>
      </c>
    </row>
    <row r="46" spans="2:28" ht="15" thickBot="1" x14ac:dyDescent="0.35">
      <c r="C46" s="53">
        <v>2010</v>
      </c>
      <c r="D46" s="53">
        <v>2011</v>
      </c>
      <c r="E46" s="53">
        <v>2012</v>
      </c>
      <c r="F46" s="53">
        <v>2013</v>
      </c>
      <c r="G46" s="53">
        <v>2014</v>
      </c>
      <c r="H46" s="53">
        <v>2015</v>
      </c>
      <c r="I46" s="53">
        <v>2016</v>
      </c>
      <c r="J46" s="53">
        <v>2017</v>
      </c>
      <c r="K46" s="53">
        <v>2018</v>
      </c>
      <c r="L46" s="53">
        <v>2019</v>
      </c>
      <c r="M46" s="53">
        <v>2020</v>
      </c>
      <c r="N46" s="53">
        <v>2021</v>
      </c>
      <c r="O46" s="53">
        <v>2022</v>
      </c>
      <c r="P46" s="150">
        <v>2023</v>
      </c>
      <c r="Q46" s="150">
        <v>2024</v>
      </c>
      <c r="R46" s="150">
        <v>2025</v>
      </c>
      <c r="S46" s="150">
        <v>2026</v>
      </c>
      <c r="T46" s="150">
        <v>2027</v>
      </c>
      <c r="U46" s="150">
        <v>2028</v>
      </c>
      <c r="V46" s="150">
        <v>2029</v>
      </c>
      <c r="W46" s="150">
        <v>2030</v>
      </c>
      <c r="X46" s="150">
        <v>2031</v>
      </c>
      <c r="Y46" s="150">
        <v>2032</v>
      </c>
      <c r="Z46" s="150">
        <v>2033</v>
      </c>
      <c r="AA46" s="150">
        <v>2034</v>
      </c>
      <c r="AB46" s="150">
        <v>2035</v>
      </c>
    </row>
    <row r="47" spans="2:28" ht="15" thickBot="1" x14ac:dyDescent="0.35">
      <c r="B47" s="29" t="s">
        <v>106</v>
      </c>
      <c r="C47" s="47">
        <f>ROUND(C52/C48,4)</f>
        <v>1.2472000000000001</v>
      </c>
      <c r="D47" s="35">
        <f t="shared" ref="D47:AB47" si="3">ROUND(D52/D48,4)</f>
        <v>1.3540000000000001</v>
      </c>
      <c r="E47" s="35">
        <f t="shared" si="3"/>
        <v>1.4481999999999999</v>
      </c>
      <c r="F47" s="35">
        <f t="shared" si="3"/>
        <v>1.5746</v>
      </c>
      <c r="G47" s="35">
        <f t="shared" si="3"/>
        <v>1.7108000000000001</v>
      </c>
      <c r="H47" s="35">
        <f t="shared" si="3"/>
        <v>1.9966999999999999</v>
      </c>
      <c r="I47" s="35">
        <f t="shared" si="3"/>
        <v>2.218</v>
      </c>
      <c r="J47" s="35">
        <f t="shared" si="3"/>
        <v>2.3477000000000001</v>
      </c>
      <c r="K47" s="35">
        <f t="shared" si="3"/>
        <v>2.4618000000000002</v>
      </c>
      <c r="L47" s="35">
        <f t="shared" si="3"/>
        <v>2.4777999999999998</v>
      </c>
      <c r="M47" s="35">
        <f t="shared" si="3"/>
        <v>2.4921000000000002</v>
      </c>
      <c r="N47" s="35">
        <f t="shared" si="3"/>
        <v>2.6398999999999999</v>
      </c>
      <c r="O47" s="35">
        <f t="shared" si="3"/>
        <v>2.7492000000000001</v>
      </c>
      <c r="P47" s="47">
        <f t="shared" si="3"/>
        <v>2.9081999999999999</v>
      </c>
      <c r="Q47" s="35">
        <f t="shared" si="3"/>
        <v>3.0701000000000001</v>
      </c>
      <c r="R47" s="35">
        <f t="shared" si="3"/>
        <v>3.2347999999999999</v>
      </c>
      <c r="S47" s="35">
        <f t="shared" si="3"/>
        <v>3.4003999999999999</v>
      </c>
      <c r="T47" s="35">
        <f t="shared" si="3"/>
        <v>3.5687000000000002</v>
      </c>
      <c r="U47" s="35">
        <f t="shared" si="3"/>
        <v>3.7397999999999998</v>
      </c>
      <c r="V47" s="35">
        <f t="shared" si="3"/>
        <v>3.9136000000000002</v>
      </c>
      <c r="W47" s="35">
        <f t="shared" si="3"/>
        <v>4.0896999999999997</v>
      </c>
      <c r="X47" s="35">
        <f t="shared" si="3"/>
        <v>4.1687000000000003</v>
      </c>
      <c r="Y47" s="35">
        <f t="shared" si="3"/>
        <v>4.2477999999999998</v>
      </c>
      <c r="Z47" s="35">
        <f t="shared" si="3"/>
        <v>4.3270999999999997</v>
      </c>
      <c r="AA47" s="35">
        <f t="shared" si="3"/>
        <v>4.4065000000000003</v>
      </c>
      <c r="AB47" s="36">
        <f t="shared" si="3"/>
        <v>4.4858000000000002</v>
      </c>
    </row>
    <row r="48" spans="2:28" x14ac:dyDescent="0.3">
      <c r="B48" s="18" t="s">
        <v>145</v>
      </c>
      <c r="C48" s="45">
        <v>0.71550000000000002</v>
      </c>
      <c r="D48" s="13">
        <v>0.76280000000000003</v>
      </c>
      <c r="E48" s="13">
        <v>0.81020000000000003</v>
      </c>
      <c r="F48" s="13">
        <v>0.78100000000000003</v>
      </c>
      <c r="G48" s="13">
        <v>0.75190000000000001</v>
      </c>
      <c r="H48" s="13">
        <v>0.86150000000000004</v>
      </c>
      <c r="I48" s="13">
        <v>0.97119999999999995</v>
      </c>
      <c r="J48" s="13">
        <v>1.0371999999999999</v>
      </c>
      <c r="K48" s="13">
        <v>1.1032999999999999</v>
      </c>
      <c r="L48" s="13">
        <v>1.1696</v>
      </c>
      <c r="M48" s="13">
        <v>1.2358</v>
      </c>
      <c r="N48" s="13">
        <v>1.2497</v>
      </c>
      <c r="O48" s="13">
        <v>1.2547999999999999</v>
      </c>
      <c r="P48" s="45">
        <v>1.3160000000000001</v>
      </c>
      <c r="Q48" s="13">
        <v>1.3804000000000001</v>
      </c>
      <c r="R48" s="13">
        <v>1.4476</v>
      </c>
      <c r="S48" s="13">
        <v>1.5176000000000001</v>
      </c>
      <c r="T48" s="13">
        <v>1.5931999999999999</v>
      </c>
      <c r="U48" s="13">
        <v>1.6716</v>
      </c>
      <c r="V48" s="13">
        <v>1.7527999999999999</v>
      </c>
      <c r="W48" s="13">
        <v>1.8395999999999999</v>
      </c>
      <c r="X48" s="13">
        <v>1.9292</v>
      </c>
      <c r="Y48" s="13">
        <v>2.0244</v>
      </c>
      <c r="Z48" s="13">
        <v>2.1223999999999998</v>
      </c>
      <c r="AA48" s="13">
        <v>2.226</v>
      </c>
      <c r="AB48" s="34">
        <v>2.3351999999999999</v>
      </c>
    </row>
    <row r="49" spans="2:28" x14ac:dyDescent="0.3">
      <c r="B49" s="22" t="s">
        <v>154</v>
      </c>
      <c r="C49" s="45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45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34">
        <v>0</v>
      </c>
    </row>
    <row r="50" spans="2:28" x14ac:dyDescent="0.3">
      <c r="B50" s="22" t="s">
        <v>155</v>
      </c>
      <c r="C50" s="45">
        <v>2.5600000000000001E-2</v>
      </c>
      <c r="D50" s="13">
        <v>2.7199999999999998E-2</v>
      </c>
      <c r="E50" s="13">
        <v>2.8899999999999999E-2</v>
      </c>
      <c r="F50" s="13">
        <v>2.7900000000000001E-2</v>
      </c>
      <c r="G50" s="13">
        <v>2.69E-2</v>
      </c>
      <c r="H50" s="13">
        <v>3.0800000000000001E-2</v>
      </c>
      <c r="I50" s="13">
        <v>3.4700000000000002E-2</v>
      </c>
      <c r="J50" s="13">
        <v>3.6999999999999998E-2</v>
      </c>
      <c r="K50" s="13">
        <v>3.9399999999999998E-2</v>
      </c>
      <c r="L50" s="13">
        <v>4.1799999999999997E-2</v>
      </c>
      <c r="M50" s="13">
        <v>4.41E-2</v>
      </c>
      <c r="N50" s="13">
        <v>4.4600000000000001E-2</v>
      </c>
      <c r="O50" s="13">
        <v>4.48E-2</v>
      </c>
      <c r="P50" s="45">
        <v>4.7E-2</v>
      </c>
      <c r="Q50" s="13">
        <v>4.9299999999999997E-2</v>
      </c>
      <c r="R50" s="13">
        <v>5.1700000000000003E-2</v>
      </c>
      <c r="S50" s="13">
        <v>5.4199999999999998E-2</v>
      </c>
      <c r="T50" s="13">
        <v>5.6899999999999999E-2</v>
      </c>
      <c r="U50" s="13">
        <v>5.9700000000000003E-2</v>
      </c>
      <c r="V50" s="13">
        <v>6.2600000000000003E-2</v>
      </c>
      <c r="W50" s="13">
        <v>6.5699999999999995E-2</v>
      </c>
      <c r="X50" s="13">
        <v>6.8900000000000003E-2</v>
      </c>
      <c r="Y50" s="13">
        <v>7.2300000000000003E-2</v>
      </c>
      <c r="Z50" s="13">
        <v>7.5800000000000006E-2</v>
      </c>
      <c r="AA50" s="13">
        <v>7.9500000000000001E-2</v>
      </c>
      <c r="AB50" s="34">
        <v>8.3400000000000002E-2</v>
      </c>
    </row>
    <row r="51" spans="2:28" ht="15" thickBot="1" x14ac:dyDescent="0.35">
      <c r="B51" s="25" t="s">
        <v>156</v>
      </c>
      <c r="C51" s="45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45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34">
        <v>0</v>
      </c>
    </row>
    <row r="52" spans="2:28" x14ac:dyDescent="0.3">
      <c r="B52" s="18" t="s">
        <v>149</v>
      </c>
      <c r="C52" s="44">
        <f t="shared" ref="C52:AA52" si="4">C37-(C26/1000)</f>
        <v>0.89237160000000004</v>
      </c>
      <c r="D52" s="42">
        <f t="shared" si="4"/>
        <v>1.0328312000000002</v>
      </c>
      <c r="E52" s="42">
        <f t="shared" si="4"/>
        <v>1.17333164</v>
      </c>
      <c r="F52" s="42">
        <f t="shared" si="4"/>
        <v>1.2297626000000002</v>
      </c>
      <c r="G52" s="42">
        <f t="shared" si="4"/>
        <v>1.2863505200000001</v>
      </c>
      <c r="H52" s="42">
        <f t="shared" si="4"/>
        <v>1.7201570500000001</v>
      </c>
      <c r="I52" s="42">
        <f t="shared" si="4"/>
        <v>2.1541215999999999</v>
      </c>
      <c r="J52" s="42">
        <f t="shared" si="4"/>
        <v>2.4350344399999999</v>
      </c>
      <c r="K52" s="42">
        <f t="shared" si="4"/>
        <v>2.71610394</v>
      </c>
      <c r="L52" s="42">
        <f t="shared" si="4"/>
        <v>2.8980348799999995</v>
      </c>
      <c r="M52" s="42">
        <f t="shared" si="4"/>
        <v>3.0797371800000004</v>
      </c>
      <c r="N52" s="42">
        <f t="shared" si="4"/>
        <v>3.2990830299999998</v>
      </c>
      <c r="O52" s="42">
        <f t="shared" si="4"/>
        <v>3.4496961599999998</v>
      </c>
      <c r="P52" s="44">
        <f t="shared" si="4"/>
        <v>3.8271912000000001</v>
      </c>
      <c r="Q52" s="42">
        <f t="shared" si="4"/>
        <v>4.2379660399999999</v>
      </c>
      <c r="R52" s="42">
        <f t="shared" si="4"/>
        <v>4.6826964799999997</v>
      </c>
      <c r="S52" s="42">
        <f t="shared" si="4"/>
        <v>5.1604414399999996</v>
      </c>
      <c r="T52" s="42">
        <f t="shared" si="4"/>
        <v>5.6857091199999994</v>
      </c>
      <c r="U52" s="42">
        <f t="shared" si="4"/>
        <v>6.2514572399999997</v>
      </c>
      <c r="V52" s="42">
        <f t="shared" si="4"/>
        <v>6.8597446400000006</v>
      </c>
      <c r="W52" s="42">
        <f t="shared" si="4"/>
        <v>7.5234076400000003</v>
      </c>
      <c r="X52" s="42">
        <f t="shared" si="4"/>
        <v>8.0422613599999995</v>
      </c>
      <c r="Y52" s="42">
        <f t="shared" si="4"/>
        <v>8.5992650800000003</v>
      </c>
      <c r="Z52" s="42">
        <f t="shared" si="4"/>
        <v>9.1838336800000011</v>
      </c>
      <c r="AA52" s="42">
        <f t="shared" si="4"/>
        <v>9.8088101999999999</v>
      </c>
      <c r="AB52" s="43">
        <f>AB37-(AB26/1000)</f>
        <v>10.47530512</v>
      </c>
    </row>
    <row r="53" spans="2:28" x14ac:dyDescent="0.3">
      <c r="B53" s="22" t="s">
        <v>157</v>
      </c>
      <c r="C53" s="45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45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34">
        <v>0</v>
      </c>
    </row>
    <row r="54" spans="2:28" x14ac:dyDescent="0.3">
      <c r="B54" s="22" t="s">
        <v>158</v>
      </c>
      <c r="C54" s="45">
        <f>C52/28</f>
        <v>3.1870414285714285E-2</v>
      </c>
      <c r="D54" s="13">
        <f t="shared" ref="D54:AB54" si="5">D52/28</f>
        <v>3.6886828571428575E-2</v>
      </c>
      <c r="E54" s="13">
        <f t="shared" si="5"/>
        <v>4.1904701428571431E-2</v>
      </c>
      <c r="F54" s="13">
        <f t="shared" si="5"/>
        <v>4.3920092857142864E-2</v>
      </c>
      <c r="G54" s="13">
        <f t="shared" si="5"/>
        <v>4.5941090000000004E-2</v>
      </c>
      <c r="H54" s="13">
        <f t="shared" si="5"/>
        <v>6.1434180357142862E-2</v>
      </c>
      <c r="I54" s="13">
        <f t="shared" si="5"/>
        <v>7.6932914285714277E-2</v>
      </c>
      <c r="J54" s="13">
        <f t="shared" si="5"/>
        <v>8.6965515714285707E-2</v>
      </c>
      <c r="K54" s="13">
        <f t="shared" si="5"/>
        <v>9.7003712142857149E-2</v>
      </c>
      <c r="L54" s="13">
        <f t="shared" si="5"/>
        <v>0.10350124571428569</v>
      </c>
      <c r="M54" s="13">
        <f t="shared" si="5"/>
        <v>0.10999061357142859</v>
      </c>
      <c r="N54" s="13">
        <f t="shared" si="5"/>
        <v>0.11782439392857143</v>
      </c>
      <c r="O54" s="13">
        <f t="shared" si="5"/>
        <v>0.12320343428571427</v>
      </c>
      <c r="P54" s="45">
        <f t="shared" si="5"/>
        <v>0.13668540000000001</v>
      </c>
      <c r="Q54" s="13">
        <f t="shared" si="5"/>
        <v>0.15135593</v>
      </c>
      <c r="R54" s="13">
        <f t="shared" si="5"/>
        <v>0.16723916</v>
      </c>
      <c r="S54" s="13">
        <f t="shared" si="5"/>
        <v>0.18430147999999999</v>
      </c>
      <c r="T54" s="13">
        <f t="shared" si="5"/>
        <v>0.20306103999999997</v>
      </c>
      <c r="U54" s="13">
        <f t="shared" si="5"/>
        <v>0.22326632999999999</v>
      </c>
      <c r="V54" s="13">
        <f t="shared" si="5"/>
        <v>0.24499088000000002</v>
      </c>
      <c r="W54" s="13">
        <f t="shared" si="5"/>
        <v>0.26869313</v>
      </c>
      <c r="X54" s="13">
        <f t="shared" si="5"/>
        <v>0.28722361999999996</v>
      </c>
      <c r="Y54" s="13">
        <f t="shared" si="5"/>
        <v>0.30711661000000001</v>
      </c>
      <c r="Z54" s="13">
        <f t="shared" si="5"/>
        <v>0.32799406000000003</v>
      </c>
      <c r="AA54" s="13">
        <f t="shared" si="5"/>
        <v>0.35031465000000001</v>
      </c>
      <c r="AB54" s="34">
        <f t="shared" si="5"/>
        <v>0.37411803999999999</v>
      </c>
    </row>
    <row r="55" spans="2:28" ht="15" thickBot="1" x14ac:dyDescent="0.35">
      <c r="B55" s="25" t="s">
        <v>159</v>
      </c>
      <c r="C55" s="46">
        <v>0</v>
      </c>
      <c r="D55" s="32">
        <v>0</v>
      </c>
      <c r="E55" s="32">
        <v>0</v>
      </c>
      <c r="F55" s="32">
        <v>0</v>
      </c>
      <c r="G55" s="32">
        <v>0</v>
      </c>
      <c r="H55" s="32">
        <v>0</v>
      </c>
      <c r="I55" s="32">
        <v>0</v>
      </c>
      <c r="J55" s="32">
        <v>0</v>
      </c>
      <c r="K55" s="32">
        <v>0</v>
      </c>
      <c r="L55" s="32">
        <v>0</v>
      </c>
      <c r="M55" s="32">
        <v>0</v>
      </c>
      <c r="N55" s="32">
        <v>0</v>
      </c>
      <c r="O55" s="32">
        <v>0</v>
      </c>
      <c r="P55" s="46">
        <v>0</v>
      </c>
      <c r="Q55" s="32">
        <v>0</v>
      </c>
      <c r="R55" s="32">
        <v>0</v>
      </c>
      <c r="S55" s="32">
        <v>0</v>
      </c>
      <c r="T55" s="32">
        <v>0</v>
      </c>
      <c r="U55" s="32">
        <v>0</v>
      </c>
      <c r="V55" s="32">
        <v>0</v>
      </c>
      <c r="W55" s="32">
        <v>0</v>
      </c>
      <c r="X55" s="32">
        <v>0</v>
      </c>
      <c r="Y55" s="32">
        <v>0</v>
      </c>
      <c r="Z55" s="32">
        <v>0</v>
      </c>
      <c r="AA55" s="32">
        <v>0</v>
      </c>
      <c r="AB55" s="33">
        <v>0</v>
      </c>
    </row>
    <row r="57" spans="2:28" x14ac:dyDescent="0.3">
      <c r="B57" s="13"/>
      <c r="C57" s="13">
        <f t="shared" ref="C57:AA57" si="6">C37-C52</f>
        <v>0</v>
      </c>
      <c r="D57" s="13">
        <f t="shared" si="6"/>
        <v>0</v>
      </c>
      <c r="E57" s="13">
        <f t="shared" si="6"/>
        <v>0</v>
      </c>
      <c r="F57" s="13">
        <f t="shared" si="6"/>
        <v>0</v>
      </c>
      <c r="G57" s="13">
        <f t="shared" si="6"/>
        <v>0</v>
      </c>
      <c r="H57" s="13">
        <f t="shared" si="6"/>
        <v>0</v>
      </c>
      <c r="I57" s="13">
        <f t="shared" si="6"/>
        <v>0</v>
      </c>
      <c r="J57" s="13">
        <f t="shared" si="6"/>
        <v>0</v>
      </c>
      <c r="K57" s="13">
        <f t="shared" si="6"/>
        <v>0</v>
      </c>
      <c r="L57" s="13">
        <f t="shared" si="6"/>
        <v>0</v>
      </c>
      <c r="M57" s="13">
        <f t="shared" si="6"/>
        <v>0</v>
      </c>
      <c r="N57" s="13">
        <f t="shared" si="6"/>
        <v>0</v>
      </c>
      <c r="O57" s="13">
        <f t="shared" si="6"/>
        <v>0</v>
      </c>
      <c r="P57" s="13">
        <f t="shared" si="6"/>
        <v>0</v>
      </c>
      <c r="Q57" s="13">
        <f t="shared" si="6"/>
        <v>0</v>
      </c>
      <c r="R57" s="13">
        <f t="shared" si="6"/>
        <v>0</v>
      </c>
      <c r="S57" s="13">
        <f t="shared" si="6"/>
        <v>2.2820000000001173E-3</v>
      </c>
      <c r="T57" s="13">
        <f t="shared" si="6"/>
        <v>4.5640000000002345E-3</v>
      </c>
      <c r="U57" s="13">
        <f t="shared" si="6"/>
        <v>6.8460000000003518E-3</v>
      </c>
      <c r="V57" s="13">
        <f t="shared" si="6"/>
        <v>9.1279999999995809E-3</v>
      </c>
      <c r="W57" s="13">
        <f t="shared" si="6"/>
        <v>1.1409999999999698E-2</v>
      </c>
      <c r="X57" s="13">
        <f t="shared" si="6"/>
        <v>1.3692000000000704E-2</v>
      </c>
      <c r="Y57" s="13">
        <f t="shared" si="6"/>
        <v>1.5973999999999933E-2</v>
      </c>
      <c r="Z57" s="13">
        <f t="shared" si="6"/>
        <v>1.8255999999999162E-2</v>
      </c>
      <c r="AA57" s="13">
        <f t="shared" si="6"/>
        <v>2.0538000000000167E-2</v>
      </c>
      <c r="AB57" s="13">
        <f>AB37-AB52</f>
        <v>2.2819999999999396E-2</v>
      </c>
    </row>
    <row r="61" spans="2:28" x14ac:dyDescent="0.3">
      <c r="B61" s="1" t="s">
        <v>236</v>
      </c>
    </row>
    <row r="62" spans="2:28" ht="15" thickBot="1" x14ac:dyDescent="0.35">
      <c r="C62" s="53">
        <v>2010</v>
      </c>
      <c r="D62" s="53">
        <v>2011</v>
      </c>
      <c r="E62" s="53">
        <v>2012</v>
      </c>
      <c r="F62" s="53">
        <v>2013</v>
      </c>
      <c r="G62" s="53">
        <v>2014</v>
      </c>
      <c r="H62" s="53">
        <v>2015</v>
      </c>
      <c r="I62" s="53">
        <v>2016</v>
      </c>
      <c r="J62" s="53">
        <v>2017</v>
      </c>
      <c r="K62" s="53">
        <v>2018</v>
      </c>
      <c r="L62" s="53">
        <v>2019</v>
      </c>
      <c r="M62" s="53">
        <v>2020</v>
      </c>
      <c r="N62" s="53">
        <v>2021</v>
      </c>
      <c r="O62" s="53">
        <v>2022</v>
      </c>
      <c r="P62" s="150">
        <v>2023</v>
      </c>
      <c r="Q62" s="150">
        <v>2024</v>
      </c>
      <c r="R62" s="150">
        <v>2025</v>
      </c>
      <c r="S62" s="150">
        <v>2026</v>
      </c>
      <c r="T62" s="150">
        <v>2027</v>
      </c>
      <c r="U62" s="150">
        <v>2028</v>
      </c>
      <c r="V62" s="150">
        <v>2029</v>
      </c>
      <c r="W62" s="150">
        <v>2030</v>
      </c>
      <c r="X62" s="150">
        <v>2031</v>
      </c>
      <c r="Y62" s="150">
        <v>2032</v>
      </c>
      <c r="Z62" s="150">
        <v>2033</v>
      </c>
      <c r="AA62" s="150">
        <v>2034</v>
      </c>
      <c r="AB62" s="150">
        <v>2035</v>
      </c>
    </row>
    <row r="63" spans="2:28" ht="15" thickBot="1" x14ac:dyDescent="0.35">
      <c r="B63" s="29" t="s">
        <v>106</v>
      </c>
      <c r="C63" s="18">
        <v>5.4999999999999997E-3</v>
      </c>
      <c r="D63" s="19">
        <v>6.4000000000000003E-3</v>
      </c>
      <c r="E63" s="19">
        <v>7.3000000000000001E-3</v>
      </c>
      <c r="F63" s="19">
        <v>2.2200000000000001E-2</v>
      </c>
      <c r="G63" s="19">
        <v>3.7199999999999997E-2</v>
      </c>
      <c r="H63" s="19">
        <v>3.2199999999999999E-2</v>
      </c>
      <c r="I63" s="19">
        <v>2.7199999999999998E-2</v>
      </c>
      <c r="J63" s="19">
        <v>3.0499999999999999E-2</v>
      </c>
      <c r="K63" s="19">
        <v>3.3799999999999997E-2</v>
      </c>
      <c r="L63" s="19">
        <v>3.5299999999999998E-2</v>
      </c>
      <c r="M63" s="19">
        <v>3.6799999999999999E-2</v>
      </c>
      <c r="N63" s="19">
        <v>3.85E-2</v>
      </c>
      <c r="O63" s="21">
        <v>3.3700000000000001E-2</v>
      </c>
      <c r="P63" s="18">
        <v>3.56E-2</v>
      </c>
      <c r="Q63" s="19">
        <v>3.7600000000000001E-2</v>
      </c>
      <c r="R63" s="19">
        <v>3.9600000000000003E-2</v>
      </c>
      <c r="S63" s="19">
        <v>4.1700000000000001E-2</v>
      </c>
      <c r="T63" s="19">
        <v>4.3700000000000003E-2</v>
      </c>
      <c r="U63" s="19">
        <v>4.5900000000000003E-2</v>
      </c>
      <c r="V63" s="19">
        <v>4.8000000000000001E-2</v>
      </c>
      <c r="W63" s="19">
        <v>5.0200000000000002E-2</v>
      </c>
      <c r="X63" s="19">
        <v>5.1200000000000002E-2</v>
      </c>
      <c r="Y63" s="19">
        <v>5.21E-2</v>
      </c>
      <c r="Z63" s="19">
        <v>5.3100000000000001E-2</v>
      </c>
      <c r="AA63" s="19">
        <v>5.4100000000000002E-2</v>
      </c>
      <c r="AB63" s="21">
        <v>5.5100000000000003E-2</v>
      </c>
    </row>
    <row r="64" spans="2:28" x14ac:dyDescent="0.3">
      <c r="B64" s="22" t="s">
        <v>145</v>
      </c>
      <c r="C64" s="44">
        <v>0.1915</v>
      </c>
      <c r="D64" s="42">
        <v>0.1915</v>
      </c>
      <c r="E64" s="42">
        <v>0.1915</v>
      </c>
      <c r="F64" s="42">
        <v>0.1915</v>
      </c>
      <c r="G64" s="42">
        <v>0.1915</v>
      </c>
      <c r="H64" s="42">
        <v>0.1915</v>
      </c>
      <c r="I64" s="42">
        <v>0.1915</v>
      </c>
      <c r="J64" s="42">
        <v>0.1915</v>
      </c>
      <c r="K64" s="42">
        <v>0.1915</v>
      </c>
      <c r="L64" s="42">
        <v>0.1915</v>
      </c>
      <c r="M64" s="42">
        <v>0.1915</v>
      </c>
      <c r="N64" s="42">
        <v>0.1915</v>
      </c>
      <c r="O64" s="42">
        <v>0.1915</v>
      </c>
      <c r="P64" s="44">
        <v>0.1915</v>
      </c>
      <c r="Q64" s="42">
        <v>0.1915</v>
      </c>
      <c r="R64" s="42">
        <v>0.1915</v>
      </c>
      <c r="S64" s="42">
        <v>0.1915</v>
      </c>
      <c r="T64" s="42">
        <v>0.1915</v>
      </c>
      <c r="U64" s="42">
        <v>0.1915</v>
      </c>
      <c r="V64" s="42">
        <v>0.1915</v>
      </c>
      <c r="W64" s="42">
        <v>0.1915</v>
      </c>
      <c r="X64" s="42">
        <v>0.1915</v>
      </c>
      <c r="Y64" s="42">
        <v>0.1915</v>
      </c>
      <c r="Z64" s="42">
        <v>0.1915</v>
      </c>
      <c r="AA64" s="42">
        <v>0.1915</v>
      </c>
      <c r="AB64" s="43">
        <v>0.1915</v>
      </c>
    </row>
    <row r="65" spans="2:28" x14ac:dyDescent="0.3">
      <c r="B65" s="22" t="s">
        <v>154</v>
      </c>
      <c r="C65" s="45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45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34">
        <v>0</v>
      </c>
    </row>
    <row r="66" spans="2:28" x14ac:dyDescent="0.3">
      <c r="B66" s="22" t="s">
        <v>155</v>
      </c>
      <c r="C66" s="45">
        <v>4.0000000000000001E-3</v>
      </c>
      <c r="D66" s="13">
        <v>4.0000000000000001E-3</v>
      </c>
      <c r="E66" s="13">
        <v>4.0000000000000001E-3</v>
      </c>
      <c r="F66" s="13">
        <v>4.0000000000000001E-3</v>
      </c>
      <c r="G66" s="13">
        <v>4.0000000000000001E-3</v>
      </c>
      <c r="H66" s="13">
        <v>4.0000000000000001E-3</v>
      </c>
      <c r="I66" s="13">
        <v>4.0000000000000001E-3</v>
      </c>
      <c r="J66" s="13">
        <v>4.0000000000000001E-3</v>
      </c>
      <c r="K66" s="13">
        <v>4.0000000000000001E-3</v>
      </c>
      <c r="L66" s="13">
        <v>4.0000000000000001E-3</v>
      </c>
      <c r="M66" s="13">
        <v>4.0000000000000001E-3</v>
      </c>
      <c r="N66" s="13">
        <v>4.0000000000000001E-3</v>
      </c>
      <c r="O66" s="13">
        <v>4.0000000000000001E-3</v>
      </c>
      <c r="P66" s="45">
        <v>4.0000000000000001E-3</v>
      </c>
      <c r="Q66" s="13">
        <v>4.0000000000000001E-3</v>
      </c>
      <c r="R66" s="13">
        <v>4.0000000000000001E-3</v>
      </c>
      <c r="S66" s="13">
        <v>4.0000000000000001E-3</v>
      </c>
      <c r="T66" s="13">
        <v>4.0000000000000001E-3</v>
      </c>
      <c r="U66" s="13">
        <v>4.0000000000000001E-3</v>
      </c>
      <c r="V66" s="13">
        <v>4.0000000000000001E-3</v>
      </c>
      <c r="W66" s="13">
        <v>4.0000000000000001E-3</v>
      </c>
      <c r="X66" s="13">
        <v>4.0000000000000001E-3</v>
      </c>
      <c r="Y66" s="13">
        <v>4.0000000000000001E-3</v>
      </c>
      <c r="Z66" s="13">
        <v>4.0000000000000001E-3</v>
      </c>
      <c r="AA66" s="13">
        <v>4.0000000000000001E-3</v>
      </c>
      <c r="AB66" s="34">
        <v>4.0000000000000001E-3</v>
      </c>
    </row>
    <row r="67" spans="2:28" ht="15" thickBot="1" x14ac:dyDescent="0.35">
      <c r="B67" s="25" t="s">
        <v>156</v>
      </c>
      <c r="C67" s="22">
        <v>2.9999999999999997E-4</v>
      </c>
      <c r="D67">
        <v>2.9999999999999997E-4</v>
      </c>
      <c r="E67">
        <v>2.9999999999999997E-4</v>
      </c>
      <c r="F67">
        <v>2.9999999999999997E-4</v>
      </c>
      <c r="G67">
        <v>2.9999999999999997E-4</v>
      </c>
      <c r="H67">
        <v>2.9999999999999997E-4</v>
      </c>
      <c r="I67">
        <v>2.9999999999999997E-4</v>
      </c>
      <c r="J67">
        <v>2.9999999999999997E-4</v>
      </c>
      <c r="K67">
        <v>2.9999999999999997E-4</v>
      </c>
      <c r="L67">
        <v>2.9999999999999997E-4</v>
      </c>
      <c r="M67">
        <v>2.9999999999999997E-4</v>
      </c>
      <c r="N67">
        <v>2.9999999999999997E-4</v>
      </c>
      <c r="O67">
        <v>2.9999999999999997E-4</v>
      </c>
      <c r="P67" s="22">
        <v>2.9999999999999997E-4</v>
      </c>
      <c r="Q67">
        <v>2.9999999999999997E-4</v>
      </c>
      <c r="R67">
        <v>2.9999999999999997E-4</v>
      </c>
      <c r="S67">
        <v>2.9999999999999997E-4</v>
      </c>
      <c r="T67">
        <v>2.9999999999999997E-4</v>
      </c>
      <c r="U67">
        <v>2.9999999999999997E-4</v>
      </c>
      <c r="V67">
        <v>2.9999999999999997E-4</v>
      </c>
      <c r="W67">
        <v>2.9999999999999997E-4</v>
      </c>
      <c r="X67">
        <v>2.9999999999999997E-4</v>
      </c>
      <c r="Y67">
        <v>2.9999999999999997E-4</v>
      </c>
      <c r="Z67">
        <v>2.9999999999999997E-4</v>
      </c>
      <c r="AA67">
        <v>2.9999999999999997E-4</v>
      </c>
      <c r="AB67" s="24">
        <v>2.9999999999999997E-4</v>
      </c>
    </row>
    <row r="68" spans="2:28" x14ac:dyDescent="0.3">
      <c r="B68" s="18" t="s">
        <v>149</v>
      </c>
      <c r="C68" s="44">
        <f>C63*C64</f>
        <v>1.0532499999999999E-3</v>
      </c>
      <c r="D68" s="42">
        <f t="shared" ref="D68:AB68" si="7">D63*D64</f>
        <v>1.2256000000000001E-3</v>
      </c>
      <c r="E68" s="42">
        <f t="shared" si="7"/>
        <v>1.39795E-3</v>
      </c>
      <c r="F68" s="42">
        <f t="shared" si="7"/>
        <v>4.2513000000000004E-3</v>
      </c>
      <c r="G68" s="42">
        <f t="shared" si="7"/>
        <v>7.1237999999999996E-3</v>
      </c>
      <c r="H68" s="42">
        <f t="shared" si="7"/>
        <v>6.1663000000000004E-3</v>
      </c>
      <c r="I68" s="42">
        <f t="shared" si="7"/>
        <v>5.2087999999999995E-3</v>
      </c>
      <c r="J68" s="42">
        <f t="shared" si="7"/>
        <v>5.8407499999999996E-3</v>
      </c>
      <c r="K68" s="42">
        <f t="shared" si="7"/>
        <v>6.4726999999999996E-3</v>
      </c>
      <c r="L68" s="42">
        <f t="shared" si="7"/>
        <v>6.7599499999999998E-3</v>
      </c>
      <c r="M68" s="42">
        <f t="shared" si="7"/>
        <v>7.0472E-3</v>
      </c>
      <c r="N68" s="42">
        <f t="shared" si="7"/>
        <v>7.37275E-3</v>
      </c>
      <c r="O68" s="42">
        <f t="shared" si="7"/>
        <v>6.4535500000000006E-3</v>
      </c>
      <c r="P68" s="44">
        <f t="shared" si="7"/>
        <v>6.8174000000000004E-3</v>
      </c>
      <c r="Q68" s="42">
        <f t="shared" si="7"/>
        <v>7.2004E-3</v>
      </c>
      <c r="R68" s="42">
        <f t="shared" si="7"/>
        <v>7.5834000000000006E-3</v>
      </c>
      <c r="S68" s="42">
        <f t="shared" si="7"/>
        <v>7.985550000000001E-3</v>
      </c>
      <c r="T68" s="42">
        <f t="shared" si="7"/>
        <v>8.3685500000000006E-3</v>
      </c>
      <c r="U68" s="42">
        <f t="shared" si="7"/>
        <v>8.7898500000000001E-3</v>
      </c>
      <c r="V68" s="42">
        <f t="shared" si="7"/>
        <v>9.1920000000000005E-3</v>
      </c>
      <c r="W68" s="42">
        <f t="shared" si="7"/>
        <v>9.6133E-3</v>
      </c>
      <c r="X68" s="42">
        <f t="shared" si="7"/>
        <v>9.8048000000000007E-3</v>
      </c>
      <c r="Y68" s="42">
        <f t="shared" si="7"/>
        <v>9.9771500000000006E-3</v>
      </c>
      <c r="Z68" s="42">
        <f t="shared" si="7"/>
        <v>1.0168650000000001E-2</v>
      </c>
      <c r="AA68" s="42">
        <f t="shared" si="7"/>
        <v>1.036015E-2</v>
      </c>
      <c r="AB68" s="43">
        <f t="shared" si="7"/>
        <v>1.0551650000000001E-2</v>
      </c>
    </row>
    <row r="69" spans="2:28" x14ac:dyDescent="0.3">
      <c r="B69" s="22" t="s">
        <v>157</v>
      </c>
      <c r="C69" s="45">
        <f>C63*C65</f>
        <v>0</v>
      </c>
      <c r="D69" s="13">
        <f t="shared" ref="D69:AB69" si="8">D63*D65</f>
        <v>0</v>
      </c>
      <c r="E69" s="13">
        <f t="shared" si="8"/>
        <v>0</v>
      </c>
      <c r="F69" s="13">
        <f t="shared" si="8"/>
        <v>0</v>
      </c>
      <c r="G69" s="13">
        <f t="shared" si="8"/>
        <v>0</v>
      </c>
      <c r="H69" s="13">
        <f t="shared" si="8"/>
        <v>0</v>
      </c>
      <c r="I69" s="13">
        <f t="shared" si="8"/>
        <v>0</v>
      </c>
      <c r="J69" s="13">
        <f t="shared" si="8"/>
        <v>0</v>
      </c>
      <c r="K69" s="13">
        <f t="shared" si="8"/>
        <v>0</v>
      </c>
      <c r="L69" s="13">
        <f t="shared" si="8"/>
        <v>0</v>
      </c>
      <c r="M69" s="13">
        <f t="shared" si="8"/>
        <v>0</v>
      </c>
      <c r="N69" s="13">
        <f t="shared" si="8"/>
        <v>0</v>
      </c>
      <c r="O69" s="13">
        <f t="shared" si="8"/>
        <v>0</v>
      </c>
      <c r="P69" s="45">
        <f t="shared" si="8"/>
        <v>0</v>
      </c>
      <c r="Q69" s="13">
        <f t="shared" si="8"/>
        <v>0</v>
      </c>
      <c r="R69" s="13">
        <f t="shared" si="8"/>
        <v>0</v>
      </c>
      <c r="S69" s="13">
        <f t="shared" si="8"/>
        <v>0</v>
      </c>
      <c r="T69" s="13">
        <f t="shared" si="8"/>
        <v>0</v>
      </c>
      <c r="U69" s="13">
        <f t="shared" si="8"/>
        <v>0</v>
      </c>
      <c r="V69" s="13">
        <f t="shared" si="8"/>
        <v>0</v>
      </c>
      <c r="W69" s="13">
        <f t="shared" si="8"/>
        <v>0</v>
      </c>
      <c r="X69" s="13">
        <f t="shared" si="8"/>
        <v>0</v>
      </c>
      <c r="Y69" s="13">
        <f t="shared" si="8"/>
        <v>0</v>
      </c>
      <c r="Z69" s="13">
        <f t="shared" si="8"/>
        <v>0</v>
      </c>
      <c r="AA69" s="13">
        <f t="shared" si="8"/>
        <v>0</v>
      </c>
      <c r="AB69" s="34">
        <f t="shared" si="8"/>
        <v>0</v>
      </c>
    </row>
    <row r="70" spans="2:28" x14ac:dyDescent="0.3">
      <c r="B70" s="22" t="s">
        <v>158</v>
      </c>
      <c r="C70" s="45">
        <f>C63*C66</f>
        <v>2.1999999999999999E-5</v>
      </c>
      <c r="D70" s="13">
        <f t="shared" ref="D70:AB70" si="9">D63*D66</f>
        <v>2.5600000000000002E-5</v>
      </c>
      <c r="E70" s="13">
        <f t="shared" si="9"/>
        <v>2.9200000000000002E-5</v>
      </c>
      <c r="F70" s="13">
        <f t="shared" si="9"/>
        <v>8.8800000000000004E-5</v>
      </c>
      <c r="G70" s="13">
        <f t="shared" si="9"/>
        <v>1.4879999999999998E-4</v>
      </c>
      <c r="H70" s="13">
        <f t="shared" si="9"/>
        <v>1.2880000000000001E-4</v>
      </c>
      <c r="I70" s="13">
        <f t="shared" si="9"/>
        <v>1.088E-4</v>
      </c>
      <c r="J70" s="13">
        <f t="shared" si="9"/>
        <v>1.22E-4</v>
      </c>
      <c r="K70" s="13">
        <f t="shared" si="9"/>
        <v>1.3519999999999998E-4</v>
      </c>
      <c r="L70" s="13">
        <f t="shared" si="9"/>
        <v>1.4119999999999999E-4</v>
      </c>
      <c r="M70" s="13">
        <f t="shared" si="9"/>
        <v>1.472E-4</v>
      </c>
      <c r="N70" s="13">
        <f t="shared" si="9"/>
        <v>1.54E-4</v>
      </c>
      <c r="O70" s="13">
        <f t="shared" si="9"/>
        <v>1.348E-4</v>
      </c>
      <c r="P70" s="45">
        <f t="shared" si="9"/>
        <v>1.4239999999999999E-4</v>
      </c>
      <c r="Q70" s="13">
        <f t="shared" si="9"/>
        <v>1.504E-4</v>
      </c>
      <c r="R70" s="13">
        <f t="shared" si="9"/>
        <v>1.5840000000000003E-4</v>
      </c>
      <c r="S70" s="13">
        <f t="shared" si="9"/>
        <v>1.6680000000000002E-4</v>
      </c>
      <c r="T70" s="13">
        <f t="shared" si="9"/>
        <v>1.7480000000000002E-4</v>
      </c>
      <c r="U70" s="13">
        <f t="shared" si="9"/>
        <v>1.8360000000000002E-4</v>
      </c>
      <c r="V70" s="13">
        <f t="shared" si="9"/>
        <v>1.92E-4</v>
      </c>
      <c r="W70" s="13">
        <f t="shared" si="9"/>
        <v>2.008E-4</v>
      </c>
      <c r="X70" s="13">
        <f t="shared" si="9"/>
        <v>2.0480000000000002E-4</v>
      </c>
      <c r="Y70" s="13">
        <f t="shared" si="9"/>
        <v>2.084E-4</v>
      </c>
      <c r="Z70" s="13">
        <f t="shared" si="9"/>
        <v>2.1240000000000001E-4</v>
      </c>
      <c r="AA70" s="13">
        <f t="shared" si="9"/>
        <v>2.164E-4</v>
      </c>
      <c r="AB70" s="34">
        <f t="shared" si="9"/>
        <v>2.2040000000000002E-4</v>
      </c>
    </row>
    <row r="71" spans="2:28" ht="15" thickBot="1" x14ac:dyDescent="0.35">
      <c r="B71" s="25" t="s">
        <v>159</v>
      </c>
      <c r="C71" s="46">
        <f>C63*C67</f>
        <v>1.6499999999999997E-6</v>
      </c>
      <c r="D71" s="32">
        <f t="shared" ref="D71:AB71" si="10">D63*D67</f>
        <v>1.9199999999999998E-6</v>
      </c>
      <c r="E71" s="32">
        <f t="shared" si="10"/>
        <v>2.1899999999999998E-6</v>
      </c>
      <c r="F71" s="32">
        <f t="shared" si="10"/>
        <v>6.6599999999999998E-6</v>
      </c>
      <c r="G71" s="32">
        <f t="shared" si="10"/>
        <v>1.1159999999999998E-5</v>
      </c>
      <c r="H71" s="32">
        <f t="shared" si="10"/>
        <v>9.659999999999999E-6</v>
      </c>
      <c r="I71" s="32">
        <f t="shared" si="10"/>
        <v>8.1599999999999981E-6</v>
      </c>
      <c r="J71" s="32">
        <f t="shared" si="10"/>
        <v>9.1499999999999988E-6</v>
      </c>
      <c r="K71" s="32">
        <f t="shared" si="10"/>
        <v>1.0139999999999998E-5</v>
      </c>
      <c r="L71" s="32">
        <f t="shared" si="10"/>
        <v>1.0589999999999999E-5</v>
      </c>
      <c r="M71" s="32">
        <f t="shared" si="10"/>
        <v>1.1039999999999999E-5</v>
      </c>
      <c r="N71" s="32">
        <f t="shared" si="10"/>
        <v>1.155E-5</v>
      </c>
      <c r="O71" s="32">
        <f t="shared" si="10"/>
        <v>1.011E-5</v>
      </c>
      <c r="P71" s="46">
        <f t="shared" si="10"/>
        <v>1.0679999999999999E-5</v>
      </c>
      <c r="Q71" s="32">
        <f t="shared" si="10"/>
        <v>1.1279999999999999E-5</v>
      </c>
      <c r="R71" s="32">
        <f t="shared" si="10"/>
        <v>1.188E-5</v>
      </c>
      <c r="S71" s="32">
        <f t="shared" si="10"/>
        <v>1.2509999999999999E-5</v>
      </c>
      <c r="T71" s="32">
        <f t="shared" si="10"/>
        <v>1.311E-5</v>
      </c>
      <c r="U71" s="32">
        <f t="shared" si="10"/>
        <v>1.377E-5</v>
      </c>
      <c r="V71" s="32">
        <f t="shared" si="10"/>
        <v>1.4399999999999999E-5</v>
      </c>
      <c r="W71" s="32">
        <f t="shared" si="10"/>
        <v>1.506E-5</v>
      </c>
      <c r="X71" s="32">
        <f t="shared" si="10"/>
        <v>1.5359999999999999E-5</v>
      </c>
      <c r="Y71" s="32">
        <f t="shared" si="10"/>
        <v>1.5629999999999998E-5</v>
      </c>
      <c r="Z71" s="32">
        <f t="shared" si="10"/>
        <v>1.5929999999999998E-5</v>
      </c>
      <c r="AA71" s="32">
        <f t="shared" si="10"/>
        <v>1.6229999999999999E-5</v>
      </c>
      <c r="AB71" s="33">
        <f t="shared" si="10"/>
        <v>1.6529999999999999E-5</v>
      </c>
    </row>
    <row r="75" spans="2:28" x14ac:dyDescent="0.3">
      <c r="B75" s="1" t="s">
        <v>243</v>
      </c>
    </row>
    <row r="77" spans="2:28" ht="15" thickBot="1" x14ac:dyDescent="0.35">
      <c r="C77" s="53">
        <v>2010</v>
      </c>
      <c r="D77" s="53">
        <v>2011</v>
      </c>
      <c r="E77" s="53">
        <v>2012</v>
      </c>
      <c r="F77" s="53">
        <v>2013</v>
      </c>
      <c r="G77" s="53">
        <v>2014</v>
      </c>
      <c r="H77" s="53">
        <v>2015</v>
      </c>
      <c r="I77" s="53">
        <v>2016</v>
      </c>
      <c r="J77" s="53">
        <v>2017</v>
      </c>
      <c r="K77" s="53">
        <v>2018</v>
      </c>
      <c r="L77" s="53">
        <v>2019</v>
      </c>
      <c r="M77" s="53">
        <v>2020</v>
      </c>
      <c r="N77" s="53">
        <v>2021</v>
      </c>
      <c r="O77" s="53">
        <v>2022</v>
      </c>
      <c r="P77" s="150">
        <v>2023</v>
      </c>
      <c r="Q77" s="150">
        <v>2024</v>
      </c>
      <c r="R77" s="150">
        <v>2025</v>
      </c>
      <c r="S77" s="150">
        <v>2026</v>
      </c>
      <c r="T77" s="150">
        <v>2027</v>
      </c>
      <c r="U77" s="150">
        <v>2028</v>
      </c>
      <c r="V77" s="150">
        <v>2029</v>
      </c>
      <c r="W77" s="150">
        <v>2030</v>
      </c>
      <c r="X77" s="150">
        <v>2031</v>
      </c>
      <c r="Y77" s="150">
        <v>2032</v>
      </c>
      <c r="Z77" s="150">
        <v>2033</v>
      </c>
      <c r="AA77" s="150">
        <v>2034</v>
      </c>
      <c r="AB77" s="150">
        <v>2035</v>
      </c>
    </row>
    <row r="78" spans="2:28" ht="15" thickBot="1" x14ac:dyDescent="0.35">
      <c r="B78" s="29" t="s">
        <v>106</v>
      </c>
      <c r="C78" s="47">
        <f>ROUND(C63+C57,4)</f>
        <v>5.4999999999999997E-3</v>
      </c>
      <c r="D78" s="35">
        <f t="shared" ref="D78:AB78" si="11">ROUND(D63+D57,4)</f>
        <v>6.4000000000000003E-3</v>
      </c>
      <c r="E78" s="35">
        <f t="shared" si="11"/>
        <v>7.3000000000000001E-3</v>
      </c>
      <c r="F78" s="35">
        <f t="shared" si="11"/>
        <v>2.2200000000000001E-2</v>
      </c>
      <c r="G78" s="35">
        <f t="shared" si="11"/>
        <v>3.7199999999999997E-2</v>
      </c>
      <c r="H78" s="35">
        <f t="shared" si="11"/>
        <v>3.2199999999999999E-2</v>
      </c>
      <c r="I78" s="35">
        <f t="shared" si="11"/>
        <v>2.7199999999999998E-2</v>
      </c>
      <c r="J78" s="35">
        <f t="shared" si="11"/>
        <v>3.0499999999999999E-2</v>
      </c>
      <c r="K78" s="35">
        <f t="shared" si="11"/>
        <v>3.3799999999999997E-2</v>
      </c>
      <c r="L78" s="35">
        <f t="shared" si="11"/>
        <v>3.5299999999999998E-2</v>
      </c>
      <c r="M78" s="35">
        <f t="shared" si="11"/>
        <v>3.6799999999999999E-2</v>
      </c>
      <c r="N78" s="35">
        <f t="shared" si="11"/>
        <v>3.85E-2</v>
      </c>
      <c r="O78" s="35">
        <f t="shared" si="11"/>
        <v>3.3700000000000001E-2</v>
      </c>
      <c r="P78" s="47">
        <f t="shared" si="11"/>
        <v>3.56E-2</v>
      </c>
      <c r="Q78" s="35">
        <f t="shared" si="11"/>
        <v>3.7600000000000001E-2</v>
      </c>
      <c r="R78" s="35">
        <f t="shared" si="11"/>
        <v>3.9600000000000003E-2</v>
      </c>
      <c r="S78" s="35">
        <f t="shared" si="11"/>
        <v>4.3999999999999997E-2</v>
      </c>
      <c r="T78" s="35">
        <f t="shared" si="11"/>
        <v>4.8300000000000003E-2</v>
      </c>
      <c r="U78" s="35">
        <f t="shared" si="11"/>
        <v>5.2699999999999997E-2</v>
      </c>
      <c r="V78" s="35">
        <f t="shared" si="11"/>
        <v>5.7099999999999998E-2</v>
      </c>
      <c r="W78" s="35">
        <f t="shared" si="11"/>
        <v>6.1600000000000002E-2</v>
      </c>
      <c r="X78" s="35">
        <f t="shared" si="11"/>
        <v>6.4899999999999999E-2</v>
      </c>
      <c r="Y78" s="35">
        <f t="shared" si="11"/>
        <v>6.8099999999999994E-2</v>
      </c>
      <c r="Z78" s="35">
        <f t="shared" si="11"/>
        <v>7.1400000000000005E-2</v>
      </c>
      <c r="AA78" s="35">
        <f t="shared" si="11"/>
        <v>7.46E-2</v>
      </c>
      <c r="AB78" s="36">
        <f t="shared" si="11"/>
        <v>7.7899999999999997E-2</v>
      </c>
    </row>
    <row r="79" spans="2:28" x14ac:dyDescent="0.3">
      <c r="B79" s="22" t="s">
        <v>145</v>
      </c>
      <c r="C79" s="45">
        <v>0.1915</v>
      </c>
      <c r="D79" s="13">
        <v>0.1915</v>
      </c>
      <c r="E79" s="13">
        <v>0.1915</v>
      </c>
      <c r="F79" s="13">
        <v>0.1915</v>
      </c>
      <c r="G79" s="13">
        <v>0.1915</v>
      </c>
      <c r="H79" s="13">
        <v>0.1915</v>
      </c>
      <c r="I79" s="13">
        <v>0.1915</v>
      </c>
      <c r="J79" s="13">
        <v>0.1915</v>
      </c>
      <c r="K79" s="13">
        <v>0.1915</v>
      </c>
      <c r="L79" s="13">
        <v>0.1915</v>
      </c>
      <c r="M79" s="13">
        <v>0.1915</v>
      </c>
      <c r="N79" s="13">
        <v>0.1915</v>
      </c>
      <c r="O79" s="13">
        <v>0.1915</v>
      </c>
      <c r="P79" s="45">
        <v>0.1915</v>
      </c>
      <c r="Q79" s="13">
        <v>0.1915</v>
      </c>
      <c r="R79" s="13">
        <v>0.1915</v>
      </c>
      <c r="S79" s="13">
        <v>0.1915</v>
      </c>
      <c r="T79" s="13">
        <v>0.1915</v>
      </c>
      <c r="U79" s="13">
        <v>0.1915</v>
      </c>
      <c r="V79" s="13">
        <v>0.1915</v>
      </c>
      <c r="W79" s="13">
        <v>0.1915</v>
      </c>
      <c r="X79" s="13">
        <v>0.1915</v>
      </c>
      <c r="Y79" s="13">
        <v>0.1915</v>
      </c>
      <c r="Z79" s="13">
        <v>0.1915</v>
      </c>
      <c r="AA79" s="13">
        <v>0.1915</v>
      </c>
      <c r="AB79" s="34">
        <v>0.1915</v>
      </c>
    </row>
    <row r="80" spans="2:28" x14ac:dyDescent="0.3">
      <c r="B80" s="22" t="s">
        <v>154</v>
      </c>
      <c r="C80" s="45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45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34">
        <v>0</v>
      </c>
    </row>
    <row r="81" spans="2:28" x14ac:dyDescent="0.3">
      <c r="B81" s="22" t="s">
        <v>155</v>
      </c>
      <c r="C81" s="45">
        <v>4.0000000000000001E-3</v>
      </c>
      <c r="D81" s="13">
        <v>4.0000000000000001E-3</v>
      </c>
      <c r="E81" s="13">
        <v>4.0000000000000001E-3</v>
      </c>
      <c r="F81" s="13">
        <v>4.0000000000000001E-3</v>
      </c>
      <c r="G81" s="13">
        <v>4.0000000000000001E-3</v>
      </c>
      <c r="H81" s="13">
        <v>4.0000000000000001E-3</v>
      </c>
      <c r="I81" s="13">
        <v>4.0000000000000001E-3</v>
      </c>
      <c r="J81" s="13">
        <v>4.0000000000000001E-3</v>
      </c>
      <c r="K81" s="13">
        <v>4.0000000000000001E-3</v>
      </c>
      <c r="L81" s="13">
        <v>4.0000000000000001E-3</v>
      </c>
      <c r="M81" s="13">
        <v>4.0000000000000001E-3</v>
      </c>
      <c r="N81" s="13">
        <v>4.0000000000000001E-3</v>
      </c>
      <c r="O81" s="13">
        <v>4.0000000000000001E-3</v>
      </c>
      <c r="P81" s="45">
        <v>4.0000000000000001E-3</v>
      </c>
      <c r="Q81" s="13">
        <v>4.0000000000000001E-3</v>
      </c>
      <c r="R81" s="13">
        <v>4.0000000000000001E-3</v>
      </c>
      <c r="S81" s="13">
        <v>4.0000000000000001E-3</v>
      </c>
      <c r="T81" s="13">
        <v>4.0000000000000001E-3</v>
      </c>
      <c r="U81" s="13">
        <v>4.0000000000000001E-3</v>
      </c>
      <c r="V81" s="13">
        <v>4.0000000000000001E-3</v>
      </c>
      <c r="W81" s="13">
        <v>4.0000000000000001E-3</v>
      </c>
      <c r="X81" s="13">
        <v>4.0000000000000001E-3</v>
      </c>
      <c r="Y81" s="13">
        <v>4.0000000000000001E-3</v>
      </c>
      <c r="Z81" s="13">
        <v>4.0000000000000001E-3</v>
      </c>
      <c r="AA81" s="13">
        <v>4.0000000000000001E-3</v>
      </c>
      <c r="AB81" s="34">
        <v>4.0000000000000001E-3</v>
      </c>
    </row>
    <row r="82" spans="2:28" ht="15" thickBot="1" x14ac:dyDescent="0.35">
      <c r="B82" s="25" t="s">
        <v>156</v>
      </c>
      <c r="C82" s="22">
        <v>2.9999999999999997E-4</v>
      </c>
      <c r="D82">
        <v>2.9999999999999997E-4</v>
      </c>
      <c r="E82">
        <v>2.9999999999999997E-4</v>
      </c>
      <c r="F82">
        <v>2.9999999999999997E-4</v>
      </c>
      <c r="G82">
        <v>2.9999999999999997E-4</v>
      </c>
      <c r="H82">
        <v>2.9999999999999997E-4</v>
      </c>
      <c r="I82">
        <v>2.9999999999999997E-4</v>
      </c>
      <c r="J82">
        <v>2.9999999999999997E-4</v>
      </c>
      <c r="K82">
        <v>2.9999999999999997E-4</v>
      </c>
      <c r="L82">
        <v>2.9999999999999997E-4</v>
      </c>
      <c r="M82">
        <v>2.9999999999999997E-4</v>
      </c>
      <c r="N82">
        <v>2.9999999999999997E-4</v>
      </c>
      <c r="O82">
        <v>2.9999999999999997E-4</v>
      </c>
      <c r="P82" s="22">
        <v>2.9999999999999997E-4</v>
      </c>
      <c r="Q82">
        <v>2.9999999999999997E-4</v>
      </c>
      <c r="R82">
        <v>2.9999999999999997E-4</v>
      </c>
      <c r="S82">
        <v>2.9999999999999997E-4</v>
      </c>
      <c r="T82">
        <v>2.9999999999999997E-4</v>
      </c>
      <c r="U82">
        <v>2.9999999999999997E-4</v>
      </c>
      <c r="V82">
        <v>2.9999999999999997E-4</v>
      </c>
      <c r="W82">
        <v>2.9999999999999997E-4</v>
      </c>
      <c r="X82">
        <v>2.9999999999999997E-4</v>
      </c>
      <c r="Y82">
        <v>2.9999999999999997E-4</v>
      </c>
      <c r="Z82">
        <v>2.9999999999999997E-4</v>
      </c>
      <c r="AA82">
        <v>2.9999999999999997E-4</v>
      </c>
      <c r="AB82" s="24">
        <v>2.9999999999999997E-4</v>
      </c>
    </row>
    <row r="83" spans="2:28" x14ac:dyDescent="0.3">
      <c r="B83" s="18" t="s">
        <v>149</v>
      </c>
      <c r="C83" s="44">
        <f>C78*C79</f>
        <v>1.0532499999999999E-3</v>
      </c>
      <c r="D83" s="42">
        <f t="shared" ref="D83:AB83" si="12">D78*D79</f>
        <v>1.2256000000000001E-3</v>
      </c>
      <c r="E83" s="42">
        <f t="shared" si="12"/>
        <v>1.39795E-3</v>
      </c>
      <c r="F83" s="42">
        <f t="shared" si="12"/>
        <v>4.2513000000000004E-3</v>
      </c>
      <c r="G83" s="42">
        <f t="shared" si="12"/>
        <v>7.1237999999999996E-3</v>
      </c>
      <c r="H83" s="42">
        <f t="shared" si="12"/>
        <v>6.1663000000000004E-3</v>
      </c>
      <c r="I83" s="42">
        <f t="shared" si="12"/>
        <v>5.2087999999999995E-3</v>
      </c>
      <c r="J83" s="42">
        <f t="shared" si="12"/>
        <v>5.8407499999999996E-3</v>
      </c>
      <c r="K83" s="42">
        <f t="shared" si="12"/>
        <v>6.4726999999999996E-3</v>
      </c>
      <c r="L83" s="42">
        <f t="shared" si="12"/>
        <v>6.7599499999999998E-3</v>
      </c>
      <c r="M83" s="42">
        <f t="shared" si="12"/>
        <v>7.0472E-3</v>
      </c>
      <c r="N83" s="42">
        <f t="shared" si="12"/>
        <v>7.37275E-3</v>
      </c>
      <c r="O83" s="42">
        <f t="shared" si="12"/>
        <v>6.4535500000000006E-3</v>
      </c>
      <c r="P83" s="44">
        <f t="shared" si="12"/>
        <v>6.8174000000000004E-3</v>
      </c>
      <c r="Q83" s="42">
        <f t="shared" si="12"/>
        <v>7.2004E-3</v>
      </c>
      <c r="R83" s="42">
        <f t="shared" si="12"/>
        <v>7.5834000000000006E-3</v>
      </c>
      <c r="S83" s="42">
        <f t="shared" si="12"/>
        <v>8.4259999999999995E-3</v>
      </c>
      <c r="T83" s="42">
        <f t="shared" si="12"/>
        <v>9.2494500000000011E-3</v>
      </c>
      <c r="U83" s="42">
        <f t="shared" si="12"/>
        <v>1.009205E-2</v>
      </c>
      <c r="V83" s="42">
        <f t="shared" si="12"/>
        <v>1.0934650000000001E-2</v>
      </c>
      <c r="W83" s="42">
        <f t="shared" si="12"/>
        <v>1.17964E-2</v>
      </c>
      <c r="X83" s="42">
        <f t="shared" si="12"/>
        <v>1.2428349999999999E-2</v>
      </c>
      <c r="Y83" s="42">
        <f t="shared" si="12"/>
        <v>1.304115E-2</v>
      </c>
      <c r="Z83" s="42">
        <f t="shared" si="12"/>
        <v>1.3673100000000001E-2</v>
      </c>
      <c r="AA83" s="42">
        <f t="shared" si="12"/>
        <v>1.4285900000000001E-2</v>
      </c>
      <c r="AB83" s="43">
        <f t="shared" si="12"/>
        <v>1.491785E-2</v>
      </c>
    </row>
    <row r="84" spans="2:28" x14ac:dyDescent="0.3">
      <c r="B84" s="22" t="s">
        <v>157</v>
      </c>
      <c r="C84" s="45">
        <f>C78*C80</f>
        <v>0</v>
      </c>
      <c r="D84" s="13">
        <f t="shared" ref="D84:AB84" si="13">D78*D80</f>
        <v>0</v>
      </c>
      <c r="E84" s="13">
        <f t="shared" si="13"/>
        <v>0</v>
      </c>
      <c r="F84" s="13">
        <f t="shared" si="13"/>
        <v>0</v>
      </c>
      <c r="G84" s="13">
        <f t="shared" si="13"/>
        <v>0</v>
      </c>
      <c r="H84" s="13">
        <f t="shared" si="13"/>
        <v>0</v>
      </c>
      <c r="I84" s="13">
        <f t="shared" si="13"/>
        <v>0</v>
      </c>
      <c r="J84" s="13">
        <f t="shared" si="13"/>
        <v>0</v>
      </c>
      <c r="K84" s="13">
        <f t="shared" si="13"/>
        <v>0</v>
      </c>
      <c r="L84" s="13">
        <f t="shared" si="13"/>
        <v>0</v>
      </c>
      <c r="M84" s="13">
        <f t="shared" si="13"/>
        <v>0</v>
      </c>
      <c r="N84" s="13">
        <f t="shared" si="13"/>
        <v>0</v>
      </c>
      <c r="O84" s="13">
        <f t="shared" si="13"/>
        <v>0</v>
      </c>
      <c r="P84" s="45">
        <f t="shared" si="13"/>
        <v>0</v>
      </c>
      <c r="Q84" s="13">
        <f t="shared" si="13"/>
        <v>0</v>
      </c>
      <c r="R84" s="13">
        <f t="shared" si="13"/>
        <v>0</v>
      </c>
      <c r="S84" s="13">
        <f t="shared" si="13"/>
        <v>0</v>
      </c>
      <c r="T84" s="13">
        <f t="shared" si="13"/>
        <v>0</v>
      </c>
      <c r="U84" s="13">
        <f t="shared" si="13"/>
        <v>0</v>
      </c>
      <c r="V84" s="13">
        <f t="shared" si="13"/>
        <v>0</v>
      </c>
      <c r="W84" s="13">
        <f t="shared" si="13"/>
        <v>0</v>
      </c>
      <c r="X84" s="13">
        <f t="shared" si="13"/>
        <v>0</v>
      </c>
      <c r="Y84" s="13">
        <f t="shared" si="13"/>
        <v>0</v>
      </c>
      <c r="Z84" s="13">
        <f t="shared" si="13"/>
        <v>0</v>
      </c>
      <c r="AA84" s="13">
        <f t="shared" si="13"/>
        <v>0</v>
      </c>
      <c r="AB84" s="34">
        <f t="shared" si="13"/>
        <v>0</v>
      </c>
    </row>
    <row r="85" spans="2:28" x14ac:dyDescent="0.3">
      <c r="B85" s="22" t="s">
        <v>158</v>
      </c>
      <c r="C85" s="45">
        <f>C78*C81</f>
        <v>2.1999999999999999E-5</v>
      </c>
      <c r="D85" s="13">
        <f t="shared" ref="D85:AB85" si="14">D78*D81</f>
        <v>2.5600000000000002E-5</v>
      </c>
      <c r="E85" s="13">
        <f t="shared" si="14"/>
        <v>2.9200000000000002E-5</v>
      </c>
      <c r="F85" s="13">
        <f t="shared" si="14"/>
        <v>8.8800000000000004E-5</v>
      </c>
      <c r="G85" s="13">
        <f t="shared" si="14"/>
        <v>1.4879999999999998E-4</v>
      </c>
      <c r="H85" s="13">
        <f t="shared" si="14"/>
        <v>1.2880000000000001E-4</v>
      </c>
      <c r="I85" s="13">
        <f t="shared" si="14"/>
        <v>1.088E-4</v>
      </c>
      <c r="J85" s="13">
        <f t="shared" si="14"/>
        <v>1.22E-4</v>
      </c>
      <c r="K85" s="13">
        <f t="shared" si="14"/>
        <v>1.3519999999999998E-4</v>
      </c>
      <c r="L85" s="13">
        <f t="shared" si="14"/>
        <v>1.4119999999999999E-4</v>
      </c>
      <c r="M85" s="13">
        <f t="shared" si="14"/>
        <v>1.472E-4</v>
      </c>
      <c r="N85" s="13">
        <f t="shared" si="14"/>
        <v>1.54E-4</v>
      </c>
      <c r="O85" s="13">
        <f t="shared" si="14"/>
        <v>1.348E-4</v>
      </c>
      <c r="P85" s="45">
        <f t="shared" si="14"/>
        <v>1.4239999999999999E-4</v>
      </c>
      <c r="Q85" s="13">
        <f t="shared" si="14"/>
        <v>1.504E-4</v>
      </c>
      <c r="R85" s="13">
        <f t="shared" si="14"/>
        <v>1.5840000000000003E-4</v>
      </c>
      <c r="S85" s="13">
        <f t="shared" si="14"/>
        <v>1.76E-4</v>
      </c>
      <c r="T85" s="13">
        <f t="shared" si="14"/>
        <v>1.9320000000000001E-4</v>
      </c>
      <c r="U85" s="13">
        <f t="shared" si="14"/>
        <v>2.108E-4</v>
      </c>
      <c r="V85" s="13">
        <f t="shared" si="14"/>
        <v>2.284E-4</v>
      </c>
      <c r="W85" s="13">
        <f t="shared" si="14"/>
        <v>2.4640000000000003E-4</v>
      </c>
      <c r="X85" s="13">
        <f t="shared" si="14"/>
        <v>2.5960000000000002E-4</v>
      </c>
      <c r="Y85" s="13">
        <f t="shared" si="14"/>
        <v>2.7240000000000001E-4</v>
      </c>
      <c r="Z85" s="13">
        <f t="shared" si="14"/>
        <v>2.856E-4</v>
      </c>
      <c r="AA85" s="13">
        <f t="shared" si="14"/>
        <v>2.9839999999999999E-4</v>
      </c>
      <c r="AB85" s="34">
        <f t="shared" si="14"/>
        <v>3.1159999999999998E-4</v>
      </c>
    </row>
    <row r="86" spans="2:28" ht="15" thickBot="1" x14ac:dyDescent="0.35">
      <c r="B86" s="25" t="s">
        <v>159</v>
      </c>
      <c r="C86" s="46">
        <f>C78*C82</f>
        <v>1.6499999999999997E-6</v>
      </c>
      <c r="D86" s="32">
        <f t="shared" ref="D86:AB86" si="15">D78*D82</f>
        <v>1.9199999999999998E-6</v>
      </c>
      <c r="E86" s="32">
        <f t="shared" si="15"/>
        <v>2.1899999999999998E-6</v>
      </c>
      <c r="F86" s="32">
        <f t="shared" si="15"/>
        <v>6.6599999999999998E-6</v>
      </c>
      <c r="G86" s="32">
        <f t="shared" si="15"/>
        <v>1.1159999999999998E-5</v>
      </c>
      <c r="H86" s="32">
        <f t="shared" si="15"/>
        <v>9.659999999999999E-6</v>
      </c>
      <c r="I86" s="32">
        <f t="shared" si="15"/>
        <v>8.1599999999999981E-6</v>
      </c>
      <c r="J86" s="32">
        <f t="shared" si="15"/>
        <v>9.1499999999999988E-6</v>
      </c>
      <c r="K86" s="32">
        <f t="shared" si="15"/>
        <v>1.0139999999999998E-5</v>
      </c>
      <c r="L86" s="32">
        <f t="shared" si="15"/>
        <v>1.0589999999999999E-5</v>
      </c>
      <c r="M86" s="32">
        <f t="shared" si="15"/>
        <v>1.1039999999999999E-5</v>
      </c>
      <c r="N86" s="32">
        <f t="shared" si="15"/>
        <v>1.155E-5</v>
      </c>
      <c r="O86" s="32">
        <f t="shared" si="15"/>
        <v>1.011E-5</v>
      </c>
      <c r="P86" s="46">
        <f t="shared" si="15"/>
        <v>1.0679999999999999E-5</v>
      </c>
      <c r="Q86" s="32">
        <f t="shared" si="15"/>
        <v>1.1279999999999999E-5</v>
      </c>
      <c r="R86" s="32">
        <f t="shared" si="15"/>
        <v>1.188E-5</v>
      </c>
      <c r="S86" s="32">
        <f t="shared" si="15"/>
        <v>1.3199999999999997E-5</v>
      </c>
      <c r="T86" s="32">
        <f t="shared" si="15"/>
        <v>1.449E-5</v>
      </c>
      <c r="U86" s="32">
        <f t="shared" si="15"/>
        <v>1.5809999999999996E-5</v>
      </c>
      <c r="V86" s="32">
        <f t="shared" si="15"/>
        <v>1.7129999999999997E-5</v>
      </c>
      <c r="W86" s="32">
        <f t="shared" si="15"/>
        <v>1.8479999999999999E-5</v>
      </c>
      <c r="X86" s="32">
        <f t="shared" si="15"/>
        <v>1.9469999999999998E-5</v>
      </c>
      <c r="Y86" s="32">
        <f t="shared" si="15"/>
        <v>2.0429999999999996E-5</v>
      </c>
      <c r="Z86" s="32">
        <f t="shared" si="15"/>
        <v>2.1419999999999998E-5</v>
      </c>
      <c r="AA86" s="32">
        <f t="shared" si="15"/>
        <v>2.2379999999999999E-5</v>
      </c>
      <c r="AB86" s="33">
        <f t="shared" si="15"/>
        <v>2.3369999999999998E-5</v>
      </c>
    </row>
    <row r="88" spans="2:28" x14ac:dyDescent="0.3">
      <c r="B88" s="1" t="s">
        <v>238</v>
      </c>
      <c r="C88" s="13">
        <f t="shared" ref="C88:AA88" si="16">C37+C68</f>
        <v>0.89342485000000005</v>
      </c>
      <c r="D88" s="13">
        <f t="shared" si="16"/>
        <v>1.0340568000000001</v>
      </c>
      <c r="E88" s="13">
        <f t="shared" si="16"/>
        <v>1.1747295900000001</v>
      </c>
      <c r="F88" s="13">
        <f t="shared" si="16"/>
        <v>1.2340139000000001</v>
      </c>
      <c r="G88" s="13">
        <f t="shared" si="16"/>
        <v>1.2934743200000001</v>
      </c>
      <c r="H88" s="13">
        <f t="shared" si="16"/>
        <v>1.7263233500000001</v>
      </c>
      <c r="I88" s="13">
        <f t="shared" si="16"/>
        <v>2.1593304</v>
      </c>
      <c r="J88" s="13">
        <f t="shared" si="16"/>
        <v>2.4408751899999999</v>
      </c>
      <c r="K88" s="13">
        <f t="shared" si="16"/>
        <v>2.7225766400000002</v>
      </c>
      <c r="L88" s="13">
        <f t="shared" si="16"/>
        <v>2.9047948299999997</v>
      </c>
      <c r="M88" s="13">
        <f t="shared" si="16"/>
        <v>3.0867843800000005</v>
      </c>
      <c r="N88" s="13">
        <f t="shared" si="16"/>
        <v>3.3064557799999998</v>
      </c>
      <c r="O88" s="13">
        <f t="shared" si="16"/>
        <v>3.4561497099999996</v>
      </c>
      <c r="P88" s="13">
        <f t="shared" si="16"/>
        <v>3.8340086000000002</v>
      </c>
      <c r="Q88" s="13">
        <f t="shared" si="16"/>
        <v>4.2451664400000002</v>
      </c>
      <c r="R88" s="13">
        <f t="shared" si="16"/>
        <v>4.6902798799999994</v>
      </c>
      <c r="S88" s="13">
        <f t="shared" si="16"/>
        <v>5.1707089899999996</v>
      </c>
      <c r="T88" s="13">
        <f t="shared" si="16"/>
        <v>5.6986416699999998</v>
      </c>
      <c r="U88" s="13">
        <f t="shared" si="16"/>
        <v>6.2670930900000004</v>
      </c>
      <c r="V88" s="13">
        <f t="shared" si="16"/>
        <v>6.8780646399999998</v>
      </c>
      <c r="W88" s="13">
        <f t="shared" si="16"/>
        <v>7.5444309399999998</v>
      </c>
      <c r="X88" s="13">
        <f t="shared" si="16"/>
        <v>8.0657581599999997</v>
      </c>
      <c r="Y88" s="13">
        <f t="shared" si="16"/>
        <v>8.6252162299999995</v>
      </c>
      <c r="Z88" s="13">
        <f t="shared" si="16"/>
        <v>9.2122583300000009</v>
      </c>
      <c r="AA88" s="13">
        <f t="shared" si="16"/>
        <v>9.8397083500000004</v>
      </c>
      <c r="AB88" s="13">
        <f>AB37+AB68</f>
        <v>10.508676769999999</v>
      </c>
    </row>
    <row r="89" spans="2:28" x14ac:dyDescent="0.3">
      <c r="B89" s="1" t="s">
        <v>244</v>
      </c>
      <c r="C89" s="13">
        <f t="shared" ref="C89:AA89" si="17">C83+C52</f>
        <v>0.89342485000000005</v>
      </c>
      <c r="D89" s="13">
        <f t="shared" si="17"/>
        <v>1.0340568000000001</v>
      </c>
      <c r="E89" s="13">
        <f t="shared" si="17"/>
        <v>1.1747295900000001</v>
      </c>
      <c r="F89" s="13">
        <f t="shared" si="17"/>
        <v>1.2340139000000001</v>
      </c>
      <c r="G89" s="13">
        <f t="shared" si="17"/>
        <v>1.2934743200000001</v>
      </c>
      <c r="H89" s="13">
        <f t="shared" si="17"/>
        <v>1.7263233500000001</v>
      </c>
      <c r="I89" s="13">
        <f t="shared" si="17"/>
        <v>2.1593304</v>
      </c>
      <c r="J89" s="13">
        <f t="shared" si="17"/>
        <v>2.4408751899999999</v>
      </c>
      <c r="K89" s="13">
        <f t="shared" si="17"/>
        <v>2.7225766400000002</v>
      </c>
      <c r="L89" s="13">
        <f t="shared" si="17"/>
        <v>2.9047948299999997</v>
      </c>
      <c r="M89" s="13">
        <f t="shared" si="17"/>
        <v>3.0867843800000005</v>
      </c>
      <c r="N89" s="13">
        <f t="shared" si="17"/>
        <v>3.3064557799999998</v>
      </c>
      <c r="O89" s="13">
        <f t="shared" si="17"/>
        <v>3.4561497099999996</v>
      </c>
      <c r="P89" s="13">
        <f t="shared" si="17"/>
        <v>3.8340086000000002</v>
      </c>
      <c r="Q89" s="13">
        <f t="shared" si="17"/>
        <v>4.2451664400000002</v>
      </c>
      <c r="R89" s="13">
        <f t="shared" si="17"/>
        <v>4.6902798799999994</v>
      </c>
      <c r="S89" s="13">
        <f t="shared" si="17"/>
        <v>5.1688674399999996</v>
      </c>
      <c r="T89" s="13">
        <f t="shared" si="17"/>
        <v>5.6949585699999998</v>
      </c>
      <c r="U89" s="13">
        <f t="shared" si="17"/>
        <v>6.2615492899999996</v>
      </c>
      <c r="V89" s="13">
        <f t="shared" si="17"/>
        <v>6.8706792900000009</v>
      </c>
      <c r="W89" s="13">
        <f t="shared" si="17"/>
        <v>7.53520404</v>
      </c>
      <c r="X89" s="13">
        <f t="shared" si="17"/>
        <v>8.0546897099999999</v>
      </c>
      <c r="Y89" s="13">
        <f t="shared" si="17"/>
        <v>8.6123062299999997</v>
      </c>
      <c r="Z89" s="13">
        <f t="shared" si="17"/>
        <v>9.1975067800000012</v>
      </c>
      <c r="AA89" s="13">
        <f t="shared" si="17"/>
        <v>9.8230961000000008</v>
      </c>
      <c r="AB89" s="13">
        <f>AB83+AB52</f>
        <v>10.49022297</v>
      </c>
    </row>
    <row r="90" spans="2:28" x14ac:dyDescent="0.3">
      <c r="B90" s="1" t="s">
        <v>240</v>
      </c>
      <c r="C90" s="13">
        <f t="shared" ref="C90:AA90" si="18">C88-C89</f>
        <v>0</v>
      </c>
      <c r="D90" s="13">
        <f t="shared" si="18"/>
        <v>0</v>
      </c>
      <c r="E90" s="13">
        <f t="shared" si="18"/>
        <v>0</v>
      </c>
      <c r="F90" s="13">
        <f t="shared" si="18"/>
        <v>0</v>
      </c>
      <c r="G90" s="13">
        <f t="shared" si="18"/>
        <v>0</v>
      </c>
      <c r="H90" s="13">
        <f t="shared" si="18"/>
        <v>0</v>
      </c>
      <c r="I90" s="13">
        <f t="shared" si="18"/>
        <v>0</v>
      </c>
      <c r="J90" s="13">
        <f t="shared" si="18"/>
        <v>0</v>
      </c>
      <c r="K90" s="13">
        <f t="shared" si="18"/>
        <v>0</v>
      </c>
      <c r="L90" s="13">
        <f t="shared" si="18"/>
        <v>0</v>
      </c>
      <c r="M90" s="13">
        <f t="shared" si="18"/>
        <v>0</v>
      </c>
      <c r="N90" s="13">
        <f t="shared" si="18"/>
        <v>0</v>
      </c>
      <c r="O90" s="13">
        <f t="shared" si="18"/>
        <v>0</v>
      </c>
      <c r="P90" s="13">
        <f t="shared" si="18"/>
        <v>0</v>
      </c>
      <c r="Q90" s="13">
        <f t="shared" si="18"/>
        <v>0</v>
      </c>
      <c r="R90" s="13">
        <f t="shared" si="18"/>
        <v>0</v>
      </c>
      <c r="S90" s="13">
        <f t="shared" si="18"/>
        <v>1.8415499999999696E-3</v>
      </c>
      <c r="T90" s="13">
        <f t="shared" si="18"/>
        <v>3.6830999999999392E-3</v>
      </c>
      <c r="U90" s="13">
        <f t="shared" si="18"/>
        <v>5.5438000000007648E-3</v>
      </c>
      <c r="V90" s="13">
        <f t="shared" si="18"/>
        <v>7.385349999998958E-3</v>
      </c>
      <c r="W90" s="13">
        <f t="shared" si="18"/>
        <v>9.2268999999998158E-3</v>
      </c>
      <c r="X90" s="13">
        <f t="shared" si="18"/>
        <v>1.1068449999999785E-2</v>
      </c>
      <c r="Y90" s="13">
        <f t="shared" si="18"/>
        <v>1.2909999999999755E-2</v>
      </c>
      <c r="Z90" s="13">
        <f t="shared" si="18"/>
        <v>1.4751549999999725E-2</v>
      </c>
      <c r="AA90" s="13">
        <f t="shared" si="18"/>
        <v>1.6612249999999662E-2</v>
      </c>
      <c r="AB90" s="12">
        <f>AB88-AB89</f>
        <v>1.8453799999999632E-2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AAC7B-673C-45C2-AAA7-CD11A584478D}">
  <sheetPr>
    <tabColor theme="9" tint="0.59999389629810485"/>
  </sheetPr>
  <dimension ref="B4:AB102"/>
  <sheetViews>
    <sheetView topLeftCell="A7" workbookViewId="0"/>
  </sheetViews>
  <sheetFormatPr defaultRowHeight="14.4" x14ac:dyDescent="0.3"/>
  <cols>
    <col min="2" max="2" width="55.6640625" customWidth="1"/>
    <col min="3" max="3" width="11.6640625" bestFit="1" customWidth="1"/>
  </cols>
  <sheetData>
    <row r="4" spans="2:28" x14ac:dyDescent="0.3">
      <c r="C4" t="s">
        <v>224</v>
      </c>
    </row>
    <row r="6" spans="2:28" x14ac:dyDescent="0.3">
      <c r="C6">
        <v>2010</v>
      </c>
      <c r="D6">
        <v>2011</v>
      </c>
      <c r="E6">
        <v>2012</v>
      </c>
      <c r="F6">
        <v>2013</v>
      </c>
      <c r="G6">
        <v>2014</v>
      </c>
      <c r="H6">
        <v>2015</v>
      </c>
      <c r="I6">
        <v>2016</v>
      </c>
      <c r="J6">
        <v>2017</v>
      </c>
      <c r="K6">
        <v>2018</v>
      </c>
      <c r="L6">
        <v>2019</v>
      </c>
      <c r="M6">
        <v>2020</v>
      </c>
      <c r="N6">
        <v>2021</v>
      </c>
      <c r="O6">
        <v>2022</v>
      </c>
      <c r="P6">
        <v>2023</v>
      </c>
      <c r="Q6">
        <v>2024</v>
      </c>
      <c r="R6">
        <v>2025</v>
      </c>
      <c r="S6">
        <v>2026</v>
      </c>
      <c r="T6">
        <v>2027</v>
      </c>
      <c r="U6">
        <v>2028</v>
      </c>
      <c r="V6">
        <v>2029</v>
      </c>
      <c r="W6">
        <v>2030</v>
      </c>
      <c r="X6">
        <v>2031</v>
      </c>
      <c r="Y6">
        <v>2032</v>
      </c>
      <c r="Z6">
        <v>2033</v>
      </c>
      <c r="AA6">
        <v>2034</v>
      </c>
      <c r="AB6">
        <v>2035</v>
      </c>
    </row>
    <row r="7" spans="2:28" x14ac:dyDescent="0.3">
      <c r="B7">
        <v>1</v>
      </c>
      <c r="C7" s="152">
        <v>0</v>
      </c>
      <c r="D7" s="152">
        <v>0</v>
      </c>
      <c r="E7" s="152">
        <v>0</v>
      </c>
      <c r="F7" s="152">
        <v>0</v>
      </c>
      <c r="G7" s="152">
        <v>0</v>
      </c>
      <c r="H7" s="152">
        <v>0</v>
      </c>
      <c r="I7" s="152">
        <v>0</v>
      </c>
      <c r="J7" s="152">
        <v>0</v>
      </c>
      <c r="K7" s="152">
        <v>0</v>
      </c>
      <c r="L7" s="152">
        <v>0</v>
      </c>
      <c r="M7" s="152">
        <v>0</v>
      </c>
      <c r="N7" s="152">
        <v>0</v>
      </c>
      <c r="O7" s="152">
        <v>0</v>
      </c>
      <c r="P7" s="152">
        <v>0</v>
      </c>
      <c r="Q7" s="152">
        <v>0</v>
      </c>
      <c r="R7" s="152">
        <v>0</v>
      </c>
      <c r="S7" s="152">
        <v>3.7000000000000082</v>
      </c>
      <c r="T7" s="152">
        <v>7.4000000000000057</v>
      </c>
      <c r="U7" s="152">
        <v>11.100000000000005</v>
      </c>
      <c r="V7" s="152">
        <v>14.800000000000004</v>
      </c>
      <c r="W7" s="152">
        <v>18.5</v>
      </c>
      <c r="X7" s="152">
        <v>22.2</v>
      </c>
      <c r="Y7" s="152">
        <v>25.9</v>
      </c>
      <c r="Z7" s="152">
        <v>29.599999999999994</v>
      </c>
      <c r="AA7" s="152">
        <v>33.299999999999997</v>
      </c>
      <c r="AB7" s="152">
        <v>36.999999999999993</v>
      </c>
    </row>
    <row r="8" spans="2:28" x14ac:dyDescent="0.3">
      <c r="B8">
        <v>2</v>
      </c>
      <c r="C8" s="152">
        <v>0</v>
      </c>
      <c r="D8" s="152">
        <v>0</v>
      </c>
      <c r="E8" s="152">
        <v>0</v>
      </c>
      <c r="F8" s="152">
        <v>0</v>
      </c>
      <c r="G8" s="152">
        <v>0</v>
      </c>
      <c r="H8" s="152">
        <v>0</v>
      </c>
      <c r="I8" s="152">
        <v>0</v>
      </c>
      <c r="J8" s="152">
        <v>0</v>
      </c>
      <c r="K8" s="152">
        <v>0</v>
      </c>
      <c r="L8" s="152">
        <v>0</v>
      </c>
      <c r="M8" s="152">
        <v>0</v>
      </c>
      <c r="N8" s="152">
        <v>0</v>
      </c>
      <c r="O8" s="152">
        <v>0</v>
      </c>
      <c r="P8" s="152">
        <v>0</v>
      </c>
      <c r="Q8" s="152">
        <v>0</v>
      </c>
      <c r="R8" s="152">
        <v>0</v>
      </c>
      <c r="S8" s="152">
        <v>0</v>
      </c>
      <c r="T8" s="152">
        <v>5.6666666666666661</v>
      </c>
      <c r="U8" s="152">
        <v>11.333333333333332</v>
      </c>
      <c r="V8" s="152">
        <v>17</v>
      </c>
      <c r="W8" s="152">
        <v>22.666666666666668</v>
      </c>
      <c r="X8" s="152">
        <v>28.333333333333332</v>
      </c>
      <c r="Y8" s="152">
        <v>34</v>
      </c>
      <c r="Z8" s="152">
        <v>39.666666666666671</v>
      </c>
      <c r="AA8" s="152">
        <v>45.333333333333329</v>
      </c>
      <c r="AB8" s="152">
        <v>51</v>
      </c>
    </row>
    <row r="10" spans="2:28" x14ac:dyDescent="0.3">
      <c r="C10" s="1"/>
    </row>
    <row r="11" spans="2:28" x14ac:dyDescent="0.3">
      <c r="C11" t="s">
        <v>225</v>
      </c>
    </row>
    <row r="13" spans="2:28" x14ac:dyDescent="0.3">
      <c r="C13">
        <v>2010</v>
      </c>
      <c r="D13">
        <v>2011</v>
      </c>
      <c r="E13">
        <v>2012</v>
      </c>
      <c r="F13">
        <v>2013</v>
      </c>
      <c r="G13">
        <v>2014</v>
      </c>
      <c r="H13">
        <v>2015</v>
      </c>
      <c r="I13">
        <v>2016</v>
      </c>
      <c r="J13">
        <v>2017</v>
      </c>
      <c r="K13">
        <v>2018</v>
      </c>
      <c r="L13">
        <v>2019</v>
      </c>
      <c r="M13">
        <v>2020</v>
      </c>
      <c r="N13">
        <v>2021</v>
      </c>
      <c r="O13">
        <v>2022</v>
      </c>
      <c r="P13">
        <v>2023</v>
      </c>
      <c r="Q13">
        <v>2024</v>
      </c>
      <c r="R13">
        <v>2025</v>
      </c>
      <c r="S13">
        <v>2026</v>
      </c>
      <c r="T13">
        <v>2027</v>
      </c>
      <c r="U13">
        <v>2028</v>
      </c>
      <c r="V13">
        <v>2029</v>
      </c>
      <c r="W13">
        <v>2030</v>
      </c>
      <c r="X13">
        <v>2031</v>
      </c>
      <c r="Y13">
        <v>2032</v>
      </c>
      <c r="Z13">
        <v>2033</v>
      </c>
      <c r="AA13">
        <v>2034</v>
      </c>
      <c r="AB13">
        <v>2035</v>
      </c>
    </row>
    <row r="14" spans="2:28" x14ac:dyDescent="0.3"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30</v>
      </c>
      <c r="AB14">
        <v>60.000000000000014</v>
      </c>
    </row>
    <row r="19" spans="2:28" x14ac:dyDescent="0.3">
      <c r="C19">
        <v>2010</v>
      </c>
      <c r="D19">
        <v>2011</v>
      </c>
      <c r="E19">
        <v>2012</v>
      </c>
      <c r="F19">
        <v>2013</v>
      </c>
      <c r="G19">
        <v>2014</v>
      </c>
      <c r="H19">
        <v>2015</v>
      </c>
      <c r="I19">
        <v>2016</v>
      </c>
      <c r="J19">
        <v>2017</v>
      </c>
      <c r="K19">
        <v>2018</v>
      </c>
      <c r="L19">
        <v>2019</v>
      </c>
      <c r="M19">
        <v>2020</v>
      </c>
      <c r="N19">
        <v>2021</v>
      </c>
      <c r="O19">
        <v>2022</v>
      </c>
      <c r="P19">
        <v>2023</v>
      </c>
      <c r="Q19">
        <v>2024</v>
      </c>
      <c r="R19">
        <v>2025</v>
      </c>
      <c r="S19">
        <v>2026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2032</v>
      </c>
      <c r="Z19">
        <v>2033</v>
      </c>
      <c r="AA19">
        <v>2034</v>
      </c>
      <c r="AB19">
        <v>2035</v>
      </c>
    </row>
    <row r="20" spans="2:28" x14ac:dyDescent="0.3">
      <c r="B20" t="s">
        <v>67</v>
      </c>
      <c r="C20" s="152">
        <f>C7+C8</f>
        <v>0</v>
      </c>
      <c r="D20" s="152">
        <f t="shared" ref="D20:AB20" si="0">D7+D8</f>
        <v>0</v>
      </c>
      <c r="E20" s="152">
        <f t="shared" si="0"/>
        <v>0</v>
      </c>
      <c r="F20" s="152">
        <f t="shared" si="0"/>
        <v>0</v>
      </c>
      <c r="G20" s="152">
        <f t="shared" si="0"/>
        <v>0</v>
      </c>
      <c r="H20" s="152">
        <f t="shared" si="0"/>
        <v>0</v>
      </c>
      <c r="I20" s="152">
        <f t="shared" si="0"/>
        <v>0</v>
      </c>
      <c r="J20" s="152">
        <f t="shared" si="0"/>
        <v>0</v>
      </c>
      <c r="K20" s="152">
        <f t="shared" si="0"/>
        <v>0</v>
      </c>
      <c r="L20" s="152">
        <f t="shared" si="0"/>
        <v>0</v>
      </c>
      <c r="M20" s="152">
        <f t="shared" si="0"/>
        <v>0</v>
      </c>
      <c r="N20" s="152">
        <f t="shared" si="0"/>
        <v>0</v>
      </c>
      <c r="O20" s="152">
        <f t="shared" si="0"/>
        <v>0</v>
      </c>
      <c r="P20" s="152">
        <f t="shared" si="0"/>
        <v>0</v>
      </c>
      <c r="Q20" s="152">
        <f t="shared" si="0"/>
        <v>0</v>
      </c>
      <c r="R20" s="152">
        <f t="shared" si="0"/>
        <v>0</v>
      </c>
      <c r="S20" s="152">
        <f t="shared" si="0"/>
        <v>3.7000000000000082</v>
      </c>
      <c r="T20" s="152">
        <f t="shared" si="0"/>
        <v>13.066666666666672</v>
      </c>
      <c r="U20" s="152">
        <f t="shared" si="0"/>
        <v>22.433333333333337</v>
      </c>
      <c r="V20" s="152">
        <f t="shared" si="0"/>
        <v>31.800000000000004</v>
      </c>
      <c r="W20" s="152">
        <f t="shared" si="0"/>
        <v>41.166666666666671</v>
      </c>
      <c r="X20" s="152">
        <f t="shared" si="0"/>
        <v>50.533333333333331</v>
      </c>
      <c r="Y20" s="152">
        <f t="shared" si="0"/>
        <v>59.9</v>
      </c>
      <c r="Z20" s="152">
        <f t="shared" si="0"/>
        <v>69.266666666666666</v>
      </c>
      <c r="AA20" s="152">
        <f t="shared" si="0"/>
        <v>78.633333333333326</v>
      </c>
      <c r="AB20" s="152">
        <f t="shared" si="0"/>
        <v>88</v>
      </c>
    </row>
    <row r="21" spans="2:28" x14ac:dyDescent="0.3">
      <c r="B21" t="s">
        <v>68</v>
      </c>
      <c r="C21" s="152">
        <f>C7+C8+C14</f>
        <v>0</v>
      </c>
      <c r="D21" s="152">
        <f t="shared" ref="D21:AB21" si="1">D7+D8+D14</f>
        <v>0</v>
      </c>
      <c r="E21" s="152">
        <f t="shared" si="1"/>
        <v>0</v>
      </c>
      <c r="F21" s="152">
        <f t="shared" si="1"/>
        <v>0</v>
      </c>
      <c r="G21" s="152">
        <f t="shared" si="1"/>
        <v>0</v>
      </c>
      <c r="H21" s="152">
        <f t="shared" si="1"/>
        <v>0</v>
      </c>
      <c r="I21" s="152">
        <f t="shared" si="1"/>
        <v>0</v>
      </c>
      <c r="J21" s="152">
        <f t="shared" si="1"/>
        <v>0</v>
      </c>
      <c r="K21" s="152">
        <f t="shared" si="1"/>
        <v>0</v>
      </c>
      <c r="L21" s="152">
        <f t="shared" si="1"/>
        <v>0</v>
      </c>
      <c r="M21" s="152">
        <f t="shared" si="1"/>
        <v>0</v>
      </c>
      <c r="N21" s="152">
        <f t="shared" si="1"/>
        <v>0</v>
      </c>
      <c r="O21" s="152">
        <f t="shared" si="1"/>
        <v>0</v>
      </c>
      <c r="P21" s="152">
        <f t="shared" si="1"/>
        <v>0</v>
      </c>
      <c r="Q21" s="152">
        <f t="shared" si="1"/>
        <v>0</v>
      </c>
      <c r="R21" s="152">
        <f t="shared" si="1"/>
        <v>0</v>
      </c>
      <c r="S21" s="152">
        <f t="shared" si="1"/>
        <v>3.7000000000000082</v>
      </c>
      <c r="T21" s="152">
        <f t="shared" si="1"/>
        <v>13.066666666666672</v>
      </c>
      <c r="U21" s="152">
        <f t="shared" si="1"/>
        <v>22.433333333333337</v>
      </c>
      <c r="V21" s="152">
        <f t="shared" si="1"/>
        <v>31.800000000000004</v>
      </c>
      <c r="W21" s="152">
        <f t="shared" si="1"/>
        <v>41.166666666666671</v>
      </c>
      <c r="X21" s="152">
        <f t="shared" si="1"/>
        <v>50.533333333333331</v>
      </c>
      <c r="Y21" s="152">
        <f t="shared" si="1"/>
        <v>59.9</v>
      </c>
      <c r="Z21" s="152">
        <f t="shared" si="1"/>
        <v>69.266666666666666</v>
      </c>
      <c r="AA21" s="152">
        <f t="shared" si="1"/>
        <v>108.63333333333333</v>
      </c>
      <c r="AB21" s="152">
        <f t="shared" si="1"/>
        <v>148</v>
      </c>
    </row>
    <row r="32" spans="2:28" x14ac:dyDescent="0.3">
      <c r="B32" s="1" t="s">
        <v>245</v>
      </c>
    </row>
    <row r="34" spans="2:28" ht="15" thickBot="1" x14ac:dyDescent="0.35">
      <c r="C34" s="53">
        <v>2010</v>
      </c>
      <c r="D34" s="53">
        <v>2011</v>
      </c>
      <c r="E34" s="53">
        <v>2012</v>
      </c>
      <c r="F34" s="53">
        <v>2013</v>
      </c>
      <c r="G34" s="53">
        <v>2014</v>
      </c>
      <c r="H34" s="53">
        <v>2015</v>
      </c>
      <c r="I34" s="53">
        <v>2016</v>
      </c>
      <c r="J34" s="53">
        <v>2017</v>
      </c>
      <c r="K34" s="53">
        <v>2018</v>
      </c>
      <c r="L34" s="53">
        <v>2019</v>
      </c>
      <c r="M34" s="53">
        <v>2020</v>
      </c>
      <c r="N34" s="53">
        <v>2021</v>
      </c>
      <c r="O34" s="53">
        <v>2022</v>
      </c>
      <c r="P34" s="150">
        <v>2023</v>
      </c>
      <c r="Q34" s="150">
        <v>2024</v>
      </c>
      <c r="R34" s="150">
        <v>2025</v>
      </c>
      <c r="S34" s="150">
        <v>2026</v>
      </c>
      <c r="T34" s="150">
        <v>2027</v>
      </c>
      <c r="U34" s="150">
        <v>2028</v>
      </c>
      <c r="V34" s="150">
        <v>2029</v>
      </c>
      <c r="W34" s="150">
        <v>2030</v>
      </c>
      <c r="X34" s="150">
        <v>2031</v>
      </c>
      <c r="Y34" s="150">
        <v>2032</v>
      </c>
      <c r="Z34" s="150">
        <v>2033</v>
      </c>
      <c r="AA34" s="150">
        <v>2034</v>
      </c>
      <c r="AB34" s="150">
        <v>2035</v>
      </c>
    </row>
    <row r="35" spans="2:28" ht="15" thickBot="1" x14ac:dyDescent="0.35">
      <c r="B35" s="29" t="s">
        <v>204</v>
      </c>
      <c r="C35" s="18">
        <v>0.3417</v>
      </c>
      <c r="D35" s="19">
        <v>0.3468</v>
      </c>
      <c r="E35" s="19">
        <v>0.3533</v>
      </c>
      <c r="F35" s="19">
        <v>0.35899999999999999</v>
      </c>
      <c r="G35" s="19">
        <v>0.36480000000000001</v>
      </c>
      <c r="H35" s="19">
        <v>0.3705</v>
      </c>
      <c r="I35" s="19">
        <v>0.37619999999999998</v>
      </c>
      <c r="J35" s="19">
        <v>0.38179999999999997</v>
      </c>
      <c r="K35" s="19">
        <v>0.38740000000000002</v>
      </c>
      <c r="L35" s="19">
        <v>0.39279999999999998</v>
      </c>
      <c r="M35" s="19">
        <v>0.39850000000000002</v>
      </c>
      <c r="N35" s="19">
        <v>0.39910000000000001</v>
      </c>
      <c r="O35" s="19">
        <v>0.38740000000000002</v>
      </c>
      <c r="P35" s="44">
        <v>0.4178</v>
      </c>
      <c r="Q35" s="42">
        <v>0.4491</v>
      </c>
      <c r="R35" s="42">
        <v>0.44729999999999998</v>
      </c>
      <c r="S35" s="42">
        <v>0.4647</v>
      </c>
      <c r="T35" s="42">
        <v>0.54549999999999998</v>
      </c>
      <c r="U35" s="42">
        <v>0.57940000000000003</v>
      </c>
      <c r="V35" s="42">
        <v>0.61319999999999997</v>
      </c>
      <c r="W35" s="42">
        <v>0.64710000000000001</v>
      </c>
      <c r="X35" s="42">
        <v>0.68189999999999995</v>
      </c>
      <c r="Y35" s="42">
        <v>0.71750000000000003</v>
      </c>
      <c r="Z35" s="42">
        <v>0.75309999999999999</v>
      </c>
      <c r="AA35" s="42">
        <v>0.78959999999999997</v>
      </c>
      <c r="AB35" s="43">
        <v>0.82599999999999996</v>
      </c>
    </row>
    <row r="36" spans="2:28" x14ac:dyDescent="0.3">
      <c r="B36" s="18" t="s">
        <v>214</v>
      </c>
      <c r="C36" s="44">
        <v>0.66220000000000001</v>
      </c>
      <c r="D36" s="42">
        <v>0.74339999999999995</v>
      </c>
      <c r="E36" s="42">
        <v>0.8246</v>
      </c>
      <c r="F36" s="42">
        <v>0.82010000000000005</v>
      </c>
      <c r="G36" s="42">
        <v>0.81559999999999999</v>
      </c>
      <c r="H36" s="42">
        <v>0.81510000000000005</v>
      </c>
      <c r="I36" s="42">
        <v>0.81459999999999999</v>
      </c>
      <c r="J36" s="42">
        <v>0.81910000000000005</v>
      </c>
      <c r="K36" s="42">
        <v>0.8236</v>
      </c>
      <c r="L36" s="42">
        <v>0.79849999999999999</v>
      </c>
      <c r="M36" s="42">
        <v>0.77349999999999997</v>
      </c>
      <c r="N36" s="42">
        <v>0.79359999999999997</v>
      </c>
      <c r="O36" s="42">
        <v>0.80830000000000002</v>
      </c>
      <c r="P36" s="44">
        <v>0.82379999999999998</v>
      </c>
      <c r="Q36" s="42">
        <v>0.8387</v>
      </c>
      <c r="R36" s="42">
        <v>0.8538</v>
      </c>
      <c r="S36" s="42">
        <v>0.86929999999999996</v>
      </c>
      <c r="T36" s="42">
        <v>0.88500000000000001</v>
      </c>
      <c r="U36" s="42">
        <v>0.90100000000000002</v>
      </c>
      <c r="V36" s="42">
        <v>0.91720000000000002</v>
      </c>
      <c r="W36" s="42">
        <v>0.93379999999999996</v>
      </c>
      <c r="X36" s="42">
        <v>0.95069999999999999</v>
      </c>
      <c r="Y36" s="42">
        <v>0.96779999999999999</v>
      </c>
      <c r="Z36" s="42">
        <v>0.98529999999999995</v>
      </c>
      <c r="AA36" s="42">
        <v>1.0031000000000001</v>
      </c>
      <c r="AB36" s="43">
        <v>1.0212000000000001</v>
      </c>
    </row>
    <row r="37" spans="2:28" x14ac:dyDescent="0.3">
      <c r="B37" s="22" t="s">
        <v>215</v>
      </c>
      <c r="C37" s="45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45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34">
        <v>0</v>
      </c>
    </row>
    <row r="38" spans="2:28" x14ac:dyDescent="0.3">
      <c r="B38" s="22" t="s">
        <v>216</v>
      </c>
      <c r="C38" s="45">
        <v>2.3599999999999999E-2</v>
      </c>
      <c r="D38" s="13">
        <v>2.6499999999999999E-2</v>
      </c>
      <c r="E38" s="13">
        <v>2.9399999999999999E-2</v>
      </c>
      <c r="F38" s="13">
        <v>2.93E-2</v>
      </c>
      <c r="G38" s="13">
        <v>2.9100000000000001E-2</v>
      </c>
      <c r="H38" s="13">
        <v>2.9100000000000001E-2</v>
      </c>
      <c r="I38" s="13">
        <v>2.9100000000000001E-2</v>
      </c>
      <c r="J38" s="13">
        <v>2.93E-2</v>
      </c>
      <c r="K38" s="13">
        <v>2.9399999999999999E-2</v>
      </c>
      <c r="L38" s="13">
        <v>2.8500000000000001E-2</v>
      </c>
      <c r="M38" s="13">
        <v>2.76E-2</v>
      </c>
      <c r="N38" s="13">
        <v>2.8299999999999999E-2</v>
      </c>
      <c r="O38" s="13">
        <v>2.8899999999999999E-2</v>
      </c>
      <c r="P38" s="45">
        <v>2.9421997533288682E-2</v>
      </c>
      <c r="Q38" s="13">
        <v>2.9953423489579425E-2</v>
      </c>
      <c r="R38" s="13">
        <v>3.0494448166918934E-2</v>
      </c>
      <c r="S38" s="13">
        <v>3.1045244939311021E-2</v>
      </c>
      <c r="T38" s="13">
        <v>3.1605990312275151E-2</v>
      </c>
      <c r="U38" s="13">
        <v>3.2176863979408499E-2</v>
      </c>
      <c r="V38" s="13">
        <v>3.275804887996963E-2</v>
      </c>
      <c r="W38" s="13">
        <v>3.3349731257502305E-2</v>
      </c>
      <c r="X38" s="13">
        <v>3.3952100719518111E-2</v>
      </c>
      <c r="Y38" s="13">
        <v>3.4565350298257122E-2</v>
      </c>
      <c r="Z38" s="13">
        <v>3.518967651254603E-2</v>
      </c>
      <c r="AA38" s="13">
        <v>3.5825279430773564E-2</v>
      </c>
      <c r="AB38" s="34">
        <v>3.6472362735003379E-2</v>
      </c>
    </row>
    <row r="39" spans="2:28" ht="15" thickBot="1" x14ac:dyDescent="0.35">
      <c r="B39" s="25" t="s">
        <v>217</v>
      </c>
      <c r="C39" s="46">
        <v>0</v>
      </c>
      <c r="D39" s="32">
        <v>0</v>
      </c>
      <c r="E39" s="32">
        <v>0</v>
      </c>
      <c r="F39" s="32">
        <v>0</v>
      </c>
      <c r="G39" s="32">
        <v>0</v>
      </c>
      <c r="H39" s="32">
        <v>0</v>
      </c>
      <c r="I39" s="32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46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2">
        <v>0</v>
      </c>
      <c r="X39" s="32">
        <v>0</v>
      </c>
      <c r="Y39" s="32">
        <v>0</v>
      </c>
      <c r="Z39" s="32">
        <v>0</v>
      </c>
      <c r="AA39" s="32">
        <v>0</v>
      </c>
      <c r="AB39" s="33">
        <v>0</v>
      </c>
    </row>
    <row r="40" spans="2:28" x14ac:dyDescent="0.3">
      <c r="B40" s="18" t="s">
        <v>149</v>
      </c>
      <c r="C40" s="45">
        <v>0.22627374</v>
      </c>
      <c r="D40" s="13">
        <v>0.25781112</v>
      </c>
      <c r="E40" s="13">
        <v>0.29133118000000002</v>
      </c>
      <c r="F40" s="13">
        <v>0.29441590000000001</v>
      </c>
      <c r="G40" s="13">
        <v>0.29753088</v>
      </c>
      <c r="H40" s="13">
        <v>0.30199455000000003</v>
      </c>
      <c r="I40" s="13">
        <v>0.30645252000000001</v>
      </c>
      <c r="J40" s="13">
        <v>0.31273237999999998</v>
      </c>
      <c r="K40" s="13">
        <v>0.31906264000000001</v>
      </c>
      <c r="L40" s="13">
        <v>0.31365080000000001</v>
      </c>
      <c r="M40" s="13">
        <v>0.30823974999999998</v>
      </c>
      <c r="N40" s="13">
        <v>0.31672576000000002</v>
      </c>
      <c r="O40" s="34">
        <v>0.31313542</v>
      </c>
      <c r="P40" s="44">
        <v>0.34418364000000001</v>
      </c>
      <c r="Q40" s="42">
        <v>0.37666017000000002</v>
      </c>
      <c r="R40" s="42">
        <v>0.38190473999999996</v>
      </c>
      <c r="S40" s="42">
        <v>0.40396370999999998</v>
      </c>
      <c r="T40" s="42">
        <v>0.48276750000000002</v>
      </c>
      <c r="U40" s="42">
        <v>0.52203940000000004</v>
      </c>
      <c r="V40" s="42">
        <v>0.56242703999999999</v>
      </c>
      <c r="W40" s="42">
        <v>0.60426197999999998</v>
      </c>
      <c r="X40" s="42">
        <v>0.64828232999999991</v>
      </c>
      <c r="Y40" s="42">
        <v>0.69439649999999997</v>
      </c>
      <c r="Z40" s="42">
        <v>0.74202942999999999</v>
      </c>
      <c r="AA40" s="42">
        <v>0.7920477600000001</v>
      </c>
      <c r="AB40" s="172">
        <v>0.84351120000000002</v>
      </c>
    </row>
    <row r="41" spans="2:28" x14ac:dyDescent="0.3">
      <c r="B41" s="22" t="s">
        <v>157</v>
      </c>
      <c r="C41" s="45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34">
        <v>0</v>
      </c>
      <c r="P41" s="45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34">
        <v>0</v>
      </c>
    </row>
    <row r="42" spans="2:28" x14ac:dyDescent="0.3">
      <c r="B42" s="22" t="s">
        <v>158</v>
      </c>
      <c r="C42" s="45">
        <v>8.0641199999999993E-3</v>
      </c>
      <c r="D42" s="13">
        <v>9.1901999999999991E-3</v>
      </c>
      <c r="E42" s="13">
        <v>1.038702E-2</v>
      </c>
      <c r="F42" s="13">
        <v>1.0518699999999999E-2</v>
      </c>
      <c r="G42" s="13">
        <v>1.0615680000000001E-2</v>
      </c>
      <c r="H42" s="13">
        <v>1.0781550000000001E-2</v>
      </c>
      <c r="I42" s="13">
        <v>1.0947419999999999E-2</v>
      </c>
      <c r="J42" s="13">
        <v>1.1186739999999999E-2</v>
      </c>
      <c r="K42" s="13">
        <v>1.138956E-2</v>
      </c>
      <c r="L42" s="13">
        <v>1.11948E-2</v>
      </c>
      <c r="M42" s="13">
        <v>1.0998600000000001E-2</v>
      </c>
      <c r="N42" s="13">
        <v>1.1294530000000001E-2</v>
      </c>
      <c r="O42" s="34">
        <v>1.119586E-2</v>
      </c>
      <c r="P42" s="45">
        <v>1.2292510569408012E-2</v>
      </c>
      <c r="Q42" s="13">
        <v>1.345208248917012E-2</v>
      </c>
      <c r="R42" s="13">
        <v>1.3640166665062839E-2</v>
      </c>
      <c r="S42" s="13">
        <v>1.4426725323297831E-2</v>
      </c>
      <c r="T42" s="13">
        <v>1.7241067715346094E-2</v>
      </c>
      <c r="U42" s="13">
        <v>1.8643274989669285E-2</v>
      </c>
      <c r="V42" s="13">
        <v>2.0087235573197377E-2</v>
      </c>
      <c r="W42" s="13">
        <v>2.1580611096729742E-2</v>
      </c>
      <c r="X42" s="13">
        <v>2.3151937480639397E-2</v>
      </c>
      <c r="Y42" s="13">
        <v>2.4800638838999484E-2</v>
      </c>
      <c r="Z42" s="13">
        <v>2.6501345381598415E-2</v>
      </c>
      <c r="AA42" s="13">
        <v>2.8287640638538804E-2</v>
      </c>
      <c r="AB42" s="34">
        <v>3.0126171619112789E-2</v>
      </c>
    </row>
    <row r="43" spans="2:28" ht="15" thickBot="1" x14ac:dyDescent="0.35">
      <c r="B43" s="25" t="s">
        <v>159</v>
      </c>
      <c r="C43" s="46">
        <v>0</v>
      </c>
      <c r="D43" s="32">
        <v>0</v>
      </c>
      <c r="E43" s="32">
        <v>0</v>
      </c>
      <c r="F43" s="32">
        <v>0</v>
      </c>
      <c r="G43" s="32">
        <v>0</v>
      </c>
      <c r="H43" s="32">
        <v>0</v>
      </c>
      <c r="I43" s="32">
        <v>0</v>
      </c>
      <c r="J43" s="32">
        <v>0</v>
      </c>
      <c r="K43" s="32">
        <v>0</v>
      </c>
      <c r="L43" s="32">
        <v>0</v>
      </c>
      <c r="M43" s="32">
        <v>0</v>
      </c>
      <c r="N43" s="32">
        <v>0</v>
      </c>
      <c r="O43" s="33">
        <v>0</v>
      </c>
      <c r="P43" s="46">
        <v>0</v>
      </c>
      <c r="Q43" s="32">
        <v>0</v>
      </c>
      <c r="R43" s="32">
        <v>0</v>
      </c>
      <c r="S43" s="32">
        <v>0</v>
      </c>
      <c r="T43" s="32">
        <v>0</v>
      </c>
      <c r="U43" s="32">
        <v>0</v>
      </c>
      <c r="V43" s="32">
        <v>0</v>
      </c>
      <c r="W43" s="32">
        <v>0</v>
      </c>
      <c r="X43" s="32">
        <v>0</v>
      </c>
      <c r="Y43" s="32">
        <v>0</v>
      </c>
      <c r="Z43" s="32">
        <v>0</v>
      </c>
      <c r="AA43" s="32">
        <v>0</v>
      </c>
      <c r="AB43" s="33">
        <v>0</v>
      </c>
    </row>
    <row r="45" spans="2:28" x14ac:dyDescent="0.3">
      <c r="B45" s="1" t="s">
        <v>246</v>
      </c>
    </row>
    <row r="47" spans="2:28" ht="15" thickBot="1" x14ac:dyDescent="0.35">
      <c r="C47" s="53">
        <v>2010</v>
      </c>
      <c r="D47" s="53">
        <v>2011</v>
      </c>
      <c r="E47" s="53">
        <v>2012</v>
      </c>
      <c r="F47" s="53">
        <v>2013</v>
      </c>
      <c r="G47" s="53">
        <v>2014</v>
      </c>
      <c r="H47" s="53">
        <v>2015</v>
      </c>
      <c r="I47" s="53">
        <v>2016</v>
      </c>
      <c r="J47" s="53">
        <v>2017</v>
      </c>
      <c r="K47" s="53">
        <v>2018</v>
      </c>
      <c r="L47" s="53">
        <v>2019</v>
      </c>
      <c r="M47" s="53">
        <v>2020</v>
      </c>
      <c r="N47" s="53">
        <v>2021</v>
      </c>
      <c r="O47" s="53">
        <v>2022</v>
      </c>
      <c r="P47" s="150">
        <v>2023</v>
      </c>
      <c r="Q47" s="150">
        <v>2024</v>
      </c>
      <c r="R47" s="150">
        <v>2025</v>
      </c>
      <c r="S47" s="150">
        <v>2026</v>
      </c>
      <c r="T47" s="150">
        <v>2027</v>
      </c>
      <c r="U47" s="150">
        <v>2028</v>
      </c>
      <c r="V47" s="150">
        <v>2029</v>
      </c>
      <c r="W47" s="150">
        <v>2030</v>
      </c>
      <c r="X47" s="150">
        <v>2031</v>
      </c>
      <c r="Y47" s="150">
        <v>2032</v>
      </c>
      <c r="Z47" s="150">
        <v>2033</v>
      </c>
      <c r="AA47" s="150">
        <v>2034</v>
      </c>
      <c r="AB47" s="150">
        <v>2035</v>
      </c>
    </row>
    <row r="48" spans="2:28" ht="15" thickBot="1" x14ac:dyDescent="0.35">
      <c r="B48" s="29" t="s">
        <v>209</v>
      </c>
      <c r="C48" s="18">
        <v>8.5999999999999993E-2</v>
      </c>
      <c r="D48" s="19">
        <v>8.7400000000000005E-2</v>
      </c>
      <c r="E48" s="19">
        <v>8.7999999999999995E-2</v>
      </c>
      <c r="F48" s="19">
        <v>8.9599999999999999E-2</v>
      </c>
      <c r="G48" s="19">
        <v>9.1200000000000003E-2</v>
      </c>
      <c r="H48" s="19">
        <v>9.0300000000000005E-2</v>
      </c>
      <c r="I48" s="19">
        <v>8.9399999999999993E-2</v>
      </c>
      <c r="J48" s="19">
        <v>8.9599999999999999E-2</v>
      </c>
      <c r="K48" s="19">
        <v>8.9700000000000002E-2</v>
      </c>
      <c r="L48" s="19">
        <v>9.3600000000000003E-2</v>
      </c>
      <c r="M48" s="19">
        <v>9.7600000000000006E-2</v>
      </c>
      <c r="N48" s="19">
        <v>9.7000000000000003E-2</v>
      </c>
      <c r="O48" s="19">
        <v>9.2499999999999999E-2</v>
      </c>
      <c r="P48" s="44">
        <v>9.98E-2</v>
      </c>
      <c r="Q48" s="42">
        <v>0.1072</v>
      </c>
      <c r="R48" s="42">
        <v>0.10680000000000001</v>
      </c>
      <c r="S48" s="42">
        <v>0.111</v>
      </c>
      <c r="T48" s="42">
        <v>0.13020000000000001</v>
      </c>
      <c r="U48" s="42">
        <v>0.13830000000000001</v>
      </c>
      <c r="V48" s="42">
        <v>0.1464</v>
      </c>
      <c r="W48" s="42">
        <v>0.1545</v>
      </c>
      <c r="X48" s="42">
        <v>0.1628</v>
      </c>
      <c r="Y48" s="42">
        <v>0.17130000000000001</v>
      </c>
      <c r="Z48" s="42">
        <v>0.17979999999999999</v>
      </c>
      <c r="AA48" s="42">
        <v>0.1885</v>
      </c>
      <c r="AB48" s="43">
        <v>0.19719999999999999</v>
      </c>
    </row>
    <row r="49" spans="2:28" x14ac:dyDescent="0.3">
      <c r="B49" s="18" t="s">
        <v>210</v>
      </c>
      <c r="C49" s="44">
        <v>2.0821000000000001</v>
      </c>
      <c r="D49" s="42">
        <v>2.0821000000000001</v>
      </c>
      <c r="E49" s="42">
        <v>2.0821000000000001</v>
      </c>
      <c r="F49" s="42">
        <v>2.0821000000000001</v>
      </c>
      <c r="G49" s="42">
        <v>2.0821000000000001</v>
      </c>
      <c r="H49" s="42">
        <v>2.0821000000000001</v>
      </c>
      <c r="I49" s="42">
        <v>2.0821000000000001</v>
      </c>
      <c r="J49" s="42">
        <v>2.0821000000000001</v>
      </c>
      <c r="K49" s="42">
        <v>2.0821000000000001</v>
      </c>
      <c r="L49" s="42">
        <v>2.0821000000000001</v>
      </c>
      <c r="M49" s="42">
        <v>2.0821000000000001</v>
      </c>
      <c r="N49" s="42">
        <v>2.0821000000000001</v>
      </c>
      <c r="O49" s="42">
        <v>2.0821000000000001</v>
      </c>
      <c r="P49" s="44">
        <v>2.0935000000000001</v>
      </c>
      <c r="Q49" s="42">
        <v>2.0935000000000001</v>
      </c>
      <c r="R49" s="42">
        <v>2.0935000000000001</v>
      </c>
      <c r="S49" s="42">
        <v>2.0935000000000001</v>
      </c>
      <c r="T49" s="42">
        <v>2.0935000000000001</v>
      </c>
      <c r="U49" s="42">
        <v>2.0935000000000001</v>
      </c>
      <c r="V49" s="42">
        <v>2.0935000000000001</v>
      </c>
      <c r="W49" s="42">
        <v>2.0935000000000001</v>
      </c>
      <c r="X49" s="42">
        <v>2.0935000000000001</v>
      </c>
      <c r="Y49" s="42">
        <v>2.0935000000000001</v>
      </c>
      <c r="Z49" s="42">
        <v>2.0935000000000001</v>
      </c>
      <c r="AA49" s="42">
        <v>2.0935000000000001</v>
      </c>
      <c r="AB49" s="43">
        <v>2.0935000000000001</v>
      </c>
    </row>
    <row r="50" spans="2:28" x14ac:dyDescent="0.3">
      <c r="B50" s="22" t="s">
        <v>218</v>
      </c>
      <c r="C50" s="45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45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34">
        <v>0</v>
      </c>
    </row>
    <row r="51" spans="2:28" x14ac:dyDescent="0.3">
      <c r="B51" s="22" t="s">
        <v>219</v>
      </c>
      <c r="C51" s="45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45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34">
        <v>0</v>
      </c>
    </row>
    <row r="52" spans="2:28" ht="15" thickBot="1" x14ac:dyDescent="0.35">
      <c r="B52" s="25" t="s">
        <v>220</v>
      </c>
      <c r="C52" s="46">
        <v>7.9000000000000008E-3</v>
      </c>
      <c r="D52" s="32">
        <v>7.9000000000000008E-3</v>
      </c>
      <c r="E52" s="32">
        <v>7.9000000000000008E-3</v>
      </c>
      <c r="F52" s="32">
        <v>7.9000000000000008E-3</v>
      </c>
      <c r="G52" s="32">
        <v>7.9000000000000008E-3</v>
      </c>
      <c r="H52" s="32">
        <v>7.9000000000000008E-3</v>
      </c>
      <c r="I52" s="32">
        <v>7.9000000000000008E-3</v>
      </c>
      <c r="J52" s="32">
        <v>7.9000000000000008E-3</v>
      </c>
      <c r="K52" s="32">
        <v>7.9000000000000008E-3</v>
      </c>
      <c r="L52" s="32">
        <v>7.9000000000000008E-3</v>
      </c>
      <c r="M52" s="32">
        <v>7.9000000000000008E-3</v>
      </c>
      <c r="N52" s="32">
        <v>7.9000000000000008E-3</v>
      </c>
      <c r="O52" s="32">
        <v>7.9000000000000008E-3</v>
      </c>
      <c r="P52" s="46">
        <v>7.9000000000000008E-3</v>
      </c>
      <c r="Q52" s="32">
        <v>7.9000000000000008E-3</v>
      </c>
      <c r="R52" s="32">
        <v>7.9000000000000008E-3</v>
      </c>
      <c r="S52" s="32">
        <v>7.9000000000000008E-3</v>
      </c>
      <c r="T52" s="32">
        <v>7.9000000000000008E-3</v>
      </c>
      <c r="U52" s="32">
        <v>7.9000000000000008E-3</v>
      </c>
      <c r="V52" s="32">
        <v>7.9000000000000008E-3</v>
      </c>
      <c r="W52" s="32">
        <v>7.9000000000000008E-3</v>
      </c>
      <c r="X52" s="32">
        <v>7.9000000000000008E-3</v>
      </c>
      <c r="Y52" s="32">
        <v>7.9000000000000008E-3</v>
      </c>
      <c r="Z52" s="32">
        <v>7.9000000000000008E-3</v>
      </c>
      <c r="AA52" s="32">
        <v>7.9000000000000008E-3</v>
      </c>
      <c r="AB52" s="33">
        <v>7.9000000000000008E-3</v>
      </c>
    </row>
    <row r="53" spans="2:28" x14ac:dyDescent="0.3">
      <c r="B53" s="18" t="s">
        <v>149</v>
      </c>
      <c r="C53" s="45">
        <v>0.17906059999999999</v>
      </c>
      <c r="D53" s="13">
        <v>0.18197554000000002</v>
      </c>
      <c r="E53" s="13">
        <v>0.18322479999999999</v>
      </c>
      <c r="F53" s="13">
        <v>0.18655616</v>
      </c>
      <c r="G53" s="13">
        <v>0.18988752</v>
      </c>
      <c r="H53" s="13">
        <v>0.18801363000000001</v>
      </c>
      <c r="I53" s="13">
        <v>0.18613974</v>
      </c>
      <c r="J53" s="13">
        <v>0.18655616</v>
      </c>
      <c r="K53" s="13">
        <v>0.18676437000000001</v>
      </c>
      <c r="L53" s="13">
        <v>0.19488456000000001</v>
      </c>
      <c r="M53" s="13">
        <v>0.20321296000000003</v>
      </c>
      <c r="N53" s="13">
        <v>0.20196370000000002</v>
      </c>
      <c r="O53" s="13">
        <v>0.19259424999999999</v>
      </c>
      <c r="P53" s="44">
        <v>0.20893130000000001</v>
      </c>
      <c r="Q53" s="42">
        <v>0.22442320000000002</v>
      </c>
      <c r="R53" s="42">
        <v>0.22358580000000003</v>
      </c>
      <c r="S53" s="42">
        <v>0.23237850000000002</v>
      </c>
      <c r="T53" s="42">
        <v>0.27257370000000003</v>
      </c>
      <c r="U53" s="42">
        <v>0.28953105000000001</v>
      </c>
      <c r="V53" s="42">
        <v>0.30648840000000005</v>
      </c>
      <c r="W53" s="42">
        <v>0.32344575000000003</v>
      </c>
      <c r="X53" s="42">
        <v>0.34082180000000001</v>
      </c>
      <c r="Y53" s="42">
        <v>0.35861655000000003</v>
      </c>
      <c r="Z53" s="42">
        <v>0.3764113</v>
      </c>
      <c r="AA53" s="42">
        <v>0.39462475000000002</v>
      </c>
      <c r="AB53" s="43">
        <v>0.41283819999999999</v>
      </c>
    </row>
    <row r="54" spans="2:28" x14ac:dyDescent="0.3">
      <c r="B54" s="22" t="s">
        <v>157</v>
      </c>
      <c r="C54" s="45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45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34">
        <v>0</v>
      </c>
    </row>
    <row r="55" spans="2:28" x14ac:dyDescent="0.3">
      <c r="B55" s="22" t="s">
        <v>158</v>
      </c>
      <c r="C55" s="45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45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34">
        <v>0</v>
      </c>
    </row>
    <row r="56" spans="2:28" ht="15" thickBot="1" x14ac:dyDescent="0.35">
      <c r="B56" s="25" t="s">
        <v>159</v>
      </c>
      <c r="C56" s="46">
        <v>6.7940000000000003E-4</v>
      </c>
      <c r="D56" s="32">
        <v>6.9046000000000016E-4</v>
      </c>
      <c r="E56" s="32">
        <v>6.9519999999999998E-4</v>
      </c>
      <c r="F56" s="32">
        <v>7.0784000000000005E-4</v>
      </c>
      <c r="G56" s="32">
        <v>7.2048000000000012E-4</v>
      </c>
      <c r="H56" s="32">
        <v>7.1337000000000006E-4</v>
      </c>
      <c r="I56" s="32">
        <v>7.0626E-4</v>
      </c>
      <c r="J56" s="32">
        <v>7.0784000000000005E-4</v>
      </c>
      <c r="K56" s="32">
        <v>7.0863000000000013E-4</v>
      </c>
      <c r="L56" s="32">
        <v>7.3944000000000006E-4</v>
      </c>
      <c r="M56" s="32">
        <v>7.7104000000000007E-4</v>
      </c>
      <c r="N56" s="32">
        <v>7.6630000000000014E-4</v>
      </c>
      <c r="O56" s="32">
        <v>7.3075000000000006E-4</v>
      </c>
      <c r="P56" s="46">
        <v>7.8842000000000007E-4</v>
      </c>
      <c r="Q56" s="32">
        <v>8.4688000000000016E-4</v>
      </c>
      <c r="R56" s="32">
        <v>8.4372000000000017E-4</v>
      </c>
      <c r="S56" s="32">
        <v>8.7690000000000012E-4</v>
      </c>
      <c r="T56" s="32">
        <v>1.0285800000000001E-3</v>
      </c>
      <c r="U56" s="32">
        <v>1.0925700000000002E-3</v>
      </c>
      <c r="V56" s="32">
        <v>1.1565600000000001E-3</v>
      </c>
      <c r="W56" s="32">
        <v>1.2205500000000002E-3</v>
      </c>
      <c r="X56" s="32">
        <v>1.2861200000000002E-3</v>
      </c>
      <c r="Y56" s="32">
        <v>1.3532700000000002E-3</v>
      </c>
      <c r="Z56" s="32">
        <v>1.4204200000000001E-3</v>
      </c>
      <c r="AA56" s="32">
        <v>1.4891500000000001E-3</v>
      </c>
      <c r="AB56" s="33">
        <v>1.55788E-3</v>
      </c>
    </row>
    <row r="59" spans="2:28" x14ac:dyDescent="0.3">
      <c r="B59" t="s">
        <v>247</v>
      </c>
      <c r="C59" s="13">
        <f>C40+C53</f>
        <v>0.40533434000000002</v>
      </c>
      <c r="D59" s="13">
        <f t="shared" ref="D59:AB59" si="2">D40+D53</f>
        <v>0.43978666</v>
      </c>
      <c r="E59" s="13">
        <f t="shared" si="2"/>
        <v>0.47455597999999999</v>
      </c>
      <c r="F59" s="13">
        <f t="shared" si="2"/>
        <v>0.48097206000000003</v>
      </c>
      <c r="G59" s="13">
        <f t="shared" si="2"/>
        <v>0.48741840000000003</v>
      </c>
      <c r="H59" s="13">
        <f t="shared" si="2"/>
        <v>0.49000818000000002</v>
      </c>
      <c r="I59" s="13">
        <f t="shared" si="2"/>
        <v>0.49259226</v>
      </c>
      <c r="J59" s="13">
        <f t="shared" si="2"/>
        <v>0.49928854</v>
      </c>
      <c r="K59" s="13">
        <f t="shared" si="2"/>
        <v>0.50582700999999997</v>
      </c>
      <c r="L59" s="13">
        <f t="shared" si="2"/>
        <v>0.50853535999999999</v>
      </c>
      <c r="M59" s="13">
        <f t="shared" si="2"/>
        <v>0.51145271000000003</v>
      </c>
      <c r="N59" s="13">
        <f t="shared" si="2"/>
        <v>0.51868946000000005</v>
      </c>
      <c r="O59" s="13">
        <f t="shared" si="2"/>
        <v>0.50572967000000002</v>
      </c>
      <c r="P59" s="13">
        <f t="shared" si="2"/>
        <v>0.55311494000000005</v>
      </c>
      <c r="Q59" s="13">
        <f t="shared" si="2"/>
        <v>0.60108337000000001</v>
      </c>
      <c r="R59" s="13">
        <f t="shared" si="2"/>
        <v>0.60549054000000002</v>
      </c>
      <c r="S59" s="13">
        <f t="shared" si="2"/>
        <v>0.63634221000000002</v>
      </c>
      <c r="T59" s="13">
        <f t="shared" si="2"/>
        <v>0.75534120000000005</v>
      </c>
      <c r="U59" s="13">
        <f t="shared" si="2"/>
        <v>0.81157045000000005</v>
      </c>
      <c r="V59" s="13">
        <f t="shared" si="2"/>
        <v>0.86891544000000009</v>
      </c>
      <c r="W59" s="13">
        <f t="shared" si="2"/>
        <v>0.92770773000000006</v>
      </c>
      <c r="X59" s="13">
        <f t="shared" si="2"/>
        <v>0.98910412999999986</v>
      </c>
      <c r="Y59" s="13">
        <f t="shared" si="2"/>
        <v>1.0530130500000001</v>
      </c>
      <c r="Z59" s="13">
        <f t="shared" si="2"/>
        <v>1.1184407300000001</v>
      </c>
      <c r="AA59" s="13">
        <f t="shared" si="2"/>
        <v>1.1866725100000002</v>
      </c>
      <c r="AB59" s="13">
        <f t="shared" si="2"/>
        <v>1.2563493999999999</v>
      </c>
    </row>
    <row r="60" spans="2:28" x14ac:dyDescent="0.3">
      <c r="B60" t="s">
        <v>248</v>
      </c>
      <c r="C60" s="39">
        <f>C40/C59</f>
        <v>0.55823974845062474</v>
      </c>
      <c r="D60" s="39">
        <f t="shared" ref="D60:AB60" si="3">D40/D59</f>
        <v>0.58621859971832713</v>
      </c>
      <c r="E60" s="39">
        <f t="shared" si="3"/>
        <v>0.61390266328537269</v>
      </c>
      <c r="F60" s="39">
        <f t="shared" si="3"/>
        <v>0.61212682499686155</v>
      </c>
      <c r="G60" s="39">
        <f t="shared" si="3"/>
        <v>0.61042192908597614</v>
      </c>
      <c r="H60" s="39">
        <f t="shared" si="3"/>
        <v>0.61630511964106394</v>
      </c>
      <c r="I60" s="39">
        <f t="shared" si="3"/>
        <v>0.62212207719219947</v>
      </c>
      <c r="J60" s="39">
        <f t="shared" si="3"/>
        <v>0.62635601450015255</v>
      </c>
      <c r="K60" s="39">
        <f t="shared" si="3"/>
        <v>0.6307742245713609</v>
      </c>
      <c r="L60" s="39">
        <f t="shared" si="3"/>
        <v>0.61677284348525929</v>
      </c>
      <c r="M60" s="39">
        <f t="shared" si="3"/>
        <v>0.60267497653888658</v>
      </c>
      <c r="N60" s="39">
        <f t="shared" si="3"/>
        <v>0.61062694429919584</v>
      </c>
      <c r="O60" s="39">
        <f t="shared" si="3"/>
        <v>0.61917549745499401</v>
      </c>
      <c r="P60" s="39">
        <f t="shared" si="3"/>
        <v>0.62226422594913089</v>
      </c>
      <c r="Q60" s="39">
        <f t="shared" si="3"/>
        <v>0.62663548652161183</v>
      </c>
      <c r="R60" s="39">
        <f t="shared" si="3"/>
        <v>0.63073609704950961</v>
      </c>
      <c r="S60" s="39">
        <f t="shared" si="3"/>
        <v>0.63482149015385914</v>
      </c>
      <c r="T60" s="39">
        <f t="shared" si="3"/>
        <v>0.63913831259303744</v>
      </c>
      <c r="U60" s="39">
        <f t="shared" si="3"/>
        <v>0.64324594371320443</v>
      </c>
      <c r="V60" s="39">
        <f t="shared" si="3"/>
        <v>0.6472747681868789</v>
      </c>
      <c r="W60" s="39">
        <f t="shared" si="3"/>
        <v>0.65134951500296323</v>
      </c>
      <c r="X60" s="39">
        <f t="shared" si="3"/>
        <v>0.65542374188650898</v>
      </c>
      <c r="Y60" s="39">
        <f t="shared" si="3"/>
        <v>0.6594376964274089</v>
      </c>
      <c r="Z60" s="39">
        <f t="shared" si="3"/>
        <v>0.6634499353398905</v>
      </c>
      <c r="AA60" s="39">
        <f t="shared" si="3"/>
        <v>0.66745269088604742</v>
      </c>
      <c r="AB60" s="39">
        <f t="shared" si="3"/>
        <v>0.67139857749762932</v>
      </c>
    </row>
    <row r="61" spans="2:28" x14ac:dyDescent="0.3">
      <c r="B61" t="s">
        <v>249</v>
      </c>
      <c r="C61" s="39">
        <f>C53/C59</f>
        <v>0.4417602515493752</v>
      </c>
      <c r="D61" s="39">
        <f t="shared" ref="D61:AB61" si="4">D53/D59</f>
        <v>0.41378140028167298</v>
      </c>
      <c r="E61" s="39">
        <f t="shared" si="4"/>
        <v>0.38609733671462743</v>
      </c>
      <c r="F61" s="39">
        <f t="shared" si="4"/>
        <v>0.38787317500313839</v>
      </c>
      <c r="G61" s="39">
        <f t="shared" si="4"/>
        <v>0.38957807091402374</v>
      </c>
      <c r="H61" s="39">
        <f t="shared" si="4"/>
        <v>0.38369488035893606</v>
      </c>
      <c r="I61" s="39">
        <f t="shared" si="4"/>
        <v>0.37787792280780053</v>
      </c>
      <c r="J61" s="39">
        <f t="shared" si="4"/>
        <v>0.37364398549984745</v>
      </c>
      <c r="K61" s="39">
        <f t="shared" si="4"/>
        <v>0.36922577542863916</v>
      </c>
      <c r="L61" s="39">
        <f t="shared" si="4"/>
        <v>0.38322715651474071</v>
      </c>
      <c r="M61" s="39">
        <f t="shared" si="4"/>
        <v>0.39732502346111337</v>
      </c>
      <c r="N61" s="39">
        <f t="shared" si="4"/>
        <v>0.3893730557008041</v>
      </c>
      <c r="O61" s="39">
        <f t="shared" si="4"/>
        <v>0.38082450254500588</v>
      </c>
      <c r="P61" s="39">
        <f t="shared" si="4"/>
        <v>0.37773577405086906</v>
      </c>
      <c r="Q61" s="39">
        <f t="shared" si="4"/>
        <v>0.37336451347838823</v>
      </c>
      <c r="R61" s="39">
        <f t="shared" si="4"/>
        <v>0.36926390295049039</v>
      </c>
      <c r="S61" s="39">
        <f t="shared" si="4"/>
        <v>0.36517850984614081</v>
      </c>
      <c r="T61" s="39">
        <f t="shared" si="4"/>
        <v>0.36086168740696262</v>
      </c>
      <c r="U61" s="39">
        <f t="shared" si="4"/>
        <v>0.35675405628679557</v>
      </c>
      <c r="V61" s="39">
        <f t="shared" si="4"/>
        <v>0.35272523181312099</v>
      </c>
      <c r="W61" s="39">
        <f t="shared" si="4"/>
        <v>0.34865048499703671</v>
      </c>
      <c r="X61" s="39">
        <f t="shared" si="4"/>
        <v>0.34457625811349107</v>
      </c>
      <c r="Y61" s="39">
        <f t="shared" si="4"/>
        <v>0.34056230357259104</v>
      </c>
      <c r="Z61" s="39">
        <f t="shared" si="4"/>
        <v>0.33655006466010939</v>
      </c>
      <c r="AA61" s="39">
        <f t="shared" si="4"/>
        <v>0.33254730911395258</v>
      </c>
      <c r="AB61" s="39">
        <f t="shared" si="4"/>
        <v>0.32860142250237079</v>
      </c>
    </row>
    <row r="62" spans="2:28" x14ac:dyDescent="0.3">
      <c r="B62" t="s">
        <v>250</v>
      </c>
      <c r="C62" s="39">
        <f>C60+C61</f>
        <v>1</v>
      </c>
      <c r="D62" s="39">
        <f t="shared" ref="D62:AB62" si="5">D60+D61</f>
        <v>1</v>
      </c>
      <c r="E62" s="39">
        <f t="shared" si="5"/>
        <v>1</v>
      </c>
      <c r="F62" s="39">
        <f t="shared" si="5"/>
        <v>1</v>
      </c>
      <c r="G62" s="39">
        <f t="shared" si="5"/>
        <v>0.99999999999999989</v>
      </c>
      <c r="H62" s="39">
        <f t="shared" si="5"/>
        <v>1</v>
      </c>
      <c r="I62" s="39">
        <f t="shared" si="5"/>
        <v>1</v>
      </c>
      <c r="J62" s="39">
        <f t="shared" si="5"/>
        <v>1</v>
      </c>
      <c r="K62" s="39">
        <f t="shared" si="5"/>
        <v>1</v>
      </c>
      <c r="L62" s="39">
        <f t="shared" si="5"/>
        <v>1</v>
      </c>
      <c r="M62" s="39">
        <f t="shared" si="5"/>
        <v>1</v>
      </c>
      <c r="N62" s="39">
        <f t="shared" si="5"/>
        <v>1</v>
      </c>
      <c r="O62" s="39">
        <f t="shared" si="5"/>
        <v>0.99999999999999989</v>
      </c>
      <c r="P62" s="39">
        <f t="shared" si="5"/>
        <v>1</v>
      </c>
      <c r="Q62" s="39">
        <f t="shared" si="5"/>
        <v>1</v>
      </c>
      <c r="R62" s="39">
        <f t="shared" si="5"/>
        <v>1</v>
      </c>
      <c r="S62" s="39">
        <f t="shared" si="5"/>
        <v>1</v>
      </c>
      <c r="T62" s="39">
        <f t="shared" si="5"/>
        <v>1</v>
      </c>
      <c r="U62" s="39">
        <f t="shared" si="5"/>
        <v>1</v>
      </c>
      <c r="V62" s="39">
        <f t="shared" si="5"/>
        <v>0.99999999999999989</v>
      </c>
      <c r="W62" s="39">
        <f t="shared" si="5"/>
        <v>1</v>
      </c>
      <c r="X62" s="39">
        <f t="shared" si="5"/>
        <v>1</v>
      </c>
      <c r="Y62" s="39">
        <f t="shared" si="5"/>
        <v>1</v>
      </c>
      <c r="Z62" s="39">
        <f t="shared" si="5"/>
        <v>0.99999999999999989</v>
      </c>
      <c r="AA62" s="39">
        <f t="shared" si="5"/>
        <v>1</v>
      </c>
      <c r="AB62" s="39">
        <f t="shared" si="5"/>
        <v>1</v>
      </c>
    </row>
    <row r="66" spans="2:28" x14ac:dyDescent="0.3">
      <c r="B66" t="s">
        <v>67</v>
      </c>
      <c r="C66">
        <v>2010</v>
      </c>
      <c r="D66">
        <v>2011</v>
      </c>
      <c r="E66">
        <v>2012</v>
      </c>
      <c r="F66">
        <v>2013</v>
      </c>
      <c r="G66">
        <v>2014</v>
      </c>
      <c r="H66">
        <v>2015</v>
      </c>
      <c r="I66">
        <v>2016</v>
      </c>
      <c r="J66">
        <v>2017</v>
      </c>
      <c r="K66">
        <v>2018</v>
      </c>
      <c r="L66">
        <v>2019</v>
      </c>
      <c r="M66">
        <v>2020</v>
      </c>
      <c r="N66">
        <v>2021</v>
      </c>
      <c r="O66">
        <v>2022</v>
      </c>
      <c r="P66">
        <v>2023</v>
      </c>
      <c r="Q66">
        <v>2024</v>
      </c>
      <c r="R66">
        <v>2025</v>
      </c>
      <c r="S66">
        <v>2026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2032</v>
      </c>
      <c r="Z66">
        <v>2033</v>
      </c>
      <c r="AA66">
        <v>2034</v>
      </c>
      <c r="AB66">
        <v>2035</v>
      </c>
    </row>
    <row r="67" spans="2:28" x14ac:dyDescent="0.3">
      <c r="B67" t="s">
        <v>251</v>
      </c>
      <c r="C67" s="171">
        <f>C20*C60</f>
        <v>0</v>
      </c>
      <c r="D67" s="171">
        <f t="shared" ref="D67:AB67" si="6">D20*D60</f>
        <v>0</v>
      </c>
      <c r="E67" s="171">
        <f t="shared" si="6"/>
        <v>0</v>
      </c>
      <c r="F67" s="171">
        <f t="shared" si="6"/>
        <v>0</v>
      </c>
      <c r="G67" s="171">
        <f t="shared" si="6"/>
        <v>0</v>
      </c>
      <c r="H67" s="171">
        <f t="shared" si="6"/>
        <v>0</v>
      </c>
      <c r="I67" s="171">
        <f t="shared" si="6"/>
        <v>0</v>
      </c>
      <c r="J67" s="171">
        <f t="shared" si="6"/>
        <v>0</v>
      </c>
      <c r="K67" s="171">
        <f t="shared" si="6"/>
        <v>0</v>
      </c>
      <c r="L67" s="171">
        <f t="shared" si="6"/>
        <v>0</v>
      </c>
      <c r="M67" s="171">
        <f t="shared" si="6"/>
        <v>0</v>
      </c>
      <c r="N67" s="171">
        <f t="shared" si="6"/>
        <v>0</v>
      </c>
      <c r="O67" s="171">
        <f t="shared" si="6"/>
        <v>0</v>
      </c>
      <c r="P67" s="171">
        <f t="shared" si="6"/>
        <v>0</v>
      </c>
      <c r="Q67" s="171">
        <f t="shared" si="6"/>
        <v>0</v>
      </c>
      <c r="R67" s="171">
        <f t="shared" si="6"/>
        <v>0</v>
      </c>
      <c r="S67" s="171">
        <f t="shared" si="6"/>
        <v>2.3488395135692839</v>
      </c>
      <c r="T67" s="171">
        <f t="shared" si="6"/>
        <v>8.3514072845490261</v>
      </c>
      <c r="U67" s="171">
        <f t="shared" si="6"/>
        <v>14.430150670632889</v>
      </c>
      <c r="V67" s="171">
        <f t="shared" si="6"/>
        <v>20.58333762834275</v>
      </c>
      <c r="W67" s="171">
        <f t="shared" si="6"/>
        <v>26.813888367621988</v>
      </c>
      <c r="X67" s="171">
        <f t="shared" si="6"/>
        <v>33.120746423331589</v>
      </c>
      <c r="Y67" s="171">
        <f t="shared" si="6"/>
        <v>39.500318016001792</v>
      </c>
      <c r="Z67" s="171">
        <f t="shared" si="6"/>
        <v>45.954965521209751</v>
      </c>
      <c r="AA67" s="171">
        <f t="shared" si="6"/>
        <v>52.484029926672854</v>
      </c>
      <c r="AB67" s="171">
        <f t="shared" si="6"/>
        <v>59.083074819791378</v>
      </c>
    </row>
    <row r="68" spans="2:28" x14ac:dyDescent="0.3">
      <c r="B68" t="s">
        <v>252</v>
      </c>
      <c r="C68" s="171">
        <f>C20*C61</f>
        <v>0</v>
      </c>
      <c r="D68" s="171">
        <f t="shared" ref="D68:AB68" si="7">D20*D61</f>
        <v>0</v>
      </c>
      <c r="E68" s="171">
        <f t="shared" si="7"/>
        <v>0</v>
      </c>
      <c r="F68" s="171">
        <f t="shared" si="7"/>
        <v>0</v>
      </c>
      <c r="G68" s="171">
        <f t="shared" si="7"/>
        <v>0</v>
      </c>
      <c r="H68" s="171">
        <f t="shared" si="7"/>
        <v>0</v>
      </c>
      <c r="I68" s="171">
        <f t="shared" si="7"/>
        <v>0</v>
      </c>
      <c r="J68" s="171">
        <f t="shared" si="7"/>
        <v>0</v>
      </c>
      <c r="K68" s="171">
        <f t="shared" si="7"/>
        <v>0</v>
      </c>
      <c r="L68" s="171">
        <f t="shared" si="7"/>
        <v>0</v>
      </c>
      <c r="M68" s="171">
        <f t="shared" si="7"/>
        <v>0</v>
      </c>
      <c r="N68" s="171">
        <f t="shared" si="7"/>
        <v>0</v>
      </c>
      <c r="O68" s="171">
        <f t="shared" si="7"/>
        <v>0</v>
      </c>
      <c r="P68" s="171">
        <f t="shared" si="7"/>
        <v>0</v>
      </c>
      <c r="Q68" s="171">
        <f t="shared" si="7"/>
        <v>0</v>
      </c>
      <c r="R68" s="171">
        <f t="shared" si="7"/>
        <v>0</v>
      </c>
      <c r="S68" s="171">
        <f t="shared" si="7"/>
        <v>1.3511604864307241</v>
      </c>
      <c r="T68" s="171">
        <f t="shared" si="7"/>
        <v>4.7152593821176465</v>
      </c>
      <c r="U68" s="171">
        <f t="shared" si="7"/>
        <v>8.0031826627004481</v>
      </c>
      <c r="V68" s="171">
        <f t="shared" si="7"/>
        <v>11.216662371657248</v>
      </c>
      <c r="W68" s="171">
        <f t="shared" si="7"/>
        <v>14.352778299044679</v>
      </c>
      <c r="X68" s="171">
        <f t="shared" si="7"/>
        <v>17.41258691000175</v>
      </c>
      <c r="Y68" s="171">
        <f t="shared" si="7"/>
        <v>20.399681983998203</v>
      </c>
      <c r="Z68" s="171">
        <f t="shared" si="7"/>
        <v>23.311701145456912</v>
      </c>
      <c r="AA68" s="171">
        <f t="shared" si="7"/>
        <v>26.149303406660469</v>
      </c>
      <c r="AB68" s="171">
        <f t="shared" si="7"/>
        <v>28.916925180208629</v>
      </c>
    </row>
    <row r="69" spans="2:28" x14ac:dyDescent="0.3">
      <c r="B69" t="s">
        <v>253</v>
      </c>
      <c r="C69" s="152">
        <f>C67+C68</f>
        <v>0</v>
      </c>
      <c r="D69" s="152">
        <f t="shared" ref="D69:AB69" si="8">D67+D68</f>
        <v>0</v>
      </c>
      <c r="E69" s="152">
        <f t="shared" si="8"/>
        <v>0</v>
      </c>
      <c r="F69" s="152">
        <f t="shared" si="8"/>
        <v>0</v>
      </c>
      <c r="G69" s="152">
        <f t="shared" si="8"/>
        <v>0</v>
      </c>
      <c r="H69" s="152">
        <f t="shared" si="8"/>
        <v>0</v>
      </c>
      <c r="I69" s="152">
        <f t="shared" si="8"/>
        <v>0</v>
      </c>
      <c r="J69" s="152">
        <f t="shared" si="8"/>
        <v>0</v>
      </c>
      <c r="K69" s="152">
        <f t="shared" si="8"/>
        <v>0</v>
      </c>
      <c r="L69" s="152">
        <f t="shared" si="8"/>
        <v>0</v>
      </c>
      <c r="M69" s="152">
        <f t="shared" si="8"/>
        <v>0</v>
      </c>
      <c r="N69" s="152">
        <f t="shared" si="8"/>
        <v>0</v>
      </c>
      <c r="O69" s="152">
        <f t="shared" si="8"/>
        <v>0</v>
      </c>
      <c r="P69" s="152">
        <f t="shared" si="8"/>
        <v>0</v>
      </c>
      <c r="Q69" s="152">
        <f t="shared" si="8"/>
        <v>0</v>
      </c>
      <c r="R69" s="152">
        <f t="shared" si="8"/>
        <v>0</v>
      </c>
      <c r="S69" s="152">
        <f t="shared" si="8"/>
        <v>3.7000000000000082</v>
      </c>
      <c r="T69" s="152">
        <f t="shared" si="8"/>
        <v>13.066666666666674</v>
      </c>
      <c r="U69" s="152">
        <f t="shared" si="8"/>
        <v>22.433333333333337</v>
      </c>
      <c r="V69" s="152">
        <f t="shared" si="8"/>
        <v>31.799999999999997</v>
      </c>
      <c r="W69" s="152">
        <f t="shared" si="8"/>
        <v>41.166666666666671</v>
      </c>
      <c r="X69" s="152">
        <f t="shared" si="8"/>
        <v>50.533333333333339</v>
      </c>
      <c r="Y69" s="152">
        <f t="shared" si="8"/>
        <v>59.899999999999991</v>
      </c>
      <c r="Z69" s="152">
        <f t="shared" si="8"/>
        <v>69.266666666666666</v>
      </c>
      <c r="AA69" s="152">
        <f t="shared" si="8"/>
        <v>78.633333333333326</v>
      </c>
      <c r="AB69" s="152">
        <f t="shared" si="8"/>
        <v>88</v>
      </c>
    </row>
    <row r="71" spans="2:28" x14ac:dyDescent="0.3">
      <c r="B71" t="s">
        <v>68</v>
      </c>
      <c r="C71">
        <v>2010</v>
      </c>
      <c r="D71">
        <v>2011</v>
      </c>
      <c r="E71">
        <v>2012</v>
      </c>
      <c r="F71">
        <v>2013</v>
      </c>
      <c r="G71">
        <v>2014</v>
      </c>
      <c r="H71">
        <v>2015</v>
      </c>
      <c r="I71">
        <v>2016</v>
      </c>
      <c r="J71">
        <v>2017</v>
      </c>
      <c r="K71">
        <v>2018</v>
      </c>
      <c r="L71">
        <v>2019</v>
      </c>
      <c r="M71">
        <v>2020</v>
      </c>
      <c r="N71">
        <v>2021</v>
      </c>
      <c r="O71">
        <v>2022</v>
      </c>
      <c r="P71">
        <v>2023</v>
      </c>
      <c r="Q71">
        <v>2024</v>
      </c>
      <c r="R71">
        <v>2025</v>
      </c>
      <c r="S71">
        <v>2026</v>
      </c>
      <c r="T71">
        <v>2027</v>
      </c>
      <c r="U71">
        <v>2028</v>
      </c>
      <c r="V71">
        <v>2029</v>
      </c>
      <c r="W71">
        <v>2030</v>
      </c>
      <c r="X71">
        <v>2031</v>
      </c>
      <c r="Y71">
        <v>2032</v>
      </c>
      <c r="Z71">
        <v>2033</v>
      </c>
      <c r="AA71">
        <v>2034</v>
      </c>
      <c r="AB71">
        <v>2035</v>
      </c>
    </row>
    <row r="72" spans="2:28" x14ac:dyDescent="0.3">
      <c r="B72" t="s">
        <v>251</v>
      </c>
      <c r="C72" s="152">
        <f>C21*C60</f>
        <v>0</v>
      </c>
      <c r="D72" s="152">
        <f t="shared" ref="D72:AB72" si="9">D21*D60</f>
        <v>0</v>
      </c>
      <c r="E72" s="152">
        <f t="shared" si="9"/>
        <v>0</v>
      </c>
      <c r="F72" s="152">
        <f t="shared" si="9"/>
        <v>0</v>
      </c>
      <c r="G72" s="152">
        <f t="shared" si="9"/>
        <v>0</v>
      </c>
      <c r="H72" s="152">
        <f t="shared" si="9"/>
        <v>0</v>
      </c>
      <c r="I72" s="152">
        <f t="shared" si="9"/>
        <v>0</v>
      </c>
      <c r="J72" s="152">
        <f t="shared" si="9"/>
        <v>0</v>
      </c>
      <c r="K72" s="152">
        <f t="shared" si="9"/>
        <v>0</v>
      </c>
      <c r="L72" s="152">
        <f t="shared" si="9"/>
        <v>0</v>
      </c>
      <c r="M72" s="152">
        <f t="shared" si="9"/>
        <v>0</v>
      </c>
      <c r="N72" s="152">
        <f t="shared" si="9"/>
        <v>0</v>
      </c>
      <c r="O72" s="152">
        <f t="shared" si="9"/>
        <v>0</v>
      </c>
      <c r="P72" s="152">
        <f t="shared" si="9"/>
        <v>0</v>
      </c>
      <c r="Q72" s="152">
        <f t="shared" si="9"/>
        <v>0</v>
      </c>
      <c r="R72" s="152">
        <f t="shared" si="9"/>
        <v>0</v>
      </c>
      <c r="S72" s="152">
        <f t="shared" si="9"/>
        <v>2.3488395135692839</v>
      </c>
      <c r="T72" s="152">
        <f t="shared" si="9"/>
        <v>8.3514072845490261</v>
      </c>
      <c r="U72" s="152">
        <f t="shared" si="9"/>
        <v>14.430150670632889</v>
      </c>
      <c r="V72" s="152">
        <f t="shared" si="9"/>
        <v>20.58333762834275</v>
      </c>
      <c r="W72" s="152">
        <f t="shared" si="9"/>
        <v>26.813888367621988</v>
      </c>
      <c r="X72" s="152">
        <f t="shared" si="9"/>
        <v>33.120746423331589</v>
      </c>
      <c r="Y72" s="152">
        <f t="shared" si="9"/>
        <v>39.500318016001792</v>
      </c>
      <c r="Z72" s="152">
        <f t="shared" si="9"/>
        <v>45.954965521209751</v>
      </c>
      <c r="AA72" s="152">
        <f t="shared" si="9"/>
        <v>72.507610653254275</v>
      </c>
      <c r="AB72" s="152">
        <f t="shared" si="9"/>
        <v>99.366989469649141</v>
      </c>
    </row>
    <row r="73" spans="2:28" x14ac:dyDescent="0.3">
      <c r="B73" t="s">
        <v>252</v>
      </c>
      <c r="C73" s="152">
        <f>C21*C61</f>
        <v>0</v>
      </c>
      <c r="D73" s="152">
        <f t="shared" ref="D73:AB73" si="10">D21*D61</f>
        <v>0</v>
      </c>
      <c r="E73" s="152">
        <f t="shared" si="10"/>
        <v>0</v>
      </c>
      <c r="F73" s="152">
        <f t="shared" si="10"/>
        <v>0</v>
      </c>
      <c r="G73" s="152">
        <f t="shared" si="10"/>
        <v>0</v>
      </c>
      <c r="H73" s="152">
        <f t="shared" si="10"/>
        <v>0</v>
      </c>
      <c r="I73" s="152">
        <f t="shared" si="10"/>
        <v>0</v>
      </c>
      <c r="J73" s="152">
        <f t="shared" si="10"/>
        <v>0</v>
      </c>
      <c r="K73" s="152">
        <f t="shared" si="10"/>
        <v>0</v>
      </c>
      <c r="L73" s="152">
        <f t="shared" si="10"/>
        <v>0</v>
      </c>
      <c r="M73" s="152">
        <f t="shared" si="10"/>
        <v>0</v>
      </c>
      <c r="N73" s="152">
        <f t="shared" si="10"/>
        <v>0</v>
      </c>
      <c r="O73" s="152">
        <f t="shared" si="10"/>
        <v>0</v>
      </c>
      <c r="P73" s="152">
        <f t="shared" si="10"/>
        <v>0</v>
      </c>
      <c r="Q73" s="152">
        <f t="shared" si="10"/>
        <v>0</v>
      </c>
      <c r="R73" s="152">
        <f t="shared" si="10"/>
        <v>0</v>
      </c>
      <c r="S73" s="152">
        <f t="shared" si="10"/>
        <v>1.3511604864307241</v>
      </c>
      <c r="T73" s="152">
        <f t="shared" si="10"/>
        <v>4.7152593821176465</v>
      </c>
      <c r="U73" s="152">
        <f t="shared" si="10"/>
        <v>8.0031826627004481</v>
      </c>
      <c r="V73" s="152">
        <f t="shared" si="10"/>
        <v>11.216662371657248</v>
      </c>
      <c r="W73" s="152">
        <f t="shared" si="10"/>
        <v>14.352778299044679</v>
      </c>
      <c r="X73" s="152">
        <f t="shared" si="10"/>
        <v>17.41258691000175</v>
      </c>
      <c r="Y73" s="152">
        <f t="shared" si="10"/>
        <v>20.399681983998203</v>
      </c>
      <c r="Z73" s="152">
        <f t="shared" si="10"/>
        <v>23.311701145456912</v>
      </c>
      <c r="AA73" s="152">
        <f t="shared" si="10"/>
        <v>36.125722680079043</v>
      </c>
      <c r="AB73" s="152">
        <f t="shared" si="10"/>
        <v>48.633010530350873</v>
      </c>
    </row>
    <row r="74" spans="2:28" x14ac:dyDescent="0.3">
      <c r="B74" t="s">
        <v>253</v>
      </c>
      <c r="C74" s="152">
        <f>C72+C73</f>
        <v>0</v>
      </c>
      <c r="D74" s="152">
        <f t="shared" ref="D74:AB74" si="11">D72+D73</f>
        <v>0</v>
      </c>
      <c r="E74" s="152">
        <f t="shared" si="11"/>
        <v>0</v>
      </c>
      <c r="F74" s="152">
        <f t="shared" si="11"/>
        <v>0</v>
      </c>
      <c r="G74" s="152">
        <f t="shared" si="11"/>
        <v>0</v>
      </c>
      <c r="H74" s="152">
        <f t="shared" si="11"/>
        <v>0</v>
      </c>
      <c r="I74" s="152">
        <f t="shared" si="11"/>
        <v>0</v>
      </c>
      <c r="J74" s="152">
        <f t="shared" si="11"/>
        <v>0</v>
      </c>
      <c r="K74" s="152">
        <f t="shared" si="11"/>
        <v>0</v>
      </c>
      <c r="L74" s="152">
        <f t="shared" si="11"/>
        <v>0</v>
      </c>
      <c r="M74" s="152">
        <f t="shared" si="11"/>
        <v>0</v>
      </c>
      <c r="N74" s="152">
        <f t="shared" si="11"/>
        <v>0</v>
      </c>
      <c r="O74" s="152">
        <f t="shared" si="11"/>
        <v>0</v>
      </c>
      <c r="P74" s="152">
        <f t="shared" si="11"/>
        <v>0</v>
      </c>
      <c r="Q74" s="152">
        <f t="shared" si="11"/>
        <v>0</v>
      </c>
      <c r="R74" s="152">
        <f t="shared" si="11"/>
        <v>0</v>
      </c>
      <c r="S74" s="152">
        <f t="shared" si="11"/>
        <v>3.7000000000000082</v>
      </c>
      <c r="T74" s="152">
        <f t="shared" si="11"/>
        <v>13.066666666666674</v>
      </c>
      <c r="U74" s="152">
        <f t="shared" si="11"/>
        <v>22.433333333333337</v>
      </c>
      <c r="V74" s="152">
        <f t="shared" si="11"/>
        <v>31.799999999999997</v>
      </c>
      <c r="W74" s="152">
        <f t="shared" si="11"/>
        <v>41.166666666666671</v>
      </c>
      <c r="X74" s="152">
        <f t="shared" si="11"/>
        <v>50.533333333333339</v>
      </c>
      <c r="Y74" s="152">
        <f t="shared" si="11"/>
        <v>59.899999999999991</v>
      </c>
      <c r="Z74" s="152">
        <f t="shared" si="11"/>
        <v>69.266666666666666</v>
      </c>
      <c r="AA74" s="152">
        <f t="shared" si="11"/>
        <v>108.63333333333333</v>
      </c>
      <c r="AB74" s="152">
        <f t="shared" si="11"/>
        <v>148</v>
      </c>
    </row>
    <row r="78" spans="2:28" x14ac:dyDescent="0.3">
      <c r="B78" s="1" t="s">
        <v>254</v>
      </c>
    </row>
    <row r="80" spans="2:28" ht="15" thickBot="1" x14ac:dyDescent="0.35">
      <c r="C80" s="53">
        <v>2010</v>
      </c>
      <c r="D80" s="53">
        <v>2011</v>
      </c>
      <c r="E80" s="53">
        <v>2012</v>
      </c>
      <c r="F80" s="53">
        <v>2013</v>
      </c>
      <c r="G80" s="53">
        <v>2014</v>
      </c>
      <c r="H80" s="53">
        <v>2015</v>
      </c>
      <c r="I80" s="53">
        <v>2016</v>
      </c>
      <c r="J80" s="53">
        <v>2017</v>
      </c>
      <c r="K80" s="53">
        <v>2018</v>
      </c>
      <c r="L80" s="53">
        <v>2019</v>
      </c>
      <c r="M80" s="53">
        <v>2020</v>
      </c>
      <c r="N80" s="53">
        <v>2021</v>
      </c>
      <c r="O80" s="53">
        <v>2022</v>
      </c>
      <c r="P80" s="150">
        <v>2023</v>
      </c>
      <c r="Q80" s="150">
        <v>2024</v>
      </c>
      <c r="R80" s="150">
        <v>2025</v>
      </c>
      <c r="S80" s="150">
        <v>2026</v>
      </c>
      <c r="T80" s="150">
        <v>2027</v>
      </c>
      <c r="U80" s="150">
        <v>2028</v>
      </c>
      <c r="V80" s="150">
        <v>2029</v>
      </c>
      <c r="W80" s="150">
        <v>2030</v>
      </c>
      <c r="X80" s="150">
        <v>2031</v>
      </c>
      <c r="Y80" s="150">
        <v>2032</v>
      </c>
      <c r="Z80" s="150">
        <v>2033</v>
      </c>
      <c r="AA80" s="150">
        <v>2034</v>
      </c>
      <c r="AB80" s="150">
        <v>2035</v>
      </c>
    </row>
    <row r="81" spans="2:28" ht="15" thickBot="1" x14ac:dyDescent="0.35">
      <c r="B81" s="29" t="s">
        <v>204</v>
      </c>
      <c r="C81" s="29">
        <f>ROUND(C86/C82,4)</f>
        <v>0.3417</v>
      </c>
      <c r="D81" s="30">
        <f t="shared" ref="D81:AB81" si="12">ROUND(D86/D82,4)</f>
        <v>0.3468</v>
      </c>
      <c r="E81" s="30">
        <f t="shared" si="12"/>
        <v>0.3533</v>
      </c>
      <c r="F81" s="30">
        <f t="shared" si="12"/>
        <v>0.35899999999999999</v>
      </c>
      <c r="G81" s="30">
        <f t="shared" si="12"/>
        <v>0.36480000000000001</v>
      </c>
      <c r="H81" s="30">
        <f t="shared" si="12"/>
        <v>0.3705</v>
      </c>
      <c r="I81" s="30">
        <f t="shared" si="12"/>
        <v>0.37619999999999998</v>
      </c>
      <c r="J81" s="30">
        <f t="shared" si="12"/>
        <v>0.38179999999999997</v>
      </c>
      <c r="K81" s="30">
        <f t="shared" si="12"/>
        <v>0.38740000000000002</v>
      </c>
      <c r="L81" s="30">
        <f t="shared" si="12"/>
        <v>0.39279999999999998</v>
      </c>
      <c r="M81" s="30">
        <f t="shared" si="12"/>
        <v>0.39850000000000002</v>
      </c>
      <c r="N81" s="30">
        <f t="shared" si="12"/>
        <v>0.39910000000000001</v>
      </c>
      <c r="O81" s="30">
        <f t="shared" si="12"/>
        <v>0.38740000000000002</v>
      </c>
      <c r="P81" s="29">
        <f t="shared" si="12"/>
        <v>0.4178</v>
      </c>
      <c r="Q81" s="30">
        <f t="shared" si="12"/>
        <v>0.4491</v>
      </c>
      <c r="R81" s="30">
        <f t="shared" si="12"/>
        <v>0.44729999999999998</v>
      </c>
      <c r="S81" s="30">
        <f t="shared" si="12"/>
        <v>0.46200000000000002</v>
      </c>
      <c r="T81" s="30">
        <f t="shared" si="12"/>
        <v>0.53610000000000002</v>
      </c>
      <c r="U81" s="30">
        <f t="shared" si="12"/>
        <v>0.56340000000000001</v>
      </c>
      <c r="V81" s="30">
        <f t="shared" si="12"/>
        <v>0.59079999999999999</v>
      </c>
      <c r="W81" s="30">
        <f t="shared" si="12"/>
        <v>0.61839999999999995</v>
      </c>
      <c r="X81" s="30">
        <f t="shared" si="12"/>
        <v>0.64710000000000001</v>
      </c>
      <c r="Y81" s="30">
        <f t="shared" si="12"/>
        <v>0.67669999999999997</v>
      </c>
      <c r="Z81" s="30">
        <f t="shared" si="12"/>
        <v>0.70650000000000002</v>
      </c>
      <c r="AA81" s="30">
        <f t="shared" si="12"/>
        <v>0.73729999999999996</v>
      </c>
      <c r="AB81" s="31">
        <f t="shared" si="12"/>
        <v>0.7681</v>
      </c>
    </row>
    <row r="82" spans="2:28" x14ac:dyDescent="0.3">
      <c r="B82" s="18" t="s">
        <v>214</v>
      </c>
      <c r="C82" s="45">
        <v>0.66220000000000001</v>
      </c>
      <c r="D82" s="13">
        <v>0.74339999999999995</v>
      </c>
      <c r="E82" s="13">
        <v>0.8246</v>
      </c>
      <c r="F82" s="13">
        <v>0.82010000000000005</v>
      </c>
      <c r="G82" s="13">
        <v>0.81559999999999999</v>
      </c>
      <c r="H82" s="13">
        <v>0.81510000000000005</v>
      </c>
      <c r="I82" s="13">
        <v>0.81459999999999999</v>
      </c>
      <c r="J82" s="13">
        <v>0.81910000000000005</v>
      </c>
      <c r="K82" s="13">
        <v>0.8236</v>
      </c>
      <c r="L82" s="13">
        <v>0.79849999999999999</v>
      </c>
      <c r="M82" s="13">
        <v>0.77349999999999997</v>
      </c>
      <c r="N82" s="13">
        <v>0.79359999999999997</v>
      </c>
      <c r="O82" s="13">
        <v>0.80830000000000002</v>
      </c>
      <c r="P82" s="45">
        <v>0.82379999999999998</v>
      </c>
      <c r="Q82" s="13">
        <v>0.8387</v>
      </c>
      <c r="R82" s="13">
        <v>0.8538</v>
      </c>
      <c r="S82" s="13">
        <v>0.86929999999999996</v>
      </c>
      <c r="T82" s="13">
        <v>0.88500000000000001</v>
      </c>
      <c r="U82" s="13">
        <v>0.90100000000000002</v>
      </c>
      <c r="V82" s="13">
        <v>0.91720000000000002</v>
      </c>
      <c r="W82" s="13">
        <v>0.93379999999999996</v>
      </c>
      <c r="X82" s="13">
        <v>0.95069999999999999</v>
      </c>
      <c r="Y82" s="13">
        <v>0.96779999999999999</v>
      </c>
      <c r="Z82" s="13">
        <v>0.98529999999999995</v>
      </c>
      <c r="AA82" s="13">
        <v>1.0031000000000001</v>
      </c>
      <c r="AB82" s="34">
        <v>1.0212000000000001</v>
      </c>
    </row>
    <row r="83" spans="2:28" x14ac:dyDescent="0.3">
      <c r="B83" s="22" t="s">
        <v>215</v>
      </c>
      <c r="C83" s="45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45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34">
        <v>0</v>
      </c>
    </row>
    <row r="84" spans="2:28" x14ac:dyDescent="0.3">
      <c r="B84" s="22" t="s">
        <v>216</v>
      </c>
      <c r="C84" s="45">
        <v>2.3599999999999999E-2</v>
      </c>
      <c r="D84" s="13">
        <v>2.6499999999999999E-2</v>
      </c>
      <c r="E84" s="13">
        <v>2.9399999999999999E-2</v>
      </c>
      <c r="F84" s="13">
        <v>2.93E-2</v>
      </c>
      <c r="G84" s="13">
        <v>2.9100000000000001E-2</v>
      </c>
      <c r="H84" s="13">
        <v>2.9100000000000001E-2</v>
      </c>
      <c r="I84" s="13">
        <v>2.9100000000000001E-2</v>
      </c>
      <c r="J84" s="13">
        <v>2.93E-2</v>
      </c>
      <c r="K84" s="13">
        <v>2.9399999999999999E-2</v>
      </c>
      <c r="L84" s="13">
        <v>2.8500000000000001E-2</v>
      </c>
      <c r="M84" s="13">
        <v>2.76E-2</v>
      </c>
      <c r="N84" s="13">
        <v>2.8299999999999999E-2</v>
      </c>
      <c r="O84" s="13">
        <v>2.8899999999999999E-2</v>
      </c>
      <c r="P84" s="45">
        <v>2.9421997533288682E-2</v>
      </c>
      <c r="Q84" s="13">
        <v>2.9953423489579425E-2</v>
      </c>
      <c r="R84" s="13">
        <v>3.0494448166918934E-2</v>
      </c>
      <c r="S84" s="13">
        <v>3.1045244939311021E-2</v>
      </c>
      <c r="T84" s="13">
        <v>3.1605990312275151E-2</v>
      </c>
      <c r="U84" s="13">
        <v>3.2176863979408499E-2</v>
      </c>
      <c r="V84" s="13">
        <v>3.275804887996963E-2</v>
      </c>
      <c r="W84" s="13">
        <v>3.3349731257502305E-2</v>
      </c>
      <c r="X84" s="13">
        <v>3.3952100719518111E-2</v>
      </c>
      <c r="Y84" s="13">
        <v>3.4565350298257122E-2</v>
      </c>
      <c r="Z84" s="13">
        <v>3.518967651254603E-2</v>
      </c>
      <c r="AA84" s="13">
        <v>3.5825279430773564E-2</v>
      </c>
      <c r="AB84" s="34">
        <v>3.6472362735003379E-2</v>
      </c>
    </row>
    <row r="85" spans="2:28" ht="15" thickBot="1" x14ac:dyDescent="0.35">
      <c r="B85" s="25" t="s">
        <v>217</v>
      </c>
      <c r="C85" s="45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45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34">
        <v>0</v>
      </c>
    </row>
    <row r="86" spans="2:28" x14ac:dyDescent="0.3">
      <c r="B86" s="18" t="s">
        <v>149</v>
      </c>
      <c r="C86" s="44">
        <f>C40-(C67/1000)</f>
        <v>0.22627374</v>
      </c>
      <c r="D86" s="42">
        <f t="shared" ref="D86:AB86" si="13">D40-(D67/1000)</f>
        <v>0.25781112</v>
      </c>
      <c r="E86" s="42">
        <f t="shared" si="13"/>
        <v>0.29133118000000002</v>
      </c>
      <c r="F86" s="42">
        <f t="shared" si="13"/>
        <v>0.29441590000000001</v>
      </c>
      <c r="G86" s="42">
        <f t="shared" si="13"/>
        <v>0.29753088</v>
      </c>
      <c r="H86" s="42">
        <f t="shared" si="13"/>
        <v>0.30199455000000003</v>
      </c>
      <c r="I86" s="42">
        <f t="shared" si="13"/>
        <v>0.30645252000000001</v>
      </c>
      <c r="J86" s="42">
        <f t="shared" si="13"/>
        <v>0.31273237999999998</v>
      </c>
      <c r="K86" s="42">
        <f t="shared" si="13"/>
        <v>0.31906264000000001</v>
      </c>
      <c r="L86" s="42">
        <f t="shared" si="13"/>
        <v>0.31365080000000001</v>
      </c>
      <c r="M86" s="42">
        <f t="shared" si="13"/>
        <v>0.30823974999999998</v>
      </c>
      <c r="N86" s="42">
        <f t="shared" si="13"/>
        <v>0.31672576000000002</v>
      </c>
      <c r="O86" s="43">
        <f t="shared" si="13"/>
        <v>0.31313542</v>
      </c>
      <c r="P86" s="44">
        <f t="shared" si="13"/>
        <v>0.34418364000000001</v>
      </c>
      <c r="Q86" s="42">
        <f t="shared" si="13"/>
        <v>0.37666017000000002</v>
      </c>
      <c r="R86" s="42">
        <f t="shared" si="13"/>
        <v>0.38190473999999996</v>
      </c>
      <c r="S86" s="42">
        <f t="shared" si="13"/>
        <v>0.40161487048643069</v>
      </c>
      <c r="T86" s="42">
        <f t="shared" si="13"/>
        <v>0.47441609271545099</v>
      </c>
      <c r="U86" s="42">
        <f t="shared" si="13"/>
        <v>0.50760924932936713</v>
      </c>
      <c r="V86" s="42">
        <f t="shared" si="13"/>
        <v>0.54184370237165724</v>
      </c>
      <c r="W86" s="42">
        <f t="shared" si="13"/>
        <v>0.57744809163237798</v>
      </c>
      <c r="X86" s="42">
        <f t="shared" si="13"/>
        <v>0.61516158357666828</v>
      </c>
      <c r="Y86" s="42">
        <f t="shared" si="13"/>
        <v>0.65489618198399824</v>
      </c>
      <c r="Z86" s="42">
        <f t="shared" si="13"/>
        <v>0.69607446447879029</v>
      </c>
      <c r="AA86" s="42">
        <f t="shared" si="13"/>
        <v>0.73956373007332721</v>
      </c>
      <c r="AB86" s="43">
        <f t="shared" si="13"/>
        <v>0.78442812518020866</v>
      </c>
    </row>
    <row r="87" spans="2:28" x14ac:dyDescent="0.3">
      <c r="B87" s="22" t="s">
        <v>157</v>
      </c>
      <c r="C87" s="45">
        <v>0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34">
        <v>0</v>
      </c>
      <c r="P87" s="45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34">
        <v>0</v>
      </c>
    </row>
    <row r="88" spans="2:28" x14ac:dyDescent="0.3">
      <c r="B88" s="22" t="s">
        <v>158</v>
      </c>
      <c r="C88" s="45">
        <f>C86/28</f>
        <v>8.0812049999999993E-3</v>
      </c>
      <c r="D88" s="13">
        <f>D86/28</f>
        <v>9.2075400000000002E-3</v>
      </c>
      <c r="E88" s="13">
        <f t="shared" ref="E88:O88" si="14">E86/28</f>
        <v>1.0404685E-2</v>
      </c>
      <c r="F88" s="13">
        <f t="shared" si="14"/>
        <v>1.0514853571428572E-2</v>
      </c>
      <c r="G88" s="13">
        <f t="shared" si="14"/>
        <v>1.0626102857142857E-2</v>
      </c>
      <c r="H88" s="13">
        <f t="shared" si="14"/>
        <v>1.0785519642857145E-2</v>
      </c>
      <c r="I88" s="13">
        <f t="shared" si="14"/>
        <v>1.0944732857142857E-2</v>
      </c>
      <c r="J88" s="13">
        <f t="shared" si="14"/>
        <v>1.1169013571428571E-2</v>
      </c>
      <c r="K88" s="13">
        <f t="shared" si="14"/>
        <v>1.1395094285714285E-2</v>
      </c>
      <c r="L88" s="13">
        <f t="shared" si="14"/>
        <v>1.1201814285714286E-2</v>
      </c>
      <c r="M88" s="13">
        <f t="shared" si="14"/>
        <v>1.1008562499999999E-2</v>
      </c>
      <c r="N88" s="13">
        <f t="shared" si="14"/>
        <v>1.1311634285714287E-2</v>
      </c>
      <c r="O88" s="34">
        <f t="shared" si="14"/>
        <v>1.1183407857142858E-2</v>
      </c>
      <c r="P88" s="45">
        <f>P86/28</f>
        <v>1.2292272857142858E-2</v>
      </c>
      <c r="Q88" s="13">
        <f>Q86/28</f>
        <v>1.3452148928571429E-2</v>
      </c>
      <c r="R88" s="13">
        <f t="shared" ref="R88:AB88" si="15">R86/28</f>
        <v>1.3639454999999998E-2</v>
      </c>
      <c r="S88" s="13">
        <f t="shared" si="15"/>
        <v>1.4343388231658238E-2</v>
      </c>
      <c r="T88" s="13">
        <f t="shared" si="15"/>
        <v>1.694343188269468E-2</v>
      </c>
      <c r="U88" s="13">
        <f t="shared" si="15"/>
        <v>1.812890176176311E-2</v>
      </c>
      <c r="V88" s="13">
        <f t="shared" si="15"/>
        <v>1.9351560798987758E-2</v>
      </c>
      <c r="W88" s="13">
        <f t="shared" si="15"/>
        <v>2.0623146129727786E-2</v>
      </c>
      <c r="X88" s="13">
        <f t="shared" si="15"/>
        <v>2.197005655630958E-2</v>
      </c>
      <c r="Y88" s="13">
        <f t="shared" si="15"/>
        <v>2.3389149356571364E-2</v>
      </c>
      <c r="Z88" s="13">
        <f t="shared" si="15"/>
        <v>2.4859802302813937E-2</v>
      </c>
      <c r="AA88" s="13">
        <f t="shared" si="15"/>
        <v>2.6412990359761686E-2</v>
      </c>
      <c r="AB88" s="34">
        <f t="shared" si="15"/>
        <v>2.8015290185007452E-2</v>
      </c>
    </row>
    <row r="89" spans="2:28" ht="15" thickBot="1" x14ac:dyDescent="0.35">
      <c r="B89" s="25" t="s">
        <v>159</v>
      </c>
      <c r="C89" s="46">
        <v>0</v>
      </c>
      <c r="D89" s="32">
        <v>0</v>
      </c>
      <c r="E89" s="32">
        <v>0</v>
      </c>
      <c r="F89" s="32">
        <v>0</v>
      </c>
      <c r="G89" s="32">
        <v>0</v>
      </c>
      <c r="H89" s="32">
        <v>0</v>
      </c>
      <c r="I89" s="32">
        <v>0</v>
      </c>
      <c r="J89" s="32">
        <v>0</v>
      </c>
      <c r="K89" s="32">
        <v>0</v>
      </c>
      <c r="L89" s="32">
        <v>0</v>
      </c>
      <c r="M89" s="32">
        <v>0</v>
      </c>
      <c r="N89" s="32">
        <v>0</v>
      </c>
      <c r="O89" s="33">
        <v>0</v>
      </c>
      <c r="P89" s="46">
        <v>0</v>
      </c>
      <c r="Q89" s="32">
        <v>0</v>
      </c>
      <c r="R89" s="32">
        <v>0</v>
      </c>
      <c r="S89" s="32">
        <v>0</v>
      </c>
      <c r="T89" s="32">
        <v>0</v>
      </c>
      <c r="U89" s="32">
        <v>0</v>
      </c>
      <c r="V89" s="32">
        <v>0</v>
      </c>
      <c r="W89" s="32">
        <v>0</v>
      </c>
      <c r="X89" s="32">
        <v>0</v>
      </c>
      <c r="Y89" s="32">
        <v>0</v>
      </c>
      <c r="Z89" s="32">
        <v>0</v>
      </c>
      <c r="AA89" s="32">
        <v>0</v>
      </c>
      <c r="AB89" s="33">
        <v>0</v>
      </c>
    </row>
    <row r="91" spans="2:28" x14ac:dyDescent="0.3">
      <c r="B91" s="1" t="s">
        <v>255</v>
      </c>
    </row>
    <row r="93" spans="2:28" ht="15" thickBot="1" x14ac:dyDescent="0.35">
      <c r="C93" s="53">
        <v>2010</v>
      </c>
      <c r="D93" s="53">
        <v>2011</v>
      </c>
      <c r="E93" s="53">
        <v>2012</v>
      </c>
      <c r="F93" s="53">
        <v>2013</v>
      </c>
      <c r="G93" s="53">
        <v>2014</v>
      </c>
      <c r="H93" s="53">
        <v>2015</v>
      </c>
      <c r="I93" s="53">
        <v>2016</v>
      </c>
      <c r="J93" s="53">
        <v>2017</v>
      </c>
      <c r="K93" s="53">
        <v>2018</v>
      </c>
      <c r="L93" s="53">
        <v>2019</v>
      </c>
      <c r="M93" s="53">
        <v>2020</v>
      </c>
      <c r="N93" s="53">
        <v>2021</v>
      </c>
      <c r="O93" s="53">
        <v>2022</v>
      </c>
      <c r="P93" s="150">
        <v>2023</v>
      </c>
      <c r="Q93" s="150">
        <v>2024</v>
      </c>
      <c r="R93" s="150">
        <v>2025</v>
      </c>
      <c r="S93" s="150">
        <v>2026</v>
      </c>
      <c r="T93" s="150">
        <v>2027</v>
      </c>
      <c r="U93" s="150">
        <v>2028</v>
      </c>
      <c r="V93" s="150">
        <v>2029</v>
      </c>
      <c r="W93" s="150">
        <v>2030</v>
      </c>
      <c r="X93" s="150">
        <v>2031</v>
      </c>
      <c r="Y93" s="150">
        <v>2032</v>
      </c>
      <c r="Z93" s="150">
        <v>2033</v>
      </c>
      <c r="AA93" s="150">
        <v>2034</v>
      </c>
      <c r="AB93" s="150">
        <v>2035</v>
      </c>
    </row>
    <row r="94" spans="2:28" ht="15" thickBot="1" x14ac:dyDescent="0.35">
      <c r="B94" s="29" t="s">
        <v>209</v>
      </c>
      <c r="C94" s="29">
        <f>ROUND(C99/C95,4)</f>
        <v>8.5999999999999993E-2</v>
      </c>
      <c r="D94" s="30">
        <f t="shared" ref="D94:O94" si="16">ROUND(D99/D95,4)</f>
        <v>8.7400000000000005E-2</v>
      </c>
      <c r="E94" s="30">
        <f t="shared" si="16"/>
        <v>8.7999999999999995E-2</v>
      </c>
      <c r="F94" s="30">
        <f t="shared" si="16"/>
        <v>8.9599999999999999E-2</v>
      </c>
      <c r="G94" s="30">
        <f t="shared" si="16"/>
        <v>9.1200000000000003E-2</v>
      </c>
      <c r="H94" s="30">
        <f t="shared" si="16"/>
        <v>9.0300000000000005E-2</v>
      </c>
      <c r="I94" s="30">
        <f t="shared" si="16"/>
        <v>8.9399999999999993E-2</v>
      </c>
      <c r="J94" s="30">
        <f t="shared" si="16"/>
        <v>8.9599999999999999E-2</v>
      </c>
      <c r="K94" s="30">
        <f t="shared" si="16"/>
        <v>8.9700000000000002E-2</v>
      </c>
      <c r="L94" s="30">
        <f t="shared" si="16"/>
        <v>9.3600000000000003E-2</v>
      </c>
      <c r="M94" s="30">
        <f t="shared" si="16"/>
        <v>9.7600000000000006E-2</v>
      </c>
      <c r="N94" s="30">
        <f t="shared" si="16"/>
        <v>9.7000000000000003E-2</v>
      </c>
      <c r="O94" s="31">
        <f t="shared" si="16"/>
        <v>9.2499999999999999E-2</v>
      </c>
      <c r="P94" s="29">
        <f>ROUND(P99/P95,4)</f>
        <v>9.98E-2</v>
      </c>
      <c r="Q94" s="30">
        <f t="shared" ref="Q94" si="17">ROUND(Q99/Q95,4)</f>
        <v>0.1072</v>
      </c>
      <c r="R94" s="30">
        <f t="shared" ref="R94" si="18">ROUND(R99/R95,4)</f>
        <v>0.10680000000000001</v>
      </c>
      <c r="S94" s="30">
        <f t="shared" ref="S94" si="19">ROUND(S99/S95,4)</f>
        <v>0.1104</v>
      </c>
      <c r="T94" s="30">
        <f t="shared" ref="T94" si="20">ROUND(T99/T95,4)</f>
        <v>0.12790000000000001</v>
      </c>
      <c r="U94" s="30">
        <f t="shared" ref="U94" si="21">ROUND(U99/U95,4)</f>
        <v>0.13450000000000001</v>
      </c>
      <c r="V94" s="30">
        <f t="shared" ref="V94" si="22">ROUND(V99/V95,4)</f>
        <v>0.14099999999999999</v>
      </c>
      <c r="W94" s="30">
        <f t="shared" ref="W94" si="23">ROUND(W99/W95,4)</f>
        <v>0.14760000000000001</v>
      </c>
      <c r="X94" s="30">
        <f t="shared" ref="X94" si="24">ROUND(X99/X95,4)</f>
        <v>0.1545</v>
      </c>
      <c r="Y94" s="30">
        <f t="shared" ref="Y94" si="25">ROUND(Y99/Y95,4)</f>
        <v>0.16159999999999999</v>
      </c>
      <c r="Z94" s="30">
        <f t="shared" ref="Z94" si="26">ROUND(Z99/Z95,4)</f>
        <v>0.16869999999999999</v>
      </c>
      <c r="AA94" s="30">
        <f t="shared" ref="AA94" si="27">ROUND(AA99/AA95,4)</f>
        <v>0.17599999999999999</v>
      </c>
      <c r="AB94" s="31">
        <f t="shared" ref="AB94" si="28">ROUND(AB99/AB95,4)</f>
        <v>0.18340000000000001</v>
      </c>
    </row>
    <row r="95" spans="2:28" x14ac:dyDescent="0.3">
      <c r="B95" s="18" t="s">
        <v>210</v>
      </c>
      <c r="C95" s="45">
        <v>2.0821000000000001</v>
      </c>
      <c r="D95" s="13">
        <v>2.0821000000000001</v>
      </c>
      <c r="E95" s="13">
        <v>2.0821000000000001</v>
      </c>
      <c r="F95" s="13">
        <v>2.0821000000000001</v>
      </c>
      <c r="G95" s="13">
        <v>2.0821000000000001</v>
      </c>
      <c r="H95" s="13">
        <v>2.0821000000000001</v>
      </c>
      <c r="I95" s="13">
        <v>2.0821000000000001</v>
      </c>
      <c r="J95" s="13">
        <v>2.0821000000000001</v>
      </c>
      <c r="K95" s="13">
        <v>2.0821000000000001</v>
      </c>
      <c r="L95" s="13">
        <v>2.0821000000000001</v>
      </c>
      <c r="M95" s="13">
        <v>2.0821000000000001</v>
      </c>
      <c r="N95" s="13">
        <v>2.0821000000000001</v>
      </c>
      <c r="O95" s="13">
        <v>2.0821000000000001</v>
      </c>
      <c r="P95" s="44">
        <v>2.0935000000000001</v>
      </c>
      <c r="Q95" s="42">
        <v>2.0935000000000001</v>
      </c>
      <c r="R95" s="42">
        <v>2.0935000000000001</v>
      </c>
      <c r="S95" s="42">
        <v>2.0935000000000001</v>
      </c>
      <c r="T95" s="42">
        <v>2.0935000000000001</v>
      </c>
      <c r="U95" s="42">
        <v>2.0935000000000001</v>
      </c>
      <c r="V95" s="42">
        <v>2.0935000000000001</v>
      </c>
      <c r="W95" s="42">
        <v>2.0935000000000001</v>
      </c>
      <c r="X95" s="42">
        <v>2.0935000000000001</v>
      </c>
      <c r="Y95" s="42">
        <v>2.0935000000000001</v>
      </c>
      <c r="Z95" s="42">
        <v>2.0935000000000001</v>
      </c>
      <c r="AA95" s="42">
        <v>2.0935000000000001</v>
      </c>
      <c r="AB95" s="43">
        <v>2.0935000000000001</v>
      </c>
    </row>
    <row r="96" spans="2:28" x14ac:dyDescent="0.3">
      <c r="B96" s="22" t="s">
        <v>218</v>
      </c>
      <c r="C96" s="45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  <c r="P96" s="45">
        <v>0</v>
      </c>
      <c r="Q96" s="13">
        <v>0</v>
      </c>
      <c r="R96" s="13">
        <v>0</v>
      </c>
      <c r="S96" s="13">
        <v>0</v>
      </c>
      <c r="T96" s="13">
        <v>0</v>
      </c>
      <c r="U96" s="13">
        <v>0</v>
      </c>
      <c r="V96" s="13">
        <v>0</v>
      </c>
      <c r="W96" s="13">
        <v>0</v>
      </c>
      <c r="X96" s="13">
        <v>0</v>
      </c>
      <c r="Y96" s="13">
        <v>0</v>
      </c>
      <c r="Z96" s="13">
        <v>0</v>
      </c>
      <c r="AA96" s="13">
        <v>0</v>
      </c>
      <c r="AB96" s="34">
        <v>0</v>
      </c>
    </row>
    <row r="97" spans="2:28" x14ac:dyDescent="0.3">
      <c r="B97" s="22" t="s">
        <v>219</v>
      </c>
      <c r="C97" s="45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  <c r="J97" s="13">
        <v>0</v>
      </c>
      <c r="K97" s="13">
        <v>0</v>
      </c>
      <c r="L97" s="13">
        <v>0</v>
      </c>
      <c r="M97" s="13">
        <v>0</v>
      </c>
      <c r="N97" s="13">
        <v>0</v>
      </c>
      <c r="O97" s="13">
        <v>0</v>
      </c>
      <c r="P97" s="45">
        <v>0</v>
      </c>
      <c r="Q97" s="13">
        <v>0</v>
      </c>
      <c r="R97" s="13">
        <v>0</v>
      </c>
      <c r="S97" s="13">
        <v>0</v>
      </c>
      <c r="T97" s="13">
        <v>0</v>
      </c>
      <c r="U97" s="13">
        <v>0</v>
      </c>
      <c r="V97" s="13">
        <v>0</v>
      </c>
      <c r="W97" s="13">
        <v>0</v>
      </c>
      <c r="X97" s="13">
        <v>0</v>
      </c>
      <c r="Y97" s="13">
        <v>0</v>
      </c>
      <c r="Z97" s="13">
        <v>0</v>
      </c>
      <c r="AA97" s="13">
        <v>0</v>
      </c>
      <c r="AB97" s="34">
        <v>0</v>
      </c>
    </row>
    <row r="98" spans="2:28" ht="15" thickBot="1" x14ac:dyDescent="0.35">
      <c r="B98" s="25" t="s">
        <v>220</v>
      </c>
      <c r="C98" s="45">
        <v>7.9000000000000008E-3</v>
      </c>
      <c r="D98" s="13">
        <v>7.9000000000000008E-3</v>
      </c>
      <c r="E98" s="13">
        <v>7.9000000000000008E-3</v>
      </c>
      <c r="F98" s="13">
        <v>7.9000000000000008E-3</v>
      </c>
      <c r="G98" s="13">
        <v>7.9000000000000008E-3</v>
      </c>
      <c r="H98" s="13">
        <v>7.9000000000000008E-3</v>
      </c>
      <c r="I98" s="13">
        <v>7.9000000000000008E-3</v>
      </c>
      <c r="J98" s="13">
        <v>7.9000000000000008E-3</v>
      </c>
      <c r="K98" s="13">
        <v>7.9000000000000008E-3</v>
      </c>
      <c r="L98" s="13">
        <v>7.9000000000000008E-3</v>
      </c>
      <c r="M98" s="13">
        <v>7.9000000000000008E-3</v>
      </c>
      <c r="N98" s="13">
        <v>7.9000000000000008E-3</v>
      </c>
      <c r="O98" s="13">
        <v>7.9000000000000008E-3</v>
      </c>
      <c r="P98" s="46">
        <v>7.9000000000000008E-3</v>
      </c>
      <c r="Q98" s="32">
        <v>7.9000000000000008E-3</v>
      </c>
      <c r="R98" s="32">
        <v>7.9000000000000008E-3</v>
      </c>
      <c r="S98" s="32">
        <v>7.9000000000000008E-3</v>
      </c>
      <c r="T98" s="32">
        <v>7.9000000000000008E-3</v>
      </c>
      <c r="U98" s="32">
        <v>7.9000000000000008E-3</v>
      </c>
      <c r="V98" s="32">
        <v>7.9000000000000008E-3</v>
      </c>
      <c r="W98" s="32">
        <v>7.9000000000000008E-3</v>
      </c>
      <c r="X98" s="32">
        <v>7.9000000000000008E-3</v>
      </c>
      <c r="Y98" s="32">
        <v>7.9000000000000008E-3</v>
      </c>
      <c r="Z98" s="32">
        <v>7.9000000000000008E-3</v>
      </c>
      <c r="AA98" s="32">
        <v>7.9000000000000008E-3</v>
      </c>
      <c r="AB98" s="33">
        <v>7.9000000000000008E-3</v>
      </c>
    </row>
    <row r="99" spans="2:28" x14ac:dyDescent="0.3">
      <c r="B99" s="18" t="s">
        <v>149</v>
      </c>
      <c r="C99" s="44">
        <f>C53-(C68/1000)</f>
        <v>0.17906059999999999</v>
      </c>
      <c r="D99" s="42">
        <f t="shared" ref="D99:AB99" si="29">D53-(D68/1000)</f>
        <v>0.18197554000000002</v>
      </c>
      <c r="E99" s="42">
        <f t="shared" si="29"/>
        <v>0.18322479999999999</v>
      </c>
      <c r="F99" s="42">
        <f t="shared" si="29"/>
        <v>0.18655616</v>
      </c>
      <c r="G99" s="42">
        <f t="shared" si="29"/>
        <v>0.18988752</v>
      </c>
      <c r="H99" s="42">
        <f t="shared" si="29"/>
        <v>0.18801363000000001</v>
      </c>
      <c r="I99" s="42">
        <f t="shared" si="29"/>
        <v>0.18613974</v>
      </c>
      <c r="J99" s="42">
        <f t="shared" si="29"/>
        <v>0.18655616</v>
      </c>
      <c r="K99" s="42">
        <f t="shared" si="29"/>
        <v>0.18676437000000001</v>
      </c>
      <c r="L99" s="42">
        <f t="shared" si="29"/>
        <v>0.19488456000000001</v>
      </c>
      <c r="M99" s="42">
        <f t="shared" si="29"/>
        <v>0.20321296000000003</v>
      </c>
      <c r="N99" s="42">
        <f t="shared" si="29"/>
        <v>0.20196370000000002</v>
      </c>
      <c r="O99" s="43">
        <f t="shared" si="29"/>
        <v>0.19259424999999999</v>
      </c>
      <c r="P99" s="44">
        <f t="shared" si="29"/>
        <v>0.20893130000000001</v>
      </c>
      <c r="Q99" s="42">
        <f t="shared" si="29"/>
        <v>0.22442320000000002</v>
      </c>
      <c r="R99" s="42">
        <f t="shared" si="29"/>
        <v>0.22358580000000003</v>
      </c>
      <c r="S99" s="42">
        <f t="shared" si="29"/>
        <v>0.2310273395135693</v>
      </c>
      <c r="T99" s="42">
        <f t="shared" si="29"/>
        <v>0.26785844061788239</v>
      </c>
      <c r="U99" s="42">
        <f t="shared" si="29"/>
        <v>0.28152786733729956</v>
      </c>
      <c r="V99" s="42">
        <f t="shared" si="29"/>
        <v>0.2952717376283428</v>
      </c>
      <c r="W99" s="42">
        <f t="shared" si="29"/>
        <v>0.30909297170095534</v>
      </c>
      <c r="X99" s="42">
        <f t="shared" si="29"/>
        <v>0.32340921308999826</v>
      </c>
      <c r="Y99" s="42">
        <f t="shared" si="29"/>
        <v>0.33821686801600181</v>
      </c>
      <c r="Z99" s="42">
        <f t="shared" si="29"/>
        <v>0.35309959885454312</v>
      </c>
      <c r="AA99" s="42">
        <f t="shared" si="29"/>
        <v>0.36847544659333953</v>
      </c>
      <c r="AB99" s="43">
        <f t="shared" si="29"/>
        <v>0.38392127481979138</v>
      </c>
    </row>
    <row r="100" spans="2:28" x14ac:dyDescent="0.3">
      <c r="B100" s="22" t="s">
        <v>157</v>
      </c>
      <c r="C100" s="45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34">
        <v>0</v>
      </c>
      <c r="P100" s="45">
        <v>0</v>
      </c>
      <c r="Q100" s="13">
        <v>0</v>
      </c>
      <c r="R100" s="13">
        <v>0</v>
      </c>
      <c r="S100" s="13">
        <v>0</v>
      </c>
      <c r="T100" s="13">
        <v>0</v>
      </c>
      <c r="U100" s="13">
        <v>0</v>
      </c>
      <c r="V100" s="13">
        <v>0</v>
      </c>
      <c r="W100" s="13">
        <v>0</v>
      </c>
      <c r="X100" s="13">
        <v>0</v>
      </c>
      <c r="Y100" s="13">
        <v>0</v>
      </c>
      <c r="Z100" s="13">
        <v>0</v>
      </c>
      <c r="AA100" s="13">
        <v>0</v>
      </c>
      <c r="AB100" s="34">
        <v>0</v>
      </c>
    </row>
    <row r="101" spans="2:28" x14ac:dyDescent="0.3">
      <c r="B101" s="22" t="s">
        <v>158</v>
      </c>
      <c r="C101" s="45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  <c r="J101" s="13">
        <v>0</v>
      </c>
      <c r="K101" s="13">
        <v>0</v>
      </c>
      <c r="L101" s="13">
        <v>0</v>
      </c>
      <c r="M101" s="13">
        <v>0</v>
      </c>
      <c r="N101" s="13">
        <v>0</v>
      </c>
      <c r="O101" s="34">
        <v>0</v>
      </c>
      <c r="P101" s="45">
        <v>0</v>
      </c>
      <c r="Q101" s="13">
        <v>0</v>
      </c>
      <c r="R101" s="13">
        <v>0</v>
      </c>
      <c r="S101" s="13">
        <v>0</v>
      </c>
      <c r="T101" s="13">
        <v>0</v>
      </c>
      <c r="U101" s="13">
        <v>0</v>
      </c>
      <c r="V101" s="13">
        <v>0</v>
      </c>
      <c r="W101" s="13">
        <v>0</v>
      </c>
      <c r="X101" s="13">
        <v>0</v>
      </c>
      <c r="Y101" s="13">
        <v>0</v>
      </c>
      <c r="Z101" s="13">
        <v>0</v>
      </c>
      <c r="AA101" s="13">
        <v>0</v>
      </c>
      <c r="AB101" s="34">
        <v>0</v>
      </c>
    </row>
    <row r="102" spans="2:28" ht="15" thickBot="1" x14ac:dyDescent="0.35">
      <c r="B102" s="25" t="s">
        <v>159</v>
      </c>
      <c r="C102" s="46">
        <f>C99/265</f>
        <v>6.7570037735849048E-4</v>
      </c>
      <c r="D102" s="32">
        <f t="shared" ref="D102:AB102" si="30">D99/265</f>
        <v>6.8670015094339629E-4</v>
      </c>
      <c r="E102" s="32">
        <f t="shared" si="30"/>
        <v>6.9141433962264154E-4</v>
      </c>
      <c r="F102" s="32">
        <f t="shared" si="30"/>
        <v>7.0398550943396221E-4</v>
      </c>
      <c r="G102" s="32">
        <f t="shared" si="30"/>
        <v>7.1655667924528299E-4</v>
      </c>
      <c r="H102" s="32">
        <f t="shared" si="30"/>
        <v>7.0948539622641511E-4</v>
      </c>
      <c r="I102" s="32">
        <f t="shared" si="30"/>
        <v>7.0241411320754712E-4</v>
      </c>
      <c r="J102" s="32">
        <f t="shared" si="30"/>
        <v>7.0398550943396221E-4</v>
      </c>
      <c r="K102" s="32">
        <f t="shared" si="30"/>
        <v>7.0477120754716986E-4</v>
      </c>
      <c r="L102" s="32">
        <f t="shared" si="30"/>
        <v>7.3541343396226421E-4</v>
      </c>
      <c r="M102" s="32">
        <f t="shared" si="30"/>
        <v>7.668413584905661E-4</v>
      </c>
      <c r="N102" s="32">
        <f t="shared" si="30"/>
        <v>7.6212716981132085E-4</v>
      </c>
      <c r="O102" s="33">
        <f t="shared" si="30"/>
        <v>7.2677075471698114E-4</v>
      </c>
      <c r="P102" s="46">
        <f t="shared" si="30"/>
        <v>7.8842000000000007E-4</v>
      </c>
      <c r="Q102" s="32">
        <f t="shared" si="30"/>
        <v>8.4688000000000005E-4</v>
      </c>
      <c r="R102" s="32">
        <f t="shared" si="30"/>
        <v>8.4372000000000006E-4</v>
      </c>
      <c r="S102" s="32">
        <f t="shared" si="30"/>
        <v>8.7180128118328039E-4</v>
      </c>
      <c r="T102" s="32">
        <f t="shared" si="30"/>
        <v>1.0107865683693675E-3</v>
      </c>
      <c r="U102" s="32">
        <f t="shared" si="30"/>
        <v>1.0623693107067909E-3</v>
      </c>
      <c r="V102" s="32">
        <f t="shared" si="30"/>
        <v>1.1142329721824256E-3</v>
      </c>
      <c r="W102" s="32">
        <f t="shared" si="30"/>
        <v>1.1663885724564353E-3</v>
      </c>
      <c r="X102" s="32">
        <f t="shared" si="30"/>
        <v>1.220412124867918E-3</v>
      </c>
      <c r="Y102" s="32">
        <f t="shared" si="30"/>
        <v>1.2762900679849124E-3</v>
      </c>
      <c r="Z102" s="32">
        <f t="shared" si="30"/>
        <v>1.3324513164322382E-3</v>
      </c>
      <c r="AA102" s="32">
        <f t="shared" si="30"/>
        <v>1.3904733833710926E-3</v>
      </c>
      <c r="AB102" s="33">
        <f t="shared" si="30"/>
        <v>1.4487595276218542E-3</v>
      </c>
    </row>
  </sheetData>
  <phoneticPr fontId="17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42DD8-933D-4663-8CF0-992DF45A2A04}">
  <sheetPr>
    <tabColor theme="9" tint="0.59999389629810485"/>
  </sheetPr>
  <dimension ref="B4:AB102"/>
  <sheetViews>
    <sheetView workbookViewId="0"/>
  </sheetViews>
  <sheetFormatPr defaultRowHeight="14.4" x14ac:dyDescent="0.3"/>
  <cols>
    <col min="2" max="2" width="55.6640625" customWidth="1"/>
    <col min="3" max="3" width="11.6640625" bestFit="1" customWidth="1"/>
  </cols>
  <sheetData>
    <row r="4" spans="2:28" x14ac:dyDescent="0.3">
      <c r="C4" t="s">
        <v>224</v>
      </c>
    </row>
    <row r="6" spans="2:28" x14ac:dyDescent="0.3">
      <c r="C6">
        <v>2010</v>
      </c>
      <c r="D6">
        <v>2011</v>
      </c>
      <c r="E6">
        <v>2012</v>
      </c>
      <c r="F6">
        <v>2013</v>
      </c>
      <c r="G6">
        <v>2014</v>
      </c>
      <c r="H6">
        <v>2015</v>
      </c>
      <c r="I6">
        <v>2016</v>
      </c>
      <c r="J6">
        <v>2017</v>
      </c>
      <c r="K6">
        <v>2018</v>
      </c>
      <c r="L6">
        <v>2019</v>
      </c>
      <c r="M6">
        <v>2020</v>
      </c>
      <c r="N6">
        <v>2021</v>
      </c>
      <c r="O6">
        <v>2022</v>
      </c>
      <c r="P6">
        <v>2023</v>
      </c>
      <c r="Q6">
        <v>2024</v>
      </c>
      <c r="R6">
        <v>2025</v>
      </c>
      <c r="S6">
        <v>2026</v>
      </c>
      <c r="T6">
        <v>2027</v>
      </c>
      <c r="U6">
        <v>2028</v>
      </c>
      <c r="V6">
        <v>2029</v>
      </c>
      <c r="W6">
        <v>2030</v>
      </c>
      <c r="X6">
        <v>2031</v>
      </c>
      <c r="Y6">
        <v>2032</v>
      </c>
      <c r="Z6">
        <v>2033</v>
      </c>
      <c r="AA6">
        <v>2034</v>
      </c>
      <c r="AB6">
        <v>2035</v>
      </c>
    </row>
    <row r="7" spans="2:28" x14ac:dyDescent="0.3">
      <c r="B7">
        <v>1</v>
      </c>
      <c r="C7" s="152">
        <v>0</v>
      </c>
      <c r="D7" s="152">
        <v>0</v>
      </c>
      <c r="E7" s="152">
        <v>0</v>
      </c>
      <c r="F7" s="152">
        <v>0</v>
      </c>
      <c r="G7" s="152">
        <v>0</v>
      </c>
      <c r="H7" s="152">
        <v>0</v>
      </c>
      <c r="I7" s="152">
        <v>0</v>
      </c>
      <c r="J7" s="152">
        <v>0</v>
      </c>
      <c r="K7" s="152">
        <v>0</v>
      </c>
      <c r="L7" s="152">
        <v>0</v>
      </c>
      <c r="M7" s="152">
        <v>0</v>
      </c>
      <c r="N7" s="152">
        <v>0</v>
      </c>
      <c r="O7" s="152">
        <v>0</v>
      </c>
      <c r="P7" s="152">
        <v>0</v>
      </c>
      <c r="Q7" s="152">
        <v>0</v>
      </c>
      <c r="R7" s="152">
        <v>0</v>
      </c>
      <c r="S7" s="152">
        <v>3.7000000000000082</v>
      </c>
      <c r="T7" s="152">
        <v>7.4000000000000057</v>
      </c>
      <c r="U7" s="152">
        <v>11.100000000000005</v>
      </c>
      <c r="V7" s="152">
        <v>14.800000000000004</v>
      </c>
      <c r="W7" s="152">
        <v>18.5</v>
      </c>
      <c r="X7" s="152">
        <v>22.2</v>
      </c>
      <c r="Y7" s="152">
        <v>25.9</v>
      </c>
      <c r="Z7" s="152">
        <v>29.599999999999994</v>
      </c>
      <c r="AA7" s="152">
        <v>33.299999999999997</v>
      </c>
      <c r="AB7" s="152">
        <v>36.999999999999993</v>
      </c>
    </row>
    <row r="8" spans="2:28" x14ac:dyDescent="0.3">
      <c r="B8">
        <v>2</v>
      </c>
      <c r="C8" s="152">
        <v>0</v>
      </c>
      <c r="D8" s="152">
        <v>0</v>
      </c>
      <c r="E8" s="152">
        <v>0</v>
      </c>
      <c r="F8" s="152">
        <v>0</v>
      </c>
      <c r="G8" s="152">
        <v>0</v>
      </c>
      <c r="H8" s="152">
        <v>0</v>
      </c>
      <c r="I8" s="152">
        <v>0</v>
      </c>
      <c r="J8" s="152">
        <v>0</v>
      </c>
      <c r="K8" s="152">
        <v>0</v>
      </c>
      <c r="L8" s="152">
        <v>0</v>
      </c>
      <c r="M8" s="152">
        <v>0</v>
      </c>
      <c r="N8" s="152">
        <v>0</v>
      </c>
      <c r="O8" s="152">
        <v>0</v>
      </c>
      <c r="P8" s="152">
        <v>0</v>
      </c>
      <c r="Q8" s="152">
        <v>0</v>
      </c>
      <c r="R8" s="152">
        <v>0</v>
      </c>
      <c r="S8" s="152">
        <v>0</v>
      </c>
      <c r="T8" s="152">
        <v>5.6666666666666661</v>
      </c>
      <c r="U8" s="152">
        <v>11.333333333333332</v>
      </c>
      <c r="V8" s="152">
        <v>17</v>
      </c>
      <c r="W8" s="152">
        <v>22.666666666666668</v>
      </c>
      <c r="X8" s="152">
        <v>28.333333333333332</v>
      </c>
      <c r="Y8" s="152">
        <v>34</v>
      </c>
      <c r="Z8" s="152">
        <v>39.666666666666671</v>
      </c>
      <c r="AA8" s="152">
        <v>45.333333333333329</v>
      </c>
      <c r="AB8" s="152">
        <v>51</v>
      </c>
    </row>
    <row r="10" spans="2:28" x14ac:dyDescent="0.3">
      <c r="C10" s="1"/>
    </row>
    <row r="11" spans="2:28" x14ac:dyDescent="0.3">
      <c r="C11" t="s">
        <v>225</v>
      </c>
    </row>
    <row r="13" spans="2:28" x14ac:dyDescent="0.3">
      <c r="C13">
        <v>2010</v>
      </c>
      <c r="D13">
        <v>2011</v>
      </c>
      <c r="E13">
        <v>2012</v>
      </c>
      <c r="F13">
        <v>2013</v>
      </c>
      <c r="G13">
        <v>2014</v>
      </c>
      <c r="H13">
        <v>2015</v>
      </c>
      <c r="I13">
        <v>2016</v>
      </c>
      <c r="J13">
        <v>2017</v>
      </c>
      <c r="K13">
        <v>2018</v>
      </c>
      <c r="L13">
        <v>2019</v>
      </c>
      <c r="M13">
        <v>2020</v>
      </c>
      <c r="N13">
        <v>2021</v>
      </c>
      <c r="O13">
        <v>2022</v>
      </c>
      <c r="P13">
        <v>2023</v>
      </c>
      <c r="Q13">
        <v>2024</v>
      </c>
      <c r="R13">
        <v>2025</v>
      </c>
      <c r="S13">
        <v>2026</v>
      </c>
      <c r="T13">
        <v>2027</v>
      </c>
      <c r="U13">
        <v>2028</v>
      </c>
      <c r="V13">
        <v>2029</v>
      </c>
      <c r="W13">
        <v>2030</v>
      </c>
      <c r="X13">
        <v>2031</v>
      </c>
      <c r="Y13">
        <v>2032</v>
      </c>
      <c r="Z13">
        <v>2033</v>
      </c>
      <c r="AA13">
        <v>2034</v>
      </c>
      <c r="AB13">
        <v>2035</v>
      </c>
    </row>
    <row r="14" spans="2:28" x14ac:dyDescent="0.3"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30</v>
      </c>
      <c r="AB14">
        <v>60.000000000000014</v>
      </c>
    </row>
    <row r="19" spans="2:28" x14ac:dyDescent="0.3">
      <c r="C19">
        <v>2010</v>
      </c>
      <c r="D19">
        <v>2011</v>
      </c>
      <c r="E19">
        <v>2012</v>
      </c>
      <c r="F19">
        <v>2013</v>
      </c>
      <c r="G19">
        <v>2014</v>
      </c>
      <c r="H19">
        <v>2015</v>
      </c>
      <c r="I19">
        <v>2016</v>
      </c>
      <c r="J19">
        <v>2017</v>
      </c>
      <c r="K19">
        <v>2018</v>
      </c>
      <c r="L19">
        <v>2019</v>
      </c>
      <c r="M19">
        <v>2020</v>
      </c>
      <c r="N19">
        <v>2021</v>
      </c>
      <c r="O19">
        <v>2022</v>
      </c>
      <c r="P19">
        <v>2023</v>
      </c>
      <c r="Q19">
        <v>2024</v>
      </c>
      <c r="R19">
        <v>2025</v>
      </c>
      <c r="S19">
        <v>2026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2032</v>
      </c>
      <c r="Z19">
        <v>2033</v>
      </c>
      <c r="AA19">
        <v>2034</v>
      </c>
      <c r="AB19">
        <v>2035</v>
      </c>
    </row>
    <row r="20" spans="2:28" x14ac:dyDescent="0.3">
      <c r="B20" t="s">
        <v>67</v>
      </c>
      <c r="C20" s="152">
        <f>C7+C8</f>
        <v>0</v>
      </c>
      <c r="D20" s="152">
        <f t="shared" ref="D20:AB20" si="0">D7+D8</f>
        <v>0</v>
      </c>
      <c r="E20" s="152">
        <f t="shared" si="0"/>
        <v>0</v>
      </c>
      <c r="F20" s="152">
        <f t="shared" si="0"/>
        <v>0</v>
      </c>
      <c r="G20" s="152">
        <f t="shared" si="0"/>
        <v>0</v>
      </c>
      <c r="H20" s="152">
        <f t="shared" si="0"/>
        <v>0</v>
      </c>
      <c r="I20" s="152">
        <f t="shared" si="0"/>
        <v>0</v>
      </c>
      <c r="J20" s="152">
        <f t="shared" si="0"/>
        <v>0</v>
      </c>
      <c r="K20" s="152">
        <f t="shared" si="0"/>
        <v>0</v>
      </c>
      <c r="L20" s="152">
        <f t="shared" si="0"/>
        <v>0</v>
      </c>
      <c r="M20" s="152">
        <f t="shared" si="0"/>
        <v>0</v>
      </c>
      <c r="N20" s="152">
        <f t="shared" si="0"/>
        <v>0</v>
      </c>
      <c r="O20" s="152">
        <f t="shared" si="0"/>
        <v>0</v>
      </c>
      <c r="P20" s="152">
        <f t="shared" si="0"/>
        <v>0</v>
      </c>
      <c r="Q20" s="152">
        <f t="shared" si="0"/>
        <v>0</v>
      </c>
      <c r="R20" s="152">
        <f t="shared" si="0"/>
        <v>0</v>
      </c>
      <c r="S20" s="152">
        <f t="shared" si="0"/>
        <v>3.7000000000000082</v>
      </c>
      <c r="T20" s="152">
        <f t="shared" si="0"/>
        <v>13.066666666666672</v>
      </c>
      <c r="U20" s="152">
        <f t="shared" si="0"/>
        <v>22.433333333333337</v>
      </c>
      <c r="V20" s="152">
        <f t="shared" si="0"/>
        <v>31.800000000000004</v>
      </c>
      <c r="W20" s="152">
        <f t="shared" si="0"/>
        <v>41.166666666666671</v>
      </c>
      <c r="X20" s="152">
        <f t="shared" si="0"/>
        <v>50.533333333333331</v>
      </c>
      <c r="Y20" s="152">
        <f t="shared" si="0"/>
        <v>59.9</v>
      </c>
      <c r="Z20" s="152">
        <f t="shared" si="0"/>
        <v>69.266666666666666</v>
      </c>
      <c r="AA20" s="152">
        <f t="shared" si="0"/>
        <v>78.633333333333326</v>
      </c>
      <c r="AB20" s="152">
        <f t="shared" si="0"/>
        <v>88</v>
      </c>
    </row>
    <row r="21" spans="2:28" x14ac:dyDescent="0.3">
      <c r="B21" t="s">
        <v>68</v>
      </c>
      <c r="C21" s="152">
        <f>C7+C8+C14</f>
        <v>0</v>
      </c>
      <c r="D21" s="152">
        <f t="shared" ref="D21:AB21" si="1">D7+D8+D14</f>
        <v>0</v>
      </c>
      <c r="E21" s="152">
        <f t="shared" si="1"/>
        <v>0</v>
      </c>
      <c r="F21" s="152">
        <f t="shared" si="1"/>
        <v>0</v>
      </c>
      <c r="G21" s="152">
        <f t="shared" si="1"/>
        <v>0</v>
      </c>
      <c r="H21" s="152">
        <f t="shared" si="1"/>
        <v>0</v>
      </c>
      <c r="I21" s="152">
        <f t="shared" si="1"/>
        <v>0</v>
      </c>
      <c r="J21" s="152">
        <f t="shared" si="1"/>
        <v>0</v>
      </c>
      <c r="K21" s="152">
        <f t="shared" si="1"/>
        <v>0</v>
      </c>
      <c r="L21" s="152">
        <f t="shared" si="1"/>
        <v>0</v>
      </c>
      <c r="M21" s="152">
        <f t="shared" si="1"/>
        <v>0</v>
      </c>
      <c r="N21" s="152">
        <f t="shared" si="1"/>
        <v>0</v>
      </c>
      <c r="O21" s="152">
        <f t="shared" si="1"/>
        <v>0</v>
      </c>
      <c r="P21" s="152">
        <f t="shared" si="1"/>
        <v>0</v>
      </c>
      <c r="Q21" s="152">
        <f t="shared" si="1"/>
        <v>0</v>
      </c>
      <c r="R21" s="152">
        <f t="shared" si="1"/>
        <v>0</v>
      </c>
      <c r="S21" s="152">
        <f t="shared" si="1"/>
        <v>3.7000000000000082</v>
      </c>
      <c r="T21" s="152">
        <f t="shared" si="1"/>
        <v>13.066666666666672</v>
      </c>
      <c r="U21" s="152">
        <f t="shared" si="1"/>
        <v>22.433333333333337</v>
      </c>
      <c r="V21" s="152">
        <f t="shared" si="1"/>
        <v>31.800000000000004</v>
      </c>
      <c r="W21" s="152">
        <f t="shared" si="1"/>
        <v>41.166666666666671</v>
      </c>
      <c r="X21" s="152">
        <f t="shared" si="1"/>
        <v>50.533333333333331</v>
      </c>
      <c r="Y21" s="152">
        <f t="shared" si="1"/>
        <v>59.9</v>
      </c>
      <c r="Z21" s="152">
        <f t="shared" si="1"/>
        <v>69.266666666666666</v>
      </c>
      <c r="AA21" s="152">
        <f t="shared" si="1"/>
        <v>108.63333333333333</v>
      </c>
      <c r="AB21" s="152">
        <f t="shared" si="1"/>
        <v>148</v>
      </c>
    </row>
    <row r="32" spans="2:28" x14ac:dyDescent="0.3">
      <c r="B32" s="1" t="s">
        <v>245</v>
      </c>
    </row>
    <row r="34" spans="2:28" ht="15" thickBot="1" x14ac:dyDescent="0.35">
      <c r="C34" s="53">
        <v>2010</v>
      </c>
      <c r="D34" s="53">
        <v>2011</v>
      </c>
      <c r="E34" s="53">
        <v>2012</v>
      </c>
      <c r="F34" s="53">
        <v>2013</v>
      </c>
      <c r="G34" s="53">
        <v>2014</v>
      </c>
      <c r="H34" s="53">
        <v>2015</v>
      </c>
      <c r="I34" s="53">
        <v>2016</v>
      </c>
      <c r="J34" s="53">
        <v>2017</v>
      </c>
      <c r="K34" s="53">
        <v>2018</v>
      </c>
      <c r="L34" s="53">
        <v>2019</v>
      </c>
      <c r="M34" s="53">
        <v>2020</v>
      </c>
      <c r="N34" s="53">
        <v>2021</v>
      </c>
      <c r="O34" s="53">
        <v>2022</v>
      </c>
      <c r="P34" s="150">
        <v>2023</v>
      </c>
      <c r="Q34" s="150">
        <v>2024</v>
      </c>
      <c r="R34" s="150">
        <v>2025</v>
      </c>
      <c r="S34" s="150">
        <v>2026</v>
      </c>
      <c r="T34" s="150">
        <v>2027</v>
      </c>
      <c r="U34" s="150">
        <v>2028</v>
      </c>
      <c r="V34" s="150">
        <v>2029</v>
      </c>
      <c r="W34" s="150">
        <v>2030</v>
      </c>
      <c r="X34" s="150">
        <v>2031</v>
      </c>
      <c r="Y34" s="150">
        <v>2032</v>
      </c>
      <c r="Z34" s="150">
        <v>2033</v>
      </c>
      <c r="AA34" s="150">
        <v>2034</v>
      </c>
      <c r="AB34" s="150">
        <v>2035</v>
      </c>
    </row>
    <row r="35" spans="2:28" ht="15" thickBot="1" x14ac:dyDescent="0.35">
      <c r="B35" s="29" t="s">
        <v>204</v>
      </c>
      <c r="C35" s="18">
        <v>0.3417</v>
      </c>
      <c r="D35" s="19">
        <v>0.3468</v>
      </c>
      <c r="E35" s="19">
        <v>0.3533</v>
      </c>
      <c r="F35" s="19">
        <v>0.35899999999999999</v>
      </c>
      <c r="G35" s="19">
        <v>0.36480000000000001</v>
      </c>
      <c r="H35" s="19">
        <v>0.3705</v>
      </c>
      <c r="I35" s="19">
        <v>0.37619999999999998</v>
      </c>
      <c r="J35" s="19">
        <v>0.38179999999999997</v>
      </c>
      <c r="K35" s="19">
        <v>0.38740000000000002</v>
      </c>
      <c r="L35" s="19">
        <v>0.39279999999999998</v>
      </c>
      <c r="M35" s="19">
        <v>0.39850000000000002</v>
      </c>
      <c r="N35" s="19">
        <v>0.39910000000000001</v>
      </c>
      <c r="O35" s="19">
        <v>0.38740000000000002</v>
      </c>
      <c r="P35" s="44">
        <v>0.4178</v>
      </c>
      <c r="Q35" s="42">
        <v>0.4491</v>
      </c>
      <c r="R35" s="42">
        <v>0.44729999999999998</v>
      </c>
      <c r="S35" s="42">
        <v>0.4647</v>
      </c>
      <c r="T35" s="42">
        <v>0.54549999999999998</v>
      </c>
      <c r="U35" s="42">
        <v>0.57940000000000003</v>
      </c>
      <c r="V35" s="42">
        <v>0.61319999999999997</v>
      </c>
      <c r="W35" s="42">
        <v>0.64710000000000001</v>
      </c>
      <c r="X35" s="42">
        <v>0.68189999999999995</v>
      </c>
      <c r="Y35" s="42">
        <v>0.71750000000000003</v>
      </c>
      <c r="Z35" s="42">
        <v>0.75309999999999999</v>
      </c>
      <c r="AA35" s="42">
        <v>0.78959999999999997</v>
      </c>
      <c r="AB35" s="43">
        <v>0.82599999999999996</v>
      </c>
    </row>
    <row r="36" spans="2:28" x14ac:dyDescent="0.3">
      <c r="B36" s="18" t="s">
        <v>214</v>
      </c>
      <c r="C36" s="44">
        <v>0.66220000000000001</v>
      </c>
      <c r="D36" s="42">
        <v>0.74339999999999995</v>
      </c>
      <c r="E36" s="42">
        <v>0.8246</v>
      </c>
      <c r="F36" s="42">
        <v>0.82010000000000005</v>
      </c>
      <c r="G36" s="42">
        <v>0.81559999999999999</v>
      </c>
      <c r="H36" s="42">
        <v>0.81510000000000005</v>
      </c>
      <c r="I36" s="42">
        <v>0.81459999999999999</v>
      </c>
      <c r="J36" s="42">
        <v>0.81910000000000005</v>
      </c>
      <c r="K36" s="42">
        <v>0.8236</v>
      </c>
      <c r="L36" s="42">
        <v>0.79849999999999999</v>
      </c>
      <c r="M36" s="42">
        <v>0.77349999999999997</v>
      </c>
      <c r="N36" s="42">
        <v>0.79359999999999997</v>
      </c>
      <c r="O36" s="42">
        <v>0.80830000000000002</v>
      </c>
      <c r="P36" s="44">
        <v>0.82379999999999998</v>
      </c>
      <c r="Q36" s="42">
        <v>0.8387</v>
      </c>
      <c r="R36" s="42">
        <v>0.8538</v>
      </c>
      <c r="S36" s="42">
        <v>0.86929999999999996</v>
      </c>
      <c r="T36" s="42">
        <v>0.88500000000000001</v>
      </c>
      <c r="U36" s="42">
        <v>0.90100000000000002</v>
      </c>
      <c r="V36" s="42">
        <v>0.91720000000000002</v>
      </c>
      <c r="W36" s="42">
        <v>0.93379999999999996</v>
      </c>
      <c r="X36" s="42">
        <v>0.95069999999999999</v>
      </c>
      <c r="Y36" s="42">
        <v>0.96779999999999999</v>
      </c>
      <c r="Z36" s="42">
        <v>0.98529999999999995</v>
      </c>
      <c r="AA36" s="42">
        <v>1.0031000000000001</v>
      </c>
      <c r="AB36" s="43">
        <v>1.0212000000000001</v>
      </c>
    </row>
    <row r="37" spans="2:28" x14ac:dyDescent="0.3">
      <c r="B37" s="22" t="s">
        <v>215</v>
      </c>
      <c r="C37" s="45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45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34">
        <v>0</v>
      </c>
    </row>
    <row r="38" spans="2:28" x14ac:dyDescent="0.3">
      <c r="B38" s="22" t="s">
        <v>216</v>
      </c>
      <c r="C38" s="45">
        <v>2.3599999999999999E-2</v>
      </c>
      <c r="D38" s="13">
        <v>2.6499999999999999E-2</v>
      </c>
      <c r="E38" s="13">
        <v>2.9399999999999999E-2</v>
      </c>
      <c r="F38" s="13">
        <v>2.93E-2</v>
      </c>
      <c r="G38" s="13">
        <v>2.9100000000000001E-2</v>
      </c>
      <c r="H38" s="13">
        <v>2.9100000000000001E-2</v>
      </c>
      <c r="I38" s="13">
        <v>2.9100000000000001E-2</v>
      </c>
      <c r="J38" s="13">
        <v>2.93E-2</v>
      </c>
      <c r="K38" s="13">
        <v>2.9399999999999999E-2</v>
      </c>
      <c r="L38" s="13">
        <v>2.8500000000000001E-2</v>
      </c>
      <c r="M38" s="13">
        <v>2.76E-2</v>
      </c>
      <c r="N38" s="13">
        <v>2.8299999999999999E-2</v>
      </c>
      <c r="O38" s="13">
        <v>2.8899999999999999E-2</v>
      </c>
      <c r="P38" s="45">
        <v>2.9421997533288682E-2</v>
      </c>
      <c r="Q38" s="13">
        <v>2.9953423489579425E-2</v>
      </c>
      <c r="R38" s="13">
        <v>3.0494448166918934E-2</v>
      </c>
      <c r="S38" s="13">
        <v>3.1045244939311021E-2</v>
      </c>
      <c r="T38" s="13">
        <v>3.1605990312275151E-2</v>
      </c>
      <c r="U38" s="13">
        <v>3.2176863979408499E-2</v>
      </c>
      <c r="V38" s="13">
        <v>3.275804887996963E-2</v>
      </c>
      <c r="W38" s="13">
        <v>3.3349731257502305E-2</v>
      </c>
      <c r="X38" s="13">
        <v>3.3952100719518111E-2</v>
      </c>
      <c r="Y38" s="13">
        <v>3.4565350298257122E-2</v>
      </c>
      <c r="Z38" s="13">
        <v>3.518967651254603E-2</v>
      </c>
      <c r="AA38" s="13">
        <v>3.5825279430773564E-2</v>
      </c>
      <c r="AB38" s="34">
        <v>3.6472362735003379E-2</v>
      </c>
    </row>
    <row r="39" spans="2:28" ht="15" thickBot="1" x14ac:dyDescent="0.35">
      <c r="B39" s="25" t="s">
        <v>217</v>
      </c>
      <c r="C39" s="46">
        <v>0</v>
      </c>
      <c r="D39" s="32">
        <v>0</v>
      </c>
      <c r="E39" s="32">
        <v>0</v>
      </c>
      <c r="F39" s="32">
        <v>0</v>
      </c>
      <c r="G39" s="32">
        <v>0</v>
      </c>
      <c r="H39" s="32">
        <v>0</v>
      </c>
      <c r="I39" s="32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46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2">
        <v>0</v>
      </c>
      <c r="X39" s="32">
        <v>0</v>
      </c>
      <c r="Y39" s="32">
        <v>0</v>
      </c>
      <c r="Z39" s="32">
        <v>0</v>
      </c>
      <c r="AA39" s="32">
        <v>0</v>
      </c>
      <c r="AB39" s="33">
        <v>0</v>
      </c>
    </row>
    <row r="40" spans="2:28" x14ac:dyDescent="0.3">
      <c r="B40" s="18" t="s">
        <v>149</v>
      </c>
      <c r="C40" s="45">
        <v>0.22627374</v>
      </c>
      <c r="D40" s="13">
        <v>0.25781112</v>
      </c>
      <c r="E40" s="13">
        <v>0.29133118000000002</v>
      </c>
      <c r="F40" s="13">
        <v>0.29441590000000001</v>
      </c>
      <c r="G40" s="13">
        <v>0.29753088</v>
      </c>
      <c r="H40" s="13">
        <v>0.30199455000000003</v>
      </c>
      <c r="I40" s="13">
        <v>0.30645252000000001</v>
      </c>
      <c r="J40" s="13">
        <v>0.31273237999999998</v>
      </c>
      <c r="K40" s="13">
        <v>0.31906264000000001</v>
      </c>
      <c r="L40" s="13">
        <v>0.31365080000000001</v>
      </c>
      <c r="M40" s="13">
        <v>0.30823974999999998</v>
      </c>
      <c r="N40" s="13">
        <v>0.31672576000000002</v>
      </c>
      <c r="O40" s="34">
        <v>0.31313542</v>
      </c>
      <c r="P40" s="44">
        <v>0.34418364000000001</v>
      </c>
      <c r="Q40" s="42">
        <v>0.37666017000000002</v>
      </c>
      <c r="R40" s="42">
        <v>0.38190473999999996</v>
      </c>
      <c r="S40" s="42">
        <v>0.40396370999999998</v>
      </c>
      <c r="T40" s="42">
        <v>0.48276750000000002</v>
      </c>
      <c r="U40" s="42">
        <v>0.52203940000000004</v>
      </c>
      <c r="V40" s="42">
        <v>0.56242703999999999</v>
      </c>
      <c r="W40" s="42">
        <v>0.60426197999999998</v>
      </c>
      <c r="X40" s="42">
        <v>0.64828232999999991</v>
      </c>
      <c r="Y40" s="42">
        <v>0.69439649999999997</v>
      </c>
      <c r="Z40" s="42">
        <v>0.74202942999999999</v>
      </c>
      <c r="AA40" s="42">
        <v>0.7920477600000001</v>
      </c>
      <c r="AB40" s="172">
        <v>0.84351120000000002</v>
      </c>
    </row>
    <row r="41" spans="2:28" x14ac:dyDescent="0.3">
      <c r="B41" s="22" t="s">
        <v>157</v>
      </c>
      <c r="C41" s="45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34">
        <v>0</v>
      </c>
      <c r="P41" s="45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34">
        <v>0</v>
      </c>
    </row>
    <row r="42" spans="2:28" x14ac:dyDescent="0.3">
      <c r="B42" s="22" t="s">
        <v>158</v>
      </c>
      <c r="C42" s="45">
        <v>8.0641199999999993E-3</v>
      </c>
      <c r="D42" s="13">
        <v>9.1901999999999991E-3</v>
      </c>
      <c r="E42" s="13">
        <v>1.038702E-2</v>
      </c>
      <c r="F42" s="13">
        <v>1.0518699999999999E-2</v>
      </c>
      <c r="G42" s="13">
        <v>1.0615680000000001E-2</v>
      </c>
      <c r="H42" s="13">
        <v>1.0781550000000001E-2</v>
      </c>
      <c r="I42" s="13">
        <v>1.0947419999999999E-2</v>
      </c>
      <c r="J42" s="13">
        <v>1.1186739999999999E-2</v>
      </c>
      <c r="K42" s="13">
        <v>1.138956E-2</v>
      </c>
      <c r="L42" s="13">
        <v>1.11948E-2</v>
      </c>
      <c r="M42" s="13">
        <v>1.0998600000000001E-2</v>
      </c>
      <c r="N42" s="13">
        <v>1.1294530000000001E-2</v>
      </c>
      <c r="O42" s="34">
        <v>1.119586E-2</v>
      </c>
      <c r="P42" s="45">
        <v>1.2292510569408012E-2</v>
      </c>
      <c r="Q42" s="13">
        <v>1.345208248917012E-2</v>
      </c>
      <c r="R42" s="13">
        <v>1.3640166665062839E-2</v>
      </c>
      <c r="S42" s="13">
        <v>1.4426725323297831E-2</v>
      </c>
      <c r="T42" s="13">
        <v>1.7241067715346094E-2</v>
      </c>
      <c r="U42" s="13">
        <v>1.8643274989669285E-2</v>
      </c>
      <c r="V42" s="13">
        <v>2.0087235573197377E-2</v>
      </c>
      <c r="W42" s="13">
        <v>2.1580611096729742E-2</v>
      </c>
      <c r="X42" s="13">
        <v>2.3151937480639397E-2</v>
      </c>
      <c r="Y42" s="13">
        <v>2.4800638838999484E-2</v>
      </c>
      <c r="Z42" s="13">
        <v>2.6501345381598415E-2</v>
      </c>
      <c r="AA42" s="13">
        <v>2.8287640638538804E-2</v>
      </c>
      <c r="AB42" s="34">
        <v>3.0126171619112789E-2</v>
      </c>
    </row>
    <row r="43" spans="2:28" ht="15" thickBot="1" x14ac:dyDescent="0.35">
      <c r="B43" s="25" t="s">
        <v>159</v>
      </c>
      <c r="C43" s="46">
        <v>0</v>
      </c>
      <c r="D43" s="32">
        <v>0</v>
      </c>
      <c r="E43" s="32">
        <v>0</v>
      </c>
      <c r="F43" s="32">
        <v>0</v>
      </c>
      <c r="G43" s="32">
        <v>0</v>
      </c>
      <c r="H43" s="32">
        <v>0</v>
      </c>
      <c r="I43" s="32">
        <v>0</v>
      </c>
      <c r="J43" s="32">
        <v>0</v>
      </c>
      <c r="K43" s="32">
        <v>0</v>
      </c>
      <c r="L43" s="32">
        <v>0</v>
      </c>
      <c r="M43" s="32">
        <v>0</v>
      </c>
      <c r="N43" s="32">
        <v>0</v>
      </c>
      <c r="O43" s="33">
        <v>0</v>
      </c>
      <c r="P43" s="46">
        <v>0</v>
      </c>
      <c r="Q43" s="32">
        <v>0</v>
      </c>
      <c r="R43" s="32">
        <v>0</v>
      </c>
      <c r="S43" s="32">
        <v>0</v>
      </c>
      <c r="T43" s="32">
        <v>0</v>
      </c>
      <c r="U43" s="32">
        <v>0</v>
      </c>
      <c r="V43" s="32">
        <v>0</v>
      </c>
      <c r="W43" s="32">
        <v>0</v>
      </c>
      <c r="X43" s="32">
        <v>0</v>
      </c>
      <c r="Y43" s="32">
        <v>0</v>
      </c>
      <c r="Z43" s="32">
        <v>0</v>
      </c>
      <c r="AA43" s="32">
        <v>0</v>
      </c>
      <c r="AB43" s="33">
        <v>0</v>
      </c>
    </row>
    <row r="45" spans="2:28" x14ac:dyDescent="0.3">
      <c r="B45" s="1" t="s">
        <v>246</v>
      </c>
    </row>
    <row r="47" spans="2:28" ht="15" thickBot="1" x14ac:dyDescent="0.35">
      <c r="C47" s="53">
        <v>2010</v>
      </c>
      <c r="D47" s="53">
        <v>2011</v>
      </c>
      <c r="E47" s="53">
        <v>2012</v>
      </c>
      <c r="F47" s="53">
        <v>2013</v>
      </c>
      <c r="G47" s="53">
        <v>2014</v>
      </c>
      <c r="H47" s="53">
        <v>2015</v>
      </c>
      <c r="I47" s="53">
        <v>2016</v>
      </c>
      <c r="J47" s="53">
        <v>2017</v>
      </c>
      <c r="K47" s="53">
        <v>2018</v>
      </c>
      <c r="L47" s="53">
        <v>2019</v>
      </c>
      <c r="M47" s="53">
        <v>2020</v>
      </c>
      <c r="N47" s="53">
        <v>2021</v>
      </c>
      <c r="O47" s="53">
        <v>2022</v>
      </c>
      <c r="P47" s="150">
        <v>2023</v>
      </c>
      <c r="Q47" s="150">
        <v>2024</v>
      </c>
      <c r="R47" s="150">
        <v>2025</v>
      </c>
      <c r="S47" s="150">
        <v>2026</v>
      </c>
      <c r="T47" s="150">
        <v>2027</v>
      </c>
      <c r="U47" s="150">
        <v>2028</v>
      </c>
      <c r="V47" s="150">
        <v>2029</v>
      </c>
      <c r="W47" s="150">
        <v>2030</v>
      </c>
      <c r="X47" s="150">
        <v>2031</v>
      </c>
      <c r="Y47" s="150">
        <v>2032</v>
      </c>
      <c r="Z47" s="150">
        <v>2033</v>
      </c>
      <c r="AA47" s="150">
        <v>2034</v>
      </c>
      <c r="AB47" s="150">
        <v>2035</v>
      </c>
    </row>
    <row r="48" spans="2:28" ht="15" thickBot="1" x14ac:dyDescent="0.35">
      <c r="B48" s="29" t="s">
        <v>209</v>
      </c>
      <c r="C48" s="18">
        <v>8.5999999999999993E-2</v>
      </c>
      <c r="D48" s="19">
        <v>8.7400000000000005E-2</v>
      </c>
      <c r="E48" s="19">
        <v>8.7999999999999995E-2</v>
      </c>
      <c r="F48" s="19">
        <v>8.9599999999999999E-2</v>
      </c>
      <c r="G48" s="19">
        <v>9.1200000000000003E-2</v>
      </c>
      <c r="H48" s="19">
        <v>9.0300000000000005E-2</v>
      </c>
      <c r="I48" s="19">
        <v>8.9399999999999993E-2</v>
      </c>
      <c r="J48" s="19">
        <v>8.9599999999999999E-2</v>
      </c>
      <c r="K48" s="19">
        <v>8.9700000000000002E-2</v>
      </c>
      <c r="L48" s="19">
        <v>9.3600000000000003E-2</v>
      </c>
      <c r="M48" s="19">
        <v>9.7600000000000006E-2</v>
      </c>
      <c r="N48" s="19">
        <v>9.7000000000000003E-2</v>
      </c>
      <c r="O48" s="19">
        <v>9.2499999999999999E-2</v>
      </c>
      <c r="P48" s="44">
        <v>9.98E-2</v>
      </c>
      <c r="Q48" s="42">
        <v>0.1072</v>
      </c>
      <c r="R48" s="42">
        <v>0.10680000000000001</v>
      </c>
      <c r="S48" s="42">
        <v>0.111</v>
      </c>
      <c r="T48" s="42">
        <v>0.13020000000000001</v>
      </c>
      <c r="U48" s="42">
        <v>0.13830000000000001</v>
      </c>
      <c r="V48" s="42">
        <v>0.1464</v>
      </c>
      <c r="W48" s="42">
        <v>0.1545</v>
      </c>
      <c r="X48" s="42">
        <v>0.1628</v>
      </c>
      <c r="Y48" s="42">
        <v>0.17130000000000001</v>
      </c>
      <c r="Z48" s="42">
        <v>0.17979999999999999</v>
      </c>
      <c r="AA48" s="42">
        <v>0.1885</v>
      </c>
      <c r="AB48" s="43">
        <v>0.19719999999999999</v>
      </c>
    </row>
    <row r="49" spans="2:28" x14ac:dyDescent="0.3">
      <c r="B49" s="18" t="s">
        <v>210</v>
      </c>
      <c r="C49" s="44">
        <v>2.0821000000000001</v>
      </c>
      <c r="D49" s="42">
        <v>2.0821000000000001</v>
      </c>
      <c r="E49" s="42">
        <v>2.0821000000000001</v>
      </c>
      <c r="F49" s="42">
        <v>2.0821000000000001</v>
      </c>
      <c r="G49" s="42">
        <v>2.0821000000000001</v>
      </c>
      <c r="H49" s="42">
        <v>2.0821000000000001</v>
      </c>
      <c r="I49" s="42">
        <v>2.0821000000000001</v>
      </c>
      <c r="J49" s="42">
        <v>2.0821000000000001</v>
      </c>
      <c r="K49" s="42">
        <v>2.0821000000000001</v>
      </c>
      <c r="L49" s="42">
        <v>2.0821000000000001</v>
      </c>
      <c r="M49" s="42">
        <v>2.0821000000000001</v>
      </c>
      <c r="N49" s="42">
        <v>2.0821000000000001</v>
      </c>
      <c r="O49" s="42">
        <v>2.0821000000000001</v>
      </c>
      <c r="P49" s="44">
        <v>2.0935000000000001</v>
      </c>
      <c r="Q49" s="42">
        <v>2.0935000000000001</v>
      </c>
      <c r="R49" s="42">
        <v>2.0935000000000001</v>
      </c>
      <c r="S49" s="42">
        <v>2.0935000000000001</v>
      </c>
      <c r="T49" s="42">
        <v>2.0935000000000001</v>
      </c>
      <c r="U49" s="42">
        <v>2.0935000000000001</v>
      </c>
      <c r="V49" s="42">
        <v>2.0935000000000001</v>
      </c>
      <c r="W49" s="42">
        <v>2.0935000000000001</v>
      </c>
      <c r="X49" s="42">
        <v>2.0935000000000001</v>
      </c>
      <c r="Y49" s="42">
        <v>2.0935000000000001</v>
      </c>
      <c r="Z49" s="42">
        <v>2.0935000000000001</v>
      </c>
      <c r="AA49" s="42">
        <v>2.0935000000000001</v>
      </c>
      <c r="AB49" s="43">
        <v>2.0935000000000001</v>
      </c>
    </row>
    <row r="50" spans="2:28" x14ac:dyDescent="0.3">
      <c r="B50" s="22" t="s">
        <v>218</v>
      </c>
      <c r="C50" s="45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45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34">
        <v>0</v>
      </c>
    </row>
    <row r="51" spans="2:28" x14ac:dyDescent="0.3">
      <c r="B51" s="22" t="s">
        <v>219</v>
      </c>
      <c r="C51" s="45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45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34">
        <v>0</v>
      </c>
    </row>
    <row r="52" spans="2:28" ht="15" thickBot="1" x14ac:dyDescent="0.35">
      <c r="B52" s="25" t="s">
        <v>220</v>
      </c>
      <c r="C52" s="46">
        <v>7.9000000000000008E-3</v>
      </c>
      <c r="D52" s="32">
        <v>7.9000000000000008E-3</v>
      </c>
      <c r="E52" s="32">
        <v>7.9000000000000008E-3</v>
      </c>
      <c r="F52" s="32">
        <v>7.9000000000000008E-3</v>
      </c>
      <c r="G52" s="32">
        <v>7.9000000000000008E-3</v>
      </c>
      <c r="H52" s="32">
        <v>7.9000000000000008E-3</v>
      </c>
      <c r="I52" s="32">
        <v>7.9000000000000008E-3</v>
      </c>
      <c r="J52" s="32">
        <v>7.9000000000000008E-3</v>
      </c>
      <c r="K52" s="32">
        <v>7.9000000000000008E-3</v>
      </c>
      <c r="L52" s="32">
        <v>7.9000000000000008E-3</v>
      </c>
      <c r="M52" s="32">
        <v>7.9000000000000008E-3</v>
      </c>
      <c r="N52" s="32">
        <v>7.9000000000000008E-3</v>
      </c>
      <c r="O52" s="32">
        <v>7.9000000000000008E-3</v>
      </c>
      <c r="P52" s="46">
        <v>7.9000000000000008E-3</v>
      </c>
      <c r="Q52" s="32">
        <v>7.9000000000000008E-3</v>
      </c>
      <c r="R52" s="32">
        <v>7.9000000000000008E-3</v>
      </c>
      <c r="S52" s="32">
        <v>7.9000000000000008E-3</v>
      </c>
      <c r="T52" s="32">
        <v>7.9000000000000008E-3</v>
      </c>
      <c r="U52" s="32">
        <v>7.9000000000000008E-3</v>
      </c>
      <c r="V52" s="32">
        <v>7.9000000000000008E-3</v>
      </c>
      <c r="W52" s="32">
        <v>7.9000000000000008E-3</v>
      </c>
      <c r="X52" s="32">
        <v>7.9000000000000008E-3</v>
      </c>
      <c r="Y52" s="32">
        <v>7.9000000000000008E-3</v>
      </c>
      <c r="Z52" s="32">
        <v>7.9000000000000008E-3</v>
      </c>
      <c r="AA52" s="32">
        <v>7.9000000000000008E-3</v>
      </c>
      <c r="AB52" s="33">
        <v>7.9000000000000008E-3</v>
      </c>
    </row>
    <row r="53" spans="2:28" x14ac:dyDescent="0.3">
      <c r="B53" s="18" t="s">
        <v>149</v>
      </c>
      <c r="C53" s="45">
        <v>0.17906059999999999</v>
      </c>
      <c r="D53" s="13">
        <v>0.18197554000000002</v>
      </c>
      <c r="E53" s="13">
        <v>0.18322479999999999</v>
      </c>
      <c r="F53" s="13">
        <v>0.18655616</v>
      </c>
      <c r="G53" s="13">
        <v>0.18988752</v>
      </c>
      <c r="H53" s="13">
        <v>0.18801363000000001</v>
      </c>
      <c r="I53" s="13">
        <v>0.18613974</v>
      </c>
      <c r="J53" s="13">
        <v>0.18655616</v>
      </c>
      <c r="K53" s="13">
        <v>0.18676437000000001</v>
      </c>
      <c r="L53" s="13">
        <v>0.19488456000000001</v>
      </c>
      <c r="M53" s="13">
        <v>0.20321296000000003</v>
      </c>
      <c r="N53" s="13">
        <v>0.20196370000000002</v>
      </c>
      <c r="O53" s="13">
        <v>0.19259424999999999</v>
      </c>
      <c r="P53" s="44">
        <v>0.20893130000000001</v>
      </c>
      <c r="Q53" s="42">
        <v>0.22442320000000002</v>
      </c>
      <c r="R53" s="42">
        <v>0.22358580000000003</v>
      </c>
      <c r="S53" s="42">
        <v>0.23237850000000002</v>
      </c>
      <c r="T53" s="42">
        <v>0.27257370000000003</v>
      </c>
      <c r="U53" s="42">
        <v>0.28953105000000001</v>
      </c>
      <c r="V53" s="42">
        <v>0.30648840000000005</v>
      </c>
      <c r="W53" s="42">
        <v>0.32344575000000003</v>
      </c>
      <c r="X53" s="42">
        <v>0.34082180000000001</v>
      </c>
      <c r="Y53" s="42">
        <v>0.35861655000000003</v>
      </c>
      <c r="Z53" s="42">
        <v>0.3764113</v>
      </c>
      <c r="AA53" s="42">
        <v>0.39462475000000002</v>
      </c>
      <c r="AB53" s="43">
        <v>0.41283819999999999</v>
      </c>
    </row>
    <row r="54" spans="2:28" x14ac:dyDescent="0.3">
      <c r="B54" s="22" t="s">
        <v>157</v>
      </c>
      <c r="C54" s="45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45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34">
        <v>0</v>
      </c>
    </row>
    <row r="55" spans="2:28" x14ac:dyDescent="0.3">
      <c r="B55" s="22" t="s">
        <v>158</v>
      </c>
      <c r="C55" s="45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45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34">
        <v>0</v>
      </c>
    </row>
    <row r="56" spans="2:28" ht="15" thickBot="1" x14ac:dyDescent="0.35">
      <c r="B56" s="25" t="s">
        <v>159</v>
      </c>
      <c r="C56" s="46">
        <v>6.7940000000000003E-4</v>
      </c>
      <c r="D56" s="32">
        <v>6.9046000000000016E-4</v>
      </c>
      <c r="E56" s="32">
        <v>6.9519999999999998E-4</v>
      </c>
      <c r="F56" s="32">
        <v>7.0784000000000005E-4</v>
      </c>
      <c r="G56" s="32">
        <v>7.2048000000000012E-4</v>
      </c>
      <c r="H56" s="32">
        <v>7.1337000000000006E-4</v>
      </c>
      <c r="I56" s="32">
        <v>7.0626E-4</v>
      </c>
      <c r="J56" s="32">
        <v>7.0784000000000005E-4</v>
      </c>
      <c r="K56" s="32">
        <v>7.0863000000000013E-4</v>
      </c>
      <c r="L56" s="32">
        <v>7.3944000000000006E-4</v>
      </c>
      <c r="M56" s="32">
        <v>7.7104000000000007E-4</v>
      </c>
      <c r="N56" s="32">
        <v>7.6630000000000014E-4</v>
      </c>
      <c r="O56" s="32">
        <v>7.3075000000000006E-4</v>
      </c>
      <c r="P56" s="46">
        <v>7.8842000000000007E-4</v>
      </c>
      <c r="Q56" s="32">
        <v>8.4688000000000016E-4</v>
      </c>
      <c r="R56" s="32">
        <v>8.4372000000000017E-4</v>
      </c>
      <c r="S56" s="32">
        <v>8.7690000000000012E-4</v>
      </c>
      <c r="T56" s="32">
        <v>1.0285800000000001E-3</v>
      </c>
      <c r="U56" s="32">
        <v>1.0925700000000002E-3</v>
      </c>
      <c r="V56" s="32">
        <v>1.1565600000000001E-3</v>
      </c>
      <c r="W56" s="32">
        <v>1.2205500000000002E-3</v>
      </c>
      <c r="X56" s="32">
        <v>1.2861200000000002E-3</v>
      </c>
      <c r="Y56" s="32">
        <v>1.3532700000000002E-3</v>
      </c>
      <c r="Z56" s="32">
        <v>1.4204200000000001E-3</v>
      </c>
      <c r="AA56" s="32">
        <v>1.4891500000000001E-3</v>
      </c>
      <c r="AB56" s="33">
        <v>1.55788E-3</v>
      </c>
    </row>
    <row r="59" spans="2:28" x14ac:dyDescent="0.3">
      <c r="B59" t="s">
        <v>247</v>
      </c>
      <c r="C59" s="13">
        <f>C40+C53</f>
        <v>0.40533434000000002</v>
      </c>
      <c r="D59" s="13">
        <f t="shared" ref="D59:AB59" si="2">D40+D53</f>
        <v>0.43978666</v>
      </c>
      <c r="E59" s="13">
        <f t="shared" si="2"/>
        <v>0.47455597999999999</v>
      </c>
      <c r="F59" s="13">
        <f t="shared" si="2"/>
        <v>0.48097206000000003</v>
      </c>
      <c r="G59" s="13">
        <f t="shared" si="2"/>
        <v>0.48741840000000003</v>
      </c>
      <c r="H59" s="13">
        <f t="shared" si="2"/>
        <v>0.49000818000000002</v>
      </c>
      <c r="I59" s="13">
        <f t="shared" si="2"/>
        <v>0.49259226</v>
      </c>
      <c r="J59" s="13">
        <f t="shared" si="2"/>
        <v>0.49928854</v>
      </c>
      <c r="K59" s="13">
        <f t="shared" si="2"/>
        <v>0.50582700999999997</v>
      </c>
      <c r="L59" s="13">
        <f t="shared" si="2"/>
        <v>0.50853535999999999</v>
      </c>
      <c r="M59" s="13">
        <f t="shared" si="2"/>
        <v>0.51145271000000003</v>
      </c>
      <c r="N59" s="13">
        <f t="shared" si="2"/>
        <v>0.51868946000000005</v>
      </c>
      <c r="O59" s="13">
        <f t="shared" si="2"/>
        <v>0.50572967000000002</v>
      </c>
      <c r="P59" s="13">
        <f t="shared" si="2"/>
        <v>0.55311494000000005</v>
      </c>
      <c r="Q59" s="13">
        <f t="shared" si="2"/>
        <v>0.60108337000000001</v>
      </c>
      <c r="R59" s="13">
        <f t="shared" si="2"/>
        <v>0.60549054000000002</v>
      </c>
      <c r="S59" s="13">
        <f t="shared" si="2"/>
        <v>0.63634221000000002</v>
      </c>
      <c r="T59" s="13">
        <f t="shared" si="2"/>
        <v>0.75534120000000005</v>
      </c>
      <c r="U59" s="13">
        <f t="shared" si="2"/>
        <v>0.81157045000000005</v>
      </c>
      <c r="V59" s="13">
        <f t="shared" si="2"/>
        <v>0.86891544000000009</v>
      </c>
      <c r="W59" s="13">
        <f t="shared" si="2"/>
        <v>0.92770773000000006</v>
      </c>
      <c r="X59" s="13">
        <f t="shared" si="2"/>
        <v>0.98910412999999986</v>
      </c>
      <c r="Y59" s="13">
        <f t="shared" si="2"/>
        <v>1.0530130500000001</v>
      </c>
      <c r="Z59" s="13">
        <f t="shared" si="2"/>
        <v>1.1184407300000001</v>
      </c>
      <c r="AA59" s="13">
        <f t="shared" si="2"/>
        <v>1.1866725100000002</v>
      </c>
      <c r="AB59" s="13">
        <f t="shared" si="2"/>
        <v>1.2563493999999999</v>
      </c>
    </row>
    <row r="60" spans="2:28" x14ac:dyDescent="0.3">
      <c r="B60" t="s">
        <v>248</v>
      </c>
      <c r="C60" s="39">
        <f>C40/C59</f>
        <v>0.55823974845062474</v>
      </c>
      <c r="D60" s="39">
        <f t="shared" ref="D60:AB60" si="3">D40/D59</f>
        <v>0.58621859971832713</v>
      </c>
      <c r="E60" s="39">
        <f t="shared" si="3"/>
        <v>0.61390266328537269</v>
      </c>
      <c r="F60" s="39">
        <f t="shared" si="3"/>
        <v>0.61212682499686155</v>
      </c>
      <c r="G60" s="39">
        <f t="shared" si="3"/>
        <v>0.61042192908597614</v>
      </c>
      <c r="H60" s="39">
        <f t="shared" si="3"/>
        <v>0.61630511964106394</v>
      </c>
      <c r="I60" s="39">
        <f t="shared" si="3"/>
        <v>0.62212207719219947</v>
      </c>
      <c r="J60" s="39">
        <f t="shared" si="3"/>
        <v>0.62635601450015255</v>
      </c>
      <c r="K60" s="39">
        <f t="shared" si="3"/>
        <v>0.6307742245713609</v>
      </c>
      <c r="L60" s="39">
        <f t="shared" si="3"/>
        <v>0.61677284348525929</v>
      </c>
      <c r="M60" s="39">
        <f t="shared" si="3"/>
        <v>0.60267497653888658</v>
      </c>
      <c r="N60" s="39">
        <f t="shared" si="3"/>
        <v>0.61062694429919584</v>
      </c>
      <c r="O60" s="39">
        <f t="shared" si="3"/>
        <v>0.61917549745499401</v>
      </c>
      <c r="P60" s="39">
        <f t="shared" si="3"/>
        <v>0.62226422594913089</v>
      </c>
      <c r="Q60" s="39">
        <f t="shared" si="3"/>
        <v>0.62663548652161183</v>
      </c>
      <c r="R60" s="39">
        <f t="shared" si="3"/>
        <v>0.63073609704950961</v>
      </c>
      <c r="S60" s="39">
        <f t="shared" si="3"/>
        <v>0.63482149015385914</v>
      </c>
      <c r="T60" s="39">
        <f t="shared" si="3"/>
        <v>0.63913831259303744</v>
      </c>
      <c r="U60" s="39">
        <f t="shared" si="3"/>
        <v>0.64324594371320443</v>
      </c>
      <c r="V60" s="39">
        <f t="shared" si="3"/>
        <v>0.6472747681868789</v>
      </c>
      <c r="W60" s="39">
        <f t="shared" si="3"/>
        <v>0.65134951500296323</v>
      </c>
      <c r="X60" s="39">
        <f t="shared" si="3"/>
        <v>0.65542374188650898</v>
      </c>
      <c r="Y60" s="39">
        <f t="shared" si="3"/>
        <v>0.6594376964274089</v>
      </c>
      <c r="Z60" s="39">
        <f t="shared" si="3"/>
        <v>0.6634499353398905</v>
      </c>
      <c r="AA60" s="39">
        <f t="shared" si="3"/>
        <v>0.66745269088604742</v>
      </c>
      <c r="AB60" s="39">
        <f t="shared" si="3"/>
        <v>0.67139857749762932</v>
      </c>
    </row>
    <row r="61" spans="2:28" x14ac:dyDescent="0.3">
      <c r="B61" t="s">
        <v>249</v>
      </c>
      <c r="C61" s="39">
        <f>C53/C59</f>
        <v>0.4417602515493752</v>
      </c>
      <c r="D61" s="39">
        <f t="shared" ref="D61:AB61" si="4">D53/D59</f>
        <v>0.41378140028167298</v>
      </c>
      <c r="E61" s="39">
        <f t="shared" si="4"/>
        <v>0.38609733671462743</v>
      </c>
      <c r="F61" s="39">
        <f t="shared" si="4"/>
        <v>0.38787317500313839</v>
      </c>
      <c r="G61" s="39">
        <f t="shared" si="4"/>
        <v>0.38957807091402374</v>
      </c>
      <c r="H61" s="39">
        <f t="shared" si="4"/>
        <v>0.38369488035893606</v>
      </c>
      <c r="I61" s="39">
        <f t="shared" si="4"/>
        <v>0.37787792280780053</v>
      </c>
      <c r="J61" s="39">
        <f t="shared" si="4"/>
        <v>0.37364398549984745</v>
      </c>
      <c r="K61" s="39">
        <f t="shared" si="4"/>
        <v>0.36922577542863916</v>
      </c>
      <c r="L61" s="39">
        <f t="shared" si="4"/>
        <v>0.38322715651474071</v>
      </c>
      <c r="M61" s="39">
        <f t="shared" si="4"/>
        <v>0.39732502346111337</v>
      </c>
      <c r="N61" s="39">
        <f t="shared" si="4"/>
        <v>0.3893730557008041</v>
      </c>
      <c r="O61" s="39">
        <f t="shared" si="4"/>
        <v>0.38082450254500588</v>
      </c>
      <c r="P61" s="39">
        <f t="shared" si="4"/>
        <v>0.37773577405086906</v>
      </c>
      <c r="Q61" s="39">
        <f t="shared" si="4"/>
        <v>0.37336451347838823</v>
      </c>
      <c r="R61" s="39">
        <f t="shared" si="4"/>
        <v>0.36926390295049039</v>
      </c>
      <c r="S61" s="39">
        <f t="shared" si="4"/>
        <v>0.36517850984614081</v>
      </c>
      <c r="T61" s="39">
        <f t="shared" si="4"/>
        <v>0.36086168740696262</v>
      </c>
      <c r="U61" s="39">
        <f t="shared" si="4"/>
        <v>0.35675405628679557</v>
      </c>
      <c r="V61" s="39">
        <f t="shared" si="4"/>
        <v>0.35272523181312099</v>
      </c>
      <c r="W61" s="39">
        <f t="shared" si="4"/>
        <v>0.34865048499703671</v>
      </c>
      <c r="X61" s="39">
        <f t="shared" si="4"/>
        <v>0.34457625811349107</v>
      </c>
      <c r="Y61" s="39">
        <f t="shared" si="4"/>
        <v>0.34056230357259104</v>
      </c>
      <c r="Z61" s="39">
        <f t="shared" si="4"/>
        <v>0.33655006466010939</v>
      </c>
      <c r="AA61" s="39">
        <f t="shared" si="4"/>
        <v>0.33254730911395258</v>
      </c>
      <c r="AB61" s="39">
        <f t="shared" si="4"/>
        <v>0.32860142250237079</v>
      </c>
    </row>
    <row r="62" spans="2:28" x14ac:dyDescent="0.3">
      <c r="B62" t="s">
        <v>250</v>
      </c>
      <c r="C62" s="39">
        <f>C60+C61</f>
        <v>1</v>
      </c>
      <c r="D62" s="39">
        <f t="shared" ref="D62:AB62" si="5">D60+D61</f>
        <v>1</v>
      </c>
      <c r="E62" s="39">
        <f t="shared" si="5"/>
        <v>1</v>
      </c>
      <c r="F62" s="39">
        <f t="shared" si="5"/>
        <v>1</v>
      </c>
      <c r="G62" s="39">
        <f t="shared" si="5"/>
        <v>0.99999999999999989</v>
      </c>
      <c r="H62" s="39">
        <f t="shared" si="5"/>
        <v>1</v>
      </c>
      <c r="I62" s="39">
        <f t="shared" si="5"/>
        <v>1</v>
      </c>
      <c r="J62" s="39">
        <f t="shared" si="5"/>
        <v>1</v>
      </c>
      <c r="K62" s="39">
        <f t="shared" si="5"/>
        <v>1</v>
      </c>
      <c r="L62" s="39">
        <f t="shared" si="5"/>
        <v>1</v>
      </c>
      <c r="M62" s="39">
        <f t="shared" si="5"/>
        <v>1</v>
      </c>
      <c r="N62" s="39">
        <f t="shared" si="5"/>
        <v>1</v>
      </c>
      <c r="O62" s="39">
        <f t="shared" si="5"/>
        <v>0.99999999999999989</v>
      </c>
      <c r="P62" s="39">
        <f t="shared" si="5"/>
        <v>1</v>
      </c>
      <c r="Q62" s="39">
        <f t="shared" si="5"/>
        <v>1</v>
      </c>
      <c r="R62" s="39">
        <f t="shared" si="5"/>
        <v>1</v>
      </c>
      <c r="S62" s="39">
        <f t="shared" si="5"/>
        <v>1</v>
      </c>
      <c r="T62" s="39">
        <f t="shared" si="5"/>
        <v>1</v>
      </c>
      <c r="U62" s="39">
        <f t="shared" si="5"/>
        <v>1</v>
      </c>
      <c r="V62" s="39">
        <f t="shared" si="5"/>
        <v>0.99999999999999989</v>
      </c>
      <c r="W62" s="39">
        <f t="shared" si="5"/>
        <v>1</v>
      </c>
      <c r="X62" s="39">
        <f t="shared" si="5"/>
        <v>1</v>
      </c>
      <c r="Y62" s="39">
        <f t="shared" si="5"/>
        <v>1</v>
      </c>
      <c r="Z62" s="39">
        <f t="shared" si="5"/>
        <v>0.99999999999999989</v>
      </c>
      <c r="AA62" s="39">
        <f t="shared" si="5"/>
        <v>1</v>
      </c>
      <c r="AB62" s="39">
        <f t="shared" si="5"/>
        <v>1</v>
      </c>
    </row>
    <row r="66" spans="2:28" x14ac:dyDescent="0.3">
      <c r="B66" t="s">
        <v>67</v>
      </c>
      <c r="C66">
        <v>2010</v>
      </c>
      <c r="D66">
        <v>2011</v>
      </c>
      <c r="E66">
        <v>2012</v>
      </c>
      <c r="F66">
        <v>2013</v>
      </c>
      <c r="G66">
        <v>2014</v>
      </c>
      <c r="H66">
        <v>2015</v>
      </c>
      <c r="I66">
        <v>2016</v>
      </c>
      <c r="J66">
        <v>2017</v>
      </c>
      <c r="K66">
        <v>2018</v>
      </c>
      <c r="L66">
        <v>2019</v>
      </c>
      <c r="M66">
        <v>2020</v>
      </c>
      <c r="N66">
        <v>2021</v>
      </c>
      <c r="O66">
        <v>2022</v>
      </c>
      <c r="P66">
        <v>2023</v>
      </c>
      <c r="Q66">
        <v>2024</v>
      </c>
      <c r="R66">
        <v>2025</v>
      </c>
      <c r="S66">
        <v>2026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2032</v>
      </c>
      <c r="Z66">
        <v>2033</v>
      </c>
      <c r="AA66">
        <v>2034</v>
      </c>
      <c r="AB66">
        <v>2035</v>
      </c>
    </row>
    <row r="67" spans="2:28" x14ac:dyDescent="0.3">
      <c r="B67" t="s">
        <v>251</v>
      </c>
      <c r="C67" s="152">
        <f>C20*C60</f>
        <v>0</v>
      </c>
      <c r="D67" s="152">
        <f t="shared" ref="D67:AB67" si="6">D20*D60</f>
        <v>0</v>
      </c>
      <c r="E67" s="152">
        <f t="shared" si="6"/>
        <v>0</v>
      </c>
      <c r="F67" s="152">
        <f t="shared" si="6"/>
        <v>0</v>
      </c>
      <c r="G67" s="152">
        <f t="shared" si="6"/>
        <v>0</v>
      </c>
      <c r="H67" s="152">
        <f t="shared" si="6"/>
        <v>0</v>
      </c>
      <c r="I67" s="152">
        <f t="shared" si="6"/>
        <v>0</v>
      </c>
      <c r="J67" s="152">
        <f t="shared" si="6"/>
        <v>0</v>
      </c>
      <c r="K67" s="152">
        <f t="shared" si="6"/>
        <v>0</v>
      </c>
      <c r="L67" s="152">
        <f t="shared" si="6"/>
        <v>0</v>
      </c>
      <c r="M67" s="152">
        <f t="shared" si="6"/>
        <v>0</v>
      </c>
      <c r="N67" s="152">
        <f t="shared" si="6"/>
        <v>0</v>
      </c>
      <c r="O67" s="152">
        <f t="shared" si="6"/>
        <v>0</v>
      </c>
      <c r="P67" s="152">
        <f t="shared" si="6"/>
        <v>0</v>
      </c>
      <c r="Q67" s="152">
        <f t="shared" si="6"/>
        <v>0</v>
      </c>
      <c r="R67" s="152">
        <f t="shared" si="6"/>
        <v>0</v>
      </c>
      <c r="S67" s="152">
        <f t="shared" si="6"/>
        <v>2.3488395135692839</v>
      </c>
      <c r="T67" s="152">
        <f t="shared" si="6"/>
        <v>8.3514072845490261</v>
      </c>
      <c r="U67" s="152">
        <f t="shared" si="6"/>
        <v>14.430150670632889</v>
      </c>
      <c r="V67" s="152">
        <f t="shared" si="6"/>
        <v>20.58333762834275</v>
      </c>
      <c r="W67" s="152">
        <f t="shared" si="6"/>
        <v>26.813888367621988</v>
      </c>
      <c r="X67" s="152">
        <f t="shared" si="6"/>
        <v>33.120746423331589</v>
      </c>
      <c r="Y67" s="152">
        <f t="shared" si="6"/>
        <v>39.500318016001792</v>
      </c>
      <c r="Z67" s="152">
        <f t="shared" si="6"/>
        <v>45.954965521209751</v>
      </c>
      <c r="AA67" s="152">
        <f t="shared" si="6"/>
        <v>52.484029926672854</v>
      </c>
      <c r="AB67" s="152">
        <f t="shared" si="6"/>
        <v>59.083074819791378</v>
      </c>
    </row>
    <row r="68" spans="2:28" x14ac:dyDescent="0.3">
      <c r="B68" t="s">
        <v>252</v>
      </c>
      <c r="C68" s="152">
        <f>C20*C61</f>
        <v>0</v>
      </c>
      <c r="D68" s="152">
        <f t="shared" ref="D68:AB68" si="7">D20*D61</f>
        <v>0</v>
      </c>
      <c r="E68" s="152">
        <f t="shared" si="7"/>
        <v>0</v>
      </c>
      <c r="F68" s="152">
        <f t="shared" si="7"/>
        <v>0</v>
      </c>
      <c r="G68" s="152">
        <f t="shared" si="7"/>
        <v>0</v>
      </c>
      <c r="H68" s="152">
        <f t="shared" si="7"/>
        <v>0</v>
      </c>
      <c r="I68" s="152">
        <f t="shared" si="7"/>
        <v>0</v>
      </c>
      <c r="J68" s="152">
        <f t="shared" si="7"/>
        <v>0</v>
      </c>
      <c r="K68" s="152">
        <f t="shared" si="7"/>
        <v>0</v>
      </c>
      <c r="L68" s="152">
        <f t="shared" si="7"/>
        <v>0</v>
      </c>
      <c r="M68" s="152">
        <f t="shared" si="7"/>
        <v>0</v>
      </c>
      <c r="N68" s="152">
        <f t="shared" si="7"/>
        <v>0</v>
      </c>
      <c r="O68" s="152">
        <f t="shared" si="7"/>
        <v>0</v>
      </c>
      <c r="P68" s="152">
        <f t="shared" si="7"/>
        <v>0</v>
      </c>
      <c r="Q68" s="152">
        <f t="shared" si="7"/>
        <v>0</v>
      </c>
      <c r="R68" s="152">
        <f t="shared" si="7"/>
        <v>0</v>
      </c>
      <c r="S68" s="152">
        <f t="shared" si="7"/>
        <v>1.3511604864307241</v>
      </c>
      <c r="T68" s="152">
        <f t="shared" si="7"/>
        <v>4.7152593821176465</v>
      </c>
      <c r="U68" s="152">
        <f t="shared" si="7"/>
        <v>8.0031826627004481</v>
      </c>
      <c r="V68" s="152">
        <f t="shared" si="7"/>
        <v>11.216662371657248</v>
      </c>
      <c r="W68" s="152">
        <f t="shared" si="7"/>
        <v>14.352778299044679</v>
      </c>
      <c r="X68" s="152">
        <f t="shared" si="7"/>
        <v>17.41258691000175</v>
      </c>
      <c r="Y68" s="152">
        <f t="shared" si="7"/>
        <v>20.399681983998203</v>
      </c>
      <c r="Z68" s="152">
        <f t="shared" si="7"/>
        <v>23.311701145456912</v>
      </c>
      <c r="AA68" s="152">
        <f t="shared" si="7"/>
        <v>26.149303406660469</v>
      </c>
      <c r="AB68" s="152">
        <f t="shared" si="7"/>
        <v>28.916925180208629</v>
      </c>
    </row>
    <row r="69" spans="2:28" x14ac:dyDescent="0.3">
      <c r="B69" t="s">
        <v>253</v>
      </c>
      <c r="C69" s="152">
        <f>C67+C68</f>
        <v>0</v>
      </c>
      <c r="D69" s="152">
        <f t="shared" ref="D69:AB69" si="8">D67+D68</f>
        <v>0</v>
      </c>
      <c r="E69" s="152">
        <f t="shared" si="8"/>
        <v>0</v>
      </c>
      <c r="F69" s="152">
        <f t="shared" si="8"/>
        <v>0</v>
      </c>
      <c r="G69" s="152">
        <f t="shared" si="8"/>
        <v>0</v>
      </c>
      <c r="H69" s="152">
        <f t="shared" si="8"/>
        <v>0</v>
      </c>
      <c r="I69" s="152">
        <f t="shared" si="8"/>
        <v>0</v>
      </c>
      <c r="J69" s="152">
        <f t="shared" si="8"/>
        <v>0</v>
      </c>
      <c r="K69" s="152">
        <f t="shared" si="8"/>
        <v>0</v>
      </c>
      <c r="L69" s="152">
        <f t="shared" si="8"/>
        <v>0</v>
      </c>
      <c r="M69" s="152">
        <f t="shared" si="8"/>
        <v>0</v>
      </c>
      <c r="N69" s="152">
        <f t="shared" si="8"/>
        <v>0</v>
      </c>
      <c r="O69" s="152">
        <f t="shared" si="8"/>
        <v>0</v>
      </c>
      <c r="P69" s="152">
        <f t="shared" si="8"/>
        <v>0</v>
      </c>
      <c r="Q69" s="152">
        <f t="shared" si="8"/>
        <v>0</v>
      </c>
      <c r="R69" s="152">
        <f t="shared" si="8"/>
        <v>0</v>
      </c>
      <c r="S69" s="152">
        <f t="shared" si="8"/>
        <v>3.7000000000000082</v>
      </c>
      <c r="T69" s="152">
        <f t="shared" si="8"/>
        <v>13.066666666666674</v>
      </c>
      <c r="U69" s="152">
        <f t="shared" si="8"/>
        <v>22.433333333333337</v>
      </c>
      <c r="V69" s="152">
        <f t="shared" si="8"/>
        <v>31.799999999999997</v>
      </c>
      <c r="W69" s="152">
        <f t="shared" si="8"/>
        <v>41.166666666666671</v>
      </c>
      <c r="X69" s="152">
        <f t="shared" si="8"/>
        <v>50.533333333333339</v>
      </c>
      <c r="Y69" s="152">
        <f t="shared" si="8"/>
        <v>59.899999999999991</v>
      </c>
      <c r="Z69" s="152">
        <f t="shared" si="8"/>
        <v>69.266666666666666</v>
      </c>
      <c r="AA69" s="152">
        <f t="shared" si="8"/>
        <v>78.633333333333326</v>
      </c>
      <c r="AB69" s="152">
        <f t="shared" si="8"/>
        <v>88</v>
      </c>
    </row>
    <row r="71" spans="2:28" x14ac:dyDescent="0.3">
      <c r="B71" t="s">
        <v>68</v>
      </c>
      <c r="C71">
        <v>2010</v>
      </c>
      <c r="D71">
        <v>2011</v>
      </c>
      <c r="E71">
        <v>2012</v>
      </c>
      <c r="F71">
        <v>2013</v>
      </c>
      <c r="G71">
        <v>2014</v>
      </c>
      <c r="H71">
        <v>2015</v>
      </c>
      <c r="I71">
        <v>2016</v>
      </c>
      <c r="J71">
        <v>2017</v>
      </c>
      <c r="K71">
        <v>2018</v>
      </c>
      <c r="L71">
        <v>2019</v>
      </c>
      <c r="M71">
        <v>2020</v>
      </c>
      <c r="N71">
        <v>2021</v>
      </c>
      <c r="O71">
        <v>2022</v>
      </c>
      <c r="P71">
        <v>2023</v>
      </c>
      <c r="Q71">
        <v>2024</v>
      </c>
      <c r="R71">
        <v>2025</v>
      </c>
      <c r="S71">
        <v>2026</v>
      </c>
      <c r="T71">
        <v>2027</v>
      </c>
      <c r="U71">
        <v>2028</v>
      </c>
      <c r="V71">
        <v>2029</v>
      </c>
      <c r="W71">
        <v>2030</v>
      </c>
      <c r="X71">
        <v>2031</v>
      </c>
      <c r="Y71">
        <v>2032</v>
      </c>
      <c r="Z71">
        <v>2033</v>
      </c>
      <c r="AA71">
        <v>2034</v>
      </c>
      <c r="AB71">
        <v>2035</v>
      </c>
    </row>
    <row r="72" spans="2:28" x14ac:dyDescent="0.3">
      <c r="B72" t="s">
        <v>251</v>
      </c>
      <c r="C72" s="171">
        <f>C21*C60</f>
        <v>0</v>
      </c>
      <c r="D72" s="171">
        <f t="shared" ref="D72:AB72" si="9">D21*D60</f>
        <v>0</v>
      </c>
      <c r="E72" s="171">
        <f t="shared" si="9"/>
        <v>0</v>
      </c>
      <c r="F72" s="171">
        <f t="shared" si="9"/>
        <v>0</v>
      </c>
      <c r="G72" s="171">
        <f t="shared" si="9"/>
        <v>0</v>
      </c>
      <c r="H72" s="171">
        <f t="shared" si="9"/>
        <v>0</v>
      </c>
      <c r="I72" s="171">
        <f t="shared" si="9"/>
        <v>0</v>
      </c>
      <c r="J72" s="171">
        <f t="shared" si="9"/>
        <v>0</v>
      </c>
      <c r="K72" s="171">
        <f t="shared" si="9"/>
        <v>0</v>
      </c>
      <c r="L72" s="171">
        <f t="shared" si="9"/>
        <v>0</v>
      </c>
      <c r="M72" s="171">
        <f t="shared" si="9"/>
        <v>0</v>
      </c>
      <c r="N72" s="171">
        <f t="shared" si="9"/>
        <v>0</v>
      </c>
      <c r="O72" s="171">
        <f t="shared" si="9"/>
        <v>0</v>
      </c>
      <c r="P72" s="171">
        <f t="shared" si="9"/>
        <v>0</v>
      </c>
      <c r="Q72" s="171">
        <f t="shared" si="9"/>
        <v>0</v>
      </c>
      <c r="R72" s="171">
        <f t="shared" si="9"/>
        <v>0</v>
      </c>
      <c r="S72" s="171">
        <f t="shared" si="9"/>
        <v>2.3488395135692839</v>
      </c>
      <c r="T72" s="171">
        <f t="shared" si="9"/>
        <v>8.3514072845490261</v>
      </c>
      <c r="U72" s="171">
        <f t="shared" si="9"/>
        <v>14.430150670632889</v>
      </c>
      <c r="V72" s="171">
        <f t="shared" si="9"/>
        <v>20.58333762834275</v>
      </c>
      <c r="W72" s="171">
        <f t="shared" si="9"/>
        <v>26.813888367621988</v>
      </c>
      <c r="X72" s="171">
        <f t="shared" si="9"/>
        <v>33.120746423331589</v>
      </c>
      <c r="Y72" s="171">
        <f t="shared" si="9"/>
        <v>39.500318016001792</v>
      </c>
      <c r="Z72" s="171">
        <f t="shared" si="9"/>
        <v>45.954965521209751</v>
      </c>
      <c r="AA72" s="171">
        <f t="shared" si="9"/>
        <v>72.507610653254275</v>
      </c>
      <c r="AB72" s="171">
        <f t="shared" si="9"/>
        <v>99.366989469649141</v>
      </c>
    </row>
    <row r="73" spans="2:28" x14ac:dyDescent="0.3">
      <c r="B73" t="s">
        <v>252</v>
      </c>
      <c r="C73" s="171">
        <f>C21*C61</f>
        <v>0</v>
      </c>
      <c r="D73" s="171">
        <f t="shared" ref="D73:AB73" si="10">D21*D61</f>
        <v>0</v>
      </c>
      <c r="E73" s="171">
        <f t="shared" si="10"/>
        <v>0</v>
      </c>
      <c r="F73" s="171">
        <f t="shared" si="10"/>
        <v>0</v>
      </c>
      <c r="G73" s="171">
        <f t="shared" si="10"/>
        <v>0</v>
      </c>
      <c r="H73" s="171">
        <f t="shared" si="10"/>
        <v>0</v>
      </c>
      <c r="I73" s="171">
        <f t="shared" si="10"/>
        <v>0</v>
      </c>
      <c r="J73" s="171">
        <f t="shared" si="10"/>
        <v>0</v>
      </c>
      <c r="K73" s="171">
        <f t="shared" si="10"/>
        <v>0</v>
      </c>
      <c r="L73" s="171">
        <f t="shared" si="10"/>
        <v>0</v>
      </c>
      <c r="M73" s="171">
        <f t="shared" si="10"/>
        <v>0</v>
      </c>
      <c r="N73" s="171">
        <f t="shared" si="10"/>
        <v>0</v>
      </c>
      <c r="O73" s="171">
        <f t="shared" si="10"/>
        <v>0</v>
      </c>
      <c r="P73" s="171">
        <f t="shared" si="10"/>
        <v>0</v>
      </c>
      <c r="Q73" s="171">
        <f t="shared" si="10"/>
        <v>0</v>
      </c>
      <c r="R73" s="171">
        <f t="shared" si="10"/>
        <v>0</v>
      </c>
      <c r="S73" s="171">
        <f t="shared" si="10"/>
        <v>1.3511604864307241</v>
      </c>
      <c r="T73" s="171">
        <f t="shared" si="10"/>
        <v>4.7152593821176465</v>
      </c>
      <c r="U73" s="171">
        <f t="shared" si="10"/>
        <v>8.0031826627004481</v>
      </c>
      <c r="V73" s="171">
        <f t="shared" si="10"/>
        <v>11.216662371657248</v>
      </c>
      <c r="W73" s="171">
        <f t="shared" si="10"/>
        <v>14.352778299044679</v>
      </c>
      <c r="X73" s="171">
        <f t="shared" si="10"/>
        <v>17.41258691000175</v>
      </c>
      <c r="Y73" s="171">
        <f t="shared" si="10"/>
        <v>20.399681983998203</v>
      </c>
      <c r="Z73" s="171">
        <f t="shared" si="10"/>
        <v>23.311701145456912</v>
      </c>
      <c r="AA73" s="171">
        <f t="shared" si="10"/>
        <v>36.125722680079043</v>
      </c>
      <c r="AB73" s="171">
        <f t="shared" si="10"/>
        <v>48.633010530350873</v>
      </c>
    </row>
    <row r="74" spans="2:28" x14ac:dyDescent="0.3">
      <c r="B74" t="s">
        <v>253</v>
      </c>
      <c r="C74" s="152">
        <f>C72+C73</f>
        <v>0</v>
      </c>
      <c r="D74" s="152">
        <f t="shared" ref="D74:AB74" si="11">D72+D73</f>
        <v>0</v>
      </c>
      <c r="E74" s="152">
        <f t="shared" si="11"/>
        <v>0</v>
      </c>
      <c r="F74" s="152">
        <f t="shared" si="11"/>
        <v>0</v>
      </c>
      <c r="G74" s="152">
        <f t="shared" si="11"/>
        <v>0</v>
      </c>
      <c r="H74" s="152">
        <f t="shared" si="11"/>
        <v>0</v>
      </c>
      <c r="I74" s="152">
        <f t="shared" si="11"/>
        <v>0</v>
      </c>
      <c r="J74" s="152">
        <f t="shared" si="11"/>
        <v>0</v>
      </c>
      <c r="K74" s="152">
        <f t="shared" si="11"/>
        <v>0</v>
      </c>
      <c r="L74" s="152">
        <f t="shared" si="11"/>
        <v>0</v>
      </c>
      <c r="M74" s="152">
        <f t="shared" si="11"/>
        <v>0</v>
      </c>
      <c r="N74" s="152">
        <f t="shared" si="11"/>
        <v>0</v>
      </c>
      <c r="O74" s="152">
        <f t="shared" si="11"/>
        <v>0</v>
      </c>
      <c r="P74" s="152">
        <f t="shared" si="11"/>
        <v>0</v>
      </c>
      <c r="Q74" s="152">
        <f t="shared" si="11"/>
        <v>0</v>
      </c>
      <c r="R74" s="152">
        <f t="shared" si="11"/>
        <v>0</v>
      </c>
      <c r="S74" s="152">
        <f t="shared" si="11"/>
        <v>3.7000000000000082</v>
      </c>
      <c r="T74" s="152">
        <f t="shared" si="11"/>
        <v>13.066666666666674</v>
      </c>
      <c r="U74" s="152">
        <f t="shared" si="11"/>
        <v>22.433333333333337</v>
      </c>
      <c r="V74" s="152">
        <f t="shared" si="11"/>
        <v>31.799999999999997</v>
      </c>
      <c r="W74" s="152">
        <f t="shared" si="11"/>
        <v>41.166666666666671</v>
      </c>
      <c r="X74" s="152">
        <f t="shared" si="11"/>
        <v>50.533333333333339</v>
      </c>
      <c r="Y74" s="152">
        <f t="shared" si="11"/>
        <v>59.899999999999991</v>
      </c>
      <c r="Z74" s="152">
        <f t="shared" si="11"/>
        <v>69.266666666666666</v>
      </c>
      <c r="AA74" s="152">
        <f t="shared" si="11"/>
        <v>108.63333333333333</v>
      </c>
      <c r="AB74" s="152">
        <f t="shared" si="11"/>
        <v>148</v>
      </c>
    </row>
    <row r="78" spans="2:28" x14ac:dyDescent="0.3">
      <c r="B78" s="1" t="s">
        <v>254</v>
      </c>
    </row>
    <row r="80" spans="2:28" ht="15" thickBot="1" x14ac:dyDescent="0.35">
      <c r="C80" s="53">
        <v>2010</v>
      </c>
      <c r="D80" s="53">
        <v>2011</v>
      </c>
      <c r="E80" s="53">
        <v>2012</v>
      </c>
      <c r="F80" s="53">
        <v>2013</v>
      </c>
      <c r="G80" s="53">
        <v>2014</v>
      </c>
      <c r="H80" s="53">
        <v>2015</v>
      </c>
      <c r="I80" s="53">
        <v>2016</v>
      </c>
      <c r="J80" s="53">
        <v>2017</v>
      </c>
      <c r="K80" s="53">
        <v>2018</v>
      </c>
      <c r="L80" s="53">
        <v>2019</v>
      </c>
      <c r="M80" s="53">
        <v>2020</v>
      </c>
      <c r="N80" s="53">
        <v>2021</v>
      </c>
      <c r="O80" s="53">
        <v>2022</v>
      </c>
      <c r="P80" s="150">
        <v>2023</v>
      </c>
      <c r="Q80" s="150">
        <v>2024</v>
      </c>
      <c r="R80" s="150">
        <v>2025</v>
      </c>
      <c r="S80" s="150">
        <v>2026</v>
      </c>
      <c r="T80" s="150">
        <v>2027</v>
      </c>
      <c r="U80" s="150">
        <v>2028</v>
      </c>
      <c r="V80" s="150">
        <v>2029</v>
      </c>
      <c r="W80" s="150">
        <v>2030</v>
      </c>
      <c r="X80" s="150">
        <v>2031</v>
      </c>
      <c r="Y80" s="150">
        <v>2032</v>
      </c>
      <c r="Z80" s="150">
        <v>2033</v>
      </c>
      <c r="AA80" s="150">
        <v>2034</v>
      </c>
      <c r="AB80" s="150">
        <v>2035</v>
      </c>
    </row>
    <row r="81" spans="2:28" ht="15" thickBot="1" x14ac:dyDescent="0.35">
      <c r="B81" s="29" t="s">
        <v>204</v>
      </c>
      <c r="C81" s="29">
        <f>ROUND(C86/C82,4)</f>
        <v>0.3417</v>
      </c>
      <c r="D81" s="30">
        <f t="shared" ref="D81:AB81" si="12">ROUND(D86/D82,4)</f>
        <v>0.3468</v>
      </c>
      <c r="E81" s="30">
        <f t="shared" si="12"/>
        <v>0.3533</v>
      </c>
      <c r="F81" s="30">
        <f t="shared" si="12"/>
        <v>0.35899999999999999</v>
      </c>
      <c r="G81" s="30">
        <f t="shared" si="12"/>
        <v>0.36480000000000001</v>
      </c>
      <c r="H81" s="30">
        <f t="shared" si="12"/>
        <v>0.3705</v>
      </c>
      <c r="I81" s="30">
        <f t="shared" si="12"/>
        <v>0.37619999999999998</v>
      </c>
      <c r="J81" s="30">
        <f t="shared" si="12"/>
        <v>0.38179999999999997</v>
      </c>
      <c r="K81" s="30">
        <f t="shared" si="12"/>
        <v>0.38740000000000002</v>
      </c>
      <c r="L81" s="30">
        <f t="shared" si="12"/>
        <v>0.39279999999999998</v>
      </c>
      <c r="M81" s="30">
        <f t="shared" si="12"/>
        <v>0.39850000000000002</v>
      </c>
      <c r="N81" s="30">
        <f t="shared" si="12"/>
        <v>0.39910000000000001</v>
      </c>
      <c r="O81" s="30">
        <f t="shared" si="12"/>
        <v>0.38740000000000002</v>
      </c>
      <c r="P81" s="29">
        <f t="shared" si="12"/>
        <v>0.4178</v>
      </c>
      <c r="Q81" s="30">
        <f t="shared" si="12"/>
        <v>0.4491</v>
      </c>
      <c r="R81" s="30">
        <f t="shared" si="12"/>
        <v>0.44729999999999998</v>
      </c>
      <c r="S81" s="30">
        <f t="shared" si="12"/>
        <v>0.46200000000000002</v>
      </c>
      <c r="T81" s="30">
        <f t="shared" si="12"/>
        <v>0.53610000000000002</v>
      </c>
      <c r="U81" s="30">
        <f t="shared" si="12"/>
        <v>0.56340000000000001</v>
      </c>
      <c r="V81" s="30">
        <f t="shared" si="12"/>
        <v>0.59079999999999999</v>
      </c>
      <c r="W81" s="30">
        <f t="shared" si="12"/>
        <v>0.61839999999999995</v>
      </c>
      <c r="X81" s="30">
        <f t="shared" si="12"/>
        <v>0.64710000000000001</v>
      </c>
      <c r="Y81" s="30">
        <f t="shared" si="12"/>
        <v>0.67669999999999997</v>
      </c>
      <c r="Z81" s="30">
        <f t="shared" si="12"/>
        <v>0.70650000000000002</v>
      </c>
      <c r="AA81" s="30">
        <f t="shared" si="12"/>
        <v>0.71730000000000005</v>
      </c>
      <c r="AB81" s="31">
        <f t="shared" si="12"/>
        <v>0.72870000000000001</v>
      </c>
    </row>
    <row r="82" spans="2:28" x14ac:dyDescent="0.3">
      <c r="B82" s="18" t="s">
        <v>214</v>
      </c>
      <c r="C82" s="45">
        <v>0.66220000000000001</v>
      </c>
      <c r="D82" s="13">
        <v>0.74339999999999995</v>
      </c>
      <c r="E82" s="13">
        <v>0.8246</v>
      </c>
      <c r="F82" s="13">
        <v>0.82010000000000005</v>
      </c>
      <c r="G82" s="13">
        <v>0.81559999999999999</v>
      </c>
      <c r="H82" s="13">
        <v>0.81510000000000005</v>
      </c>
      <c r="I82" s="13">
        <v>0.81459999999999999</v>
      </c>
      <c r="J82" s="13">
        <v>0.81910000000000005</v>
      </c>
      <c r="K82" s="13">
        <v>0.8236</v>
      </c>
      <c r="L82" s="13">
        <v>0.79849999999999999</v>
      </c>
      <c r="M82" s="13">
        <v>0.77349999999999997</v>
      </c>
      <c r="N82" s="13">
        <v>0.79359999999999997</v>
      </c>
      <c r="O82" s="13">
        <v>0.80830000000000002</v>
      </c>
      <c r="P82" s="45">
        <v>0.82379999999999998</v>
      </c>
      <c r="Q82" s="13">
        <v>0.8387</v>
      </c>
      <c r="R82" s="13">
        <v>0.8538</v>
      </c>
      <c r="S82" s="13">
        <v>0.86929999999999996</v>
      </c>
      <c r="T82" s="13">
        <v>0.88500000000000001</v>
      </c>
      <c r="U82" s="13">
        <v>0.90100000000000002</v>
      </c>
      <c r="V82" s="13">
        <v>0.91720000000000002</v>
      </c>
      <c r="W82" s="13">
        <v>0.93379999999999996</v>
      </c>
      <c r="X82" s="13">
        <v>0.95069999999999999</v>
      </c>
      <c r="Y82" s="13">
        <v>0.96779999999999999</v>
      </c>
      <c r="Z82" s="13">
        <v>0.98529999999999995</v>
      </c>
      <c r="AA82" s="13">
        <v>1.0031000000000001</v>
      </c>
      <c r="AB82" s="34">
        <v>1.0212000000000001</v>
      </c>
    </row>
    <row r="83" spans="2:28" x14ac:dyDescent="0.3">
      <c r="B83" s="22" t="s">
        <v>215</v>
      </c>
      <c r="C83" s="45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45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34">
        <v>0</v>
      </c>
    </row>
    <row r="84" spans="2:28" x14ac:dyDescent="0.3">
      <c r="B84" s="22" t="s">
        <v>216</v>
      </c>
      <c r="C84" s="45">
        <v>2.3599999999999999E-2</v>
      </c>
      <c r="D84" s="13">
        <v>2.6499999999999999E-2</v>
      </c>
      <c r="E84" s="13">
        <v>2.9399999999999999E-2</v>
      </c>
      <c r="F84" s="13">
        <v>2.93E-2</v>
      </c>
      <c r="G84" s="13">
        <v>2.9100000000000001E-2</v>
      </c>
      <c r="H84" s="13">
        <v>2.9100000000000001E-2</v>
      </c>
      <c r="I84" s="13">
        <v>2.9100000000000001E-2</v>
      </c>
      <c r="J84" s="13">
        <v>2.93E-2</v>
      </c>
      <c r="K84" s="13">
        <v>2.9399999999999999E-2</v>
      </c>
      <c r="L84" s="13">
        <v>2.8500000000000001E-2</v>
      </c>
      <c r="M84" s="13">
        <v>2.76E-2</v>
      </c>
      <c r="N84" s="13">
        <v>2.8299999999999999E-2</v>
      </c>
      <c r="O84" s="13">
        <v>2.8899999999999999E-2</v>
      </c>
      <c r="P84" s="45">
        <v>2.9421997533288682E-2</v>
      </c>
      <c r="Q84" s="13">
        <v>2.9953423489579425E-2</v>
      </c>
      <c r="R84" s="13">
        <v>3.0494448166918934E-2</v>
      </c>
      <c r="S84" s="13">
        <v>3.1045244939311021E-2</v>
      </c>
      <c r="T84" s="13">
        <v>3.1605990312275151E-2</v>
      </c>
      <c r="U84" s="13">
        <v>3.2176863979408499E-2</v>
      </c>
      <c r="V84" s="13">
        <v>3.275804887996963E-2</v>
      </c>
      <c r="W84" s="13">
        <v>3.3349731257502305E-2</v>
      </c>
      <c r="X84" s="13">
        <v>3.3952100719518111E-2</v>
      </c>
      <c r="Y84" s="13">
        <v>3.4565350298257122E-2</v>
      </c>
      <c r="Z84" s="13">
        <v>3.518967651254603E-2</v>
      </c>
      <c r="AA84" s="13">
        <v>3.5825279430773564E-2</v>
      </c>
      <c r="AB84" s="34">
        <v>3.6472362735003379E-2</v>
      </c>
    </row>
    <row r="85" spans="2:28" ht="15" thickBot="1" x14ac:dyDescent="0.35">
      <c r="B85" s="25" t="s">
        <v>217</v>
      </c>
      <c r="C85" s="45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45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34">
        <v>0</v>
      </c>
    </row>
    <row r="86" spans="2:28" x14ac:dyDescent="0.3">
      <c r="B86" s="18" t="s">
        <v>149</v>
      </c>
      <c r="C86" s="44">
        <f>C40-(C72/1000)</f>
        <v>0.22627374</v>
      </c>
      <c r="D86" s="42">
        <f t="shared" ref="D86:AB86" si="13">D40-(D72/1000)</f>
        <v>0.25781112</v>
      </c>
      <c r="E86" s="42">
        <f t="shared" si="13"/>
        <v>0.29133118000000002</v>
      </c>
      <c r="F86" s="42">
        <f t="shared" si="13"/>
        <v>0.29441590000000001</v>
      </c>
      <c r="G86" s="42">
        <f t="shared" si="13"/>
        <v>0.29753088</v>
      </c>
      <c r="H86" s="42">
        <f t="shared" si="13"/>
        <v>0.30199455000000003</v>
      </c>
      <c r="I86" s="42">
        <f t="shared" si="13"/>
        <v>0.30645252000000001</v>
      </c>
      <c r="J86" s="42">
        <f t="shared" si="13"/>
        <v>0.31273237999999998</v>
      </c>
      <c r="K86" s="42">
        <f t="shared" si="13"/>
        <v>0.31906264000000001</v>
      </c>
      <c r="L86" s="42">
        <f t="shared" si="13"/>
        <v>0.31365080000000001</v>
      </c>
      <c r="M86" s="42">
        <f t="shared" si="13"/>
        <v>0.30823974999999998</v>
      </c>
      <c r="N86" s="42">
        <f t="shared" si="13"/>
        <v>0.31672576000000002</v>
      </c>
      <c r="O86" s="43">
        <f t="shared" si="13"/>
        <v>0.31313542</v>
      </c>
      <c r="P86" s="44">
        <f t="shared" si="13"/>
        <v>0.34418364000000001</v>
      </c>
      <c r="Q86" s="42">
        <f t="shared" si="13"/>
        <v>0.37666017000000002</v>
      </c>
      <c r="R86" s="42">
        <f t="shared" si="13"/>
        <v>0.38190473999999996</v>
      </c>
      <c r="S86" s="42">
        <f t="shared" si="13"/>
        <v>0.40161487048643069</v>
      </c>
      <c r="T86" s="42">
        <f t="shared" si="13"/>
        <v>0.47441609271545099</v>
      </c>
      <c r="U86" s="42">
        <f t="shared" si="13"/>
        <v>0.50760924932936713</v>
      </c>
      <c r="V86" s="42">
        <f t="shared" si="13"/>
        <v>0.54184370237165724</v>
      </c>
      <c r="W86" s="42">
        <f t="shared" si="13"/>
        <v>0.57744809163237798</v>
      </c>
      <c r="X86" s="42">
        <f t="shared" si="13"/>
        <v>0.61516158357666828</v>
      </c>
      <c r="Y86" s="42">
        <f t="shared" si="13"/>
        <v>0.65489618198399824</v>
      </c>
      <c r="Z86" s="42">
        <f t="shared" si="13"/>
        <v>0.69607446447879029</v>
      </c>
      <c r="AA86" s="42">
        <f t="shared" si="13"/>
        <v>0.71954014934674582</v>
      </c>
      <c r="AB86" s="43">
        <f t="shared" si="13"/>
        <v>0.74414421053035085</v>
      </c>
    </row>
    <row r="87" spans="2:28" x14ac:dyDescent="0.3">
      <c r="B87" s="22" t="s">
        <v>157</v>
      </c>
      <c r="C87" s="45">
        <v>0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34">
        <v>0</v>
      </c>
      <c r="P87" s="45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34">
        <v>0</v>
      </c>
    </row>
    <row r="88" spans="2:28" x14ac:dyDescent="0.3">
      <c r="B88" s="22" t="s">
        <v>158</v>
      </c>
      <c r="C88" s="45">
        <f>C86/28</f>
        <v>8.0812049999999993E-3</v>
      </c>
      <c r="D88" s="13">
        <f>D86/28</f>
        <v>9.2075400000000002E-3</v>
      </c>
      <c r="E88" s="13">
        <f t="shared" ref="E88:O88" si="14">E86/28</f>
        <v>1.0404685E-2</v>
      </c>
      <c r="F88" s="13">
        <f t="shared" si="14"/>
        <v>1.0514853571428572E-2</v>
      </c>
      <c r="G88" s="13">
        <f t="shared" si="14"/>
        <v>1.0626102857142857E-2</v>
      </c>
      <c r="H88" s="13">
        <f t="shared" si="14"/>
        <v>1.0785519642857145E-2</v>
      </c>
      <c r="I88" s="13">
        <f t="shared" si="14"/>
        <v>1.0944732857142857E-2</v>
      </c>
      <c r="J88" s="13">
        <f t="shared" si="14"/>
        <v>1.1169013571428571E-2</v>
      </c>
      <c r="K88" s="13">
        <f t="shared" si="14"/>
        <v>1.1395094285714285E-2</v>
      </c>
      <c r="L88" s="13">
        <f t="shared" si="14"/>
        <v>1.1201814285714286E-2</v>
      </c>
      <c r="M88" s="13">
        <f t="shared" si="14"/>
        <v>1.1008562499999999E-2</v>
      </c>
      <c r="N88" s="13">
        <f t="shared" si="14"/>
        <v>1.1311634285714287E-2</v>
      </c>
      <c r="O88" s="34">
        <f t="shared" si="14"/>
        <v>1.1183407857142858E-2</v>
      </c>
      <c r="P88" s="45">
        <f>P86/28</f>
        <v>1.2292272857142858E-2</v>
      </c>
      <c r="Q88" s="13">
        <f>Q86/28</f>
        <v>1.3452148928571429E-2</v>
      </c>
      <c r="R88" s="13">
        <f t="shared" ref="R88:AB88" si="15">R86/28</f>
        <v>1.3639454999999998E-2</v>
      </c>
      <c r="S88" s="13">
        <f t="shared" si="15"/>
        <v>1.4343388231658238E-2</v>
      </c>
      <c r="T88" s="13">
        <f t="shared" si="15"/>
        <v>1.694343188269468E-2</v>
      </c>
      <c r="U88" s="13">
        <f t="shared" si="15"/>
        <v>1.812890176176311E-2</v>
      </c>
      <c r="V88" s="13">
        <f t="shared" si="15"/>
        <v>1.9351560798987758E-2</v>
      </c>
      <c r="W88" s="13">
        <f t="shared" si="15"/>
        <v>2.0623146129727786E-2</v>
      </c>
      <c r="X88" s="13">
        <f t="shared" si="15"/>
        <v>2.197005655630958E-2</v>
      </c>
      <c r="Y88" s="13">
        <f t="shared" si="15"/>
        <v>2.3389149356571364E-2</v>
      </c>
      <c r="Z88" s="13">
        <f t="shared" si="15"/>
        <v>2.4859802302813937E-2</v>
      </c>
      <c r="AA88" s="13">
        <f t="shared" si="15"/>
        <v>2.5697862476669494E-2</v>
      </c>
      <c r="AB88" s="34">
        <f t="shared" si="15"/>
        <v>2.657657894751253E-2</v>
      </c>
    </row>
    <row r="89" spans="2:28" ht="15" thickBot="1" x14ac:dyDescent="0.35">
      <c r="B89" s="25" t="s">
        <v>159</v>
      </c>
      <c r="C89" s="46">
        <v>0</v>
      </c>
      <c r="D89" s="32">
        <v>0</v>
      </c>
      <c r="E89" s="32">
        <v>0</v>
      </c>
      <c r="F89" s="32">
        <v>0</v>
      </c>
      <c r="G89" s="32">
        <v>0</v>
      </c>
      <c r="H89" s="32">
        <v>0</v>
      </c>
      <c r="I89" s="32">
        <v>0</v>
      </c>
      <c r="J89" s="32">
        <v>0</v>
      </c>
      <c r="K89" s="32">
        <v>0</v>
      </c>
      <c r="L89" s="32">
        <v>0</v>
      </c>
      <c r="M89" s="32">
        <v>0</v>
      </c>
      <c r="N89" s="32">
        <v>0</v>
      </c>
      <c r="O89" s="33">
        <v>0</v>
      </c>
      <c r="P89" s="46">
        <v>0</v>
      </c>
      <c r="Q89" s="32">
        <v>0</v>
      </c>
      <c r="R89" s="32">
        <v>0</v>
      </c>
      <c r="S89" s="32">
        <v>0</v>
      </c>
      <c r="T89" s="32">
        <v>0</v>
      </c>
      <c r="U89" s="32">
        <v>0</v>
      </c>
      <c r="V89" s="32">
        <v>0</v>
      </c>
      <c r="W89" s="32">
        <v>0</v>
      </c>
      <c r="X89" s="32">
        <v>0</v>
      </c>
      <c r="Y89" s="32">
        <v>0</v>
      </c>
      <c r="Z89" s="32">
        <v>0</v>
      </c>
      <c r="AA89" s="32">
        <v>0</v>
      </c>
      <c r="AB89" s="33">
        <v>0</v>
      </c>
    </row>
    <row r="91" spans="2:28" x14ac:dyDescent="0.3">
      <c r="B91" s="1" t="s">
        <v>255</v>
      </c>
    </row>
    <row r="93" spans="2:28" ht="15" thickBot="1" x14ac:dyDescent="0.35">
      <c r="C93" s="53">
        <v>2010</v>
      </c>
      <c r="D93" s="53">
        <v>2011</v>
      </c>
      <c r="E93" s="53">
        <v>2012</v>
      </c>
      <c r="F93" s="53">
        <v>2013</v>
      </c>
      <c r="G93" s="53">
        <v>2014</v>
      </c>
      <c r="H93" s="53">
        <v>2015</v>
      </c>
      <c r="I93" s="53">
        <v>2016</v>
      </c>
      <c r="J93" s="53">
        <v>2017</v>
      </c>
      <c r="K93" s="53">
        <v>2018</v>
      </c>
      <c r="L93" s="53">
        <v>2019</v>
      </c>
      <c r="M93" s="53">
        <v>2020</v>
      </c>
      <c r="N93" s="53">
        <v>2021</v>
      </c>
      <c r="O93" s="53">
        <v>2022</v>
      </c>
      <c r="P93" s="150">
        <v>2023</v>
      </c>
      <c r="Q93" s="150">
        <v>2024</v>
      </c>
      <c r="R93" s="150">
        <v>2025</v>
      </c>
      <c r="S93" s="150">
        <v>2026</v>
      </c>
      <c r="T93" s="150">
        <v>2027</v>
      </c>
      <c r="U93" s="150">
        <v>2028</v>
      </c>
      <c r="V93" s="150">
        <v>2029</v>
      </c>
      <c r="W93" s="150">
        <v>2030</v>
      </c>
      <c r="X93" s="150">
        <v>2031</v>
      </c>
      <c r="Y93" s="150">
        <v>2032</v>
      </c>
      <c r="Z93" s="150">
        <v>2033</v>
      </c>
      <c r="AA93" s="150">
        <v>2034</v>
      </c>
      <c r="AB93" s="150">
        <v>2035</v>
      </c>
    </row>
    <row r="94" spans="2:28" ht="15" thickBot="1" x14ac:dyDescent="0.35">
      <c r="B94" s="29" t="s">
        <v>209</v>
      </c>
      <c r="C94" s="29">
        <f>ROUND(C99/C95,4)</f>
        <v>8.5999999999999993E-2</v>
      </c>
      <c r="D94" s="30">
        <f t="shared" ref="D94:O94" si="16">ROUND(D99/D95,4)</f>
        <v>8.7400000000000005E-2</v>
      </c>
      <c r="E94" s="30">
        <f t="shared" si="16"/>
        <v>8.7999999999999995E-2</v>
      </c>
      <c r="F94" s="30">
        <f t="shared" si="16"/>
        <v>8.9599999999999999E-2</v>
      </c>
      <c r="G94" s="30">
        <f t="shared" si="16"/>
        <v>9.1200000000000003E-2</v>
      </c>
      <c r="H94" s="30">
        <f t="shared" si="16"/>
        <v>9.0300000000000005E-2</v>
      </c>
      <c r="I94" s="30">
        <f t="shared" si="16"/>
        <v>8.9399999999999993E-2</v>
      </c>
      <c r="J94" s="30">
        <f t="shared" si="16"/>
        <v>8.9599999999999999E-2</v>
      </c>
      <c r="K94" s="30">
        <f t="shared" si="16"/>
        <v>8.9700000000000002E-2</v>
      </c>
      <c r="L94" s="30">
        <f t="shared" si="16"/>
        <v>9.3600000000000003E-2</v>
      </c>
      <c r="M94" s="30">
        <f t="shared" si="16"/>
        <v>9.7600000000000006E-2</v>
      </c>
      <c r="N94" s="30">
        <f t="shared" si="16"/>
        <v>9.7000000000000003E-2</v>
      </c>
      <c r="O94" s="31">
        <f t="shared" si="16"/>
        <v>9.2499999999999999E-2</v>
      </c>
      <c r="P94" s="29">
        <f>ROUND(P99/P95,4)</f>
        <v>9.98E-2</v>
      </c>
      <c r="Q94" s="30">
        <f t="shared" ref="Q94:AB94" si="17">ROUND(Q99/Q95,4)</f>
        <v>0.1072</v>
      </c>
      <c r="R94" s="30">
        <f t="shared" si="17"/>
        <v>0.10680000000000001</v>
      </c>
      <c r="S94" s="30">
        <f t="shared" si="17"/>
        <v>0.1104</v>
      </c>
      <c r="T94" s="30">
        <f t="shared" si="17"/>
        <v>0.12790000000000001</v>
      </c>
      <c r="U94" s="30">
        <f t="shared" si="17"/>
        <v>0.13450000000000001</v>
      </c>
      <c r="V94" s="30">
        <f t="shared" si="17"/>
        <v>0.14099999999999999</v>
      </c>
      <c r="W94" s="30">
        <f t="shared" si="17"/>
        <v>0.14760000000000001</v>
      </c>
      <c r="X94" s="30">
        <f t="shared" si="17"/>
        <v>0.1545</v>
      </c>
      <c r="Y94" s="30">
        <f t="shared" si="17"/>
        <v>0.16159999999999999</v>
      </c>
      <c r="Z94" s="30">
        <f t="shared" si="17"/>
        <v>0.16869999999999999</v>
      </c>
      <c r="AA94" s="30">
        <f t="shared" si="17"/>
        <v>0.17119999999999999</v>
      </c>
      <c r="AB94" s="31">
        <f t="shared" si="17"/>
        <v>0.17399999999999999</v>
      </c>
    </row>
    <row r="95" spans="2:28" x14ac:dyDescent="0.3">
      <c r="B95" s="18" t="s">
        <v>210</v>
      </c>
      <c r="C95" s="45">
        <v>2.0821000000000001</v>
      </c>
      <c r="D95" s="13">
        <v>2.0821000000000001</v>
      </c>
      <c r="E95" s="13">
        <v>2.0821000000000001</v>
      </c>
      <c r="F95" s="13">
        <v>2.0821000000000001</v>
      </c>
      <c r="G95" s="13">
        <v>2.0821000000000001</v>
      </c>
      <c r="H95" s="13">
        <v>2.0821000000000001</v>
      </c>
      <c r="I95" s="13">
        <v>2.0821000000000001</v>
      </c>
      <c r="J95" s="13">
        <v>2.0821000000000001</v>
      </c>
      <c r="K95" s="13">
        <v>2.0821000000000001</v>
      </c>
      <c r="L95" s="13">
        <v>2.0821000000000001</v>
      </c>
      <c r="M95" s="13">
        <v>2.0821000000000001</v>
      </c>
      <c r="N95" s="13">
        <v>2.0821000000000001</v>
      </c>
      <c r="O95" s="13">
        <v>2.0821000000000001</v>
      </c>
      <c r="P95" s="44">
        <v>2.0935000000000001</v>
      </c>
      <c r="Q95" s="42">
        <v>2.0935000000000001</v>
      </c>
      <c r="R95" s="42">
        <v>2.0935000000000001</v>
      </c>
      <c r="S95" s="42">
        <v>2.0935000000000001</v>
      </c>
      <c r="T95" s="42">
        <v>2.0935000000000001</v>
      </c>
      <c r="U95" s="42">
        <v>2.0935000000000001</v>
      </c>
      <c r="V95" s="42">
        <v>2.0935000000000001</v>
      </c>
      <c r="W95" s="42">
        <v>2.0935000000000001</v>
      </c>
      <c r="X95" s="42">
        <v>2.0935000000000001</v>
      </c>
      <c r="Y95" s="42">
        <v>2.0935000000000001</v>
      </c>
      <c r="Z95" s="42">
        <v>2.0935000000000001</v>
      </c>
      <c r="AA95" s="42">
        <v>2.0935000000000001</v>
      </c>
      <c r="AB95" s="43">
        <v>2.0935000000000001</v>
      </c>
    </row>
    <row r="96" spans="2:28" x14ac:dyDescent="0.3">
      <c r="B96" s="22" t="s">
        <v>218</v>
      </c>
      <c r="C96" s="45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  <c r="P96" s="45">
        <v>0</v>
      </c>
      <c r="Q96" s="13">
        <v>0</v>
      </c>
      <c r="R96" s="13">
        <v>0</v>
      </c>
      <c r="S96" s="13">
        <v>0</v>
      </c>
      <c r="T96" s="13">
        <v>0</v>
      </c>
      <c r="U96" s="13">
        <v>0</v>
      </c>
      <c r="V96" s="13">
        <v>0</v>
      </c>
      <c r="W96" s="13">
        <v>0</v>
      </c>
      <c r="X96" s="13">
        <v>0</v>
      </c>
      <c r="Y96" s="13">
        <v>0</v>
      </c>
      <c r="Z96" s="13">
        <v>0</v>
      </c>
      <c r="AA96" s="13">
        <v>0</v>
      </c>
      <c r="AB96" s="34">
        <v>0</v>
      </c>
    </row>
    <row r="97" spans="2:28" x14ac:dyDescent="0.3">
      <c r="B97" s="22" t="s">
        <v>219</v>
      </c>
      <c r="C97" s="45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  <c r="J97" s="13">
        <v>0</v>
      </c>
      <c r="K97" s="13">
        <v>0</v>
      </c>
      <c r="L97" s="13">
        <v>0</v>
      </c>
      <c r="M97" s="13">
        <v>0</v>
      </c>
      <c r="N97" s="13">
        <v>0</v>
      </c>
      <c r="O97" s="13">
        <v>0</v>
      </c>
      <c r="P97" s="45">
        <v>0</v>
      </c>
      <c r="Q97" s="13">
        <v>0</v>
      </c>
      <c r="R97" s="13">
        <v>0</v>
      </c>
      <c r="S97" s="13">
        <v>0</v>
      </c>
      <c r="T97" s="13">
        <v>0</v>
      </c>
      <c r="U97" s="13">
        <v>0</v>
      </c>
      <c r="V97" s="13">
        <v>0</v>
      </c>
      <c r="W97" s="13">
        <v>0</v>
      </c>
      <c r="X97" s="13">
        <v>0</v>
      </c>
      <c r="Y97" s="13">
        <v>0</v>
      </c>
      <c r="Z97" s="13">
        <v>0</v>
      </c>
      <c r="AA97" s="13">
        <v>0</v>
      </c>
      <c r="AB97" s="34">
        <v>0</v>
      </c>
    </row>
    <row r="98" spans="2:28" ht="15" thickBot="1" x14ac:dyDescent="0.35">
      <c r="B98" s="25" t="s">
        <v>220</v>
      </c>
      <c r="C98" s="45">
        <v>7.9000000000000008E-3</v>
      </c>
      <c r="D98" s="13">
        <v>7.9000000000000008E-3</v>
      </c>
      <c r="E98" s="13">
        <v>7.9000000000000008E-3</v>
      </c>
      <c r="F98" s="13">
        <v>7.9000000000000008E-3</v>
      </c>
      <c r="G98" s="13">
        <v>7.9000000000000008E-3</v>
      </c>
      <c r="H98" s="13">
        <v>7.9000000000000008E-3</v>
      </c>
      <c r="I98" s="13">
        <v>7.9000000000000008E-3</v>
      </c>
      <c r="J98" s="13">
        <v>7.9000000000000008E-3</v>
      </c>
      <c r="K98" s="13">
        <v>7.9000000000000008E-3</v>
      </c>
      <c r="L98" s="13">
        <v>7.9000000000000008E-3</v>
      </c>
      <c r="M98" s="13">
        <v>7.9000000000000008E-3</v>
      </c>
      <c r="N98" s="13">
        <v>7.9000000000000008E-3</v>
      </c>
      <c r="O98" s="13">
        <v>7.9000000000000008E-3</v>
      </c>
      <c r="P98" s="45">
        <v>7.9000000000000008E-3</v>
      </c>
      <c r="Q98" s="13">
        <v>7.9000000000000008E-3</v>
      </c>
      <c r="R98" s="13">
        <v>7.9000000000000008E-3</v>
      </c>
      <c r="S98" s="13">
        <v>7.9000000000000008E-3</v>
      </c>
      <c r="T98" s="13">
        <v>7.9000000000000008E-3</v>
      </c>
      <c r="U98" s="13">
        <v>7.9000000000000008E-3</v>
      </c>
      <c r="V98" s="13">
        <v>7.9000000000000008E-3</v>
      </c>
      <c r="W98" s="13">
        <v>7.9000000000000008E-3</v>
      </c>
      <c r="X98" s="13">
        <v>7.9000000000000008E-3</v>
      </c>
      <c r="Y98" s="13">
        <v>7.9000000000000008E-3</v>
      </c>
      <c r="Z98" s="13">
        <v>7.9000000000000008E-3</v>
      </c>
      <c r="AA98" s="13">
        <v>7.9000000000000008E-3</v>
      </c>
      <c r="AB98" s="34">
        <v>7.9000000000000008E-3</v>
      </c>
    </row>
    <row r="99" spans="2:28" x14ac:dyDescent="0.3">
      <c r="B99" s="18" t="s">
        <v>149</v>
      </c>
      <c r="C99" s="44">
        <f>C53-(C73/1000)</f>
        <v>0.17906059999999999</v>
      </c>
      <c r="D99" s="42">
        <f t="shared" ref="D99:AB99" si="18">D53-(D73/1000)</f>
        <v>0.18197554000000002</v>
      </c>
      <c r="E99" s="42">
        <f t="shared" si="18"/>
        <v>0.18322479999999999</v>
      </c>
      <c r="F99" s="42">
        <f t="shared" si="18"/>
        <v>0.18655616</v>
      </c>
      <c r="G99" s="42">
        <f t="shared" si="18"/>
        <v>0.18988752</v>
      </c>
      <c r="H99" s="42">
        <f t="shared" si="18"/>
        <v>0.18801363000000001</v>
      </c>
      <c r="I99" s="42">
        <f t="shared" si="18"/>
        <v>0.18613974</v>
      </c>
      <c r="J99" s="42">
        <f t="shared" si="18"/>
        <v>0.18655616</v>
      </c>
      <c r="K99" s="42">
        <f t="shared" si="18"/>
        <v>0.18676437000000001</v>
      </c>
      <c r="L99" s="42">
        <f t="shared" si="18"/>
        <v>0.19488456000000001</v>
      </c>
      <c r="M99" s="42">
        <f t="shared" si="18"/>
        <v>0.20321296000000003</v>
      </c>
      <c r="N99" s="42">
        <f t="shared" si="18"/>
        <v>0.20196370000000002</v>
      </c>
      <c r="O99" s="43">
        <f t="shared" si="18"/>
        <v>0.19259424999999999</v>
      </c>
      <c r="P99" s="44">
        <f t="shared" si="18"/>
        <v>0.20893130000000001</v>
      </c>
      <c r="Q99" s="42">
        <f t="shared" si="18"/>
        <v>0.22442320000000002</v>
      </c>
      <c r="R99" s="42">
        <f t="shared" si="18"/>
        <v>0.22358580000000003</v>
      </c>
      <c r="S99" s="42">
        <f t="shared" si="18"/>
        <v>0.2310273395135693</v>
      </c>
      <c r="T99" s="42">
        <f t="shared" si="18"/>
        <v>0.26785844061788239</v>
      </c>
      <c r="U99" s="42">
        <f t="shared" si="18"/>
        <v>0.28152786733729956</v>
      </c>
      <c r="V99" s="42">
        <f t="shared" si="18"/>
        <v>0.2952717376283428</v>
      </c>
      <c r="W99" s="42">
        <f t="shared" si="18"/>
        <v>0.30909297170095534</v>
      </c>
      <c r="X99" s="42">
        <f t="shared" si="18"/>
        <v>0.32340921308999826</v>
      </c>
      <c r="Y99" s="42">
        <f t="shared" si="18"/>
        <v>0.33821686801600181</v>
      </c>
      <c r="Z99" s="42">
        <f t="shared" si="18"/>
        <v>0.35309959885454312</v>
      </c>
      <c r="AA99" s="42">
        <f t="shared" si="18"/>
        <v>0.358499027319921</v>
      </c>
      <c r="AB99" s="43">
        <f t="shared" si="18"/>
        <v>0.36420518946964914</v>
      </c>
    </row>
    <row r="100" spans="2:28" x14ac:dyDescent="0.3">
      <c r="B100" s="22" t="s">
        <v>157</v>
      </c>
      <c r="C100" s="45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34">
        <v>0</v>
      </c>
      <c r="P100" s="45">
        <v>0</v>
      </c>
      <c r="Q100" s="13">
        <v>0</v>
      </c>
      <c r="R100" s="13">
        <v>0</v>
      </c>
      <c r="S100" s="13">
        <v>0</v>
      </c>
      <c r="T100" s="13">
        <v>0</v>
      </c>
      <c r="U100" s="13">
        <v>0</v>
      </c>
      <c r="V100" s="13">
        <v>0</v>
      </c>
      <c r="W100" s="13">
        <v>0</v>
      </c>
      <c r="X100" s="13">
        <v>0</v>
      </c>
      <c r="Y100" s="13">
        <v>0</v>
      </c>
      <c r="Z100" s="13">
        <v>0</v>
      </c>
      <c r="AA100" s="13">
        <v>0</v>
      </c>
      <c r="AB100" s="34">
        <v>0</v>
      </c>
    </row>
    <row r="101" spans="2:28" x14ac:dyDescent="0.3">
      <c r="B101" s="22" t="s">
        <v>158</v>
      </c>
      <c r="C101" s="45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  <c r="J101" s="13">
        <v>0</v>
      </c>
      <c r="K101" s="13">
        <v>0</v>
      </c>
      <c r="L101" s="13">
        <v>0</v>
      </c>
      <c r="M101" s="13">
        <v>0</v>
      </c>
      <c r="N101" s="13">
        <v>0</v>
      </c>
      <c r="O101" s="34">
        <v>0</v>
      </c>
      <c r="P101" s="45">
        <v>0</v>
      </c>
      <c r="Q101" s="13">
        <v>0</v>
      </c>
      <c r="R101" s="13">
        <v>0</v>
      </c>
      <c r="S101" s="13">
        <v>0</v>
      </c>
      <c r="T101" s="13">
        <v>0</v>
      </c>
      <c r="U101" s="13">
        <v>0</v>
      </c>
      <c r="V101" s="13">
        <v>0</v>
      </c>
      <c r="W101" s="13">
        <v>0</v>
      </c>
      <c r="X101" s="13">
        <v>0</v>
      </c>
      <c r="Y101" s="13">
        <v>0</v>
      </c>
      <c r="Z101" s="13">
        <v>0</v>
      </c>
      <c r="AA101" s="13">
        <v>0</v>
      </c>
      <c r="AB101" s="34">
        <v>0</v>
      </c>
    </row>
    <row r="102" spans="2:28" ht="15" thickBot="1" x14ac:dyDescent="0.35">
      <c r="B102" s="25" t="s">
        <v>159</v>
      </c>
      <c r="C102" s="46">
        <f>C99/265</f>
        <v>6.7570037735849048E-4</v>
      </c>
      <c r="D102" s="32">
        <f t="shared" ref="D102:AB102" si="19">D99/265</f>
        <v>6.8670015094339629E-4</v>
      </c>
      <c r="E102" s="32">
        <f t="shared" si="19"/>
        <v>6.9141433962264154E-4</v>
      </c>
      <c r="F102" s="32">
        <f t="shared" si="19"/>
        <v>7.0398550943396221E-4</v>
      </c>
      <c r="G102" s="32">
        <f t="shared" si="19"/>
        <v>7.1655667924528299E-4</v>
      </c>
      <c r="H102" s="32">
        <f t="shared" si="19"/>
        <v>7.0948539622641511E-4</v>
      </c>
      <c r="I102" s="32">
        <f t="shared" si="19"/>
        <v>7.0241411320754712E-4</v>
      </c>
      <c r="J102" s="32">
        <f t="shared" si="19"/>
        <v>7.0398550943396221E-4</v>
      </c>
      <c r="K102" s="32">
        <f t="shared" si="19"/>
        <v>7.0477120754716986E-4</v>
      </c>
      <c r="L102" s="32">
        <f t="shared" si="19"/>
        <v>7.3541343396226421E-4</v>
      </c>
      <c r="M102" s="32">
        <f t="shared" si="19"/>
        <v>7.668413584905661E-4</v>
      </c>
      <c r="N102" s="32">
        <f t="shared" si="19"/>
        <v>7.6212716981132085E-4</v>
      </c>
      <c r="O102" s="33">
        <f t="shared" si="19"/>
        <v>7.2677075471698114E-4</v>
      </c>
      <c r="P102" s="46">
        <f t="shared" si="19"/>
        <v>7.8842000000000007E-4</v>
      </c>
      <c r="Q102" s="32">
        <f t="shared" si="19"/>
        <v>8.4688000000000005E-4</v>
      </c>
      <c r="R102" s="32">
        <f t="shared" si="19"/>
        <v>8.4372000000000006E-4</v>
      </c>
      <c r="S102" s="32">
        <f t="shared" si="19"/>
        <v>8.7180128118328039E-4</v>
      </c>
      <c r="T102" s="32">
        <f t="shared" si="19"/>
        <v>1.0107865683693675E-3</v>
      </c>
      <c r="U102" s="32">
        <f t="shared" si="19"/>
        <v>1.0623693107067909E-3</v>
      </c>
      <c r="V102" s="32">
        <f t="shared" si="19"/>
        <v>1.1142329721824256E-3</v>
      </c>
      <c r="W102" s="32">
        <f t="shared" si="19"/>
        <v>1.1663885724564353E-3</v>
      </c>
      <c r="X102" s="32">
        <f t="shared" si="19"/>
        <v>1.220412124867918E-3</v>
      </c>
      <c r="Y102" s="32">
        <f t="shared" si="19"/>
        <v>1.2762900679849124E-3</v>
      </c>
      <c r="Z102" s="32">
        <f t="shared" si="19"/>
        <v>1.3324513164322382E-3</v>
      </c>
      <c r="AA102" s="32">
        <f t="shared" si="19"/>
        <v>1.3528265181883812E-3</v>
      </c>
      <c r="AB102" s="33">
        <f t="shared" si="19"/>
        <v>1.3743592055458459E-3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458F9-14EF-4A45-93F7-6AB18428D16C}">
  <sheetPr>
    <tabColor theme="9" tint="0.59999389629810485"/>
  </sheetPr>
  <dimension ref="A4:AB50"/>
  <sheetViews>
    <sheetView topLeftCell="A4" workbookViewId="0"/>
  </sheetViews>
  <sheetFormatPr defaultRowHeight="14.4" x14ac:dyDescent="0.3"/>
  <cols>
    <col min="2" max="2" width="55.6640625" customWidth="1"/>
    <col min="3" max="3" width="11.6640625" bestFit="1" customWidth="1"/>
  </cols>
  <sheetData>
    <row r="4" spans="2:28" x14ac:dyDescent="0.3">
      <c r="C4" t="s">
        <v>224</v>
      </c>
    </row>
    <row r="6" spans="2:28" x14ac:dyDescent="0.3">
      <c r="C6">
        <v>2010</v>
      </c>
      <c r="D6">
        <v>2011</v>
      </c>
      <c r="E6">
        <v>2012</v>
      </c>
      <c r="F6">
        <v>2013</v>
      </c>
      <c r="G6">
        <v>2014</v>
      </c>
      <c r="H6">
        <v>2015</v>
      </c>
      <c r="I6">
        <v>2016</v>
      </c>
      <c r="J6">
        <v>2017</v>
      </c>
      <c r="K6">
        <v>2018</v>
      </c>
      <c r="L6">
        <v>2019</v>
      </c>
      <c r="M6">
        <v>2020</v>
      </c>
      <c r="N6">
        <v>2021</v>
      </c>
      <c r="O6">
        <v>2022</v>
      </c>
      <c r="P6">
        <v>2023</v>
      </c>
      <c r="Q6">
        <v>2024</v>
      </c>
      <c r="R6">
        <v>2025</v>
      </c>
      <c r="S6">
        <v>2026</v>
      </c>
      <c r="T6">
        <v>2027</v>
      </c>
      <c r="U6">
        <v>2028</v>
      </c>
      <c r="V6">
        <v>2029</v>
      </c>
      <c r="W6">
        <v>2030</v>
      </c>
      <c r="X6">
        <v>2031</v>
      </c>
      <c r="Y6">
        <v>2032</v>
      </c>
      <c r="Z6">
        <v>2033</v>
      </c>
      <c r="AA6">
        <v>2034</v>
      </c>
      <c r="AB6">
        <v>2035</v>
      </c>
    </row>
    <row r="7" spans="2:28" x14ac:dyDescent="0.3">
      <c r="B7">
        <v>1</v>
      </c>
      <c r="C7" s="152">
        <v>0</v>
      </c>
      <c r="D7" s="152">
        <v>0</v>
      </c>
      <c r="E7" s="152">
        <v>0</v>
      </c>
      <c r="F7" s="152">
        <v>0</v>
      </c>
      <c r="G7" s="152">
        <v>0</v>
      </c>
      <c r="H7" s="152">
        <v>0</v>
      </c>
      <c r="I7" s="152">
        <v>0</v>
      </c>
      <c r="J7" s="152">
        <v>0</v>
      </c>
      <c r="K7" s="152">
        <v>0</v>
      </c>
      <c r="L7" s="152">
        <v>0</v>
      </c>
      <c r="M7" s="152">
        <v>0</v>
      </c>
      <c r="N7" s="152">
        <v>0</v>
      </c>
      <c r="O7" s="152">
        <v>0</v>
      </c>
      <c r="P7" s="152">
        <v>0</v>
      </c>
      <c r="Q7" s="152">
        <v>0</v>
      </c>
      <c r="R7" s="152">
        <v>1.1102230246251565E-16</v>
      </c>
      <c r="S7" s="152">
        <v>0.8</v>
      </c>
      <c r="T7" s="152">
        <v>1.6</v>
      </c>
      <c r="U7" s="152">
        <v>2.4</v>
      </c>
      <c r="V7" s="152">
        <v>3.1999999999999997</v>
      </c>
      <c r="W7" s="152">
        <v>4</v>
      </c>
      <c r="X7" s="152">
        <v>4.8</v>
      </c>
      <c r="Y7" s="152">
        <v>5.6</v>
      </c>
      <c r="Z7" s="152">
        <v>6.3999999999999995</v>
      </c>
      <c r="AA7" s="152">
        <v>7.1999999999999993</v>
      </c>
      <c r="AB7" s="152">
        <v>7.9999999999999991</v>
      </c>
    </row>
    <row r="9" spans="2:28" x14ac:dyDescent="0.3">
      <c r="C9" s="1"/>
    </row>
    <row r="10" spans="2:28" x14ac:dyDescent="0.3">
      <c r="C10" t="s">
        <v>225</v>
      </c>
    </row>
    <row r="12" spans="2:28" x14ac:dyDescent="0.3">
      <c r="C12">
        <v>2010</v>
      </c>
      <c r="D12">
        <v>2011</v>
      </c>
      <c r="E12">
        <v>2012</v>
      </c>
      <c r="F12">
        <v>2013</v>
      </c>
      <c r="G12">
        <v>2014</v>
      </c>
      <c r="H12">
        <v>2015</v>
      </c>
      <c r="I12">
        <v>2016</v>
      </c>
      <c r="J12">
        <v>2017</v>
      </c>
      <c r="K12">
        <v>2018</v>
      </c>
      <c r="L12">
        <v>2019</v>
      </c>
      <c r="M12">
        <v>2020</v>
      </c>
      <c r="N12">
        <v>2021</v>
      </c>
      <c r="O12">
        <v>2022</v>
      </c>
      <c r="P12">
        <v>2023</v>
      </c>
      <c r="Q12">
        <v>2024</v>
      </c>
      <c r="R12">
        <v>2025</v>
      </c>
      <c r="S12">
        <v>2026</v>
      </c>
      <c r="T12">
        <v>2027</v>
      </c>
      <c r="U12">
        <v>2028</v>
      </c>
      <c r="V12">
        <v>2029</v>
      </c>
      <c r="W12">
        <v>2030</v>
      </c>
      <c r="X12">
        <v>2031</v>
      </c>
      <c r="Y12">
        <v>2032</v>
      </c>
      <c r="Z12">
        <v>2033</v>
      </c>
      <c r="AA12">
        <v>2034</v>
      </c>
      <c r="AB12">
        <v>2035</v>
      </c>
    </row>
    <row r="13" spans="2:28" x14ac:dyDescent="0.3"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8" spans="1:28" x14ac:dyDescent="0.3">
      <c r="C18">
        <v>2010</v>
      </c>
      <c r="D18">
        <v>2011</v>
      </c>
      <c r="E18">
        <v>2012</v>
      </c>
      <c r="F18">
        <v>2013</v>
      </c>
      <c r="G18">
        <v>2014</v>
      </c>
      <c r="H18">
        <v>2015</v>
      </c>
      <c r="I18">
        <v>2016</v>
      </c>
      <c r="J18">
        <v>2017</v>
      </c>
      <c r="K18">
        <v>2018</v>
      </c>
      <c r="L18">
        <v>2019</v>
      </c>
      <c r="M18">
        <v>2020</v>
      </c>
      <c r="N18">
        <v>2021</v>
      </c>
      <c r="O18">
        <v>2022</v>
      </c>
      <c r="P18">
        <v>2023</v>
      </c>
      <c r="Q18">
        <v>2024</v>
      </c>
      <c r="R18">
        <v>2025</v>
      </c>
      <c r="S18">
        <v>2026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2032</v>
      </c>
      <c r="Z18">
        <v>2033</v>
      </c>
      <c r="AA18">
        <v>2034</v>
      </c>
      <c r="AB18">
        <v>2035</v>
      </c>
    </row>
    <row r="19" spans="1:28" x14ac:dyDescent="0.3">
      <c r="B19" t="s">
        <v>67</v>
      </c>
      <c r="C19" s="152">
        <f>C7</f>
        <v>0</v>
      </c>
      <c r="D19" s="152">
        <f t="shared" ref="D19:AB19" si="0">D7</f>
        <v>0</v>
      </c>
      <c r="E19" s="152">
        <f t="shared" si="0"/>
        <v>0</v>
      </c>
      <c r="F19" s="152">
        <f t="shared" si="0"/>
        <v>0</v>
      </c>
      <c r="G19" s="152">
        <f t="shared" si="0"/>
        <v>0</v>
      </c>
      <c r="H19" s="152">
        <f t="shared" si="0"/>
        <v>0</v>
      </c>
      <c r="I19" s="152">
        <f t="shared" si="0"/>
        <v>0</v>
      </c>
      <c r="J19" s="152">
        <f t="shared" si="0"/>
        <v>0</v>
      </c>
      <c r="K19" s="152">
        <f t="shared" si="0"/>
        <v>0</v>
      </c>
      <c r="L19" s="152">
        <f t="shared" si="0"/>
        <v>0</v>
      </c>
      <c r="M19" s="152">
        <f t="shared" si="0"/>
        <v>0</v>
      </c>
      <c r="N19" s="152">
        <f t="shared" si="0"/>
        <v>0</v>
      </c>
      <c r="O19" s="152">
        <f t="shared" si="0"/>
        <v>0</v>
      </c>
      <c r="P19" s="152">
        <f t="shared" si="0"/>
        <v>0</v>
      </c>
      <c r="Q19" s="152">
        <f t="shared" si="0"/>
        <v>0</v>
      </c>
      <c r="R19" s="152">
        <f t="shared" si="0"/>
        <v>1.1102230246251565E-16</v>
      </c>
      <c r="S19" s="152">
        <f t="shared" si="0"/>
        <v>0.8</v>
      </c>
      <c r="T19" s="152">
        <f t="shared" si="0"/>
        <v>1.6</v>
      </c>
      <c r="U19" s="152">
        <f t="shared" si="0"/>
        <v>2.4</v>
      </c>
      <c r="V19" s="152">
        <f t="shared" si="0"/>
        <v>3.1999999999999997</v>
      </c>
      <c r="W19" s="152">
        <f t="shared" si="0"/>
        <v>4</v>
      </c>
      <c r="X19" s="152">
        <f t="shared" si="0"/>
        <v>4.8</v>
      </c>
      <c r="Y19" s="152">
        <f t="shared" si="0"/>
        <v>5.6</v>
      </c>
      <c r="Z19" s="152">
        <f t="shared" si="0"/>
        <v>6.3999999999999995</v>
      </c>
      <c r="AA19" s="152">
        <f t="shared" si="0"/>
        <v>7.1999999999999993</v>
      </c>
      <c r="AB19" s="152">
        <f t="shared" si="0"/>
        <v>7.9999999999999991</v>
      </c>
    </row>
    <row r="20" spans="1:28" x14ac:dyDescent="0.3">
      <c r="B20" t="s">
        <v>68</v>
      </c>
      <c r="C20" s="152">
        <f>C7+C13</f>
        <v>0</v>
      </c>
      <c r="D20" s="152">
        <f t="shared" ref="D20:AB20" si="1">D7+D13</f>
        <v>0</v>
      </c>
      <c r="E20" s="152">
        <f t="shared" si="1"/>
        <v>0</v>
      </c>
      <c r="F20" s="152">
        <f t="shared" si="1"/>
        <v>0</v>
      </c>
      <c r="G20" s="152">
        <f t="shared" si="1"/>
        <v>0</v>
      </c>
      <c r="H20" s="152">
        <f>H7+H13</f>
        <v>0</v>
      </c>
      <c r="I20" s="152">
        <f t="shared" si="1"/>
        <v>0</v>
      </c>
      <c r="J20" s="152">
        <f t="shared" si="1"/>
        <v>0</v>
      </c>
      <c r="K20" s="152">
        <f t="shared" si="1"/>
        <v>0</v>
      </c>
      <c r="L20" s="152">
        <f t="shared" si="1"/>
        <v>0</v>
      </c>
      <c r="M20" s="152">
        <f t="shared" si="1"/>
        <v>0</v>
      </c>
      <c r="N20" s="152">
        <f t="shared" si="1"/>
        <v>0</v>
      </c>
      <c r="O20" s="152">
        <f t="shared" si="1"/>
        <v>0</v>
      </c>
      <c r="P20" s="152">
        <f t="shared" si="1"/>
        <v>0</v>
      </c>
      <c r="Q20" s="152">
        <f t="shared" si="1"/>
        <v>0</v>
      </c>
      <c r="R20" s="152">
        <f t="shared" si="1"/>
        <v>1.1102230246251565E-16</v>
      </c>
      <c r="S20" s="152">
        <f t="shared" si="1"/>
        <v>0.8</v>
      </c>
      <c r="T20" s="152">
        <f t="shared" si="1"/>
        <v>1.6</v>
      </c>
      <c r="U20" s="152">
        <f t="shared" si="1"/>
        <v>2.4</v>
      </c>
      <c r="V20" s="152">
        <f t="shared" si="1"/>
        <v>3.1999999999999997</v>
      </c>
      <c r="W20" s="152">
        <f t="shared" si="1"/>
        <v>4</v>
      </c>
      <c r="X20" s="152">
        <f t="shared" si="1"/>
        <v>4.8</v>
      </c>
      <c r="Y20" s="152">
        <f t="shared" si="1"/>
        <v>5.6</v>
      </c>
      <c r="Z20" s="152">
        <f t="shared" si="1"/>
        <v>6.3999999999999995</v>
      </c>
      <c r="AA20" s="152">
        <f t="shared" si="1"/>
        <v>7.1999999999999993</v>
      </c>
      <c r="AB20" s="152">
        <f t="shared" si="1"/>
        <v>7.9999999999999991</v>
      </c>
    </row>
    <row r="24" spans="1:28" x14ac:dyDescent="0.3">
      <c r="B24" s="1" t="s">
        <v>229</v>
      </c>
    </row>
    <row r="26" spans="1:28" ht="15" thickBot="1" x14ac:dyDescent="0.35">
      <c r="A26" s="1"/>
      <c r="C26" s="53">
        <v>2010</v>
      </c>
      <c r="D26" s="53">
        <v>2011</v>
      </c>
      <c r="E26" s="53">
        <v>2012</v>
      </c>
      <c r="F26" s="53">
        <v>2013</v>
      </c>
      <c r="G26" s="53">
        <v>2014</v>
      </c>
      <c r="H26" s="53">
        <v>2015</v>
      </c>
      <c r="I26" s="53">
        <v>2016</v>
      </c>
      <c r="J26" s="53">
        <v>2017</v>
      </c>
      <c r="K26" s="53">
        <v>2018</v>
      </c>
      <c r="L26" s="53">
        <v>2019</v>
      </c>
      <c r="M26" s="53">
        <v>2020</v>
      </c>
      <c r="N26" s="53">
        <v>2021</v>
      </c>
      <c r="O26" s="53">
        <v>2022</v>
      </c>
      <c r="P26" s="150">
        <v>2023</v>
      </c>
      <c r="Q26" s="150">
        <v>2024</v>
      </c>
      <c r="R26" s="150">
        <v>2025</v>
      </c>
      <c r="S26" s="150">
        <v>2026</v>
      </c>
      <c r="T26" s="150">
        <v>2027</v>
      </c>
      <c r="U26" s="150">
        <v>2028</v>
      </c>
      <c r="V26" s="150">
        <v>2029</v>
      </c>
      <c r="W26" s="150">
        <v>2030</v>
      </c>
      <c r="X26" s="150">
        <v>2031</v>
      </c>
      <c r="Y26" s="150">
        <v>2032</v>
      </c>
      <c r="Z26" s="150">
        <v>2033</v>
      </c>
      <c r="AA26" s="150">
        <v>2034</v>
      </c>
      <c r="AB26" s="150">
        <v>2035</v>
      </c>
    </row>
    <row r="27" spans="1:28" ht="15" thickBot="1" x14ac:dyDescent="0.35">
      <c r="B27" s="29" t="s">
        <v>204</v>
      </c>
      <c r="C27" s="29">
        <v>0.21940000000000001</v>
      </c>
      <c r="D27" s="30">
        <v>0.42559999999999998</v>
      </c>
      <c r="E27" s="30">
        <v>0.63180000000000003</v>
      </c>
      <c r="F27" s="30">
        <v>0.44800000000000001</v>
      </c>
      <c r="G27" s="30">
        <v>0.26429999999999998</v>
      </c>
      <c r="H27" s="30">
        <v>0.54620000000000002</v>
      </c>
      <c r="I27" s="30">
        <v>0.82809999999999995</v>
      </c>
      <c r="J27" s="30">
        <v>0.86429999999999996</v>
      </c>
      <c r="K27" s="30">
        <v>0.90059999999999996</v>
      </c>
      <c r="L27" s="30">
        <v>0.86040000000000005</v>
      </c>
      <c r="M27" s="30">
        <v>0.82030000000000003</v>
      </c>
      <c r="N27" s="30">
        <v>0.70069999999999999</v>
      </c>
      <c r="O27" s="30">
        <v>0.85040000000000004</v>
      </c>
      <c r="P27" s="44">
        <v>0.91710000000000003</v>
      </c>
      <c r="Q27" s="42">
        <v>0.98580000000000001</v>
      </c>
      <c r="R27" s="42">
        <v>0.98199999999999998</v>
      </c>
      <c r="S27" s="42">
        <v>1.0201</v>
      </c>
      <c r="T27" s="42">
        <v>1.1974</v>
      </c>
      <c r="U27" s="42">
        <v>1.2718</v>
      </c>
      <c r="V27" s="42">
        <v>1.3461000000000001</v>
      </c>
      <c r="W27" s="42">
        <v>1.4205000000000001</v>
      </c>
      <c r="X27" s="42">
        <v>1.4967999999999999</v>
      </c>
      <c r="Y27" s="42">
        <v>1.575</v>
      </c>
      <c r="Z27" s="42">
        <v>1.6531</v>
      </c>
      <c r="AA27" s="42">
        <v>1.7332000000000001</v>
      </c>
      <c r="AB27" s="43">
        <v>1.8132999999999999</v>
      </c>
    </row>
    <row r="28" spans="1:28" x14ac:dyDescent="0.3">
      <c r="B28" s="18" t="s">
        <v>214</v>
      </c>
      <c r="C28" s="45">
        <v>0.7</v>
      </c>
      <c r="D28" s="13">
        <v>0.7</v>
      </c>
      <c r="E28" s="13">
        <v>0.7</v>
      </c>
      <c r="F28" s="13">
        <v>0.7</v>
      </c>
      <c r="G28" s="13">
        <v>0.7</v>
      </c>
      <c r="H28" s="13">
        <v>0.7</v>
      </c>
      <c r="I28" s="13">
        <v>0.7</v>
      </c>
      <c r="J28" s="13">
        <v>0.7</v>
      </c>
      <c r="K28" s="13">
        <v>0.7</v>
      </c>
      <c r="L28" s="13">
        <v>0.7</v>
      </c>
      <c r="M28" s="13">
        <v>0.7</v>
      </c>
      <c r="N28" s="13">
        <v>0.7</v>
      </c>
      <c r="O28" s="13">
        <v>0.7</v>
      </c>
      <c r="P28" s="44">
        <v>0.7</v>
      </c>
      <c r="Q28" s="42">
        <v>0.7</v>
      </c>
      <c r="R28" s="42">
        <v>0.7</v>
      </c>
      <c r="S28" s="42">
        <v>0.7</v>
      </c>
      <c r="T28" s="42">
        <v>0.7</v>
      </c>
      <c r="U28" s="42">
        <v>0.7</v>
      </c>
      <c r="V28" s="42">
        <v>0.7</v>
      </c>
      <c r="W28" s="42">
        <v>0.7</v>
      </c>
      <c r="X28" s="42">
        <v>0.7</v>
      </c>
      <c r="Y28" s="42">
        <v>0.7</v>
      </c>
      <c r="Z28" s="42">
        <v>0.7</v>
      </c>
      <c r="AA28" s="42">
        <v>0.7</v>
      </c>
      <c r="AB28" s="43">
        <v>0.7</v>
      </c>
    </row>
    <row r="29" spans="1:28" x14ac:dyDescent="0.3">
      <c r="B29" s="22" t="s">
        <v>215</v>
      </c>
      <c r="C29" s="45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45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34">
        <v>0</v>
      </c>
    </row>
    <row r="30" spans="1:28" x14ac:dyDescent="0.3">
      <c r="B30" s="22" t="s">
        <v>216</v>
      </c>
      <c r="C30" s="45">
        <v>2.5000000000000001E-2</v>
      </c>
      <c r="D30" s="13">
        <v>2.5000000000000001E-2</v>
      </c>
      <c r="E30" s="13">
        <v>2.5000000000000001E-2</v>
      </c>
      <c r="F30" s="13">
        <v>2.5000000000000001E-2</v>
      </c>
      <c r="G30" s="13">
        <v>2.5000000000000001E-2</v>
      </c>
      <c r="H30" s="13">
        <v>2.5000000000000001E-2</v>
      </c>
      <c r="I30" s="13">
        <v>2.5000000000000001E-2</v>
      </c>
      <c r="J30" s="13">
        <v>2.5000000000000001E-2</v>
      </c>
      <c r="K30" s="13">
        <v>2.5000000000000001E-2</v>
      </c>
      <c r="L30" s="13">
        <v>2.5000000000000001E-2</v>
      </c>
      <c r="M30" s="13">
        <v>2.5000000000000001E-2</v>
      </c>
      <c r="N30" s="13">
        <v>2.5000000000000001E-2</v>
      </c>
      <c r="O30" s="13">
        <v>2.5000000000000001E-2</v>
      </c>
      <c r="P30" s="45">
        <v>2.5000000000000001E-2</v>
      </c>
      <c r="Q30" s="13">
        <v>2.5000000000000001E-2</v>
      </c>
      <c r="R30" s="13">
        <v>2.5000000000000001E-2</v>
      </c>
      <c r="S30" s="13">
        <v>2.5000000000000001E-2</v>
      </c>
      <c r="T30" s="13">
        <v>2.5000000000000001E-2</v>
      </c>
      <c r="U30" s="13">
        <v>2.5000000000000001E-2</v>
      </c>
      <c r="V30" s="13">
        <v>2.5000000000000001E-2</v>
      </c>
      <c r="W30" s="13">
        <v>2.5000000000000001E-2</v>
      </c>
      <c r="X30" s="13">
        <v>2.5000000000000001E-2</v>
      </c>
      <c r="Y30" s="13">
        <v>2.5000000000000001E-2</v>
      </c>
      <c r="Z30" s="13">
        <v>2.5000000000000001E-2</v>
      </c>
      <c r="AA30" s="13">
        <v>2.5000000000000001E-2</v>
      </c>
      <c r="AB30" s="34">
        <v>2.5000000000000001E-2</v>
      </c>
    </row>
    <row r="31" spans="1:28" ht="15" thickBot="1" x14ac:dyDescent="0.35">
      <c r="B31" s="25" t="s">
        <v>217</v>
      </c>
      <c r="C31" s="45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46">
        <v>0</v>
      </c>
      <c r="Q31" s="32">
        <v>0</v>
      </c>
      <c r="R31" s="32">
        <v>0</v>
      </c>
      <c r="S31" s="32">
        <v>0</v>
      </c>
      <c r="T31" s="32">
        <v>0</v>
      </c>
      <c r="U31" s="32">
        <v>0</v>
      </c>
      <c r="V31" s="32">
        <v>0</v>
      </c>
      <c r="W31" s="32">
        <v>0</v>
      </c>
      <c r="X31" s="32">
        <v>0</v>
      </c>
      <c r="Y31" s="32">
        <v>0</v>
      </c>
      <c r="Z31" s="32">
        <v>0</v>
      </c>
      <c r="AA31" s="32">
        <v>0</v>
      </c>
      <c r="AB31" s="33">
        <v>0</v>
      </c>
    </row>
    <row r="32" spans="1:28" x14ac:dyDescent="0.3">
      <c r="B32" s="18" t="s">
        <v>149</v>
      </c>
      <c r="C32" s="44">
        <v>0.15357999999999999</v>
      </c>
      <c r="D32" s="42">
        <v>0.29791999999999996</v>
      </c>
      <c r="E32" s="42">
        <v>0.44225999999999999</v>
      </c>
      <c r="F32" s="42">
        <v>0.31359999999999999</v>
      </c>
      <c r="G32" s="42">
        <v>0.18500999999999998</v>
      </c>
      <c r="H32" s="42">
        <v>0.38234000000000001</v>
      </c>
      <c r="I32" s="42">
        <v>0.57966999999999991</v>
      </c>
      <c r="J32" s="42">
        <v>0.60500999999999994</v>
      </c>
      <c r="K32" s="42">
        <v>0.63041999999999998</v>
      </c>
      <c r="L32" s="42">
        <v>0.60228000000000004</v>
      </c>
      <c r="M32" s="42">
        <v>0.57421</v>
      </c>
      <c r="N32" s="42">
        <v>0.49048999999999998</v>
      </c>
      <c r="O32" s="42">
        <v>0.59528000000000003</v>
      </c>
      <c r="P32" s="44">
        <v>0.64196999999999993</v>
      </c>
      <c r="Q32" s="42">
        <v>0.69006000000000001</v>
      </c>
      <c r="R32" s="42">
        <v>0.6873999999999999</v>
      </c>
      <c r="S32" s="42">
        <v>0.71406999999999998</v>
      </c>
      <c r="T32" s="42">
        <v>0.83817999999999993</v>
      </c>
      <c r="U32" s="42">
        <v>0.89025999999999994</v>
      </c>
      <c r="V32" s="42">
        <v>0.94226999999999994</v>
      </c>
      <c r="W32" s="42">
        <v>0.99434999999999996</v>
      </c>
      <c r="X32" s="42">
        <v>1.0477599999999998</v>
      </c>
      <c r="Y32" s="42">
        <v>1.1024999999999998</v>
      </c>
      <c r="Z32" s="42">
        <v>1.15717</v>
      </c>
      <c r="AA32" s="42">
        <v>1.2132399999999999</v>
      </c>
      <c r="AB32" s="43">
        <v>1.2693099999999999</v>
      </c>
    </row>
    <row r="33" spans="2:28" x14ac:dyDescent="0.3">
      <c r="B33" s="22" t="s">
        <v>157</v>
      </c>
      <c r="C33" s="45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45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34">
        <v>0</v>
      </c>
    </row>
    <row r="34" spans="2:28" x14ac:dyDescent="0.3">
      <c r="B34" s="22" t="s">
        <v>158</v>
      </c>
      <c r="C34" s="45">
        <v>5.4850000000000003E-3</v>
      </c>
      <c r="D34" s="13">
        <v>1.064E-2</v>
      </c>
      <c r="E34" s="13">
        <v>1.5795E-2</v>
      </c>
      <c r="F34" s="13">
        <v>1.1200000000000002E-2</v>
      </c>
      <c r="G34" s="13">
        <v>6.6074999999999997E-3</v>
      </c>
      <c r="H34" s="13">
        <v>1.3655E-2</v>
      </c>
      <c r="I34" s="13">
        <v>2.0702499999999999E-2</v>
      </c>
      <c r="J34" s="13">
        <v>2.1607500000000002E-2</v>
      </c>
      <c r="K34" s="13">
        <v>2.2515E-2</v>
      </c>
      <c r="L34" s="13">
        <v>2.1510000000000001E-2</v>
      </c>
      <c r="M34" s="13">
        <v>2.0507500000000001E-2</v>
      </c>
      <c r="N34" s="13">
        <v>1.7517500000000002E-2</v>
      </c>
      <c r="O34" s="13">
        <v>2.1260000000000001E-2</v>
      </c>
      <c r="P34" s="45">
        <v>2.2927500000000003E-2</v>
      </c>
      <c r="Q34" s="13">
        <v>2.4645E-2</v>
      </c>
      <c r="R34" s="13">
        <v>2.4550000000000002E-2</v>
      </c>
      <c r="S34" s="13">
        <v>2.5502500000000001E-2</v>
      </c>
      <c r="T34" s="13">
        <v>2.9935000000000003E-2</v>
      </c>
      <c r="U34" s="13">
        <v>3.1795000000000004E-2</v>
      </c>
      <c r="V34" s="13">
        <v>3.3652500000000002E-2</v>
      </c>
      <c r="W34" s="13">
        <v>3.5512500000000002E-2</v>
      </c>
      <c r="X34" s="13">
        <v>3.7420000000000002E-2</v>
      </c>
      <c r="Y34" s="13">
        <v>3.9375E-2</v>
      </c>
      <c r="Z34" s="13">
        <v>4.1327500000000003E-2</v>
      </c>
      <c r="AA34" s="13">
        <v>4.3330000000000007E-2</v>
      </c>
      <c r="AB34" s="34">
        <v>4.5332499999999998E-2</v>
      </c>
    </row>
    <row r="35" spans="2:28" ht="15" thickBot="1" x14ac:dyDescent="0.35">
      <c r="B35" s="25" t="s">
        <v>159</v>
      </c>
      <c r="C35" s="46">
        <v>0</v>
      </c>
      <c r="D35" s="32">
        <v>0</v>
      </c>
      <c r="E35" s="32">
        <v>0</v>
      </c>
      <c r="F35" s="32">
        <v>0</v>
      </c>
      <c r="G35" s="32">
        <v>0</v>
      </c>
      <c r="H35" s="32">
        <v>0</v>
      </c>
      <c r="I35" s="32">
        <v>0</v>
      </c>
      <c r="J35" s="32">
        <v>0</v>
      </c>
      <c r="K35" s="32">
        <v>0</v>
      </c>
      <c r="L35" s="32">
        <v>0</v>
      </c>
      <c r="M35" s="32">
        <v>0</v>
      </c>
      <c r="N35" s="32">
        <v>0</v>
      </c>
      <c r="O35" s="32">
        <v>0</v>
      </c>
      <c r="P35" s="46">
        <v>0</v>
      </c>
      <c r="Q35" s="32">
        <v>0</v>
      </c>
      <c r="R35" s="32">
        <v>0</v>
      </c>
      <c r="S35" s="32">
        <v>0</v>
      </c>
      <c r="T35" s="32">
        <v>0</v>
      </c>
      <c r="U35" s="32">
        <v>0</v>
      </c>
      <c r="V35" s="32">
        <v>0</v>
      </c>
      <c r="W35" s="32">
        <v>0</v>
      </c>
      <c r="X35" s="32">
        <v>0</v>
      </c>
      <c r="Y35" s="32">
        <v>0</v>
      </c>
      <c r="Z35" s="32">
        <v>0</v>
      </c>
      <c r="AA35" s="32">
        <v>0</v>
      </c>
      <c r="AB35" s="33">
        <v>0</v>
      </c>
    </row>
    <row r="39" spans="2:28" x14ac:dyDescent="0.3">
      <c r="B39" s="1" t="s">
        <v>256</v>
      </c>
    </row>
    <row r="41" spans="2:28" ht="15" thickBot="1" x14ac:dyDescent="0.35">
      <c r="C41" s="53">
        <v>2010</v>
      </c>
      <c r="D41" s="53">
        <v>2011</v>
      </c>
      <c r="E41" s="53">
        <v>2012</v>
      </c>
      <c r="F41" s="53">
        <v>2013</v>
      </c>
      <c r="G41" s="53">
        <v>2014</v>
      </c>
      <c r="H41" s="53">
        <v>2015</v>
      </c>
      <c r="I41" s="53">
        <v>2016</v>
      </c>
      <c r="J41" s="53">
        <v>2017</v>
      </c>
      <c r="K41" s="53">
        <v>2018</v>
      </c>
      <c r="L41" s="53">
        <v>2019</v>
      </c>
      <c r="M41" s="53">
        <v>2020</v>
      </c>
      <c r="N41" s="53">
        <v>2021</v>
      </c>
      <c r="O41" s="53">
        <v>2022</v>
      </c>
      <c r="P41" s="150">
        <v>2023</v>
      </c>
      <c r="Q41" s="150">
        <v>2024</v>
      </c>
      <c r="R41" s="150">
        <v>2025</v>
      </c>
      <c r="S41" s="150">
        <v>2026</v>
      </c>
      <c r="T41" s="150">
        <v>2027</v>
      </c>
      <c r="U41" s="150">
        <v>2028</v>
      </c>
      <c r="V41" s="150">
        <v>2029</v>
      </c>
      <c r="W41" s="150">
        <v>2030</v>
      </c>
      <c r="X41" s="150">
        <v>2031</v>
      </c>
      <c r="Y41" s="150">
        <v>2032</v>
      </c>
      <c r="Z41" s="150">
        <v>2033</v>
      </c>
      <c r="AA41" s="150">
        <v>2034</v>
      </c>
      <c r="AB41" s="150">
        <v>2035</v>
      </c>
    </row>
    <row r="42" spans="2:28" ht="15" thickBot="1" x14ac:dyDescent="0.35">
      <c r="B42" s="29" t="s">
        <v>204</v>
      </c>
      <c r="C42" s="29">
        <f>ROUND(C47/C43,4)</f>
        <v>0.21940000000000001</v>
      </c>
      <c r="D42" s="30">
        <f t="shared" ref="D42:AB42" si="2">ROUND(D47/D43,4)</f>
        <v>0.42559999999999998</v>
      </c>
      <c r="E42" s="30">
        <f t="shared" si="2"/>
        <v>0.63180000000000003</v>
      </c>
      <c r="F42" s="30">
        <f t="shared" si="2"/>
        <v>0.44800000000000001</v>
      </c>
      <c r="G42" s="30">
        <f t="shared" si="2"/>
        <v>0.26429999999999998</v>
      </c>
      <c r="H42" s="30">
        <f t="shared" si="2"/>
        <v>0.54620000000000002</v>
      </c>
      <c r="I42" s="30">
        <f t="shared" si="2"/>
        <v>0.82809999999999995</v>
      </c>
      <c r="J42" s="30">
        <f t="shared" si="2"/>
        <v>0.86429999999999996</v>
      </c>
      <c r="K42" s="30">
        <f t="shared" si="2"/>
        <v>0.90059999999999996</v>
      </c>
      <c r="L42" s="30">
        <f t="shared" si="2"/>
        <v>0.86040000000000005</v>
      </c>
      <c r="M42" s="30">
        <f t="shared" si="2"/>
        <v>0.82030000000000003</v>
      </c>
      <c r="N42" s="30">
        <f t="shared" si="2"/>
        <v>0.70069999999999999</v>
      </c>
      <c r="O42" s="31">
        <f t="shared" si="2"/>
        <v>0.85040000000000004</v>
      </c>
      <c r="P42" s="29">
        <f t="shared" si="2"/>
        <v>0.91710000000000003</v>
      </c>
      <c r="Q42" s="30">
        <f t="shared" si="2"/>
        <v>0.98580000000000001</v>
      </c>
      <c r="R42" s="30">
        <f t="shared" si="2"/>
        <v>0.98199999999999998</v>
      </c>
      <c r="S42" s="30">
        <f t="shared" si="2"/>
        <v>1.0189999999999999</v>
      </c>
      <c r="T42" s="30">
        <f t="shared" si="2"/>
        <v>1.1951000000000001</v>
      </c>
      <c r="U42" s="30">
        <f t="shared" si="2"/>
        <v>1.2684</v>
      </c>
      <c r="V42" s="30">
        <f t="shared" si="2"/>
        <v>1.3414999999999999</v>
      </c>
      <c r="W42" s="30">
        <f t="shared" si="2"/>
        <v>1.4148000000000001</v>
      </c>
      <c r="X42" s="30">
        <f t="shared" si="2"/>
        <v>1.4899</v>
      </c>
      <c r="Y42" s="30">
        <f t="shared" si="2"/>
        <v>1.5669999999999999</v>
      </c>
      <c r="Z42" s="30">
        <f t="shared" si="2"/>
        <v>1.6439999999999999</v>
      </c>
      <c r="AA42" s="30">
        <f t="shared" si="2"/>
        <v>1.7229000000000001</v>
      </c>
      <c r="AB42" s="31">
        <f t="shared" si="2"/>
        <v>1.8019000000000001</v>
      </c>
    </row>
    <row r="43" spans="2:28" x14ac:dyDescent="0.3">
      <c r="B43" s="18" t="s">
        <v>214</v>
      </c>
      <c r="C43" s="45">
        <v>0.7</v>
      </c>
      <c r="D43" s="13">
        <v>0.7</v>
      </c>
      <c r="E43" s="13">
        <v>0.7</v>
      </c>
      <c r="F43" s="13">
        <v>0.7</v>
      </c>
      <c r="G43" s="13">
        <v>0.7</v>
      </c>
      <c r="H43" s="13">
        <v>0.7</v>
      </c>
      <c r="I43" s="13">
        <v>0.7</v>
      </c>
      <c r="J43" s="13">
        <v>0.7</v>
      </c>
      <c r="K43" s="13">
        <v>0.7</v>
      </c>
      <c r="L43" s="13">
        <v>0.7</v>
      </c>
      <c r="M43" s="13">
        <v>0.7</v>
      </c>
      <c r="N43" s="13">
        <v>0.7</v>
      </c>
      <c r="O43" s="13">
        <v>0.7</v>
      </c>
      <c r="P43" s="45">
        <v>0.7</v>
      </c>
      <c r="Q43" s="13">
        <v>0.7</v>
      </c>
      <c r="R43" s="13">
        <v>0.7</v>
      </c>
      <c r="S43" s="13">
        <v>0.7</v>
      </c>
      <c r="T43" s="13">
        <v>0.7</v>
      </c>
      <c r="U43" s="13">
        <v>0.7</v>
      </c>
      <c r="V43" s="13">
        <v>0.7</v>
      </c>
      <c r="W43" s="13">
        <v>0.7</v>
      </c>
      <c r="X43" s="13">
        <v>0.7</v>
      </c>
      <c r="Y43" s="13">
        <v>0.7</v>
      </c>
      <c r="Z43" s="13">
        <v>0.7</v>
      </c>
      <c r="AA43" s="13">
        <v>0.7</v>
      </c>
      <c r="AB43" s="34">
        <v>0.7</v>
      </c>
    </row>
    <row r="44" spans="2:28" x14ac:dyDescent="0.3">
      <c r="B44" s="22" t="s">
        <v>215</v>
      </c>
      <c r="C44" s="45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45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34">
        <v>0</v>
      </c>
    </row>
    <row r="45" spans="2:28" x14ac:dyDescent="0.3">
      <c r="B45" s="22" t="s">
        <v>216</v>
      </c>
      <c r="C45" s="45">
        <v>2.5000000000000001E-2</v>
      </c>
      <c r="D45" s="13">
        <v>2.5000000000000001E-2</v>
      </c>
      <c r="E45" s="13">
        <v>2.5000000000000001E-2</v>
      </c>
      <c r="F45" s="13">
        <v>2.5000000000000001E-2</v>
      </c>
      <c r="G45" s="13">
        <v>2.5000000000000001E-2</v>
      </c>
      <c r="H45" s="13">
        <v>2.5000000000000001E-2</v>
      </c>
      <c r="I45" s="13">
        <v>2.5000000000000001E-2</v>
      </c>
      <c r="J45" s="13">
        <v>2.5000000000000001E-2</v>
      </c>
      <c r="K45" s="13">
        <v>2.5000000000000001E-2</v>
      </c>
      <c r="L45" s="13">
        <v>2.5000000000000001E-2</v>
      </c>
      <c r="M45" s="13">
        <v>2.5000000000000001E-2</v>
      </c>
      <c r="N45" s="13">
        <v>2.5000000000000001E-2</v>
      </c>
      <c r="O45" s="13">
        <v>2.5000000000000001E-2</v>
      </c>
      <c r="P45" s="45">
        <v>2.5000000000000001E-2</v>
      </c>
      <c r="Q45" s="13">
        <v>2.5000000000000001E-2</v>
      </c>
      <c r="R45" s="13">
        <v>2.5000000000000001E-2</v>
      </c>
      <c r="S45" s="13">
        <v>2.5000000000000001E-2</v>
      </c>
      <c r="T45" s="13">
        <v>2.5000000000000001E-2</v>
      </c>
      <c r="U45" s="13">
        <v>2.5000000000000001E-2</v>
      </c>
      <c r="V45" s="13">
        <v>2.5000000000000001E-2</v>
      </c>
      <c r="W45" s="13">
        <v>2.5000000000000001E-2</v>
      </c>
      <c r="X45" s="13">
        <v>2.5000000000000001E-2</v>
      </c>
      <c r="Y45" s="13">
        <v>2.5000000000000001E-2</v>
      </c>
      <c r="Z45" s="13">
        <v>2.5000000000000001E-2</v>
      </c>
      <c r="AA45" s="13">
        <v>2.5000000000000001E-2</v>
      </c>
      <c r="AB45" s="34">
        <v>2.5000000000000001E-2</v>
      </c>
    </row>
    <row r="46" spans="2:28" ht="15" thickBot="1" x14ac:dyDescent="0.35">
      <c r="B46" s="25" t="s">
        <v>217</v>
      </c>
      <c r="C46" s="45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45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34">
        <v>0</v>
      </c>
    </row>
    <row r="47" spans="2:28" x14ac:dyDescent="0.3">
      <c r="B47" s="18" t="s">
        <v>149</v>
      </c>
      <c r="C47" s="44">
        <f>C32-(C19/1000)</f>
        <v>0.15357999999999999</v>
      </c>
      <c r="D47" s="42">
        <f t="shared" ref="D47:AB47" si="3">D32-(D19/1000)</f>
        <v>0.29791999999999996</v>
      </c>
      <c r="E47" s="42">
        <f t="shared" si="3"/>
        <v>0.44225999999999999</v>
      </c>
      <c r="F47" s="42">
        <f t="shared" si="3"/>
        <v>0.31359999999999999</v>
      </c>
      <c r="G47" s="42">
        <f t="shared" si="3"/>
        <v>0.18500999999999998</v>
      </c>
      <c r="H47" s="42">
        <f t="shared" si="3"/>
        <v>0.38234000000000001</v>
      </c>
      <c r="I47" s="42">
        <f t="shared" si="3"/>
        <v>0.57966999999999991</v>
      </c>
      <c r="J47" s="42">
        <f t="shared" si="3"/>
        <v>0.60500999999999994</v>
      </c>
      <c r="K47" s="42">
        <f t="shared" si="3"/>
        <v>0.63041999999999998</v>
      </c>
      <c r="L47" s="42">
        <f t="shared" si="3"/>
        <v>0.60228000000000004</v>
      </c>
      <c r="M47" s="42">
        <f t="shared" si="3"/>
        <v>0.57421</v>
      </c>
      <c r="N47" s="42">
        <f t="shared" si="3"/>
        <v>0.49048999999999998</v>
      </c>
      <c r="O47" s="43">
        <f t="shared" si="3"/>
        <v>0.59528000000000003</v>
      </c>
      <c r="P47" s="44">
        <f>P32-(P19/1000)</f>
        <v>0.64196999999999993</v>
      </c>
      <c r="Q47" s="42">
        <f t="shared" si="3"/>
        <v>0.69006000000000001</v>
      </c>
      <c r="R47" s="42">
        <f t="shared" si="3"/>
        <v>0.6873999999999999</v>
      </c>
      <c r="S47" s="42">
        <f t="shared" si="3"/>
        <v>0.71326999999999996</v>
      </c>
      <c r="T47" s="42">
        <f t="shared" si="3"/>
        <v>0.83657999999999988</v>
      </c>
      <c r="U47" s="42">
        <f t="shared" si="3"/>
        <v>0.88785999999999998</v>
      </c>
      <c r="V47" s="42">
        <f t="shared" si="3"/>
        <v>0.93906999999999996</v>
      </c>
      <c r="W47" s="42">
        <f t="shared" si="3"/>
        <v>0.99034999999999995</v>
      </c>
      <c r="X47" s="42">
        <f t="shared" si="3"/>
        <v>1.0429599999999999</v>
      </c>
      <c r="Y47" s="42">
        <f t="shared" si="3"/>
        <v>1.0968999999999998</v>
      </c>
      <c r="Z47" s="42">
        <f t="shared" si="3"/>
        <v>1.1507700000000001</v>
      </c>
      <c r="AA47" s="42">
        <f t="shared" si="3"/>
        <v>1.2060399999999998</v>
      </c>
      <c r="AB47" s="43">
        <f t="shared" si="3"/>
        <v>1.2613099999999999</v>
      </c>
    </row>
    <row r="48" spans="2:28" x14ac:dyDescent="0.3">
      <c r="B48" s="22" t="s">
        <v>157</v>
      </c>
      <c r="C48" s="22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s="24">
        <v>0</v>
      </c>
      <c r="P48" s="45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34">
        <v>0</v>
      </c>
    </row>
    <row r="49" spans="2:28" x14ac:dyDescent="0.3">
      <c r="B49" s="22" t="s">
        <v>158</v>
      </c>
      <c r="C49" s="45">
        <f>C47/28</f>
        <v>5.4849999999999994E-3</v>
      </c>
      <c r="D49" s="13">
        <f t="shared" ref="D49:AB49" si="4">D47/28</f>
        <v>1.0639999999999998E-2</v>
      </c>
      <c r="E49" s="13">
        <f t="shared" si="4"/>
        <v>1.5795E-2</v>
      </c>
      <c r="F49" s="13">
        <f t="shared" si="4"/>
        <v>1.12E-2</v>
      </c>
      <c r="G49" s="13">
        <f t="shared" si="4"/>
        <v>6.6074999999999997E-3</v>
      </c>
      <c r="H49" s="13">
        <f t="shared" si="4"/>
        <v>1.3655E-2</v>
      </c>
      <c r="I49" s="13">
        <f t="shared" si="4"/>
        <v>2.0702499999999995E-2</v>
      </c>
      <c r="J49" s="13">
        <f t="shared" si="4"/>
        <v>2.1607499999999998E-2</v>
      </c>
      <c r="K49" s="13">
        <f t="shared" si="4"/>
        <v>2.2515E-2</v>
      </c>
      <c r="L49" s="13">
        <f t="shared" si="4"/>
        <v>2.1510000000000001E-2</v>
      </c>
      <c r="M49" s="13">
        <f t="shared" si="4"/>
        <v>2.0507500000000001E-2</v>
      </c>
      <c r="N49" s="13">
        <f t="shared" si="4"/>
        <v>1.7517499999999998E-2</v>
      </c>
      <c r="O49" s="34">
        <f t="shared" si="4"/>
        <v>2.1260000000000001E-2</v>
      </c>
      <c r="P49" s="45">
        <f t="shared" si="4"/>
        <v>2.2927499999999996E-2</v>
      </c>
      <c r="Q49" s="13">
        <f t="shared" si="4"/>
        <v>2.4645E-2</v>
      </c>
      <c r="R49" s="13">
        <f t="shared" si="4"/>
        <v>2.4549999999999995E-2</v>
      </c>
      <c r="S49" s="13">
        <f t="shared" si="4"/>
        <v>2.5473928571428571E-2</v>
      </c>
      <c r="T49" s="13">
        <f t="shared" si="4"/>
        <v>2.987785714285714E-2</v>
      </c>
      <c r="U49" s="13">
        <f t="shared" si="4"/>
        <v>3.1709285714285711E-2</v>
      </c>
      <c r="V49" s="13">
        <f t="shared" si="4"/>
        <v>3.3538214285714282E-2</v>
      </c>
      <c r="W49" s="13">
        <f t="shared" si="4"/>
        <v>3.5369642857142856E-2</v>
      </c>
      <c r="X49" s="13">
        <f t="shared" si="4"/>
        <v>3.7248571428571423E-2</v>
      </c>
      <c r="Y49" s="13">
        <f t="shared" si="4"/>
        <v>3.9174999999999995E-2</v>
      </c>
      <c r="Z49" s="13">
        <f t="shared" si="4"/>
        <v>4.1098928571428571E-2</v>
      </c>
      <c r="AA49" s="13">
        <f t="shared" si="4"/>
        <v>4.3072857142857135E-2</v>
      </c>
      <c r="AB49" s="34">
        <f t="shared" si="4"/>
        <v>4.5046785714285713E-2</v>
      </c>
    </row>
    <row r="50" spans="2:28" ht="15" thickBot="1" x14ac:dyDescent="0.35">
      <c r="B50" s="25" t="s">
        <v>159</v>
      </c>
      <c r="C50" s="25">
        <v>0</v>
      </c>
      <c r="D50" s="26">
        <v>0</v>
      </c>
      <c r="E50" s="26">
        <v>0</v>
      </c>
      <c r="F50" s="26">
        <v>0</v>
      </c>
      <c r="G50" s="26">
        <v>0</v>
      </c>
      <c r="H50" s="26">
        <v>0</v>
      </c>
      <c r="I50" s="26">
        <v>0</v>
      </c>
      <c r="J50" s="26">
        <v>0</v>
      </c>
      <c r="K50" s="26">
        <v>0</v>
      </c>
      <c r="L50" s="26">
        <v>0</v>
      </c>
      <c r="M50" s="26">
        <v>0</v>
      </c>
      <c r="N50" s="26">
        <v>0</v>
      </c>
      <c r="O50" s="28">
        <v>0</v>
      </c>
      <c r="P50" s="46">
        <v>0</v>
      </c>
      <c r="Q50" s="32">
        <v>0</v>
      </c>
      <c r="R50" s="32">
        <v>0</v>
      </c>
      <c r="S50" s="32">
        <v>0</v>
      </c>
      <c r="T50" s="32">
        <v>0</v>
      </c>
      <c r="U50" s="32">
        <v>0</v>
      </c>
      <c r="V50" s="32">
        <v>0</v>
      </c>
      <c r="W50" s="32">
        <v>0</v>
      </c>
      <c r="X50" s="32">
        <v>0</v>
      </c>
      <c r="Y50" s="32">
        <v>0</v>
      </c>
      <c r="Z50" s="32">
        <v>0</v>
      </c>
      <c r="AA50" s="32">
        <v>0</v>
      </c>
      <c r="AB50" s="33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91E06-FBA1-4943-91D1-E7ABA8E2616E}">
  <sheetPr>
    <tabColor theme="5" tint="0.59999389629810485"/>
  </sheetPr>
  <dimension ref="B1:AF148"/>
  <sheetViews>
    <sheetView topLeftCell="D1" workbookViewId="0">
      <pane ySplit="1" topLeftCell="A102" activePane="bottomLeft" state="frozen"/>
      <selection pane="bottomLeft" activeCell="F123" sqref="F123:AE123"/>
    </sheetView>
  </sheetViews>
  <sheetFormatPr defaultColWidth="11.44140625" defaultRowHeight="14.4" x14ac:dyDescent="0.3"/>
  <cols>
    <col min="2" max="2" width="20.6640625" bestFit="1" customWidth="1"/>
    <col min="3" max="3" width="35.33203125" bestFit="1" customWidth="1"/>
    <col min="4" max="4" width="31.33203125" bestFit="1" customWidth="1"/>
    <col min="5" max="5" width="9.109375" customWidth="1"/>
    <col min="6" max="10" width="7.5546875" customWidth="1"/>
    <col min="11" max="13" width="8.33203125" customWidth="1"/>
    <col min="14" max="30" width="8.109375" bestFit="1" customWidth="1"/>
    <col min="31" max="31" width="7.5546875" bestFit="1" customWidth="1"/>
  </cols>
  <sheetData>
    <row r="1" spans="2:32" ht="20.399999999999999" thickBot="1" x14ac:dyDescent="0.35">
      <c r="B1" s="55"/>
      <c r="C1" s="56"/>
      <c r="D1" s="56" t="s">
        <v>257</v>
      </c>
      <c r="E1" s="56"/>
      <c r="F1" s="97">
        <v>2010</v>
      </c>
      <c r="G1" s="97">
        <v>2011</v>
      </c>
      <c r="H1" s="97">
        <v>2012</v>
      </c>
      <c r="I1" s="97">
        <v>2013</v>
      </c>
      <c r="J1" s="97">
        <v>2014</v>
      </c>
      <c r="K1" s="97">
        <v>2015</v>
      </c>
      <c r="L1" s="97">
        <v>2016</v>
      </c>
      <c r="M1" s="97">
        <v>2017</v>
      </c>
      <c r="N1" s="97">
        <v>2018</v>
      </c>
      <c r="O1" s="97">
        <v>2019</v>
      </c>
      <c r="P1" s="97">
        <v>2020</v>
      </c>
      <c r="Q1" s="97">
        <v>2021</v>
      </c>
      <c r="R1" s="97">
        <v>2022</v>
      </c>
      <c r="S1" s="57">
        <v>2023</v>
      </c>
      <c r="T1" s="57">
        <v>2024</v>
      </c>
      <c r="U1" s="57">
        <v>2025</v>
      </c>
      <c r="V1" s="57">
        <v>2026</v>
      </c>
      <c r="W1" s="57">
        <v>2027</v>
      </c>
      <c r="X1" s="57">
        <v>2028</v>
      </c>
      <c r="Y1" s="57">
        <v>2029</v>
      </c>
      <c r="Z1" s="57">
        <v>2030</v>
      </c>
      <c r="AA1" s="57">
        <v>2031</v>
      </c>
      <c r="AB1" s="57">
        <v>2032</v>
      </c>
      <c r="AC1" s="57">
        <v>2033</v>
      </c>
      <c r="AD1" s="57">
        <v>2034</v>
      </c>
      <c r="AE1" s="57">
        <v>2035</v>
      </c>
      <c r="AF1" s="58"/>
    </row>
    <row r="2" spans="2:32" ht="15.6" customHeight="1" x14ac:dyDescent="0.3"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</row>
    <row r="3" spans="2:32" ht="15.6" customHeight="1" x14ac:dyDescent="0.3"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</row>
    <row r="4" spans="2:32" ht="15" thickBot="1" x14ac:dyDescent="0.35"/>
    <row r="5" spans="2:32" x14ac:dyDescent="0.3">
      <c r="B5" s="61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3"/>
    </row>
    <row r="6" spans="2:32" x14ac:dyDescent="0.3">
      <c r="B6" s="64"/>
      <c r="C6" s="65"/>
      <c r="D6" s="66" t="s">
        <v>258</v>
      </c>
      <c r="E6" s="66"/>
      <c r="F6" s="66"/>
      <c r="G6" s="66"/>
      <c r="H6" s="66"/>
      <c r="I6" s="66"/>
      <c r="J6" s="66"/>
      <c r="K6" s="66"/>
      <c r="L6" s="66"/>
      <c r="M6" s="66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7"/>
    </row>
    <row r="7" spans="2:32" x14ac:dyDescent="0.3">
      <c r="B7" s="64"/>
      <c r="C7" s="65"/>
      <c r="D7" s="66"/>
      <c r="E7" s="66"/>
      <c r="F7" s="66"/>
      <c r="G7" s="66"/>
      <c r="H7" s="66"/>
      <c r="I7" s="66"/>
      <c r="J7" s="66"/>
      <c r="K7" s="66"/>
      <c r="L7" s="66"/>
      <c r="M7" s="66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7"/>
    </row>
    <row r="8" spans="2:32" x14ac:dyDescent="0.3">
      <c r="B8" s="64"/>
      <c r="C8" s="65"/>
      <c r="D8" s="68" t="s">
        <v>259</v>
      </c>
      <c r="E8" s="68"/>
      <c r="F8" s="68"/>
      <c r="G8" s="68"/>
      <c r="H8" s="68"/>
      <c r="I8" s="68"/>
      <c r="J8" s="68"/>
      <c r="K8" s="68"/>
      <c r="L8" s="68"/>
      <c r="M8" s="68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7"/>
    </row>
    <row r="9" spans="2:32" x14ac:dyDescent="0.3">
      <c r="B9" s="64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7"/>
    </row>
    <row r="10" spans="2:32" x14ac:dyDescent="0.3">
      <c r="B10" s="64"/>
      <c r="C10" s="66" t="s">
        <v>260</v>
      </c>
      <c r="D10" s="66" t="s">
        <v>261</v>
      </c>
      <c r="E10" s="66"/>
      <c r="F10" s="66"/>
      <c r="G10" s="66"/>
      <c r="H10" s="66"/>
      <c r="I10" s="66"/>
      <c r="J10" s="66"/>
      <c r="K10" s="66"/>
      <c r="L10" s="66"/>
      <c r="M10" s="66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7"/>
    </row>
    <row r="11" spans="2:32" x14ac:dyDescent="0.3">
      <c r="B11" s="64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7"/>
    </row>
    <row r="12" spans="2:32" x14ac:dyDescent="0.3">
      <c r="B12" s="64"/>
      <c r="C12" s="66" t="s">
        <v>262</v>
      </c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7"/>
    </row>
    <row r="13" spans="2:32" x14ac:dyDescent="0.3">
      <c r="B13" s="64"/>
      <c r="C13" s="111" t="s">
        <v>263</v>
      </c>
      <c r="D13" s="109" t="s">
        <v>264</v>
      </c>
      <c r="E13" s="69"/>
      <c r="F13" s="116">
        <f t="shared" ref="F13:I13" si="0">G13</f>
        <v>0.41274757603576678</v>
      </c>
      <c r="G13" s="116">
        <f t="shared" si="0"/>
        <v>0.41274757603576678</v>
      </c>
      <c r="H13" s="116">
        <f t="shared" si="0"/>
        <v>0.41274757603576678</v>
      </c>
      <c r="I13" s="116">
        <f t="shared" si="0"/>
        <v>0.41274757603576678</v>
      </c>
      <c r="J13" s="116">
        <f>K13</f>
        <v>0.41274757603576678</v>
      </c>
      <c r="K13" s="115">
        <f t="shared" ref="K13" si="1">K58/K67</f>
        <v>0.41274757603576678</v>
      </c>
      <c r="L13" s="116">
        <f>K13</f>
        <v>0.41274757603576678</v>
      </c>
      <c r="M13" s="116">
        <f t="shared" ref="M13:AE13" si="2">L13</f>
        <v>0.41274757603576678</v>
      </c>
      <c r="N13" s="116">
        <f t="shared" si="2"/>
        <v>0.41274757603576678</v>
      </c>
      <c r="O13" s="116">
        <f t="shared" si="2"/>
        <v>0.41274757603576678</v>
      </c>
      <c r="P13" s="116">
        <f t="shared" si="2"/>
        <v>0.41274757603576678</v>
      </c>
      <c r="Q13" s="116">
        <f t="shared" si="2"/>
        <v>0.41274757603576678</v>
      </c>
      <c r="R13" s="116">
        <f t="shared" si="2"/>
        <v>0.41274757603576678</v>
      </c>
      <c r="S13" s="116">
        <f t="shared" si="2"/>
        <v>0.41274757603576678</v>
      </c>
      <c r="T13" s="116">
        <f t="shared" si="2"/>
        <v>0.41274757603576678</v>
      </c>
      <c r="U13" s="116">
        <f t="shared" si="2"/>
        <v>0.41274757603576678</v>
      </c>
      <c r="V13" s="116">
        <f t="shared" si="2"/>
        <v>0.41274757603576678</v>
      </c>
      <c r="W13" s="116">
        <f t="shared" si="2"/>
        <v>0.41274757603576678</v>
      </c>
      <c r="X13" s="116">
        <f t="shared" si="2"/>
        <v>0.41274757603576678</v>
      </c>
      <c r="Y13" s="116">
        <f t="shared" si="2"/>
        <v>0.41274757603576678</v>
      </c>
      <c r="Z13" s="116">
        <f t="shared" si="2"/>
        <v>0.41274757603576678</v>
      </c>
      <c r="AA13" s="116">
        <f t="shared" si="2"/>
        <v>0.41274757603576678</v>
      </c>
      <c r="AB13" s="116">
        <f t="shared" si="2"/>
        <v>0.41274757603576678</v>
      </c>
      <c r="AC13" s="116">
        <f t="shared" si="2"/>
        <v>0.41274757603576678</v>
      </c>
      <c r="AD13" s="116">
        <f t="shared" si="2"/>
        <v>0.41274757603576678</v>
      </c>
      <c r="AE13" s="116">
        <f t="shared" si="2"/>
        <v>0.41274757603576678</v>
      </c>
      <c r="AF13" s="67"/>
    </row>
    <row r="14" spans="2:32" x14ac:dyDescent="0.3">
      <c r="B14" s="64"/>
      <c r="C14" s="65" t="s">
        <v>265</v>
      </c>
      <c r="D14" s="69" t="s">
        <v>266</v>
      </c>
      <c r="E14" s="69"/>
      <c r="F14" s="70">
        <f>F59/F67</f>
        <v>0</v>
      </c>
      <c r="G14" s="70">
        <f t="shared" ref="G14:R14" si="3">G59/G67</f>
        <v>0</v>
      </c>
      <c r="H14" s="70">
        <f t="shared" si="3"/>
        <v>0</v>
      </c>
      <c r="I14" s="70">
        <f t="shared" si="3"/>
        <v>0</v>
      </c>
      <c r="J14" s="70">
        <f t="shared" si="3"/>
        <v>0</v>
      </c>
      <c r="K14" s="70">
        <f t="shared" si="3"/>
        <v>0</v>
      </c>
      <c r="L14" s="70">
        <f t="shared" si="3"/>
        <v>0</v>
      </c>
      <c r="M14" s="70">
        <f t="shared" si="3"/>
        <v>0</v>
      </c>
      <c r="N14" s="70">
        <f t="shared" si="3"/>
        <v>0</v>
      </c>
      <c r="O14" s="70">
        <f t="shared" si="3"/>
        <v>0</v>
      </c>
      <c r="P14" s="70">
        <f t="shared" si="3"/>
        <v>0</v>
      </c>
      <c r="Q14" s="70">
        <f t="shared" si="3"/>
        <v>0</v>
      </c>
      <c r="R14" s="70">
        <f t="shared" si="3"/>
        <v>0</v>
      </c>
      <c r="S14" s="70">
        <f>R14</f>
        <v>0</v>
      </c>
      <c r="T14" s="70">
        <f t="shared" ref="T14:AE14" si="4">S14</f>
        <v>0</v>
      </c>
      <c r="U14" s="70">
        <f t="shared" si="4"/>
        <v>0</v>
      </c>
      <c r="V14" s="70">
        <f t="shared" si="4"/>
        <v>0</v>
      </c>
      <c r="W14" s="70">
        <f t="shared" si="4"/>
        <v>0</v>
      </c>
      <c r="X14" s="70">
        <f t="shared" si="4"/>
        <v>0</v>
      </c>
      <c r="Y14" s="70">
        <f t="shared" si="4"/>
        <v>0</v>
      </c>
      <c r="Z14" s="70">
        <f t="shared" si="4"/>
        <v>0</v>
      </c>
      <c r="AA14" s="70">
        <f t="shared" si="4"/>
        <v>0</v>
      </c>
      <c r="AB14" s="70">
        <f t="shared" si="4"/>
        <v>0</v>
      </c>
      <c r="AC14" s="70">
        <f t="shared" si="4"/>
        <v>0</v>
      </c>
      <c r="AD14" s="70">
        <f t="shared" si="4"/>
        <v>0</v>
      </c>
      <c r="AE14" s="70">
        <f t="shared" si="4"/>
        <v>0</v>
      </c>
      <c r="AF14" s="67"/>
    </row>
    <row r="15" spans="2:32" x14ac:dyDescent="0.3">
      <c r="B15" s="64"/>
      <c r="C15" s="111" t="s">
        <v>267</v>
      </c>
      <c r="D15" s="109" t="s">
        <v>268</v>
      </c>
      <c r="E15" s="69"/>
      <c r="F15" s="70">
        <f>F60/F67</f>
        <v>1.3522664148223913E-3</v>
      </c>
      <c r="G15" s="70">
        <f t="shared" ref="G15:R15" si="5">G60/G67</f>
        <v>1.5179384141240277E-3</v>
      </c>
      <c r="H15" s="70">
        <f t="shared" si="5"/>
        <v>1.6788496945129832E-3</v>
      </c>
      <c r="I15" s="70">
        <f t="shared" si="5"/>
        <v>4.4726924015390341E-3</v>
      </c>
      <c r="J15" s="70">
        <f t="shared" si="5"/>
        <v>6.6135233020917514E-3</v>
      </c>
      <c r="K15" s="70">
        <f t="shared" si="5"/>
        <v>6.0786704550753216E-3</v>
      </c>
      <c r="L15" s="70">
        <f t="shared" si="5"/>
        <v>5.3787473252608483E-3</v>
      </c>
      <c r="M15" s="70">
        <f t="shared" si="5"/>
        <v>6.0496500594147025E-3</v>
      </c>
      <c r="N15" s="70">
        <f t="shared" si="5"/>
        <v>6.7035231104326512E-3</v>
      </c>
      <c r="O15" s="70">
        <f t="shared" si="5"/>
        <v>6.9727583471030719E-3</v>
      </c>
      <c r="P15" s="70">
        <f t="shared" si="5"/>
        <v>7.240313991518285E-3</v>
      </c>
      <c r="Q15" s="70">
        <f t="shared" si="5"/>
        <v>7.3838074208435588E-3</v>
      </c>
      <c r="R15" s="70">
        <f t="shared" si="5"/>
        <v>6.2208552125215038E-3</v>
      </c>
      <c r="S15" s="70">
        <f t="shared" ref="S15:AE21" si="6">R15</f>
        <v>6.2208552125215038E-3</v>
      </c>
      <c r="T15" s="70">
        <f t="shared" si="6"/>
        <v>6.2208552125215038E-3</v>
      </c>
      <c r="U15" s="70">
        <f t="shared" si="6"/>
        <v>6.2208552125215038E-3</v>
      </c>
      <c r="V15" s="70">
        <f t="shared" si="6"/>
        <v>6.2208552125215038E-3</v>
      </c>
      <c r="W15" s="70">
        <f t="shared" si="6"/>
        <v>6.2208552125215038E-3</v>
      </c>
      <c r="X15" s="70">
        <f t="shared" si="6"/>
        <v>6.2208552125215038E-3</v>
      </c>
      <c r="Y15" s="70">
        <f t="shared" si="6"/>
        <v>6.2208552125215038E-3</v>
      </c>
      <c r="Z15" s="70">
        <f t="shared" si="6"/>
        <v>6.2208552125215038E-3</v>
      </c>
      <c r="AA15" s="70">
        <f t="shared" si="6"/>
        <v>6.2208552125215038E-3</v>
      </c>
      <c r="AB15" s="70">
        <f t="shared" si="6"/>
        <v>6.2208552125215038E-3</v>
      </c>
      <c r="AC15" s="70">
        <f t="shared" si="6"/>
        <v>6.2208552125215038E-3</v>
      </c>
      <c r="AD15" s="70">
        <f t="shared" si="6"/>
        <v>6.2208552125215038E-3</v>
      </c>
      <c r="AE15" s="70">
        <f t="shared" si="6"/>
        <v>6.2208552125215038E-3</v>
      </c>
      <c r="AF15" s="67"/>
    </row>
    <row r="16" spans="2:32" x14ac:dyDescent="0.3">
      <c r="B16" s="64"/>
      <c r="C16" s="111" t="s">
        <v>269</v>
      </c>
      <c r="D16" s="109" t="s">
        <v>270</v>
      </c>
      <c r="E16" s="69"/>
      <c r="F16" s="70">
        <f>F61/F67</f>
        <v>0.30664484955754306</v>
      </c>
      <c r="G16" s="70">
        <f t="shared" ref="G16:R16" si="7">G61/G67</f>
        <v>0.32113884573811463</v>
      </c>
      <c r="H16" s="70">
        <f t="shared" si="7"/>
        <v>0.33305618186215097</v>
      </c>
      <c r="I16" s="70">
        <f t="shared" si="7"/>
        <v>0.3172388043001515</v>
      </c>
      <c r="J16" s="70">
        <f t="shared" si="7"/>
        <v>0.30415095874243464</v>
      </c>
      <c r="K16" s="70">
        <f t="shared" si="7"/>
        <v>0.37597143100397551</v>
      </c>
      <c r="L16" s="70">
        <f t="shared" si="7"/>
        <v>0.43860520468487357</v>
      </c>
      <c r="M16" s="70">
        <f t="shared" si="7"/>
        <v>0.46483130866355266</v>
      </c>
      <c r="N16" s="70">
        <f t="shared" si="7"/>
        <v>0.48824654417938179</v>
      </c>
      <c r="O16" s="70">
        <f t="shared" si="7"/>
        <v>0.48945603139622385</v>
      </c>
      <c r="P16" s="70">
        <f t="shared" si="7"/>
        <v>0.49031485049626955</v>
      </c>
      <c r="Q16" s="70">
        <f t="shared" si="7"/>
        <v>0.50629904442298468</v>
      </c>
      <c r="R16" s="70">
        <f t="shared" si="7"/>
        <v>0.50748887686243671</v>
      </c>
      <c r="S16" s="70">
        <f t="shared" si="6"/>
        <v>0.50748887686243671</v>
      </c>
      <c r="T16" s="70">
        <f t="shared" si="6"/>
        <v>0.50748887686243671</v>
      </c>
      <c r="U16" s="70">
        <f t="shared" si="6"/>
        <v>0.50748887686243671</v>
      </c>
      <c r="V16" s="70">
        <f t="shared" si="6"/>
        <v>0.50748887686243671</v>
      </c>
      <c r="W16" s="70">
        <f t="shared" si="6"/>
        <v>0.50748887686243671</v>
      </c>
      <c r="X16" s="70">
        <f t="shared" si="6"/>
        <v>0.50748887686243671</v>
      </c>
      <c r="Y16" s="70">
        <f t="shared" si="6"/>
        <v>0.50748887686243671</v>
      </c>
      <c r="Z16" s="70">
        <f t="shared" si="6"/>
        <v>0.50748887686243671</v>
      </c>
      <c r="AA16" s="70">
        <f t="shared" si="6"/>
        <v>0.50748887686243671</v>
      </c>
      <c r="AB16" s="70">
        <f t="shared" si="6"/>
        <v>0.50748887686243671</v>
      </c>
      <c r="AC16" s="70">
        <f t="shared" si="6"/>
        <v>0.50748887686243671</v>
      </c>
      <c r="AD16" s="70">
        <f t="shared" si="6"/>
        <v>0.50748887686243671</v>
      </c>
      <c r="AE16" s="70">
        <f t="shared" si="6"/>
        <v>0.50748887686243671</v>
      </c>
      <c r="AF16" s="67"/>
    </row>
    <row r="17" spans="2:32" x14ac:dyDescent="0.3">
      <c r="B17" s="64"/>
      <c r="C17" s="111" t="s">
        <v>271</v>
      </c>
      <c r="D17" s="109" t="s">
        <v>272</v>
      </c>
      <c r="E17" s="69"/>
      <c r="F17" s="70">
        <f>F62/F67</f>
        <v>0.27701792174188883</v>
      </c>
      <c r="G17" s="70">
        <f t="shared" ref="G17:R17" si="8">G62/G67</f>
        <v>0.26229501440308783</v>
      </c>
      <c r="H17" s="70">
        <f t="shared" si="8"/>
        <v>0.25012560654141375</v>
      </c>
      <c r="I17" s="70">
        <f t="shared" si="8"/>
        <v>0.26336502285098312</v>
      </c>
      <c r="J17" s="70">
        <f t="shared" si="8"/>
        <v>0.27447899532525422</v>
      </c>
      <c r="K17" s="70">
        <f t="shared" si="8"/>
        <v>0.20308800234689539</v>
      </c>
      <c r="L17" s="70">
        <f t="shared" si="8"/>
        <v>0.14105369364369719</v>
      </c>
      <c r="M17" s="70">
        <f t="shared" si="8"/>
        <v>0.1141102845633206</v>
      </c>
      <c r="N17" s="70">
        <f t="shared" si="8"/>
        <v>9.0001739275572118E-2</v>
      </c>
      <c r="O17" s="70">
        <f t="shared" si="8"/>
        <v>8.78409528882928E-2</v>
      </c>
      <c r="P17" s="70">
        <f t="shared" si="8"/>
        <v>8.5900029584154436E-2</v>
      </c>
      <c r="Q17" s="70">
        <f t="shared" si="8"/>
        <v>7.1824308548205526E-2</v>
      </c>
      <c r="R17" s="70">
        <f t="shared" si="8"/>
        <v>7.1013738880030333E-2</v>
      </c>
      <c r="S17" s="70">
        <f t="shared" si="6"/>
        <v>7.1013738880030333E-2</v>
      </c>
      <c r="T17" s="70">
        <f t="shared" si="6"/>
        <v>7.1013738880030333E-2</v>
      </c>
      <c r="U17" s="70">
        <f t="shared" si="6"/>
        <v>7.1013738880030333E-2</v>
      </c>
      <c r="V17" s="70">
        <f t="shared" si="6"/>
        <v>7.1013738880030333E-2</v>
      </c>
      <c r="W17" s="70">
        <f t="shared" si="6"/>
        <v>7.1013738880030333E-2</v>
      </c>
      <c r="X17" s="70">
        <f t="shared" si="6"/>
        <v>7.1013738880030333E-2</v>
      </c>
      <c r="Y17" s="70">
        <f t="shared" si="6"/>
        <v>7.1013738880030333E-2</v>
      </c>
      <c r="Z17" s="70">
        <f t="shared" si="6"/>
        <v>7.1013738880030333E-2</v>
      </c>
      <c r="AA17" s="70">
        <f t="shared" si="6"/>
        <v>7.1013738880030333E-2</v>
      </c>
      <c r="AB17" s="70">
        <f t="shared" si="6"/>
        <v>7.1013738880030333E-2</v>
      </c>
      <c r="AC17" s="70">
        <f t="shared" si="6"/>
        <v>7.1013738880030333E-2</v>
      </c>
      <c r="AD17" s="70">
        <f t="shared" si="6"/>
        <v>7.1013738880030333E-2</v>
      </c>
      <c r="AE17" s="70">
        <f t="shared" si="6"/>
        <v>7.1013738880030333E-2</v>
      </c>
      <c r="AF17" s="67"/>
    </row>
    <row r="18" spans="2:32" x14ac:dyDescent="0.3">
      <c r="B18" s="64"/>
      <c r="C18" s="71" t="s">
        <v>273</v>
      </c>
      <c r="D18" s="72" t="s">
        <v>274</v>
      </c>
      <c r="E18" s="72"/>
      <c r="F18" s="70">
        <f>F63/F67</f>
        <v>0</v>
      </c>
      <c r="G18" s="70">
        <f t="shared" ref="G18:R18" si="9">G63/G67</f>
        <v>0</v>
      </c>
      <c r="H18" s="70">
        <f t="shared" si="9"/>
        <v>0</v>
      </c>
      <c r="I18" s="70">
        <f t="shared" si="9"/>
        <v>0</v>
      </c>
      <c r="J18" s="70">
        <f t="shared" si="9"/>
        <v>0</v>
      </c>
      <c r="K18" s="70">
        <f t="shared" si="9"/>
        <v>0</v>
      </c>
      <c r="L18" s="70">
        <f t="shared" si="9"/>
        <v>0</v>
      </c>
      <c r="M18" s="70">
        <f t="shared" si="9"/>
        <v>0</v>
      </c>
      <c r="N18" s="70">
        <f t="shared" si="9"/>
        <v>0</v>
      </c>
      <c r="O18" s="70">
        <f t="shared" si="9"/>
        <v>0</v>
      </c>
      <c r="P18" s="70">
        <f t="shared" si="9"/>
        <v>0</v>
      </c>
      <c r="Q18" s="70">
        <f t="shared" si="9"/>
        <v>0</v>
      </c>
      <c r="R18" s="70">
        <f t="shared" si="9"/>
        <v>0</v>
      </c>
      <c r="S18" s="70">
        <f t="shared" si="6"/>
        <v>0</v>
      </c>
      <c r="T18" s="70">
        <f t="shared" si="6"/>
        <v>0</v>
      </c>
      <c r="U18" s="70">
        <f t="shared" si="6"/>
        <v>0</v>
      </c>
      <c r="V18" s="70">
        <f t="shared" si="6"/>
        <v>0</v>
      </c>
      <c r="W18" s="70">
        <f t="shared" si="6"/>
        <v>0</v>
      </c>
      <c r="X18" s="70">
        <f t="shared" si="6"/>
        <v>0</v>
      </c>
      <c r="Y18" s="70">
        <f t="shared" si="6"/>
        <v>0</v>
      </c>
      <c r="Z18" s="70">
        <f t="shared" si="6"/>
        <v>0</v>
      </c>
      <c r="AA18" s="70">
        <f t="shared" si="6"/>
        <v>0</v>
      </c>
      <c r="AB18" s="70">
        <f t="shared" si="6"/>
        <v>0</v>
      </c>
      <c r="AC18" s="70">
        <f t="shared" si="6"/>
        <v>0</v>
      </c>
      <c r="AD18" s="70">
        <f t="shared" si="6"/>
        <v>0</v>
      </c>
      <c r="AE18" s="70">
        <f t="shared" si="6"/>
        <v>0</v>
      </c>
      <c r="AF18" s="67"/>
    </row>
    <row r="19" spans="2:32" x14ac:dyDescent="0.3">
      <c r="B19" s="64"/>
      <c r="C19" s="112" t="s">
        <v>275</v>
      </c>
      <c r="D19" s="110" t="s">
        <v>276</v>
      </c>
      <c r="E19" s="72"/>
      <c r="F19" s="70">
        <f>F64/F67</f>
        <v>2.2373862499788658E-3</v>
      </c>
      <c r="G19" s="70">
        <f t="shared" ref="G19:R19" si="10">G64/G67</f>
        <v>2.3006254089067294E-3</v>
      </c>
      <c r="H19" s="70">
        <f t="shared" si="10"/>
        <v>2.3917858661554828E-3</v>
      </c>
      <c r="I19" s="70">
        <f t="shared" si="10"/>
        <v>2.1759044115595302E-3</v>
      </c>
      <c r="J19" s="70">
        <f t="shared" si="10"/>
        <v>2.0089465944526019E-3</v>
      </c>
      <c r="K19" s="70">
        <f t="shared" si="10"/>
        <v>2.1143201582870686E-3</v>
      </c>
      <c r="L19" s="70">
        <f t="shared" si="10"/>
        <v>2.2147783104015258E-3</v>
      </c>
      <c r="M19" s="70">
        <f t="shared" si="10"/>
        <v>2.2611806779451677E-3</v>
      </c>
      <c r="N19" s="70">
        <f t="shared" si="10"/>
        <v>2.3006173988467087E-3</v>
      </c>
      <c r="O19" s="70">
        <f t="shared" si="10"/>
        <v>2.9826813326134954E-3</v>
      </c>
      <c r="P19" s="70">
        <f t="shared" si="10"/>
        <v>3.7972298922908398E-3</v>
      </c>
      <c r="Q19" s="70">
        <f t="shared" si="10"/>
        <v>1.7452635721993868E-3</v>
      </c>
      <c r="R19" s="70">
        <f t="shared" si="10"/>
        <v>2.5289530092446467E-3</v>
      </c>
      <c r="S19" s="70">
        <f t="shared" si="6"/>
        <v>2.5289530092446467E-3</v>
      </c>
      <c r="T19" s="70">
        <f t="shared" si="6"/>
        <v>2.5289530092446467E-3</v>
      </c>
      <c r="U19" s="70">
        <f t="shared" si="6"/>
        <v>2.5289530092446467E-3</v>
      </c>
      <c r="V19" s="70">
        <f t="shared" si="6"/>
        <v>2.5289530092446467E-3</v>
      </c>
      <c r="W19" s="70">
        <f t="shared" si="6"/>
        <v>2.5289530092446467E-3</v>
      </c>
      <c r="X19" s="70">
        <f t="shared" si="6"/>
        <v>2.5289530092446467E-3</v>
      </c>
      <c r="Y19" s="70">
        <f t="shared" si="6"/>
        <v>2.5289530092446467E-3</v>
      </c>
      <c r="Z19" s="70">
        <f t="shared" si="6"/>
        <v>2.5289530092446467E-3</v>
      </c>
      <c r="AA19" s="70">
        <f t="shared" si="6"/>
        <v>2.5289530092446467E-3</v>
      </c>
      <c r="AB19" s="70">
        <f t="shared" si="6"/>
        <v>2.5289530092446467E-3</v>
      </c>
      <c r="AC19" s="70">
        <f t="shared" si="6"/>
        <v>2.5289530092446467E-3</v>
      </c>
      <c r="AD19" s="70">
        <f t="shared" si="6"/>
        <v>2.5289530092446467E-3</v>
      </c>
      <c r="AE19" s="70">
        <f t="shared" si="6"/>
        <v>2.5289530092446467E-3</v>
      </c>
      <c r="AF19" s="67"/>
    </row>
    <row r="20" spans="2:32" x14ac:dyDescent="0.3">
      <c r="B20" s="64"/>
      <c r="C20" s="65" t="s">
        <v>277</v>
      </c>
      <c r="D20" s="69" t="s">
        <v>278</v>
      </c>
      <c r="E20" s="69"/>
      <c r="F20" s="70">
        <f>F65/F67</f>
        <v>0</v>
      </c>
      <c r="G20" s="70">
        <f t="shared" ref="G20:R20" si="11">G65/G67</f>
        <v>0</v>
      </c>
      <c r="H20" s="70">
        <f t="shared" si="11"/>
        <v>0</v>
      </c>
      <c r="I20" s="70">
        <f t="shared" si="11"/>
        <v>0</v>
      </c>
      <c r="J20" s="70">
        <f t="shared" si="11"/>
        <v>0</v>
      </c>
      <c r="K20" s="70">
        <f t="shared" si="11"/>
        <v>0</v>
      </c>
      <c r="L20" s="70">
        <f t="shared" si="11"/>
        <v>0</v>
      </c>
      <c r="M20" s="70">
        <f t="shared" si="11"/>
        <v>0</v>
      </c>
      <c r="N20" s="70">
        <f t="shared" si="11"/>
        <v>0</v>
      </c>
      <c r="O20" s="70">
        <f t="shared" si="11"/>
        <v>0</v>
      </c>
      <c r="P20" s="70">
        <f t="shared" si="11"/>
        <v>0</v>
      </c>
      <c r="Q20" s="70">
        <f t="shared" si="11"/>
        <v>0</v>
      </c>
      <c r="R20" s="70">
        <f t="shared" si="11"/>
        <v>0</v>
      </c>
      <c r="S20" s="70">
        <f t="shared" si="6"/>
        <v>0</v>
      </c>
      <c r="T20" s="70">
        <f t="shared" si="6"/>
        <v>0</v>
      </c>
      <c r="U20" s="70">
        <f t="shared" si="6"/>
        <v>0</v>
      </c>
      <c r="V20" s="70">
        <f t="shared" si="6"/>
        <v>0</v>
      </c>
      <c r="W20" s="70">
        <f t="shared" si="6"/>
        <v>0</v>
      </c>
      <c r="X20" s="70">
        <f t="shared" si="6"/>
        <v>0</v>
      </c>
      <c r="Y20" s="70">
        <f t="shared" si="6"/>
        <v>0</v>
      </c>
      <c r="Z20" s="70">
        <f t="shared" si="6"/>
        <v>0</v>
      </c>
      <c r="AA20" s="70">
        <f t="shared" si="6"/>
        <v>0</v>
      </c>
      <c r="AB20" s="70">
        <f t="shared" si="6"/>
        <v>0</v>
      </c>
      <c r="AC20" s="70">
        <f t="shared" si="6"/>
        <v>0</v>
      </c>
      <c r="AD20" s="70">
        <f t="shared" si="6"/>
        <v>0</v>
      </c>
      <c r="AE20" s="70">
        <f t="shared" si="6"/>
        <v>0</v>
      </c>
      <c r="AF20" s="67"/>
    </row>
    <row r="21" spans="2:32" x14ac:dyDescent="0.3">
      <c r="B21" s="64"/>
      <c r="C21" s="65" t="s">
        <v>279</v>
      </c>
      <c r="D21" s="69" t="s">
        <v>280</v>
      </c>
      <c r="E21" s="69"/>
      <c r="F21" s="70">
        <f>F66/F67</f>
        <v>0</v>
      </c>
      <c r="G21" s="70">
        <f t="shared" ref="G21:R21" si="12">G66/G67</f>
        <v>0</v>
      </c>
      <c r="H21" s="70">
        <f t="shared" si="12"/>
        <v>0</v>
      </c>
      <c r="I21" s="70">
        <f t="shared" si="12"/>
        <v>0</v>
      </c>
      <c r="J21" s="70">
        <f t="shared" si="12"/>
        <v>0</v>
      </c>
      <c r="K21" s="70">
        <f t="shared" si="12"/>
        <v>0</v>
      </c>
      <c r="L21" s="70">
        <f t="shared" si="12"/>
        <v>0</v>
      </c>
      <c r="M21" s="70">
        <f t="shared" si="12"/>
        <v>0</v>
      </c>
      <c r="N21" s="70">
        <f t="shared" si="12"/>
        <v>0</v>
      </c>
      <c r="O21" s="70">
        <f t="shared" si="12"/>
        <v>0</v>
      </c>
      <c r="P21" s="70">
        <f t="shared" si="12"/>
        <v>0</v>
      </c>
      <c r="Q21" s="70">
        <f t="shared" si="12"/>
        <v>0</v>
      </c>
      <c r="R21" s="70">
        <f t="shared" si="12"/>
        <v>0</v>
      </c>
      <c r="S21" s="70">
        <f t="shared" si="6"/>
        <v>0</v>
      </c>
      <c r="T21" s="70">
        <f t="shared" si="6"/>
        <v>0</v>
      </c>
      <c r="U21" s="70">
        <f t="shared" si="6"/>
        <v>0</v>
      </c>
      <c r="V21" s="70">
        <f t="shared" si="6"/>
        <v>0</v>
      </c>
      <c r="W21" s="70">
        <f t="shared" si="6"/>
        <v>0</v>
      </c>
      <c r="X21" s="70">
        <f t="shared" si="6"/>
        <v>0</v>
      </c>
      <c r="Y21" s="70">
        <f t="shared" si="6"/>
        <v>0</v>
      </c>
      <c r="Z21" s="70">
        <f t="shared" si="6"/>
        <v>0</v>
      </c>
      <c r="AA21" s="70">
        <f t="shared" si="6"/>
        <v>0</v>
      </c>
      <c r="AB21" s="70">
        <f t="shared" si="6"/>
        <v>0</v>
      </c>
      <c r="AC21" s="70">
        <f t="shared" si="6"/>
        <v>0</v>
      </c>
      <c r="AD21" s="70">
        <f t="shared" si="6"/>
        <v>0</v>
      </c>
      <c r="AE21" s="70">
        <f t="shared" si="6"/>
        <v>0</v>
      </c>
      <c r="AF21" s="67"/>
    </row>
    <row r="22" spans="2:32" x14ac:dyDescent="0.3">
      <c r="B22" s="64"/>
      <c r="C22" s="65"/>
      <c r="D22" s="65"/>
      <c r="E22" s="65"/>
      <c r="F22" s="73">
        <f t="shared" ref="F22:AE22" si="13">SUM(F13:F21)</f>
        <v>0.99999999999999989</v>
      </c>
      <c r="G22" s="73">
        <f t="shared" si="13"/>
        <v>0.99999999999999989</v>
      </c>
      <c r="H22" s="73">
        <f t="shared" si="13"/>
        <v>1</v>
      </c>
      <c r="I22" s="73">
        <f t="shared" si="13"/>
        <v>1</v>
      </c>
      <c r="J22" s="73">
        <f t="shared" si="13"/>
        <v>1</v>
      </c>
      <c r="K22" s="73">
        <f t="shared" si="13"/>
        <v>1</v>
      </c>
      <c r="L22" s="73">
        <f t="shared" si="13"/>
        <v>0.99999999999999989</v>
      </c>
      <c r="M22" s="73">
        <f t="shared" si="13"/>
        <v>0.99999999999999989</v>
      </c>
      <c r="N22" s="73">
        <f>SUM(N13:N21)</f>
        <v>1</v>
      </c>
      <c r="O22" s="73">
        <f t="shared" si="13"/>
        <v>1</v>
      </c>
      <c r="P22" s="73">
        <f t="shared" si="13"/>
        <v>0.99999999999999989</v>
      </c>
      <c r="Q22" s="73">
        <f t="shared" si="13"/>
        <v>0.99999999999999989</v>
      </c>
      <c r="R22" s="73">
        <f t="shared" si="13"/>
        <v>1</v>
      </c>
      <c r="S22" s="73">
        <f t="shared" si="13"/>
        <v>1</v>
      </c>
      <c r="T22" s="73">
        <f t="shared" si="13"/>
        <v>1</v>
      </c>
      <c r="U22" s="73">
        <f t="shared" si="13"/>
        <v>1</v>
      </c>
      <c r="V22" s="73">
        <f t="shared" si="13"/>
        <v>1</v>
      </c>
      <c r="W22" s="73">
        <f t="shared" si="13"/>
        <v>1</v>
      </c>
      <c r="X22" s="73">
        <f t="shared" si="13"/>
        <v>1</v>
      </c>
      <c r="Y22" s="73">
        <f t="shared" si="13"/>
        <v>1</v>
      </c>
      <c r="Z22" s="73">
        <f t="shared" si="13"/>
        <v>1</v>
      </c>
      <c r="AA22" s="73">
        <f t="shared" si="13"/>
        <v>1</v>
      </c>
      <c r="AB22" s="73">
        <f t="shared" si="13"/>
        <v>1</v>
      </c>
      <c r="AC22" s="73">
        <f t="shared" si="13"/>
        <v>1</v>
      </c>
      <c r="AD22" s="73">
        <f t="shared" si="13"/>
        <v>1</v>
      </c>
      <c r="AE22" s="73">
        <f t="shared" si="13"/>
        <v>1</v>
      </c>
      <c r="AF22" s="67"/>
    </row>
    <row r="23" spans="2:32" x14ac:dyDescent="0.3">
      <c r="B23" s="64"/>
      <c r="C23" s="65"/>
      <c r="D23" s="74"/>
      <c r="E23" s="74"/>
      <c r="F23" s="74"/>
      <c r="G23" s="74"/>
      <c r="H23" s="74"/>
      <c r="I23" s="74"/>
      <c r="J23" s="74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67"/>
    </row>
    <row r="24" spans="2:32" x14ac:dyDescent="0.3">
      <c r="B24" s="64"/>
      <c r="C24" s="65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67"/>
    </row>
    <row r="25" spans="2:32" x14ac:dyDescent="0.3">
      <c r="B25" s="64"/>
      <c r="C25" s="6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67"/>
    </row>
    <row r="26" spans="2:32" x14ac:dyDescent="0.3">
      <c r="B26" s="64"/>
      <c r="C26" s="66" t="s">
        <v>281</v>
      </c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67"/>
    </row>
    <row r="27" spans="2:32" ht="28.8" x14ac:dyDescent="0.3">
      <c r="B27" s="64"/>
      <c r="C27" s="65" t="s">
        <v>282</v>
      </c>
      <c r="D27" s="71" t="s">
        <v>283</v>
      </c>
      <c r="E27" s="71"/>
      <c r="F27" s="70">
        <f t="shared" ref="F27:AE27" si="14">F13</f>
        <v>0.41274757603576678</v>
      </c>
      <c r="G27" s="70">
        <f t="shared" si="14"/>
        <v>0.41274757603576678</v>
      </c>
      <c r="H27" s="70">
        <f t="shared" si="14"/>
        <v>0.41274757603576678</v>
      </c>
      <c r="I27" s="70">
        <f t="shared" si="14"/>
        <v>0.41274757603576678</v>
      </c>
      <c r="J27" s="70">
        <f t="shared" si="14"/>
        <v>0.41274757603576678</v>
      </c>
      <c r="K27" s="70">
        <f t="shared" si="14"/>
        <v>0.41274757603576678</v>
      </c>
      <c r="L27" s="70">
        <f t="shared" si="14"/>
        <v>0.41274757603576678</v>
      </c>
      <c r="M27" s="70">
        <f t="shared" si="14"/>
        <v>0.41274757603576678</v>
      </c>
      <c r="N27" s="70">
        <f t="shared" si="14"/>
        <v>0.41274757603576678</v>
      </c>
      <c r="O27" s="70">
        <f t="shared" si="14"/>
        <v>0.41274757603576678</v>
      </c>
      <c r="P27" s="70">
        <f t="shared" si="14"/>
        <v>0.41274757603576678</v>
      </c>
      <c r="Q27" s="70">
        <f t="shared" si="14"/>
        <v>0.41274757603576678</v>
      </c>
      <c r="R27" s="70">
        <f t="shared" si="14"/>
        <v>0.41274757603576678</v>
      </c>
      <c r="S27" s="70">
        <f t="shared" si="14"/>
        <v>0.41274757603576678</v>
      </c>
      <c r="T27" s="70">
        <f t="shared" si="14"/>
        <v>0.41274757603576678</v>
      </c>
      <c r="U27" s="70">
        <f t="shared" si="14"/>
        <v>0.41274757603576678</v>
      </c>
      <c r="V27" s="70">
        <f t="shared" si="14"/>
        <v>0.41274757603576678</v>
      </c>
      <c r="W27" s="70">
        <f t="shared" si="14"/>
        <v>0.41274757603576678</v>
      </c>
      <c r="X27" s="70">
        <f t="shared" si="14"/>
        <v>0.41274757603576678</v>
      </c>
      <c r="Y27" s="70">
        <f t="shared" si="14"/>
        <v>0.41274757603576678</v>
      </c>
      <c r="Z27" s="70">
        <f t="shared" si="14"/>
        <v>0.41274757603576678</v>
      </c>
      <c r="AA27" s="70">
        <f t="shared" si="14"/>
        <v>0.41274757603576678</v>
      </c>
      <c r="AB27" s="70">
        <f t="shared" si="14"/>
        <v>0.41274757603576678</v>
      </c>
      <c r="AC27" s="70">
        <f t="shared" si="14"/>
        <v>0.41274757603576678</v>
      </c>
      <c r="AD27" s="70">
        <f t="shared" si="14"/>
        <v>0.41274757603576678</v>
      </c>
      <c r="AE27" s="70">
        <f t="shared" si="14"/>
        <v>0.41274757603576678</v>
      </c>
      <c r="AF27" s="67"/>
    </row>
    <row r="28" spans="2:32" ht="28.8" x14ac:dyDescent="0.3">
      <c r="B28" s="64"/>
      <c r="C28" s="65" t="s">
        <v>284</v>
      </c>
      <c r="D28" s="71" t="s">
        <v>285</v>
      </c>
      <c r="E28" s="71"/>
      <c r="F28" s="70">
        <f t="shared" ref="F28:AE28" si="15">F15+F14</f>
        <v>1.3522664148223913E-3</v>
      </c>
      <c r="G28" s="70">
        <f t="shared" si="15"/>
        <v>1.5179384141240277E-3</v>
      </c>
      <c r="H28" s="70">
        <f t="shared" si="15"/>
        <v>1.6788496945129832E-3</v>
      </c>
      <c r="I28" s="70">
        <f t="shared" si="15"/>
        <v>4.4726924015390341E-3</v>
      </c>
      <c r="J28" s="70">
        <f t="shared" si="15"/>
        <v>6.6135233020917514E-3</v>
      </c>
      <c r="K28" s="70">
        <f t="shared" si="15"/>
        <v>6.0786704550753216E-3</v>
      </c>
      <c r="L28" s="70">
        <f t="shared" si="15"/>
        <v>5.3787473252608483E-3</v>
      </c>
      <c r="M28" s="70">
        <f t="shared" si="15"/>
        <v>6.0496500594147025E-3</v>
      </c>
      <c r="N28" s="70">
        <f t="shared" si="15"/>
        <v>6.7035231104326512E-3</v>
      </c>
      <c r="O28" s="70">
        <f t="shared" si="15"/>
        <v>6.9727583471030719E-3</v>
      </c>
      <c r="P28" s="70">
        <f t="shared" si="15"/>
        <v>7.240313991518285E-3</v>
      </c>
      <c r="Q28" s="70">
        <f t="shared" si="15"/>
        <v>7.3838074208435588E-3</v>
      </c>
      <c r="R28" s="70">
        <f t="shared" si="15"/>
        <v>6.2208552125215038E-3</v>
      </c>
      <c r="S28" s="70">
        <f t="shared" si="15"/>
        <v>6.2208552125215038E-3</v>
      </c>
      <c r="T28" s="70">
        <f t="shared" si="15"/>
        <v>6.2208552125215038E-3</v>
      </c>
      <c r="U28" s="70">
        <f t="shared" si="15"/>
        <v>6.2208552125215038E-3</v>
      </c>
      <c r="V28" s="70">
        <f t="shared" si="15"/>
        <v>6.2208552125215038E-3</v>
      </c>
      <c r="W28" s="70">
        <f t="shared" si="15"/>
        <v>6.2208552125215038E-3</v>
      </c>
      <c r="X28" s="70">
        <f t="shared" si="15"/>
        <v>6.2208552125215038E-3</v>
      </c>
      <c r="Y28" s="70">
        <f t="shared" si="15"/>
        <v>6.2208552125215038E-3</v>
      </c>
      <c r="Z28" s="70">
        <f t="shared" si="15"/>
        <v>6.2208552125215038E-3</v>
      </c>
      <c r="AA28" s="70">
        <f t="shared" si="15"/>
        <v>6.2208552125215038E-3</v>
      </c>
      <c r="AB28" s="70">
        <f t="shared" si="15"/>
        <v>6.2208552125215038E-3</v>
      </c>
      <c r="AC28" s="70">
        <f t="shared" si="15"/>
        <v>6.2208552125215038E-3</v>
      </c>
      <c r="AD28" s="70">
        <f t="shared" si="15"/>
        <v>6.2208552125215038E-3</v>
      </c>
      <c r="AE28" s="70">
        <f t="shared" si="15"/>
        <v>6.2208552125215038E-3</v>
      </c>
      <c r="AF28" s="67"/>
    </row>
    <row r="29" spans="2:32" ht="28.8" x14ac:dyDescent="0.3">
      <c r="B29" s="64"/>
      <c r="C29" s="65" t="s">
        <v>286</v>
      </c>
      <c r="D29" s="71" t="s">
        <v>287</v>
      </c>
      <c r="E29" s="71"/>
      <c r="F29" s="70">
        <f t="shared" ref="F29:AE29" si="16">F16+F17+F18+F19</f>
        <v>0.58590015754941072</v>
      </c>
      <c r="G29" s="70">
        <f t="shared" si="16"/>
        <v>0.58573448555010921</v>
      </c>
      <c r="H29" s="70">
        <f t="shared" si="16"/>
        <v>0.58557357426972023</v>
      </c>
      <c r="I29" s="70">
        <f t="shared" si="16"/>
        <v>0.58277973156269425</v>
      </c>
      <c r="J29" s="70">
        <f t="shared" si="16"/>
        <v>0.58063890066214152</v>
      </c>
      <c r="K29" s="70">
        <f t="shared" si="16"/>
        <v>0.58117375350915801</v>
      </c>
      <c r="L29" s="70">
        <f t="shared" si="16"/>
        <v>0.58187367663897227</v>
      </c>
      <c r="M29" s="70">
        <f t="shared" si="16"/>
        <v>0.58120277390481834</v>
      </c>
      <c r="N29" s="70">
        <f t="shared" si="16"/>
        <v>0.58054890085380062</v>
      </c>
      <c r="O29" s="70">
        <f t="shared" si="16"/>
        <v>0.58027966561713007</v>
      </c>
      <c r="P29" s="70">
        <f t="shared" si="16"/>
        <v>0.5800121099727148</v>
      </c>
      <c r="Q29" s="70">
        <f t="shared" si="16"/>
        <v>0.57986861654338961</v>
      </c>
      <c r="R29" s="70">
        <f t="shared" si="16"/>
        <v>0.58103156875171169</v>
      </c>
      <c r="S29" s="70">
        <f t="shared" si="16"/>
        <v>0.58103156875171169</v>
      </c>
      <c r="T29" s="70">
        <f t="shared" si="16"/>
        <v>0.58103156875171169</v>
      </c>
      <c r="U29" s="70">
        <f t="shared" si="16"/>
        <v>0.58103156875171169</v>
      </c>
      <c r="V29" s="70">
        <f t="shared" si="16"/>
        <v>0.58103156875171169</v>
      </c>
      <c r="W29" s="70">
        <f t="shared" si="16"/>
        <v>0.58103156875171169</v>
      </c>
      <c r="X29" s="70">
        <f t="shared" si="16"/>
        <v>0.58103156875171169</v>
      </c>
      <c r="Y29" s="70">
        <f t="shared" si="16"/>
        <v>0.58103156875171169</v>
      </c>
      <c r="Z29" s="70">
        <f t="shared" si="16"/>
        <v>0.58103156875171169</v>
      </c>
      <c r="AA29" s="70">
        <f t="shared" si="16"/>
        <v>0.58103156875171169</v>
      </c>
      <c r="AB29" s="70">
        <f t="shared" si="16"/>
        <v>0.58103156875171169</v>
      </c>
      <c r="AC29" s="70">
        <f t="shared" si="16"/>
        <v>0.58103156875171169</v>
      </c>
      <c r="AD29" s="70">
        <f t="shared" si="16"/>
        <v>0.58103156875171169</v>
      </c>
      <c r="AE29" s="70">
        <f t="shared" si="16"/>
        <v>0.58103156875171169</v>
      </c>
      <c r="AF29" s="67"/>
    </row>
    <row r="30" spans="2:32" ht="28.8" x14ac:dyDescent="0.3">
      <c r="B30" s="64"/>
      <c r="C30" s="65" t="s">
        <v>288</v>
      </c>
      <c r="D30" s="71" t="s">
        <v>289</v>
      </c>
      <c r="E30" s="71"/>
      <c r="F30" s="70">
        <f t="shared" ref="F30:AE30" si="17">F20+F21</f>
        <v>0</v>
      </c>
      <c r="G30" s="70">
        <f t="shared" si="17"/>
        <v>0</v>
      </c>
      <c r="H30" s="70">
        <f t="shared" si="17"/>
        <v>0</v>
      </c>
      <c r="I30" s="70">
        <f t="shared" si="17"/>
        <v>0</v>
      </c>
      <c r="J30" s="70">
        <f t="shared" si="17"/>
        <v>0</v>
      </c>
      <c r="K30" s="70">
        <f t="shared" si="17"/>
        <v>0</v>
      </c>
      <c r="L30" s="70">
        <f t="shared" si="17"/>
        <v>0</v>
      </c>
      <c r="M30" s="70">
        <f t="shared" si="17"/>
        <v>0</v>
      </c>
      <c r="N30" s="70">
        <f t="shared" si="17"/>
        <v>0</v>
      </c>
      <c r="O30" s="70">
        <f t="shared" si="17"/>
        <v>0</v>
      </c>
      <c r="P30" s="70">
        <f t="shared" si="17"/>
        <v>0</v>
      </c>
      <c r="Q30" s="70">
        <f t="shared" si="17"/>
        <v>0</v>
      </c>
      <c r="R30" s="70">
        <f t="shared" si="17"/>
        <v>0</v>
      </c>
      <c r="S30" s="70">
        <f t="shared" si="17"/>
        <v>0</v>
      </c>
      <c r="T30" s="70">
        <f t="shared" si="17"/>
        <v>0</v>
      </c>
      <c r="U30" s="70">
        <f t="shared" si="17"/>
        <v>0</v>
      </c>
      <c r="V30" s="70">
        <f t="shared" si="17"/>
        <v>0</v>
      </c>
      <c r="W30" s="70">
        <f t="shared" si="17"/>
        <v>0</v>
      </c>
      <c r="X30" s="70">
        <f t="shared" si="17"/>
        <v>0</v>
      </c>
      <c r="Y30" s="70">
        <f t="shared" si="17"/>
        <v>0</v>
      </c>
      <c r="Z30" s="70">
        <f t="shared" si="17"/>
        <v>0</v>
      </c>
      <c r="AA30" s="70">
        <f t="shared" si="17"/>
        <v>0</v>
      </c>
      <c r="AB30" s="70">
        <f t="shared" si="17"/>
        <v>0</v>
      </c>
      <c r="AC30" s="70">
        <f t="shared" si="17"/>
        <v>0</v>
      </c>
      <c r="AD30" s="70">
        <f t="shared" si="17"/>
        <v>0</v>
      </c>
      <c r="AE30" s="70">
        <f t="shared" si="17"/>
        <v>0</v>
      </c>
      <c r="AF30" s="67"/>
    </row>
    <row r="31" spans="2:32" x14ac:dyDescent="0.3">
      <c r="B31" s="64"/>
      <c r="C31" s="65"/>
      <c r="D31" s="77"/>
      <c r="E31" s="77"/>
      <c r="F31" s="78">
        <f t="shared" ref="F31:J31" si="18">SUM(F27:F30)</f>
        <v>0.99999999999999989</v>
      </c>
      <c r="G31" s="78">
        <f t="shared" si="18"/>
        <v>1</v>
      </c>
      <c r="H31" s="78">
        <f t="shared" si="18"/>
        <v>1</v>
      </c>
      <c r="I31" s="78">
        <f t="shared" si="18"/>
        <v>1</v>
      </c>
      <c r="J31" s="78">
        <f t="shared" si="18"/>
        <v>1</v>
      </c>
      <c r="K31" s="78">
        <f t="shared" ref="K31:M31" si="19">SUM(K27:K30)</f>
        <v>1</v>
      </c>
      <c r="L31" s="78">
        <f t="shared" si="19"/>
        <v>0.99999999999999989</v>
      </c>
      <c r="M31" s="78">
        <f t="shared" si="19"/>
        <v>0.99999999999999978</v>
      </c>
      <c r="N31" s="78">
        <f>SUM(N27:N30)</f>
        <v>1</v>
      </c>
      <c r="O31" s="78">
        <f t="shared" ref="O31:AE31" si="20">SUM(O27:O30)</f>
        <v>1</v>
      </c>
      <c r="P31" s="78">
        <f t="shared" si="20"/>
        <v>0.99999999999999989</v>
      </c>
      <c r="Q31" s="78">
        <f t="shared" si="20"/>
        <v>1</v>
      </c>
      <c r="R31" s="78">
        <f t="shared" si="20"/>
        <v>1</v>
      </c>
      <c r="S31" s="78">
        <f t="shared" si="20"/>
        <v>1</v>
      </c>
      <c r="T31" s="78">
        <f t="shared" si="20"/>
        <v>1</v>
      </c>
      <c r="U31" s="78">
        <f t="shared" si="20"/>
        <v>1</v>
      </c>
      <c r="V31" s="78">
        <f t="shared" si="20"/>
        <v>1</v>
      </c>
      <c r="W31" s="78">
        <f t="shared" si="20"/>
        <v>1</v>
      </c>
      <c r="X31" s="78">
        <f t="shared" si="20"/>
        <v>1</v>
      </c>
      <c r="Y31" s="78">
        <f t="shared" si="20"/>
        <v>1</v>
      </c>
      <c r="Z31" s="78">
        <f t="shared" si="20"/>
        <v>1</v>
      </c>
      <c r="AA31" s="78">
        <f t="shared" si="20"/>
        <v>1</v>
      </c>
      <c r="AB31" s="78">
        <f t="shared" si="20"/>
        <v>1</v>
      </c>
      <c r="AC31" s="78">
        <f t="shared" si="20"/>
        <v>1</v>
      </c>
      <c r="AD31" s="78">
        <f t="shared" si="20"/>
        <v>1</v>
      </c>
      <c r="AE31" s="78">
        <f t="shared" si="20"/>
        <v>1</v>
      </c>
      <c r="AF31" s="67"/>
    </row>
    <row r="32" spans="2:32" x14ac:dyDescent="0.3">
      <c r="B32" s="64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67"/>
    </row>
    <row r="33" spans="2:32" x14ac:dyDescent="0.3">
      <c r="B33" s="64"/>
      <c r="C33" s="66" t="s">
        <v>290</v>
      </c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79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67"/>
    </row>
    <row r="34" spans="2:32" ht="28.8" x14ac:dyDescent="0.3">
      <c r="B34" s="64"/>
      <c r="C34" s="65" t="s">
        <v>291</v>
      </c>
      <c r="D34" s="71" t="s">
        <v>292</v>
      </c>
      <c r="E34" s="71"/>
      <c r="F34" s="70">
        <f t="shared" ref="F34:M37" si="21">F27</f>
        <v>0.41274757603576678</v>
      </c>
      <c r="G34" s="70">
        <f t="shared" si="21"/>
        <v>0.41274757603576678</v>
      </c>
      <c r="H34" s="70">
        <f t="shared" si="21"/>
        <v>0.41274757603576678</v>
      </c>
      <c r="I34" s="70">
        <f t="shared" si="21"/>
        <v>0.41274757603576678</v>
      </c>
      <c r="J34" s="70">
        <f t="shared" si="21"/>
        <v>0.41274757603576678</v>
      </c>
      <c r="K34" s="70">
        <f t="shared" si="21"/>
        <v>0.41274757603576678</v>
      </c>
      <c r="L34" s="70">
        <f t="shared" si="21"/>
        <v>0.41274757603576678</v>
      </c>
      <c r="M34" s="70">
        <f t="shared" si="21"/>
        <v>0.41274757603576678</v>
      </c>
      <c r="N34" s="70">
        <f>N27</f>
        <v>0.41274757603576678</v>
      </c>
      <c r="O34" s="70">
        <f t="shared" ref="O34:AE37" si="22">O27</f>
        <v>0.41274757603576678</v>
      </c>
      <c r="P34" s="70">
        <f t="shared" si="22"/>
        <v>0.41274757603576678</v>
      </c>
      <c r="Q34" s="70">
        <f t="shared" si="22"/>
        <v>0.41274757603576678</v>
      </c>
      <c r="R34" s="70">
        <f t="shared" si="22"/>
        <v>0.41274757603576678</v>
      </c>
      <c r="S34" s="70">
        <f t="shared" si="22"/>
        <v>0.41274757603576678</v>
      </c>
      <c r="T34" s="70">
        <f t="shared" si="22"/>
        <v>0.41274757603576678</v>
      </c>
      <c r="U34" s="70">
        <f t="shared" si="22"/>
        <v>0.41274757603576678</v>
      </c>
      <c r="V34" s="70">
        <f t="shared" si="22"/>
        <v>0.41274757603576678</v>
      </c>
      <c r="W34" s="70">
        <f t="shared" si="22"/>
        <v>0.41274757603576678</v>
      </c>
      <c r="X34" s="70">
        <f t="shared" si="22"/>
        <v>0.41274757603576678</v>
      </c>
      <c r="Y34" s="70">
        <f t="shared" si="22"/>
        <v>0.41274757603576678</v>
      </c>
      <c r="Z34" s="70">
        <f t="shared" si="22"/>
        <v>0.41274757603576678</v>
      </c>
      <c r="AA34" s="70">
        <f t="shared" si="22"/>
        <v>0.41274757603576678</v>
      </c>
      <c r="AB34" s="70">
        <f t="shared" si="22"/>
        <v>0.41274757603576678</v>
      </c>
      <c r="AC34" s="70">
        <f t="shared" si="22"/>
        <v>0.41274757603576678</v>
      </c>
      <c r="AD34" s="70">
        <f t="shared" si="22"/>
        <v>0.41274757603576678</v>
      </c>
      <c r="AE34" s="70">
        <f t="shared" si="22"/>
        <v>0.41274757603576678</v>
      </c>
      <c r="AF34" s="67"/>
    </row>
    <row r="35" spans="2:32" ht="28.8" x14ac:dyDescent="0.3">
      <c r="B35" s="64"/>
      <c r="C35" s="65" t="s">
        <v>293</v>
      </c>
      <c r="D35" s="71" t="s">
        <v>294</v>
      </c>
      <c r="E35" s="71"/>
      <c r="F35" s="70">
        <f t="shared" si="21"/>
        <v>1.3522664148223913E-3</v>
      </c>
      <c r="G35" s="70">
        <f t="shared" si="21"/>
        <v>1.5179384141240277E-3</v>
      </c>
      <c r="H35" s="70">
        <f t="shared" si="21"/>
        <v>1.6788496945129832E-3</v>
      </c>
      <c r="I35" s="70">
        <f t="shared" si="21"/>
        <v>4.4726924015390341E-3</v>
      </c>
      <c r="J35" s="70">
        <f t="shared" si="21"/>
        <v>6.6135233020917514E-3</v>
      </c>
      <c r="K35" s="70">
        <f t="shared" si="21"/>
        <v>6.0786704550753216E-3</v>
      </c>
      <c r="L35" s="70">
        <f t="shared" si="21"/>
        <v>5.3787473252608483E-3</v>
      </c>
      <c r="M35" s="70">
        <f t="shared" si="21"/>
        <v>6.0496500594147025E-3</v>
      </c>
      <c r="N35" s="70">
        <f>N28</f>
        <v>6.7035231104326512E-3</v>
      </c>
      <c r="O35" s="70">
        <f t="shared" si="22"/>
        <v>6.9727583471030719E-3</v>
      </c>
      <c r="P35" s="70">
        <f t="shared" si="22"/>
        <v>7.240313991518285E-3</v>
      </c>
      <c r="Q35" s="70">
        <f t="shared" si="22"/>
        <v>7.3838074208435588E-3</v>
      </c>
      <c r="R35" s="70">
        <f t="shared" si="22"/>
        <v>6.2208552125215038E-3</v>
      </c>
      <c r="S35" s="70">
        <f t="shared" si="22"/>
        <v>6.2208552125215038E-3</v>
      </c>
      <c r="T35" s="70">
        <f t="shared" si="22"/>
        <v>6.2208552125215038E-3</v>
      </c>
      <c r="U35" s="70">
        <f t="shared" si="22"/>
        <v>6.2208552125215038E-3</v>
      </c>
      <c r="V35" s="70">
        <f t="shared" si="22"/>
        <v>6.2208552125215038E-3</v>
      </c>
      <c r="W35" s="70">
        <f t="shared" si="22"/>
        <v>6.2208552125215038E-3</v>
      </c>
      <c r="X35" s="70">
        <f t="shared" si="22"/>
        <v>6.2208552125215038E-3</v>
      </c>
      <c r="Y35" s="70">
        <f t="shared" si="22"/>
        <v>6.2208552125215038E-3</v>
      </c>
      <c r="Z35" s="70">
        <f t="shared" si="22"/>
        <v>6.2208552125215038E-3</v>
      </c>
      <c r="AA35" s="70">
        <f t="shared" si="22"/>
        <v>6.2208552125215038E-3</v>
      </c>
      <c r="AB35" s="70">
        <f t="shared" si="22"/>
        <v>6.2208552125215038E-3</v>
      </c>
      <c r="AC35" s="70">
        <f t="shared" si="22"/>
        <v>6.2208552125215038E-3</v>
      </c>
      <c r="AD35" s="70">
        <f t="shared" si="22"/>
        <v>6.2208552125215038E-3</v>
      </c>
      <c r="AE35" s="70">
        <f t="shared" si="22"/>
        <v>6.2208552125215038E-3</v>
      </c>
      <c r="AF35" s="67"/>
    </row>
    <row r="36" spans="2:32" ht="28.8" x14ac:dyDescent="0.3">
      <c r="B36" s="64"/>
      <c r="C36" s="65" t="s">
        <v>295</v>
      </c>
      <c r="D36" s="71" t="s">
        <v>296</v>
      </c>
      <c r="E36" s="71"/>
      <c r="F36" s="70">
        <f t="shared" si="21"/>
        <v>0.58590015754941072</v>
      </c>
      <c r="G36" s="70">
        <f t="shared" si="21"/>
        <v>0.58573448555010921</v>
      </c>
      <c r="H36" s="70">
        <f t="shared" si="21"/>
        <v>0.58557357426972023</v>
      </c>
      <c r="I36" s="70">
        <f t="shared" si="21"/>
        <v>0.58277973156269425</v>
      </c>
      <c r="J36" s="70">
        <f t="shared" si="21"/>
        <v>0.58063890066214152</v>
      </c>
      <c r="K36" s="70">
        <f t="shared" si="21"/>
        <v>0.58117375350915801</v>
      </c>
      <c r="L36" s="70">
        <f t="shared" si="21"/>
        <v>0.58187367663897227</v>
      </c>
      <c r="M36" s="70">
        <f t="shared" si="21"/>
        <v>0.58120277390481834</v>
      </c>
      <c r="N36" s="70">
        <f>N29</f>
        <v>0.58054890085380062</v>
      </c>
      <c r="O36" s="70">
        <f t="shared" si="22"/>
        <v>0.58027966561713007</v>
      </c>
      <c r="P36" s="70">
        <f t="shared" si="22"/>
        <v>0.5800121099727148</v>
      </c>
      <c r="Q36" s="70">
        <f t="shared" si="22"/>
        <v>0.57986861654338961</v>
      </c>
      <c r="R36" s="70">
        <f t="shared" si="22"/>
        <v>0.58103156875171169</v>
      </c>
      <c r="S36" s="70">
        <f t="shared" si="22"/>
        <v>0.58103156875171169</v>
      </c>
      <c r="T36" s="70">
        <f t="shared" si="22"/>
        <v>0.58103156875171169</v>
      </c>
      <c r="U36" s="70">
        <f t="shared" si="22"/>
        <v>0.58103156875171169</v>
      </c>
      <c r="V36" s="70">
        <f t="shared" si="22"/>
        <v>0.58103156875171169</v>
      </c>
      <c r="W36" s="70">
        <f t="shared" si="22"/>
        <v>0.58103156875171169</v>
      </c>
      <c r="X36" s="70">
        <f t="shared" si="22"/>
        <v>0.58103156875171169</v>
      </c>
      <c r="Y36" s="70">
        <f t="shared" si="22"/>
        <v>0.58103156875171169</v>
      </c>
      <c r="Z36" s="70">
        <f t="shared" si="22"/>
        <v>0.58103156875171169</v>
      </c>
      <c r="AA36" s="70">
        <f t="shared" si="22"/>
        <v>0.58103156875171169</v>
      </c>
      <c r="AB36" s="70">
        <f t="shared" si="22"/>
        <v>0.58103156875171169</v>
      </c>
      <c r="AC36" s="70">
        <f t="shared" si="22"/>
        <v>0.58103156875171169</v>
      </c>
      <c r="AD36" s="70">
        <f t="shared" si="22"/>
        <v>0.58103156875171169</v>
      </c>
      <c r="AE36" s="70">
        <f t="shared" si="22"/>
        <v>0.58103156875171169</v>
      </c>
      <c r="AF36" s="67"/>
    </row>
    <row r="37" spans="2:32" x14ac:dyDescent="0.3">
      <c r="B37" s="64"/>
      <c r="C37" s="65" t="s">
        <v>297</v>
      </c>
      <c r="D37" s="71" t="s">
        <v>298</v>
      </c>
      <c r="E37" s="71"/>
      <c r="F37" s="70">
        <f t="shared" si="21"/>
        <v>0</v>
      </c>
      <c r="G37" s="70">
        <f t="shared" si="21"/>
        <v>0</v>
      </c>
      <c r="H37" s="70">
        <f t="shared" si="21"/>
        <v>0</v>
      </c>
      <c r="I37" s="70">
        <f t="shared" si="21"/>
        <v>0</v>
      </c>
      <c r="J37" s="70">
        <f t="shared" si="21"/>
        <v>0</v>
      </c>
      <c r="K37" s="70">
        <f t="shared" si="21"/>
        <v>0</v>
      </c>
      <c r="L37" s="70">
        <f t="shared" si="21"/>
        <v>0</v>
      </c>
      <c r="M37" s="70">
        <f t="shared" si="21"/>
        <v>0</v>
      </c>
      <c r="N37" s="70">
        <f>N30</f>
        <v>0</v>
      </c>
      <c r="O37" s="70">
        <f t="shared" si="22"/>
        <v>0</v>
      </c>
      <c r="P37" s="70">
        <f t="shared" si="22"/>
        <v>0</v>
      </c>
      <c r="Q37" s="70">
        <f t="shared" si="22"/>
        <v>0</v>
      </c>
      <c r="R37" s="70">
        <f t="shared" si="22"/>
        <v>0</v>
      </c>
      <c r="S37" s="70">
        <f t="shared" si="22"/>
        <v>0</v>
      </c>
      <c r="T37" s="70">
        <f t="shared" si="22"/>
        <v>0</v>
      </c>
      <c r="U37" s="70">
        <f t="shared" si="22"/>
        <v>0</v>
      </c>
      <c r="V37" s="70">
        <f t="shared" si="22"/>
        <v>0</v>
      </c>
      <c r="W37" s="70">
        <f t="shared" si="22"/>
        <v>0</v>
      </c>
      <c r="X37" s="70">
        <f t="shared" si="22"/>
        <v>0</v>
      </c>
      <c r="Y37" s="70">
        <f t="shared" si="22"/>
        <v>0</v>
      </c>
      <c r="Z37" s="70">
        <f t="shared" si="22"/>
        <v>0</v>
      </c>
      <c r="AA37" s="70">
        <f t="shared" si="22"/>
        <v>0</v>
      </c>
      <c r="AB37" s="70">
        <f t="shared" si="22"/>
        <v>0</v>
      </c>
      <c r="AC37" s="70">
        <f t="shared" si="22"/>
        <v>0</v>
      </c>
      <c r="AD37" s="70">
        <f t="shared" si="22"/>
        <v>0</v>
      </c>
      <c r="AE37" s="70">
        <f t="shared" si="22"/>
        <v>0</v>
      </c>
      <c r="AF37" s="67"/>
    </row>
    <row r="38" spans="2:32" x14ac:dyDescent="0.3">
      <c r="B38" s="64"/>
      <c r="C38" s="65"/>
      <c r="D38" s="65"/>
      <c r="E38" s="65"/>
      <c r="F38" s="73">
        <f t="shared" ref="F38:M38" si="23">SUM(F34:F37)</f>
        <v>0.99999999999999989</v>
      </c>
      <c r="G38" s="73">
        <f t="shared" si="23"/>
        <v>1</v>
      </c>
      <c r="H38" s="73">
        <f t="shared" si="23"/>
        <v>1</v>
      </c>
      <c r="I38" s="73">
        <f t="shared" si="23"/>
        <v>1</v>
      </c>
      <c r="J38" s="73">
        <f t="shared" si="23"/>
        <v>1</v>
      </c>
      <c r="K38" s="73">
        <f t="shared" si="23"/>
        <v>1</v>
      </c>
      <c r="L38" s="73">
        <f t="shared" si="23"/>
        <v>0.99999999999999989</v>
      </c>
      <c r="M38" s="73">
        <f t="shared" si="23"/>
        <v>0.99999999999999978</v>
      </c>
      <c r="N38" s="73">
        <f>SUM(N34:N37)</f>
        <v>1</v>
      </c>
      <c r="O38" s="73">
        <f t="shared" ref="O38:AE38" si="24">SUM(O34:O37)</f>
        <v>1</v>
      </c>
      <c r="P38" s="73">
        <f t="shared" si="24"/>
        <v>0.99999999999999989</v>
      </c>
      <c r="Q38" s="73">
        <f t="shared" si="24"/>
        <v>1</v>
      </c>
      <c r="R38" s="73">
        <f t="shared" si="24"/>
        <v>1</v>
      </c>
      <c r="S38" s="73">
        <f t="shared" si="24"/>
        <v>1</v>
      </c>
      <c r="T38" s="73">
        <f t="shared" si="24"/>
        <v>1</v>
      </c>
      <c r="U38" s="73">
        <f t="shared" si="24"/>
        <v>1</v>
      </c>
      <c r="V38" s="73">
        <f t="shared" si="24"/>
        <v>1</v>
      </c>
      <c r="W38" s="73">
        <f t="shared" si="24"/>
        <v>1</v>
      </c>
      <c r="X38" s="73">
        <f t="shared" si="24"/>
        <v>1</v>
      </c>
      <c r="Y38" s="73">
        <f t="shared" si="24"/>
        <v>1</v>
      </c>
      <c r="Z38" s="73">
        <f t="shared" si="24"/>
        <v>1</v>
      </c>
      <c r="AA38" s="73">
        <f t="shared" si="24"/>
        <v>1</v>
      </c>
      <c r="AB38" s="73">
        <f t="shared" si="24"/>
        <v>1</v>
      </c>
      <c r="AC38" s="73">
        <f t="shared" si="24"/>
        <v>1</v>
      </c>
      <c r="AD38" s="73">
        <f t="shared" si="24"/>
        <v>1</v>
      </c>
      <c r="AE38" s="73">
        <f t="shared" si="24"/>
        <v>1</v>
      </c>
      <c r="AF38" s="67"/>
    </row>
    <row r="39" spans="2:32" x14ac:dyDescent="0.3">
      <c r="B39" s="64"/>
      <c r="C39" s="65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67"/>
    </row>
    <row r="40" spans="2:32" x14ac:dyDescent="0.3">
      <c r="B40" s="64"/>
      <c r="C40" s="66" t="s">
        <v>299</v>
      </c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67"/>
    </row>
    <row r="41" spans="2:32" ht="28.8" x14ac:dyDescent="0.3">
      <c r="B41" s="64"/>
      <c r="C41" s="65" t="s">
        <v>300</v>
      </c>
      <c r="D41" s="71" t="s">
        <v>301</v>
      </c>
      <c r="E41" s="71"/>
      <c r="F41" s="70">
        <f t="shared" ref="F41:AE42" si="25">F34</f>
        <v>0.41274757603576678</v>
      </c>
      <c r="G41" s="70">
        <f t="shared" si="25"/>
        <v>0.41274757603576678</v>
      </c>
      <c r="H41" s="70">
        <f t="shared" si="25"/>
        <v>0.41274757603576678</v>
      </c>
      <c r="I41" s="70">
        <f t="shared" si="25"/>
        <v>0.41274757603576678</v>
      </c>
      <c r="J41" s="70">
        <f t="shared" si="25"/>
        <v>0.41274757603576678</v>
      </c>
      <c r="K41" s="70">
        <f t="shared" si="25"/>
        <v>0.41274757603576678</v>
      </c>
      <c r="L41" s="70">
        <f t="shared" si="25"/>
        <v>0.41274757603576678</v>
      </c>
      <c r="M41" s="70">
        <f t="shared" si="25"/>
        <v>0.41274757603576678</v>
      </c>
      <c r="N41" s="70">
        <f t="shared" si="25"/>
        <v>0.41274757603576678</v>
      </c>
      <c r="O41" s="70">
        <f t="shared" si="25"/>
        <v>0.41274757603576678</v>
      </c>
      <c r="P41" s="70">
        <f t="shared" si="25"/>
        <v>0.41274757603576678</v>
      </c>
      <c r="Q41" s="70">
        <f t="shared" si="25"/>
        <v>0.41274757603576678</v>
      </c>
      <c r="R41" s="70">
        <f t="shared" si="25"/>
        <v>0.41274757603576678</v>
      </c>
      <c r="S41" s="70">
        <f t="shared" si="25"/>
        <v>0.41274757603576678</v>
      </c>
      <c r="T41" s="70">
        <f t="shared" si="25"/>
        <v>0.41274757603576678</v>
      </c>
      <c r="U41" s="70">
        <f t="shared" si="25"/>
        <v>0.41274757603576678</v>
      </c>
      <c r="V41" s="70">
        <f t="shared" si="25"/>
        <v>0.41274757603576678</v>
      </c>
      <c r="W41" s="70">
        <f t="shared" si="25"/>
        <v>0.41274757603576678</v>
      </c>
      <c r="X41" s="70">
        <f t="shared" si="25"/>
        <v>0.41274757603576678</v>
      </c>
      <c r="Y41" s="70">
        <f t="shared" si="25"/>
        <v>0.41274757603576678</v>
      </c>
      <c r="Z41" s="70">
        <f t="shared" si="25"/>
        <v>0.41274757603576678</v>
      </c>
      <c r="AA41" s="70">
        <f t="shared" si="25"/>
        <v>0.41274757603576678</v>
      </c>
      <c r="AB41" s="70">
        <f t="shared" si="25"/>
        <v>0.41274757603576678</v>
      </c>
      <c r="AC41" s="70">
        <f t="shared" si="25"/>
        <v>0.41274757603576678</v>
      </c>
      <c r="AD41" s="70">
        <f t="shared" si="25"/>
        <v>0.41274757603576678</v>
      </c>
      <c r="AE41" s="70">
        <f t="shared" si="25"/>
        <v>0.41274757603576678</v>
      </c>
      <c r="AF41" s="67"/>
    </row>
    <row r="42" spans="2:32" ht="28.8" x14ac:dyDescent="0.3">
      <c r="B42" s="64"/>
      <c r="C42" s="65" t="s">
        <v>302</v>
      </c>
      <c r="D42" s="71" t="s">
        <v>303</v>
      </c>
      <c r="E42" s="71"/>
      <c r="F42" s="70">
        <f t="shared" si="25"/>
        <v>1.3522664148223913E-3</v>
      </c>
      <c r="G42" s="70">
        <f t="shared" si="25"/>
        <v>1.5179384141240277E-3</v>
      </c>
      <c r="H42" s="70">
        <f t="shared" si="25"/>
        <v>1.6788496945129832E-3</v>
      </c>
      <c r="I42" s="70">
        <f t="shared" si="25"/>
        <v>4.4726924015390341E-3</v>
      </c>
      <c r="J42" s="70">
        <f t="shared" si="25"/>
        <v>6.6135233020917514E-3</v>
      </c>
      <c r="K42" s="70">
        <f t="shared" si="25"/>
        <v>6.0786704550753216E-3</v>
      </c>
      <c r="L42" s="70">
        <f t="shared" si="25"/>
        <v>5.3787473252608483E-3</v>
      </c>
      <c r="M42" s="70">
        <f t="shared" si="25"/>
        <v>6.0496500594147025E-3</v>
      </c>
      <c r="N42" s="70">
        <f t="shared" si="25"/>
        <v>6.7035231104326512E-3</v>
      </c>
      <c r="O42" s="70">
        <f t="shared" si="25"/>
        <v>6.9727583471030719E-3</v>
      </c>
      <c r="P42" s="70">
        <f t="shared" si="25"/>
        <v>7.240313991518285E-3</v>
      </c>
      <c r="Q42" s="70">
        <f t="shared" si="25"/>
        <v>7.3838074208435588E-3</v>
      </c>
      <c r="R42" s="70">
        <f t="shared" si="25"/>
        <v>6.2208552125215038E-3</v>
      </c>
      <c r="S42" s="70">
        <f t="shared" si="25"/>
        <v>6.2208552125215038E-3</v>
      </c>
      <c r="T42" s="70">
        <f t="shared" si="25"/>
        <v>6.2208552125215038E-3</v>
      </c>
      <c r="U42" s="70">
        <f t="shared" si="25"/>
        <v>6.2208552125215038E-3</v>
      </c>
      <c r="V42" s="70">
        <f t="shared" si="25"/>
        <v>6.2208552125215038E-3</v>
      </c>
      <c r="W42" s="70">
        <f t="shared" si="25"/>
        <v>6.2208552125215038E-3</v>
      </c>
      <c r="X42" s="70">
        <f t="shared" si="25"/>
        <v>6.2208552125215038E-3</v>
      </c>
      <c r="Y42" s="70">
        <f t="shared" si="25"/>
        <v>6.2208552125215038E-3</v>
      </c>
      <c r="Z42" s="70">
        <f t="shared" si="25"/>
        <v>6.2208552125215038E-3</v>
      </c>
      <c r="AA42" s="70">
        <f t="shared" si="25"/>
        <v>6.2208552125215038E-3</v>
      </c>
      <c r="AB42" s="70">
        <f t="shared" si="25"/>
        <v>6.2208552125215038E-3</v>
      </c>
      <c r="AC42" s="70">
        <f t="shared" si="25"/>
        <v>6.2208552125215038E-3</v>
      </c>
      <c r="AD42" s="70">
        <f t="shared" si="25"/>
        <v>6.2208552125215038E-3</v>
      </c>
      <c r="AE42" s="70">
        <f t="shared" si="25"/>
        <v>6.2208552125215038E-3</v>
      </c>
      <c r="AF42" s="67"/>
    </row>
    <row r="43" spans="2:32" x14ac:dyDescent="0.3">
      <c r="B43" s="64"/>
      <c r="C43" s="65" t="s">
        <v>304</v>
      </c>
      <c r="D43" s="71" t="s">
        <v>305</v>
      </c>
      <c r="E43" s="71"/>
      <c r="F43" s="70">
        <f t="shared" ref="F43:M43" si="26">F36+F37</f>
        <v>0.58590015754941072</v>
      </c>
      <c r="G43" s="70">
        <f t="shared" si="26"/>
        <v>0.58573448555010921</v>
      </c>
      <c r="H43" s="70">
        <f t="shared" si="26"/>
        <v>0.58557357426972023</v>
      </c>
      <c r="I43" s="70">
        <f t="shared" si="26"/>
        <v>0.58277973156269425</v>
      </c>
      <c r="J43" s="70">
        <f t="shared" si="26"/>
        <v>0.58063890066214152</v>
      </c>
      <c r="K43" s="70">
        <f t="shared" si="26"/>
        <v>0.58117375350915801</v>
      </c>
      <c r="L43" s="70">
        <f t="shared" si="26"/>
        <v>0.58187367663897227</v>
      </c>
      <c r="M43" s="70">
        <f t="shared" si="26"/>
        <v>0.58120277390481834</v>
      </c>
      <c r="N43" s="70">
        <f>N36+N37</f>
        <v>0.58054890085380062</v>
      </c>
      <c r="O43" s="70">
        <f t="shared" ref="O43:AE43" si="27">O36+O37</f>
        <v>0.58027966561713007</v>
      </c>
      <c r="P43" s="70">
        <f t="shared" si="27"/>
        <v>0.5800121099727148</v>
      </c>
      <c r="Q43" s="70">
        <f t="shared" si="27"/>
        <v>0.57986861654338961</v>
      </c>
      <c r="R43" s="70">
        <f t="shared" si="27"/>
        <v>0.58103156875171169</v>
      </c>
      <c r="S43" s="70">
        <f t="shared" si="27"/>
        <v>0.58103156875171169</v>
      </c>
      <c r="T43" s="70">
        <f t="shared" si="27"/>
        <v>0.58103156875171169</v>
      </c>
      <c r="U43" s="70">
        <f t="shared" si="27"/>
        <v>0.58103156875171169</v>
      </c>
      <c r="V43" s="70">
        <f t="shared" si="27"/>
        <v>0.58103156875171169</v>
      </c>
      <c r="W43" s="70">
        <f t="shared" si="27"/>
        <v>0.58103156875171169</v>
      </c>
      <c r="X43" s="70">
        <f t="shared" si="27"/>
        <v>0.58103156875171169</v>
      </c>
      <c r="Y43" s="70">
        <f t="shared" si="27"/>
        <v>0.58103156875171169</v>
      </c>
      <c r="Z43" s="70">
        <f t="shared" si="27"/>
        <v>0.58103156875171169</v>
      </c>
      <c r="AA43" s="70">
        <f t="shared" si="27"/>
        <v>0.58103156875171169</v>
      </c>
      <c r="AB43" s="70">
        <f t="shared" si="27"/>
        <v>0.58103156875171169</v>
      </c>
      <c r="AC43" s="70">
        <f t="shared" si="27"/>
        <v>0.58103156875171169</v>
      </c>
      <c r="AD43" s="70">
        <f t="shared" si="27"/>
        <v>0.58103156875171169</v>
      </c>
      <c r="AE43" s="70">
        <f t="shared" si="27"/>
        <v>0.58103156875171169</v>
      </c>
      <c r="AF43" s="67"/>
    </row>
    <row r="44" spans="2:32" x14ac:dyDescent="0.3">
      <c r="B44" s="64"/>
      <c r="C44" s="65"/>
      <c r="D44" s="65"/>
      <c r="E44" s="65"/>
      <c r="F44" s="73">
        <f t="shared" ref="F44:M44" si="28">SUM(F41:F43)</f>
        <v>0.99999999999999989</v>
      </c>
      <c r="G44" s="73">
        <f t="shared" si="28"/>
        <v>1</v>
      </c>
      <c r="H44" s="73">
        <f t="shared" si="28"/>
        <v>1</v>
      </c>
      <c r="I44" s="73">
        <f t="shared" si="28"/>
        <v>1</v>
      </c>
      <c r="J44" s="73">
        <f t="shared" si="28"/>
        <v>1</v>
      </c>
      <c r="K44" s="73">
        <f t="shared" si="28"/>
        <v>1</v>
      </c>
      <c r="L44" s="73">
        <f t="shared" si="28"/>
        <v>0.99999999999999989</v>
      </c>
      <c r="M44" s="73">
        <f t="shared" si="28"/>
        <v>0.99999999999999978</v>
      </c>
      <c r="N44" s="73">
        <f>SUM(N41:N43)</f>
        <v>1</v>
      </c>
      <c r="O44" s="73">
        <f t="shared" ref="O44:AE44" si="29">SUM(O41:O43)</f>
        <v>1</v>
      </c>
      <c r="P44" s="73">
        <f t="shared" si="29"/>
        <v>0.99999999999999989</v>
      </c>
      <c r="Q44" s="73">
        <f t="shared" si="29"/>
        <v>1</v>
      </c>
      <c r="R44" s="73">
        <f t="shared" si="29"/>
        <v>1</v>
      </c>
      <c r="S44" s="73">
        <f t="shared" si="29"/>
        <v>1</v>
      </c>
      <c r="T44" s="73">
        <f t="shared" si="29"/>
        <v>1</v>
      </c>
      <c r="U44" s="73">
        <f t="shared" si="29"/>
        <v>1</v>
      </c>
      <c r="V44" s="73">
        <f t="shared" si="29"/>
        <v>1</v>
      </c>
      <c r="W44" s="73">
        <f t="shared" si="29"/>
        <v>1</v>
      </c>
      <c r="X44" s="73">
        <f t="shared" si="29"/>
        <v>1</v>
      </c>
      <c r="Y44" s="73">
        <f t="shared" si="29"/>
        <v>1</v>
      </c>
      <c r="Z44" s="73">
        <f t="shared" si="29"/>
        <v>1</v>
      </c>
      <c r="AA44" s="73">
        <f t="shared" si="29"/>
        <v>1</v>
      </c>
      <c r="AB44" s="73">
        <f t="shared" si="29"/>
        <v>1</v>
      </c>
      <c r="AC44" s="73">
        <f t="shared" si="29"/>
        <v>1</v>
      </c>
      <c r="AD44" s="73">
        <f t="shared" si="29"/>
        <v>1</v>
      </c>
      <c r="AE44" s="73">
        <f t="shared" si="29"/>
        <v>1</v>
      </c>
      <c r="AF44" s="67"/>
    </row>
    <row r="45" spans="2:32" x14ac:dyDescent="0.3">
      <c r="B45" s="64"/>
      <c r="C45" s="65"/>
      <c r="D45" s="65"/>
      <c r="E45" s="65"/>
      <c r="F45" s="65"/>
      <c r="G45" s="65"/>
      <c r="H45" s="65"/>
      <c r="I45" s="65"/>
      <c r="J45" s="65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67"/>
    </row>
    <row r="46" spans="2:32" ht="15" thickBot="1" x14ac:dyDescent="0.35">
      <c r="B46" s="80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2"/>
    </row>
    <row r="49" spans="2:32" ht="15" thickBot="1" x14ac:dyDescent="0.35"/>
    <row r="50" spans="2:32" x14ac:dyDescent="0.3">
      <c r="B50" s="61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3"/>
    </row>
    <row r="51" spans="2:32" x14ac:dyDescent="0.3">
      <c r="B51" s="64"/>
      <c r="C51" s="65"/>
      <c r="D51" s="66" t="s">
        <v>258</v>
      </c>
      <c r="E51" s="66"/>
      <c r="F51" s="66"/>
      <c r="G51" s="66"/>
      <c r="H51" s="66"/>
      <c r="I51" s="66"/>
      <c r="J51" s="66"/>
      <c r="K51" s="66"/>
      <c r="L51" s="66"/>
      <c r="M51" s="66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7"/>
    </row>
    <row r="52" spans="2:32" x14ac:dyDescent="0.3">
      <c r="B52" s="64"/>
      <c r="C52" s="65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7"/>
    </row>
    <row r="53" spans="2:32" x14ac:dyDescent="0.3">
      <c r="B53" s="64"/>
      <c r="C53" s="65"/>
      <c r="D53" s="68" t="s">
        <v>306</v>
      </c>
      <c r="E53" s="68"/>
      <c r="F53" s="68"/>
      <c r="G53" s="68"/>
      <c r="H53" s="68"/>
      <c r="I53" s="68"/>
      <c r="J53" s="68"/>
      <c r="K53" s="68"/>
      <c r="L53" s="68"/>
      <c r="M53" s="68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7"/>
    </row>
    <row r="54" spans="2:32" x14ac:dyDescent="0.3">
      <c r="B54" s="64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7"/>
    </row>
    <row r="55" spans="2:32" x14ac:dyDescent="0.3">
      <c r="B55" s="64"/>
      <c r="C55" s="66" t="s">
        <v>260</v>
      </c>
      <c r="D55" s="66" t="s">
        <v>261</v>
      </c>
      <c r="E55" s="66"/>
      <c r="F55" s="66"/>
      <c r="G55" s="66"/>
      <c r="H55" s="66"/>
      <c r="I55" s="66"/>
      <c r="J55" s="66"/>
      <c r="K55" s="66"/>
      <c r="L55" s="66"/>
      <c r="M55" s="66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7"/>
    </row>
    <row r="56" spans="2:32" x14ac:dyDescent="0.3">
      <c r="B56" s="64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7"/>
    </row>
    <row r="57" spans="2:32" x14ac:dyDescent="0.3">
      <c r="B57" s="64"/>
      <c r="C57" s="66" t="s">
        <v>262</v>
      </c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7"/>
    </row>
    <row r="58" spans="2:32" x14ac:dyDescent="0.3">
      <c r="B58" s="64"/>
      <c r="C58" s="111" t="s">
        <v>263</v>
      </c>
      <c r="D58" s="109" t="s">
        <v>264</v>
      </c>
      <c r="E58" s="69"/>
      <c r="F58" s="83">
        <f t="shared" ref="F58:I58" si="30">F13*(F59+F60+F61+F62+F63+F64+F65+F66)/(1-F13)</f>
        <v>1.6787458767841077</v>
      </c>
      <c r="G58" s="83">
        <f t="shared" si="30"/>
        <v>1.7402448360550349</v>
      </c>
      <c r="H58" s="83">
        <f t="shared" si="30"/>
        <v>1.7947153428378555</v>
      </c>
      <c r="I58" s="83">
        <f t="shared" si="30"/>
        <v>2.0486533312331239</v>
      </c>
      <c r="J58" s="83">
        <f>J13*(J59+J60+J61+J62+J63+J64+J65+J66)/(1-J13)</f>
        <v>2.3216384258711589</v>
      </c>
      <c r="K58" s="83">
        <f>K67-K59-K60-K61-K62-K63-K64-K65-K66</f>
        <v>2.1864110000000001</v>
      </c>
      <c r="L58" s="83">
        <f>L13*(L59+L60+L61+L62+L63+L64+L65+L66)/(1-L13)</f>
        <v>2.0872395353928255</v>
      </c>
      <c r="M58" s="83">
        <f t="shared" ref="M58:R58" si="31">M13*(M59+M60+M61+M62+M63+M64+M65+M66)/(1-M13)</f>
        <v>2.0809139281535303</v>
      </c>
      <c r="N58" s="83">
        <f t="shared" si="31"/>
        <v>2.0811247817281733</v>
      </c>
      <c r="O58" s="83">
        <f t="shared" si="31"/>
        <v>2.0895589247139004</v>
      </c>
      <c r="P58" s="83">
        <f t="shared" si="31"/>
        <v>2.0978524986498654</v>
      </c>
      <c r="Q58" s="83">
        <f t="shared" si="31"/>
        <v>2.1521121518580433</v>
      </c>
      <c r="R58" s="83">
        <f t="shared" si="31"/>
        <v>2.2359615900411476</v>
      </c>
      <c r="S58" s="84">
        <f>S67*S13</f>
        <v>2.3653010181722864</v>
      </c>
      <c r="T58" s="84">
        <f t="shared" ref="T58:AD58" si="32">T67*T13</f>
        <v>2.4970064114521664</v>
      </c>
      <c r="U58" s="84">
        <f t="shared" si="32"/>
        <v>2.6309117372387698</v>
      </c>
      <c r="V58" s="84">
        <f t="shared" si="32"/>
        <v>2.7670585036926001</v>
      </c>
      <c r="W58" s="84">
        <f t="shared" si="32"/>
        <v>2.9052806781716423</v>
      </c>
      <c r="X58" s="84">
        <f t="shared" si="32"/>
        <v>3.0455782606758954</v>
      </c>
      <c r="Y58" s="84">
        <f t="shared" si="32"/>
        <v>3.1879512512053587</v>
      </c>
      <c r="Z58" s="84">
        <f t="shared" si="32"/>
        <v>3.3321506007970072</v>
      </c>
      <c r="AA58" s="84">
        <f t="shared" si="32"/>
        <v>3.3972353964676185</v>
      </c>
      <c r="AB58" s="84">
        <f t="shared" si="32"/>
        <v>3.4624032084592393</v>
      </c>
      <c r="AC58" s="84">
        <f t="shared" si="32"/>
        <v>3.5275295122903554</v>
      </c>
      <c r="AD58" s="84">
        <f t="shared" si="32"/>
        <v>3.5926558161214719</v>
      </c>
      <c r="AE58" s="118">
        <f>AE67*AE13</f>
        <v>3.6577406117920828</v>
      </c>
      <c r="AF58" s="67"/>
    </row>
    <row r="59" spans="2:32" x14ac:dyDescent="0.3">
      <c r="B59" s="64"/>
      <c r="C59" s="65" t="s">
        <v>265</v>
      </c>
      <c r="D59" s="69" t="s">
        <v>266</v>
      </c>
      <c r="E59" s="69"/>
      <c r="F59" s="113">
        <v>0</v>
      </c>
      <c r="G59" s="113">
        <v>0</v>
      </c>
      <c r="H59" s="113">
        <v>0</v>
      </c>
      <c r="I59" s="113">
        <v>0</v>
      </c>
      <c r="J59" s="113">
        <v>0</v>
      </c>
      <c r="K59" s="113">
        <v>0</v>
      </c>
      <c r="L59" s="113">
        <v>0</v>
      </c>
      <c r="M59" s="113">
        <v>0</v>
      </c>
      <c r="N59" s="114">
        <v>0</v>
      </c>
      <c r="O59" s="114">
        <v>0</v>
      </c>
      <c r="P59" s="114">
        <v>0</v>
      </c>
      <c r="Q59" s="114">
        <v>0</v>
      </c>
      <c r="R59" s="114">
        <v>0</v>
      </c>
      <c r="S59" s="113">
        <v>0</v>
      </c>
      <c r="T59" s="113">
        <v>0</v>
      </c>
      <c r="U59" s="113">
        <v>0</v>
      </c>
      <c r="V59" s="113">
        <v>0</v>
      </c>
      <c r="W59" s="113">
        <v>0</v>
      </c>
      <c r="X59" s="113">
        <v>0</v>
      </c>
      <c r="Y59" s="113">
        <v>0</v>
      </c>
      <c r="Z59" s="113">
        <v>0</v>
      </c>
      <c r="AA59" s="114">
        <v>0</v>
      </c>
      <c r="AB59" s="114">
        <v>0</v>
      </c>
      <c r="AC59" s="114">
        <v>0</v>
      </c>
      <c r="AD59" s="114">
        <v>0</v>
      </c>
      <c r="AE59" s="114">
        <v>0</v>
      </c>
      <c r="AF59" s="67"/>
    </row>
    <row r="60" spans="2:32" x14ac:dyDescent="0.3">
      <c r="B60" s="64"/>
      <c r="C60" s="111" t="s">
        <v>267</v>
      </c>
      <c r="D60" s="109" t="s">
        <v>268</v>
      </c>
      <c r="E60" s="69"/>
      <c r="F60" s="96">
        <v>5.4999999999999997E-3</v>
      </c>
      <c r="G60" s="96">
        <v>6.4000000000000003E-3</v>
      </c>
      <c r="H60" s="96">
        <v>7.3000000000000001E-3</v>
      </c>
      <c r="I60" s="96">
        <v>2.2200000000000001E-2</v>
      </c>
      <c r="J60" s="96">
        <v>3.7199999999999997E-2</v>
      </c>
      <c r="K60" s="96">
        <v>3.2199999999999999E-2</v>
      </c>
      <c r="L60" s="96">
        <v>2.7199999999999998E-2</v>
      </c>
      <c r="M60" s="96">
        <v>3.0499999999999999E-2</v>
      </c>
      <c r="N60" s="84">
        <v>3.3799999999999997E-2</v>
      </c>
      <c r="O60" s="84">
        <v>3.5299999999999998E-2</v>
      </c>
      <c r="P60" s="84">
        <v>3.6799999999999999E-2</v>
      </c>
      <c r="Q60" s="84">
        <v>3.85E-2</v>
      </c>
      <c r="R60" s="84">
        <v>3.3700000000000001E-2</v>
      </c>
      <c r="S60" s="84">
        <f>S67*S15</f>
        <v>3.5649379965842429E-2</v>
      </c>
      <c r="T60" s="84">
        <f t="shared" ref="T60:AD60" si="33">T67*T15</f>
        <v>3.763441932130393E-2</v>
      </c>
      <c r="U60" s="84">
        <f t="shared" si="33"/>
        <v>3.9652615653077899E-2</v>
      </c>
      <c r="V60" s="84">
        <f t="shared" si="33"/>
        <v>4.1704594564490972E-2</v>
      </c>
      <c r="W60" s="84">
        <f t="shared" si="33"/>
        <v>4.3787853642236578E-2</v>
      </c>
      <c r="X60" s="84">
        <f t="shared" si="33"/>
        <v>4.5902392886314709E-2</v>
      </c>
      <c r="Y60" s="84">
        <f t="shared" si="33"/>
        <v>4.8048212296725332E-2</v>
      </c>
      <c r="Z60" s="84">
        <f t="shared" si="33"/>
        <v>5.0221558253508575E-2</v>
      </c>
      <c r="AA60" s="84">
        <f t="shared" si="33"/>
        <v>5.1202504269696289E-2</v>
      </c>
      <c r="AB60" s="84">
        <f t="shared" si="33"/>
        <v>5.2184701492537316E-2</v>
      </c>
      <c r="AC60" s="84">
        <f t="shared" si="33"/>
        <v>5.316627311205168E-2</v>
      </c>
      <c r="AD60" s="84">
        <f t="shared" si="33"/>
        <v>5.4147844731566058E-2</v>
      </c>
      <c r="AE60" s="84">
        <f>AE67*AE15</f>
        <v>5.5128790747753766E-2</v>
      </c>
      <c r="AF60" s="67"/>
    </row>
    <row r="61" spans="2:32" x14ac:dyDescent="0.3">
      <c r="B61" s="64"/>
      <c r="C61" s="111" t="s">
        <v>269</v>
      </c>
      <c r="D61" s="109" t="s">
        <v>270</v>
      </c>
      <c r="E61" s="69"/>
      <c r="F61" s="83">
        <v>1.2472000000000001</v>
      </c>
      <c r="G61" s="83">
        <v>1.3540000000000001</v>
      </c>
      <c r="H61" s="83">
        <v>1.4481999999999999</v>
      </c>
      <c r="I61" s="83">
        <v>1.5746</v>
      </c>
      <c r="J61" s="83">
        <v>1.7108000000000001</v>
      </c>
      <c r="K61" s="83">
        <v>1.9916</v>
      </c>
      <c r="L61" s="83">
        <v>2.218</v>
      </c>
      <c r="M61" s="83">
        <v>2.3435000000000001</v>
      </c>
      <c r="N61" s="84">
        <v>2.4618000000000002</v>
      </c>
      <c r="O61" s="84">
        <v>2.4779</v>
      </c>
      <c r="P61" s="84">
        <v>2.4921000000000002</v>
      </c>
      <c r="Q61" s="84">
        <v>2.6398999999999999</v>
      </c>
      <c r="R61" s="84">
        <v>2.7492000000000001</v>
      </c>
      <c r="S61" s="84">
        <f>S67*S16</f>
        <v>2.908227756738694</v>
      </c>
      <c r="T61" s="84">
        <f t="shared" ref="T61:AD61" si="34">T67*T16</f>
        <v>3.070164557807975</v>
      </c>
      <c r="U61" s="84">
        <f t="shared" si="34"/>
        <v>3.2348062597460459</v>
      </c>
      <c r="V61" s="84">
        <f t="shared" si="34"/>
        <v>3.4022038984183554</v>
      </c>
      <c r="W61" s="84">
        <f t="shared" si="34"/>
        <v>3.5721533303631099</v>
      </c>
      <c r="X61" s="84">
        <f t="shared" si="34"/>
        <v>3.7446545555803081</v>
      </c>
      <c r="Y61" s="84">
        <f t="shared" si="34"/>
        <v>3.9197075740699492</v>
      </c>
      <c r="Z61" s="84">
        <f t="shared" si="34"/>
        <v>4.0970061706393404</v>
      </c>
      <c r="AA61" s="84">
        <f t="shared" si="34"/>
        <v>4.1770304076631763</v>
      </c>
      <c r="AB61" s="84">
        <f t="shared" si="34"/>
        <v>4.25715671641791</v>
      </c>
      <c r="AC61" s="84">
        <f t="shared" si="34"/>
        <v>4.3372319893071953</v>
      </c>
      <c r="AD61" s="84">
        <f t="shared" si="34"/>
        <v>4.4173072621964806</v>
      </c>
      <c r="AE61" s="84">
        <f>AE67*AE16</f>
        <v>4.4973314992203157</v>
      </c>
      <c r="AF61" s="67"/>
    </row>
    <row r="62" spans="2:32" x14ac:dyDescent="0.3">
      <c r="B62" s="64"/>
      <c r="C62" s="111" t="s">
        <v>271</v>
      </c>
      <c r="D62" s="109" t="s">
        <v>272</v>
      </c>
      <c r="E62" s="69"/>
      <c r="F62" s="83">
        <v>1.1267</v>
      </c>
      <c r="G62" s="83">
        <v>1.1059000000000001</v>
      </c>
      <c r="H62" s="83">
        <v>1.0875999999999999</v>
      </c>
      <c r="I62" s="83">
        <v>1.3071999999999999</v>
      </c>
      <c r="J62" s="83">
        <v>1.5439000000000001</v>
      </c>
      <c r="K62" s="83">
        <v>1.0758000000000001</v>
      </c>
      <c r="L62" s="83">
        <v>0.71330000000000005</v>
      </c>
      <c r="M62" s="83">
        <v>0.57530000000000003</v>
      </c>
      <c r="N62" s="84">
        <v>0.45379999999999998</v>
      </c>
      <c r="O62" s="84">
        <v>0.44469999999999998</v>
      </c>
      <c r="P62" s="84">
        <v>0.43659999999999999</v>
      </c>
      <c r="Q62" s="84">
        <v>0.3745</v>
      </c>
      <c r="R62" s="84">
        <v>0.38469999999999999</v>
      </c>
      <c r="S62" s="84">
        <f>S67*S17</f>
        <v>0.40695301106408249</v>
      </c>
      <c r="T62" s="84">
        <f t="shared" ref="T62:AD62" si="35">T67*T17</f>
        <v>0.42961308940372761</v>
      </c>
      <c r="U62" s="84">
        <f t="shared" si="35"/>
        <v>0.45265166889433428</v>
      </c>
      <c r="V62" s="84">
        <f t="shared" si="35"/>
        <v>0.47607589106705267</v>
      </c>
      <c r="W62" s="84">
        <f t="shared" si="35"/>
        <v>0.49985718979728222</v>
      </c>
      <c r="X62" s="84">
        <f t="shared" si="35"/>
        <v>0.52399556508502276</v>
      </c>
      <c r="Y62" s="84">
        <f t="shared" si="35"/>
        <v>0.54849101693027402</v>
      </c>
      <c r="Z62" s="84">
        <f t="shared" si="35"/>
        <v>0.57330069614613488</v>
      </c>
      <c r="AA62" s="84">
        <f t="shared" si="35"/>
        <v>0.58449861698967831</v>
      </c>
      <c r="AB62" s="84">
        <f t="shared" si="35"/>
        <v>0.59571082089552241</v>
      </c>
      <c r="AC62" s="84">
        <f t="shared" si="35"/>
        <v>0.60691588327021606</v>
      </c>
      <c r="AD62" s="84">
        <f t="shared" si="35"/>
        <v>0.61812094564490982</v>
      </c>
      <c r="AE62" s="84">
        <f>AE67*AE17</f>
        <v>0.62931886648845314</v>
      </c>
      <c r="AF62" s="67"/>
    </row>
    <row r="63" spans="2:32" ht="15.6" customHeight="1" x14ac:dyDescent="0.3">
      <c r="B63" s="64"/>
      <c r="C63" s="71" t="s">
        <v>273</v>
      </c>
      <c r="D63" s="72" t="s">
        <v>274</v>
      </c>
      <c r="E63" s="72"/>
      <c r="F63" s="113">
        <v>0</v>
      </c>
      <c r="G63" s="113">
        <v>0</v>
      </c>
      <c r="H63" s="113">
        <v>0</v>
      </c>
      <c r="I63" s="113">
        <v>0</v>
      </c>
      <c r="J63" s="113">
        <v>0</v>
      </c>
      <c r="K63" s="113">
        <v>0</v>
      </c>
      <c r="L63" s="113">
        <v>0</v>
      </c>
      <c r="M63" s="113">
        <v>0</v>
      </c>
      <c r="N63" s="114">
        <v>0</v>
      </c>
      <c r="O63" s="114">
        <v>0</v>
      </c>
      <c r="P63" s="114">
        <v>0</v>
      </c>
      <c r="Q63" s="114">
        <v>0</v>
      </c>
      <c r="R63" s="114">
        <v>0</v>
      </c>
      <c r="S63" s="113">
        <v>0</v>
      </c>
      <c r="T63" s="113">
        <v>0</v>
      </c>
      <c r="U63" s="113">
        <v>0</v>
      </c>
      <c r="V63" s="113">
        <v>0</v>
      </c>
      <c r="W63" s="113">
        <v>0</v>
      </c>
      <c r="X63" s="113">
        <v>0</v>
      </c>
      <c r="Y63" s="113">
        <v>0</v>
      </c>
      <c r="Z63" s="113">
        <v>0</v>
      </c>
      <c r="AA63" s="114">
        <v>0</v>
      </c>
      <c r="AB63" s="114">
        <v>0</v>
      </c>
      <c r="AC63" s="114">
        <v>0</v>
      </c>
      <c r="AD63" s="114">
        <v>0</v>
      </c>
      <c r="AE63" s="114">
        <v>0</v>
      </c>
      <c r="AF63" s="67"/>
    </row>
    <row r="64" spans="2:32" x14ac:dyDescent="0.3">
      <c r="B64" s="64"/>
      <c r="C64" s="112" t="s">
        <v>275</v>
      </c>
      <c r="D64" s="110" t="s">
        <v>276</v>
      </c>
      <c r="E64" s="72"/>
      <c r="F64" s="96">
        <v>9.1000000000000004E-3</v>
      </c>
      <c r="G64" s="96">
        <v>9.7000000000000003E-3</v>
      </c>
      <c r="H64" s="96">
        <v>1.04E-2</v>
      </c>
      <c r="I64" s="96">
        <v>1.0800000000000001E-2</v>
      </c>
      <c r="J64" s="96">
        <v>1.1299999999999999E-2</v>
      </c>
      <c r="K64" s="96">
        <v>1.12E-2</v>
      </c>
      <c r="L64" s="96">
        <v>1.12E-2</v>
      </c>
      <c r="M64" s="96">
        <v>1.14E-2</v>
      </c>
      <c r="N64" s="96">
        <v>1.1599999999999999E-2</v>
      </c>
      <c r="O64" s="96">
        <v>1.5100000000000001E-2</v>
      </c>
      <c r="P64" s="96">
        <v>1.9300000000000001E-2</v>
      </c>
      <c r="Q64" s="96">
        <v>9.1000000000000004E-3</v>
      </c>
      <c r="R64" s="96">
        <v>1.37E-2</v>
      </c>
      <c r="S64" s="84">
        <f>S19*S67</f>
        <v>1.4492477908962647E-2</v>
      </c>
      <c r="T64" s="84">
        <f t="shared" ref="T64:AD64" si="36">T19*T67</f>
        <v>1.529945236504047E-2</v>
      </c>
      <c r="U64" s="84">
        <f t="shared" si="36"/>
        <v>1.6119906066681518E-2</v>
      </c>
      <c r="V64" s="84">
        <f t="shared" si="36"/>
        <v>1.6954093339273776E-2</v>
      </c>
      <c r="W64" s="84">
        <f t="shared" si="36"/>
        <v>1.7800996881265314E-2</v>
      </c>
      <c r="X64" s="84">
        <f t="shared" si="36"/>
        <v>1.8660616692656125E-2</v>
      </c>
      <c r="Y64" s="84">
        <f t="shared" si="36"/>
        <v>1.9532952773446202E-2</v>
      </c>
      <c r="Z64" s="84">
        <f t="shared" si="36"/>
        <v>2.0416479171307639E-2</v>
      </c>
      <c r="AA64" s="84">
        <f t="shared" si="36"/>
        <v>2.0815261379668815E-2</v>
      </c>
      <c r="AB64" s="84">
        <f t="shared" si="36"/>
        <v>2.1214552238805969E-2</v>
      </c>
      <c r="AC64" s="84">
        <f t="shared" si="36"/>
        <v>2.1613588772555134E-2</v>
      </c>
      <c r="AD64" s="84">
        <f t="shared" si="36"/>
        <v>2.2012625306304302E-2</v>
      </c>
      <c r="AE64" s="84">
        <f>AE19*AE67</f>
        <v>2.2411407514665475E-2</v>
      </c>
      <c r="AF64" s="67"/>
    </row>
    <row r="65" spans="2:32" x14ac:dyDescent="0.3">
      <c r="B65" s="64"/>
      <c r="C65" s="65" t="s">
        <v>277</v>
      </c>
      <c r="D65" s="69" t="s">
        <v>278</v>
      </c>
      <c r="E65" s="69"/>
      <c r="F65" s="83">
        <v>0</v>
      </c>
      <c r="G65" s="83">
        <v>0</v>
      </c>
      <c r="H65" s="83">
        <v>0</v>
      </c>
      <c r="I65" s="83">
        <v>0</v>
      </c>
      <c r="J65" s="83">
        <v>0</v>
      </c>
      <c r="K65" s="83">
        <v>0</v>
      </c>
      <c r="L65" s="83">
        <v>0</v>
      </c>
      <c r="M65" s="83">
        <v>0</v>
      </c>
      <c r="N65" s="83">
        <v>0</v>
      </c>
      <c r="O65" s="83">
        <v>0</v>
      </c>
      <c r="P65" s="83">
        <v>0</v>
      </c>
      <c r="Q65" s="83">
        <v>0</v>
      </c>
      <c r="R65" s="83">
        <v>0</v>
      </c>
      <c r="S65" s="84">
        <f>S20*S67</f>
        <v>0</v>
      </c>
      <c r="T65" s="84">
        <f t="shared" ref="T65:AD65" si="37">T20*T67</f>
        <v>0</v>
      </c>
      <c r="U65" s="84">
        <f t="shared" si="37"/>
        <v>0</v>
      </c>
      <c r="V65" s="84">
        <f t="shared" si="37"/>
        <v>0</v>
      </c>
      <c r="W65" s="84">
        <f t="shared" si="37"/>
        <v>0</v>
      </c>
      <c r="X65" s="84">
        <f t="shared" si="37"/>
        <v>0</v>
      </c>
      <c r="Y65" s="84">
        <f t="shared" si="37"/>
        <v>0</v>
      </c>
      <c r="Z65" s="84">
        <f t="shared" si="37"/>
        <v>0</v>
      </c>
      <c r="AA65" s="84">
        <f t="shared" si="37"/>
        <v>0</v>
      </c>
      <c r="AB65" s="84">
        <f t="shared" si="37"/>
        <v>0</v>
      </c>
      <c r="AC65" s="84">
        <f t="shared" si="37"/>
        <v>0</v>
      </c>
      <c r="AD65" s="84">
        <f t="shared" si="37"/>
        <v>0</v>
      </c>
      <c r="AE65" s="84">
        <f>AE20*AE67</f>
        <v>0</v>
      </c>
      <c r="AF65" s="67"/>
    </row>
    <row r="66" spans="2:32" x14ac:dyDescent="0.3">
      <c r="B66" s="64"/>
      <c r="C66" s="65" t="s">
        <v>279</v>
      </c>
      <c r="D66" s="69" t="s">
        <v>280</v>
      </c>
      <c r="E66" s="69"/>
      <c r="F66" s="83">
        <v>0</v>
      </c>
      <c r="G66" s="83">
        <v>0</v>
      </c>
      <c r="H66" s="83">
        <v>0</v>
      </c>
      <c r="I66" s="83">
        <v>0</v>
      </c>
      <c r="J66" s="83">
        <v>0</v>
      </c>
      <c r="K66" s="83">
        <v>0</v>
      </c>
      <c r="L66" s="83">
        <v>0</v>
      </c>
      <c r="M66" s="83">
        <v>0</v>
      </c>
      <c r="N66" s="83">
        <v>0</v>
      </c>
      <c r="O66" s="83">
        <v>0</v>
      </c>
      <c r="P66" s="83">
        <v>0</v>
      </c>
      <c r="Q66" s="83">
        <v>0</v>
      </c>
      <c r="R66" s="83">
        <v>0</v>
      </c>
      <c r="S66" s="84">
        <f>S21*S67</f>
        <v>0</v>
      </c>
      <c r="T66" s="84">
        <f t="shared" ref="T66:AD66" si="38">T21*T67</f>
        <v>0</v>
      </c>
      <c r="U66" s="84">
        <f t="shared" si="38"/>
        <v>0</v>
      </c>
      <c r="V66" s="84">
        <f t="shared" si="38"/>
        <v>0</v>
      </c>
      <c r="W66" s="84">
        <f t="shared" si="38"/>
        <v>0</v>
      </c>
      <c r="X66" s="84">
        <f t="shared" si="38"/>
        <v>0</v>
      </c>
      <c r="Y66" s="84">
        <f t="shared" si="38"/>
        <v>0</v>
      </c>
      <c r="Z66" s="84">
        <f t="shared" si="38"/>
        <v>0</v>
      </c>
      <c r="AA66" s="84">
        <f t="shared" si="38"/>
        <v>0</v>
      </c>
      <c r="AB66" s="84">
        <f t="shared" si="38"/>
        <v>0</v>
      </c>
      <c r="AC66" s="84">
        <f t="shared" si="38"/>
        <v>0</v>
      </c>
      <c r="AD66" s="84">
        <f t="shared" si="38"/>
        <v>0</v>
      </c>
      <c r="AE66" s="84">
        <f>AE21*AE67</f>
        <v>0</v>
      </c>
      <c r="AF66" s="67"/>
    </row>
    <row r="67" spans="2:32" x14ac:dyDescent="0.3">
      <c r="B67" s="64"/>
      <c r="C67" s="65"/>
      <c r="D67" s="65"/>
      <c r="E67" s="65"/>
      <c r="F67" s="86">
        <f t="shared" ref="F67:R67" si="39">SUM(F58:F66)</f>
        <v>4.0672458767841082</v>
      </c>
      <c r="G67" s="86">
        <f t="shared" si="39"/>
        <v>4.2162448360550346</v>
      </c>
      <c r="H67" s="86">
        <f t="shared" si="39"/>
        <v>4.3482153428378556</v>
      </c>
      <c r="I67" s="86">
        <f t="shared" si="39"/>
        <v>4.9634533312331239</v>
      </c>
      <c r="J67" s="86">
        <f t="shared" si="39"/>
        <v>5.6248384258711592</v>
      </c>
      <c r="K67" s="85">
        <v>5.2972109999999999</v>
      </c>
      <c r="L67" s="86">
        <f t="shared" si="39"/>
        <v>5.0569395353928259</v>
      </c>
      <c r="M67" s="86">
        <f t="shared" si="39"/>
        <v>5.0416139281535308</v>
      </c>
      <c r="N67" s="86">
        <f t="shared" si="39"/>
        <v>5.0421247817281731</v>
      </c>
      <c r="O67" s="86">
        <f t="shared" si="39"/>
        <v>5.0625589247139002</v>
      </c>
      <c r="P67" s="86">
        <f t="shared" si="39"/>
        <v>5.0826524986498667</v>
      </c>
      <c r="Q67" s="86">
        <f t="shared" si="39"/>
        <v>5.2141121518580436</v>
      </c>
      <c r="R67" s="86">
        <f t="shared" si="39"/>
        <v>5.4172615900411474</v>
      </c>
      <c r="S67" s="145">
        <f>Act_T_Poblacion_PPC!R20</f>
        <v>5.7306236438498681</v>
      </c>
      <c r="T67" s="145">
        <f>Act_T_Poblacion_PPC!S20</f>
        <v>6.049717930350214</v>
      </c>
      <c r="U67" s="145">
        <f>Act_T_Poblacion_PPC!T20</f>
        <v>6.3741421875989097</v>
      </c>
      <c r="V67" s="145">
        <f>Act_T_Poblacion_PPC!U20</f>
        <v>6.7039969810817732</v>
      </c>
      <c r="W67" s="145">
        <f>Act_T_Poblacion_PPC!V20</f>
        <v>7.0388800488555363</v>
      </c>
      <c r="X67" s="145">
        <f>Act_T_Poblacion_PPC!W20</f>
        <v>7.3787913909201972</v>
      </c>
      <c r="Y67" s="145">
        <f>Act_T_Poblacion_PPC!X20</f>
        <v>7.7237310072757532</v>
      </c>
      <c r="Z67" s="145">
        <f>Act_T_Poblacion_PPC!Y20</f>
        <v>8.0730955050072986</v>
      </c>
      <c r="AA67" s="145">
        <f>Act_T_Poblacion_PPC!Z20</f>
        <v>8.2307821867698383</v>
      </c>
      <c r="AB67" s="145">
        <f>Act_T_Poblacion_PPC!AA20</f>
        <v>8.3886699995040157</v>
      </c>
      <c r="AC67" s="145">
        <f>Act_T_Poblacion_PPC!AB20</f>
        <v>8.5464572467523734</v>
      </c>
      <c r="AD67" s="145">
        <f>Act_T_Poblacion_PPC!AC20</f>
        <v>8.7042444940007329</v>
      </c>
      <c r="AE67" s="145">
        <f>Act_T_Poblacion_PPC!AD20</f>
        <v>8.8619311757632708</v>
      </c>
      <c r="AF67" s="67"/>
    </row>
    <row r="68" spans="2:32" x14ac:dyDescent="0.3">
      <c r="B68" s="64"/>
      <c r="C68" s="65"/>
      <c r="D68" s="73"/>
      <c r="E68" s="73"/>
      <c r="F68" s="73"/>
      <c r="G68" s="73"/>
      <c r="H68" s="73"/>
      <c r="I68" s="73"/>
      <c r="J68" s="73"/>
      <c r="K68" s="86"/>
      <c r="L68" s="86"/>
      <c r="M68" s="86"/>
      <c r="N68" s="86"/>
      <c r="O68" s="86"/>
      <c r="P68" s="86"/>
      <c r="Q68" s="86"/>
      <c r="R68" s="86"/>
      <c r="S68" s="147"/>
      <c r="T68" s="147"/>
      <c r="U68" s="147"/>
      <c r="V68" s="147"/>
      <c r="W68" s="147"/>
      <c r="X68" s="147"/>
      <c r="Y68" s="147"/>
      <c r="Z68" s="147"/>
      <c r="AA68" s="147"/>
      <c r="AB68" s="147"/>
      <c r="AC68" s="147"/>
      <c r="AD68" s="147"/>
      <c r="AE68" s="147"/>
      <c r="AF68" s="67"/>
    </row>
    <row r="69" spans="2:32" x14ac:dyDescent="0.3">
      <c r="B69" s="64"/>
      <c r="C69" s="65"/>
      <c r="D69" s="75"/>
      <c r="E69" s="75"/>
      <c r="F69" s="75"/>
      <c r="G69" s="75"/>
      <c r="H69" s="75"/>
      <c r="I69" s="75"/>
      <c r="J69" s="75"/>
      <c r="K69" s="87"/>
      <c r="L69" s="87"/>
      <c r="M69" s="87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67"/>
    </row>
    <row r="70" spans="2:32" x14ac:dyDescent="0.3">
      <c r="B70" s="64"/>
      <c r="C70" s="66" t="s">
        <v>281</v>
      </c>
      <c r="D70" s="66"/>
      <c r="E70" s="66"/>
      <c r="F70" s="66"/>
      <c r="G70" s="66"/>
      <c r="H70" s="66"/>
      <c r="I70" s="66"/>
      <c r="J70" s="66"/>
      <c r="K70" s="88"/>
      <c r="L70" s="88"/>
      <c r="M70" s="88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67"/>
    </row>
    <row r="71" spans="2:32" ht="28.8" x14ac:dyDescent="0.3">
      <c r="B71" s="64"/>
      <c r="C71" s="65" t="s">
        <v>282</v>
      </c>
      <c r="D71" s="71" t="s">
        <v>283</v>
      </c>
      <c r="E71" s="71"/>
      <c r="F71" s="89">
        <f>F27*F67</f>
        <v>1.6787458767841077</v>
      </c>
      <c r="G71" s="89">
        <f t="shared" ref="G71:R71" si="40">G27*G67</f>
        <v>1.7402448360550344</v>
      </c>
      <c r="H71" s="89">
        <f t="shared" si="40"/>
        <v>1.7947153428378555</v>
      </c>
      <c r="I71" s="89">
        <f t="shared" si="40"/>
        <v>2.0486533312331239</v>
      </c>
      <c r="J71" s="89">
        <f t="shared" si="40"/>
        <v>2.3216384258711589</v>
      </c>
      <c r="K71" s="89">
        <f t="shared" si="40"/>
        <v>2.1864110000000001</v>
      </c>
      <c r="L71" s="89">
        <f t="shared" si="40"/>
        <v>2.0872395353928255</v>
      </c>
      <c r="M71" s="89">
        <f t="shared" si="40"/>
        <v>2.0809139281535303</v>
      </c>
      <c r="N71" s="89">
        <f t="shared" si="40"/>
        <v>2.0811247817281733</v>
      </c>
      <c r="O71" s="89">
        <f t="shared" si="40"/>
        <v>2.0895589247139004</v>
      </c>
      <c r="P71" s="89">
        <f t="shared" si="40"/>
        <v>2.0978524986498659</v>
      </c>
      <c r="Q71" s="89">
        <f t="shared" si="40"/>
        <v>2.1521121518580433</v>
      </c>
      <c r="R71" s="89">
        <f t="shared" si="40"/>
        <v>2.2359615900411471</v>
      </c>
      <c r="S71" s="84">
        <f t="shared" ref="S71:AE71" si="41">S90*S27</f>
        <v>2.3653010181722864</v>
      </c>
      <c r="T71" s="84">
        <f t="shared" si="41"/>
        <v>2.4970064114521664</v>
      </c>
      <c r="U71" s="84">
        <f t="shared" si="41"/>
        <v>2.6309117372387698</v>
      </c>
      <c r="V71" s="84">
        <f t="shared" si="41"/>
        <v>2.7670585036926001</v>
      </c>
      <c r="W71" s="84">
        <f t="shared" si="41"/>
        <v>2.9052806781716423</v>
      </c>
      <c r="X71" s="84">
        <f t="shared" si="41"/>
        <v>3.0455782606758954</v>
      </c>
      <c r="Y71" s="84">
        <f t="shared" si="41"/>
        <v>3.1879512512053587</v>
      </c>
      <c r="Z71" s="84">
        <f t="shared" si="41"/>
        <v>3.3321506007970072</v>
      </c>
      <c r="AA71" s="84">
        <f t="shared" si="41"/>
        <v>3.3972353964676185</v>
      </c>
      <c r="AB71" s="84">
        <f t="shared" si="41"/>
        <v>3.4624032084592393</v>
      </c>
      <c r="AC71" s="84">
        <f t="shared" si="41"/>
        <v>3.5275295122903554</v>
      </c>
      <c r="AD71" s="84">
        <f t="shared" si="41"/>
        <v>3.5926558161214719</v>
      </c>
      <c r="AE71" s="84">
        <f t="shared" si="41"/>
        <v>3.6577406117920828</v>
      </c>
      <c r="AF71" s="67"/>
    </row>
    <row r="72" spans="2:32" ht="28.8" x14ac:dyDescent="0.3">
      <c r="B72" s="64"/>
      <c r="C72" s="65" t="s">
        <v>284</v>
      </c>
      <c r="D72" s="71" t="s">
        <v>285</v>
      </c>
      <c r="E72" s="71"/>
      <c r="F72" s="89">
        <f>F28*F67</f>
        <v>5.4999999999999997E-3</v>
      </c>
      <c r="G72" s="89">
        <f t="shared" ref="G72:R72" si="42">G28*G67</f>
        <v>6.4000000000000003E-3</v>
      </c>
      <c r="H72" s="89">
        <f t="shared" si="42"/>
        <v>7.3000000000000001E-3</v>
      </c>
      <c r="I72" s="89">
        <f t="shared" si="42"/>
        <v>2.2200000000000001E-2</v>
      </c>
      <c r="J72" s="89">
        <f t="shared" si="42"/>
        <v>3.7199999999999997E-2</v>
      </c>
      <c r="K72" s="89">
        <f t="shared" si="42"/>
        <v>3.2199999999999999E-2</v>
      </c>
      <c r="L72" s="89">
        <f t="shared" si="42"/>
        <v>2.7199999999999998E-2</v>
      </c>
      <c r="M72" s="89">
        <f t="shared" si="42"/>
        <v>3.0499999999999999E-2</v>
      </c>
      <c r="N72" s="89">
        <f t="shared" si="42"/>
        <v>3.3799999999999997E-2</v>
      </c>
      <c r="O72" s="89">
        <f t="shared" si="42"/>
        <v>3.5299999999999998E-2</v>
      </c>
      <c r="P72" s="89">
        <f t="shared" si="42"/>
        <v>3.6799999999999999E-2</v>
      </c>
      <c r="Q72" s="89">
        <f t="shared" si="42"/>
        <v>3.85E-2</v>
      </c>
      <c r="R72" s="89">
        <f t="shared" si="42"/>
        <v>3.3700000000000001E-2</v>
      </c>
      <c r="S72" s="84">
        <f t="shared" ref="S72:AE72" si="43">S90*S28</f>
        <v>3.5649379965842429E-2</v>
      </c>
      <c r="T72" s="84">
        <f t="shared" si="43"/>
        <v>3.763441932130393E-2</v>
      </c>
      <c r="U72" s="84">
        <f t="shared" si="43"/>
        <v>3.9652615653077899E-2</v>
      </c>
      <c r="V72" s="84">
        <f t="shared" si="43"/>
        <v>4.1704594564490972E-2</v>
      </c>
      <c r="W72" s="84">
        <f t="shared" si="43"/>
        <v>4.3787853642236578E-2</v>
      </c>
      <c r="X72" s="84">
        <f t="shared" si="43"/>
        <v>4.5902392886314709E-2</v>
      </c>
      <c r="Y72" s="84">
        <f t="shared" si="43"/>
        <v>4.8048212296725332E-2</v>
      </c>
      <c r="Z72" s="84">
        <f t="shared" si="43"/>
        <v>5.0221558253508575E-2</v>
      </c>
      <c r="AA72" s="84">
        <f t="shared" si="43"/>
        <v>5.1202504269696289E-2</v>
      </c>
      <c r="AB72" s="84">
        <f t="shared" si="43"/>
        <v>5.2184701492537316E-2</v>
      </c>
      <c r="AC72" s="84">
        <f t="shared" si="43"/>
        <v>5.316627311205168E-2</v>
      </c>
      <c r="AD72" s="84">
        <f t="shared" si="43"/>
        <v>5.4147844731566058E-2</v>
      </c>
      <c r="AE72" s="84">
        <f t="shared" si="43"/>
        <v>5.5128790747753766E-2</v>
      </c>
      <c r="AF72" s="67"/>
    </row>
    <row r="73" spans="2:32" ht="28.8" x14ac:dyDescent="0.3">
      <c r="B73" s="64"/>
      <c r="C73" s="65" t="s">
        <v>286</v>
      </c>
      <c r="D73" s="71" t="s">
        <v>287</v>
      </c>
      <c r="E73" s="71"/>
      <c r="F73" s="89">
        <f>F29*F67</f>
        <v>2.383</v>
      </c>
      <c r="G73" s="89">
        <f t="shared" ref="G73:R73" si="44">G29*G67</f>
        <v>2.4696000000000002</v>
      </c>
      <c r="H73" s="89">
        <f t="shared" si="44"/>
        <v>2.5462000000000002</v>
      </c>
      <c r="I73" s="89">
        <f t="shared" si="44"/>
        <v>2.8926000000000003</v>
      </c>
      <c r="J73" s="89">
        <f t="shared" si="44"/>
        <v>3.2660000000000005</v>
      </c>
      <c r="K73" s="89">
        <f t="shared" si="44"/>
        <v>3.0786000000000002</v>
      </c>
      <c r="L73" s="89">
        <f t="shared" si="44"/>
        <v>2.9424999999999999</v>
      </c>
      <c r="M73" s="89">
        <f t="shared" si="44"/>
        <v>2.9301999999999997</v>
      </c>
      <c r="N73" s="89">
        <f t="shared" si="44"/>
        <v>2.9272000000000005</v>
      </c>
      <c r="O73" s="89">
        <f t="shared" si="44"/>
        <v>2.9376999999999995</v>
      </c>
      <c r="P73" s="89">
        <f t="shared" si="44"/>
        <v>2.948</v>
      </c>
      <c r="Q73" s="89">
        <f t="shared" si="44"/>
        <v>3.0234999999999999</v>
      </c>
      <c r="R73" s="89">
        <f t="shared" si="44"/>
        <v>3.1475999999999997</v>
      </c>
      <c r="S73" s="84">
        <f t="shared" ref="S73:AE73" si="45">S90*S29</f>
        <v>3.3296732457117391</v>
      </c>
      <c r="T73" s="84">
        <f t="shared" si="45"/>
        <v>3.5150770995767435</v>
      </c>
      <c r="U73" s="84">
        <f t="shared" si="45"/>
        <v>3.7035778347070618</v>
      </c>
      <c r="V73" s="84">
        <f t="shared" si="45"/>
        <v>3.895233882824682</v>
      </c>
      <c r="W73" s="84">
        <f t="shared" si="45"/>
        <v>4.0898115170416576</v>
      </c>
      <c r="X73" s="84">
        <f t="shared" si="45"/>
        <v>4.2873107373579868</v>
      </c>
      <c r="Y73" s="84">
        <f t="shared" si="45"/>
        <v>4.4877315437736689</v>
      </c>
      <c r="Z73" s="84">
        <f t="shared" si="45"/>
        <v>4.6907233459567825</v>
      </c>
      <c r="AA73" s="84">
        <f t="shared" si="45"/>
        <v>4.7823442860325232</v>
      </c>
      <c r="AB73" s="84">
        <f t="shared" si="45"/>
        <v>4.874082089552239</v>
      </c>
      <c r="AC73" s="84">
        <f t="shared" si="45"/>
        <v>4.9657614613499659</v>
      </c>
      <c r="AD73" s="84">
        <f t="shared" si="45"/>
        <v>5.0574408331476945</v>
      </c>
      <c r="AE73" s="84">
        <f t="shared" si="45"/>
        <v>5.1490617732234343</v>
      </c>
      <c r="AF73" s="67"/>
    </row>
    <row r="74" spans="2:32" ht="28.8" x14ac:dyDescent="0.3">
      <c r="B74" s="64"/>
      <c r="C74" s="65" t="s">
        <v>288</v>
      </c>
      <c r="D74" s="71" t="s">
        <v>289</v>
      </c>
      <c r="E74" s="71"/>
      <c r="F74" s="89">
        <f>F30*F67</f>
        <v>0</v>
      </c>
      <c r="G74" s="89">
        <f t="shared" ref="G74:R74" si="46">G30*G67</f>
        <v>0</v>
      </c>
      <c r="H74" s="89">
        <f t="shared" si="46"/>
        <v>0</v>
      </c>
      <c r="I74" s="89">
        <f t="shared" si="46"/>
        <v>0</v>
      </c>
      <c r="J74" s="89">
        <f t="shared" si="46"/>
        <v>0</v>
      </c>
      <c r="K74" s="89">
        <f t="shared" si="46"/>
        <v>0</v>
      </c>
      <c r="L74" s="89">
        <f t="shared" si="46"/>
        <v>0</v>
      </c>
      <c r="M74" s="89">
        <f t="shared" si="46"/>
        <v>0</v>
      </c>
      <c r="N74" s="89">
        <f t="shared" si="46"/>
        <v>0</v>
      </c>
      <c r="O74" s="89">
        <f t="shared" si="46"/>
        <v>0</v>
      </c>
      <c r="P74" s="89">
        <f t="shared" si="46"/>
        <v>0</v>
      </c>
      <c r="Q74" s="89">
        <f t="shared" si="46"/>
        <v>0</v>
      </c>
      <c r="R74" s="89">
        <f t="shared" si="46"/>
        <v>0</v>
      </c>
      <c r="S74" s="84">
        <f t="shared" ref="S74:AE74" si="47">S90*S30</f>
        <v>0</v>
      </c>
      <c r="T74" s="84">
        <f t="shared" si="47"/>
        <v>0</v>
      </c>
      <c r="U74" s="84">
        <f t="shared" si="47"/>
        <v>0</v>
      </c>
      <c r="V74" s="84">
        <f t="shared" si="47"/>
        <v>0</v>
      </c>
      <c r="W74" s="84">
        <f t="shared" si="47"/>
        <v>0</v>
      </c>
      <c r="X74" s="84">
        <f t="shared" si="47"/>
        <v>0</v>
      </c>
      <c r="Y74" s="84">
        <f t="shared" si="47"/>
        <v>0</v>
      </c>
      <c r="Z74" s="84">
        <f t="shared" si="47"/>
        <v>0</v>
      </c>
      <c r="AA74" s="84">
        <f t="shared" si="47"/>
        <v>0</v>
      </c>
      <c r="AB74" s="84">
        <f t="shared" si="47"/>
        <v>0</v>
      </c>
      <c r="AC74" s="84">
        <f t="shared" si="47"/>
        <v>0</v>
      </c>
      <c r="AD74" s="84">
        <f t="shared" si="47"/>
        <v>0</v>
      </c>
      <c r="AE74" s="84">
        <f t="shared" si="47"/>
        <v>0</v>
      </c>
      <c r="AF74" s="67"/>
    </row>
    <row r="75" spans="2:32" x14ac:dyDescent="0.3">
      <c r="B75" s="64"/>
      <c r="C75" s="65"/>
      <c r="D75" s="77"/>
      <c r="E75" s="77"/>
      <c r="F75" s="90">
        <f t="shared" ref="F75:M75" si="48">SUM(F71:F74)</f>
        <v>4.0672458767841082</v>
      </c>
      <c r="G75" s="90">
        <f t="shared" si="48"/>
        <v>4.2162448360550346</v>
      </c>
      <c r="H75" s="90">
        <f t="shared" si="48"/>
        <v>4.3482153428378556</v>
      </c>
      <c r="I75" s="90">
        <f t="shared" si="48"/>
        <v>4.9634533312331239</v>
      </c>
      <c r="J75" s="90">
        <f t="shared" si="48"/>
        <v>5.6248384258711592</v>
      </c>
      <c r="K75" s="90">
        <f t="shared" si="48"/>
        <v>5.2972110000000008</v>
      </c>
      <c r="L75" s="90">
        <f t="shared" si="48"/>
        <v>5.056939535392825</v>
      </c>
      <c r="M75" s="90">
        <f t="shared" si="48"/>
        <v>5.0416139281535299</v>
      </c>
      <c r="N75" s="90">
        <f>SUM(N71:N74)</f>
        <v>5.0421247817281731</v>
      </c>
      <c r="O75" s="90">
        <f t="shared" ref="O75:AE75" si="49">SUM(O71:O74)</f>
        <v>5.0625589247138993</v>
      </c>
      <c r="P75" s="90">
        <f t="shared" si="49"/>
        <v>5.0826524986498658</v>
      </c>
      <c r="Q75" s="90">
        <f t="shared" si="49"/>
        <v>5.2141121518580427</v>
      </c>
      <c r="R75" s="90">
        <f t="shared" si="49"/>
        <v>5.4172615900411465</v>
      </c>
      <c r="S75" s="90">
        <f t="shared" si="49"/>
        <v>5.7306236438498681</v>
      </c>
      <c r="T75" s="90">
        <f t="shared" si="49"/>
        <v>6.049717930350214</v>
      </c>
      <c r="U75" s="90">
        <f t="shared" si="49"/>
        <v>6.3741421875989097</v>
      </c>
      <c r="V75" s="90">
        <f t="shared" si="49"/>
        <v>6.7039969810817732</v>
      </c>
      <c r="W75" s="90">
        <f t="shared" si="49"/>
        <v>7.0388800488555363</v>
      </c>
      <c r="X75" s="90">
        <f t="shared" si="49"/>
        <v>7.3787913909201972</v>
      </c>
      <c r="Y75" s="90">
        <f t="shared" si="49"/>
        <v>7.7237310072757523</v>
      </c>
      <c r="Z75" s="90">
        <f t="shared" si="49"/>
        <v>8.0730955050072986</v>
      </c>
      <c r="AA75" s="90">
        <f t="shared" si="49"/>
        <v>8.2307821867698383</v>
      </c>
      <c r="AB75" s="90">
        <f t="shared" si="49"/>
        <v>8.3886699995040157</v>
      </c>
      <c r="AC75" s="90">
        <f t="shared" si="49"/>
        <v>8.5464572467523734</v>
      </c>
      <c r="AD75" s="90">
        <f t="shared" si="49"/>
        <v>8.7042444940007329</v>
      </c>
      <c r="AE75" s="90">
        <f t="shared" si="49"/>
        <v>8.8619311757632708</v>
      </c>
      <c r="AF75" s="67"/>
    </row>
    <row r="76" spans="2:32" x14ac:dyDescent="0.3">
      <c r="B76" s="64"/>
      <c r="C76" s="65"/>
      <c r="D76" s="65"/>
      <c r="E76" s="65"/>
      <c r="F76" s="65"/>
      <c r="G76" s="65"/>
      <c r="H76" s="65"/>
      <c r="I76" s="65"/>
      <c r="J76" s="65"/>
      <c r="K76" s="91"/>
      <c r="L76" s="91"/>
      <c r="M76" s="91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67"/>
    </row>
    <row r="77" spans="2:32" x14ac:dyDescent="0.3">
      <c r="B77" s="64"/>
      <c r="C77" s="66" t="s">
        <v>290</v>
      </c>
      <c r="D77" s="66"/>
      <c r="E77" s="66"/>
      <c r="F77" s="66"/>
      <c r="G77" s="66"/>
      <c r="H77" s="66"/>
      <c r="I77" s="66"/>
      <c r="J77" s="66"/>
      <c r="K77" s="88"/>
      <c r="L77" s="88"/>
      <c r="M77" s="88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67"/>
    </row>
    <row r="78" spans="2:32" ht="28.8" x14ac:dyDescent="0.3">
      <c r="B78" s="64"/>
      <c r="C78" s="65" t="s">
        <v>291</v>
      </c>
      <c r="D78" s="71" t="s">
        <v>292</v>
      </c>
      <c r="E78" s="71"/>
      <c r="F78" s="89">
        <f>F34*F90</f>
        <v>1.6787458767841077</v>
      </c>
      <c r="G78" s="89">
        <f t="shared" ref="G78:M78" si="50">G34*G90</f>
        <v>1.7402448360550344</v>
      </c>
      <c r="H78" s="89">
        <f t="shared" si="50"/>
        <v>1.7947153428378555</v>
      </c>
      <c r="I78" s="89">
        <f t="shared" si="50"/>
        <v>2.0486533312331239</v>
      </c>
      <c r="J78" s="89">
        <f t="shared" si="50"/>
        <v>2.3216384258711589</v>
      </c>
      <c r="K78" s="89">
        <f t="shared" si="50"/>
        <v>2.1864110000000001</v>
      </c>
      <c r="L78" s="89">
        <f t="shared" si="50"/>
        <v>2.0872395353928255</v>
      </c>
      <c r="M78" s="89">
        <f t="shared" si="50"/>
        <v>2.0809139281535303</v>
      </c>
      <c r="N78" s="84">
        <f t="shared" ref="N78:AE78" si="51">N90*N34</f>
        <v>2.0811247817281733</v>
      </c>
      <c r="O78" s="84">
        <f t="shared" si="51"/>
        <v>2.0895589247139004</v>
      </c>
      <c r="P78" s="84">
        <f t="shared" si="51"/>
        <v>2.0978524986498659</v>
      </c>
      <c r="Q78" s="84">
        <f t="shared" si="51"/>
        <v>2.1521121518580433</v>
      </c>
      <c r="R78" s="84">
        <f t="shared" si="51"/>
        <v>2.2359615900411471</v>
      </c>
      <c r="S78" s="84">
        <f t="shared" si="51"/>
        <v>2.3653010181722864</v>
      </c>
      <c r="T78" s="84">
        <f t="shared" si="51"/>
        <v>2.4970064114521664</v>
      </c>
      <c r="U78" s="84">
        <f t="shared" si="51"/>
        <v>2.6309117372387698</v>
      </c>
      <c r="V78" s="84">
        <f t="shared" si="51"/>
        <v>2.7670585036926001</v>
      </c>
      <c r="W78" s="84">
        <f t="shared" si="51"/>
        <v>2.9052806781716423</v>
      </c>
      <c r="X78" s="84">
        <f t="shared" si="51"/>
        <v>3.0455782606758954</v>
      </c>
      <c r="Y78" s="84">
        <f t="shared" si="51"/>
        <v>3.1879512512053587</v>
      </c>
      <c r="Z78" s="84">
        <f t="shared" si="51"/>
        <v>3.3321506007970072</v>
      </c>
      <c r="AA78" s="84">
        <f t="shared" si="51"/>
        <v>3.3972353964676185</v>
      </c>
      <c r="AB78" s="84">
        <f t="shared" si="51"/>
        <v>3.4624032084592393</v>
      </c>
      <c r="AC78" s="84">
        <f t="shared" si="51"/>
        <v>3.5275295122903554</v>
      </c>
      <c r="AD78" s="84">
        <f t="shared" si="51"/>
        <v>3.5926558161214719</v>
      </c>
      <c r="AE78" s="84">
        <f t="shared" si="51"/>
        <v>3.6577406117920828</v>
      </c>
      <c r="AF78" s="67"/>
    </row>
    <row r="79" spans="2:32" ht="28.8" x14ac:dyDescent="0.3">
      <c r="B79" s="64"/>
      <c r="C79" s="65" t="s">
        <v>293</v>
      </c>
      <c r="D79" s="71" t="s">
        <v>294</v>
      </c>
      <c r="E79" s="71"/>
      <c r="F79" s="89">
        <f>F35*F90</f>
        <v>5.4999999999999997E-3</v>
      </c>
      <c r="G79" s="89">
        <f t="shared" ref="G79:M79" si="52">G35*G90</f>
        <v>6.4000000000000003E-3</v>
      </c>
      <c r="H79" s="89">
        <f t="shared" si="52"/>
        <v>7.3000000000000001E-3</v>
      </c>
      <c r="I79" s="89">
        <f t="shared" si="52"/>
        <v>2.2200000000000001E-2</v>
      </c>
      <c r="J79" s="89">
        <f t="shared" si="52"/>
        <v>3.7199999999999997E-2</v>
      </c>
      <c r="K79" s="89">
        <f t="shared" si="52"/>
        <v>3.2199999999999999E-2</v>
      </c>
      <c r="L79" s="89">
        <f t="shared" si="52"/>
        <v>2.7199999999999998E-2</v>
      </c>
      <c r="M79" s="89">
        <f t="shared" si="52"/>
        <v>3.0499999999999999E-2</v>
      </c>
      <c r="N79" s="84">
        <f t="shared" ref="N79:AE79" si="53">N90*N35</f>
        <v>3.3799999999999997E-2</v>
      </c>
      <c r="O79" s="84">
        <f t="shared" si="53"/>
        <v>3.5299999999999998E-2</v>
      </c>
      <c r="P79" s="84">
        <f t="shared" si="53"/>
        <v>3.6799999999999999E-2</v>
      </c>
      <c r="Q79" s="84">
        <f t="shared" si="53"/>
        <v>3.85E-2</v>
      </c>
      <c r="R79" s="84">
        <f t="shared" si="53"/>
        <v>3.3700000000000001E-2</v>
      </c>
      <c r="S79" s="84">
        <f t="shared" si="53"/>
        <v>3.5649379965842429E-2</v>
      </c>
      <c r="T79" s="84">
        <f t="shared" si="53"/>
        <v>3.763441932130393E-2</v>
      </c>
      <c r="U79" s="84">
        <f t="shared" si="53"/>
        <v>3.9652615653077899E-2</v>
      </c>
      <c r="V79" s="84">
        <f t="shared" si="53"/>
        <v>4.1704594564490972E-2</v>
      </c>
      <c r="W79" s="84">
        <f t="shared" si="53"/>
        <v>4.3787853642236578E-2</v>
      </c>
      <c r="X79" s="84">
        <f t="shared" si="53"/>
        <v>4.5902392886314709E-2</v>
      </c>
      <c r="Y79" s="84">
        <f t="shared" si="53"/>
        <v>4.8048212296725332E-2</v>
      </c>
      <c r="Z79" s="84">
        <f t="shared" si="53"/>
        <v>5.0221558253508575E-2</v>
      </c>
      <c r="AA79" s="84">
        <f t="shared" si="53"/>
        <v>5.1202504269696289E-2</v>
      </c>
      <c r="AB79" s="84">
        <f t="shared" si="53"/>
        <v>5.2184701492537316E-2</v>
      </c>
      <c r="AC79" s="84">
        <f t="shared" si="53"/>
        <v>5.316627311205168E-2</v>
      </c>
      <c r="AD79" s="84">
        <f t="shared" si="53"/>
        <v>5.4147844731566058E-2</v>
      </c>
      <c r="AE79" s="84">
        <f t="shared" si="53"/>
        <v>5.5128790747753766E-2</v>
      </c>
      <c r="AF79" s="67"/>
    </row>
    <row r="80" spans="2:32" ht="28.8" x14ac:dyDescent="0.3">
      <c r="B80" s="64"/>
      <c r="C80" s="65" t="s">
        <v>295</v>
      </c>
      <c r="D80" s="71" t="s">
        <v>296</v>
      </c>
      <c r="E80" s="71"/>
      <c r="F80" s="89">
        <f>F36*F90</f>
        <v>2.383</v>
      </c>
      <c r="G80" s="89">
        <f t="shared" ref="G80:M80" si="54">G36*G90</f>
        <v>2.4696000000000002</v>
      </c>
      <c r="H80" s="89">
        <f t="shared" si="54"/>
        <v>2.5462000000000002</v>
      </c>
      <c r="I80" s="89">
        <f t="shared" si="54"/>
        <v>2.8926000000000003</v>
      </c>
      <c r="J80" s="89">
        <f t="shared" si="54"/>
        <v>3.2660000000000005</v>
      </c>
      <c r="K80" s="89">
        <f t="shared" si="54"/>
        <v>3.0786000000000002</v>
      </c>
      <c r="L80" s="89">
        <f t="shared" si="54"/>
        <v>2.9424999999999999</v>
      </c>
      <c r="M80" s="89">
        <f t="shared" si="54"/>
        <v>2.9301999999999997</v>
      </c>
      <c r="N80" s="84">
        <f t="shared" ref="N80:AE80" si="55">N90*N36</f>
        <v>2.9272000000000005</v>
      </c>
      <c r="O80" s="84">
        <f t="shared" si="55"/>
        <v>2.9376999999999995</v>
      </c>
      <c r="P80" s="84">
        <f t="shared" si="55"/>
        <v>2.948</v>
      </c>
      <c r="Q80" s="84">
        <f t="shared" si="55"/>
        <v>3.0234999999999999</v>
      </c>
      <c r="R80" s="84">
        <f t="shared" si="55"/>
        <v>3.1475999999999997</v>
      </c>
      <c r="S80" s="84">
        <f t="shared" si="55"/>
        <v>3.3296732457117391</v>
      </c>
      <c r="T80" s="84">
        <f t="shared" si="55"/>
        <v>3.5150770995767435</v>
      </c>
      <c r="U80" s="84">
        <f t="shared" si="55"/>
        <v>3.7035778347070618</v>
      </c>
      <c r="V80" s="84">
        <f t="shared" si="55"/>
        <v>3.895233882824682</v>
      </c>
      <c r="W80" s="84">
        <f t="shared" si="55"/>
        <v>4.0898115170416576</v>
      </c>
      <c r="X80" s="84">
        <f t="shared" si="55"/>
        <v>4.2873107373579868</v>
      </c>
      <c r="Y80" s="84">
        <f t="shared" si="55"/>
        <v>4.4877315437736689</v>
      </c>
      <c r="Z80" s="84">
        <f t="shared" si="55"/>
        <v>4.6907233459567825</v>
      </c>
      <c r="AA80" s="84">
        <f t="shared" si="55"/>
        <v>4.7823442860325232</v>
      </c>
      <c r="AB80" s="84">
        <f t="shared" si="55"/>
        <v>4.874082089552239</v>
      </c>
      <c r="AC80" s="84">
        <f t="shared" si="55"/>
        <v>4.9657614613499659</v>
      </c>
      <c r="AD80" s="84">
        <f t="shared" si="55"/>
        <v>5.0574408331476945</v>
      </c>
      <c r="AE80" s="84">
        <f t="shared" si="55"/>
        <v>5.1490617732234343</v>
      </c>
      <c r="AF80" s="67"/>
    </row>
    <row r="81" spans="2:32" x14ac:dyDescent="0.3">
      <c r="B81" s="64"/>
      <c r="C81" s="65" t="s">
        <v>297</v>
      </c>
      <c r="D81" s="71" t="s">
        <v>298</v>
      </c>
      <c r="E81" s="71"/>
      <c r="F81" s="89">
        <f>F37*F90</f>
        <v>0</v>
      </c>
      <c r="G81" s="89">
        <f t="shared" ref="G81:M81" si="56">G37*G90</f>
        <v>0</v>
      </c>
      <c r="H81" s="89">
        <f t="shared" si="56"/>
        <v>0</v>
      </c>
      <c r="I81" s="89">
        <f t="shared" si="56"/>
        <v>0</v>
      </c>
      <c r="J81" s="89">
        <f t="shared" si="56"/>
        <v>0</v>
      </c>
      <c r="K81" s="89">
        <f t="shared" si="56"/>
        <v>0</v>
      </c>
      <c r="L81" s="89">
        <f t="shared" si="56"/>
        <v>0</v>
      </c>
      <c r="M81" s="89">
        <f t="shared" si="56"/>
        <v>0</v>
      </c>
      <c r="N81" s="84">
        <f t="shared" ref="N81:AE81" si="57">N90*N37</f>
        <v>0</v>
      </c>
      <c r="O81" s="84">
        <f t="shared" si="57"/>
        <v>0</v>
      </c>
      <c r="P81" s="84">
        <f t="shared" si="57"/>
        <v>0</v>
      </c>
      <c r="Q81" s="84">
        <f t="shared" si="57"/>
        <v>0</v>
      </c>
      <c r="R81" s="84">
        <f t="shared" si="57"/>
        <v>0</v>
      </c>
      <c r="S81" s="84">
        <f t="shared" si="57"/>
        <v>0</v>
      </c>
      <c r="T81" s="84">
        <f t="shared" si="57"/>
        <v>0</v>
      </c>
      <c r="U81" s="84">
        <f t="shared" si="57"/>
        <v>0</v>
      </c>
      <c r="V81" s="84">
        <f t="shared" si="57"/>
        <v>0</v>
      </c>
      <c r="W81" s="84">
        <f t="shared" si="57"/>
        <v>0</v>
      </c>
      <c r="X81" s="84">
        <f t="shared" si="57"/>
        <v>0</v>
      </c>
      <c r="Y81" s="84">
        <f t="shared" si="57"/>
        <v>0</v>
      </c>
      <c r="Z81" s="84">
        <f t="shared" si="57"/>
        <v>0</v>
      </c>
      <c r="AA81" s="84">
        <f t="shared" si="57"/>
        <v>0</v>
      </c>
      <c r="AB81" s="84">
        <f t="shared" si="57"/>
        <v>0</v>
      </c>
      <c r="AC81" s="84">
        <f t="shared" si="57"/>
        <v>0</v>
      </c>
      <c r="AD81" s="84">
        <f t="shared" si="57"/>
        <v>0</v>
      </c>
      <c r="AE81" s="84">
        <f t="shared" si="57"/>
        <v>0</v>
      </c>
      <c r="AF81" s="67"/>
    </row>
    <row r="82" spans="2:32" x14ac:dyDescent="0.3">
      <c r="B82" s="64"/>
      <c r="C82" s="65"/>
      <c r="D82" s="65"/>
      <c r="E82" s="65"/>
      <c r="F82" s="86">
        <f t="shared" ref="F82:M82" si="58">SUM(F78:F81)</f>
        <v>4.0672458767841082</v>
      </c>
      <c r="G82" s="86">
        <f t="shared" si="58"/>
        <v>4.2162448360550346</v>
      </c>
      <c r="H82" s="86">
        <f t="shared" si="58"/>
        <v>4.3482153428378556</v>
      </c>
      <c r="I82" s="86">
        <f t="shared" si="58"/>
        <v>4.9634533312331239</v>
      </c>
      <c r="J82" s="86">
        <f t="shared" si="58"/>
        <v>5.6248384258711592</v>
      </c>
      <c r="K82" s="86">
        <f t="shared" si="58"/>
        <v>5.2972110000000008</v>
      </c>
      <c r="L82" s="86">
        <f t="shared" si="58"/>
        <v>5.056939535392825</v>
      </c>
      <c r="M82" s="86">
        <f t="shared" si="58"/>
        <v>5.0416139281535299</v>
      </c>
      <c r="N82" s="86">
        <f>SUM(N78:N81)</f>
        <v>5.0421247817281731</v>
      </c>
      <c r="O82" s="86">
        <f t="shared" ref="O82:AE82" si="59">SUM(O78:O81)</f>
        <v>5.0625589247138993</v>
      </c>
      <c r="P82" s="86">
        <f t="shared" si="59"/>
        <v>5.0826524986498658</v>
      </c>
      <c r="Q82" s="86">
        <f t="shared" si="59"/>
        <v>5.2141121518580427</v>
      </c>
      <c r="R82" s="86">
        <f t="shared" si="59"/>
        <v>5.4172615900411465</v>
      </c>
      <c r="S82" s="86">
        <f t="shared" si="59"/>
        <v>5.7306236438498681</v>
      </c>
      <c r="T82" s="86">
        <f t="shared" si="59"/>
        <v>6.049717930350214</v>
      </c>
      <c r="U82" s="86">
        <f t="shared" si="59"/>
        <v>6.3741421875989097</v>
      </c>
      <c r="V82" s="86">
        <f t="shared" si="59"/>
        <v>6.7039969810817732</v>
      </c>
      <c r="W82" s="86">
        <f t="shared" si="59"/>
        <v>7.0388800488555363</v>
      </c>
      <c r="X82" s="86">
        <f t="shared" si="59"/>
        <v>7.3787913909201972</v>
      </c>
      <c r="Y82" s="86">
        <f t="shared" si="59"/>
        <v>7.7237310072757523</v>
      </c>
      <c r="Z82" s="86">
        <f t="shared" si="59"/>
        <v>8.0730955050072986</v>
      </c>
      <c r="AA82" s="86">
        <f t="shared" si="59"/>
        <v>8.2307821867698383</v>
      </c>
      <c r="AB82" s="86">
        <f t="shared" si="59"/>
        <v>8.3886699995040157</v>
      </c>
      <c r="AC82" s="86">
        <f t="shared" si="59"/>
        <v>8.5464572467523734</v>
      </c>
      <c r="AD82" s="86">
        <f t="shared" si="59"/>
        <v>8.7042444940007329</v>
      </c>
      <c r="AE82" s="86">
        <f t="shared" si="59"/>
        <v>8.8619311757632708</v>
      </c>
      <c r="AF82" s="67"/>
    </row>
    <row r="83" spans="2:32" x14ac:dyDescent="0.3">
      <c r="B83" s="64"/>
      <c r="C83" s="65"/>
      <c r="D83" s="66"/>
      <c r="E83" s="66"/>
      <c r="F83" s="66"/>
      <c r="G83" s="66"/>
      <c r="H83" s="66"/>
      <c r="I83" s="66"/>
      <c r="J83" s="66"/>
      <c r="K83" s="88"/>
      <c r="L83" s="88"/>
      <c r="M83" s="88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67"/>
    </row>
    <row r="84" spans="2:32" x14ac:dyDescent="0.3">
      <c r="B84" s="64"/>
      <c r="C84" s="66" t="s">
        <v>299</v>
      </c>
      <c r="D84" s="66"/>
      <c r="E84" s="66"/>
      <c r="F84" s="66"/>
      <c r="G84" s="66"/>
      <c r="H84" s="66"/>
      <c r="I84" s="66"/>
      <c r="J84" s="66"/>
      <c r="K84" s="88"/>
      <c r="L84" s="88"/>
      <c r="M84" s="88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67"/>
    </row>
    <row r="85" spans="2:32" ht="28.8" x14ac:dyDescent="0.3">
      <c r="B85" s="64"/>
      <c r="C85" s="65" t="s">
        <v>300</v>
      </c>
      <c r="D85" s="71" t="s">
        <v>301</v>
      </c>
      <c r="E85" s="71"/>
      <c r="F85" s="89">
        <f>F41*F90</f>
        <v>1.6787458767841077</v>
      </c>
      <c r="G85" s="89">
        <f t="shared" ref="G85:M85" si="60">G41*G90</f>
        <v>1.7402448360550344</v>
      </c>
      <c r="H85" s="89">
        <f t="shared" si="60"/>
        <v>1.7947153428378555</v>
      </c>
      <c r="I85" s="89">
        <f t="shared" si="60"/>
        <v>2.0486533312331239</v>
      </c>
      <c r="J85" s="89">
        <f t="shared" si="60"/>
        <v>2.3216384258711589</v>
      </c>
      <c r="K85" s="89">
        <f t="shared" si="60"/>
        <v>2.1864110000000001</v>
      </c>
      <c r="L85" s="89">
        <f t="shared" si="60"/>
        <v>2.0872395353928255</v>
      </c>
      <c r="M85" s="89">
        <f t="shared" si="60"/>
        <v>2.0809139281535303</v>
      </c>
      <c r="N85" s="84">
        <f t="shared" ref="N85:AE85" si="61">N90*N41</f>
        <v>2.0811247817281733</v>
      </c>
      <c r="O85" s="84">
        <f t="shared" si="61"/>
        <v>2.0895589247139004</v>
      </c>
      <c r="P85" s="84">
        <f t="shared" si="61"/>
        <v>2.0978524986498659</v>
      </c>
      <c r="Q85" s="84">
        <f t="shared" si="61"/>
        <v>2.1521121518580433</v>
      </c>
      <c r="R85" s="84">
        <f t="shared" si="61"/>
        <v>2.2359615900411471</v>
      </c>
      <c r="S85" s="84">
        <f t="shared" si="61"/>
        <v>2.3653010181722864</v>
      </c>
      <c r="T85" s="84">
        <f t="shared" si="61"/>
        <v>2.4970064114521664</v>
      </c>
      <c r="U85" s="84">
        <f t="shared" si="61"/>
        <v>2.6309117372387698</v>
      </c>
      <c r="V85" s="84">
        <f t="shared" si="61"/>
        <v>2.7670585036926001</v>
      </c>
      <c r="W85" s="84">
        <f t="shared" si="61"/>
        <v>2.9052806781716423</v>
      </c>
      <c r="X85" s="84">
        <f t="shared" si="61"/>
        <v>3.0455782606758954</v>
      </c>
      <c r="Y85" s="84">
        <f t="shared" si="61"/>
        <v>3.1879512512053587</v>
      </c>
      <c r="Z85" s="84">
        <f t="shared" si="61"/>
        <v>3.3321506007970072</v>
      </c>
      <c r="AA85" s="84">
        <f t="shared" si="61"/>
        <v>3.3972353964676185</v>
      </c>
      <c r="AB85" s="84">
        <f t="shared" si="61"/>
        <v>3.4624032084592393</v>
      </c>
      <c r="AC85" s="84">
        <f t="shared" si="61"/>
        <v>3.5275295122903554</v>
      </c>
      <c r="AD85" s="84">
        <f t="shared" si="61"/>
        <v>3.5926558161214719</v>
      </c>
      <c r="AE85" s="84">
        <f t="shared" si="61"/>
        <v>3.6577406117920828</v>
      </c>
      <c r="AF85" s="67"/>
    </row>
    <row r="86" spans="2:32" ht="28.8" x14ac:dyDescent="0.3">
      <c r="B86" s="64"/>
      <c r="C86" s="65" t="s">
        <v>302</v>
      </c>
      <c r="D86" s="71" t="s">
        <v>303</v>
      </c>
      <c r="E86" s="71"/>
      <c r="F86" s="89">
        <f>F42*F90</f>
        <v>5.4999999999999997E-3</v>
      </c>
      <c r="G86" s="89">
        <f t="shared" ref="G86:M86" si="62">G42*G90</f>
        <v>6.4000000000000003E-3</v>
      </c>
      <c r="H86" s="89">
        <f t="shared" si="62"/>
        <v>7.3000000000000001E-3</v>
      </c>
      <c r="I86" s="89">
        <f t="shared" si="62"/>
        <v>2.2200000000000001E-2</v>
      </c>
      <c r="J86" s="89">
        <f t="shared" si="62"/>
        <v>3.7199999999999997E-2</v>
      </c>
      <c r="K86" s="89">
        <f t="shared" si="62"/>
        <v>3.2199999999999999E-2</v>
      </c>
      <c r="L86" s="89">
        <f t="shared" si="62"/>
        <v>2.7199999999999998E-2</v>
      </c>
      <c r="M86" s="89">
        <f t="shared" si="62"/>
        <v>3.0499999999999999E-2</v>
      </c>
      <c r="N86" s="84">
        <f t="shared" ref="N86:AE86" si="63">N90*N42</f>
        <v>3.3799999999999997E-2</v>
      </c>
      <c r="O86" s="84">
        <f t="shared" si="63"/>
        <v>3.5299999999999998E-2</v>
      </c>
      <c r="P86" s="84">
        <f t="shared" si="63"/>
        <v>3.6799999999999999E-2</v>
      </c>
      <c r="Q86" s="84">
        <f t="shared" si="63"/>
        <v>3.85E-2</v>
      </c>
      <c r="R86" s="84">
        <f t="shared" si="63"/>
        <v>3.3700000000000001E-2</v>
      </c>
      <c r="S86" s="84">
        <f t="shared" si="63"/>
        <v>3.5649379965842429E-2</v>
      </c>
      <c r="T86" s="84">
        <f t="shared" si="63"/>
        <v>3.763441932130393E-2</v>
      </c>
      <c r="U86" s="84">
        <f t="shared" si="63"/>
        <v>3.9652615653077899E-2</v>
      </c>
      <c r="V86" s="84">
        <f t="shared" si="63"/>
        <v>4.1704594564490972E-2</v>
      </c>
      <c r="W86" s="84">
        <f t="shared" si="63"/>
        <v>4.3787853642236578E-2</v>
      </c>
      <c r="X86" s="84">
        <f t="shared" si="63"/>
        <v>4.5902392886314709E-2</v>
      </c>
      <c r="Y86" s="84">
        <f t="shared" si="63"/>
        <v>4.8048212296725332E-2</v>
      </c>
      <c r="Z86" s="84">
        <f t="shared" si="63"/>
        <v>5.0221558253508575E-2</v>
      </c>
      <c r="AA86" s="84">
        <f t="shared" si="63"/>
        <v>5.1202504269696289E-2</v>
      </c>
      <c r="AB86" s="84">
        <f t="shared" si="63"/>
        <v>5.2184701492537316E-2</v>
      </c>
      <c r="AC86" s="84">
        <f t="shared" si="63"/>
        <v>5.316627311205168E-2</v>
      </c>
      <c r="AD86" s="84">
        <f t="shared" si="63"/>
        <v>5.4147844731566058E-2</v>
      </c>
      <c r="AE86" s="84">
        <f t="shared" si="63"/>
        <v>5.5128790747753766E-2</v>
      </c>
      <c r="AF86" s="67"/>
    </row>
    <row r="87" spans="2:32" x14ac:dyDescent="0.3">
      <c r="B87" s="64"/>
      <c r="C87" s="65" t="s">
        <v>304</v>
      </c>
      <c r="D87" s="71" t="s">
        <v>305</v>
      </c>
      <c r="E87" s="71"/>
      <c r="F87" s="89">
        <f>F43*F90</f>
        <v>2.383</v>
      </c>
      <c r="G87" s="89">
        <f t="shared" ref="G87:M87" si="64">G43*G90</f>
        <v>2.4696000000000002</v>
      </c>
      <c r="H87" s="89">
        <f t="shared" si="64"/>
        <v>2.5462000000000002</v>
      </c>
      <c r="I87" s="89">
        <f t="shared" si="64"/>
        <v>2.8926000000000003</v>
      </c>
      <c r="J87" s="89">
        <f t="shared" si="64"/>
        <v>3.2660000000000005</v>
      </c>
      <c r="K87" s="89">
        <f t="shared" si="64"/>
        <v>3.0786000000000002</v>
      </c>
      <c r="L87" s="89">
        <f t="shared" si="64"/>
        <v>2.9424999999999999</v>
      </c>
      <c r="M87" s="89">
        <f t="shared" si="64"/>
        <v>2.9301999999999997</v>
      </c>
      <c r="N87" s="84">
        <f t="shared" ref="N87:AE87" si="65">N90*N43</f>
        <v>2.9272000000000005</v>
      </c>
      <c r="O87" s="84">
        <f t="shared" si="65"/>
        <v>2.9376999999999995</v>
      </c>
      <c r="P87" s="84">
        <f t="shared" si="65"/>
        <v>2.948</v>
      </c>
      <c r="Q87" s="84">
        <f t="shared" si="65"/>
        <v>3.0234999999999999</v>
      </c>
      <c r="R87" s="84">
        <f t="shared" si="65"/>
        <v>3.1475999999999997</v>
      </c>
      <c r="S87" s="84">
        <f t="shared" si="65"/>
        <v>3.3296732457117391</v>
      </c>
      <c r="T87" s="84">
        <f t="shared" si="65"/>
        <v>3.5150770995767435</v>
      </c>
      <c r="U87" s="84">
        <f t="shared" si="65"/>
        <v>3.7035778347070618</v>
      </c>
      <c r="V87" s="84">
        <f t="shared" si="65"/>
        <v>3.895233882824682</v>
      </c>
      <c r="W87" s="84">
        <f t="shared" si="65"/>
        <v>4.0898115170416576</v>
      </c>
      <c r="X87" s="84">
        <f t="shared" si="65"/>
        <v>4.2873107373579868</v>
      </c>
      <c r="Y87" s="84">
        <f t="shared" si="65"/>
        <v>4.4877315437736689</v>
      </c>
      <c r="Z87" s="84">
        <f t="shared" si="65"/>
        <v>4.6907233459567825</v>
      </c>
      <c r="AA87" s="84">
        <f t="shared" si="65"/>
        <v>4.7823442860325232</v>
      </c>
      <c r="AB87" s="84">
        <f t="shared" si="65"/>
        <v>4.874082089552239</v>
      </c>
      <c r="AC87" s="84">
        <f t="shared" si="65"/>
        <v>4.9657614613499659</v>
      </c>
      <c r="AD87" s="84">
        <f t="shared" si="65"/>
        <v>5.0574408331476945</v>
      </c>
      <c r="AE87" s="84">
        <f t="shared" si="65"/>
        <v>5.1490617732234343</v>
      </c>
      <c r="AF87" s="67"/>
    </row>
    <row r="88" spans="2:32" x14ac:dyDescent="0.3">
      <c r="B88" s="64"/>
      <c r="C88" s="65"/>
      <c r="D88" s="65"/>
      <c r="E88" s="65"/>
      <c r="F88" s="86">
        <f t="shared" ref="F88:M88" si="66">SUM(F85:F87)</f>
        <v>4.0672458767841082</v>
      </c>
      <c r="G88" s="86">
        <f t="shared" si="66"/>
        <v>4.2162448360550346</v>
      </c>
      <c r="H88" s="86">
        <f t="shared" si="66"/>
        <v>4.3482153428378556</v>
      </c>
      <c r="I88" s="86">
        <f t="shared" si="66"/>
        <v>4.9634533312331239</v>
      </c>
      <c r="J88" s="86">
        <f t="shared" si="66"/>
        <v>5.6248384258711592</v>
      </c>
      <c r="K88" s="86">
        <f t="shared" si="66"/>
        <v>5.2972110000000008</v>
      </c>
      <c r="L88" s="86">
        <f t="shared" si="66"/>
        <v>5.056939535392825</v>
      </c>
      <c r="M88" s="86">
        <f t="shared" si="66"/>
        <v>5.0416139281535299</v>
      </c>
      <c r="N88" s="86">
        <f>SUM(N85:N87)</f>
        <v>5.0421247817281731</v>
      </c>
      <c r="O88" s="86">
        <f t="shared" ref="O88:AE88" si="67">SUM(O85:O87)</f>
        <v>5.0625589247138993</v>
      </c>
      <c r="P88" s="86">
        <f t="shared" si="67"/>
        <v>5.0826524986498658</v>
      </c>
      <c r="Q88" s="86">
        <f t="shared" si="67"/>
        <v>5.2141121518580427</v>
      </c>
      <c r="R88" s="86">
        <f t="shared" si="67"/>
        <v>5.4172615900411465</v>
      </c>
      <c r="S88" s="86">
        <f t="shared" si="67"/>
        <v>5.7306236438498681</v>
      </c>
      <c r="T88" s="86">
        <f t="shared" si="67"/>
        <v>6.049717930350214</v>
      </c>
      <c r="U88" s="86">
        <f t="shared" si="67"/>
        <v>6.3741421875989097</v>
      </c>
      <c r="V88" s="86">
        <f t="shared" si="67"/>
        <v>6.7039969810817732</v>
      </c>
      <c r="W88" s="86">
        <f t="shared" si="67"/>
        <v>7.0388800488555363</v>
      </c>
      <c r="X88" s="86">
        <f t="shared" si="67"/>
        <v>7.3787913909201972</v>
      </c>
      <c r="Y88" s="86">
        <f t="shared" si="67"/>
        <v>7.7237310072757523</v>
      </c>
      <c r="Z88" s="86">
        <f t="shared" si="67"/>
        <v>8.0730955050072986</v>
      </c>
      <c r="AA88" s="86">
        <f t="shared" si="67"/>
        <v>8.2307821867698383</v>
      </c>
      <c r="AB88" s="86">
        <f t="shared" si="67"/>
        <v>8.3886699995040157</v>
      </c>
      <c r="AC88" s="86">
        <f t="shared" si="67"/>
        <v>8.5464572467523734</v>
      </c>
      <c r="AD88" s="86">
        <f t="shared" si="67"/>
        <v>8.7042444940007329</v>
      </c>
      <c r="AE88" s="86">
        <f t="shared" si="67"/>
        <v>8.8619311757632708</v>
      </c>
      <c r="AF88" s="67"/>
    </row>
    <row r="89" spans="2:32" x14ac:dyDescent="0.3">
      <c r="B89" s="64"/>
      <c r="C89" s="65"/>
      <c r="D89" s="65"/>
      <c r="E89" s="65"/>
      <c r="F89" s="65"/>
      <c r="G89" s="65"/>
      <c r="H89" s="65"/>
      <c r="I89" s="65"/>
      <c r="J89" s="65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  <c r="AC89" s="91"/>
      <c r="AD89" s="91"/>
      <c r="AE89" s="91"/>
      <c r="AF89" s="67"/>
    </row>
    <row r="90" spans="2:32" x14ac:dyDescent="0.3">
      <c r="B90" s="64"/>
      <c r="C90" s="65" t="s">
        <v>307</v>
      </c>
      <c r="D90" s="66" t="s">
        <v>308</v>
      </c>
      <c r="E90" s="66"/>
      <c r="F90" s="117">
        <f>F67</f>
        <v>4.0672458767841082</v>
      </c>
      <c r="G90" s="117">
        <f t="shared" ref="G90:AE90" si="68">G67</f>
        <v>4.2162448360550346</v>
      </c>
      <c r="H90" s="117">
        <f t="shared" si="68"/>
        <v>4.3482153428378556</v>
      </c>
      <c r="I90" s="117">
        <f t="shared" si="68"/>
        <v>4.9634533312331239</v>
      </c>
      <c r="J90" s="117">
        <f t="shared" si="68"/>
        <v>5.6248384258711592</v>
      </c>
      <c r="K90" s="117">
        <f t="shared" si="68"/>
        <v>5.2972109999999999</v>
      </c>
      <c r="L90" s="117">
        <f t="shared" si="68"/>
        <v>5.0569395353928259</v>
      </c>
      <c r="M90" s="117">
        <f t="shared" si="68"/>
        <v>5.0416139281535308</v>
      </c>
      <c r="N90" s="117">
        <f t="shared" si="68"/>
        <v>5.0421247817281731</v>
      </c>
      <c r="O90" s="117">
        <f t="shared" si="68"/>
        <v>5.0625589247139002</v>
      </c>
      <c r="P90" s="117">
        <f t="shared" si="68"/>
        <v>5.0826524986498667</v>
      </c>
      <c r="Q90" s="117">
        <f t="shared" si="68"/>
        <v>5.2141121518580436</v>
      </c>
      <c r="R90" s="117">
        <f t="shared" si="68"/>
        <v>5.4172615900411474</v>
      </c>
      <c r="S90" s="117">
        <f>S67</f>
        <v>5.7306236438498681</v>
      </c>
      <c r="T90" s="117">
        <f t="shared" si="68"/>
        <v>6.049717930350214</v>
      </c>
      <c r="U90" s="117">
        <f t="shared" si="68"/>
        <v>6.3741421875989097</v>
      </c>
      <c r="V90" s="117">
        <f t="shared" si="68"/>
        <v>6.7039969810817732</v>
      </c>
      <c r="W90" s="117">
        <f t="shared" si="68"/>
        <v>7.0388800488555363</v>
      </c>
      <c r="X90" s="117">
        <f t="shared" si="68"/>
        <v>7.3787913909201972</v>
      </c>
      <c r="Y90" s="117">
        <f t="shared" si="68"/>
        <v>7.7237310072757532</v>
      </c>
      <c r="Z90" s="117">
        <f t="shared" si="68"/>
        <v>8.0730955050072986</v>
      </c>
      <c r="AA90" s="117">
        <f t="shared" si="68"/>
        <v>8.2307821867698383</v>
      </c>
      <c r="AB90" s="117">
        <f t="shared" si="68"/>
        <v>8.3886699995040157</v>
      </c>
      <c r="AC90" s="117">
        <f t="shared" si="68"/>
        <v>8.5464572467523734</v>
      </c>
      <c r="AD90" s="117">
        <f t="shared" si="68"/>
        <v>8.7042444940007329</v>
      </c>
      <c r="AE90" s="117">
        <f t="shared" si="68"/>
        <v>8.8619311757632708</v>
      </c>
      <c r="AF90" s="67"/>
    </row>
    <row r="91" spans="2:32" x14ac:dyDescent="0.3">
      <c r="B91" s="64"/>
      <c r="C91" s="65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93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  <c r="AA91" s="94"/>
      <c r="AB91" s="94"/>
      <c r="AC91" s="94"/>
      <c r="AD91" s="94"/>
      <c r="AE91" s="94"/>
      <c r="AF91" s="67"/>
    </row>
    <row r="92" spans="2:32" ht="15" thickBot="1" x14ac:dyDescent="0.35">
      <c r="B92" s="80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2"/>
    </row>
    <row r="94" spans="2:32" x14ac:dyDescent="0.3">
      <c r="F94" s="12"/>
      <c r="G94" s="12"/>
      <c r="H94" s="12"/>
      <c r="I94" s="12"/>
      <c r="J94" s="12"/>
      <c r="K94" s="12"/>
      <c r="L94" s="12"/>
      <c r="M94" s="12"/>
    </row>
    <row r="95" spans="2:32" x14ac:dyDescent="0.3"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  <row r="100" spans="2:32" x14ac:dyDescent="0.3"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</row>
    <row r="102" spans="2:32" x14ac:dyDescent="0.3">
      <c r="B102" s="95" t="s">
        <v>309</v>
      </c>
    </row>
    <row r="105" spans="2:32" ht="15" thickBot="1" x14ac:dyDescent="0.35"/>
    <row r="106" spans="2:32" x14ac:dyDescent="0.3">
      <c r="B106" s="61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3"/>
    </row>
    <row r="107" spans="2:32" x14ac:dyDescent="0.3">
      <c r="B107" s="64"/>
      <c r="C107" s="65"/>
      <c r="D107" s="66" t="s">
        <v>258</v>
      </c>
      <c r="E107" s="66"/>
      <c r="F107" s="66"/>
      <c r="G107" s="66"/>
      <c r="H107" s="66"/>
      <c r="I107" s="66"/>
      <c r="J107" s="66"/>
      <c r="K107" s="66"/>
      <c r="L107" s="66"/>
      <c r="M107" s="66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7"/>
    </row>
    <row r="108" spans="2:32" x14ac:dyDescent="0.3">
      <c r="B108" s="64"/>
      <c r="C108" s="65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7"/>
    </row>
    <row r="109" spans="2:32" x14ac:dyDescent="0.3">
      <c r="B109" s="64"/>
      <c r="C109" s="65"/>
      <c r="D109" s="68" t="s">
        <v>306</v>
      </c>
      <c r="E109" s="68"/>
      <c r="F109" s="68"/>
      <c r="G109" s="68"/>
      <c r="H109" s="68"/>
      <c r="I109" s="68"/>
      <c r="J109" s="68"/>
      <c r="K109" s="68"/>
      <c r="L109" s="68"/>
      <c r="M109" s="68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7"/>
    </row>
    <row r="110" spans="2:32" x14ac:dyDescent="0.3">
      <c r="B110" s="64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7"/>
    </row>
    <row r="111" spans="2:32" x14ac:dyDescent="0.3">
      <c r="B111" s="64"/>
      <c r="C111" s="66" t="s">
        <v>260</v>
      </c>
      <c r="D111" s="66" t="s">
        <v>261</v>
      </c>
      <c r="E111" s="66"/>
      <c r="F111" s="66"/>
      <c r="G111" s="66"/>
      <c r="H111" s="66"/>
      <c r="I111" s="66"/>
      <c r="J111" s="66"/>
      <c r="K111" s="66"/>
      <c r="L111" s="66"/>
      <c r="M111" s="66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7"/>
    </row>
    <row r="112" spans="2:32" x14ac:dyDescent="0.3">
      <c r="B112" s="64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7"/>
    </row>
    <row r="113" spans="2:32" x14ac:dyDescent="0.3">
      <c r="B113" s="64"/>
      <c r="C113" s="66" t="s">
        <v>262</v>
      </c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7"/>
    </row>
    <row r="114" spans="2:32" x14ac:dyDescent="0.3">
      <c r="B114" s="64"/>
      <c r="C114" s="111" t="s">
        <v>263</v>
      </c>
      <c r="D114" s="109" t="s">
        <v>264</v>
      </c>
      <c r="E114" s="69"/>
      <c r="F114" s="161">
        <f>ROUNDDOWN(F58,4)</f>
        <v>1.6787000000000001</v>
      </c>
      <c r="G114" s="161">
        <f t="shared" ref="G114:AE122" si="69">ROUNDDOWN(G58,4)</f>
        <v>1.7402</v>
      </c>
      <c r="H114" s="161">
        <f t="shared" si="69"/>
        <v>1.7947</v>
      </c>
      <c r="I114" s="161">
        <f t="shared" si="69"/>
        <v>2.0486</v>
      </c>
      <c r="J114" s="161">
        <f t="shared" si="69"/>
        <v>2.3216000000000001</v>
      </c>
      <c r="K114" s="161">
        <f t="shared" si="69"/>
        <v>2.1863999999999999</v>
      </c>
      <c r="L114" s="161">
        <f t="shared" si="69"/>
        <v>2.0872000000000002</v>
      </c>
      <c r="M114" s="161">
        <f t="shared" si="69"/>
        <v>2.0809000000000002</v>
      </c>
      <c r="N114" s="161">
        <f t="shared" si="69"/>
        <v>2.0811000000000002</v>
      </c>
      <c r="O114" s="161">
        <f t="shared" si="69"/>
        <v>2.0895000000000001</v>
      </c>
      <c r="P114" s="161">
        <f t="shared" si="69"/>
        <v>2.0977999999999999</v>
      </c>
      <c r="Q114" s="161">
        <f t="shared" si="69"/>
        <v>2.1520999999999999</v>
      </c>
      <c r="R114" s="161">
        <f t="shared" si="69"/>
        <v>2.2359</v>
      </c>
      <c r="S114" s="161">
        <f t="shared" si="69"/>
        <v>2.3653</v>
      </c>
      <c r="T114" s="161">
        <f t="shared" si="69"/>
        <v>2.4969999999999999</v>
      </c>
      <c r="U114" s="161">
        <f t="shared" si="69"/>
        <v>2.6309</v>
      </c>
      <c r="V114" s="161">
        <f t="shared" si="69"/>
        <v>2.7669999999999999</v>
      </c>
      <c r="W114" s="161">
        <f t="shared" si="69"/>
        <v>2.9051999999999998</v>
      </c>
      <c r="X114" s="161">
        <f t="shared" si="69"/>
        <v>3.0455000000000001</v>
      </c>
      <c r="Y114" s="161">
        <f t="shared" si="69"/>
        <v>3.1879</v>
      </c>
      <c r="Z114" s="161">
        <f t="shared" si="69"/>
        <v>3.3321000000000001</v>
      </c>
      <c r="AA114" s="161">
        <f t="shared" si="69"/>
        <v>3.3972000000000002</v>
      </c>
      <c r="AB114" s="161">
        <f t="shared" si="69"/>
        <v>3.4624000000000001</v>
      </c>
      <c r="AC114" s="161">
        <f t="shared" si="69"/>
        <v>3.5274999999999999</v>
      </c>
      <c r="AD114" s="161">
        <f t="shared" si="69"/>
        <v>3.5926</v>
      </c>
      <c r="AE114" s="161">
        <f t="shared" si="69"/>
        <v>3.6577000000000002</v>
      </c>
      <c r="AF114" s="67"/>
    </row>
    <row r="115" spans="2:32" x14ac:dyDescent="0.3">
      <c r="B115" s="64"/>
      <c r="C115" s="65" t="s">
        <v>265</v>
      </c>
      <c r="D115" s="69" t="s">
        <v>266</v>
      </c>
      <c r="E115" s="69"/>
      <c r="F115" s="161">
        <f>ROUNDDOWN(F59,4)</f>
        <v>0</v>
      </c>
      <c r="G115" s="161">
        <f t="shared" ref="G115:R115" si="70">ROUNDDOWN(G59,4)</f>
        <v>0</v>
      </c>
      <c r="H115" s="161">
        <f t="shared" si="70"/>
        <v>0</v>
      </c>
      <c r="I115" s="161">
        <f t="shared" si="70"/>
        <v>0</v>
      </c>
      <c r="J115" s="161">
        <f t="shared" si="70"/>
        <v>0</v>
      </c>
      <c r="K115" s="161">
        <f t="shared" si="70"/>
        <v>0</v>
      </c>
      <c r="L115" s="161">
        <f t="shared" si="70"/>
        <v>0</v>
      </c>
      <c r="M115" s="161">
        <f t="shared" si="70"/>
        <v>0</v>
      </c>
      <c r="N115" s="161">
        <f t="shared" si="70"/>
        <v>0</v>
      </c>
      <c r="O115" s="161">
        <f t="shared" si="70"/>
        <v>0</v>
      </c>
      <c r="P115" s="161">
        <f t="shared" si="70"/>
        <v>0</v>
      </c>
      <c r="Q115" s="161">
        <f t="shared" si="70"/>
        <v>0</v>
      </c>
      <c r="R115" s="161">
        <f t="shared" si="70"/>
        <v>0</v>
      </c>
      <c r="S115" s="161">
        <f t="shared" ref="F115:U122" si="71">ROUNDDOWN(S59,4)</f>
        <v>0</v>
      </c>
      <c r="T115" s="161">
        <f t="shared" si="71"/>
        <v>0</v>
      </c>
      <c r="U115" s="161">
        <f t="shared" si="71"/>
        <v>0</v>
      </c>
      <c r="V115" s="161">
        <f t="shared" si="69"/>
        <v>0</v>
      </c>
      <c r="W115" s="161">
        <f t="shared" si="69"/>
        <v>0</v>
      </c>
      <c r="X115" s="161">
        <f t="shared" si="69"/>
        <v>0</v>
      </c>
      <c r="Y115" s="161">
        <f t="shared" si="69"/>
        <v>0</v>
      </c>
      <c r="Z115" s="161">
        <f t="shared" si="69"/>
        <v>0</v>
      </c>
      <c r="AA115" s="161">
        <f t="shared" si="69"/>
        <v>0</v>
      </c>
      <c r="AB115" s="161">
        <f t="shared" si="69"/>
        <v>0</v>
      </c>
      <c r="AC115" s="161">
        <f t="shared" si="69"/>
        <v>0</v>
      </c>
      <c r="AD115" s="161">
        <f t="shared" si="69"/>
        <v>0</v>
      </c>
      <c r="AE115" s="161">
        <f t="shared" si="69"/>
        <v>0</v>
      </c>
      <c r="AF115" s="67"/>
    </row>
    <row r="116" spans="2:32" x14ac:dyDescent="0.3">
      <c r="B116" s="64"/>
      <c r="C116" s="111" t="s">
        <v>267</v>
      </c>
      <c r="D116" s="109" t="s">
        <v>268</v>
      </c>
      <c r="E116" s="69"/>
      <c r="F116" s="161">
        <f>ROUNDDOWN(F60,4)</f>
        <v>5.4999999999999997E-3</v>
      </c>
      <c r="G116" s="161">
        <f t="shared" ref="G116:R116" si="72">ROUNDDOWN(G60,4)</f>
        <v>6.4000000000000003E-3</v>
      </c>
      <c r="H116" s="161">
        <f t="shared" si="72"/>
        <v>7.3000000000000001E-3</v>
      </c>
      <c r="I116" s="161">
        <f t="shared" si="72"/>
        <v>2.2200000000000001E-2</v>
      </c>
      <c r="J116" s="161">
        <f t="shared" si="72"/>
        <v>3.7199999999999997E-2</v>
      </c>
      <c r="K116" s="161">
        <f t="shared" si="72"/>
        <v>3.2199999999999999E-2</v>
      </c>
      <c r="L116" s="161">
        <f t="shared" si="72"/>
        <v>2.7199999999999998E-2</v>
      </c>
      <c r="M116" s="161">
        <f t="shared" si="72"/>
        <v>3.0499999999999999E-2</v>
      </c>
      <c r="N116" s="161">
        <f t="shared" si="72"/>
        <v>3.3799999999999997E-2</v>
      </c>
      <c r="O116" s="161">
        <f t="shared" si="72"/>
        <v>3.5299999999999998E-2</v>
      </c>
      <c r="P116" s="161">
        <f t="shared" si="72"/>
        <v>3.6799999999999999E-2</v>
      </c>
      <c r="Q116" s="161">
        <f t="shared" si="72"/>
        <v>3.85E-2</v>
      </c>
      <c r="R116" s="161">
        <f t="shared" si="72"/>
        <v>3.3700000000000001E-2</v>
      </c>
      <c r="S116" s="161">
        <f t="shared" si="69"/>
        <v>3.56E-2</v>
      </c>
      <c r="T116" s="161">
        <f t="shared" si="69"/>
        <v>3.7600000000000001E-2</v>
      </c>
      <c r="U116" s="161">
        <f t="shared" si="69"/>
        <v>3.9600000000000003E-2</v>
      </c>
      <c r="V116" s="161">
        <f t="shared" si="69"/>
        <v>4.1700000000000001E-2</v>
      </c>
      <c r="W116" s="161">
        <f t="shared" si="69"/>
        <v>4.3700000000000003E-2</v>
      </c>
      <c r="X116" s="161">
        <f t="shared" si="69"/>
        <v>4.5900000000000003E-2</v>
      </c>
      <c r="Y116" s="161">
        <f t="shared" si="69"/>
        <v>4.8000000000000001E-2</v>
      </c>
      <c r="Z116" s="161">
        <f t="shared" si="69"/>
        <v>5.0200000000000002E-2</v>
      </c>
      <c r="AA116" s="161">
        <f t="shared" si="69"/>
        <v>5.1200000000000002E-2</v>
      </c>
      <c r="AB116" s="161">
        <f t="shared" si="69"/>
        <v>5.21E-2</v>
      </c>
      <c r="AC116" s="161">
        <f t="shared" si="69"/>
        <v>5.3100000000000001E-2</v>
      </c>
      <c r="AD116" s="161">
        <f t="shared" si="69"/>
        <v>5.4100000000000002E-2</v>
      </c>
      <c r="AE116" s="161">
        <f t="shared" si="69"/>
        <v>5.5100000000000003E-2</v>
      </c>
      <c r="AF116" s="67"/>
    </row>
    <row r="117" spans="2:32" x14ac:dyDescent="0.3">
      <c r="B117" s="64"/>
      <c r="C117" s="111" t="s">
        <v>269</v>
      </c>
      <c r="D117" s="109" t="s">
        <v>270</v>
      </c>
      <c r="E117" s="69"/>
      <c r="F117" s="169">
        <f>ROUNDDOWN(F61,4)</f>
        <v>1.2472000000000001</v>
      </c>
      <c r="G117" s="169">
        <f t="shared" ref="G117:R117" si="73">ROUNDDOWN(G61,4)</f>
        <v>1.3540000000000001</v>
      </c>
      <c r="H117" s="169">
        <f t="shared" si="73"/>
        <v>1.4481999999999999</v>
      </c>
      <c r="I117" s="169">
        <f t="shared" si="73"/>
        <v>1.5746</v>
      </c>
      <c r="J117" s="169">
        <f t="shared" si="73"/>
        <v>1.7108000000000001</v>
      </c>
      <c r="K117" s="169">
        <f t="shared" si="73"/>
        <v>1.9916</v>
      </c>
      <c r="L117" s="169">
        <f t="shared" si="73"/>
        <v>2.218</v>
      </c>
      <c r="M117" s="169">
        <f t="shared" si="73"/>
        <v>2.3435000000000001</v>
      </c>
      <c r="N117" s="161">
        <f t="shared" si="73"/>
        <v>2.4618000000000002</v>
      </c>
      <c r="O117" s="161">
        <f t="shared" si="73"/>
        <v>2.4779</v>
      </c>
      <c r="P117" s="161">
        <f t="shared" si="73"/>
        <v>2.4921000000000002</v>
      </c>
      <c r="Q117" s="161">
        <f t="shared" si="73"/>
        <v>2.6398999999999999</v>
      </c>
      <c r="R117" s="161">
        <f t="shared" si="73"/>
        <v>2.7492000000000001</v>
      </c>
      <c r="S117" s="161">
        <f t="shared" si="69"/>
        <v>2.9081999999999999</v>
      </c>
      <c r="T117" s="161">
        <f t="shared" si="69"/>
        <v>3.0701000000000001</v>
      </c>
      <c r="U117" s="161">
        <f t="shared" si="69"/>
        <v>3.2347999999999999</v>
      </c>
      <c r="V117" s="161">
        <f t="shared" si="69"/>
        <v>3.4022000000000001</v>
      </c>
      <c r="W117" s="161">
        <f t="shared" si="69"/>
        <v>3.5720999999999998</v>
      </c>
      <c r="X117" s="161">
        <f t="shared" si="69"/>
        <v>3.7446000000000002</v>
      </c>
      <c r="Y117" s="161">
        <f t="shared" si="69"/>
        <v>3.9197000000000002</v>
      </c>
      <c r="Z117" s="161">
        <f t="shared" si="69"/>
        <v>4.0970000000000004</v>
      </c>
      <c r="AA117" s="161">
        <f t="shared" si="69"/>
        <v>4.1769999999999996</v>
      </c>
      <c r="AB117" s="161">
        <f t="shared" si="69"/>
        <v>4.2571000000000003</v>
      </c>
      <c r="AC117" s="161">
        <f t="shared" si="69"/>
        <v>4.3372000000000002</v>
      </c>
      <c r="AD117" s="161">
        <f t="shared" si="69"/>
        <v>4.4173</v>
      </c>
      <c r="AE117" s="161">
        <f t="shared" si="69"/>
        <v>4.4973000000000001</v>
      </c>
      <c r="AF117" s="67"/>
    </row>
    <row r="118" spans="2:32" x14ac:dyDescent="0.3">
      <c r="B118" s="64"/>
      <c r="C118" s="111" t="s">
        <v>271</v>
      </c>
      <c r="D118" s="109" t="s">
        <v>272</v>
      </c>
      <c r="E118" s="69"/>
      <c r="F118" s="169">
        <f>ROUNDDOWN(F62,4)</f>
        <v>1.1267</v>
      </c>
      <c r="G118" s="169">
        <f t="shared" ref="G118:R118" si="74">ROUNDDOWN(G62,4)</f>
        <v>1.1059000000000001</v>
      </c>
      <c r="H118" s="169">
        <f t="shared" si="74"/>
        <v>1.0875999999999999</v>
      </c>
      <c r="I118" s="169">
        <f t="shared" si="74"/>
        <v>1.3071999999999999</v>
      </c>
      <c r="J118" s="169">
        <f t="shared" si="74"/>
        <v>1.5439000000000001</v>
      </c>
      <c r="K118" s="169">
        <f t="shared" si="74"/>
        <v>1.0758000000000001</v>
      </c>
      <c r="L118" s="169">
        <f t="shared" si="74"/>
        <v>0.71330000000000005</v>
      </c>
      <c r="M118" s="169">
        <f t="shared" si="74"/>
        <v>0.57530000000000003</v>
      </c>
      <c r="N118" s="161">
        <f t="shared" si="74"/>
        <v>0.45379999999999998</v>
      </c>
      <c r="O118" s="161">
        <f t="shared" si="74"/>
        <v>0.44469999999999998</v>
      </c>
      <c r="P118" s="161">
        <f t="shared" si="74"/>
        <v>0.43659999999999999</v>
      </c>
      <c r="Q118" s="161">
        <f t="shared" si="74"/>
        <v>0.3745</v>
      </c>
      <c r="R118" s="161">
        <f t="shared" si="74"/>
        <v>0.38469999999999999</v>
      </c>
      <c r="S118" s="161">
        <f t="shared" si="69"/>
        <v>0.40689999999999998</v>
      </c>
      <c r="T118" s="161">
        <f t="shared" si="69"/>
        <v>0.42959999999999998</v>
      </c>
      <c r="U118" s="161">
        <f t="shared" si="69"/>
        <v>0.4526</v>
      </c>
      <c r="V118" s="161">
        <f t="shared" si="69"/>
        <v>0.47599999999999998</v>
      </c>
      <c r="W118" s="161">
        <f t="shared" si="69"/>
        <v>0.49980000000000002</v>
      </c>
      <c r="X118" s="161">
        <f t="shared" si="69"/>
        <v>0.52390000000000003</v>
      </c>
      <c r="Y118" s="161">
        <f t="shared" si="69"/>
        <v>0.5484</v>
      </c>
      <c r="Z118" s="161">
        <f t="shared" si="69"/>
        <v>0.57330000000000003</v>
      </c>
      <c r="AA118" s="161">
        <f t="shared" si="69"/>
        <v>0.58440000000000003</v>
      </c>
      <c r="AB118" s="161">
        <f t="shared" si="69"/>
        <v>0.59570000000000001</v>
      </c>
      <c r="AC118" s="161">
        <f t="shared" si="69"/>
        <v>0.6069</v>
      </c>
      <c r="AD118" s="161">
        <f t="shared" si="69"/>
        <v>0.61809999999999998</v>
      </c>
      <c r="AE118" s="161">
        <f t="shared" si="69"/>
        <v>0.62929999999999997</v>
      </c>
      <c r="AF118" s="67"/>
    </row>
    <row r="119" spans="2:32" x14ac:dyDescent="0.3">
      <c r="B119" s="64"/>
      <c r="C119" s="71" t="s">
        <v>273</v>
      </c>
      <c r="D119" s="72" t="s">
        <v>274</v>
      </c>
      <c r="E119" s="72"/>
      <c r="F119" s="161">
        <f t="shared" si="71"/>
        <v>0</v>
      </c>
      <c r="G119" s="161">
        <f t="shared" si="69"/>
        <v>0</v>
      </c>
      <c r="H119" s="161">
        <f t="shared" si="69"/>
        <v>0</v>
      </c>
      <c r="I119" s="161">
        <f t="shared" si="69"/>
        <v>0</v>
      </c>
      <c r="J119" s="161">
        <f t="shared" si="69"/>
        <v>0</v>
      </c>
      <c r="K119" s="161">
        <f t="shared" si="69"/>
        <v>0</v>
      </c>
      <c r="L119" s="161">
        <f t="shared" si="69"/>
        <v>0</v>
      </c>
      <c r="M119" s="161">
        <f t="shared" si="69"/>
        <v>0</v>
      </c>
      <c r="N119" s="161">
        <f t="shared" si="69"/>
        <v>0</v>
      </c>
      <c r="O119" s="161">
        <f t="shared" si="69"/>
        <v>0</v>
      </c>
      <c r="P119" s="161">
        <f t="shared" si="69"/>
        <v>0</v>
      </c>
      <c r="Q119" s="161">
        <f t="shared" si="69"/>
        <v>0</v>
      </c>
      <c r="R119" s="161">
        <f t="shared" si="69"/>
        <v>0</v>
      </c>
      <c r="S119" s="161">
        <f t="shared" si="69"/>
        <v>0</v>
      </c>
      <c r="T119" s="161">
        <f t="shared" si="69"/>
        <v>0</v>
      </c>
      <c r="U119" s="161">
        <f t="shared" si="69"/>
        <v>0</v>
      </c>
      <c r="V119" s="161">
        <f t="shared" si="69"/>
        <v>0</v>
      </c>
      <c r="W119" s="161">
        <f t="shared" si="69"/>
        <v>0</v>
      </c>
      <c r="X119" s="161">
        <f t="shared" si="69"/>
        <v>0</v>
      </c>
      <c r="Y119" s="161">
        <f t="shared" si="69"/>
        <v>0</v>
      </c>
      <c r="Z119" s="161">
        <f t="shared" si="69"/>
        <v>0</v>
      </c>
      <c r="AA119" s="161">
        <f t="shared" si="69"/>
        <v>0</v>
      </c>
      <c r="AB119" s="161">
        <f t="shared" si="69"/>
        <v>0</v>
      </c>
      <c r="AC119" s="161">
        <f t="shared" si="69"/>
        <v>0</v>
      </c>
      <c r="AD119" s="161">
        <f t="shared" si="69"/>
        <v>0</v>
      </c>
      <c r="AE119" s="161">
        <f t="shared" si="69"/>
        <v>0</v>
      </c>
      <c r="AF119" s="67"/>
    </row>
    <row r="120" spans="2:32" x14ac:dyDescent="0.3">
      <c r="B120" s="64"/>
      <c r="C120" s="112" t="s">
        <v>275</v>
      </c>
      <c r="D120" s="110" t="s">
        <v>276</v>
      </c>
      <c r="E120" s="72"/>
      <c r="F120" s="161">
        <f t="shared" si="71"/>
        <v>9.1000000000000004E-3</v>
      </c>
      <c r="G120" s="161">
        <f t="shared" si="69"/>
        <v>9.7000000000000003E-3</v>
      </c>
      <c r="H120" s="161">
        <f t="shared" si="69"/>
        <v>1.04E-2</v>
      </c>
      <c r="I120" s="161">
        <f t="shared" si="69"/>
        <v>1.0800000000000001E-2</v>
      </c>
      <c r="J120" s="161">
        <f t="shared" si="69"/>
        <v>1.1299999999999999E-2</v>
      </c>
      <c r="K120" s="161">
        <f t="shared" si="69"/>
        <v>1.12E-2</v>
      </c>
      <c r="L120" s="161">
        <f t="shared" si="69"/>
        <v>1.12E-2</v>
      </c>
      <c r="M120" s="161">
        <f t="shared" si="69"/>
        <v>1.14E-2</v>
      </c>
      <c r="N120" s="161">
        <f t="shared" si="69"/>
        <v>1.1599999999999999E-2</v>
      </c>
      <c r="O120" s="161">
        <f t="shared" si="69"/>
        <v>1.5100000000000001E-2</v>
      </c>
      <c r="P120" s="161">
        <f t="shared" si="69"/>
        <v>1.9300000000000001E-2</v>
      </c>
      <c r="Q120" s="161">
        <f t="shared" si="69"/>
        <v>9.1000000000000004E-3</v>
      </c>
      <c r="R120" s="161">
        <f t="shared" si="69"/>
        <v>1.37E-2</v>
      </c>
      <c r="S120" s="161">
        <f t="shared" si="69"/>
        <v>1.44E-2</v>
      </c>
      <c r="T120" s="161">
        <f t="shared" si="69"/>
        <v>1.52E-2</v>
      </c>
      <c r="U120" s="161">
        <f t="shared" si="69"/>
        <v>1.61E-2</v>
      </c>
      <c r="V120" s="161">
        <f t="shared" si="69"/>
        <v>1.6899999999999998E-2</v>
      </c>
      <c r="W120" s="161">
        <f t="shared" si="69"/>
        <v>1.78E-2</v>
      </c>
      <c r="X120" s="161">
        <f t="shared" si="69"/>
        <v>1.8599999999999998E-2</v>
      </c>
      <c r="Y120" s="161">
        <f t="shared" si="69"/>
        <v>1.95E-2</v>
      </c>
      <c r="Z120" s="161">
        <f t="shared" si="69"/>
        <v>2.0400000000000001E-2</v>
      </c>
      <c r="AA120" s="161">
        <f t="shared" si="69"/>
        <v>2.0799999999999999E-2</v>
      </c>
      <c r="AB120" s="161">
        <f t="shared" si="69"/>
        <v>2.12E-2</v>
      </c>
      <c r="AC120" s="161">
        <f t="shared" si="69"/>
        <v>2.1600000000000001E-2</v>
      </c>
      <c r="AD120" s="161">
        <f t="shared" si="69"/>
        <v>2.1999999999999999E-2</v>
      </c>
      <c r="AE120" s="161">
        <f t="shared" si="69"/>
        <v>2.24E-2</v>
      </c>
      <c r="AF120" s="67"/>
    </row>
    <row r="121" spans="2:32" x14ac:dyDescent="0.3">
      <c r="B121" s="64"/>
      <c r="C121" s="65" t="s">
        <v>277</v>
      </c>
      <c r="D121" s="69" t="s">
        <v>278</v>
      </c>
      <c r="E121" s="69"/>
      <c r="F121" s="161">
        <f t="shared" si="71"/>
        <v>0</v>
      </c>
      <c r="G121" s="161">
        <f t="shared" si="69"/>
        <v>0</v>
      </c>
      <c r="H121" s="161">
        <f t="shared" si="69"/>
        <v>0</v>
      </c>
      <c r="I121" s="161">
        <f t="shared" si="69"/>
        <v>0</v>
      </c>
      <c r="J121" s="161">
        <f t="shared" si="69"/>
        <v>0</v>
      </c>
      <c r="K121" s="161">
        <f t="shared" si="69"/>
        <v>0</v>
      </c>
      <c r="L121" s="161">
        <f t="shared" si="69"/>
        <v>0</v>
      </c>
      <c r="M121" s="161">
        <f t="shared" si="69"/>
        <v>0</v>
      </c>
      <c r="N121" s="161">
        <f t="shared" si="69"/>
        <v>0</v>
      </c>
      <c r="O121" s="161">
        <f t="shared" si="69"/>
        <v>0</v>
      </c>
      <c r="P121" s="161">
        <f t="shared" si="69"/>
        <v>0</v>
      </c>
      <c r="Q121" s="161">
        <f t="shared" si="69"/>
        <v>0</v>
      </c>
      <c r="R121" s="161">
        <f t="shared" si="69"/>
        <v>0</v>
      </c>
      <c r="S121" s="161">
        <f t="shared" si="69"/>
        <v>0</v>
      </c>
      <c r="T121" s="161">
        <f t="shared" si="69"/>
        <v>0</v>
      </c>
      <c r="U121" s="161">
        <f t="shared" si="69"/>
        <v>0</v>
      </c>
      <c r="V121" s="161">
        <f t="shared" si="69"/>
        <v>0</v>
      </c>
      <c r="W121" s="161">
        <f t="shared" si="69"/>
        <v>0</v>
      </c>
      <c r="X121" s="161">
        <f t="shared" si="69"/>
        <v>0</v>
      </c>
      <c r="Y121" s="161">
        <f t="shared" si="69"/>
        <v>0</v>
      </c>
      <c r="Z121" s="161">
        <f t="shared" si="69"/>
        <v>0</v>
      </c>
      <c r="AA121" s="161">
        <f t="shared" si="69"/>
        <v>0</v>
      </c>
      <c r="AB121" s="161">
        <f t="shared" si="69"/>
        <v>0</v>
      </c>
      <c r="AC121" s="161">
        <f t="shared" si="69"/>
        <v>0</v>
      </c>
      <c r="AD121" s="161">
        <f t="shared" si="69"/>
        <v>0</v>
      </c>
      <c r="AE121" s="161">
        <f t="shared" si="69"/>
        <v>0</v>
      </c>
      <c r="AF121" s="67"/>
    </row>
    <row r="122" spans="2:32" x14ac:dyDescent="0.3">
      <c r="B122" s="64"/>
      <c r="C122" s="65" t="s">
        <v>279</v>
      </c>
      <c r="D122" s="69" t="s">
        <v>280</v>
      </c>
      <c r="E122" s="69"/>
      <c r="F122" s="161">
        <f t="shared" si="71"/>
        <v>0</v>
      </c>
      <c r="G122" s="161">
        <f t="shared" si="69"/>
        <v>0</v>
      </c>
      <c r="H122" s="161">
        <f t="shared" si="69"/>
        <v>0</v>
      </c>
      <c r="I122" s="161">
        <f t="shared" si="69"/>
        <v>0</v>
      </c>
      <c r="J122" s="161">
        <f t="shared" si="69"/>
        <v>0</v>
      </c>
      <c r="K122" s="161">
        <f t="shared" si="69"/>
        <v>0</v>
      </c>
      <c r="L122" s="161">
        <f t="shared" si="69"/>
        <v>0</v>
      </c>
      <c r="M122" s="161">
        <f t="shared" si="69"/>
        <v>0</v>
      </c>
      <c r="N122" s="161">
        <f t="shared" si="69"/>
        <v>0</v>
      </c>
      <c r="O122" s="161">
        <f t="shared" si="69"/>
        <v>0</v>
      </c>
      <c r="P122" s="161">
        <f t="shared" si="69"/>
        <v>0</v>
      </c>
      <c r="Q122" s="161">
        <f t="shared" si="69"/>
        <v>0</v>
      </c>
      <c r="R122" s="161">
        <f t="shared" si="69"/>
        <v>0</v>
      </c>
      <c r="S122" s="161">
        <f t="shared" si="69"/>
        <v>0</v>
      </c>
      <c r="T122" s="161">
        <f t="shared" si="69"/>
        <v>0</v>
      </c>
      <c r="U122" s="161">
        <f t="shared" si="69"/>
        <v>0</v>
      </c>
      <c r="V122" s="161">
        <f t="shared" si="69"/>
        <v>0</v>
      </c>
      <c r="W122" s="161">
        <f t="shared" si="69"/>
        <v>0</v>
      </c>
      <c r="X122" s="161">
        <f t="shared" si="69"/>
        <v>0</v>
      </c>
      <c r="Y122" s="161">
        <f t="shared" si="69"/>
        <v>0</v>
      </c>
      <c r="Z122" s="161">
        <f t="shared" si="69"/>
        <v>0</v>
      </c>
      <c r="AA122" s="161">
        <f t="shared" si="69"/>
        <v>0</v>
      </c>
      <c r="AB122" s="161">
        <f t="shared" si="69"/>
        <v>0</v>
      </c>
      <c r="AC122" s="161">
        <f t="shared" si="69"/>
        <v>0</v>
      </c>
      <c r="AD122" s="161">
        <f t="shared" si="69"/>
        <v>0</v>
      </c>
      <c r="AE122" s="161">
        <f t="shared" si="69"/>
        <v>0</v>
      </c>
      <c r="AF122" s="67"/>
    </row>
    <row r="123" spans="2:32" x14ac:dyDescent="0.3">
      <c r="B123" s="64"/>
      <c r="C123" s="65"/>
      <c r="D123" s="65"/>
      <c r="E123" s="65"/>
      <c r="F123" s="86">
        <f>SUM(F114:F122)</f>
        <v>4.0671999999999997</v>
      </c>
      <c r="G123" s="86">
        <f t="shared" ref="G123:AE123" si="75">SUM(G114:G122)</f>
        <v>4.2161999999999997</v>
      </c>
      <c r="H123" s="86">
        <f t="shared" si="75"/>
        <v>4.3481999999999994</v>
      </c>
      <c r="I123" s="86">
        <f t="shared" si="75"/>
        <v>4.9634</v>
      </c>
      <c r="J123" s="86">
        <f t="shared" si="75"/>
        <v>5.6248000000000005</v>
      </c>
      <c r="K123" s="86">
        <f t="shared" si="75"/>
        <v>5.2972000000000001</v>
      </c>
      <c r="L123" s="86">
        <f t="shared" si="75"/>
        <v>5.0568999999999997</v>
      </c>
      <c r="M123" s="86">
        <f t="shared" si="75"/>
        <v>5.0416000000000007</v>
      </c>
      <c r="N123" s="86">
        <f t="shared" si="75"/>
        <v>5.0421000000000005</v>
      </c>
      <c r="O123" s="86">
        <f t="shared" si="75"/>
        <v>5.0625000000000009</v>
      </c>
      <c r="P123" s="86">
        <f t="shared" si="75"/>
        <v>5.0826000000000002</v>
      </c>
      <c r="Q123" s="86">
        <f t="shared" si="75"/>
        <v>5.2141000000000002</v>
      </c>
      <c r="R123" s="86">
        <f t="shared" si="75"/>
        <v>5.4172000000000002</v>
      </c>
      <c r="S123" s="86">
        <f t="shared" si="75"/>
        <v>5.7304000000000004</v>
      </c>
      <c r="T123" s="86">
        <f t="shared" si="75"/>
        <v>6.0494999999999992</v>
      </c>
      <c r="U123" s="86">
        <f t="shared" si="75"/>
        <v>6.3740000000000006</v>
      </c>
      <c r="V123" s="86">
        <f t="shared" si="75"/>
        <v>6.7038000000000002</v>
      </c>
      <c r="W123" s="86">
        <f t="shared" si="75"/>
        <v>7.0385999999999997</v>
      </c>
      <c r="X123" s="86">
        <f t="shared" si="75"/>
        <v>7.3785000000000007</v>
      </c>
      <c r="Y123" s="86">
        <f t="shared" si="75"/>
        <v>7.7234999999999996</v>
      </c>
      <c r="Z123" s="86">
        <f t="shared" si="75"/>
        <v>8.0730000000000004</v>
      </c>
      <c r="AA123" s="86">
        <f t="shared" si="75"/>
        <v>8.230599999999999</v>
      </c>
      <c r="AB123" s="86">
        <f t="shared" si="75"/>
        <v>8.3885000000000005</v>
      </c>
      <c r="AC123" s="86">
        <f t="shared" si="75"/>
        <v>8.5462999999999987</v>
      </c>
      <c r="AD123" s="86">
        <f t="shared" si="75"/>
        <v>8.7041000000000004</v>
      </c>
      <c r="AE123" s="204">
        <f t="shared" si="75"/>
        <v>8.8618000000000006</v>
      </c>
      <c r="AF123" s="67"/>
    </row>
    <row r="124" spans="2:32" x14ac:dyDescent="0.3">
      <c r="B124" s="64"/>
      <c r="C124" s="65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67"/>
    </row>
    <row r="125" spans="2:32" x14ac:dyDescent="0.3">
      <c r="B125" s="64"/>
      <c r="C125" s="65"/>
      <c r="D125" s="75"/>
      <c r="E125" s="75"/>
      <c r="F125" s="164"/>
      <c r="G125" s="164"/>
      <c r="H125" s="164"/>
      <c r="I125" s="164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  <c r="Z125" s="164"/>
      <c r="AA125" s="164"/>
      <c r="AB125" s="164"/>
      <c r="AC125" s="164"/>
      <c r="AD125" s="164"/>
      <c r="AE125" s="164"/>
      <c r="AF125" s="67"/>
    </row>
    <row r="126" spans="2:32" x14ac:dyDescent="0.3">
      <c r="B126" s="64"/>
      <c r="C126" s="66" t="s">
        <v>281</v>
      </c>
      <c r="D126" s="66"/>
      <c r="E126" s="66"/>
      <c r="F126" s="66"/>
      <c r="G126" s="66"/>
      <c r="H126" s="66"/>
      <c r="I126" s="66"/>
      <c r="J126" s="66"/>
      <c r="K126" s="88"/>
      <c r="L126" s="88"/>
      <c r="M126" s="88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67"/>
    </row>
    <row r="127" spans="2:32" ht="28.8" x14ac:dyDescent="0.3">
      <c r="B127" s="64"/>
      <c r="C127" s="65" t="s">
        <v>282</v>
      </c>
      <c r="D127" s="71" t="s">
        <v>283</v>
      </c>
      <c r="E127" s="71"/>
      <c r="F127" s="84">
        <f>F114</f>
        <v>1.6787000000000001</v>
      </c>
      <c r="G127" s="84">
        <f t="shared" ref="G127:AE127" si="76">G114</f>
        <v>1.7402</v>
      </c>
      <c r="H127" s="84">
        <f t="shared" si="76"/>
        <v>1.7947</v>
      </c>
      <c r="I127" s="84">
        <f t="shared" si="76"/>
        <v>2.0486</v>
      </c>
      <c r="J127" s="84">
        <f t="shared" si="76"/>
        <v>2.3216000000000001</v>
      </c>
      <c r="K127" s="84">
        <f t="shared" si="76"/>
        <v>2.1863999999999999</v>
      </c>
      <c r="L127" s="84">
        <f t="shared" si="76"/>
        <v>2.0872000000000002</v>
      </c>
      <c r="M127" s="84">
        <f t="shared" si="76"/>
        <v>2.0809000000000002</v>
      </c>
      <c r="N127" s="84">
        <f t="shared" si="76"/>
        <v>2.0811000000000002</v>
      </c>
      <c r="O127" s="84">
        <f t="shared" si="76"/>
        <v>2.0895000000000001</v>
      </c>
      <c r="P127" s="84">
        <f t="shared" si="76"/>
        <v>2.0977999999999999</v>
      </c>
      <c r="Q127" s="84">
        <f t="shared" si="76"/>
        <v>2.1520999999999999</v>
      </c>
      <c r="R127" s="84">
        <f t="shared" si="76"/>
        <v>2.2359</v>
      </c>
      <c r="S127" s="84">
        <f t="shared" si="76"/>
        <v>2.3653</v>
      </c>
      <c r="T127" s="84">
        <f t="shared" si="76"/>
        <v>2.4969999999999999</v>
      </c>
      <c r="U127" s="84">
        <f t="shared" si="76"/>
        <v>2.6309</v>
      </c>
      <c r="V127" s="84">
        <f t="shared" si="76"/>
        <v>2.7669999999999999</v>
      </c>
      <c r="W127" s="84">
        <f t="shared" si="76"/>
        <v>2.9051999999999998</v>
      </c>
      <c r="X127" s="84">
        <f t="shared" si="76"/>
        <v>3.0455000000000001</v>
      </c>
      <c r="Y127" s="84">
        <f t="shared" si="76"/>
        <v>3.1879</v>
      </c>
      <c r="Z127" s="84">
        <f t="shared" si="76"/>
        <v>3.3321000000000001</v>
      </c>
      <c r="AA127" s="84">
        <f t="shared" si="76"/>
        <v>3.3972000000000002</v>
      </c>
      <c r="AB127" s="84">
        <f t="shared" si="76"/>
        <v>3.4624000000000001</v>
      </c>
      <c r="AC127" s="84">
        <f t="shared" si="76"/>
        <v>3.5274999999999999</v>
      </c>
      <c r="AD127" s="84">
        <f t="shared" si="76"/>
        <v>3.5926</v>
      </c>
      <c r="AE127" s="84">
        <f t="shared" si="76"/>
        <v>3.6577000000000002</v>
      </c>
      <c r="AF127" s="67"/>
    </row>
    <row r="128" spans="2:32" ht="28.8" x14ac:dyDescent="0.3">
      <c r="B128" s="64"/>
      <c r="C128" s="65" t="s">
        <v>284</v>
      </c>
      <c r="D128" s="71" t="s">
        <v>285</v>
      </c>
      <c r="E128" s="71"/>
      <c r="F128" s="84">
        <f>F116+F115</f>
        <v>5.4999999999999997E-3</v>
      </c>
      <c r="G128" s="84">
        <f t="shared" ref="G128:AE128" si="77">G116+G115</f>
        <v>6.4000000000000003E-3</v>
      </c>
      <c r="H128" s="84">
        <f t="shared" si="77"/>
        <v>7.3000000000000001E-3</v>
      </c>
      <c r="I128" s="84">
        <f t="shared" si="77"/>
        <v>2.2200000000000001E-2</v>
      </c>
      <c r="J128" s="84">
        <f t="shared" si="77"/>
        <v>3.7199999999999997E-2</v>
      </c>
      <c r="K128" s="84">
        <f t="shared" si="77"/>
        <v>3.2199999999999999E-2</v>
      </c>
      <c r="L128" s="84">
        <f t="shared" si="77"/>
        <v>2.7199999999999998E-2</v>
      </c>
      <c r="M128" s="84">
        <f t="shared" si="77"/>
        <v>3.0499999999999999E-2</v>
      </c>
      <c r="N128" s="84">
        <f t="shared" si="77"/>
        <v>3.3799999999999997E-2</v>
      </c>
      <c r="O128" s="84">
        <f t="shared" si="77"/>
        <v>3.5299999999999998E-2</v>
      </c>
      <c r="P128" s="84">
        <f t="shared" si="77"/>
        <v>3.6799999999999999E-2</v>
      </c>
      <c r="Q128" s="84">
        <f t="shared" si="77"/>
        <v>3.85E-2</v>
      </c>
      <c r="R128" s="84">
        <f t="shared" si="77"/>
        <v>3.3700000000000001E-2</v>
      </c>
      <c r="S128" s="84">
        <f t="shared" si="77"/>
        <v>3.56E-2</v>
      </c>
      <c r="T128" s="84">
        <f t="shared" si="77"/>
        <v>3.7600000000000001E-2</v>
      </c>
      <c r="U128" s="84">
        <f t="shared" si="77"/>
        <v>3.9600000000000003E-2</v>
      </c>
      <c r="V128" s="84">
        <f t="shared" si="77"/>
        <v>4.1700000000000001E-2</v>
      </c>
      <c r="W128" s="84">
        <f t="shared" si="77"/>
        <v>4.3700000000000003E-2</v>
      </c>
      <c r="X128" s="84">
        <f t="shared" si="77"/>
        <v>4.5900000000000003E-2</v>
      </c>
      <c r="Y128" s="84">
        <f t="shared" si="77"/>
        <v>4.8000000000000001E-2</v>
      </c>
      <c r="Z128" s="84">
        <f t="shared" si="77"/>
        <v>5.0200000000000002E-2</v>
      </c>
      <c r="AA128" s="84">
        <f t="shared" si="77"/>
        <v>5.1200000000000002E-2</v>
      </c>
      <c r="AB128" s="84">
        <f t="shared" si="77"/>
        <v>5.21E-2</v>
      </c>
      <c r="AC128" s="84">
        <f t="shared" si="77"/>
        <v>5.3100000000000001E-2</v>
      </c>
      <c r="AD128" s="84">
        <f t="shared" si="77"/>
        <v>5.4100000000000002E-2</v>
      </c>
      <c r="AE128" s="84">
        <f t="shared" si="77"/>
        <v>5.5100000000000003E-2</v>
      </c>
      <c r="AF128" s="67"/>
    </row>
    <row r="129" spans="2:32" ht="28.8" x14ac:dyDescent="0.3">
      <c r="B129" s="64"/>
      <c r="C129" s="65" t="s">
        <v>286</v>
      </c>
      <c r="D129" s="71" t="s">
        <v>287</v>
      </c>
      <c r="E129" s="71"/>
      <c r="F129" s="84">
        <f>F117+F118+F119+F120</f>
        <v>2.383</v>
      </c>
      <c r="G129" s="84">
        <f t="shared" ref="G129:AE129" si="78">G117+G118+G119+G120</f>
        <v>2.4696000000000002</v>
      </c>
      <c r="H129" s="84">
        <f t="shared" si="78"/>
        <v>2.5462000000000002</v>
      </c>
      <c r="I129" s="84">
        <f t="shared" si="78"/>
        <v>2.8926000000000003</v>
      </c>
      <c r="J129" s="84">
        <f t="shared" si="78"/>
        <v>3.266</v>
      </c>
      <c r="K129" s="84">
        <f t="shared" si="78"/>
        <v>3.0786000000000002</v>
      </c>
      <c r="L129" s="84">
        <f t="shared" si="78"/>
        <v>2.9425000000000003</v>
      </c>
      <c r="M129" s="84">
        <f t="shared" si="78"/>
        <v>2.9302000000000001</v>
      </c>
      <c r="N129" s="84">
        <f t="shared" si="78"/>
        <v>2.9272000000000005</v>
      </c>
      <c r="O129" s="84">
        <f t="shared" si="78"/>
        <v>2.9377</v>
      </c>
      <c r="P129" s="84">
        <f t="shared" si="78"/>
        <v>2.948</v>
      </c>
      <c r="Q129" s="84">
        <f t="shared" si="78"/>
        <v>3.0234999999999999</v>
      </c>
      <c r="R129" s="84">
        <f t="shared" si="78"/>
        <v>3.1476000000000002</v>
      </c>
      <c r="S129" s="84">
        <f t="shared" si="78"/>
        <v>3.3294999999999999</v>
      </c>
      <c r="T129" s="84">
        <f t="shared" si="78"/>
        <v>3.5148999999999999</v>
      </c>
      <c r="U129" s="84">
        <f t="shared" si="78"/>
        <v>3.7034999999999996</v>
      </c>
      <c r="V129" s="84">
        <f t="shared" si="78"/>
        <v>3.8951000000000002</v>
      </c>
      <c r="W129" s="84">
        <f t="shared" si="78"/>
        <v>4.0896999999999997</v>
      </c>
      <c r="X129" s="84">
        <f t="shared" si="78"/>
        <v>4.2871000000000006</v>
      </c>
      <c r="Y129" s="84">
        <f t="shared" si="78"/>
        <v>4.4875999999999996</v>
      </c>
      <c r="Z129" s="84">
        <f t="shared" si="78"/>
        <v>4.6907000000000005</v>
      </c>
      <c r="AA129" s="84">
        <f t="shared" si="78"/>
        <v>4.7822000000000005</v>
      </c>
      <c r="AB129" s="84">
        <f t="shared" si="78"/>
        <v>4.8740000000000006</v>
      </c>
      <c r="AC129" s="84">
        <f t="shared" si="78"/>
        <v>4.9657000000000009</v>
      </c>
      <c r="AD129" s="84">
        <f t="shared" si="78"/>
        <v>5.0574000000000003</v>
      </c>
      <c r="AE129" s="84">
        <f t="shared" si="78"/>
        <v>5.149</v>
      </c>
      <c r="AF129" s="67"/>
    </row>
    <row r="130" spans="2:32" ht="28.8" x14ac:dyDescent="0.3">
      <c r="B130" s="64"/>
      <c r="C130" s="65" t="s">
        <v>288</v>
      </c>
      <c r="D130" s="71" t="s">
        <v>289</v>
      </c>
      <c r="E130" s="71"/>
      <c r="F130" s="84">
        <f>F121+F122</f>
        <v>0</v>
      </c>
      <c r="G130" s="84">
        <f t="shared" ref="G130:AE130" si="79">G121+G122</f>
        <v>0</v>
      </c>
      <c r="H130" s="84">
        <f t="shared" si="79"/>
        <v>0</v>
      </c>
      <c r="I130" s="84">
        <f t="shared" si="79"/>
        <v>0</v>
      </c>
      <c r="J130" s="84">
        <f t="shared" si="79"/>
        <v>0</v>
      </c>
      <c r="K130" s="84">
        <f t="shared" si="79"/>
        <v>0</v>
      </c>
      <c r="L130" s="84">
        <f t="shared" si="79"/>
        <v>0</v>
      </c>
      <c r="M130" s="84">
        <f t="shared" si="79"/>
        <v>0</v>
      </c>
      <c r="N130" s="84">
        <f t="shared" si="79"/>
        <v>0</v>
      </c>
      <c r="O130" s="84">
        <f t="shared" si="79"/>
        <v>0</v>
      </c>
      <c r="P130" s="84">
        <f t="shared" si="79"/>
        <v>0</v>
      </c>
      <c r="Q130" s="84">
        <f t="shared" si="79"/>
        <v>0</v>
      </c>
      <c r="R130" s="84">
        <f t="shared" si="79"/>
        <v>0</v>
      </c>
      <c r="S130" s="84">
        <f t="shared" si="79"/>
        <v>0</v>
      </c>
      <c r="T130" s="84">
        <f t="shared" si="79"/>
        <v>0</v>
      </c>
      <c r="U130" s="84">
        <f t="shared" si="79"/>
        <v>0</v>
      </c>
      <c r="V130" s="84">
        <f t="shared" si="79"/>
        <v>0</v>
      </c>
      <c r="W130" s="84">
        <f t="shared" si="79"/>
        <v>0</v>
      </c>
      <c r="X130" s="84">
        <f t="shared" si="79"/>
        <v>0</v>
      </c>
      <c r="Y130" s="84">
        <f t="shared" si="79"/>
        <v>0</v>
      </c>
      <c r="Z130" s="84">
        <f t="shared" si="79"/>
        <v>0</v>
      </c>
      <c r="AA130" s="84">
        <f t="shared" si="79"/>
        <v>0</v>
      </c>
      <c r="AB130" s="84">
        <f t="shared" si="79"/>
        <v>0</v>
      </c>
      <c r="AC130" s="84">
        <f t="shared" si="79"/>
        <v>0</v>
      </c>
      <c r="AD130" s="84">
        <f t="shared" si="79"/>
        <v>0</v>
      </c>
      <c r="AE130" s="84">
        <f t="shared" si="79"/>
        <v>0</v>
      </c>
      <c r="AF130" s="67"/>
    </row>
    <row r="131" spans="2:32" x14ac:dyDescent="0.3">
      <c r="B131" s="64"/>
      <c r="C131" s="65"/>
      <c r="D131" s="77"/>
      <c r="E131" s="77"/>
      <c r="F131" s="90">
        <f t="shared" ref="F131:M131" si="80">SUM(F127:F130)</f>
        <v>4.0671999999999997</v>
      </c>
      <c r="G131" s="90">
        <f t="shared" si="80"/>
        <v>4.2162000000000006</v>
      </c>
      <c r="H131" s="90">
        <f t="shared" si="80"/>
        <v>4.3482000000000003</v>
      </c>
      <c r="I131" s="90">
        <f t="shared" si="80"/>
        <v>4.9634</v>
      </c>
      <c r="J131" s="90">
        <f t="shared" si="80"/>
        <v>5.6248000000000005</v>
      </c>
      <c r="K131" s="90">
        <f t="shared" si="80"/>
        <v>5.2972000000000001</v>
      </c>
      <c r="L131" s="90">
        <f t="shared" si="80"/>
        <v>5.0569000000000006</v>
      </c>
      <c r="M131" s="90">
        <f t="shared" si="80"/>
        <v>5.0416000000000007</v>
      </c>
      <c r="N131" s="90">
        <f>SUM(N127:N130)</f>
        <v>5.0421000000000005</v>
      </c>
      <c r="O131" s="90">
        <f t="shared" ref="O131:AE131" si="81">SUM(O127:O130)</f>
        <v>5.0625</v>
      </c>
      <c r="P131" s="90">
        <f t="shared" si="81"/>
        <v>5.0825999999999993</v>
      </c>
      <c r="Q131" s="90">
        <f t="shared" si="81"/>
        <v>5.2141000000000002</v>
      </c>
      <c r="R131" s="90">
        <f t="shared" si="81"/>
        <v>5.4172000000000002</v>
      </c>
      <c r="S131" s="90">
        <f t="shared" si="81"/>
        <v>5.7303999999999995</v>
      </c>
      <c r="T131" s="90">
        <f t="shared" si="81"/>
        <v>6.0495000000000001</v>
      </c>
      <c r="U131" s="90">
        <f t="shared" si="81"/>
        <v>6.3739999999999997</v>
      </c>
      <c r="V131" s="90">
        <f t="shared" si="81"/>
        <v>6.7038000000000002</v>
      </c>
      <c r="W131" s="90">
        <f t="shared" si="81"/>
        <v>7.0385999999999989</v>
      </c>
      <c r="X131" s="90">
        <f t="shared" si="81"/>
        <v>7.3785000000000007</v>
      </c>
      <c r="Y131" s="90">
        <f t="shared" si="81"/>
        <v>7.7234999999999996</v>
      </c>
      <c r="Z131" s="90">
        <f t="shared" si="81"/>
        <v>8.0730000000000004</v>
      </c>
      <c r="AA131" s="90">
        <f t="shared" si="81"/>
        <v>8.2306000000000008</v>
      </c>
      <c r="AB131" s="90">
        <f t="shared" si="81"/>
        <v>8.3885000000000005</v>
      </c>
      <c r="AC131" s="90">
        <f t="shared" si="81"/>
        <v>8.5463000000000005</v>
      </c>
      <c r="AD131" s="90">
        <f t="shared" si="81"/>
        <v>8.7041000000000004</v>
      </c>
      <c r="AE131" s="90">
        <f t="shared" si="81"/>
        <v>8.8618000000000006</v>
      </c>
      <c r="AF131" s="67"/>
    </row>
    <row r="132" spans="2:32" x14ac:dyDescent="0.3">
      <c r="B132" s="64"/>
      <c r="C132" s="65"/>
      <c r="D132" s="65"/>
      <c r="E132" s="65"/>
      <c r="F132" s="65"/>
      <c r="G132" s="65"/>
      <c r="H132" s="65"/>
      <c r="I132" s="65"/>
      <c r="J132" s="65"/>
      <c r="K132" s="91"/>
      <c r="L132" s="91"/>
      <c r="M132" s="91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67"/>
    </row>
    <row r="133" spans="2:32" x14ac:dyDescent="0.3">
      <c r="B133" s="64"/>
      <c r="C133" s="66" t="s">
        <v>290</v>
      </c>
      <c r="D133" s="66"/>
      <c r="E133" s="66"/>
      <c r="F133" s="66"/>
      <c r="G133" s="66"/>
      <c r="H133" s="66"/>
      <c r="I133" s="66"/>
      <c r="J133" s="66"/>
      <c r="K133" s="88"/>
      <c r="L133" s="88"/>
      <c r="M133" s="88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67"/>
    </row>
    <row r="134" spans="2:32" ht="28.8" x14ac:dyDescent="0.3">
      <c r="B134" s="64"/>
      <c r="C134" s="65" t="s">
        <v>291</v>
      </c>
      <c r="D134" s="71" t="s">
        <v>292</v>
      </c>
      <c r="E134" s="71"/>
      <c r="F134" s="84">
        <f t="shared" ref="F134:R134" si="82">F127</f>
        <v>1.6787000000000001</v>
      </c>
      <c r="G134" s="84">
        <f t="shared" si="82"/>
        <v>1.7402</v>
      </c>
      <c r="H134" s="84">
        <f t="shared" si="82"/>
        <v>1.7947</v>
      </c>
      <c r="I134" s="84">
        <f t="shared" si="82"/>
        <v>2.0486</v>
      </c>
      <c r="J134" s="84">
        <f t="shared" si="82"/>
        <v>2.3216000000000001</v>
      </c>
      <c r="K134" s="84">
        <f t="shared" si="82"/>
        <v>2.1863999999999999</v>
      </c>
      <c r="L134" s="84">
        <f t="shared" si="82"/>
        <v>2.0872000000000002</v>
      </c>
      <c r="M134" s="84">
        <f t="shared" si="82"/>
        <v>2.0809000000000002</v>
      </c>
      <c r="N134" s="84">
        <f t="shared" si="82"/>
        <v>2.0811000000000002</v>
      </c>
      <c r="O134" s="84">
        <f t="shared" si="82"/>
        <v>2.0895000000000001</v>
      </c>
      <c r="P134" s="84">
        <f t="shared" si="82"/>
        <v>2.0977999999999999</v>
      </c>
      <c r="Q134" s="84">
        <f t="shared" si="82"/>
        <v>2.1520999999999999</v>
      </c>
      <c r="R134" s="84">
        <f t="shared" si="82"/>
        <v>2.2359</v>
      </c>
      <c r="S134" s="89">
        <f t="shared" ref="S134:AE137" si="83">ROUNDDOWN(S78,4)</f>
        <v>2.3653</v>
      </c>
      <c r="T134" s="89">
        <f t="shared" si="83"/>
        <v>2.4969999999999999</v>
      </c>
      <c r="U134" s="89">
        <f t="shared" si="83"/>
        <v>2.6309</v>
      </c>
      <c r="V134" s="89">
        <f t="shared" si="83"/>
        <v>2.7669999999999999</v>
      </c>
      <c r="W134" s="89">
        <f t="shared" si="83"/>
        <v>2.9051999999999998</v>
      </c>
      <c r="X134" s="89">
        <f t="shared" si="83"/>
        <v>3.0455000000000001</v>
      </c>
      <c r="Y134" s="89">
        <f t="shared" si="83"/>
        <v>3.1879</v>
      </c>
      <c r="Z134" s="89">
        <f t="shared" si="83"/>
        <v>3.3321000000000001</v>
      </c>
      <c r="AA134" s="89">
        <f t="shared" si="83"/>
        <v>3.3972000000000002</v>
      </c>
      <c r="AB134" s="89">
        <f t="shared" si="83"/>
        <v>3.4624000000000001</v>
      </c>
      <c r="AC134" s="89">
        <f t="shared" si="83"/>
        <v>3.5274999999999999</v>
      </c>
      <c r="AD134" s="89">
        <f t="shared" si="83"/>
        <v>3.5926</v>
      </c>
      <c r="AE134" s="89">
        <f t="shared" si="83"/>
        <v>3.6577000000000002</v>
      </c>
      <c r="AF134" s="67"/>
    </row>
    <row r="135" spans="2:32" ht="28.8" x14ac:dyDescent="0.3">
      <c r="B135" s="64"/>
      <c r="C135" s="65" t="s">
        <v>293</v>
      </c>
      <c r="D135" s="71" t="s">
        <v>294</v>
      </c>
      <c r="E135" s="71"/>
      <c r="F135" s="84">
        <f t="shared" ref="F135:R135" si="84">F128</f>
        <v>5.4999999999999997E-3</v>
      </c>
      <c r="G135" s="84">
        <f t="shared" si="84"/>
        <v>6.4000000000000003E-3</v>
      </c>
      <c r="H135" s="84">
        <f t="shared" si="84"/>
        <v>7.3000000000000001E-3</v>
      </c>
      <c r="I135" s="84">
        <f t="shared" si="84"/>
        <v>2.2200000000000001E-2</v>
      </c>
      <c r="J135" s="84">
        <f t="shared" si="84"/>
        <v>3.7199999999999997E-2</v>
      </c>
      <c r="K135" s="84">
        <f t="shared" si="84"/>
        <v>3.2199999999999999E-2</v>
      </c>
      <c r="L135" s="84">
        <f t="shared" si="84"/>
        <v>2.7199999999999998E-2</v>
      </c>
      <c r="M135" s="84">
        <f t="shared" si="84"/>
        <v>3.0499999999999999E-2</v>
      </c>
      <c r="N135" s="84">
        <f t="shared" si="84"/>
        <v>3.3799999999999997E-2</v>
      </c>
      <c r="O135" s="84">
        <f t="shared" si="84"/>
        <v>3.5299999999999998E-2</v>
      </c>
      <c r="P135" s="84">
        <f t="shared" si="84"/>
        <v>3.6799999999999999E-2</v>
      </c>
      <c r="Q135" s="84">
        <f t="shared" si="84"/>
        <v>3.85E-2</v>
      </c>
      <c r="R135" s="84">
        <f t="shared" si="84"/>
        <v>3.3700000000000001E-2</v>
      </c>
      <c r="S135" s="89">
        <f t="shared" ref="S135:U135" si="85">ROUNDDOWN(S79,4)</f>
        <v>3.56E-2</v>
      </c>
      <c r="T135" s="89">
        <f t="shared" si="85"/>
        <v>3.7600000000000001E-2</v>
      </c>
      <c r="U135" s="89">
        <f t="shared" si="85"/>
        <v>3.9600000000000003E-2</v>
      </c>
      <c r="V135" s="89">
        <f t="shared" si="83"/>
        <v>4.1700000000000001E-2</v>
      </c>
      <c r="W135" s="89">
        <f t="shared" si="83"/>
        <v>4.3700000000000003E-2</v>
      </c>
      <c r="X135" s="89">
        <f t="shared" si="83"/>
        <v>4.5900000000000003E-2</v>
      </c>
      <c r="Y135" s="89">
        <f t="shared" si="83"/>
        <v>4.8000000000000001E-2</v>
      </c>
      <c r="Z135" s="89">
        <f t="shared" si="83"/>
        <v>5.0200000000000002E-2</v>
      </c>
      <c r="AA135" s="89">
        <f t="shared" si="83"/>
        <v>5.1200000000000002E-2</v>
      </c>
      <c r="AB135" s="89">
        <f t="shared" si="83"/>
        <v>5.21E-2</v>
      </c>
      <c r="AC135" s="89">
        <f t="shared" si="83"/>
        <v>5.3100000000000001E-2</v>
      </c>
      <c r="AD135" s="89">
        <f t="shared" si="83"/>
        <v>5.4100000000000002E-2</v>
      </c>
      <c r="AE135" s="89">
        <f t="shared" si="83"/>
        <v>5.5100000000000003E-2</v>
      </c>
      <c r="AF135" s="67"/>
    </row>
    <row r="136" spans="2:32" ht="28.8" x14ac:dyDescent="0.3">
      <c r="B136" s="64"/>
      <c r="C136" s="65" t="s">
        <v>295</v>
      </c>
      <c r="D136" s="71" t="s">
        <v>296</v>
      </c>
      <c r="E136" s="71"/>
      <c r="F136" s="84">
        <f t="shared" ref="F136:R136" si="86">F129</f>
        <v>2.383</v>
      </c>
      <c r="G136" s="84">
        <f t="shared" si="86"/>
        <v>2.4696000000000002</v>
      </c>
      <c r="H136" s="84">
        <f t="shared" si="86"/>
        <v>2.5462000000000002</v>
      </c>
      <c r="I136" s="84">
        <f t="shared" si="86"/>
        <v>2.8926000000000003</v>
      </c>
      <c r="J136" s="84">
        <f t="shared" si="86"/>
        <v>3.266</v>
      </c>
      <c r="K136" s="84">
        <f t="shared" si="86"/>
        <v>3.0786000000000002</v>
      </c>
      <c r="L136" s="84">
        <f t="shared" si="86"/>
        <v>2.9425000000000003</v>
      </c>
      <c r="M136" s="84">
        <f t="shared" si="86"/>
        <v>2.9302000000000001</v>
      </c>
      <c r="N136" s="84">
        <f t="shared" si="86"/>
        <v>2.9272000000000005</v>
      </c>
      <c r="O136" s="84">
        <f t="shared" si="86"/>
        <v>2.9377</v>
      </c>
      <c r="P136" s="84">
        <f t="shared" si="86"/>
        <v>2.948</v>
      </c>
      <c r="Q136" s="84">
        <f t="shared" si="86"/>
        <v>3.0234999999999999</v>
      </c>
      <c r="R136" s="84">
        <f t="shared" si="86"/>
        <v>3.1476000000000002</v>
      </c>
      <c r="S136" s="89">
        <f t="shared" si="83"/>
        <v>3.3296000000000001</v>
      </c>
      <c r="T136" s="89">
        <f t="shared" si="83"/>
        <v>3.5150000000000001</v>
      </c>
      <c r="U136" s="89">
        <f t="shared" si="83"/>
        <v>3.7035</v>
      </c>
      <c r="V136" s="89">
        <f t="shared" si="83"/>
        <v>3.8952</v>
      </c>
      <c r="W136" s="89">
        <f t="shared" si="83"/>
        <v>4.0898000000000003</v>
      </c>
      <c r="X136" s="89">
        <f t="shared" si="83"/>
        <v>4.2873000000000001</v>
      </c>
      <c r="Y136" s="89">
        <f t="shared" si="83"/>
        <v>4.4877000000000002</v>
      </c>
      <c r="Z136" s="89">
        <f t="shared" si="83"/>
        <v>4.6906999999999996</v>
      </c>
      <c r="AA136" s="89">
        <f t="shared" si="83"/>
        <v>4.7823000000000002</v>
      </c>
      <c r="AB136" s="89">
        <f t="shared" si="83"/>
        <v>4.8739999999999997</v>
      </c>
      <c r="AC136" s="89">
        <f t="shared" si="83"/>
        <v>4.9657</v>
      </c>
      <c r="AD136" s="89">
        <f t="shared" si="83"/>
        <v>5.0574000000000003</v>
      </c>
      <c r="AE136" s="89">
        <f t="shared" si="83"/>
        <v>5.149</v>
      </c>
      <c r="AF136" s="67"/>
    </row>
    <row r="137" spans="2:32" x14ac:dyDescent="0.3">
      <c r="B137" s="64"/>
      <c r="C137" s="65" t="s">
        <v>297</v>
      </c>
      <c r="D137" s="71" t="s">
        <v>298</v>
      </c>
      <c r="E137" s="71"/>
      <c r="F137" s="84">
        <f t="shared" ref="F137:R137" si="87">F130</f>
        <v>0</v>
      </c>
      <c r="G137" s="84">
        <f t="shared" si="87"/>
        <v>0</v>
      </c>
      <c r="H137" s="84">
        <f t="shared" si="87"/>
        <v>0</v>
      </c>
      <c r="I137" s="84">
        <f t="shared" si="87"/>
        <v>0</v>
      </c>
      <c r="J137" s="84">
        <f t="shared" si="87"/>
        <v>0</v>
      </c>
      <c r="K137" s="84">
        <f t="shared" si="87"/>
        <v>0</v>
      </c>
      <c r="L137" s="84">
        <f t="shared" si="87"/>
        <v>0</v>
      </c>
      <c r="M137" s="84">
        <f t="shared" si="87"/>
        <v>0</v>
      </c>
      <c r="N137" s="84">
        <f t="shared" si="87"/>
        <v>0</v>
      </c>
      <c r="O137" s="84">
        <f t="shared" si="87"/>
        <v>0</v>
      </c>
      <c r="P137" s="84">
        <f t="shared" si="87"/>
        <v>0</v>
      </c>
      <c r="Q137" s="84">
        <f t="shared" si="87"/>
        <v>0</v>
      </c>
      <c r="R137" s="84">
        <f t="shared" si="87"/>
        <v>0</v>
      </c>
      <c r="S137" s="89">
        <f t="shared" si="83"/>
        <v>0</v>
      </c>
      <c r="T137" s="89">
        <f t="shared" si="83"/>
        <v>0</v>
      </c>
      <c r="U137" s="89">
        <f t="shared" si="83"/>
        <v>0</v>
      </c>
      <c r="V137" s="89">
        <f t="shared" si="83"/>
        <v>0</v>
      </c>
      <c r="W137" s="89">
        <f t="shared" si="83"/>
        <v>0</v>
      </c>
      <c r="X137" s="89">
        <f t="shared" si="83"/>
        <v>0</v>
      </c>
      <c r="Y137" s="89">
        <f t="shared" si="83"/>
        <v>0</v>
      </c>
      <c r="Z137" s="89">
        <f t="shared" si="83"/>
        <v>0</v>
      </c>
      <c r="AA137" s="89">
        <f t="shared" si="83"/>
        <v>0</v>
      </c>
      <c r="AB137" s="89">
        <f t="shared" si="83"/>
        <v>0</v>
      </c>
      <c r="AC137" s="89">
        <f t="shared" si="83"/>
        <v>0</v>
      </c>
      <c r="AD137" s="89">
        <f t="shared" si="83"/>
        <v>0</v>
      </c>
      <c r="AE137" s="89">
        <f t="shared" si="83"/>
        <v>0</v>
      </c>
      <c r="AF137" s="67"/>
    </row>
    <row r="138" spans="2:32" x14ac:dyDescent="0.3">
      <c r="B138" s="64"/>
      <c r="C138" s="65"/>
      <c r="D138" s="65"/>
      <c r="E138" s="65"/>
      <c r="F138" s="86">
        <f t="shared" ref="F138:R138" si="88">SUM(F134:F137)</f>
        <v>4.0671999999999997</v>
      </c>
      <c r="G138" s="86">
        <f t="shared" si="88"/>
        <v>4.2162000000000006</v>
      </c>
      <c r="H138" s="86">
        <f t="shared" si="88"/>
        <v>4.3482000000000003</v>
      </c>
      <c r="I138" s="86">
        <f t="shared" si="88"/>
        <v>4.9634</v>
      </c>
      <c r="J138" s="86">
        <f t="shared" si="88"/>
        <v>5.6248000000000005</v>
      </c>
      <c r="K138" s="86">
        <f t="shared" si="88"/>
        <v>5.2972000000000001</v>
      </c>
      <c r="L138" s="86">
        <f t="shared" si="88"/>
        <v>5.0569000000000006</v>
      </c>
      <c r="M138" s="86">
        <f t="shared" si="88"/>
        <v>5.0416000000000007</v>
      </c>
      <c r="N138" s="86">
        <f t="shared" si="88"/>
        <v>5.0421000000000005</v>
      </c>
      <c r="O138" s="86">
        <f t="shared" si="88"/>
        <v>5.0625</v>
      </c>
      <c r="P138" s="86">
        <f t="shared" si="88"/>
        <v>5.0825999999999993</v>
      </c>
      <c r="Q138" s="86">
        <f t="shared" si="88"/>
        <v>5.2141000000000002</v>
      </c>
      <c r="R138" s="86">
        <f t="shared" si="88"/>
        <v>5.4172000000000002</v>
      </c>
      <c r="S138" s="86">
        <f t="shared" ref="S138:AE138" si="89">SUM(S134:S137)</f>
        <v>5.7305000000000001</v>
      </c>
      <c r="T138" s="86">
        <f t="shared" si="89"/>
        <v>6.0495999999999999</v>
      </c>
      <c r="U138" s="86">
        <f t="shared" si="89"/>
        <v>6.3740000000000006</v>
      </c>
      <c r="V138" s="86">
        <f t="shared" si="89"/>
        <v>6.7039</v>
      </c>
      <c r="W138" s="86">
        <f t="shared" si="89"/>
        <v>7.0387000000000004</v>
      </c>
      <c r="X138" s="86">
        <f t="shared" si="89"/>
        <v>7.3787000000000003</v>
      </c>
      <c r="Y138" s="86">
        <f t="shared" si="89"/>
        <v>7.7236000000000002</v>
      </c>
      <c r="Z138" s="86">
        <f t="shared" si="89"/>
        <v>8.0730000000000004</v>
      </c>
      <c r="AA138" s="86">
        <f t="shared" si="89"/>
        <v>8.2307000000000006</v>
      </c>
      <c r="AB138" s="86">
        <f t="shared" si="89"/>
        <v>8.3885000000000005</v>
      </c>
      <c r="AC138" s="86">
        <f t="shared" si="89"/>
        <v>8.5463000000000005</v>
      </c>
      <c r="AD138" s="86">
        <f t="shared" si="89"/>
        <v>8.7041000000000004</v>
      </c>
      <c r="AE138" s="86">
        <f t="shared" si="89"/>
        <v>8.8618000000000006</v>
      </c>
      <c r="AF138" s="67"/>
    </row>
    <row r="139" spans="2:32" x14ac:dyDescent="0.3">
      <c r="B139" s="64"/>
      <c r="C139" s="65"/>
      <c r="D139" s="66"/>
      <c r="E139" s="66"/>
      <c r="F139" s="66"/>
      <c r="G139" s="66"/>
      <c r="H139" s="66"/>
      <c r="I139" s="66"/>
      <c r="J139" s="66"/>
      <c r="K139" s="88"/>
      <c r="L139" s="88"/>
      <c r="M139" s="88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67"/>
    </row>
    <row r="140" spans="2:32" x14ac:dyDescent="0.3">
      <c r="B140" s="64"/>
      <c r="C140" s="66" t="s">
        <v>299</v>
      </c>
      <c r="D140" s="66"/>
      <c r="E140" s="66"/>
      <c r="F140" s="66"/>
      <c r="G140" s="66"/>
      <c r="H140" s="66"/>
      <c r="I140" s="66"/>
      <c r="J140" s="66"/>
      <c r="K140" s="88"/>
      <c r="L140" s="88"/>
      <c r="M140" s="88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67"/>
    </row>
    <row r="141" spans="2:32" ht="28.8" x14ac:dyDescent="0.3">
      <c r="B141" s="64"/>
      <c r="C141" s="65" t="s">
        <v>300</v>
      </c>
      <c r="D141" s="71" t="s">
        <v>301</v>
      </c>
      <c r="E141" s="71"/>
      <c r="F141" s="84">
        <f t="shared" ref="F141:R141" si="90">F134</f>
        <v>1.6787000000000001</v>
      </c>
      <c r="G141" s="84">
        <f t="shared" si="90"/>
        <v>1.7402</v>
      </c>
      <c r="H141" s="84">
        <f t="shared" si="90"/>
        <v>1.7947</v>
      </c>
      <c r="I141" s="84">
        <f t="shared" si="90"/>
        <v>2.0486</v>
      </c>
      <c r="J141" s="84">
        <f t="shared" si="90"/>
        <v>2.3216000000000001</v>
      </c>
      <c r="K141" s="84">
        <f t="shared" si="90"/>
        <v>2.1863999999999999</v>
      </c>
      <c r="L141" s="84">
        <f t="shared" si="90"/>
        <v>2.0872000000000002</v>
      </c>
      <c r="M141" s="84">
        <f t="shared" si="90"/>
        <v>2.0809000000000002</v>
      </c>
      <c r="N141" s="84">
        <f t="shared" si="90"/>
        <v>2.0811000000000002</v>
      </c>
      <c r="O141" s="84">
        <f t="shared" si="90"/>
        <v>2.0895000000000001</v>
      </c>
      <c r="P141" s="84">
        <f t="shared" si="90"/>
        <v>2.0977999999999999</v>
      </c>
      <c r="Q141" s="84">
        <f t="shared" si="90"/>
        <v>2.1520999999999999</v>
      </c>
      <c r="R141" s="84">
        <f t="shared" si="90"/>
        <v>2.2359</v>
      </c>
      <c r="S141" s="89">
        <f t="shared" ref="S141:AE143" si="91">ROUNDDOWN(S85,4)</f>
        <v>2.3653</v>
      </c>
      <c r="T141" s="89">
        <f t="shared" si="91"/>
        <v>2.4969999999999999</v>
      </c>
      <c r="U141" s="89">
        <f t="shared" si="91"/>
        <v>2.6309</v>
      </c>
      <c r="V141" s="89">
        <f t="shared" si="91"/>
        <v>2.7669999999999999</v>
      </c>
      <c r="W141" s="89">
        <f t="shared" si="91"/>
        <v>2.9051999999999998</v>
      </c>
      <c r="X141" s="89">
        <f t="shared" si="91"/>
        <v>3.0455000000000001</v>
      </c>
      <c r="Y141" s="89">
        <f t="shared" si="91"/>
        <v>3.1879</v>
      </c>
      <c r="Z141" s="89">
        <f t="shared" si="91"/>
        <v>3.3321000000000001</v>
      </c>
      <c r="AA141" s="89">
        <f t="shared" si="91"/>
        <v>3.3972000000000002</v>
      </c>
      <c r="AB141" s="89">
        <f t="shared" si="91"/>
        <v>3.4624000000000001</v>
      </c>
      <c r="AC141" s="89">
        <f t="shared" si="91"/>
        <v>3.5274999999999999</v>
      </c>
      <c r="AD141" s="89">
        <f t="shared" si="91"/>
        <v>3.5926</v>
      </c>
      <c r="AE141" s="89">
        <f t="shared" si="91"/>
        <v>3.6577000000000002</v>
      </c>
      <c r="AF141" s="67"/>
    </row>
    <row r="142" spans="2:32" ht="28.8" x14ac:dyDescent="0.3">
      <c r="B142" s="64"/>
      <c r="C142" s="65" t="s">
        <v>302</v>
      </c>
      <c r="D142" s="71" t="s">
        <v>303</v>
      </c>
      <c r="E142" s="71"/>
      <c r="F142" s="84">
        <f t="shared" ref="F142:R142" si="92">F135</f>
        <v>5.4999999999999997E-3</v>
      </c>
      <c r="G142" s="84">
        <f t="shared" si="92"/>
        <v>6.4000000000000003E-3</v>
      </c>
      <c r="H142" s="84">
        <f t="shared" si="92"/>
        <v>7.3000000000000001E-3</v>
      </c>
      <c r="I142" s="84">
        <f t="shared" si="92"/>
        <v>2.2200000000000001E-2</v>
      </c>
      <c r="J142" s="84">
        <f t="shared" si="92"/>
        <v>3.7199999999999997E-2</v>
      </c>
      <c r="K142" s="84">
        <f t="shared" si="92"/>
        <v>3.2199999999999999E-2</v>
      </c>
      <c r="L142" s="84">
        <f t="shared" si="92"/>
        <v>2.7199999999999998E-2</v>
      </c>
      <c r="M142" s="84">
        <f t="shared" si="92"/>
        <v>3.0499999999999999E-2</v>
      </c>
      <c r="N142" s="84">
        <f t="shared" si="92"/>
        <v>3.3799999999999997E-2</v>
      </c>
      <c r="O142" s="84">
        <f t="shared" si="92"/>
        <v>3.5299999999999998E-2</v>
      </c>
      <c r="P142" s="84">
        <f t="shared" si="92"/>
        <v>3.6799999999999999E-2</v>
      </c>
      <c r="Q142" s="84">
        <f t="shared" si="92"/>
        <v>3.85E-2</v>
      </c>
      <c r="R142" s="84">
        <f t="shared" si="92"/>
        <v>3.3700000000000001E-2</v>
      </c>
      <c r="S142" s="89">
        <f t="shared" ref="S142:U142" si="93">ROUNDDOWN(S86,4)</f>
        <v>3.56E-2</v>
      </c>
      <c r="T142" s="89">
        <f t="shared" si="93"/>
        <v>3.7600000000000001E-2</v>
      </c>
      <c r="U142" s="89">
        <f t="shared" si="93"/>
        <v>3.9600000000000003E-2</v>
      </c>
      <c r="V142" s="89">
        <f t="shared" si="91"/>
        <v>4.1700000000000001E-2</v>
      </c>
      <c r="W142" s="89">
        <f t="shared" si="91"/>
        <v>4.3700000000000003E-2</v>
      </c>
      <c r="X142" s="89">
        <f t="shared" si="91"/>
        <v>4.5900000000000003E-2</v>
      </c>
      <c r="Y142" s="89">
        <f t="shared" si="91"/>
        <v>4.8000000000000001E-2</v>
      </c>
      <c r="Z142" s="89">
        <f t="shared" si="91"/>
        <v>5.0200000000000002E-2</v>
      </c>
      <c r="AA142" s="89">
        <f t="shared" si="91"/>
        <v>5.1200000000000002E-2</v>
      </c>
      <c r="AB142" s="89">
        <f t="shared" si="91"/>
        <v>5.21E-2</v>
      </c>
      <c r="AC142" s="89">
        <f t="shared" si="91"/>
        <v>5.3100000000000001E-2</v>
      </c>
      <c r="AD142" s="89">
        <f t="shared" si="91"/>
        <v>5.4100000000000002E-2</v>
      </c>
      <c r="AE142" s="89">
        <f t="shared" si="91"/>
        <v>5.5100000000000003E-2</v>
      </c>
      <c r="AF142" s="67"/>
    </row>
    <row r="143" spans="2:32" x14ac:dyDescent="0.3">
      <c r="B143" s="64"/>
      <c r="C143" s="65" t="s">
        <v>304</v>
      </c>
      <c r="D143" s="71" t="s">
        <v>305</v>
      </c>
      <c r="E143" s="71"/>
      <c r="F143" s="84">
        <f t="shared" ref="F143:R143" si="94">F136+F137</f>
        <v>2.383</v>
      </c>
      <c r="G143" s="84">
        <f t="shared" si="94"/>
        <v>2.4696000000000002</v>
      </c>
      <c r="H143" s="84">
        <f t="shared" si="94"/>
        <v>2.5462000000000002</v>
      </c>
      <c r="I143" s="84">
        <f t="shared" si="94"/>
        <v>2.8926000000000003</v>
      </c>
      <c r="J143" s="84">
        <f t="shared" si="94"/>
        <v>3.266</v>
      </c>
      <c r="K143" s="84">
        <f t="shared" si="94"/>
        <v>3.0786000000000002</v>
      </c>
      <c r="L143" s="84">
        <f t="shared" si="94"/>
        <v>2.9425000000000003</v>
      </c>
      <c r="M143" s="84">
        <f t="shared" si="94"/>
        <v>2.9302000000000001</v>
      </c>
      <c r="N143" s="84">
        <f t="shared" si="94"/>
        <v>2.9272000000000005</v>
      </c>
      <c r="O143" s="84">
        <f t="shared" si="94"/>
        <v>2.9377</v>
      </c>
      <c r="P143" s="84">
        <f t="shared" si="94"/>
        <v>2.948</v>
      </c>
      <c r="Q143" s="84">
        <f t="shared" si="94"/>
        <v>3.0234999999999999</v>
      </c>
      <c r="R143" s="84">
        <f t="shared" si="94"/>
        <v>3.1476000000000002</v>
      </c>
      <c r="S143" s="89">
        <f t="shared" si="91"/>
        <v>3.3296000000000001</v>
      </c>
      <c r="T143" s="89">
        <f t="shared" si="91"/>
        <v>3.5150000000000001</v>
      </c>
      <c r="U143" s="89">
        <f t="shared" si="91"/>
        <v>3.7035</v>
      </c>
      <c r="V143" s="89">
        <f t="shared" si="91"/>
        <v>3.8952</v>
      </c>
      <c r="W143" s="89">
        <f t="shared" si="91"/>
        <v>4.0898000000000003</v>
      </c>
      <c r="X143" s="89">
        <f t="shared" si="91"/>
        <v>4.2873000000000001</v>
      </c>
      <c r="Y143" s="89">
        <f t="shared" si="91"/>
        <v>4.4877000000000002</v>
      </c>
      <c r="Z143" s="89">
        <f t="shared" si="91"/>
        <v>4.6906999999999996</v>
      </c>
      <c r="AA143" s="89">
        <f t="shared" si="91"/>
        <v>4.7823000000000002</v>
      </c>
      <c r="AB143" s="89">
        <f t="shared" si="91"/>
        <v>4.8739999999999997</v>
      </c>
      <c r="AC143" s="89">
        <f t="shared" si="91"/>
        <v>4.9657</v>
      </c>
      <c r="AD143" s="89">
        <f t="shared" si="91"/>
        <v>5.0574000000000003</v>
      </c>
      <c r="AE143" s="89">
        <f t="shared" si="91"/>
        <v>5.149</v>
      </c>
      <c r="AF143" s="67"/>
    </row>
    <row r="144" spans="2:32" x14ac:dyDescent="0.3">
      <c r="B144" s="64"/>
      <c r="C144" s="65"/>
      <c r="D144" s="65"/>
      <c r="E144" s="65"/>
      <c r="F144" s="86">
        <f t="shared" ref="F144:M144" si="95">SUM(F141:F143)</f>
        <v>4.0671999999999997</v>
      </c>
      <c r="G144" s="86">
        <f t="shared" si="95"/>
        <v>4.2162000000000006</v>
      </c>
      <c r="H144" s="86">
        <f t="shared" si="95"/>
        <v>4.3482000000000003</v>
      </c>
      <c r="I144" s="86">
        <f t="shared" si="95"/>
        <v>4.9634</v>
      </c>
      <c r="J144" s="86">
        <f t="shared" si="95"/>
        <v>5.6248000000000005</v>
      </c>
      <c r="K144" s="86">
        <f t="shared" si="95"/>
        <v>5.2972000000000001</v>
      </c>
      <c r="L144" s="86">
        <f t="shared" si="95"/>
        <v>5.0569000000000006</v>
      </c>
      <c r="M144" s="86">
        <f t="shared" si="95"/>
        <v>5.0416000000000007</v>
      </c>
      <c r="N144" s="86">
        <f>SUM(N141:N143)</f>
        <v>5.0421000000000005</v>
      </c>
      <c r="O144" s="86">
        <f t="shared" ref="O144:AE144" si="96">SUM(O141:O143)</f>
        <v>5.0625</v>
      </c>
      <c r="P144" s="86">
        <f t="shared" si="96"/>
        <v>5.0825999999999993</v>
      </c>
      <c r="Q144" s="86">
        <f t="shared" si="96"/>
        <v>5.2141000000000002</v>
      </c>
      <c r="R144" s="86">
        <f t="shared" si="96"/>
        <v>5.4172000000000002</v>
      </c>
      <c r="S144" s="86">
        <f t="shared" si="96"/>
        <v>5.7305000000000001</v>
      </c>
      <c r="T144" s="86">
        <f t="shared" si="96"/>
        <v>6.0495999999999999</v>
      </c>
      <c r="U144" s="86">
        <f t="shared" si="96"/>
        <v>6.3740000000000006</v>
      </c>
      <c r="V144" s="86">
        <f t="shared" si="96"/>
        <v>6.7039</v>
      </c>
      <c r="W144" s="86">
        <f t="shared" si="96"/>
        <v>7.0387000000000004</v>
      </c>
      <c r="X144" s="86">
        <f t="shared" si="96"/>
        <v>7.3787000000000003</v>
      </c>
      <c r="Y144" s="86">
        <f t="shared" si="96"/>
        <v>7.7236000000000002</v>
      </c>
      <c r="Z144" s="86">
        <f t="shared" si="96"/>
        <v>8.0730000000000004</v>
      </c>
      <c r="AA144" s="86">
        <f t="shared" si="96"/>
        <v>8.2307000000000006</v>
      </c>
      <c r="AB144" s="86">
        <f t="shared" si="96"/>
        <v>8.3885000000000005</v>
      </c>
      <c r="AC144" s="86">
        <f t="shared" si="96"/>
        <v>8.5463000000000005</v>
      </c>
      <c r="AD144" s="86">
        <f t="shared" si="96"/>
        <v>8.7041000000000004</v>
      </c>
      <c r="AE144" s="86">
        <f t="shared" si="96"/>
        <v>8.8618000000000006</v>
      </c>
      <c r="AF144" s="67"/>
    </row>
    <row r="145" spans="2:32" x14ac:dyDescent="0.3">
      <c r="B145" s="64"/>
      <c r="C145" s="65"/>
      <c r="D145" s="65"/>
      <c r="E145" s="65"/>
      <c r="F145" s="65"/>
      <c r="G145" s="65"/>
      <c r="H145" s="65"/>
      <c r="I145" s="65"/>
      <c r="J145" s="65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  <c r="AC145" s="91"/>
      <c r="AD145" s="91"/>
      <c r="AE145" s="91"/>
      <c r="AF145" s="67"/>
    </row>
    <row r="146" spans="2:32" x14ac:dyDescent="0.3">
      <c r="B146" s="64"/>
      <c r="C146" s="65" t="s">
        <v>307</v>
      </c>
      <c r="D146" s="66" t="s">
        <v>308</v>
      </c>
      <c r="E146" s="66"/>
      <c r="F146" s="117">
        <f>F144</f>
        <v>4.0671999999999997</v>
      </c>
      <c r="G146" s="117">
        <f t="shared" ref="G146:R146" si="97">G144</f>
        <v>4.2162000000000006</v>
      </c>
      <c r="H146" s="117">
        <f t="shared" si="97"/>
        <v>4.3482000000000003</v>
      </c>
      <c r="I146" s="117">
        <f t="shared" si="97"/>
        <v>4.9634</v>
      </c>
      <c r="J146" s="117">
        <f t="shared" si="97"/>
        <v>5.6248000000000005</v>
      </c>
      <c r="K146" s="117">
        <f t="shared" si="97"/>
        <v>5.2972000000000001</v>
      </c>
      <c r="L146" s="117">
        <f t="shared" si="97"/>
        <v>5.0569000000000006</v>
      </c>
      <c r="M146" s="117">
        <f t="shared" si="97"/>
        <v>5.0416000000000007</v>
      </c>
      <c r="N146" s="117">
        <f t="shared" si="97"/>
        <v>5.0421000000000005</v>
      </c>
      <c r="O146" s="117">
        <f t="shared" si="97"/>
        <v>5.0625</v>
      </c>
      <c r="P146" s="117">
        <f t="shared" si="97"/>
        <v>5.0825999999999993</v>
      </c>
      <c r="Q146" s="117">
        <f t="shared" si="97"/>
        <v>5.2141000000000002</v>
      </c>
      <c r="R146" s="117">
        <f t="shared" si="97"/>
        <v>5.4172000000000002</v>
      </c>
      <c r="S146" s="92">
        <f t="shared" ref="S146:AE146" si="98">ROUNDUP(S90,4)</f>
        <v>5.7306999999999997</v>
      </c>
      <c r="T146" s="92">
        <f t="shared" si="98"/>
        <v>6.0497999999999994</v>
      </c>
      <c r="U146" s="92">
        <f t="shared" si="98"/>
        <v>6.3742000000000001</v>
      </c>
      <c r="V146" s="92">
        <f t="shared" si="98"/>
        <v>6.7039999999999997</v>
      </c>
      <c r="W146" s="92">
        <f t="shared" si="98"/>
        <v>7.0388999999999999</v>
      </c>
      <c r="X146" s="92">
        <f t="shared" si="98"/>
        <v>7.3788</v>
      </c>
      <c r="Y146" s="92">
        <f t="shared" si="98"/>
        <v>7.7237999999999998</v>
      </c>
      <c r="Z146" s="92">
        <f t="shared" si="98"/>
        <v>8.0731000000000002</v>
      </c>
      <c r="AA146" s="92">
        <f t="shared" si="98"/>
        <v>8.2308000000000003</v>
      </c>
      <c r="AB146" s="92">
        <f t="shared" si="98"/>
        <v>8.3887</v>
      </c>
      <c r="AC146" s="92">
        <f t="shared" si="98"/>
        <v>8.5465</v>
      </c>
      <c r="AD146" s="92">
        <f t="shared" si="98"/>
        <v>8.7042999999999999</v>
      </c>
      <c r="AE146" s="92">
        <f t="shared" si="98"/>
        <v>8.8620000000000001</v>
      </c>
      <c r="AF146" s="67"/>
    </row>
    <row r="147" spans="2:32" x14ac:dyDescent="0.3">
      <c r="B147" s="64"/>
      <c r="C147" s="65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93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  <c r="AA147" s="94"/>
      <c r="AB147" s="94"/>
      <c r="AC147" s="94"/>
      <c r="AD147" s="94"/>
      <c r="AE147" s="94"/>
      <c r="AF147" s="67"/>
    </row>
    <row r="148" spans="2:32" ht="15" thickBot="1" x14ac:dyDescent="0.35">
      <c r="B148" s="80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CCE15-0B37-4614-B32A-3A49524990DE}">
  <sheetPr>
    <tabColor theme="5" tint="0.59999389629810485"/>
  </sheetPr>
  <dimension ref="C1:AE31"/>
  <sheetViews>
    <sheetView workbookViewId="0">
      <selection activeCell="AD20" sqref="AD20"/>
    </sheetView>
  </sheetViews>
  <sheetFormatPr defaultRowHeight="14.4" x14ac:dyDescent="0.3"/>
  <cols>
    <col min="4" max="4" width="23.33203125" bestFit="1" customWidth="1"/>
    <col min="5" max="12" width="11" customWidth="1"/>
    <col min="13" max="17" width="9.5546875" bestFit="1" customWidth="1"/>
  </cols>
  <sheetData>
    <row r="1" spans="3:31" ht="20.399999999999999" thickBot="1" x14ac:dyDescent="0.35">
      <c r="C1" s="98"/>
      <c r="D1" s="99" t="s">
        <v>257</v>
      </c>
      <c r="E1" s="100">
        <v>2010</v>
      </c>
      <c r="F1" s="100">
        <v>2011</v>
      </c>
      <c r="G1" s="100">
        <v>2012</v>
      </c>
      <c r="H1" s="100">
        <v>2013</v>
      </c>
      <c r="I1" s="100">
        <v>2014</v>
      </c>
      <c r="J1" s="100">
        <v>2015</v>
      </c>
      <c r="K1" s="100">
        <v>2016</v>
      </c>
      <c r="L1" s="100">
        <v>2017</v>
      </c>
      <c r="M1" s="100">
        <v>2018</v>
      </c>
      <c r="N1" s="100">
        <v>2019</v>
      </c>
      <c r="O1" s="100">
        <v>2020</v>
      </c>
      <c r="P1" s="100">
        <v>2021</v>
      </c>
      <c r="Q1" s="100">
        <v>2022</v>
      </c>
      <c r="R1" s="100">
        <v>2023</v>
      </c>
      <c r="S1" s="100">
        <v>2024</v>
      </c>
      <c r="T1" s="100">
        <v>2025</v>
      </c>
      <c r="U1" s="100">
        <v>2026</v>
      </c>
      <c r="V1" s="100">
        <v>2027</v>
      </c>
      <c r="W1" s="100">
        <v>2028</v>
      </c>
      <c r="X1" s="100">
        <v>2029</v>
      </c>
      <c r="Y1" s="100">
        <v>2030</v>
      </c>
      <c r="Z1" s="100">
        <v>2031</v>
      </c>
      <c r="AA1" s="100">
        <v>2032</v>
      </c>
      <c r="AB1" s="100">
        <v>2033</v>
      </c>
      <c r="AC1" s="100">
        <v>2034</v>
      </c>
      <c r="AD1" s="100">
        <v>2035</v>
      </c>
      <c r="AE1" s="101"/>
    </row>
    <row r="2" spans="3:31" ht="15" thickBot="1" x14ac:dyDescent="0.35"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</row>
    <row r="3" spans="3:31" x14ac:dyDescent="0.3">
      <c r="C3" s="61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63"/>
    </row>
    <row r="4" spans="3:31" x14ac:dyDescent="0.3">
      <c r="C4" s="64"/>
      <c r="D4" s="104" t="s">
        <v>310</v>
      </c>
      <c r="E4" s="105">
        <v>14883661</v>
      </c>
      <c r="F4" s="105">
        <v>15160587</v>
      </c>
      <c r="G4" s="105">
        <v>15440550</v>
      </c>
      <c r="H4" s="105">
        <v>15717514</v>
      </c>
      <c r="I4" s="105">
        <v>15994366</v>
      </c>
      <c r="J4" s="105">
        <v>16269171</v>
      </c>
      <c r="K4" s="105">
        <v>16532265</v>
      </c>
      <c r="L4" s="105">
        <v>16792803</v>
      </c>
      <c r="M4" s="105">
        <v>17077883</v>
      </c>
      <c r="N4" s="105">
        <v>17356880</v>
      </c>
      <c r="O4" s="105">
        <v>17526455</v>
      </c>
      <c r="P4" s="105">
        <v>17614396</v>
      </c>
      <c r="Q4" s="105">
        <v>17715301</v>
      </c>
      <c r="R4" s="105">
        <v>17834831</v>
      </c>
      <c r="S4" s="105">
        <v>17966573</v>
      </c>
      <c r="T4" s="105">
        <v>18103660</v>
      </c>
      <c r="U4" s="105">
        <v>18243816</v>
      </c>
      <c r="V4" s="105">
        <v>18385975</v>
      </c>
      <c r="W4" s="105">
        <v>18529121</v>
      </c>
      <c r="X4" s="105">
        <v>18672456</v>
      </c>
      <c r="Y4" s="105">
        <v>18815497</v>
      </c>
      <c r="Z4" s="105">
        <v>18957924</v>
      </c>
      <c r="AA4" s="105">
        <v>19099478</v>
      </c>
      <c r="AB4" s="105">
        <v>19239759</v>
      </c>
      <c r="AC4" s="105">
        <v>19378452</v>
      </c>
      <c r="AD4" s="105">
        <v>19515303</v>
      </c>
      <c r="AE4" s="67"/>
    </row>
    <row r="5" spans="3:31" ht="15" thickBot="1" x14ac:dyDescent="0.35">
      <c r="C5" s="80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2"/>
    </row>
    <row r="8" spans="3:31" x14ac:dyDescent="0.3">
      <c r="C8" t="s">
        <v>311</v>
      </c>
    </row>
    <row r="10" spans="3:31" ht="15" thickBot="1" x14ac:dyDescent="0.35"/>
    <row r="11" spans="3:31" x14ac:dyDescent="0.3">
      <c r="C11" s="61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63"/>
    </row>
    <row r="12" spans="3:31" x14ac:dyDescent="0.3">
      <c r="C12" s="64"/>
      <c r="D12" s="104" t="s">
        <v>312</v>
      </c>
      <c r="E12" s="106">
        <f t="shared" ref="E12:Q12" si="0">E20*1000000000/(365*E4)</f>
        <v>0.74868269227911144</v>
      </c>
      <c r="F12" s="106">
        <f t="shared" si="0"/>
        <v>0.76193327575108227</v>
      </c>
      <c r="G12" s="106">
        <f t="shared" si="0"/>
        <v>0.77153461162335368</v>
      </c>
      <c r="H12" s="106">
        <f t="shared" si="0"/>
        <v>0.86518149609098638</v>
      </c>
      <c r="I12" s="106">
        <f t="shared" si="0"/>
        <v>0.96349653592167706</v>
      </c>
      <c r="J12" s="107">
        <f>J20*1000000000/(365*J4)</f>
        <v>0.89204956105723321</v>
      </c>
      <c r="K12" s="106">
        <f t="shared" si="0"/>
        <v>0.83803573582264346</v>
      </c>
      <c r="L12" s="106">
        <f t="shared" si="0"/>
        <v>0.8225333733177701</v>
      </c>
      <c r="M12" s="106">
        <f t="shared" si="0"/>
        <v>0.80888483062481498</v>
      </c>
      <c r="N12" s="106">
        <f t="shared" si="0"/>
        <v>0.79910816064125356</v>
      </c>
      <c r="O12" s="106">
        <f t="shared" si="0"/>
        <v>0.79451750732060533</v>
      </c>
      <c r="P12" s="106">
        <f t="shared" si="0"/>
        <v>0.81099793442896473</v>
      </c>
      <c r="Q12" s="106">
        <f t="shared" si="0"/>
        <v>0.83779624040569212</v>
      </c>
      <c r="R12" s="106">
        <f>R20*1000000000/(R4*365)</f>
        <v>0.88031889678537523</v>
      </c>
      <c r="S12" s="106">
        <f t="shared" ref="S12:AD12" si="1">S20*1000000000/(S4*365)</f>
        <v>0.92252260195599722</v>
      </c>
      <c r="T12" s="106">
        <f t="shared" si="1"/>
        <v>0.96463385048634598</v>
      </c>
      <c r="U12" s="106">
        <f t="shared" si="1"/>
        <v>1.0067584005814567</v>
      </c>
      <c r="V12" s="106">
        <f t="shared" si="1"/>
        <v>1.0488757258495571</v>
      </c>
      <c r="W12" s="106">
        <f t="shared" si="1"/>
        <v>1.0910321555155744</v>
      </c>
      <c r="X12" s="106">
        <f t="shared" si="1"/>
        <v>1.1332685357110301</v>
      </c>
      <c r="Y12" s="106">
        <f t="shared" si="1"/>
        <v>1.1755240840426551</v>
      </c>
      <c r="Z12" s="106">
        <f t="shared" si="1"/>
        <v>1.1894808831880044</v>
      </c>
      <c r="AA12" s="106">
        <f t="shared" si="1"/>
        <v>1.2033133854698916</v>
      </c>
      <c r="AB12" s="106">
        <f t="shared" si="1"/>
        <v>1.2170085582135102</v>
      </c>
      <c r="AC12" s="106">
        <f t="shared" si="1"/>
        <v>1.230606303797801</v>
      </c>
      <c r="AD12" s="106">
        <f t="shared" si="1"/>
        <v>1.2441140931935231</v>
      </c>
      <c r="AE12" s="67"/>
    </row>
    <row r="13" spans="3:31" ht="15" thickBot="1" x14ac:dyDescent="0.35">
      <c r="C13" s="80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2"/>
    </row>
    <row r="16" spans="3:31" x14ac:dyDescent="0.3">
      <c r="C16" t="s">
        <v>313</v>
      </c>
    </row>
    <row r="18" spans="3:31" ht="15" thickBot="1" x14ac:dyDescent="0.35"/>
    <row r="19" spans="3:31" x14ac:dyDescent="0.3">
      <c r="C19" s="61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63"/>
    </row>
    <row r="20" spans="3:31" x14ac:dyDescent="0.3">
      <c r="C20" s="64"/>
      <c r="D20" s="104" t="s">
        <v>314</v>
      </c>
      <c r="E20" s="106">
        <v>4.0672458767841082</v>
      </c>
      <c r="F20" s="106">
        <v>4.2162448360550346</v>
      </c>
      <c r="G20" s="106">
        <v>4.3482153428378556</v>
      </c>
      <c r="H20" s="106">
        <v>4.9634533312331239</v>
      </c>
      <c r="I20" s="106">
        <v>5.6248384258711592</v>
      </c>
      <c r="J20" s="108">
        <v>5.2972109999999999</v>
      </c>
      <c r="K20" s="106">
        <v>5.0569395353928259</v>
      </c>
      <c r="L20" s="106">
        <v>5.0416139281535308</v>
      </c>
      <c r="M20" s="106">
        <v>5.0421247817281731</v>
      </c>
      <c r="N20" s="106">
        <v>5.0625589247139002</v>
      </c>
      <c r="O20" s="106">
        <v>5.0826524986498667</v>
      </c>
      <c r="P20" s="106">
        <v>5.2141121518580436</v>
      </c>
      <c r="Q20" s="106">
        <v>5.4172615900411474</v>
      </c>
      <c r="R20" s="144">
        <f>$Q$20*R31</f>
        <v>5.7306236438498681</v>
      </c>
      <c r="S20" s="144">
        <f t="shared" ref="S20:AD20" si="2">$Q$20*S31</f>
        <v>6.049717930350214</v>
      </c>
      <c r="T20" s="144">
        <f t="shared" si="2"/>
        <v>6.3741421875989097</v>
      </c>
      <c r="U20" s="144">
        <f t="shared" si="2"/>
        <v>6.7039969810817732</v>
      </c>
      <c r="V20" s="144">
        <f t="shared" si="2"/>
        <v>7.0388800488555363</v>
      </c>
      <c r="W20" s="144">
        <f t="shared" si="2"/>
        <v>7.3787913909201972</v>
      </c>
      <c r="X20" s="144">
        <f t="shared" si="2"/>
        <v>7.7237310072757532</v>
      </c>
      <c r="Y20" s="144">
        <f t="shared" si="2"/>
        <v>8.0730955050072986</v>
      </c>
      <c r="Z20" s="144">
        <f t="shared" si="2"/>
        <v>8.2307821867698383</v>
      </c>
      <c r="AA20" s="144">
        <f t="shared" si="2"/>
        <v>8.3886699995040157</v>
      </c>
      <c r="AB20" s="144">
        <f t="shared" si="2"/>
        <v>8.5464572467523734</v>
      </c>
      <c r="AC20" s="144">
        <f t="shared" si="2"/>
        <v>8.7042444940007329</v>
      </c>
      <c r="AD20" s="144">
        <f t="shared" si="2"/>
        <v>8.8619311757632708</v>
      </c>
      <c r="AE20" s="67"/>
    </row>
    <row r="21" spans="3:31" ht="15" thickBot="1" x14ac:dyDescent="0.35">
      <c r="C21" s="80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2"/>
    </row>
    <row r="24" spans="3:31" x14ac:dyDescent="0.3">
      <c r="C24" t="s">
        <v>313</v>
      </c>
    </row>
    <row r="30" spans="3:31" x14ac:dyDescent="0.3">
      <c r="C30" t="s">
        <v>315</v>
      </c>
      <c r="E30" s="11">
        <v>3.2042000000000002</v>
      </c>
      <c r="F30" s="11">
        <v>3.7105000000000001</v>
      </c>
      <c r="G30" s="11">
        <v>4.2168999999999999</v>
      </c>
      <c r="H30" s="11">
        <v>4.5907999999999998</v>
      </c>
      <c r="I30" s="11">
        <v>4.9647000000000006</v>
      </c>
      <c r="J30" s="11">
        <v>5.1417999999999999</v>
      </c>
      <c r="K30" s="11">
        <v>5.3186</v>
      </c>
      <c r="L30" s="11">
        <v>5.3310999999999993</v>
      </c>
      <c r="M30" s="11">
        <v>5.3434999999999997</v>
      </c>
      <c r="N30" s="11">
        <v>5.2941000000000003</v>
      </c>
      <c r="O30" s="11">
        <v>5.3046000000000006</v>
      </c>
      <c r="P30" s="11">
        <v>5.0808</v>
      </c>
      <c r="Q30" s="11">
        <v>5.3868</v>
      </c>
      <c r="R30" s="11">
        <v>5.6983999999999995</v>
      </c>
      <c r="S30" s="11">
        <v>6.0156999999999998</v>
      </c>
      <c r="T30" s="11">
        <v>6.3383000000000003</v>
      </c>
      <c r="U30" s="11">
        <v>6.6662999999999997</v>
      </c>
      <c r="V30" s="11">
        <v>6.9992999999999999</v>
      </c>
      <c r="W30" s="11">
        <v>7.3373000000000008</v>
      </c>
      <c r="X30" s="11">
        <v>7.6803000000000008</v>
      </c>
      <c r="Y30" s="11">
        <v>8.0276999999999994</v>
      </c>
      <c r="Z30" s="11">
        <v>8.1844999999999999</v>
      </c>
      <c r="AA30" s="11">
        <v>8.3414999999999999</v>
      </c>
      <c r="AB30" s="11">
        <v>8.4984000000000002</v>
      </c>
      <c r="AC30" s="11">
        <v>8.6553000000000004</v>
      </c>
      <c r="AD30" s="11">
        <v>8.8120999999999992</v>
      </c>
    </row>
    <row r="31" spans="3:31" x14ac:dyDescent="0.3">
      <c r="C31" t="s">
        <v>316</v>
      </c>
      <c r="Q31">
        <f>Q30/$Q$30</f>
        <v>1</v>
      </c>
      <c r="R31" s="11">
        <f>R30/$Q$30</f>
        <v>1.0578451028439888</v>
      </c>
      <c r="S31" s="11">
        <f t="shared" ref="S31:AD31" si="3">S30/$Q$30</f>
        <v>1.116748347813173</v>
      </c>
      <c r="T31" s="11">
        <f t="shared" si="3"/>
        <v>1.1766354793198188</v>
      </c>
      <c r="U31" s="11">
        <f t="shared" si="3"/>
        <v>1.2375250612608597</v>
      </c>
      <c r="V31" s="11">
        <f t="shared" si="3"/>
        <v>1.2993428380485632</v>
      </c>
      <c r="W31" s="11">
        <f t="shared" si="3"/>
        <v>1.3620888096829289</v>
      </c>
      <c r="X31" s="11">
        <f t="shared" si="3"/>
        <v>1.4257629761639565</v>
      </c>
      <c r="Y31" s="11">
        <f t="shared" si="3"/>
        <v>1.4902539541100466</v>
      </c>
      <c r="Z31" s="11">
        <f t="shared" si="3"/>
        <v>1.5193621445013736</v>
      </c>
      <c r="AA31" s="11">
        <f t="shared" si="3"/>
        <v>1.5485074626865671</v>
      </c>
      <c r="AB31" s="11">
        <f t="shared" si="3"/>
        <v>1.5776342169748274</v>
      </c>
      <c r="AC31" s="11">
        <f t="shared" si="3"/>
        <v>1.6067609712630877</v>
      </c>
      <c r="AD31" s="11">
        <f t="shared" si="3"/>
        <v>1.6358691616544143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6C27F-BAFE-46A3-A4BA-39D0E734BEDA}">
  <sheetPr>
    <tabColor theme="5" tint="0.59999389629810485"/>
  </sheetPr>
  <dimension ref="B1:AF95"/>
  <sheetViews>
    <sheetView topLeftCell="F1" workbookViewId="0">
      <pane ySplit="1" topLeftCell="A67" activePane="bottomLeft" state="frozen"/>
      <selection pane="bottomLeft" activeCell="F85" sqref="F85:AE85"/>
    </sheetView>
  </sheetViews>
  <sheetFormatPr defaultColWidth="11.44140625" defaultRowHeight="14.4" x14ac:dyDescent="0.3"/>
  <cols>
    <col min="2" max="2" width="20.6640625" bestFit="1" customWidth="1"/>
    <col min="3" max="3" width="35.33203125" bestFit="1" customWidth="1"/>
    <col min="4" max="4" width="31.33203125" bestFit="1" customWidth="1"/>
    <col min="5" max="5" width="9.109375" customWidth="1"/>
    <col min="6" max="6" width="8.5546875" customWidth="1"/>
    <col min="7" max="31" width="9.5546875" bestFit="1" customWidth="1"/>
  </cols>
  <sheetData>
    <row r="1" spans="2:32" ht="20.399999999999999" thickBot="1" x14ac:dyDescent="0.35">
      <c r="B1" s="55"/>
      <c r="C1" s="56"/>
      <c r="D1" s="56" t="s">
        <v>257</v>
      </c>
      <c r="E1" s="56"/>
      <c r="F1" s="97">
        <v>2010</v>
      </c>
      <c r="G1" s="97">
        <v>2011</v>
      </c>
      <c r="H1" s="97">
        <v>2012</v>
      </c>
      <c r="I1" s="97">
        <v>2013</v>
      </c>
      <c r="J1" s="97">
        <v>2014</v>
      </c>
      <c r="K1" s="97">
        <v>2015</v>
      </c>
      <c r="L1" s="97">
        <v>2016</v>
      </c>
      <c r="M1" s="97">
        <v>2017</v>
      </c>
      <c r="N1" s="97">
        <v>2018</v>
      </c>
      <c r="O1" s="97">
        <v>2019</v>
      </c>
      <c r="P1" s="97">
        <v>2020</v>
      </c>
      <c r="Q1" s="97">
        <v>2021</v>
      </c>
      <c r="R1" s="97">
        <v>2022</v>
      </c>
      <c r="S1" s="57">
        <v>2023</v>
      </c>
      <c r="T1" s="57">
        <v>2024</v>
      </c>
      <c r="U1" s="57">
        <v>2025</v>
      </c>
      <c r="V1" s="57">
        <v>2026</v>
      </c>
      <c r="W1" s="57">
        <v>2027</v>
      </c>
      <c r="X1" s="57">
        <v>2028</v>
      </c>
      <c r="Y1" s="57">
        <v>2029</v>
      </c>
      <c r="Z1" s="57">
        <v>2030</v>
      </c>
      <c r="AA1" s="57">
        <v>2031</v>
      </c>
      <c r="AB1" s="57">
        <v>2032</v>
      </c>
      <c r="AC1" s="57">
        <v>2033</v>
      </c>
      <c r="AD1" s="57">
        <v>2034</v>
      </c>
      <c r="AE1" s="57">
        <v>2035</v>
      </c>
      <c r="AF1" s="58"/>
    </row>
    <row r="2" spans="2:32" ht="15.6" customHeight="1" x14ac:dyDescent="0.3"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</row>
    <row r="3" spans="2:32" ht="15.6" customHeight="1" x14ac:dyDescent="0.3"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</row>
    <row r="4" spans="2:32" ht="15" thickBot="1" x14ac:dyDescent="0.35"/>
    <row r="5" spans="2:32" x14ac:dyDescent="0.3">
      <c r="B5" s="61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3"/>
    </row>
    <row r="6" spans="2:32" x14ac:dyDescent="0.3">
      <c r="B6" s="64"/>
      <c r="C6" s="65"/>
      <c r="D6" s="66" t="s">
        <v>258</v>
      </c>
      <c r="E6" s="66"/>
      <c r="F6" s="66"/>
      <c r="G6" s="66"/>
      <c r="H6" s="66"/>
      <c r="I6" s="66"/>
      <c r="J6" s="66"/>
      <c r="K6" s="66"/>
      <c r="L6" s="66"/>
      <c r="M6" s="66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7"/>
    </row>
    <row r="7" spans="2:32" x14ac:dyDescent="0.3">
      <c r="B7" s="64"/>
      <c r="C7" s="65"/>
      <c r="D7" s="66"/>
      <c r="E7" s="66"/>
      <c r="F7" s="66"/>
      <c r="G7" s="66"/>
      <c r="H7" s="66"/>
      <c r="I7" s="66"/>
      <c r="J7" s="66"/>
      <c r="K7" s="66"/>
      <c r="L7" s="66"/>
      <c r="M7" s="66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7"/>
    </row>
    <row r="8" spans="2:32" x14ac:dyDescent="0.3">
      <c r="B8" s="64"/>
      <c r="C8" s="65"/>
      <c r="D8" s="68" t="s">
        <v>317</v>
      </c>
      <c r="E8" s="68"/>
      <c r="F8" s="68"/>
      <c r="G8" s="68"/>
      <c r="H8" s="68"/>
      <c r="I8" s="68"/>
      <c r="J8" s="68"/>
      <c r="K8" s="68"/>
      <c r="L8" s="68"/>
      <c r="M8" s="68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7"/>
    </row>
    <row r="9" spans="2:32" x14ac:dyDescent="0.3">
      <c r="B9" s="64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7"/>
    </row>
    <row r="10" spans="2:32" x14ac:dyDescent="0.3">
      <c r="B10" s="64"/>
      <c r="C10" s="66" t="s">
        <v>260</v>
      </c>
      <c r="D10" s="66" t="s">
        <v>261</v>
      </c>
      <c r="E10" s="66"/>
      <c r="F10" s="66"/>
      <c r="G10" s="66"/>
      <c r="H10" s="66"/>
      <c r="I10" s="66"/>
      <c r="J10" s="66"/>
      <c r="K10" s="66"/>
      <c r="L10" s="66"/>
      <c r="M10" s="66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7"/>
    </row>
    <row r="11" spans="2:32" x14ac:dyDescent="0.3">
      <c r="B11" s="64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7"/>
    </row>
    <row r="12" spans="2:32" x14ac:dyDescent="0.3">
      <c r="B12" s="64"/>
      <c r="C12" s="66" t="s">
        <v>262</v>
      </c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7"/>
    </row>
    <row r="13" spans="2:32" x14ac:dyDescent="0.3">
      <c r="B13" s="64"/>
      <c r="C13" s="111" t="s">
        <v>263</v>
      </c>
      <c r="D13" s="109" t="s">
        <v>264</v>
      </c>
      <c r="E13" s="69"/>
      <c r="F13" s="70">
        <f>F58/F67</f>
        <v>0.41274095200629418</v>
      </c>
      <c r="G13" s="70">
        <f t="shared" ref="G13:AE13" si="0">G58/G67</f>
        <v>0.41274133105640137</v>
      </c>
      <c r="H13" s="70">
        <f t="shared" si="0"/>
        <v>0.41274550388666575</v>
      </c>
      <c r="I13" s="70">
        <f t="shared" si="0"/>
        <v>0.41274126606761491</v>
      </c>
      <c r="J13" s="70">
        <f t="shared" si="0"/>
        <v>0.41274356421561664</v>
      </c>
      <c r="K13" s="70">
        <f t="shared" si="0"/>
        <v>0.41178358378011037</v>
      </c>
      <c r="L13" s="70">
        <f t="shared" si="0"/>
        <v>0.41274298483260491</v>
      </c>
      <c r="M13" s="70">
        <f t="shared" si="0"/>
        <v>0.41191288479847676</v>
      </c>
      <c r="N13" s="70">
        <f t="shared" si="0"/>
        <v>0.41274468971261963</v>
      </c>
      <c r="O13" s="70">
        <f t="shared" si="0"/>
        <v>0.41276049382716057</v>
      </c>
      <c r="P13" s="70">
        <f t="shared" si="0"/>
        <v>0.41274151025065908</v>
      </c>
      <c r="Q13" s="70">
        <f t="shared" si="0"/>
        <v>0.41274620739916767</v>
      </c>
      <c r="R13" s="70">
        <f t="shared" si="0"/>
        <v>0.41274089935760178</v>
      </c>
      <c r="S13" s="70">
        <f t="shared" si="0"/>
        <v>0.4127635069105125</v>
      </c>
      <c r="T13" s="70">
        <f t="shared" si="0"/>
        <v>0.41276138523844935</v>
      </c>
      <c r="U13" s="70">
        <f t="shared" si="0"/>
        <v>0.41275494195167878</v>
      </c>
      <c r="V13" s="70">
        <f t="shared" si="0"/>
        <v>0.41269130940660526</v>
      </c>
      <c r="W13" s="70">
        <f t="shared" si="0"/>
        <v>0.41263887704941316</v>
      </c>
      <c r="X13" s="70">
        <f t="shared" si="0"/>
        <v>0.41257708206274996</v>
      </c>
      <c r="Y13" s="70">
        <f t="shared" si="0"/>
        <v>0.4125072829675665</v>
      </c>
      <c r="Z13" s="70">
        <f t="shared" si="0"/>
        <v>0.41243651678434284</v>
      </c>
      <c r="AA13" s="70">
        <f t="shared" si="0"/>
        <v>0.41236361869122529</v>
      </c>
      <c r="AB13" s="70">
        <f t="shared" si="0"/>
        <v>0.41229063598974797</v>
      </c>
      <c r="AC13" s="70">
        <f t="shared" si="0"/>
        <v>0.41220177152685933</v>
      </c>
      <c r="AD13" s="70">
        <f t="shared" si="0"/>
        <v>0.41211612918050122</v>
      </c>
      <c r="AE13" s="70">
        <f t="shared" si="0"/>
        <v>0.41186892053533147</v>
      </c>
      <c r="AF13" s="67"/>
    </row>
    <row r="14" spans="2:32" x14ac:dyDescent="0.3">
      <c r="B14" s="64"/>
      <c r="C14" s="65" t="s">
        <v>265</v>
      </c>
      <c r="D14" s="69" t="s">
        <v>266</v>
      </c>
      <c r="E14" s="69"/>
      <c r="F14" s="70">
        <f>F59/F67</f>
        <v>0</v>
      </c>
      <c r="G14" s="70">
        <f t="shared" ref="G14:AE14" si="1">G59/G67</f>
        <v>0</v>
      </c>
      <c r="H14" s="70">
        <f t="shared" si="1"/>
        <v>0</v>
      </c>
      <c r="I14" s="70">
        <f t="shared" si="1"/>
        <v>0</v>
      </c>
      <c r="J14" s="70">
        <f t="shared" si="1"/>
        <v>0</v>
      </c>
      <c r="K14" s="70">
        <f t="shared" si="1"/>
        <v>0</v>
      </c>
      <c r="L14" s="70">
        <f t="shared" si="1"/>
        <v>0</v>
      </c>
      <c r="M14" s="70">
        <f t="shared" si="1"/>
        <v>0</v>
      </c>
      <c r="N14" s="70">
        <f t="shared" si="1"/>
        <v>0</v>
      </c>
      <c r="O14" s="70">
        <f t="shared" si="1"/>
        <v>0</v>
      </c>
      <c r="P14" s="70">
        <f t="shared" si="1"/>
        <v>0</v>
      </c>
      <c r="Q14" s="70">
        <f t="shared" si="1"/>
        <v>0</v>
      </c>
      <c r="R14" s="70">
        <f t="shared" si="1"/>
        <v>0</v>
      </c>
      <c r="S14" s="70">
        <f t="shared" si="1"/>
        <v>0</v>
      </c>
      <c r="T14" s="70">
        <f t="shared" si="1"/>
        <v>0</v>
      </c>
      <c r="U14" s="70">
        <f t="shared" si="1"/>
        <v>0</v>
      </c>
      <c r="V14" s="70">
        <f t="shared" si="1"/>
        <v>0</v>
      </c>
      <c r="W14" s="70">
        <f t="shared" si="1"/>
        <v>0</v>
      </c>
      <c r="X14" s="70">
        <f t="shared" si="1"/>
        <v>0</v>
      </c>
      <c r="Y14" s="70">
        <f t="shared" si="1"/>
        <v>0</v>
      </c>
      <c r="Z14" s="70">
        <f t="shared" si="1"/>
        <v>0</v>
      </c>
      <c r="AA14" s="70">
        <f t="shared" si="1"/>
        <v>0</v>
      </c>
      <c r="AB14" s="70">
        <f t="shared" si="1"/>
        <v>0</v>
      </c>
      <c r="AC14" s="70">
        <f t="shared" si="1"/>
        <v>0</v>
      </c>
      <c r="AD14" s="70">
        <f t="shared" si="1"/>
        <v>0</v>
      </c>
      <c r="AE14" s="70">
        <f t="shared" si="1"/>
        <v>0</v>
      </c>
      <c r="AF14" s="67"/>
    </row>
    <row r="15" spans="2:32" x14ac:dyDescent="0.3">
      <c r="B15" s="64"/>
      <c r="C15" s="111" t="s">
        <v>267</v>
      </c>
      <c r="D15" s="109" t="s">
        <v>268</v>
      </c>
      <c r="E15" s="69"/>
      <c r="F15" s="70">
        <f>F60/F67</f>
        <v>1.3522816679779701E-3</v>
      </c>
      <c r="G15" s="70">
        <f t="shared" ref="G15:AE15" si="2">G60/G67</f>
        <v>1.5179545562354728E-3</v>
      </c>
      <c r="H15" s="70">
        <f t="shared" si="2"/>
        <v>1.6788556184168164E-3</v>
      </c>
      <c r="I15" s="70">
        <f t="shared" si="2"/>
        <v>4.4727404601684331E-3</v>
      </c>
      <c r="J15" s="70">
        <f t="shared" si="2"/>
        <v>6.6135684824349299E-3</v>
      </c>
      <c r="K15" s="70">
        <f t="shared" si="2"/>
        <v>6.0786830778524498E-3</v>
      </c>
      <c r="L15" s="70">
        <f t="shared" si="2"/>
        <v>5.3787893768909804E-3</v>
      </c>
      <c r="M15" s="70">
        <f t="shared" si="2"/>
        <v>6.0496667724531886E-3</v>
      </c>
      <c r="N15" s="70">
        <f t="shared" si="2"/>
        <v>6.7035560579917089E-3</v>
      </c>
      <c r="O15" s="70">
        <f t="shared" si="2"/>
        <v>6.9728395061728378E-3</v>
      </c>
      <c r="P15" s="70">
        <f t="shared" si="2"/>
        <v>7.2403887773973942E-3</v>
      </c>
      <c r="Q15" s="70">
        <f t="shared" si="2"/>
        <v>7.3838246293703612E-3</v>
      </c>
      <c r="R15" s="70">
        <f t="shared" si="2"/>
        <v>6.2209259395997933E-3</v>
      </c>
      <c r="S15" s="70">
        <f t="shared" si="2"/>
        <v>6.212480804132346E-3</v>
      </c>
      <c r="T15" s="70">
        <f t="shared" si="2"/>
        <v>6.2153897016282347E-3</v>
      </c>
      <c r="U15" s="70">
        <f t="shared" si="2"/>
        <v>6.2127392532161903E-3</v>
      </c>
      <c r="V15" s="70">
        <f t="shared" si="2"/>
        <v>6.3844386765715116E-3</v>
      </c>
      <c r="W15" s="70">
        <f t="shared" si="2"/>
        <v>6.5211831898389179E-3</v>
      </c>
      <c r="X15" s="70">
        <f t="shared" si="2"/>
        <v>6.6680219556820904E-3</v>
      </c>
      <c r="Y15" s="70">
        <f t="shared" si="2"/>
        <v>6.7844888975206073E-3</v>
      </c>
      <c r="Z15" s="70">
        <f t="shared" si="2"/>
        <v>6.8995416821503305E-3</v>
      </c>
      <c r="AA15" s="70">
        <f t="shared" si="2"/>
        <v>7.0225742959201774E-3</v>
      </c>
      <c r="AB15" s="70">
        <f t="shared" si="2"/>
        <v>7.1288072957024278E-3</v>
      </c>
      <c r="AC15" s="70">
        <f t="shared" si="2"/>
        <v>7.2429004364462767E-3</v>
      </c>
      <c r="AD15" s="70">
        <f t="shared" si="2"/>
        <v>7.352856699716229E-3</v>
      </c>
      <c r="AE15" s="70">
        <f t="shared" si="2"/>
        <v>7.7523753639215827E-3</v>
      </c>
      <c r="AF15" s="67"/>
    </row>
    <row r="16" spans="2:32" x14ac:dyDescent="0.3">
      <c r="B16" s="64"/>
      <c r="C16" s="111" t="s">
        <v>269</v>
      </c>
      <c r="D16" s="109" t="s">
        <v>270</v>
      </c>
      <c r="E16" s="69"/>
      <c r="F16" s="70">
        <f>F61/F67</f>
        <v>0.30664830841856811</v>
      </c>
      <c r="G16" s="70">
        <f t="shared" ref="G16:AE16" si="3">G61/G67</f>
        <v>0.32114226080356723</v>
      </c>
      <c r="H16" s="70">
        <f t="shared" si="3"/>
        <v>0.33305735706729223</v>
      </c>
      <c r="I16" s="70">
        <f t="shared" si="3"/>
        <v>0.31724221299915378</v>
      </c>
      <c r="J16" s="70">
        <f t="shared" si="3"/>
        <v>0.30415303655241077</v>
      </c>
      <c r="K16" s="70">
        <f t="shared" si="3"/>
        <v>0.37693498452012381</v>
      </c>
      <c r="L16" s="70">
        <f t="shared" si="3"/>
        <v>0.43860863374794834</v>
      </c>
      <c r="M16" s="70">
        <f t="shared" si="3"/>
        <v>0.46566566169470003</v>
      </c>
      <c r="N16" s="70">
        <f t="shared" si="3"/>
        <v>0.48824894389242579</v>
      </c>
      <c r="O16" s="70">
        <f t="shared" si="3"/>
        <v>0.48944197530864186</v>
      </c>
      <c r="P16" s="70">
        <f t="shared" si="3"/>
        <v>0.49031991500413175</v>
      </c>
      <c r="Q16" s="70">
        <f t="shared" si="3"/>
        <v>0.50630022439155364</v>
      </c>
      <c r="R16" s="70">
        <f t="shared" si="3"/>
        <v>0.50749464668094213</v>
      </c>
      <c r="S16" s="70">
        <f t="shared" si="3"/>
        <v>0.50750383917353059</v>
      </c>
      <c r="T16" s="70">
        <f t="shared" si="3"/>
        <v>0.50749648731300112</v>
      </c>
      <c r="U16" s="70">
        <f t="shared" si="3"/>
        <v>0.50749921556322553</v>
      </c>
      <c r="V16" s="70">
        <f t="shared" si="3"/>
        <v>0.50739878874668098</v>
      </c>
      <c r="W16" s="70">
        <f t="shared" si="3"/>
        <v>0.50730258858295685</v>
      </c>
      <c r="X16" s="70">
        <f t="shared" si="3"/>
        <v>0.50723046689706575</v>
      </c>
      <c r="Y16" s="70">
        <f t="shared" si="3"/>
        <v>0.50717938758334957</v>
      </c>
      <c r="Z16" s="70">
        <f t="shared" si="3"/>
        <v>0.50712250712250717</v>
      </c>
      <c r="AA16" s="70">
        <f t="shared" si="3"/>
        <v>0.50708332320851468</v>
      </c>
      <c r="AB16" s="70">
        <f t="shared" si="3"/>
        <v>0.50703939917744534</v>
      </c>
      <c r="AC16" s="70">
        <f t="shared" si="3"/>
        <v>0.50701473152124321</v>
      </c>
      <c r="AD16" s="70">
        <f t="shared" si="3"/>
        <v>0.50699095828402696</v>
      </c>
      <c r="AE16" s="70">
        <f t="shared" si="3"/>
        <v>0.5068383398406644</v>
      </c>
      <c r="AF16" s="67"/>
    </row>
    <row r="17" spans="2:32" x14ac:dyDescent="0.3">
      <c r="B17" s="64"/>
      <c r="C17" s="111" t="s">
        <v>271</v>
      </c>
      <c r="D17" s="109" t="s">
        <v>272</v>
      </c>
      <c r="E17" s="69"/>
      <c r="F17" s="70">
        <f>F62/F67</f>
        <v>0.27702104642014164</v>
      </c>
      <c r="G17" s="70">
        <f t="shared" ref="G17:AE17" si="4">G62/G67</f>
        <v>0.26229780370950151</v>
      </c>
      <c r="H17" s="70">
        <f t="shared" si="4"/>
        <v>0.25012648912193552</v>
      </c>
      <c r="I17" s="70">
        <f t="shared" si="4"/>
        <v>0.26336785268162949</v>
      </c>
      <c r="J17" s="70">
        <f t="shared" si="4"/>
        <v>0.27448087043094865</v>
      </c>
      <c r="K17" s="70">
        <f t="shared" si="4"/>
        <v>0.20308842407309524</v>
      </c>
      <c r="L17" s="70">
        <f t="shared" si="4"/>
        <v>0.1410547964167771</v>
      </c>
      <c r="M17" s="70">
        <f t="shared" si="4"/>
        <v>0.11411059980958425</v>
      </c>
      <c r="N17" s="70">
        <f t="shared" si="4"/>
        <v>9.0002181630669753E-2</v>
      </c>
      <c r="O17" s="70">
        <f t="shared" si="4"/>
        <v>8.7841975308641962E-2</v>
      </c>
      <c r="P17" s="70">
        <f t="shared" si="4"/>
        <v>8.5900916853578868E-2</v>
      </c>
      <c r="Q17" s="70">
        <f t="shared" si="4"/>
        <v>7.1824475940238969E-2</v>
      </c>
      <c r="R17" s="70">
        <f t="shared" si="4"/>
        <v>7.101454626006054E-2</v>
      </c>
      <c r="S17" s="70">
        <f t="shared" si="4"/>
        <v>7.1007259528130667E-2</v>
      </c>
      <c r="T17" s="70">
        <f t="shared" si="4"/>
        <v>7.1014133399454504E-2</v>
      </c>
      <c r="U17" s="70">
        <f t="shared" si="4"/>
        <v>7.1007216818324434E-2</v>
      </c>
      <c r="V17" s="70">
        <f t="shared" si="4"/>
        <v>7.1004504907664301E-2</v>
      </c>
      <c r="W17" s="70">
        <f t="shared" si="4"/>
        <v>7.1008439178245675E-2</v>
      </c>
      <c r="X17" s="70">
        <f t="shared" si="4"/>
        <v>7.1003591515890765E-2</v>
      </c>
      <c r="Y17" s="70">
        <f t="shared" si="4"/>
        <v>7.1004078461837247E-2</v>
      </c>
      <c r="Z17" s="70">
        <f t="shared" si="4"/>
        <v>7.101449275362319E-2</v>
      </c>
      <c r="AA17" s="70">
        <f t="shared" si="4"/>
        <v>7.1003329040410193E-2</v>
      </c>
      <c r="AB17" s="70">
        <f t="shared" si="4"/>
        <v>7.1013888061035937E-2</v>
      </c>
      <c r="AC17" s="70">
        <f t="shared" si="4"/>
        <v>7.1013186993201749E-2</v>
      </c>
      <c r="AD17" s="70">
        <f t="shared" si="4"/>
        <v>7.101251134522811E-2</v>
      </c>
      <c r="AE17" s="70">
        <f t="shared" si="4"/>
        <v>7.1012661084655482E-2</v>
      </c>
      <c r="AF17" s="67"/>
    </row>
    <row r="18" spans="2:32" x14ac:dyDescent="0.3">
      <c r="B18" s="64"/>
      <c r="C18" s="71" t="s">
        <v>273</v>
      </c>
      <c r="D18" s="72" t="s">
        <v>274</v>
      </c>
      <c r="E18" s="72"/>
      <c r="F18" s="70">
        <f>F63/F67</f>
        <v>0</v>
      </c>
      <c r="G18" s="70">
        <f t="shared" ref="G18:AE18" si="5">G63/G67</f>
        <v>0</v>
      </c>
      <c r="H18" s="70">
        <f t="shared" si="5"/>
        <v>0</v>
      </c>
      <c r="I18" s="70">
        <f t="shared" si="5"/>
        <v>0</v>
      </c>
      <c r="J18" s="70">
        <f t="shared" si="5"/>
        <v>0</v>
      </c>
      <c r="K18" s="70">
        <f t="shared" si="5"/>
        <v>0</v>
      </c>
      <c r="L18" s="70">
        <f t="shared" si="5"/>
        <v>0</v>
      </c>
      <c r="M18" s="70">
        <f t="shared" si="5"/>
        <v>0</v>
      </c>
      <c r="N18" s="70">
        <f t="shared" si="5"/>
        <v>0</v>
      </c>
      <c r="O18" s="70">
        <f t="shared" si="5"/>
        <v>0</v>
      </c>
      <c r="P18" s="70">
        <f t="shared" si="5"/>
        <v>0</v>
      </c>
      <c r="Q18" s="70">
        <f t="shared" si="5"/>
        <v>0</v>
      </c>
      <c r="R18" s="70">
        <f t="shared" si="5"/>
        <v>0</v>
      </c>
      <c r="S18" s="70">
        <f t="shared" si="5"/>
        <v>0</v>
      </c>
      <c r="T18" s="70">
        <f t="shared" si="5"/>
        <v>0</v>
      </c>
      <c r="U18" s="70">
        <f t="shared" si="5"/>
        <v>0</v>
      </c>
      <c r="V18" s="70">
        <f t="shared" si="5"/>
        <v>0</v>
      </c>
      <c r="W18" s="70">
        <f t="shared" si="5"/>
        <v>0</v>
      </c>
      <c r="X18" s="70">
        <f t="shared" si="5"/>
        <v>0</v>
      </c>
      <c r="Y18" s="70">
        <f t="shared" si="5"/>
        <v>0</v>
      </c>
      <c r="Z18" s="70">
        <f t="shared" si="5"/>
        <v>0</v>
      </c>
      <c r="AA18" s="70">
        <f t="shared" si="5"/>
        <v>0</v>
      </c>
      <c r="AB18" s="70">
        <f t="shared" si="5"/>
        <v>0</v>
      </c>
      <c r="AC18" s="70">
        <f t="shared" si="5"/>
        <v>0</v>
      </c>
      <c r="AD18" s="70">
        <f t="shared" si="5"/>
        <v>0</v>
      </c>
      <c r="AE18" s="70">
        <f t="shared" si="5"/>
        <v>0</v>
      </c>
      <c r="AF18" s="67"/>
    </row>
    <row r="19" spans="2:32" x14ac:dyDescent="0.3">
      <c r="B19" s="64"/>
      <c r="C19" s="112" t="s">
        <v>275</v>
      </c>
      <c r="D19" s="110" t="s">
        <v>276</v>
      </c>
      <c r="E19" s="72"/>
      <c r="F19" s="70">
        <f>F64/F67</f>
        <v>2.2374114870180963E-3</v>
      </c>
      <c r="G19" s="70">
        <f t="shared" ref="G19:AE19" si="6">G64/G67</f>
        <v>2.3006498742943887E-3</v>
      </c>
      <c r="H19" s="70">
        <f t="shared" si="6"/>
        <v>2.391794305689711E-3</v>
      </c>
      <c r="I19" s="70">
        <f t="shared" si="6"/>
        <v>2.175927791433292E-3</v>
      </c>
      <c r="J19" s="70">
        <f t="shared" si="6"/>
        <v>2.0089603185891049E-3</v>
      </c>
      <c r="K19" s="70">
        <f t="shared" si="6"/>
        <v>2.1143245488182433E-3</v>
      </c>
      <c r="L19" s="70">
        <f t="shared" si="6"/>
        <v>2.2147956257786393E-3</v>
      </c>
      <c r="M19" s="70">
        <f t="shared" si="6"/>
        <v>2.2611869247857819E-3</v>
      </c>
      <c r="N19" s="70">
        <f t="shared" si="6"/>
        <v>2.3006287062930127E-3</v>
      </c>
      <c r="O19" s="70">
        <f t="shared" si="6"/>
        <v>2.9827160493827156E-3</v>
      </c>
      <c r="P19" s="70">
        <f t="shared" si="6"/>
        <v>3.797269114232873E-3</v>
      </c>
      <c r="Q19" s="70">
        <f t="shared" si="6"/>
        <v>1.7452676396693581E-3</v>
      </c>
      <c r="R19" s="70">
        <f t="shared" si="6"/>
        <v>2.5289817617957615E-3</v>
      </c>
      <c r="S19" s="70">
        <f t="shared" si="6"/>
        <v>2.5129135836939828E-3</v>
      </c>
      <c r="T19" s="70">
        <f t="shared" si="6"/>
        <v>2.5126043474667332E-3</v>
      </c>
      <c r="U19" s="70">
        <f t="shared" si="6"/>
        <v>2.5258864135550671E-3</v>
      </c>
      <c r="V19" s="70">
        <f t="shared" si="6"/>
        <v>2.520958262477997E-3</v>
      </c>
      <c r="W19" s="70">
        <f t="shared" si="6"/>
        <v>2.528911999545364E-3</v>
      </c>
      <c r="X19" s="70">
        <f t="shared" si="6"/>
        <v>2.5208375686115061E-3</v>
      </c>
      <c r="Y19" s="70">
        <f t="shared" si="6"/>
        <v>2.5247620897261604E-3</v>
      </c>
      <c r="Z19" s="70">
        <f t="shared" si="6"/>
        <v>2.5269416573764402E-3</v>
      </c>
      <c r="AA19" s="70">
        <f t="shared" si="6"/>
        <v>2.5271547639297257E-3</v>
      </c>
      <c r="AB19" s="70">
        <f t="shared" si="6"/>
        <v>2.5272694760684268E-3</v>
      </c>
      <c r="AC19" s="70">
        <f t="shared" si="6"/>
        <v>2.5274095222493952E-3</v>
      </c>
      <c r="AD19" s="70">
        <f t="shared" si="6"/>
        <v>2.5275444905274525E-3</v>
      </c>
      <c r="AE19" s="70">
        <f t="shared" si="6"/>
        <v>2.5277031754271139E-3</v>
      </c>
      <c r="AF19" s="67"/>
    </row>
    <row r="20" spans="2:32" x14ac:dyDescent="0.3">
      <c r="B20" s="64"/>
      <c r="C20" s="65" t="s">
        <v>277</v>
      </c>
      <c r="D20" s="69" t="s">
        <v>278</v>
      </c>
      <c r="E20" s="69"/>
      <c r="F20" s="70">
        <f>F65/F67</f>
        <v>0</v>
      </c>
      <c r="G20" s="70">
        <f t="shared" ref="G20:AE20" si="7">G65/G67</f>
        <v>0</v>
      </c>
      <c r="H20" s="70">
        <f t="shared" si="7"/>
        <v>0</v>
      </c>
      <c r="I20" s="70">
        <f t="shared" si="7"/>
        <v>0</v>
      </c>
      <c r="J20" s="70">
        <f t="shared" si="7"/>
        <v>0</v>
      </c>
      <c r="K20" s="70">
        <f t="shared" si="7"/>
        <v>0</v>
      </c>
      <c r="L20" s="70">
        <f t="shared" si="7"/>
        <v>0</v>
      </c>
      <c r="M20" s="70">
        <f t="shared" si="7"/>
        <v>0</v>
      </c>
      <c r="N20" s="70">
        <f t="shared" si="7"/>
        <v>0</v>
      </c>
      <c r="O20" s="70">
        <f t="shared" si="7"/>
        <v>0</v>
      </c>
      <c r="P20" s="70">
        <f t="shared" si="7"/>
        <v>0</v>
      </c>
      <c r="Q20" s="70">
        <f t="shared" si="7"/>
        <v>0</v>
      </c>
      <c r="R20" s="70">
        <f t="shared" si="7"/>
        <v>0</v>
      </c>
      <c r="S20" s="70">
        <f t="shared" si="7"/>
        <v>0</v>
      </c>
      <c r="T20" s="70">
        <f t="shared" si="7"/>
        <v>0</v>
      </c>
      <c r="U20" s="70">
        <f t="shared" si="7"/>
        <v>0</v>
      </c>
      <c r="V20" s="70">
        <f t="shared" si="7"/>
        <v>0</v>
      </c>
      <c r="W20" s="70">
        <f t="shared" si="7"/>
        <v>0</v>
      </c>
      <c r="X20" s="70">
        <f t="shared" si="7"/>
        <v>0</v>
      </c>
      <c r="Y20" s="70">
        <f t="shared" si="7"/>
        <v>0</v>
      </c>
      <c r="Z20" s="70">
        <f t="shared" si="7"/>
        <v>0</v>
      </c>
      <c r="AA20" s="70">
        <f t="shared" si="7"/>
        <v>0</v>
      </c>
      <c r="AB20" s="70">
        <f t="shared" si="7"/>
        <v>0</v>
      </c>
      <c r="AC20" s="70">
        <f t="shared" si="7"/>
        <v>0</v>
      </c>
      <c r="AD20" s="70">
        <f t="shared" si="7"/>
        <v>0</v>
      </c>
      <c r="AE20" s="70">
        <f t="shared" si="7"/>
        <v>0</v>
      </c>
      <c r="AF20" s="67"/>
    </row>
    <row r="21" spans="2:32" x14ac:dyDescent="0.3">
      <c r="B21" s="64"/>
      <c r="C21" s="65" t="s">
        <v>279</v>
      </c>
      <c r="D21" s="69" t="s">
        <v>280</v>
      </c>
      <c r="E21" s="69"/>
      <c r="F21" s="70">
        <f>F66/F67</f>
        <v>0</v>
      </c>
      <c r="G21" s="70">
        <f t="shared" ref="G21:AE21" si="8">G66/G67</f>
        <v>0</v>
      </c>
      <c r="H21" s="70">
        <f t="shared" si="8"/>
        <v>0</v>
      </c>
      <c r="I21" s="70">
        <f t="shared" si="8"/>
        <v>0</v>
      </c>
      <c r="J21" s="70">
        <f t="shared" si="8"/>
        <v>0</v>
      </c>
      <c r="K21" s="70">
        <f t="shared" si="8"/>
        <v>0</v>
      </c>
      <c r="L21" s="70">
        <f t="shared" si="8"/>
        <v>0</v>
      </c>
      <c r="M21" s="70">
        <f t="shared" si="8"/>
        <v>0</v>
      </c>
      <c r="N21" s="70">
        <f t="shared" si="8"/>
        <v>0</v>
      </c>
      <c r="O21" s="70">
        <f t="shared" si="8"/>
        <v>0</v>
      </c>
      <c r="P21" s="70">
        <f t="shared" si="8"/>
        <v>0</v>
      </c>
      <c r="Q21" s="70">
        <f t="shared" si="8"/>
        <v>0</v>
      </c>
      <c r="R21" s="70">
        <f t="shared" si="8"/>
        <v>0</v>
      </c>
      <c r="S21" s="70">
        <f t="shared" si="8"/>
        <v>0</v>
      </c>
      <c r="T21" s="70">
        <f t="shared" si="8"/>
        <v>0</v>
      </c>
      <c r="U21" s="70">
        <f t="shared" si="8"/>
        <v>0</v>
      </c>
      <c r="V21" s="70">
        <f t="shared" si="8"/>
        <v>0</v>
      </c>
      <c r="W21" s="70">
        <f t="shared" si="8"/>
        <v>0</v>
      </c>
      <c r="X21" s="70">
        <f t="shared" si="8"/>
        <v>0</v>
      </c>
      <c r="Y21" s="70">
        <f t="shared" si="8"/>
        <v>0</v>
      </c>
      <c r="Z21" s="70">
        <f t="shared" si="8"/>
        <v>0</v>
      </c>
      <c r="AA21" s="70">
        <f t="shared" si="8"/>
        <v>0</v>
      </c>
      <c r="AB21" s="70">
        <f t="shared" si="8"/>
        <v>0</v>
      </c>
      <c r="AC21" s="70">
        <f t="shared" si="8"/>
        <v>0</v>
      </c>
      <c r="AD21" s="70">
        <f t="shared" si="8"/>
        <v>0</v>
      </c>
      <c r="AE21" s="70">
        <f t="shared" si="8"/>
        <v>0</v>
      </c>
      <c r="AF21" s="67"/>
    </row>
    <row r="22" spans="2:32" x14ac:dyDescent="0.3">
      <c r="B22" s="64"/>
      <c r="C22" s="65"/>
      <c r="D22" s="65"/>
      <c r="E22" s="65"/>
      <c r="F22" s="73">
        <f t="shared" ref="F22:AE22" si="9">SUM(F13:F21)</f>
        <v>1</v>
      </c>
      <c r="G22" s="73">
        <f t="shared" si="9"/>
        <v>0.99999999999999989</v>
      </c>
      <c r="H22" s="73">
        <f t="shared" si="9"/>
        <v>1</v>
      </c>
      <c r="I22" s="73">
        <f t="shared" si="9"/>
        <v>0.99999999999999978</v>
      </c>
      <c r="J22" s="73">
        <f t="shared" si="9"/>
        <v>1.0000000000000002</v>
      </c>
      <c r="K22" s="73">
        <f t="shared" si="9"/>
        <v>1.0000000000000002</v>
      </c>
      <c r="L22" s="73">
        <f t="shared" si="9"/>
        <v>1</v>
      </c>
      <c r="M22" s="73">
        <f t="shared" si="9"/>
        <v>1</v>
      </c>
      <c r="N22" s="73">
        <f>SUM(N13:N21)</f>
        <v>0.99999999999999989</v>
      </c>
      <c r="O22" s="73">
        <f t="shared" si="9"/>
        <v>1</v>
      </c>
      <c r="P22" s="73">
        <f t="shared" si="9"/>
        <v>0.99999999999999989</v>
      </c>
      <c r="Q22" s="73">
        <f t="shared" si="9"/>
        <v>1</v>
      </c>
      <c r="R22" s="73">
        <f t="shared" si="9"/>
        <v>0.99999999999999989</v>
      </c>
      <c r="S22" s="73">
        <f t="shared" si="9"/>
        <v>1</v>
      </c>
      <c r="T22" s="73">
        <f t="shared" si="9"/>
        <v>0.99999999999999989</v>
      </c>
      <c r="U22" s="73">
        <f t="shared" si="9"/>
        <v>1</v>
      </c>
      <c r="V22" s="73">
        <f t="shared" si="9"/>
        <v>1</v>
      </c>
      <c r="W22" s="73">
        <f t="shared" si="9"/>
        <v>1</v>
      </c>
      <c r="X22" s="73">
        <f t="shared" si="9"/>
        <v>1</v>
      </c>
      <c r="Y22" s="73">
        <f t="shared" si="9"/>
        <v>1</v>
      </c>
      <c r="Z22" s="73">
        <f t="shared" si="9"/>
        <v>0.99999999999999989</v>
      </c>
      <c r="AA22" s="73">
        <f t="shared" si="9"/>
        <v>1</v>
      </c>
      <c r="AB22" s="73">
        <f t="shared" si="9"/>
        <v>1</v>
      </c>
      <c r="AC22" s="73">
        <f t="shared" si="9"/>
        <v>1</v>
      </c>
      <c r="AD22" s="73">
        <f t="shared" si="9"/>
        <v>1</v>
      </c>
      <c r="AE22" s="73">
        <f t="shared" si="9"/>
        <v>1.0000000000000002</v>
      </c>
      <c r="AF22" s="67"/>
    </row>
    <row r="23" spans="2:32" x14ac:dyDescent="0.3">
      <c r="B23" s="64"/>
      <c r="C23" s="65"/>
      <c r="D23" s="74"/>
      <c r="E23" s="74"/>
      <c r="F23" s="74"/>
      <c r="G23" s="74"/>
      <c r="H23" s="74"/>
      <c r="I23" s="74"/>
      <c r="J23" s="74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67"/>
    </row>
    <row r="24" spans="2:32" x14ac:dyDescent="0.3">
      <c r="B24" s="64"/>
      <c r="C24" s="65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67"/>
    </row>
    <row r="25" spans="2:32" x14ac:dyDescent="0.3">
      <c r="B25" s="64"/>
      <c r="C25" s="6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67"/>
    </row>
    <row r="26" spans="2:32" x14ac:dyDescent="0.3">
      <c r="B26" s="64"/>
      <c r="C26" s="66" t="s">
        <v>281</v>
      </c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67"/>
    </row>
    <row r="27" spans="2:32" ht="28.8" x14ac:dyDescent="0.3">
      <c r="B27" s="64"/>
      <c r="C27" s="65" t="s">
        <v>282</v>
      </c>
      <c r="D27" s="71" t="s">
        <v>283</v>
      </c>
      <c r="E27" s="71"/>
      <c r="F27" s="70">
        <f t="shared" ref="F27:AE27" si="10">F13</f>
        <v>0.41274095200629418</v>
      </c>
      <c r="G27" s="70">
        <f t="shared" si="10"/>
        <v>0.41274133105640137</v>
      </c>
      <c r="H27" s="70">
        <f t="shared" si="10"/>
        <v>0.41274550388666575</v>
      </c>
      <c r="I27" s="70">
        <f t="shared" si="10"/>
        <v>0.41274126606761491</v>
      </c>
      <c r="J27" s="70">
        <f t="shared" si="10"/>
        <v>0.41274356421561664</v>
      </c>
      <c r="K27" s="70">
        <f t="shared" si="10"/>
        <v>0.41178358378011037</v>
      </c>
      <c r="L27" s="70">
        <f t="shared" si="10"/>
        <v>0.41274298483260491</v>
      </c>
      <c r="M27" s="70">
        <f t="shared" si="10"/>
        <v>0.41191288479847676</v>
      </c>
      <c r="N27" s="70">
        <f t="shared" si="10"/>
        <v>0.41274468971261963</v>
      </c>
      <c r="O27" s="70">
        <f t="shared" si="10"/>
        <v>0.41276049382716057</v>
      </c>
      <c r="P27" s="70">
        <f t="shared" si="10"/>
        <v>0.41274151025065908</v>
      </c>
      <c r="Q27" s="70">
        <f t="shared" si="10"/>
        <v>0.41274620739916767</v>
      </c>
      <c r="R27" s="70">
        <f t="shared" si="10"/>
        <v>0.41274089935760178</v>
      </c>
      <c r="S27" s="70">
        <f t="shared" si="10"/>
        <v>0.4127635069105125</v>
      </c>
      <c r="T27" s="70">
        <f t="shared" si="10"/>
        <v>0.41276138523844935</v>
      </c>
      <c r="U27" s="70">
        <f t="shared" si="10"/>
        <v>0.41275494195167878</v>
      </c>
      <c r="V27" s="70">
        <f t="shared" si="10"/>
        <v>0.41269130940660526</v>
      </c>
      <c r="W27" s="70">
        <f t="shared" si="10"/>
        <v>0.41263887704941316</v>
      </c>
      <c r="X27" s="70">
        <f t="shared" si="10"/>
        <v>0.41257708206274996</v>
      </c>
      <c r="Y27" s="70">
        <f t="shared" si="10"/>
        <v>0.4125072829675665</v>
      </c>
      <c r="Z27" s="70">
        <f t="shared" si="10"/>
        <v>0.41243651678434284</v>
      </c>
      <c r="AA27" s="70">
        <f t="shared" si="10"/>
        <v>0.41236361869122529</v>
      </c>
      <c r="AB27" s="70">
        <f t="shared" si="10"/>
        <v>0.41229063598974797</v>
      </c>
      <c r="AC27" s="70">
        <f t="shared" si="10"/>
        <v>0.41220177152685933</v>
      </c>
      <c r="AD27" s="70">
        <f t="shared" si="10"/>
        <v>0.41211612918050122</v>
      </c>
      <c r="AE27" s="70">
        <f t="shared" si="10"/>
        <v>0.41186892053533147</v>
      </c>
      <c r="AF27" s="67"/>
    </row>
    <row r="28" spans="2:32" ht="28.8" x14ac:dyDescent="0.3">
      <c r="B28" s="64"/>
      <c r="C28" s="65" t="s">
        <v>284</v>
      </c>
      <c r="D28" s="71" t="s">
        <v>285</v>
      </c>
      <c r="E28" s="71"/>
      <c r="F28" s="70">
        <f t="shared" ref="F28:AE28" si="11">F15+F14</f>
        <v>1.3522816679779701E-3</v>
      </c>
      <c r="G28" s="70">
        <f t="shared" si="11"/>
        <v>1.5179545562354728E-3</v>
      </c>
      <c r="H28" s="70">
        <f t="shared" si="11"/>
        <v>1.6788556184168164E-3</v>
      </c>
      <c r="I28" s="70">
        <f t="shared" si="11"/>
        <v>4.4727404601684331E-3</v>
      </c>
      <c r="J28" s="70">
        <f t="shared" si="11"/>
        <v>6.6135684824349299E-3</v>
      </c>
      <c r="K28" s="70">
        <f t="shared" si="11"/>
        <v>6.0786830778524498E-3</v>
      </c>
      <c r="L28" s="70">
        <f t="shared" si="11"/>
        <v>5.3787893768909804E-3</v>
      </c>
      <c r="M28" s="70">
        <f t="shared" si="11"/>
        <v>6.0496667724531886E-3</v>
      </c>
      <c r="N28" s="70">
        <f t="shared" si="11"/>
        <v>6.7035560579917089E-3</v>
      </c>
      <c r="O28" s="70">
        <f t="shared" si="11"/>
        <v>6.9728395061728378E-3</v>
      </c>
      <c r="P28" s="70">
        <f t="shared" si="11"/>
        <v>7.2403887773973942E-3</v>
      </c>
      <c r="Q28" s="70">
        <f t="shared" si="11"/>
        <v>7.3838246293703612E-3</v>
      </c>
      <c r="R28" s="70">
        <f t="shared" si="11"/>
        <v>6.2209259395997933E-3</v>
      </c>
      <c r="S28" s="70">
        <f t="shared" si="11"/>
        <v>6.212480804132346E-3</v>
      </c>
      <c r="T28" s="70">
        <f t="shared" si="11"/>
        <v>6.2153897016282347E-3</v>
      </c>
      <c r="U28" s="70">
        <f t="shared" si="11"/>
        <v>6.2127392532161903E-3</v>
      </c>
      <c r="V28" s="70">
        <f t="shared" si="11"/>
        <v>6.3844386765715116E-3</v>
      </c>
      <c r="W28" s="70">
        <f t="shared" si="11"/>
        <v>6.5211831898389179E-3</v>
      </c>
      <c r="X28" s="70">
        <f t="shared" si="11"/>
        <v>6.6680219556820904E-3</v>
      </c>
      <c r="Y28" s="70">
        <f t="shared" si="11"/>
        <v>6.7844888975206073E-3</v>
      </c>
      <c r="Z28" s="70">
        <f t="shared" si="11"/>
        <v>6.8995416821503305E-3</v>
      </c>
      <c r="AA28" s="70">
        <f t="shared" si="11"/>
        <v>7.0225742959201774E-3</v>
      </c>
      <c r="AB28" s="70">
        <f t="shared" si="11"/>
        <v>7.1288072957024278E-3</v>
      </c>
      <c r="AC28" s="70">
        <f t="shared" si="11"/>
        <v>7.2429004364462767E-3</v>
      </c>
      <c r="AD28" s="70">
        <f t="shared" si="11"/>
        <v>7.352856699716229E-3</v>
      </c>
      <c r="AE28" s="70">
        <f t="shared" si="11"/>
        <v>7.7523753639215827E-3</v>
      </c>
      <c r="AF28" s="67"/>
    </row>
    <row r="29" spans="2:32" ht="28.8" x14ac:dyDescent="0.3">
      <c r="B29" s="64"/>
      <c r="C29" s="65" t="s">
        <v>286</v>
      </c>
      <c r="D29" s="71" t="s">
        <v>287</v>
      </c>
      <c r="E29" s="71"/>
      <c r="F29" s="70">
        <f t="shared" ref="F29:AE29" si="12">F16+F17+F18+F19</f>
        <v>0.5859067663257278</v>
      </c>
      <c r="G29" s="70">
        <f t="shared" si="12"/>
        <v>0.58574071438736308</v>
      </c>
      <c r="H29" s="70">
        <f t="shared" si="12"/>
        <v>0.5855756404949175</v>
      </c>
      <c r="I29" s="70">
        <f t="shared" si="12"/>
        <v>0.5827859934722166</v>
      </c>
      <c r="J29" s="70">
        <f t="shared" si="12"/>
        <v>0.58064286730194858</v>
      </c>
      <c r="K29" s="70">
        <f t="shared" si="12"/>
        <v>0.58213773314203721</v>
      </c>
      <c r="L29" s="70">
        <f t="shared" si="12"/>
        <v>0.58187822579050408</v>
      </c>
      <c r="M29" s="70">
        <f t="shared" si="12"/>
        <v>0.58203744842907013</v>
      </c>
      <c r="N29" s="70">
        <f t="shared" si="12"/>
        <v>0.58055175422938854</v>
      </c>
      <c r="O29" s="70">
        <f t="shared" si="12"/>
        <v>0.58026666666666649</v>
      </c>
      <c r="P29" s="70">
        <f t="shared" si="12"/>
        <v>0.58001810097194351</v>
      </c>
      <c r="Q29" s="70">
        <f t="shared" si="12"/>
        <v>0.57986996797146195</v>
      </c>
      <c r="R29" s="70">
        <f t="shared" si="12"/>
        <v>0.58103817470279839</v>
      </c>
      <c r="S29" s="70">
        <f t="shared" si="12"/>
        <v>0.58102401228535527</v>
      </c>
      <c r="T29" s="70">
        <f t="shared" si="12"/>
        <v>0.58102322505992232</v>
      </c>
      <c r="U29" s="70">
        <f t="shared" si="12"/>
        <v>0.58103231879510508</v>
      </c>
      <c r="V29" s="70">
        <f t="shared" si="12"/>
        <v>0.58092425191682329</v>
      </c>
      <c r="W29" s="70">
        <f t="shared" si="12"/>
        <v>0.58083993976074788</v>
      </c>
      <c r="X29" s="70">
        <f t="shared" si="12"/>
        <v>0.58075489598156804</v>
      </c>
      <c r="Y29" s="70">
        <f t="shared" si="12"/>
        <v>0.58070822813491296</v>
      </c>
      <c r="Z29" s="70">
        <f t="shared" si="12"/>
        <v>0.58066394153350676</v>
      </c>
      <c r="AA29" s="70">
        <f t="shared" si="12"/>
        <v>0.58061380701285459</v>
      </c>
      <c r="AB29" s="70">
        <f t="shared" si="12"/>
        <v>0.58058055671454967</v>
      </c>
      <c r="AC29" s="70">
        <f t="shared" si="12"/>
        <v>0.58055532803669441</v>
      </c>
      <c r="AD29" s="70">
        <f t="shared" si="12"/>
        <v>0.58053101411978258</v>
      </c>
      <c r="AE29" s="70">
        <f t="shared" si="12"/>
        <v>0.5803787041007471</v>
      </c>
      <c r="AF29" s="67"/>
    </row>
    <row r="30" spans="2:32" ht="28.8" x14ac:dyDescent="0.3">
      <c r="B30" s="64"/>
      <c r="C30" s="65" t="s">
        <v>288</v>
      </c>
      <c r="D30" s="71" t="s">
        <v>289</v>
      </c>
      <c r="E30" s="71"/>
      <c r="F30" s="70">
        <f t="shared" ref="F30:AE30" si="13">F20+F21</f>
        <v>0</v>
      </c>
      <c r="G30" s="70">
        <f t="shared" si="13"/>
        <v>0</v>
      </c>
      <c r="H30" s="70">
        <f t="shared" si="13"/>
        <v>0</v>
      </c>
      <c r="I30" s="70">
        <f t="shared" si="13"/>
        <v>0</v>
      </c>
      <c r="J30" s="70">
        <f t="shared" si="13"/>
        <v>0</v>
      </c>
      <c r="K30" s="70">
        <f t="shared" si="13"/>
        <v>0</v>
      </c>
      <c r="L30" s="70">
        <f t="shared" si="13"/>
        <v>0</v>
      </c>
      <c r="M30" s="70">
        <f t="shared" si="13"/>
        <v>0</v>
      </c>
      <c r="N30" s="70">
        <f t="shared" si="13"/>
        <v>0</v>
      </c>
      <c r="O30" s="70">
        <f t="shared" si="13"/>
        <v>0</v>
      </c>
      <c r="P30" s="70">
        <f t="shared" si="13"/>
        <v>0</v>
      </c>
      <c r="Q30" s="70">
        <f t="shared" si="13"/>
        <v>0</v>
      </c>
      <c r="R30" s="70">
        <f t="shared" si="13"/>
        <v>0</v>
      </c>
      <c r="S30" s="70">
        <f t="shared" si="13"/>
        <v>0</v>
      </c>
      <c r="T30" s="70">
        <f t="shared" si="13"/>
        <v>0</v>
      </c>
      <c r="U30" s="70">
        <f t="shared" si="13"/>
        <v>0</v>
      </c>
      <c r="V30" s="70">
        <f t="shared" si="13"/>
        <v>0</v>
      </c>
      <c r="W30" s="70">
        <f t="shared" si="13"/>
        <v>0</v>
      </c>
      <c r="X30" s="70">
        <f t="shared" si="13"/>
        <v>0</v>
      </c>
      <c r="Y30" s="70">
        <f t="shared" si="13"/>
        <v>0</v>
      </c>
      <c r="Z30" s="70">
        <f t="shared" si="13"/>
        <v>0</v>
      </c>
      <c r="AA30" s="70">
        <f t="shared" si="13"/>
        <v>0</v>
      </c>
      <c r="AB30" s="70">
        <f t="shared" si="13"/>
        <v>0</v>
      </c>
      <c r="AC30" s="70">
        <f t="shared" si="13"/>
        <v>0</v>
      </c>
      <c r="AD30" s="70">
        <f t="shared" si="13"/>
        <v>0</v>
      </c>
      <c r="AE30" s="70">
        <f t="shared" si="13"/>
        <v>0</v>
      </c>
      <c r="AF30" s="67"/>
    </row>
    <row r="31" spans="2:32" x14ac:dyDescent="0.3">
      <c r="B31" s="64"/>
      <c r="C31" s="65"/>
      <c r="D31" s="77"/>
      <c r="E31" s="77"/>
      <c r="F31" s="78">
        <f t="shared" ref="F31:J31" si="14">SUM(F27:F30)</f>
        <v>1</v>
      </c>
      <c r="G31" s="78">
        <f t="shared" si="14"/>
        <v>1</v>
      </c>
      <c r="H31" s="78">
        <f t="shared" si="14"/>
        <v>1</v>
      </c>
      <c r="I31" s="78">
        <f t="shared" si="14"/>
        <v>1</v>
      </c>
      <c r="J31" s="78">
        <f t="shared" si="14"/>
        <v>1.0000000000000002</v>
      </c>
      <c r="K31" s="78">
        <f t="shared" ref="K31:M31" si="15">SUM(K27:K30)</f>
        <v>1</v>
      </c>
      <c r="L31" s="78">
        <f t="shared" si="15"/>
        <v>1</v>
      </c>
      <c r="M31" s="78">
        <f t="shared" si="15"/>
        <v>1</v>
      </c>
      <c r="N31" s="78">
        <f>SUM(N27:N30)</f>
        <v>0.99999999999999989</v>
      </c>
      <c r="O31" s="78">
        <f t="shared" ref="O31:AE31" si="16">SUM(O27:O30)</f>
        <v>0.99999999999999989</v>
      </c>
      <c r="P31" s="78">
        <f t="shared" si="16"/>
        <v>1</v>
      </c>
      <c r="Q31" s="78">
        <f t="shared" si="16"/>
        <v>1</v>
      </c>
      <c r="R31" s="78">
        <f t="shared" si="16"/>
        <v>1</v>
      </c>
      <c r="S31" s="78">
        <f t="shared" si="16"/>
        <v>1</v>
      </c>
      <c r="T31" s="78">
        <f t="shared" si="16"/>
        <v>0.99999999999999989</v>
      </c>
      <c r="U31" s="78">
        <f t="shared" si="16"/>
        <v>1</v>
      </c>
      <c r="V31" s="78">
        <f t="shared" si="16"/>
        <v>1</v>
      </c>
      <c r="W31" s="78">
        <f t="shared" si="16"/>
        <v>1</v>
      </c>
      <c r="X31" s="78">
        <f t="shared" si="16"/>
        <v>1</v>
      </c>
      <c r="Y31" s="78">
        <f t="shared" si="16"/>
        <v>1</v>
      </c>
      <c r="Z31" s="78">
        <f t="shared" si="16"/>
        <v>1</v>
      </c>
      <c r="AA31" s="78">
        <f t="shared" si="16"/>
        <v>1</v>
      </c>
      <c r="AB31" s="78">
        <f t="shared" si="16"/>
        <v>1</v>
      </c>
      <c r="AC31" s="78">
        <f t="shared" si="16"/>
        <v>1</v>
      </c>
      <c r="AD31" s="78">
        <f t="shared" si="16"/>
        <v>1</v>
      </c>
      <c r="AE31" s="78">
        <f t="shared" si="16"/>
        <v>1.0000000000000002</v>
      </c>
      <c r="AF31" s="67"/>
    </row>
    <row r="32" spans="2:32" x14ac:dyDescent="0.3">
      <c r="B32" s="64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67"/>
    </row>
    <row r="33" spans="2:32" x14ac:dyDescent="0.3">
      <c r="B33" s="64"/>
      <c r="C33" s="66" t="s">
        <v>290</v>
      </c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79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67"/>
    </row>
    <row r="34" spans="2:32" ht="28.8" x14ac:dyDescent="0.3">
      <c r="B34" s="64"/>
      <c r="C34" s="65" t="s">
        <v>291</v>
      </c>
      <c r="D34" s="71" t="s">
        <v>292</v>
      </c>
      <c r="E34" s="71"/>
      <c r="F34" s="70">
        <f t="shared" ref="F34:M37" si="17">F27</f>
        <v>0.41274095200629418</v>
      </c>
      <c r="G34" s="70">
        <f t="shared" si="17"/>
        <v>0.41274133105640137</v>
      </c>
      <c r="H34" s="70">
        <f t="shared" si="17"/>
        <v>0.41274550388666575</v>
      </c>
      <c r="I34" s="70">
        <f t="shared" si="17"/>
        <v>0.41274126606761491</v>
      </c>
      <c r="J34" s="70">
        <f t="shared" si="17"/>
        <v>0.41274356421561664</v>
      </c>
      <c r="K34" s="70">
        <f t="shared" si="17"/>
        <v>0.41178358378011037</v>
      </c>
      <c r="L34" s="70">
        <f t="shared" si="17"/>
        <v>0.41274298483260491</v>
      </c>
      <c r="M34" s="70">
        <f t="shared" si="17"/>
        <v>0.41191288479847676</v>
      </c>
      <c r="N34" s="70">
        <f>N27</f>
        <v>0.41274468971261963</v>
      </c>
      <c r="O34" s="70">
        <f t="shared" ref="O34:AE37" si="18">O27</f>
        <v>0.41276049382716057</v>
      </c>
      <c r="P34" s="70">
        <f t="shared" si="18"/>
        <v>0.41274151025065908</v>
      </c>
      <c r="Q34" s="70">
        <f t="shared" si="18"/>
        <v>0.41274620739916767</v>
      </c>
      <c r="R34" s="70">
        <f t="shared" si="18"/>
        <v>0.41274089935760178</v>
      </c>
      <c r="S34" s="70">
        <f t="shared" si="18"/>
        <v>0.4127635069105125</v>
      </c>
      <c r="T34" s="70">
        <f t="shared" si="18"/>
        <v>0.41276138523844935</v>
      </c>
      <c r="U34" s="70">
        <f t="shared" si="18"/>
        <v>0.41275494195167878</v>
      </c>
      <c r="V34" s="70">
        <f t="shared" si="18"/>
        <v>0.41269130940660526</v>
      </c>
      <c r="W34" s="70">
        <f t="shared" si="18"/>
        <v>0.41263887704941316</v>
      </c>
      <c r="X34" s="70">
        <f t="shared" si="18"/>
        <v>0.41257708206274996</v>
      </c>
      <c r="Y34" s="70">
        <f t="shared" si="18"/>
        <v>0.4125072829675665</v>
      </c>
      <c r="Z34" s="70">
        <f t="shared" si="18"/>
        <v>0.41243651678434284</v>
      </c>
      <c r="AA34" s="70">
        <f t="shared" si="18"/>
        <v>0.41236361869122529</v>
      </c>
      <c r="AB34" s="70">
        <f t="shared" si="18"/>
        <v>0.41229063598974797</v>
      </c>
      <c r="AC34" s="70">
        <f t="shared" si="18"/>
        <v>0.41220177152685933</v>
      </c>
      <c r="AD34" s="70">
        <f t="shared" si="18"/>
        <v>0.41211612918050122</v>
      </c>
      <c r="AE34" s="70">
        <f t="shared" si="18"/>
        <v>0.41186892053533147</v>
      </c>
      <c r="AF34" s="67"/>
    </row>
    <row r="35" spans="2:32" ht="28.8" x14ac:dyDescent="0.3">
      <c r="B35" s="64"/>
      <c r="C35" s="65" t="s">
        <v>293</v>
      </c>
      <c r="D35" s="71" t="s">
        <v>294</v>
      </c>
      <c r="E35" s="71"/>
      <c r="F35" s="70">
        <f t="shared" si="17"/>
        <v>1.3522816679779701E-3</v>
      </c>
      <c r="G35" s="70">
        <f t="shared" si="17"/>
        <v>1.5179545562354728E-3</v>
      </c>
      <c r="H35" s="70">
        <f t="shared" si="17"/>
        <v>1.6788556184168164E-3</v>
      </c>
      <c r="I35" s="70">
        <f t="shared" si="17"/>
        <v>4.4727404601684331E-3</v>
      </c>
      <c r="J35" s="70">
        <f t="shared" si="17"/>
        <v>6.6135684824349299E-3</v>
      </c>
      <c r="K35" s="70">
        <f t="shared" si="17"/>
        <v>6.0786830778524498E-3</v>
      </c>
      <c r="L35" s="70">
        <f t="shared" si="17"/>
        <v>5.3787893768909804E-3</v>
      </c>
      <c r="M35" s="70">
        <f t="shared" si="17"/>
        <v>6.0496667724531886E-3</v>
      </c>
      <c r="N35" s="70">
        <f>N28</f>
        <v>6.7035560579917089E-3</v>
      </c>
      <c r="O35" s="70">
        <f t="shared" si="18"/>
        <v>6.9728395061728378E-3</v>
      </c>
      <c r="P35" s="70">
        <f t="shared" si="18"/>
        <v>7.2403887773973942E-3</v>
      </c>
      <c r="Q35" s="70">
        <f t="shared" si="18"/>
        <v>7.3838246293703612E-3</v>
      </c>
      <c r="R35" s="70">
        <f t="shared" si="18"/>
        <v>6.2209259395997933E-3</v>
      </c>
      <c r="S35" s="70">
        <f t="shared" si="18"/>
        <v>6.212480804132346E-3</v>
      </c>
      <c r="T35" s="70">
        <f t="shared" si="18"/>
        <v>6.2153897016282347E-3</v>
      </c>
      <c r="U35" s="70">
        <f t="shared" si="18"/>
        <v>6.2127392532161903E-3</v>
      </c>
      <c r="V35" s="70">
        <f t="shared" si="18"/>
        <v>6.3844386765715116E-3</v>
      </c>
      <c r="W35" s="70">
        <f t="shared" si="18"/>
        <v>6.5211831898389179E-3</v>
      </c>
      <c r="X35" s="70">
        <f t="shared" si="18"/>
        <v>6.6680219556820904E-3</v>
      </c>
      <c r="Y35" s="70">
        <f t="shared" si="18"/>
        <v>6.7844888975206073E-3</v>
      </c>
      <c r="Z35" s="70">
        <f t="shared" si="18"/>
        <v>6.8995416821503305E-3</v>
      </c>
      <c r="AA35" s="70">
        <f t="shared" si="18"/>
        <v>7.0225742959201774E-3</v>
      </c>
      <c r="AB35" s="70">
        <f t="shared" si="18"/>
        <v>7.1288072957024278E-3</v>
      </c>
      <c r="AC35" s="70">
        <f t="shared" si="18"/>
        <v>7.2429004364462767E-3</v>
      </c>
      <c r="AD35" s="70">
        <f t="shared" si="18"/>
        <v>7.352856699716229E-3</v>
      </c>
      <c r="AE35" s="70">
        <f t="shared" si="18"/>
        <v>7.7523753639215827E-3</v>
      </c>
      <c r="AF35" s="67"/>
    </row>
    <row r="36" spans="2:32" ht="28.8" x14ac:dyDescent="0.3">
      <c r="B36" s="64"/>
      <c r="C36" s="65" t="s">
        <v>295</v>
      </c>
      <c r="D36" s="71" t="s">
        <v>296</v>
      </c>
      <c r="E36" s="71"/>
      <c r="F36" s="70">
        <f t="shared" si="17"/>
        <v>0.5859067663257278</v>
      </c>
      <c r="G36" s="70">
        <f t="shared" si="17"/>
        <v>0.58574071438736308</v>
      </c>
      <c r="H36" s="70">
        <f t="shared" si="17"/>
        <v>0.5855756404949175</v>
      </c>
      <c r="I36" s="70">
        <f t="shared" si="17"/>
        <v>0.5827859934722166</v>
      </c>
      <c r="J36" s="70">
        <f t="shared" si="17"/>
        <v>0.58064286730194858</v>
      </c>
      <c r="K36" s="70">
        <f t="shared" si="17"/>
        <v>0.58213773314203721</v>
      </c>
      <c r="L36" s="70">
        <f t="shared" si="17"/>
        <v>0.58187822579050408</v>
      </c>
      <c r="M36" s="70">
        <f t="shared" si="17"/>
        <v>0.58203744842907013</v>
      </c>
      <c r="N36" s="70">
        <f>N29</f>
        <v>0.58055175422938854</v>
      </c>
      <c r="O36" s="70">
        <f t="shared" si="18"/>
        <v>0.58026666666666649</v>
      </c>
      <c r="P36" s="70">
        <f t="shared" si="18"/>
        <v>0.58001810097194351</v>
      </c>
      <c r="Q36" s="70">
        <f t="shared" si="18"/>
        <v>0.57986996797146195</v>
      </c>
      <c r="R36" s="70">
        <f t="shared" si="18"/>
        <v>0.58103817470279839</v>
      </c>
      <c r="S36" s="70">
        <f t="shared" si="18"/>
        <v>0.58102401228535527</v>
      </c>
      <c r="T36" s="70">
        <f t="shared" si="18"/>
        <v>0.58102322505992232</v>
      </c>
      <c r="U36" s="70">
        <f t="shared" si="18"/>
        <v>0.58103231879510508</v>
      </c>
      <c r="V36" s="70">
        <f t="shared" si="18"/>
        <v>0.58092425191682329</v>
      </c>
      <c r="W36" s="70">
        <f t="shared" si="18"/>
        <v>0.58083993976074788</v>
      </c>
      <c r="X36" s="70">
        <f t="shared" si="18"/>
        <v>0.58075489598156804</v>
      </c>
      <c r="Y36" s="70">
        <f t="shared" si="18"/>
        <v>0.58070822813491296</v>
      </c>
      <c r="Z36" s="70">
        <f t="shared" si="18"/>
        <v>0.58066394153350676</v>
      </c>
      <c r="AA36" s="70">
        <f t="shared" si="18"/>
        <v>0.58061380701285459</v>
      </c>
      <c r="AB36" s="70">
        <f t="shared" si="18"/>
        <v>0.58058055671454967</v>
      </c>
      <c r="AC36" s="70">
        <f t="shared" si="18"/>
        <v>0.58055532803669441</v>
      </c>
      <c r="AD36" s="70">
        <f t="shared" si="18"/>
        <v>0.58053101411978258</v>
      </c>
      <c r="AE36" s="70">
        <f t="shared" si="18"/>
        <v>0.5803787041007471</v>
      </c>
      <c r="AF36" s="67"/>
    </row>
    <row r="37" spans="2:32" x14ac:dyDescent="0.3">
      <c r="B37" s="64"/>
      <c r="C37" s="65" t="s">
        <v>297</v>
      </c>
      <c r="D37" s="71" t="s">
        <v>298</v>
      </c>
      <c r="E37" s="71"/>
      <c r="F37" s="70">
        <f t="shared" si="17"/>
        <v>0</v>
      </c>
      <c r="G37" s="70">
        <f t="shared" si="17"/>
        <v>0</v>
      </c>
      <c r="H37" s="70">
        <f t="shared" si="17"/>
        <v>0</v>
      </c>
      <c r="I37" s="70">
        <f t="shared" si="17"/>
        <v>0</v>
      </c>
      <c r="J37" s="70">
        <f t="shared" si="17"/>
        <v>0</v>
      </c>
      <c r="K37" s="70">
        <f t="shared" si="17"/>
        <v>0</v>
      </c>
      <c r="L37" s="70">
        <f t="shared" si="17"/>
        <v>0</v>
      </c>
      <c r="M37" s="70">
        <f t="shared" si="17"/>
        <v>0</v>
      </c>
      <c r="N37" s="70">
        <f>N30</f>
        <v>0</v>
      </c>
      <c r="O37" s="70">
        <f t="shared" si="18"/>
        <v>0</v>
      </c>
      <c r="P37" s="70">
        <f t="shared" si="18"/>
        <v>0</v>
      </c>
      <c r="Q37" s="70">
        <f t="shared" si="18"/>
        <v>0</v>
      </c>
      <c r="R37" s="70">
        <f t="shared" si="18"/>
        <v>0</v>
      </c>
      <c r="S37" s="70">
        <f t="shared" si="18"/>
        <v>0</v>
      </c>
      <c r="T37" s="70">
        <f t="shared" si="18"/>
        <v>0</v>
      </c>
      <c r="U37" s="70">
        <f t="shared" si="18"/>
        <v>0</v>
      </c>
      <c r="V37" s="70">
        <f t="shared" si="18"/>
        <v>0</v>
      </c>
      <c r="W37" s="70">
        <f t="shared" si="18"/>
        <v>0</v>
      </c>
      <c r="X37" s="70">
        <f t="shared" si="18"/>
        <v>0</v>
      </c>
      <c r="Y37" s="70">
        <f t="shared" si="18"/>
        <v>0</v>
      </c>
      <c r="Z37" s="70">
        <f t="shared" si="18"/>
        <v>0</v>
      </c>
      <c r="AA37" s="70">
        <f t="shared" si="18"/>
        <v>0</v>
      </c>
      <c r="AB37" s="70">
        <f t="shared" si="18"/>
        <v>0</v>
      </c>
      <c r="AC37" s="70">
        <f t="shared" si="18"/>
        <v>0</v>
      </c>
      <c r="AD37" s="70">
        <f t="shared" si="18"/>
        <v>0</v>
      </c>
      <c r="AE37" s="70">
        <f t="shared" si="18"/>
        <v>0</v>
      </c>
      <c r="AF37" s="67"/>
    </row>
    <row r="38" spans="2:32" x14ac:dyDescent="0.3">
      <c r="B38" s="64"/>
      <c r="C38" s="65"/>
      <c r="D38" s="65"/>
      <c r="E38" s="65"/>
      <c r="F38" s="73">
        <f t="shared" ref="F38:M38" si="19">SUM(F34:F37)</f>
        <v>1</v>
      </c>
      <c r="G38" s="73">
        <f t="shared" si="19"/>
        <v>1</v>
      </c>
      <c r="H38" s="73">
        <f t="shared" si="19"/>
        <v>1</v>
      </c>
      <c r="I38" s="73">
        <f t="shared" si="19"/>
        <v>1</v>
      </c>
      <c r="J38" s="73">
        <f t="shared" si="19"/>
        <v>1.0000000000000002</v>
      </c>
      <c r="K38" s="73">
        <f t="shared" si="19"/>
        <v>1</v>
      </c>
      <c r="L38" s="73">
        <f t="shared" si="19"/>
        <v>1</v>
      </c>
      <c r="M38" s="73">
        <f t="shared" si="19"/>
        <v>1</v>
      </c>
      <c r="N38" s="73">
        <f>SUM(N34:N37)</f>
        <v>0.99999999999999989</v>
      </c>
      <c r="O38" s="73">
        <f t="shared" ref="O38:AE38" si="20">SUM(O34:O37)</f>
        <v>0.99999999999999989</v>
      </c>
      <c r="P38" s="73">
        <f t="shared" si="20"/>
        <v>1</v>
      </c>
      <c r="Q38" s="73">
        <f t="shared" si="20"/>
        <v>1</v>
      </c>
      <c r="R38" s="73">
        <f t="shared" si="20"/>
        <v>1</v>
      </c>
      <c r="S38" s="73">
        <f t="shared" si="20"/>
        <v>1</v>
      </c>
      <c r="T38" s="73">
        <f t="shared" si="20"/>
        <v>0.99999999999999989</v>
      </c>
      <c r="U38" s="73">
        <f t="shared" si="20"/>
        <v>1</v>
      </c>
      <c r="V38" s="73">
        <f t="shared" si="20"/>
        <v>1</v>
      </c>
      <c r="W38" s="73">
        <f t="shared" si="20"/>
        <v>1</v>
      </c>
      <c r="X38" s="73">
        <f t="shared" si="20"/>
        <v>1</v>
      </c>
      <c r="Y38" s="73">
        <f t="shared" si="20"/>
        <v>1</v>
      </c>
      <c r="Z38" s="73">
        <f t="shared" si="20"/>
        <v>1</v>
      </c>
      <c r="AA38" s="73">
        <f t="shared" si="20"/>
        <v>1</v>
      </c>
      <c r="AB38" s="73">
        <f t="shared" si="20"/>
        <v>1</v>
      </c>
      <c r="AC38" s="73">
        <f t="shared" si="20"/>
        <v>1</v>
      </c>
      <c r="AD38" s="73">
        <f t="shared" si="20"/>
        <v>1</v>
      </c>
      <c r="AE38" s="73">
        <f t="shared" si="20"/>
        <v>1.0000000000000002</v>
      </c>
      <c r="AF38" s="67"/>
    </row>
    <row r="39" spans="2:32" x14ac:dyDescent="0.3">
      <c r="B39" s="64"/>
      <c r="C39" s="65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67"/>
    </row>
    <row r="40" spans="2:32" x14ac:dyDescent="0.3">
      <c r="B40" s="64"/>
      <c r="C40" s="66" t="s">
        <v>299</v>
      </c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67"/>
    </row>
    <row r="41" spans="2:32" ht="28.8" x14ac:dyDescent="0.3">
      <c r="B41" s="64"/>
      <c r="C41" s="65" t="s">
        <v>300</v>
      </c>
      <c r="D41" s="71" t="s">
        <v>301</v>
      </c>
      <c r="E41" s="71"/>
      <c r="F41" s="70">
        <f t="shared" ref="F41:AE42" si="21">F34</f>
        <v>0.41274095200629418</v>
      </c>
      <c r="G41" s="70">
        <f t="shared" si="21"/>
        <v>0.41274133105640137</v>
      </c>
      <c r="H41" s="70">
        <f t="shared" si="21"/>
        <v>0.41274550388666575</v>
      </c>
      <c r="I41" s="70">
        <f t="shared" si="21"/>
        <v>0.41274126606761491</v>
      </c>
      <c r="J41" s="70">
        <f t="shared" si="21"/>
        <v>0.41274356421561664</v>
      </c>
      <c r="K41" s="70">
        <f t="shared" si="21"/>
        <v>0.41178358378011037</v>
      </c>
      <c r="L41" s="70">
        <f t="shared" si="21"/>
        <v>0.41274298483260491</v>
      </c>
      <c r="M41" s="70">
        <f t="shared" si="21"/>
        <v>0.41191288479847676</v>
      </c>
      <c r="N41" s="70">
        <f t="shared" si="21"/>
        <v>0.41274468971261963</v>
      </c>
      <c r="O41" s="70">
        <f t="shared" si="21"/>
        <v>0.41276049382716057</v>
      </c>
      <c r="P41" s="70">
        <f t="shared" si="21"/>
        <v>0.41274151025065908</v>
      </c>
      <c r="Q41" s="70">
        <f t="shared" si="21"/>
        <v>0.41274620739916767</v>
      </c>
      <c r="R41" s="70">
        <f t="shared" si="21"/>
        <v>0.41274089935760178</v>
      </c>
      <c r="S41" s="70">
        <f t="shared" si="21"/>
        <v>0.4127635069105125</v>
      </c>
      <c r="T41" s="70">
        <f t="shared" si="21"/>
        <v>0.41276138523844935</v>
      </c>
      <c r="U41" s="70">
        <f t="shared" si="21"/>
        <v>0.41275494195167878</v>
      </c>
      <c r="V41" s="70">
        <f t="shared" si="21"/>
        <v>0.41269130940660526</v>
      </c>
      <c r="W41" s="70">
        <f t="shared" si="21"/>
        <v>0.41263887704941316</v>
      </c>
      <c r="X41" s="70">
        <f t="shared" si="21"/>
        <v>0.41257708206274996</v>
      </c>
      <c r="Y41" s="70">
        <f t="shared" si="21"/>
        <v>0.4125072829675665</v>
      </c>
      <c r="Z41" s="70">
        <f t="shared" si="21"/>
        <v>0.41243651678434284</v>
      </c>
      <c r="AA41" s="70">
        <f t="shared" si="21"/>
        <v>0.41236361869122529</v>
      </c>
      <c r="AB41" s="70">
        <f t="shared" si="21"/>
        <v>0.41229063598974797</v>
      </c>
      <c r="AC41" s="70">
        <f t="shared" si="21"/>
        <v>0.41220177152685933</v>
      </c>
      <c r="AD41" s="70">
        <f t="shared" si="21"/>
        <v>0.41211612918050122</v>
      </c>
      <c r="AE41" s="70">
        <f t="shared" si="21"/>
        <v>0.41186892053533147</v>
      </c>
      <c r="AF41" s="67"/>
    </row>
    <row r="42" spans="2:32" ht="28.8" x14ac:dyDescent="0.3">
      <c r="B42" s="64"/>
      <c r="C42" s="65" t="s">
        <v>302</v>
      </c>
      <c r="D42" s="71" t="s">
        <v>303</v>
      </c>
      <c r="E42" s="71"/>
      <c r="F42" s="70">
        <f t="shared" si="21"/>
        <v>1.3522816679779701E-3</v>
      </c>
      <c r="G42" s="70">
        <f t="shared" si="21"/>
        <v>1.5179545562354728E-3</v>
      </c>
      <c r="H42" s="70">
        <f t="shared" si="21"/>
        <v>1.6788556184168164E-3</v>
      </c>
      <c r="I42" s="70">
        <f t="shared" si="21"/>
        <v>4.4727404601684331E-3</v>
      </c>
      <c r="J42" s="70">
        <f t="shared" si="21"/>
        <v>6.6135684824349299E-3</v>
      </c>
      <c r="K42" s="70">
        <f t="shared" si="21"/>
        <v>6.0786830778524498E-3</v>
      </c>
      <c r="L42" s="70">
        <f t="shared" si="21"/>
        <v>5.3787893768909804E-3</v>
      </c>
      <c r="M42" s="70">
        <f t="shared" si="21"/>
        <v>6.0496667724531886E-3</v>
      </c>
      <c r="N42" s="70">
        <f t="shared" si="21"/>
        <v>6.7035560579917089E-3</v>
      </c>
      <c r="O42" s="70">
        <f t="shared" si="21"/>
        <v>6.9728395061728378E-3</v>
      </c>
      <c r="P42" s="70">
        <f t="shared" si="21"/>
        <v>7.2403887773973942E-3</v>
      </c>
      <c r="Q42" s="70">
        <f t="shared" si="21"/>
        <v>7.3838246293703612E-3</v>
      </c>
      <c r="R42" s="70">
        <f t="shared" si="21"/>
        <v>6.2209259395997933E-3</v>
      </c>
      <c r="S42" s="70">
        <f t="shared" si="21"/>
        <v>6.212480804132346E-3</v>
      </c>
      <c r="T42" s="70">
        <f t="shared" si="21"/>
        <v>6.2153897016282347E-3</v>
      </c>
      <c r="U42" s="70">
        <f t="shared" si="21"/>
        <v>6.2127392532161903E-3</v>
      </c>
      <c r="V42" s="70">
        <f t="shared" si="21"/>
        <v>6.3844386765715116E-3</v>
      </c>
      <c r="W42" s="70">
        <f t="shared" si="21"/>
        <v>6.5211831898389179E-3</v>
      </c>
      <c r="X42" s="70">
        <f t="shared" si="21"/>
        <v>6.6680219556820904E-3</v>
      </c>
      <c r="Y42" s="70">
        <f t="shared" si="21"/>
        <v>6.7844888975206073E-3</v>
      </c>
      <c r="Z42" s="70">
        <f t="shared" si="21"/>
        <v>6.8995416821503305E-3</v>
      </c>
      <c r="AA42" s="70">
        <f t="shared" si="21"/>
        <v>7.0225742959201774E-3</v>
      </c>
      <c r="AB42" s="70">
        <f t="shared" si="21"/>
        <v>7.1288072957024278E-3</v>
      </c>
      <c r="AC42" s="70">
        <f t="shared" si="21"/>
        <v>7.2429004364462767E-3</v>
      </c>
      <c r="AD42" s="70">
        <f t="shared" si="21"/>
        <v>7.352856699716229E-3</v>
      </c>
      <c r="AE42" s="70">
        <f t="shared" si="21"/>
        <v>7.7523753639215827E-3</v>
      </c>
      <c r="AF42" s="67"/>
    </row>
    <row r="43" spans="2:32" x14ac:dyDescent="0.3">
      <c r="B43" s="64"/>
      <c r="C43" s="65" t="s">
        <v>304</v>
      </c>
      <c r="D43" s="71" t="s">
        <v>305</v>
      </c>
      <c r="E43" s="71"/>
      <c r="F43" s="70">
        <f t="shared" ref="F43:M43" si="22">F36+F37</f>
        <v>0.5859067663257278</v>
      </c>
      <c r="G43" s="70">
        <f t="shared" si="22"/>
        <v>0.58574071438736308</v>
      </c>
      <c r="H43" s="70">
        <f t="shared" si="22"/>
        <v>0.5855756404949175</v>
      </c>
      <c r="I43" s="70">
        <f t="shared" si="22"/>
        <v>0.5827859934722166</v>
      </c>
      <c r="J43" s="70">
        <f t="shared" si="22"/>
        <v>0.58064286730194858</v>
      </c>
      <c r="K43" s="70">
        <f t="shared" si="22"/>
        <v>0.58213773314203721</v>
      </c>
      <c r="L43" s="70">
        <f t="shared" si="22"/>
        <v>0.58187822579050408</v>
      </c>
      <c r="M43" s="70">
        <f t="shared" si="22"/>
        <v>0.58203744842907013</v>
      </c>
      <c r="N43" s="70">
        <f>N36+N37</f>
        <v>0.58055175422938854</v>
      </c>
      <c r="O43" s="70">
        <f t="shared" ref="O43:AE43" si="23">O36+O37</f>
        <v>0.58026666666666649</v>
      </c>
      <c r="P43" s="70">
        <f t="shared" si="23"/>
        <v>0.58001810097194351</v>
      </c>
      <c r="Q43" s="70">
        <f t="shared" si="23"/>
        <v>0.57986996797146195</v>
      </c>
      <c r="R43" s="70">
        <f t="shared" si="23"/>
        <v>0.58103817470279839</v>
      </c>
      <c r="S43" s="70">
        <f t="shared" si="23"/>
        <v>0.58102401228535527</v>
      </c>
      <c r="T43" s="70">
        <f t="shared" si="23"/>
        <v>0.58102322505992232</v>
      </c>
      <c r="U43" s="70">
        <f t="shared" si="23"/>
        <v>0.58103231879510508</v>
      </c>
      <c r="V43" s="70">
        <f t="shared" si="23"/>
        <v>0.58092425191682329</v>
      </c>
      <c r="W43" s="70">
        <f t="shared" si="23"/>
        <v>0.58083993976074788</v>
      </c>
      <c r="X43" s="70">
        <f t="shared" si="23"/>
        <v>0.58075489598156804</v>
      </c>
      <c r="Y43" s="70">
        <f t="shared" si="23"/>
        <v>0.58070822813491296</v>
      </c>
      <c r="Z43" s="70">
        <f t="shared" si="23"/>
        <v>0.58066394153350676</v>
      </c>
      <c r="AA43" s="70">
        <f t="shared" si="23"/>
        <v>0.58061380701285459</v>
      </c>
      <c r="AB43" s="70">
        <f t="shared" si="23"/>
        <v>0.58058055671454967</v>
      </c>
      <c r="AC43" s="70">
        <f t="shared" si="23"/>
        <v>0.58055532803669441</v>
      </c>
      <c r="AD43" s="70">
        <f t="shared" si="23"/>
        <v>0.58053101411978258</v>
      </c>
      <c r="AE43" s="70">
        <f t="shared" si="23"/>
        <v>0.5803787041007471</v>
      </c>
      <c r="AF43" s="67"/>
    </row>
    <row r="44" spans="2:32" x14ac:dyDescent="0.3">
      <c r="B44" s="64"/>
      <c r="C44" s="65"/>
      <c r="D44" s="65"/>
      <c r="E44" s="65"/>
      <c r="F44" s="73">
        <f t="shared" ref="F44:M44" si="24">SUM(F41:F43)</f>
        <v>1</v>
      </c>
      <c r="G44" s="73">
        <f t="shared" si="24"/>
        <v>1</v>
      </c>
      <c r="H44" s="73">
        <f t="shared" si="24"/>
        <v>1</v>
      </c>
      <c r="I44" s="73">
        <f t="shared" si="24"/>
        <v>1</v>
      </c>
      <c r="J44" s="73">
        <f t="shared" si="24"/>
        <v>1.0000000000000002</v>
      </c>
      <c r="K44" s="73">
        <f t="shared" si="24"/>
        <v>1</v>
      </c>
      <c r="L44" s="73">
        <f t="shared" si="24"/>
        <v>1</v>
      </c>
      <c r="M44" s="73">
        <f t="shared" si="24"/>
        <v>1</v>
      </c>
      <c r="N44" s="73">
        <f>SUM(N41:N43)</f>
        <v>0.99999999999999989</v>
      </c>
      <c r="O44" s="73">
        <f t="shared" ref="O44:AE44" si="25">SUM(O41:O43)</f>
        <v>0.99999999999999989</v>
      </c>
      <c r="P44" s="73">
        <f t="shared" si="25"/>
        <v>1</v>
      </c>
      <c r="Q44" s="73">
        <f t="shared" si="25"/>
        <v>1</v>
      </c>
      <c r="R44" s="73">
        <f t="shared" si="25"/>
        <v>1</v>
      </c>
      <c r="S44" s="73">
        <f t="shared" si="25"/>
        <v>1</v>
      </c>
      <c r="T44" s="73">
        <f t="shared" si="25"/>
        <v>0.99999999999999989</v>
      </c>
      <c r="U44" s="73">
        <f t="shared" si="25"/>
        <v>1</v>
      </c>
      <c r="V44" s="73">
        <f t="shared" si="25"/>
        <v>1</v>
      </c>
      <c r="W44" s="73">
        <f t="shared" si="25"/>
        <v>1</v>
      </c>
      <c r="X44" s="73">
        <f t="shared" si="25"/>
        <v>1</v>
      </c>
      <c r="Y44" s="73">
        <f t="shared" si="25"/>
        <v>1</v>
      </c>
      <c r="Z44" s="73">
        <f t="shared" si="25"/>
        <v>1</v>
      </c>
      <c r="AA44" s="73">
        <f t="shared" si="25"/>
        <v>1</v>
      </c>
      <c r="AB44" s="73">
        <f t="shared" si="25"/>
        <v>1</v>
      </c>
      <c r="AC44" s="73">
        <f t="shared" si="25"/>
        <v>1</v>
      </c>
      <c r="AD44" s="73">
        <f t="shared" si="25"/>
        <v>1</v>
      </c>
      <c r="AE44" s="73">
        <f t="shared" si="25"/>
        <v>1.0000000000000002</v>
      </c>
      <c r="AF44" s="67"/>
    </row>
    <row r="45" spans="2:32" x14ac:dyDescent="0.3">
      <c r="B45" s="64"/>
      <c r="C45" s="65"/>
      <c r="D45" s="65"/>
      <c r="E45" s="65"/>
      <c r="F45" s="65"/>
      <c r="G45" s="65"/>
      <c r="H45" s="65"/>
      <c r="I45" s="65"/>
      <c r="J45" s="65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67"/>
    </row>
    <row r="46" spans="2:32" ht="15" thickBot="1" x14ac:dyDescent="0.35">
      <c r="B46" s="80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2"/>
    </row>
    <row r="49" spans="2:32" ht="15" thickBot="1" x14ac:dyDescent="0.35"/>
    <row r="50" spans="2:32" x14ac:dyDescent="0.3">
      <c r="B50" s="61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3"/>
    </row>
    <row r="51" spans="2:32" x14ac:dyDescent="0.3">
      <c r="B51" s="64"/>
      <c r="C51" s="65"/>
      <c r="D51" s="66" t="s">
        <v>258</v>
      </c>
      <c r="E51" s="66"/>
      <c r="F51" s="66"/>
      <c r="G51" s="66"/>
      <c r="H51" s="66"/>
      <c r="I51" s="66"/>
      <c r="J51" s="66"/>
      <c r="K51" s="66"/>
      <c r="L51" s="66"/>
      <c r="M51" s="66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7"/>
    </row>
    <row r="52" spans="2:32" x14ac:dyDescent="0.3">
      <c r="B52" s="64"/>
      <c r="C52" s="65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7"/>
    </row>
    <row r="53" spans="2:32" x14ac:dyDescent="0.3">
      <c r="B53" s="64"/>
      <c r="C53" s="65"/>
      <c r="D53" s="68" t="s">
        <v>318</v>
      </c>
      <c r="E53" s="68"/>
      <c r="F53" s="68"/>
      <c r="G53" s="68"/>
      <c r="H53" s="68"/>
      <c r="I53" s="68"/>
      <c r="J53" s="68"/>
      <c r="K53" s="68"/>
      <c r="L53" s="68"/>
      <c r="M53" s="68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7"/>
    </row>
    <row r="54" spans="2:32" x14ac:dyDescent="0.3">
      <c r="B54" s="64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7"/>
    </row>
    <row r="55" spans="2:32" x14ac:dyDescent="0.3">
      <c r="B55" s="64"/>
      <c r="C55" s="66" t="s">
        <v>260</v>
      </c>
      <c r="D55" s="66" t="s">
        <v>261</v>
      </c>
      <c r="E55" s="66"/>
      <c r="F55" s="66"/>
      <c r="G55" s="66"/>
      <c r="H55" s="66"/>
      <c r="I55" s="66"/>
      <c r="J55" s="66"/>
      <c r="K55" s="66"/>
      <c r="L55" s="66"/>
      <c r="M55" s="66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7"/>
    </row>
    <row r="56" spans="2:32" x14ac:dyDescent="0.3">
      <c r="B56" s="64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7"/>
    </row>
    <row r="57" spans="2:32" x14ac:dyDescent="0.3">
      <c r="B57" s="64"/>
      <c r="C57" s="66" t="s">
        <v>262</v>
      </c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7"/>
    </row>
    <row r="58" spans="2:32" x14ac:dyDescent="0.3">
      <c r="B58" s="64"/>
      <c r="C58" s="111" t="s">
        <v>263</v>
      </c>
      <c r="D58" s="109" t="s">
        <v>264</v>
      </c>
      <c r="E58" s="69"/>
      <c r="F58" s="161">
        <f>F67-F59-F60-F61-F62-F63-F64-F65-F66</f>
        <v>1.6786999999999996</v>
      </c>
      <c r="G58" s="161">
        <f t="shared" ref="G58:AE58" si="26">G67-G59-G60-G61-G62-G63-G64-G65-G66</f>
        <v>1.7401999999999993</v>
      </c>
      <c r="H58" s="161">
        <f t="shared" si="26"/>
        <v>1.7946999999999997</v>
      </c>
      <c r="I58" s="161">
        <f t="shared" si="26"/>
        <v>2.0486</v>
      </c>
      <c r="J58" s="161">
        <f t="shared" si="26"/>
        <v>2.3216000000000006</v>
      </c>
      <c r="K58" s="161">
        <f t="shared" si="26"/>
        <v>2.1813000000000007</v>
      </c>
      <c r="L58" s="161">
        <f t="shared" si="26"/>
        <v>2.0871999999999997</v>
      </c>
      <c r="M58" s="161">
        <f t="shared" si="26"/>
        <v>2.0767000000000007</v>
      </c>
      <c r="N58" s="161">
        <f t="shared" si="26"/>
        <v>2.0810999999999997</v>
      </c>
      <c r="O58" s="161">
        <f t="shared" si="26"/>
        <v>2.0896000000000008</v>
      </c>
      <c r="P58" s="161">
        <f t="shared" si="26"/>
        <v>2.0977999999999999</v>
      </c>
      <c r="Q58" s="161">
        <f t="shared" si="26"/>
        <v>2.1521000000000003</v>
      </c>
      <c r="R58" s="161">
        <f t="shared" si="26"/>
        <v>2.2359000000000004</v>
      </c>
      <c r="S58" s="161">
        <f t="shared" si="26"/>
        <v>2.3653000000000008</v>
      </c>
      <c r="T58" s="161">
        <f t="shared" si="26"/>
        <v>2.496999999999999</v>
      </c>
      <c r="U58" s="161">
        <f t="shared" si="26"/>
        <v>2.6309000000000009</v>
      </c>
      <c r="V58" s="161">
        <f t="shared" si="26"/>
        <v>2.7666000000000004</v>
      </c>
      <c r="W58" s="161">
        <f t="shared" si="26"/>
        <v>2.9043999999999994</v>
      </c>
      <c r="X58" s="161">
        <f t="shared" si="26"/>
        <v>3.0442000000000009</v>
      </c>
      <c r="Y58" s="161">
        <f t="shared" si="26"/>
        <v>3.1859999999999995</v>
      </c>
      <c r="Z58" s="161">
        <f t="shared" si="26"/>
        <v>3.3296000000000001</v>
      </c>
      <c r="AA58" s="161">
        <f t="shared" si="26"/>
        <v>3.3939999999999984</v>
      </c>
      <c r="AB58" s="161">
        <f t="shared" si="26"/>
        <v>3.4585000000000012</v>
      </c>
      <c r="AC58" s="161">
        <f t="shared" si="26"/>
        <v>3.5227999999999975</v>
      </c>
      <c r="AD58" s="161">
        <f t="shared" si="26"/>
        <v>3.5871000000000008</v>
      </c>
      <c r="AE58" s="161">
        <f t="shared" si="26"/>
        <v>3.6499000000000006</v>
      </c>
      <c r="AF58" s="67"/>
    </row>
    <row r="59" spans="2:32" x14ac:dyDescent="0.3">
      <c r="B59" s="64"/>
      <c r="C59" s="65" t="s">
        <v>265</v>
      </c>
      <c r="D59" s="69" t="s">
        <v>266</v>
      </c>
      <c r="E59" s="69"/>
      <c r="F59" s="163">
        <v>0</v>
      </c>
      <c r="G59" s="163">
        <v>0</v>
      </c>
      <c r="H59" s="163">
        <v>0</v>
      </c>
      <c r="I59" s="163">
        <v>0</v>
      </c>
      <c r="J59" s="163">
        <v>0</v>
      </c>
      <c r="K59" s="163">
        <v>0</v>
      </c>
      <c r="L59" s="163">
        <v>0</v>
      </c>
      <c r="M59" s="163">
        <v>0</v>
      </c>
      <c r="N59" s="160">
        <v>0</v>
      </c>
      <c r="O59" s="160">
        <v>0</v>
      </c>
      <c r="P59" s="160">
        <v>0</v>
      </c>
      <c r="Q59" s="160">
        <v>0</v>
      </c>
      <c r="R59" s="160">
        <v>0</v>
      </c>
      <c r="S59" s="163">
        <v>0</v>
      </c>
      <c r="T59" s="163">
        <v>0</v>
      </c>
      <c r="U59" s="163">
        <v>0</v>
      </c>
      <c r="V59" s="163">
        <v>0</v>
      </c>
      <c r="W59" s="163">
        <v>0</v>
      </c>
      <c r="X59" s="163">
        <v>0</v>
      </c>
      <c r="Y59" s="163">
        <v>0</v>
      </c>
      <c r="Z59" s="163">
        <v>0</v>
      </c>
      <c r="AA59" s="160">
        <v>0</v>
      </c>
      <c r="AB59" s="160">
        <v>0</v>
      </c>
      <c r="AC59" s="160">
        <v>0</v>
      </c>
      <c r="AD59" s="160">
        <v>0</v>
      </c>
      <c r="AE59" s="160">
        <v>0</v>
      </c>
      <c r="AF59" s="67"/>
    </row>
    <row r="60" spans="2:32" x14ac:dyDescent="0.3">
      <c r="B60" s="64"/>
      <c r="C60" s="111" t="s">
        <v>267</v>
      </c>
      <c r="D60" s="109" t="s">
        <v>268</v>
      </c>
      <c r="E60" s="69"/>
      <c r="F60" s="159">
        <f>Ini_I_Compostaje!C78</f>
        <v>5.4999999999999997E-3</v>
      </c>
      <c r="G60" s="159">
        <f>Ini_I_Compostaje!D78</f>
        <v>6.4000000000000003E-3</v>
      </c>
      <c r="H60" s="159">
        <f>Ini_I_Compostaje!E78</f>
        <v>7.3000000000000001E-3</v>
      </c>
      <c r="I60" s="159">
        <f>Ini_I_Compostaje!F78</f>
        <v>2.2200000000000001E-2</v>
      </c>
      <c r="J60" s="159">
        <f>Ini_I_Compostaje!G78</f>
        <v>3.7199999999999997E-2</v>
      </c>
      <c r="K60" s="159">
        <f>Ini_I_Compostaje!H78</f>
        <v>3.2199999999999999E-2</v>
      </c>
      <c r="L60" s="159">
        <f>Ini_I_Compostaje!I78</f>
        <v>2.7199999999999998E-2</v>
      </c>
      <c r="M60" s="159">
        <f>Ini_I_Compostaje!J78</f>
        <v>3.0499999999999999E-2</v>
      </c>
      <c r="N60" s="159">
        <f>Ini_I_Compostaje!K78</f>
        <v>3.3799999999999997E-2</v>
      </c>
      <c r="O60" s="159">
        <f>Ini_I_Compostaje!L78</f>
        <v>3.5299999999999998E-2</v>
      </c>
      <c r="P60" s="159">
        <f>Ini_I_Compostaje!M78</f>
        <v>3.6799999999999999E-2</v>
      </c>
      <c r="Q60" s="159">
        <f>Ini_I_Compostaje!N78</f>
        <v>3.85E-2</v>
      </c>
      <c r="R60" s="159">
        <f>Ini_I_Compostaje!O78</f>
        <v>3.3700000000000001E-2</v>
      </c>
      <c r="S60" s="159">
        <f>Ini_I_Compostaje!P78</f>
        <v>3.56E-2</v>
      </c>
      <c r="T60" s="159">
        <f>Ini_I_Compostaje!Q78</f>
        <v>3.7600000000000001E-2</v>
      </c>
      <c r="U60" s="159">
        <f>Ini_I_Compostaje!R78</f>
        <v>3.9600000000000003E-2</v>
      </c>
      <c r="V60" s="159">
        <f>Ini_I_Compostaje!S78</f>
        <v>4.2800000000000102E-2</v>
      </c>
      <c r="W60" s="159">
        <f>Ini_I_Compostaje!T78</f>
        <v>4.5900000000000205E-2</v>
      </c>
      <c r="X60" s="159">
        <f>Ini_I_Compostaje!U78</f>
        <v>4.9200000000000306E-2</v>
      </c>
      <c r="Y60" s="159">
        <f>Ini_I_Compostaje!V78</f>
        <v>5.2400000000000405E-2</v>
      </c>
      <c r="Z60" s="159">
        <f>Ini_I_Compostaje!W78</f>
        <v>5.5699999999999618E-2</v>
      </c>
      <c r="AA60" s="159">
        <f>Ini_I_Compostaje!X78</f>
        <v>5.7800000000000608E-2</v>
      </c>
      <c r="AB60" s="159">
        <f>Ini_I_Compostaje!Y78</f>
        <v>5.9799999999999819E-2</v>
      </c>
      <c r="AC60" s="159">
        <f>Ini_I_Compostaje!Z78</f>
        <v>6.1900000000000809E-2</v>
      </c>
      <c r="AD60" s="159">
        <f>Ini_I_Compostaje!AA78</f>
        <v>6.4000000000000029E-2</v>
      </c>
      <c r="AE60" s="159">
        <f>Ini_I_Compostaje!AB78</f>
        <v>6.8700000000000289E-2</v>
      </c>
      <c r="AF60" s="67"/>
    </row>
    <row r="61" spans="2:32" x14ac:dyDescent="0.3">
      <c r="B61" s="64"/>
      <c r="C61" s="111" t="s">
        <v>269</v>
      </c>
      <c r="D61" s="109" t="s">
        <v>270</v>
      </c>
      <c r="E61" s="69"/>
      <c r="F61" s="161">
        <f>Ini_I_Compostaje!C47</f>
        <v>1.2472000000000001</v>
      </c>
      <c r="G61" s="161">
        <f>Ini_I_Compostaje!D47</f>
        <v>1.3540000000000001</v>
      </c>
      <c r="H61" s="161">
        <f>Ini_I_Compostaje!E47</f>
        <v>1.4481999999999999</v>
      </c>
      <c r="I61" s="161">
        <f>Ini_I_Compostaje!F47</f>
        <v>1.5746</v>
      </c>
      <c r="J61" s="161">
        <f>Ini_I_Compostaje!G47</f>
        <v>1.7108000000000001</v>
      </c>
      <c r="K61" s="161">
        <f>Ini_I_Compostaje!H47</f>
        <v>1.9966999999999999</v>
      </c>
      <c r="L61" s="161">
        <f>Ini_I_Compostaje!I47</f>
        <v>2.218</v>
      </c>
      <c r="M61" s="161">
        <f>Ini_I_Compostaje!J47</f>
        <v>2.3477000000000001</v>
      </c>
      <c r="N61" s="161">
        <f>Ini_I_Compostaje!K47</f>
        <v>2.4618000000000002</v>
      </c>
      <c r="O61" s="161">
        <f>Ini_I_Compostaje!L47</f>
        <v>2.4777999999999998</v>
      </c>
      <c r="P61" s="161">
        <f>Ini_I_Compostaje!M47</f>
        <v>2.4921000000000002</v>
      </c>
      <c r="Q61" s="161">
        <f>Ini_I_Compostaje!N47</f>
        <v>2.6398999999999999</v>
      </c>
      <c r="R61" s="161">
        <f>Ini_I_Compostaje!O47</f>
        <v>2.7492000000000001</v>
      </c>
      <c r="S61" s="161">
        <f>Ini_I_Compostaje!P47</f>
        <v>2.9081999999999999</v>
      </c>
      <c r="T61" s="161">
        <f>Ini_I_Compostaje!Q47</f>
        <v>3.0701000000000001</v>
      </c>
      <c r="U61" s="161">
        <f>Ini_I_Compostaje!R47</f>
        <v>3.2347999999999999</v>
      </c>
      <c r="V61" s="161">
        <f>Ini_I_Compostaje!S47</f>
        <v>3.4015</v>
      </c>
      <c r="W61" s="161">
        <f>Ini_I_Compostaje!T47</f>
        <v>3.5707</v>
      </c>
      <c r="X61" s="161">
        <f>Ini_I_Compostaje!U47</f>
        <v>3.7425999999999999</v>
      </c>
      <c r="Y61" s="161">
        <f>Ini_I_Compostaje!V47</f>
        <v>3.9171999999999998</v>
      </c>
      <c r="Z61" s="161">
        <f>Ini_I_Compostaje!W47</f>
        <v>4.0940000000000003</v>
      </c>
      <c r="AA61" s="161">
        <f>Ini_I_Compostaje!X47</f>
        <v>4.1736000000000004</v>
      </c>
      <c r="AB61" s="161">
        <f>Ini_I_Compostaje!Y47</f>
        <v>4.2533000000000003</v>
      </c>
      <c r="AC61" s="161">
        <f>Ini_I_Compostaje!Z47</f>
        <v>4.3331</v>
      </c>
      <c r="AD61" s="161">
        <f>Ini_I_Compostaje!AA47</f>
        <v>4.4128999999999996</v>
      </c>
      <c r="AE61" s="161">
        <f>Ini_I_Compostaje!AB47</f>
        <v>4.4915000000000003</v>
      </c>
      <c r="AF61" s="67"/>
    </row>
    <row r="62" spans="2:32" x14ac:dyDescent="0.3">
      <c r="B62" s="64"/>
      <c r="C62" s="111" t="s">
        <v>271</v>
      </c>
      <c r="D62" s="109" t="s">
        <v>272</v>
      </c>
      <c r="E62" s="69"/>
      <c r="F62" s="161">
        <v>1.1267</v>
      </c>
      <c r="G62" s="161">
        <v>1.1059000000000001</v>
      </c>
      <c r="H62" s="161">
        <v>1.0875999999999999</v>
      </c>
      <c r="I62" s="161">
        <v>1.3071999999999999</v>
      </c>
      <c r="J62" s="161">
        <v>1.5439000000000001</v>
      </c>
      <c r="K62" s="161">
        <v>1.0758000000000001</v>
      </c>
      <c r="L62" s="161">
        <v>0.71330000000000005</v>
      </c>
      <c r="M62" s="161">
        <v>0.57530000000000003</v>
      </c>
      <c r="N62" s="118">
        <v>0.45379999999999998</v>
      </c>
      <c r="O62" s="118">
        <v>0.44469999999999998</v>
      </c>
      <c r="P62" s="118">
        <v>0.43659999999999999</v>
      </c>
      <c r="Q62" s="118">
        <v>0.3745</v>
      </c>
      <c r="R62" s="118">
        <v>0.38469999999999999</v>
      </c>
      <c r="S62" s="118">
        <v>0.40689999999999998</v>
      </c>
      <c r="T62" s="118">
        <v>0.42959999999999998</v>
      </c>
      <c r="U62" s="118">
        <v>0.4526</v>
      </c>
      <c r="V62" s="118">
        <v>0.47599999999999998</v>
      </c>
      <c r="W62" s="118">
        <v>0.49980000000000002</v>
      </c>
      <c r="X62" s="118">
        <v>0.52390000000000003</v>
      </c>
      <c r="Y62" s="118">
        <v>0.5484</v>
      </c>
      <c r="Z62" s="118">
        <v>0.57330000000000003</v>
      </c>
      <c r="AA62" s="118">
        <v>0.58440000000000003</v>
      </c>
      <c r="AB62" s="118">
        <v>0.59570000000000001</v>
      </c>
      <c r="AC62" s="118">
        <v>0.6069</v>
      </c>
      <c r="AD62" s="118">
        <v>0.61809999999999998</v>
      </c>
      <c r="AE62" s="118">
        <v>0.62929999999999997</v>
      </c>
      <c r="AF62" s="67"/>
    </row>
    <row r="63" spans="2:32" ht="15.6" customHeight="1" x14ac:dyDescent="0.3">
      <c r="B63" s="64"/>
      <c r="C63" s="71" t="s">
        <v>273</v>
      </c>
      <c r="D63" s="72" t="s">
        <v>274</v>
      </c>
      <c r="E63" s="72"/>
      <c r="F63" s="163">
        <v>0</v>
      </c>
      <c r="G63" s="163">
        <v>0</v>
      </c>
      <c r="H63" s="163">
        <v>0</v>
      </c>
      <c r="I63" s="163">
        <v>0</v>
      </c>
      <c r="J63" s="163">
        <v>0</v>
      </c>
      <c r="K63" s="163">
        <v>0</v>
      </c>
      <c r="L63" s="163">
        <v>0</v>
      </c>
      <c r="M63" s="163">
        <v>0</v>
      </c>
      <c r="N63" s="160">
        <v>0</v>
      </c>
      <c r="O63" s="160">
        <v>0</v>
      </c>
      <c r="P63" s="160">
        <v>0</v>
      </c>
      <c r="Q63" s="160">
        <v>0</v>
      </c>
      <c r="R63" s="160">
        <v>0</v>
      </c>
      <c r="S63" s="163">
        <v>0</v>
      </c>
      <c r="T63" s="163">
        <v>0</v>
      </c>
      <c r="U63" s="163">
        <v>0</v>
      </c>
      <c r="V63" s="163">
        <v>0</v>
      </c>
      <c r="W63" s="163">
        <v>0</v>
      </c>
      <c r="X63" s="163">
        <v>0</v>
      </c>
      <c r="Y63" s="163">
        <v>0</v>
      </c>
      <c r="Z63" s="163">
        <v>0</v>
      </c>
      <c r="AA63" s="160">
        <v>0</v>
      </c>
      <c r="AB63" s="160">
        <v>0</v>
      </c>
      <c r="AC63" s="160">
        <v>0</v>
      </c>
      <c r="AD63" s="160">
        <v>0</v>
      </c>
      <c r="AE63" s="160">
        <v>0</v>
      </c>
      <c r="AF63" s="67"/>
    </row>
    <row r="64" spans="2:32" x14ac:dyDescent="0.3">
      <c r="B64" s="64"/>
      <c r="C64" s="112" t="s">
        <v>275</v>
      </c>
      <c r="D64" s="110" t="s">
        <v>276</v>
      </c>
      <c r="E64" s="72"/>
      <c r="F64" s="159">
        <v>9.1000000000000004E-3</v>
      </c>
      <c r="G64" s="159">
        <v>9.7000000000000003E-3</v>
      </c>
      <c r="H64" s="159">
        <v>1.04E-2</v>
      </c>
      <c r="I64" s="159">
        <v>1.0800000000000001E-2</v>
      </c>
      <c r="J64" s="159">
        <v>1.1299999999999999E-2</v>
      </c>
      <c r="K64" s="159">
        <v>1.12E-2</v>
      </c>
      <c r="L64" s="159">
        <v>1.12E-2</v>
      </c>
      <c r="M64" s="159">
        <v>1.14E-2</v>
      </c>
      <c r="N64" s="159">
        <v>1.1599999999999999E-2</v>
      </c>
      <c r="O64" s="159">
        <v>1.5100000000000001E-2</v>
      </c>
      <c r="P64" s="159">
        <v>1.9300000000000001E-2</v>
      </c>
      <c r="Q64" s="159">
        <v>9.1000000000000004E-3</v>
      </c>
      <c r="R64" s="159">
        <v>1.37E-2</v>
      </c>
      <c r="S64" s="118">
        <v>1.44E-2</v>
      </c>
      <c r="T64" s="118">
        <v>1.52E-2</v>
      </c>
      <c r="U64" s="118">
        <v>1.61E-2</v>
      </c>
      <c r="V64" s="118">
        <v>1.6899999999999998E-2</v>
      </c>
      <c r="W64" s="118">
        <v>1.78E-2</v>
      </c>
      <c r="X64" s="118">
        <v>1.8599999999999998E-2</v>
      </c>
      <c r="Y64" s="118">
        <v>1.95E-2</v>
      </c>
      <c r="Z64" s="118">
        <v>2.0400000000000001E-2</v>
      </c>
      <c r="AA64" s="118">
        <v>2.0799999999999999E-2</v>
      </c>
      <c r="AB64" s="118">
        <v>2.12E-2</v>
      </c>
      <c r="AC64" s="118">
        <v>2.1600000000000001E-2</v>
      </c>
      <c r="AD64" s="118">
        <v>2.1999999999999999E-2</v>
      </c>
      <c r="AE64" s="118">
        <v>2.24E-2</v>
      </c>
      <c r="AF64" s="67"/>
    </row>
    <row r="65" spans="2:32" x14ac:dyDescent="0.3">
      <c r="B65" s="64"/>
      <c r="C65" s="65" t="s">
        <v>277</v>
      </c>
      <c r="D65" s="69" t="s">
        <v>278</v>
      </c>
      <c r="E65" s="69"/>
      <c r="F65" s="161">
        <v>0</v>
      </c>
      <c r="G65" s="161">
        <v>0</v>
      </c>
      <c r="H65" s="161">
        <v>0</v>
      </c>
      <c r="I65" s="161">
        <v>0</v>
      </c>
      <c r="J65" s="161">
        <v>0</v>
      </c>
      <c r="K65" s="161">
        <v>0</v>
      </c>
      <c r="L65" s="161">
        <v>0</v>
      </c>
      <c r="M65" s="161">
        <v>0</v>
      </c>
      <c r="N65" s="161">
        <v>0</v>
      </c>
      <c r="O65" s="161">
        <v>0</v>
      </c>
      <c r="P65" s="161">
        <v>0</v>
      </c>
      <c r="Q65" s="161">
        <v>0</v>
      </c>
      <c r="R65" s="161">
        <v>0</v>
      </c>
      <c r="S65" s="118">
        <v>0</v>
      </c>
      <c r="T65" s="118">
        <v>0</v>
      </c>
      <c r="U65" s="118">
        <v>0</v>
      </c>
      <c r="V65" s="118">
        <v>0</v>
      </c>
      <c r="W65" s="118">
        <v>0</v>
      </c>
      <c r="X65" s="118">
        <v>0</v>
      </c>
      <c r="Y65" s="118">
        <v>0</v>
      </c>
      <c r="Z65" s="118">
        <v>0</v>
      </c>
      <c r="AA65" s="118">
        <v>0</v>
      </c>
      <c r="AB65" s="118">
        <v>0</v>
      </c>
      <c r="AC65" s="118">
        <v>0</v>
      </c>
      <c r="AD65" s="118">
        <v>0</v>
      </c>
      <c r="AE65" s="118">
        <v>0</v>
      </c>
      <c r="AF65" s="67"/>
    </row>
    <row r="66" spans="2:32" x14ac:dyDescent="0.3">
      <c r="B66" s="64"/>
      <c r="C66" s="65" t="s">
        <v>279</v>
      </c>
      <c r="D66" s="69" t="s">
        <v>280</v>
      </c>
      <c r="E66" s="69"/>
      <c r="F66" s="161">
        <v>0</v>
      </c>
      <c r="G66" s="161">
        <v>0</v>
      </c>
      <c r="H66" s="161">
        <v>0</v>
      </c>
      <c r="I66" s="161">
        <v>0</v>
      </c>
      <c r="J66" s="161">
        <v>0</v>
      </c>
      <c r="K66" s="161">
        <v>0</v>
      </c>
      <c r="L66" s="161">
        <v>0</v>
      </c>
      <c r="M66" s="161">
        <v>0</v>
      </c>
      <c r="N66" s="161">
        <v>0</v>
      </c>
      <c r="O66" s="161">
        <v>0</v>
      </c>
      <c r="P66" s="161">
        <v>0</v>
      </c>
      <c r="Q66" s="161">
        <v>0</v>
      </c>
      <c r="R66" s="161">
        <v>0</v>
      </c>
      <c r="S66" s="118">
        <v>0</v>
      </c>
      <c r="T66" s="118">
        <v>0</v>
      </c>
      <c r="U66" s="118">
        <v>0</v>
      </c>
      <c r="V66" s="118">
        <v>0</v>
      </c>
      <c r="W66" s="118">
        <v>0</v>
      </c>
      <c r="X66" s="118">
        <v>0</v>
      </c>
      <c r="Y66" s="118">
        <v>0</v>
      </c>
      <c r="Z66" s="118">
        <v>0</v>
      </c>
      <c r="AA66" s="118">
        <v>0</v>
      </c>
      <c r="AB66" s="118">
        <v>0</v>
      </c>
      <c r="AC66" s="118">
        <v>0</v>
      </c>
      <c r="AD66" s="118">
        <v>0</v>
      </c>
      <c r="AE66" s="118">
        <v>0</v>
      </c>
      <c r="AF66" s="67"/>
    </row>
    <row r="67" spans="2:32" x14ac:dyDescent="0.3">
      <c r="B67" s="64"/>
      <c r="C67" s="65"/>
      <c r="D67" s="65"/>
      <c r="E67" s="65"/>
      <c r="F67" s="146">
        <f>Act_T_Solidos!F123</f>
        <v>4.0671999999999997</v>
      </c>
      <c r="G67" s="146">
        <f>Act_T_Solidos!G123</f>
        <v>4.2161999999999997</v>
      </c>
      <c r="H67" s="146">
        <f>Act_T_Solidos!H123</f>
        <v>4.3481999999999994</v>
      </c>
      <c r="I67" s="146">
        <f>Act_T_Solidos!I123</f>
        <v>4.9634</v>
      </c>
      <c r="J67" s="146">
        <f>Act_T_Solidos!J123</f>
        <v>5.6248000000000005</v>
      </c>
      <c r="K67" s="146">
        <f>Act_T_Solidos!K123</f>
        <v>5.2972000000000001</v>
      </c>
      <c r="L67" s="146">
        <f>Act_T_Solidos!L123</f>
        <v>5.0568999999999997</v>
      </c>
      <c r="M67" s="146">
        <f>Act_T_Solidos!M123</f>
        <v>5.0416000000000007</v>
      </c>
      <c r="N67" s="146">
        <f>Act_T_Solidos!N123</f>
        <v>5.0421000000000005</v>
      </c>
      <c r="O67" s="146">
        <f>Act_T_Solidos!O123</f>
        <v>5.0625000000000009</v>
      </c>
      <c r="P67" s="146">
        <f>Act_T_Solidos!P123</f>
        <v>5.0826000000000002</v>
      </c>
      <c r="Q67" s="146">
        <f>Act_T_Solidos!Q123</f>
        <v>5.2141000000000002</v>
      </c>
      <c r="R67" s="146">
        <f>Act_T_Solidos!R123</f>
        <v>5.4172000000000002</v>
      </c>
      <c r="S67" s="146">
        <f>Act_T_Solidos!S123</f>
        <v>5.7304000000000004</v>
      </c>
      <c r="T67" s="146">
        <f>Act_T_Solidos!T123</f>
        <v>6.0494999999999992</v>
      </c>
      <c r="U67" s="146">
        <f>Act_T_Solidos!U123</f>
        <v>6.3740000000000006</v>
      </c>
      <c r="V67" s="146">
        <f>Act_T_Solidos!V123</f>
        <v>6.7038000000000002</v>
      </c>
      <c r="W67" s="146">
        <f>Act_T_Solidos!W123</f>
        <v>7.0385999999999997</v>
      </c>
      <c r="X67" s="146">
        <f>Act_T_Solidos!X123</f>
        <v>7.3785000000000007</v>
      </c>
      <c r="Y67" s="146">
        <f>Act_T_Solidos!Y123</f>
        <v>7.7234999999999996</v>
      </c>
      <c r="Z67" s="146">
        <f>Act_T_Solidos!Z123</f>
        <v>8.0730000000000004</v>
      </c>
      <c r="AA67" s="146">
        <f>Act_T_Solidos!AA123</f>
        <v>8.230599999999999</v>
      </c>
      <c r="AB67" s="146">
        <f>Act_T_Solidos!AB123</f>
        <v>8.3885000000000005</v>
      </c>
      <c r="AC67" s="146">
        <f>Act_T_Solidos!AC123</f>
        <v>8.5462999999999987</v>
      </c>
      <c r="AD67" s="146">
        <f>Act_T_Solidos!AD123</f>
        <v>8.7041000000000004</v>
      </c>
      <c r="AE67" s="146">
        <f>Act_T_Solidos!AE123</f>
        <v>8.8618000000000006</v>
      </c>
      <c r="AF67" s="67"/>
    </row>
    <row r="68" spans="2:32" x14ac:dyDescent="0.3">
      <c r="B68" s="64"/>
      <c r="C68" s="65"/>
      <c r="D68" s="73"/>
      <c r="E68" s="73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  <c r="AE68" s="146"/>
      <c r="AF68" s="67"/>
    </row>
    <row r="69" spans="2:32" x14ac:dyDescent="0.3">
      <c r="B69" s="64"/>
      <c r="C69" s="65"/>
      <c r="D69" s="75"/>
      <c r="E69" s="75"/>
      <c r="F69" s="165"/>
      <c r="G69" s="165"/>
      <c r="H69" s="165"/>
      <c r="I69" s="165"/>
      <c r="J69" s="165"/>
      <c r="K69" s="165"/>
      <c r="L69" s="165"/>
      <c r="M69" s="165"/>
      <c r="N69" s="165"/>
      <c r="O69" s="165"/>
      <c r="P69" s="165"/>
      <c r="Q69" s="165"/>
      <c r="R69" s="165"/>
      <c r="S69" s="165"/>
      <c r="T69" s="165"/>
      <c r="U69" s="165"/>
      <c r="V69" s="165"/>
      <c r="W69" s="165"/>
      <c r="X69" s="165"/>
      <c r="Y69" s="165"/>
      <c r="Z69" s="165"/>
      <c r="AA69" s="165"/>
      <c r="AB69" s="165"/>
      <c r="AC69" s="165"/>
      <c r="AD69" s="165"/>
      <c r="AE69" s="165"/>
      <c r="AF69" s="67"/>
    </row>
    <row r="70" spans="2:32" x14ac:dyDescent="0.3">
      <c r="B70" s="64"/>
      <c r="C70" s="66" t="s">
        <v>281</v>
      </c>
      <c r="D70" s="66"/>
      <c r="E70" s="66"/>
      <c r="F70" s="66"/>
      <c r="G70" s="66"/>
      <c r="H70" s="66"/>
      <c r="I70" s="66"/>
      <c r="J70" s="66"/>
      <c r="K70" s="88"/>
      <c r="L70" s="88"/>
      <c r="M70" s="88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67"/>
    </row>
    <row r="71" spans="2:32" ht="28.8" x14ac:dyDescent="0.3">
      <c r="B71" s="64"/>
      <c r="C71" s="65" t="s">
        <v>282</v>
      </c>
      <c r="D71" s="71" t="s">
        <v>283</v>
      </c>
      <c r="E71" s="71"/>
      <c r="F71" s="166">
        <f>F27*F67</f>
        <v>1.6786999999999996</v>
      </c>
      <c r="G71" s="166">
        <f t="shared" ref="G71:R71" si="27">G27*G67</f>
        <v>1.7401999999999993</v>
      </c>
      <c r="H71" s="166">
        <f t="shared" si="27"/>
        <v>1.7946999999999997</v>
      </c>
      <c r="I71" s="166">
        <f t="shared" si="27"/>
        <v>2.0486</v>
      </c>
      <c r="J71" s="166">
        <f t="shared" si="27"/>
        <v>2.3216000000000006</v>
      </c>
      <c r="K71" s="166">
        <f t="shared" si="27"/>
        <v>2.1813000000000007</v>
      </c>
      <c r="L71" s="166">
        <f t="shared" si="27"/>
        <v>2.0871999999999997</v>
      </c>
      <c r="M71" s="166">
        <f t="shared" si="27"/>
        <v>2.0767000000000007</v>
      </c>
      <c r="N71" s="166">
        <f t="shared" si="27"/>
        <v>2.0810999999999997</v>
      </c>
      <c r="O71" s="166">
        <f t="shared" si="27"/>
        <v>2.0896000000000008</v>
      </c>
      <c r="P71" s="166">
        <f t="shared" si="27"/>
        <v>2.0977999999999999</v>
      </c>
      <c r="Q71" s="166">
        <f t="shared" si="27"/>
        <v>2.1521000000000003</v>
      </c>
      <c r="R71" s="166">
        <f t="shared" si="27"/>
        <v>2.2359000000000004</v>
      </c>
      <c r="S71" s="162">
        <f t="shared" ref="S71:AE71" si="28">S90*S27</f>
        <v>2.3653000000000008</v>
      </c>
      <c r="T71" s="162">
        <f t="shared" si="28"/>
        <v>2.496999999999999</v>
      </c>
      <c r="U71" s="162">
        <f t="shared" si="28"/>
        <v>2.6309000000000009</v>
      </c>
      <c r="V71" s="162">
        <f t="shared" si="28"/>
        <v>2.7666000000000004</v>
      </c>
      <c r="W71" s="162">
        <f t="shared" si="28"/>
        <v>2.9043999999999994</v>
      </c>
      <c r="X71" s="162">
        <f t="shared" si="28"/>
        <v>3.0442000000000009</v>
      </c>
      <c r="Y71" s="162">
        <f t="shared" si="28"/>
        <v>3.1859999999999995</v>
      </c>
      <c r="Z71" s="162">
        <f t="shared" si="28"/>
        <v>3.3296000000000001</v>
      </c>
      <c r="AA71" s="162">
        <f t="shared" si="28"/>
        <v>3.3939999999999984</v>
      </c>
      <c r="AB71" s="162">
        <f t="shared" si="28"/>
        <v>3.4585000000000012</v>
      </c>
      <c r="AC71" s="162">
        <f t="shared" si="28"/>
        <v>3.5227999999999975</v>
      </c>
      <c r="AD71" s="162">
        <f t="shared" si="28"/>
        <v>3.5871000000000008</v>
      </c>
      <c r="AE71" s="162">
        <f t="shared" si="28"/>
        <v>3.6499000000000006</v>
      </c>
      <c r="AF71" s="67"/>
    </row>
    <row r="72" spans="2:32" ht="28.8" x14ac:dyDescent="0.3">
      <c r="B72" s="64"/>
      <c r="C72" s="65" t="s">
        <v>284</v>
      </c>
      <c r="D72" s="71" t="s">
        <v>285</v>
      </c>
      <c r="E72" s="71"/>
      <c r="F72" s="166">
        <f>F28*F67</f>
        <v>5.4999999999999997E-3</v>
      </c>
      <c r="G72" s="166">
        <f t="shared" ref="G72:R72" si="29">G28*G67</f>
        <v>6.4000000000000003E-3</v>
      </c>
      <c r="H72" s="166">
        <f t="shared" si="29"/>
        <v>7.3000000000000001E-3</v>
      </c>
      <c r="I72" s="166">
        <f t="shared" si="29"/>
        <v>2.2200000000000001E-2</v>
      </c>
      <c r="J72" s="166">
        <f t="shared" si="29"/>
        <v>3.7199999999999997E-2</v>
      </c>
      <c r="K72" s="166">
        <f t="shared" si="29"/>
        <v>3.2199999999999999E-2</v>
      </c>
      <c r="L72" s="166">
        <f t="shared" si="29"/>
        <v>2.7199999999999998E-2</v>
      </c>
      <c r="M72" s="166">
        <f t="shared" si="29"/>
        <v>3.0499999999999999E-2</v>
      </c>
      <c r="N72" s="166">
        <f t="shared" si="29"/>
        <v>3.3799999999999997E-2</v>
      </c>
      <c r="O72" s="166">
        <f t="shared" si="29"/>
        <v>3.5299999999999998E-2</v>
      </c>
      <c r="P72" s="166">
        <f t="shared" si="29"/>
        <v>3.6799999999999999E-2</v>
      </c>
      <c r="Q72" s="166">
        <f t="shared" si="29"/>
        <v>3.85E-2</v>
      </c>
      <c r="R72" s="166">
        <f t="shared" si="29"/>
        <v>3.3700000000000001E-2</v>
      </c>
      <c r="S72" s="162">
        <f t="shared" ref="S72:AE72" si="30">S90*S28</f>
        <v>3.56E-2</v>
      </c>
      <c r="T72" s="162">
        <f t="shared" si="30"/>
        <v>3.7600000000000001E-2</v>
      </c>
      <c r="U72" s="162">
        <f t="shared" si="30"/>
        <v>3.9600000000000003E-2</v>
      </c>
      <c r="V72" s="162">
        <f t="shared" si="30"/>
        <v>4.2800000000000102E-2</v>
      </c>
      <c r="W72" s="162">
        <f t="shared" si="30"/>
        <v>4.5900000000000205E-2</v>
      </c>
      <c r="X72" s="162">
        <f t="shared" si="30"/>
        <v>4.9200000000000306E-2</v>
      </c>
      <c r="Y72" s="162">
        <f t="shared" si="30"/>
        <v>5.2400000000000405E-2</v>
      </c>
      <c r="Z72" s="162">
        <f t="shared" si="30"/>
        <v>5.5699999999999618E-2</v>
      </c>
      <c r="AA72" s="162">
        <f t="shared" si="30"/>
        <v>5.7800000000000608E-2</v>
      </c>
      <c r="AB72" s="162">
        <f t="shared" si="30"/>
        <v>5.9799999999999819E-2</v>
      </c>
      <c r="AC72" s="162">
        <f t="shared" si="30"/>
        <v>6.1900000000000809E-2</v>
      </c>
      <c r="AD72" s="162">
        <f t="shared" si="30"/>
        <v>6.4000000000000029E-2</v>
      </c>
      <c r="AE72" s="162">
        <f t="shared" si="30"/>
        <v>6.8700000000000289E-2</v>
      </c>
      <c r="AF72" s="67"/>
    </row>
    <row r="73" spans="2:32" ht="28.8" x14ac:dyDescent="0.3">
      <c r="B73" s="64"/>
      <c r="C73" s="65" t="s">
        <v>286</v>
      </c>
      <c r="D73" s="71" t="s">
        <v>287</v>
      </c>
      <c r="E73" s="71"/>
      <c r="F73" s="166">
        <f>F29*F67</f>
        <v>2.383</v>
      </c>
      <c r="G73" s="166">
        <f t="shared" ref="G73:R73" si="31">G29*G67</f>
        <v>2.4696000000000002</v>
      </c>
      <c r="H73" s="166">
        <f t="shared" si="31"/>
        <v>2.5461999999999998</v>
      </c>
      <c r="I73" s="166">
        <f t="shared" si="31"/>
        <v>2.8925999999999998</v>
      </c>
      <c r="J73" s="166">
        <f t="shared" si="31"/>
        <v>3.2660000000000005</v>
      </c>
      <c r="K73" s="166">
        <f t="shared" si="31"/>
        <v>3.0836999999999994</v>
      </c>
      <c r="L73" s="166">
        <f t="shared" si="31"/>
        <v>2.9424999999999999</v>
      </c>
      <c r="M73" s="166">
        <f t="shared" si="31"/>
        <v>2.9344000000000006</v>
      </c>
      <c r="N73" s="166">
        <f t="shared" si="31"/>
        <v>2.9272</v>
      </c>
      <c r="O73" s="166">
        <f t="shared" si="31"/>
        <v>2.9375999999999998</v>
      </c>
      <c r="P73" s="166">
        <f t="shared" si="31"/>
        <v>2.9480000000000004</v>
      </c>
      <c r="Q73" s="166">
        <f t="shared" si="31"/>
        <v>3.0234999999999999</v>
      </c>
      <c r="R73" s="166">
        <f t="shared" si="31"/>
        <v>3.1475999999999997</v>
      </c>
      <c r="S73" s="162">
        <f t="shared" ref="S73:AE73" si="32">S90*S29</f>
        <v>3.3294999999999999</v>
      </c>
      <c r="T73" s="162">
        <f t="shared" si="32"/>
        <v>3.5148999999999995</v>
      </c>
      <c r="U73" s="162">
        <f t="shared" si="32"/>
        <v>3.7035</v>
      </c>
      <c r="V73" s="162">
        <f t="shared" si="32"/>
        <v>3.8944000000000001</v>
      </c>
      <c r="W73" s="162">
        <f t="shared" si="32"/>
        <v>4.0883000000000003</v>
      </c>
      <c r="X73" s="162">
        <f t="shared" si="32"/>
        <v>4.2850999999999999</v>
      </c>
      <c r="Y73" s="162">
        <f t="shared" si="32"/>
        <v>4.4851000000000001</v>
      </c>
      <c r="Z73" s="162">
        <f t="shared" si="32"/>
        <v>4.6877000000000004</v>
      </c>
      <c r="AA73" s="162">
        <f t="shared" si="32"/>
        <v>4.7788000000000004</v>
      </c>
      <c r="AB73" s="162">
        <f t="shared" si="32"/>
        <v>4.8702000000000005</v>
      </c>
      <c r="AC73" s="162">
        <f t="shared" si="32"/>
        <v>4.9616000000000007</v>
      </c>
      <c r="AD73" s="162">
        <f t="shared" si="32"/>
        <v>5.0529999999999999</v>
      </c>
      <c r="AE73" s="162">
        <f t="shared" si="32"/>
        <v>5.1432000000000011</v>
      </c>
      <c r="AF73" s="67"/>
    </row>
    <row r="74" spans="2:32" ht="28.8" x14ac:dyDescent="0.3">
      <c r="B74" s="64"/>
      <c r="C74" s="65" t="s">
        <v>288</v>
      </c>
      <c r="D74" s="71" t="s">
        <v>289</v>
      </c>
      <c r="E74" s="71"/>
      <c r="F74" s="166">
        <f>F30*F67</f>
        <v>0</v>
      </c>
      <c r="G74" s="166">
        <f t="shared" ref="G74:R74" si="33">G30*G67</f>
        <v>0</v>
      </c>
      <c r="H74" s="166">
        <f t="shared" si="33"/>
        <v>0</v>
      </c>
      <c r="I74" s="166">
        <f t="shared" si="33"/>
        <v>0</v>
      </c>
      <c r="J74" s="166">
        <f t="shared" si="33"/>
        <v>0</v>
      </c>
      <c r="K74" s="166">
        <f t="shared" si="33"/>
        <v>0</v>
      </c>
      <c r="L74" s="166">
        <f t="shared" si="33"/>
        <v>0</v>
      </c>
      <c r="M74" s="166">
        <f t="shared" si="33"/>
        <v>0</v>
      </c>
      <c r="N74" s="166">
        <f t="shared" si="33"/>
        <v>0</v>
      </c>
      <c r="O74" s="166">
        <f t="shared" si="33"/>
        <v>0</v>
      </c>
      <c r="P74" s="166">
        <f t="shared" si="33"/>
        <v>0</v>
      </c>
      <c r="Q74" s="166">
        <f t="shared" si="33"/>
        <v>0</v>
      </c>
      <c r="R74" s="166">
        <f t="shared" si="33"/>
        <v>0</v>
      </c>
      <c r="S74" s="162">
        <f t="shared" ref="S74:AE74" si="34">S90*S30</f>
        <v>0</v>
      </c>
      <c r="T74" s="162">
        <f t="shared" si="34"/>
        <v>0</v>
      </c>
      <c r="U74" s="162">
        <f t="shared" si="34"/>
        <v>0</v>
      </c>
      <c r="V74" s="162">
        <f t="shared" si="34"/>
        <v>0</v>
      </c>
      <c r="W74" s="162">
        <f t="shared" si="34"/>
        <v>0</v>
      </c>
      <c r="X74" s="162">
        <f t="shared" si="34"/>
        <v>0</v>
      </c>
      <c r="Y74" s="162">
        <f t="shared" si="34"/>
        <v>0</v>
      </c>
      <c r="Z74" s="162">
        <f t="shared" si="34"/>
        <v>0</v>
      </c>
      <c r="AA74" s="162">
        <f t="shared" si="34"/>
        <v>0</v>
      </c>
      <c r="AB74" s="162">
        <f t="shared" si="34"/>
        <v>0</v>
      </c>
      <c r="AC74" s="162">
        <f t="shared" si="34"/>
        <v>0</v>
      </c>
      <c r="AD74" s="162">
        <f t="shared" si="34"/>
        <v>0</v>
      </c>
      <c r="AE74" s="162">
        <f t="shared" si="34"/>
        <v>0</v>
      </c>
      <c r="AF74" s="67"/>
    </row>
    <row r="75" spans="2:32" x14ac:dyDescent="0.3">
      <c r="B75" s="64"/>
      <c r="C75" s="65"/>
      <c r="D75" s="77"/>
      <c r="E75" s="77"/>
      <c r="F75" s="205">
        <f>SUM(F71:F74)</f>
        <v>4.0671999999999997</v>
      </c>
      <c r="G75" s="205">
        <f t="shared" ref="G75:M75" si="35">SUM(G71:G74)</f>
        <v>4.2161999999999997</v>
      </c>
      <c r="H75" s="205">
        <f t="shared" si="35"/>
        <v>4.3481999999999994</v>
      </c>
      <c r="I75" s="205">
        <f t="shared" si="35"/>
        <v>4.9634</v>
      </c>
      <c r="J75" s="205">
        <f t="shared" si="35"/>
        <v>5.6248000000000005</v>
      </c>
      <c r="K75" s="205">
        <f t="shared" si="35"/>
        <v>5.2972000000000001</v>
      </c>
      <c r="L75" s="205">
        <f t="shared" si="35"/>
        <v>5.0568999999999997</v>
      </c>
      <c r="M75" s="205">
        <f t="shared" si="35"/>
        <v>5.0416000000000007</v>
      </c>
      <c r="N75" s="205">
        <f>SUM(N71:N74)</f>
        <v>5.0420999999999996</v>
      </c>
      <c r="O75" s="205">
        <f t="shared" ref="O75:AE75" si="36">SUM(O71:O74)</f>
        <v>5.0625</v>
      </c>
      <c r="P75" s="205">
        <f t="shared" si="36"/>
        <v>5.0826000000000002</v>
      </c>
      <c r="Q75" s="205">
        <f t="shared" si="36"/>
        <v>5.2141000000000002</v>
      </c>
      <c r="R75" s="205">
        <f t="shared" si="36"/>
        <v>5.4172000000000002</v>
      </c>
      <c r="S75" s="205">
        <f t="shared" si="36"/>
        <v>5.7304000000000013</v>
      </c>
      <c r="T75" s="205">
        <f t="shared" si="36"/>
        <v>6.0494999999999983</v>
      </c>
      <c r="U75" s="205">
        <f t="shared" si="36"/>
        <v>6.3740000000000006</v>
      </c>
      <c r="V75" s="205">
        <f t="shared" si="36"/>
        <v>6.7038000000000011</v>
      </c>
      <c r="W75" s="205">
        <f t="shared" si="36"/>
        <v>7.0385999999999997</v>
      </c>
      <c r="X75" s="205">
        <f t="shared" si="36"/>
        <v>7.3785000000000007</v>
      </c>
      <c r="Y75" s="205">
        <f t="shared" si="36"/>
        <v>7.7234999999999996</v>
      </c>
      <c r="Z75" s="205">
        <f t="shared" si="36"/>
        <v>8.0730000000000004</v>
      </c>
      <c r="AA75" s="205">
        <f t="shared" si="36"/>
        <v>8.230599999999999</v>
      </c>
      <c r="AB75" s="205">
        <f t="shared" si="36"/>
        <v>8.3885000000000005</v>
      </c>
      <c r="AC75" s="205">
        <f t="shared" si="36"/>
        <v>8.5462999999999987</v>
      </c>
      <c r="AD75" s="205">
        <f t="shared" si="36"/>
        <v>8.7041000000000004</v>
      </c>
      <c r="AE75" s="205">
        <f t="shared" si="36"/>
        <v>8.8618000000000023</v>
      </c>
      <c r="AF75" s="67"/>
    </row>
    <row r="76" spans="2:32" x14ac:dyDescent="0.3">
      <c r="B76" s="64"/>
      <c r="C76" s="65"/>
      <c r="D76" s="65"/>
      <c r="E76" s="65"/>
      <c r="F76" s="167"/>
      <c r="G76" s="167"/>
      <c r="H76" s="167"/>
      <c r="I76" s="167"/>
      <c r="J76" s="167"/>
      <c r="K76" s="167"/>
      <c r="L76" s="167"/>
      <c r="M76" s="167"/>
      <c r="N76" s="167"/>
      <c r="O76" s="167"/>
      <c r="P76" s="167"/>
      <c r="Q76" s="167"/>
      <c r="R76" s="167"/>
      <c r="S76" s="167"/>
      <c r="T76" s="167"/>
      <c r="U76" s="167"/>
      <c r="V76" s="167"/>
      <c r="W76" s="167"/>
      <c r="X76" s="167"/>
      <c r="Y76" s="167"/>
      <c r="Z76" s="167"/>
      <c r="AA76" s="167"/>
      <c r="AB76" s="167"/>
      <c r="AC76" s="167"/>
      <c r="AD76" s="167"/>
      <c r="AE76" s="167"/>
      <c r="AF76" s="67"/>
    </row>
    <row r="77" spans="2:32" x14ac:dyDescent="0.3">
      <c r="B77" s="64"/>
      <c r="C77" s="66" t="s">
        <v>290</v>
      </c>
      <c r="D77" s="66"/>
      <c r="E77" s="66"/>
      <c r="F77" s="66"/>
      <c r="G77" s="66"/>
      <c r="H77" s="66"/>
      <c r="I77" s="66"/>
      <c r="J77" s="66"/>
      <c r="K77" s="88"/>
      <c r="L77" s="88"/>
      <c r="M77" s="88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67"/>
    </row>
    <row r="78" spans="2:32" ht="28.8" x14ac:dyDescent="0.3">
      <c r="B78" s="64"/>
      <c r="C78" s="65" t="s">
        <v>291</v>
      </c>
      <c r="D78" s="71" t="s">
        <v>292</v>
      </c>
      <c r="E78" s="71"/>
      <c r="F78" s="166">
        <f>F34*F90</f>
        <v>1.6786999999999996</v>
      </c>
      <c r="G78" s="166">
        <f t="shared" ref="G78:M78" si="37">G34*G90</f>
        <v>1.7401999999999993</v>
      </c>
      <c r="H78" s="166">
        <f t="shared" si="37"/>
        <v>1.7946999999999997</v>
      </c>
      <c r="I78" s="166">
        <f t="shared" si="37"/>
        <v>2.0486</v>
      </c>
      <c r="J78" s="166">
        <f t="shared" si="37"/>
        <v>2.3216000000000006</v>
      </c>
      <c r="K78" s="166">
        <f t="shared" si="37"/>
        <v>2.1813000000000007</v>
      </c>
      <c r="L78" s="166">
        <f t="shared" si="37"/>
        <v>2.0871999999999997</v>
      </c>
      <c r="M78" s="166">
        <f t="shared" si="37"/>
        <v>2.0767000000000007</v>
      </c>
      <c r="N78" s="162">
        <f t="shared" ref="N78:AE78" si="38">N90*N34</f>
        <v>2.0810999999999997</v>
      </c>
      <c r="O78" s="162">
        <f t="shared" si="38"/>
        <v>2.0896000000000008</v>
      </c>
      <c r="P78" s="162">
        <f t="shared" si="38"/>
        <v>2.0977999999999999</v>
      </c>
      <c r="Q78" s="162">
        <f t="shared" si="38"/>
        <v>2.1521000000000003</v>
      </c>
      <c r="R78" s="162">
        <f t="shared" si="38"/>
        <v>2.2359000000000004</v>
      </c>
      <c r="S78" s="162">
        <f t="shared" si="38"/>
        <v>2.3653000000000008</v>
      </c>
      <c r="T78" s="162">
        <f t="shared" si="38"/>
        <v>2.496999999999999</v>
      </c>
      <c r="U78" s="162">
        <f t="shared" si="38"/>
        <v>2.6309000000000009</v>
      </c>
      <c r="V78" s="162">
        <f t="shared" si="38"/>
        <v>2.7666000000000004</v>
      </c>
      <c r="W78" s="162">
        <f t="shared" si="38"/>
        <v>2.9043999999999994</v>
      </c>
      <c r="X78" s="162">
        <f t="shared" si="38"/>
        <v>3.0442000000000009</v>
      </c>
      <c r="Y78" s="162">
        <f t="shared" si="38"/>
        <v>3.1859999999999995</v>
      </c>
      <c r="Z78" s="162">
        <f t="shared" si="38"/>
        <v>3.3296000000000001</v>
      </c>
      <c r="AA78" s="162">
        <f t="shared" si="38"/>
        <v>3.3939999999999984</v>
      </c>
      <c r="AB78" s="162">
        <f t="shared" si="38"/>
        <v>3.4585000000000012</v>
      </c>
      <c r="AC78" s="162">
        <f t="shared" si="38"/>
        <v>3.5227999999999975</v>
      </c>
      <c r="AD78" s="162">
        <f t="shared" si="38"/>
        <v>3.5871000000000008</v>
      </c>
      <c r="AE78" s="162">
        <f t="shared" si="38"/>
        <v>3.6499000000000006</v>
      </c>
      <c r="AF78" s="67"/>
    </row>
    <row r="79" spans="2:32" ht="28.8" x14ac:dyDescent="0.3">
      <c r="B79" s="64"/>
      <c r="C79" s="65" t="s">
        <v>293</v>
      </c>
      <c r="D79" s="71" t="s">
        <v>294</v>
      </c>
      <c r="E79" s="71"/>
      <c r="F79" s="166">
        <f>F35*F90</f>
        <v>5.4999999999999997E-3</v>
      </c>
      <c r="G79" s="166">
        <f t="shared" ref="G79:M79" si="39">G35*G90</f>
        <v>6.4000000000000003E-3</v>
      </c>
      <c r="H79" s="166">
        <f t="shared" si="39"/>
        <v>7.3000000000000001E-3</v>
      </c>
      <c r="I79" s="166">
        <f t="shared" si="39"/>
        <v>2.2200000000000001E-2</v>
      </c>
      <c r="J79" s="166">
        <f t="shared" si="39"/>
        <v>3.7199999999999997E-2</v>
      </c>
      <c r="K79" s="166">
        <f t="shared" si="39"/>
        <v>3.2199999999999999E-2</v>
      </c>
      <c r="L79" s="166">
        <f t="shared" si="39"/>
        <v>2.7199999999999998E-2</v>
      </c>
      <c r="M79" s="166">
        <f t="shared" si="39"/>
        <v>3.0499999999999999E-2</v>
      </c>
      <c r="N79" s="162">
        <f t="shared" ref="N79:AE79" si="40">N90*N35</f>
        <v>3.3799999999999997E-2</v>
      </c>
      <c r="O79" s="162">
        <f t="shared" si="40"/>
        <v>3.5299999999999998E-2</v>
      </c>
      <c r="P79" s="162">
        <f t="shared" si="40"/>
        <v>3.6799999999999999E-2</v>
      </c>
      <c r="Q79" s="162">
        <f t="shared" si="40"/>
        <v>3.85E-2</v>
      </c>
      <c r="R79" s="162">
        <f t="shared" si="40"/>
        <v>3.3700000000000001E-2</v>
      </c>
      <c r="S79" s="162">
        <f t="shared" si="40"/>
        <v>3.56E-2</v>
      </c>
      <c r="T79" s="162">
        <f t="shared" si="40"/>
        <v>3.7600000000000001E-2</v>
      </c>
      <c r="U79" s="162">
        <f t="shared" si="40"/>
        <v>3.9600000000000003E-2</v>
      </c>
      <c r="V79" s="162">
        <f t="shared" si="40"/>
        <v>4.2800000000000102E-2</v>
      </c>
      <c r="W79" s="162">
        <f t="shared" si="40"/>
        <v>4.5900000000000205E-2</v>
      </c>
      <c r="X79" s="162">
        <f t="shared" si="40"/>
        <v>4.9200000000000306E-2</v>
      </c>
      <c r="Y79" s="162">
        <f t="shared" si="40"/>
        <v>5.2400000000000405E-2</v>
      </c>
      <c r="Z79" s="162">
        <f t="shared" si="40"/>
        <v>5.5699999999999618E-2</v>
      </c>
      <c r="AA79" s="162">
        <f t="shared" si="40"/>
        <v>5.7800000000000608E-2</v>
      </c>
      <c r="AB79" s="162">
        <f t="shared" si="40"/>
        <v>5.9799999999999819E-2</v>
      </c>
      <c r="AC79" s="162">
        <f t="shared" si="40"/>
        <v>6.1900000000000809E-2</v>
      </c>
      <c r="AD79" s="162">
        <f t="shared" si="40"/>
        <v>6.4000000000000029E-2</v>
      </c>
      <c r="AE79" s="162">
        <f t="shared" si="40"/>
        <v>6.8700000000000289E-2</v>
      </c>
      <c r="AF79" s="67"/>
    </row>
    <row r="80" spans="2:32" ht="28.8" x14ac:dyDescent="0.3">
      <c r="B80" s="64"/>
      <c r="C80" s="65" t="s">
        <v>295</v>
      </c>
      <c r="D80" s="71" t="s">
        <v>296</v>
      </c>
      <c r="E80" s="71"/>
      <c r="F80" s="166">
        <f>F36*F90</f>
        <v>2.383</v>
      </c>
      <c r="G80" s="166">
        <f t="shared" ref="G80:M80" si="41">G36*G90</f>
        <v>2.4696000000000002</v>
      </c>
      <c r="H80" s="166">
        <f t="shared" si="41"/>
        <v>2.5461999999999998</v>
      </c>
      <c r="I80" s="166">
        <f t="shared" si="41"/>
        <v>2.8925999999999998</v>
      </c>
      <c r="J80" s="166">
        <f t="shared" si="41"/>
        <v>3.2660000000000005</v>
      </c>
      <c r="K80" s="166">
        <f t="shared" si="41"/>
        <v>3.0836999999999994</v>
      </c>
      <c r="L80" s="166">
        <f t="shared" si="41"/>
        <v>2.9424999999999999</v>
      </c>
      <c r="M80" s="166">
        <f t="shared" si="41"/>
        <v>2.9344000000000006</v>
      </c>
      <c r="N80" s="162">
        <f t="shared" ref="N80:AE80" si="42">N90*N36</f>
        <v>2.9272</v>
      </c>
      <c r="O80" s="162">
        <f t="shared" si="42"/>
        <v>2.9375999999999998</v>
      </c>
      <c r="P80" s="162">
        <f t="shared" si="42"/>
        <v>2.9480000000000004</v>
      </c>
      <c r="Q80" s="162">
        <f t="shared" si="42"/>
        <v>3.0234999999999999</v>
      </c>
      <c r="R80" s="162">
        <f t="shared" si="42"/>
        <v>3.1475999999999997</v>
      </c>
      <c r="S80" s="162">
        <f t="shared" si="42"/>
        <v>3.3294999999999999</v>
      </c>
      <c r="T80" s="162">
        <f t="shared" si="42"/>
        <v>3.5148999999999995</v>
      </c>
      <c r="U80" s="162">
        <f t="shared" si="42"/>
        <v>3.7035</v>
      </c>
      <c r="V80" s="162">
        <f t="shared" si="42"/>
        <v>3.8944000000000001</v>
      </c>
      <c r="W80" s="162">
        <f t="shared" si="42"/>
        <v>4.0883000000000003</v>
      </c>
      <c r="X80" s="162">
        <f t="shared" si="42"/>
        <v>4.2850999999999999</v>
      </c>
      <c r="Y80" s="162">
        <f t="shared" si="42"/>
        <v>4.4851000000000001</v>
      </c>
      <c r="Z80" s="162">
        <f t="shared" si="42"/>
        <v>4.6877000000000004</v>
      </c>
      <c r="AA80" s="162">
        <f t="shared" si="42"/>
        <v>4.7788000000000004</v>
      </c>
      <c r="AB80" s="162">
        <f t="shared" si="42"/>
        <v>4.8702000000000005</v>
      </c>
      <c r="AC80" s="162">
        <f t="shared" si="42"/>
        <v>4.9616000000000007</v>
      </c>
      <c r="AD80" s="162">
        <f t="shared" si="42"/>
        <v>5.0529999999999999</v>
      </c>
      <c r="AE80" s="162">
        <f t="shared" si="42"/>
        <v>5.1432000000000011</v>
      </c>
      <c r="AF80" s="67"/>
    </row>
    <row r="81" spans="2:32" x14ac:dyDescent="0.3">
      <c r="B81" s="64"/>
      <c r="C81" s="65" t="s">
        <v>297</v>
      </c>
      <c r="D81" s="71" t="s">
        <v>298</v>
      </c>
      <c r="E81" s="71"/>
      <c r="F81" s="166">
        <f>F37*F90</f>
        <v>0</v>
      </c>
      <c r="G81" s="166">
        <f t="shared" ref="G81:M81" si="43">G37*G90</f>
        <v>0</v>
      </c>
      <c r="H81" s="166">
        <f t="shared" si="43"/>
        <v>0</v>
      </c>
      <c r="I81" s="166">
        <f t="shared" si="43"/>
        <v>0</v>
      </c>
      <c r="J81" s="166">
        <f t="shared" si="43"/>
        <v>0</v>
      </c>
      <c r="K81" s="166">
        <f t="shared" si="43"/>
        <v>0</v>
      </c>
      <c r="L81" s="166">
        <f t="shared" si="43"/>
        <v>0</v>
      </c>
      <c r="M81" s="166">
        <f t="shared" si="43"/>
        <v>0</v>
      </c>
      <c r="N81" s="162">
        <f t="shared" ref="N81:AE81" si="44">N90*N37</f>
        <v>0</v>
      </c>
      <c r="O81" s="162">
        <f t="shared" si="44"/>
        <v>0</v>
      </c>
      <c r="P81" s="162">
        <f t="shared" si="44"/>
        <v>0</v>
      </c>
      <c r="Q81" s="162">
        <f t="shared" si="44"/>
        <v>0</v>
      </c>
      <c r="R81" s="162">
        <f t="shared" si="44"/>
        <v>0</v>
      </c>
      <c r="S81" s="162">
        <f t="shared" si="44"/>
        <v>0</v>
      </c>
      <c r="T81" s="162">
        <f t="shared" si="44"/>
        <v>0</v>
      </c>
      <c r="U81" s="162">
        <f t="shared" si="44"/>
        <v>0</v>
      </c>
      <c r="V81" s="162">
        <f t="shared" si="44"/>
        <v>0</v>
      </c>
      <c r="W81" s="162">
        <f t="shared" si="44"/>
        <v>0</v>
      </c>
      <c r="X81" s="162">
        <f t="shared" si="44"/>
        <v>0</v>
      </c>
      <c r="Y81" s="162">
        <f t="shared" si="44"/>
        <v>0</v>
      </c>
      <c r="Z81" s="162">
        <f t="shared" si="44"/>
        <v>0</v>
      </c>
      <c r="AA81" s="162">
        <f t="shared" si="44"/>
        <v>0</v>
      </c>
      <c r="AB81" s="162">
        <f t="shared" si="44"/>
        <v>0</v>
      </c>
      <c r="AC81" s="162">
        <f t="shared" si="44"/>
        <v>0</v>
      </c>
      <c r="AD81" s="162">
        <f t="shared" si="44"/>
        <v>0</v>
      </c>
      <c r="AE81" s="162">
        <f t="shared" si="44"/>
        <v>0</v>
      </c>
      <c r="AF81" s="67"/>
    </row>
    <row r="82" spans="2:32" x14ac:dyDescent="0.3">
      <c r="B82" s="64"/>
      <c r="C82" s="65"/>
      <c r="D82" s="65"/>
      <c r="E82" s="65"/>
      <c r="F82" s="86">
        <f t="shared" ref="F82:M82" si="45">SUM(F78:F81)</f>
        <v>4.0671999999999997</v>
      </c>
      <c r="G82" s="86">
        <f t="shared" si="45"/>
        <v>4.2161999999999997</v>
      </c>
      <c r="H82" s="86">
        <f t="shared" si="45"/>
        <v>4.3481999999999994</v>
      </c>
      <c r="I82" s="86">
        <f t="shared" si="45"/>
        <v>4.9634</v>
      </c>
      <c r="J82" s="86">
        <f t="shared" si="45"/>
        <v>5.6248000000000005</v>
      </c>
      <c r="K82" s="86">
        <f t="shared" si="45"/>
        <v>5.2972000000000001</v>
      </c>
      <c r="L82" s="86">
        <f t="shared" si="45"/>
        <v>5.0568999999999997</v>
      </c>
      <c r="M82" s="86">
        <f t="shared" si="45"/>
        <v>5.0416000000000007</v>
      </c>
      <c r="N82" s="86">
        <f>SUM(N78:N81)</f>
        <v>5.0420999999999996</v>
      </c>
      <c r="O82" s="86">
        <f t="shared" ref="O82:AE82" si="46">SUM(O78:O81)</f>
        <v>5.0625</v>
      </c>
      <c r="P82" s="86">
        <f t="shared" si="46"/>
        <v>5.0826000000000002</v>
      </c>
      <c r="Q82" s="86">
        <f t="shared" si="46"/>
        <v>5.2141000000000002</v>
      </c>
      <c r="R82" s="86">
        <f t="shared" si="46"/>
        <v>5.4172000000000002</v>
      </c>
      <c r="S82" s="86">
        <f t="shared" si="46"/>
        <v>5.7304000000000013</v>
      </c>
      <c r="T82" s="86">
        <f t="shared" si="46"/>
        <v>6.0494999999999983</v>
      </c>
      <c r="U82" s="86">
        <f t="shared" si="46"/>
        <v>6.3740000000000006</v>
      </c>
      <c r="V82" s="86">
        <f t="shared" si="46"/>
        <v>6.7038000000000011</v>
      </c>
      <c r="W82" s="86">
        <f t="shared" si="46"/>
        <v>7.0385999999999997</v>
      </c>
      <c r="X82" s="86">
        <f t="shared" si="46"/>
        <v>7.3785000000000007</v>
      </c>
      <c r="Y82" s="86">
        <f t="shared" si="46"/>
        <v>7.7234999999999996</v>
      </c>
      <c r="Z82" s="86">
        <f t="shared" si="46"/>
        <v>8.0730000000000004</v>
      </c>
      <c r="AA82" s="86">
        <f t="shared" si="46"/>
        <v>8.230599999999999</v>
      </c>
      <c r="AB82" s="86">
        <f t="shared" si="46"/>
        <v>8.3885000000000005</v>
      </c>
      <c r="AC82" s="86">
        <f t="shared" si="46"/>
        <v>8.5462999999999987</v>
      </c>
      <c r="AD82" s="86">
        <f t="shared" si="46"/>
        <v>8.7041000000000004</v>
      </c>
      <c r="AE82" s="86">
        <f t="shared" si="46"/>
        <v>8.8618000000000023</v>
      </c>
      <c r="AF82" s="67"/>
    </row>
    <row r="83" spans="2:32" x14ac:dyDescent="0.3">
      <c r="B83" s="64"/>
      <c r="C83" s="65"/>
      <c r="D83" s="66"/>
      <c r="E83" s="66"/>
      <c r="F83" s="168"/>
      <c r="G83" s="168"/>
      <c r="H83" s="168"/>
      <c r="I83" s="168"/>
      <c r="J83" s="168"/>
      <c r="K83" s="168"/>
      <c r="L83" s="168"/>
      <c r="M83" s="168"/>
      <c r="N83" s="168"/>
      <c r="O83" s="168"/>
      <c r="P83" s="168"/>
      <c r="Q83" s="168"/>
      <c r="R83" s="168"/>
      <c r="S83" s="168"/>
      <c r="T83" s="168"/>
      <c r="U83" s="168"/>
      <c r="V83" s="168"/>
      <c r="W83" s="168"/>
      <c r="X83" s="168"/>
      <c r="Y83" s="168"/>
      <c r="Z83" s="168"/>
      <c r="AA83" s="168"/>
      <c r="AB83" s="168"/>
      <c r="AC83" s="168"/>
      <c r="AD83" s="168"/>
      <c r="AE83" s="168"/>
      <c r="AF83" s="67"/>
    </row>
    <row r="84" spans="2:32" x14ac:dyDescent="0.3">
      <c r="B84" s="64"/>
      <c r="C84" s="66" t="s">
        <v>299</v>
      </c>
      <c r="D84" s="66"/>
      <c r="E84" s="66"/>
      <c r="F84" s="66"/>
      <c r="G84" s="66"/>
      <c r="H84" s="66"/>
      <c r="I84" s="66"/>
      <c r="J84" s="66"/>
      <c r="K84" s="88"/>
      <c r="L84" s="88"/>
      <c r="M84" s="88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67"/>
    </row>
    <row r="85" spans="2:32" ht="28.8" x14ac:dyDescent="0.3">
      <c r="B85" s="64"/>
      <c r="C85" s="65" t="s">
        <v>300</v>
      </c>
      <c r="D85" s="71" t="s">
        <v>301</v>
      </c>
      <c r="E85" s="71"/>
      <c r="F85" s="166">
        <f>F41*F90</f>
        <v>1.6786999999999996</v>
      </c>
      <c r="G85" s="166">
        <f t="shared" ref="G85:M85" si="47">G41*G90</f>
        <v>1.7401999999999993</v>
      </c>
      <c r="H85" s="166">
        <f t="shared" si="47"/>
        <v>1.7946999999999997</v>
      </c>
      <c r="I85" s="166">
        <f t="shared" si="47"/>
        <v>2.0486</v>
      </c>
      <c r="J85" s="166">
        <f t="shared" si="47"/>
        <v>2.3216000000000006</v>
      </c>
      <c r="K85" s="166">
        <f t="shared" si="47"/>
        <v>2.1813000000000007</v>
      </c>
      <c r="L85" s="166">
        <f t="shared" si="47"/>
        <v>2.0871999999999997</v>
      </c>
      <c r="M85" s="166">
        <f t="shared" si="47"/>
        <v>2.0767000000000007</v>
      </c>
      <c r="N85" s="162">
        <f t="shared" ref="N85:AE85" si="48">N90*N41</f>
        <v>2.0810999999999997</v>
      </c>
      <c r="O85" s="162">
        <f t="shared" si="48"/>
        <v>2.0896000000000008</v>
      </c>
      <c r="P85" s="162">
        <f t="shared" si="48"/>
        <v>2.0977999999999999</v>
      </c>
      <c r="Q85" s="162">
        <f t="shared" si="48"/>
        <v>2.1521000000000003</v>
      </c>
      <c r="R85" s="162">
        <f t="shared" si="48"/>
        <v>2.2359000000000004</v>
      </c>
      <c r="S85" s="162">
        <f t="shared" si="48"/>
        <v>2.3653000000000008</v>
      </c>
      <c r="T85" s="162">
        <f t="shared" si="48"/>
        <v>2.496999999999999</v>
      </c>
      <c r="U85" s="162">
        <f t="shared" si="48"/>
        <v>2.6309000000000009</v>
      </c>
      <c r="V85" s="162">
        <f t="shared" si="48"/>
        <v>2.7666000000000004</v>
      </c>
      <c r="W85" s="162">
        <f t="shared" si="48"/>
        <v>2.9043999999999994</v>
      </c>
      <c r="X85" s="162">
        <f t="shared" si="48"/>
        <v>3.0442000000000009</v>
      </c>
      <c r="Y85" s="162">
        <f t="shared" si="48"/>
        <v>3.1859999999999995</v>
      </c>
      <c r="Z85" s="162">
        <f t="shared" si="48"/>
        <v>3.3296000000000001</v>
      </c>
      <c r="AA85" s="162">
        <f t="shared" si="48"/>
        <v>3.3939999999999984</v>
      </c>
      <c r="AB85" s="162">
        <f t="shared" si="48"/>
        <v>3.4585000000000012</v>
      </c>
      <c r="AC85" s="162">
        <f t="shared" si="48"/>
        <v>3.5227999999999975</v>
      </c>
      <c r="AD85" s="162">
        <f t="shared" si="48"/>
        <v>3.5871000000000008</v>
      </c>
      <c r="AE85" s="162">
        <f t="shared" si="48"/>
        <v>3.6499000000000006</v>
      </c>
      <c r="AF85" s="67"/>
    </row>
    <row r="86" spans="2:32" ht="28.8" x14ac:dyDescent="0.3">
      <c r="B86" s="64"/>
      <c r="C86" s="65" t="s">
        <v>302</v>
      </c>
      <c r="D86" s="71" t="s">
        <v>303</v>
      </c>
      <c r="E86" s="71"/>
      <c r="F86" s="166">
        <f>F42*F90</f>
        <v>5.4999999999999997E-3</v>
      </c>
      <c r="G86" s="166">
        <f t="shared" ref="G86:M86" si="49">G42*G90</f>
        <v>6.4000000000000003E-3</v>
      </c>
      <c r="H86" s="166">
        <f t="shared" si="49"/>
        <v>7.3000000000000001E-3</v>
      </c>
      <c r="I86" s="166">
        <f t="shared" si="49"/>
        <v>2.2200000000000001E-2</v>
      </c>
      <c r="J86" s="166">
        <f t="shared" si="49"/>
        <v>3.7199999999999997E-2</v>
      </c>
      <c r="K86" s="166">
        <f t="shared" si="49"/>
        <v>3.2199999999999999E-2</v>
      </c>
      <c r="L86" s="166">
        <f t="shared" si="49"/>
        <v>2.7199999999999998E-2</v>
      </c>
      <c r="M86" s="166">
        <f t="shared" si="49"/>
        <v>3.0499999999999999E-2</v>
      </c>
      <c r="N86" s="162">
        <f t="shared" ref="N86:AE86" si="50">N90*N42</f>
        <v>3.3799999999999997E-2</v>
      </c>
      <c r="O86" s="162">
        <f t="shared" si="50"/>
        <v>3.5299999999999998E-2</v>
      </c>
      <c r="P86" s="162">
        <f t="shared" si="50"/>
        <v>3.6799999999999999E-2</v>
      </c>
      <c r="Q86" s="162">
        <f t="shared" si="50"/>
        <v>3.85E-2</v>
      </c>
      <c r="R86" s="162">
        <f t="shared" si="50"/>
        <v>3.3700000000000001E-2</v>
      </c>
      <c r="S86" s="162">
        <f t="shared" si="50"/>
        <v>3.56E-2</v>
      </c>
      <c r="T86" s="162">
        <f t="shared" si="50"/>
        <v>3.7600000000000001E-2</v>
      </c>
      <c r="U86" s="162">
        <f t="shared" si="50"/>
        <v>3.9600000000000003E-2</v>
      </c>
      <c r="V86" s="162">
        <f t="shared" si="50"/>
        <v>4.2800000000000102E-2</v>
      </c>
      <c r="W86" s="162">
        <f t="shared" si="50"/>
        <v>4.5900000000000205E-2</v>
      </c>
      <c r="X86" s="162">
        <f t="shared" si="50"/>
        <v>4.9200000000000306E-2</v>
      </c>
      <c r="Y86" s="162">
        <f t="shared" si="50"/>
        <v>5.2400000000000405E-2</v>
      </c>
      <c r="Z86" s="162">
        <f t="shared" si="50"/>
        <v>5.5699999999999618E-2</v>
      </c>
      <c r="AA86" s="162">
        <f t="shared" si="50"/>
        <v>5.7800000000000608E-2</v>
      </c>
      <c r="AB86" s="162">
        <f t="shared" si="50"/>
        <v>5.9799999999999819E-2</v>
      </c>
      <c r="AC86" s="162">
        <f t="shared" si="50"/>
        <v>6.1900000000000809E-2</v>
      </c>
      <c r="AD86" s="162">
        <f t="shared" si="50"/>
        <v>6.4000000000000029E-2</v>
      </c>
      <c r="AE86" s="162">
        <f t="shared" si="50"/>
        <v>6.8700000000000289E-2</v>
      </c>
      <c r="AF86" s="67"/>
    </row>
    <row r="87" spans="2:32" x14ac:dyDescent="0.3">
      <c r="B87" s="64"/>
      <c r="C87" s="65" t="s">
        <v>304</v>
      </c>
      <c r="D87" s="71" t="s">
        <v>305</v>
      </c>
      <c r="E87" s="71"/>
      <c r="F87" s="166">
        <f>F43*F90</f>
        <v>2.383</v>
      </c>
      <c r="G87" s="166">
        <f t="shared" ref="G87:M87" si="51">G43*G90</f>
        <v>2.4696000000000002</v>
      </c>
      <c r="H87" s="166">
        <f t="shared" si="51"/>
        <v>2.5461999999999998</v>
      </c>
      <c r="I87" s="166">
        <f t="shared" si="51"/>
        <v>2.8925999999999998</v>
      </c>
      <c r="J87" s="166">
        <f t="shared" si="51"/>
        <v>3.2660000000000005</v>
      </c>
      <c r="K87" s="166">
        <f t="shared" si="51"/>
        <v>3.0836999999999994</v>
      </c>
      <c r="L87" s="166">
        <f t="shared" si="51"/>
        <v>2.9424999999999999</v>
      </c>
      <c r="M87" s="166">
        <f t="shared" si="51"/>
        <v>2.9344000000000006</v>
      </c>
      <c r="N87" s="162">
        <f t="shared" ref="N87:AE87" si="52">N90*N43</f>
        <v>2.9272</v>
      </c>
      <c r="O87" s="162">
        <f t="shared" si="52"/>
        <v>2.9375999999999998</v>
      </c>
      <c r="P87" s="162">
        <f t="shared" si="52"/>
        <v>2.9480000000000004</v>
      </c>
      <c r="Q87" s="162">
        <f t="shared" si="52"/>
        <v>3.0234999999999999</v>
      </c>
      <c r="R87" s="162">
        <f t="shared" si="52"/>
        <v>3.1475999999999997</v>
      </c>
      <c r="S87" s="162">
        <f t="shared" si="52"/>
        <v>3.3294999999999999</v>
      </c>
      <c r="T87" s="162">
        <f t="shared" si="52"/>
        <v>3.5148999999999995</v>
      </c>
      <c r="U87" s="162">
        <f t="shared" si="52"/>
        <v>3.7035</v>
      </c>
      <c r="V87" s="162">
        <f t="shared" si="52"/>
        <v>3.8944000000000001</v>
      </c>
      <c r="W87" s="162">
        <f t="shared" si="52"/>
        <v>4.0883000000000003</v>
      </c>
      <c r="X87" s="162">
        <f t="shared" si="52"/>
        <v>4.2850999999999999</v>
      </c>
      <c r="Y87" s="162">
        <f t="shared" si="52"/>
        <v>4.4851000000000001</v>
      </c>
      <c r="Z87" s="162">
        <f t="shared" si="52"/>
        <v>4.6877000000000004</v>
      </c>
      <c r="AA87" s="162">
        <f t="shared" si="52"/>
        <v>4.7788000000000004</v>
      </c>
      <c r="AB87" s="162">
        <f t="shared" si="52"/>
        <v>4.8702000000000005</v>
      </c>
      <c r="AC87" s="162">
        <f t="shared" si="52"/>
        <v>4.9616000000000007</v>
      </c>
      <c r="AD87" s="162">
        <f t="shared" si="52"/>
        <v>5.0529999999999999</v>
      </c>
      <c r="AE87" s="162">
        <f t="shared" si="52"/>
        <v>5.1432000000000011</v>
      </c>
      <c r="AF87" s="67"/>
    </row>
    <row r="88" spans="2:32" x14ac:dyDescent="0.3">
      <c r="B88" s="64"/>
      <c r="C88" s="65"/>
      <c r="D88" s="65"/>
      <c r="E88" s="65"/>
      <c r="F88" s="86">
        <f t="shared" ref="F88:M88" si="53">SUM(F85:F87)</f>
        <v>4.0671999999999997</v>
      </c>
      <c r="G88" s="86">
        <f t="shared" si="53"/>
        <v>4.2161999999999997</v>
      </c>
      <c r="H88" s="86">
        <f t="shared" si="53"/>
        <v>4.3481999999999994</v>
      </c>
      <c r="I88" s="86">
        <f t="shared" si="53"/>
        <v>4.9634</v>
      </c>
      <c r="J88" s="86">
        <f t="shared" si="53"/>
        <v>5.6248000000000005</v>
      </c>
      <c r="K88" s="86">
        <f t="shared" si="53"/>
        <v>5.2972000000000001</v>
      </c>
      <c r="L88" s="86">
        <f t="shared" si="53"/>
        <v>5.0568999999999997</v>
      </c>
      <c r="M88" s="86">
        <f t="shared" si="53"/>
        <v>5.0416000000000007</v>
      </c>
      <c r="N88" s="86">
        <f>SUM(N85:N87)</f>
        <v>5.0420999999999996</v>
      </c>
      <c r="O88" s="86">
        <f t="shared" ref="O88:AE88" si="54">SUM(O85:O87)</f>
        <v>5.0625</v>
      </c>
      <c r="P88" s="86">
        <f t="shared" si="54"/>
        <v>5.0826000000000002</v>
      </c>
      <c r="Q88" s="86">
        <f t="shared" si="54"/>
        <v>5.2141000000000002</v>
      </c>
      <c r="R88" s="86">
        <f t="shared" si="54"/>
        <v>5.4172000000000002</v>
      </c>
      <c r="S88" s="86">
        <f t="shared" si="54"/>
        <v>5.7304000000000013</v>
      </c>
      <c r="T88" s="86">
        <f t="shared" si="54"/>
        <v>6.0494999999999983</v>
      </c>
      <c r="U88" s="86">
        <f t="shared" si="54"/>
        <v>6.3740000000000006</v>
      </c>
      <c r="V88" s="86">
        <f t="shared" si="54"/>
        <v>6.7038000000000011</v>
      </c>
      <c r="W88" s="86">
        <f t="shared" si="54"/>
        <v>7.0385999999999997</v>
      </c>
      <c r="X88" s="86">
        <f t="shared" si="54"/>
        <v>7.3785000000000007</v>
      </c>
      <c r="Y88" s="86">
        <f t="shared" si="54"/>
        <v>7.7234999999999996</v>
      </c>
      <c r="Z88" s="86">
        <f t="shared" si="54"/>
        <v>8.0730000000000004</v>
      </c>
      <c r="AA88" s="86">
        <f t="shared" si="54"/>
        <v>8.230599999999999</v>
      </c>
      <c r="AB88" s="86">
        <f t="shared" si="54"/>
        <v>8.3885000000000005</v>
      </c>
      <c r="AC88" s="86">
        <f t="shared" si="54"/>
        <v>8.5462999999999987</v>
      </c>
      <c r="AD88" s="86">
        <f t="shared" si="54"/>
        <v>8.7041000000000004</v>
      </c>
      <c r="AE88" s="86">
        <f t="shared" si="54"/>
        <v>8.8618000000000023</v>
      </c>
      <c r="AF88" s="67"/>
    </row>
    <row r="89" spans="2:32" x14ac:dyDescent="0.3">
      <c r="B89" s="64"/>
      <c r="C89" s="65"/>
      <c r="D89" s="65"/>
      <c r="E89" s="65"/>
      <c r="F89" s="65"/>
      <c r="G89" s="65"/>
      <c r="H89" s="65"/>
      <c r="I89" s="65"/>
      <c r="J89" s="65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  <c r="AC89" s="91"/>
      <c r="AD89" s="91"/>
      <c r="AE89" s="91"/>
      <c r="AF89" s="67"/>
    </row>
    <row r="90" spans="2:32" x14ac:dyDescent="0.3">
      <c r="B90" s="64"/>
      <c r="C90" s="65" t="s">
        <v>307</v>
      </c>
      <c r="D90" s="66" t="s">
        <v>308</v>
      </c>
      <c r="E90" s="66"/>
      <c r="F90" s="117">
        <f>F67</f>
        <v>4.0671999999999997</v>
      </c>
      <c r="G90" s="117">
        <f t="shared" ref="G90:AE90" si="55">G67</f>
        <v>4.2161999999999997</v>
      </c>
      <c r="H90" s="117">
        <f t="shared" si="55"/>
        <v>4.3481999999999994</v>
      </c>
      <c r="I90" s="117">
        <f t="shared" si="55"/>
        <v>4.9634</v>
      </c>
      <c r="J90" s="117">
        <f t="shared" si="55"/>
        <v>5.6248000000000005</v>
      </c>
      <c r="K90" s="117">
        <f t="shared" si="55"/>
        <v>5.2972000000000001</v>
      </c>
      <c r="L90" s="117">
        <f t="shared" si="55"/>
        <v>5.0568999999999997</v>
      </c>
      <c r="M90" s="117">
        <f t="shared" si="55"/>
        <v>5.0416000000000007</v>
      </c>
      <c r="N90" s="117">
        <f t="shared" si="55"/>
        <v>5.0421000000000005</v>
      </c>
      <c r="O90" s="117">
        <f t="shared" si="55"/>
        <v>5.0625000000000009</v>
      </c>
      <c r="P90" s="117">
        <f t="shared" si="55"/>
        <v>5.0826000000000002</v>
      </c>
      <c r="Q90" s="117">
        <f t="shared" si="55"/>
        <v>5.2141000000000002</v>
      </c>
      <c r="R90" s="117">
        <f t="shared" si="55"/>
        <v>5.4172000000000002</v>
      </c>
      <c r="S90" s="117">
        <f>S67</f>
        <v>5.7304000000000004</v>
      </c>
      <c r="T90" s="117">
        <f t="shared" si="55"/>
        <v>6.0494999999999992</v>
      </c>
      <c r="U90" s="117">
        <f t="shared" si="55"/>
        <v>6.3740000000000006</v>
      </c>
      <c r="V90" s="117">
        <f t="shared" si="55"/>
        <v>6.7038000000000002</v>
      </c>
      <c r="W90" s="117">
        <f t="shared" si="55"/>
        <v>7.0385999999999997</v>
      </c>
      <c r="X90" s="117">
        <f t="shared" si="55"/>
        <v>7.3785000000000007</v>
      </c>
      <c r="Y90" s="117">
        <f t="shared" si="55"/>
        <v>7.7234999999999996</v>
      </c>
      <c r="Z90" s="117">
        <f t="shared" si="55"/>
        <v>8.0730000000000004</v>
      </c>
      <c r="AA90" s="117">
        <f t="shared" si="55"/>
        <v>8.230599999999999</v>
      </c>
      <c r="AB90" s="117">
        <f t="shared" si="55"/>
        <v>8.3885000000000005</v>
      </c>
      <c r="AC90" s="117">
        <f t="shared" si="55"/>
        <v>8.5462999999999987</v>
      </c>
      <c r="AD90" s="117">
        <f t="shared" si="55"/>
        <v>8.7041000000000004</v>
      </c>
      <c r="AE90" s="117">
        <f t="shared" si="55"/>
        <v>8.8618000000000006</v>
      </c>
      <c r="AF90" s="67"/>
    </row>
    <row r="91" spans="2:32" x14ac:dyDescent="0.3">
      <c r="B91" s="64"/>
      <c r="C91" s="65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93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  <c r="AA91" s="94"/>
      <c r="AB91" s="94"/>
      <c r="AC91" s="94"/>
      <c r="AD91" s="94"/>
      <c r="AE91" s="94"/>
      <c r="AF91" s="67"/>
    </row>
    <row r="92" spans="2:32" ht="15" thickBot="1" x14ac:dyDescent="0.35">
      <c r="B92" s="80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2"/>
    </row>
    <row r="94" spans="2:32" x14ac:dyDescent="0.3">
      <c r="F94" s="149"/>
      <c r="G94" s="149"/>
      <c r="H94" s="149"/>
      <c r="I94" s="149"/>
      <c r="J94" s="149"/>
      <c r="K94" s="149"/>
      <c r="L94" s="149"/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  <c r="Z94" s="149"/>
      <c r="AA94" s="149"/>
      <c r="AB94" s="149"/>
      <c r="AC94" s="149"/>
      <c r="AD94" s="149"/>
      <c r="AE94" s="149"/>
    </row>
    <row r="95" spans="2:32" x14ac:dyDescent="0.3"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7022A-1770-4940-BF7E-E3C0A2941EEE}">
  <sheetPr>
    <tabColor theme="5" tint="0.59999389629810485"/>
  </sheetPr>
  <dimension ref="B1:AF100"/>
  <sheetViews>
    <sheetView topLeftCell="F1" workbookViewId="0">
      <pane ySplit="1" topLeftCell="A71" activePane="bottomLeft" state="frozen"/>
      <selection activeCell="C30" sqref="C30"/>
      <selection pane="bottomLeft" activeCell="F85" sqref="F85:AE85"/>
    </sheetView>
  </sheetViews>
  <sheetFormatPr defaultColWidth="11.44140625" defaultRowHeight="14.4" x14ac:dyDescent="0.3"/>
  <cols>
    <col min="2" max="2" width="20.6640625" bestFit="1" customWidth="1"/>
    <col min="3" max="3" width="35.33203125" bestFit="1" customWidth="1"/>
    <col min="4" max="4" width="31.33203125" bestFit="1" customWidth="1"/>
    <col min="5" max="5" width="9.109375" customWidth="1"/>
    <col min="6" max="6" width="8.5546875" customWidth="1"/>
    <col min="7" max="31" width="9.5546875" bestFit="1" customWidth="1"/>
  </cols>
  <sheetData>
    <row r="1" spans="2:32" ht="20.399999999999999" thickBot="1" x14ac:dyDescent="0.35">
      <c r="B1" s="55"/>
      <c r="C1" s="56"/>
      <c r="D1" s="56" t="s">
        <v>257</v>
      </c>
      <c r="E1" s="56"/>
      <c r="F1" s="97">
        <v>2010</v>
      </c>
      <c r="G1" s="97">
        <v>2011</v>
      </c>
      <c r="H1" s="97">
        <v>2012</v>
      </c>
      <c r="I1" s="97">
        <v>2013</v>
      </c>
      <c r="J1" s="97">
        <v>2014</v>
      </c>
      <c r="K1" s="97">
        <v>2015</v>
      </c>
      <c r="L1" s="97">
        <v>2016</v>
      </c>
      <c r="M1" s="97">
        <v>2017</v>
      </c>
      <c r="N1" s="97">
        <v>2018</v>
      </c>
      <c r="O1" s="97">
        <v>2019</v>
      </c>
      <c r="P1" s="97">
        <v>2020</v>
      </c>
      <c r="Q1" s="97">
        <v>2021</v>
      </c>
      <c r="R1" s="97">
        <v>2022</v>
      </c>
      <c r="S1" s="57">
        <v>2023</v>
      </c>
      <c r="T1" s="57">
        <v>2024</v>
      </c>
      <c r="U1" s="57">
        <v>2025</v>
      </c>
      <c r="V1" s="57">
        <v>2026</v>
      </c>
      <c r="W1" s="57">
        <v>2027</v>
      </c>
      <c r="X1" s="57">
        <v>2028</v>
      </c>
      <c r="Y1" s="57">
        <v>2029</v>
      </c>
      <c r="Z1" s="57">
        <v>2030</v>
      </c>
      <c r="AA1" s="57">
        <v>2031</v>
      </c>
      <c r="AB1" s="57">
        <v>2032</v>
      </c>
      <c r="AC1" s="57">
        <v>2033</v>
      </c>
      <c r="AD1" s="57">
        <v>2034</v>
      </c>
      <c r="AE1" s="57">
        <v>2035</v>
      </c>
      <c r="AF1" s="58"/>
    </row>
    <row r="2" spans="2:32" ht="15.6" customHeight="1" x14ac:dyDescent="0.3"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</row>
    <row r="3" spans="2:32" ht="15.6" customHeight="1" x14ac:dyDescent="0.3"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</row>
    <row r="4" spans="2:32" ht="15" thickBot="1" x14ac:dyDescent="0.35"/>
    <row r="5" spans="2:32" x14ac:dyDescent="0.3">
      <c r="B5" s="61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3"/>
    </row>
    <row r="6" spans="2:32" x14ac:dyDescent="0.3">
      <c r="B6" s="64"/>
      <c r="C6" s="65"/>
      <c r="D6" s="66" t="s">
        <v>258</v>
      </c>
      <c r="E6" s="66"/>
      <c r="F6" s="66"/>
      <c r="G6" s="66"/>
      <c r="H6" s="66"/>
      <c r="I6" s="66"/>
      <c r="J6" s="66"/>
      <c r="K6" s="66"/>
      <c r="L6" s="66"/>
      <c r="M6" s="66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7"/>
    </row>
    <row r="7" spans="2:32" x14ac:dyDescent="0.3">
      <c r="B7" s="64"/>
      <c r="C7" s="65"/>
      <c r="D7" s="66"/>
      <c r="E7" s="66"/>
      <c r="F7" s="66"/>
      <c r="G7" s="66"/>
      <c r="H7" s="66"/>
      <c r="I7" s="66"/>
      <c r="J7" s="66"/>
      <c r="K7" s="66"/>
      <c r="L7" s="66"/>
      <c r="M7" s="66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7"/>
    </row>
    <row r="8" spans="2:32" x14ac:dyDescent="0.3">
      <c r="B8" s="64"/>
      <c r="C8" s="65"/>
      <c r="D8" s="68" t="s">
        <v>319</v>
      </c>
      <c r="E8" s="68"/>
      <c r="F8" s="68"/>
      <c r="G8" s="68"/>
      <c r="H8" s="68"/>
      <c r="I8" s="68"/>
      <c r="J8" s="68"/>
      <c r="K8" s="68"/>
      <c r="L8" s="68"/>
      <c r="M8" s="68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7"/>
    </row>
    <row r="9" spans="2:32" x14ac:dyDescent="0.3">
      <c r="B9" s="64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7"/>
    </row>
    <row r="10" spans="2:32" x14ac:dyDescent="0.3">
      <c r="B10" s="64"/>
      <c r="C10" s="66" t="s">
        <v>260</v>
      </c>
      <c r="D10" s="66" t="s">
        <v>261</v>
      </c>
      <c r="E10" s="66"/>
      <c r="F10" s="66"/>
      <c r="G10" s="66"/>
      <c r="H10" s="66"/>
      <c r="I10" s="66"/>
      <c r="J10" s="66"/>
      <c r="K10" s="66"/>
      <c r="L10" s="66"/>
      <c r="M10" s="66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7"/>
    </row>
    <row r="11" spans="2:32" x14ac:dyDescent="0.3">
      <c r="B11" s="64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7"/>
    </row>
    <row r="12" spans="2:32" x14ac:dyDescent="0.3">
      <c r="B12" s="64"/>
      <c r="C12" s="66" t="s">
        <v>262</v>
      </c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7"/>
    </row>
    <row r="13" spans="2:32" x14ac:dyDescent="0.3">
      <c r="B13" s="64"/>
      <c r="C13" s="111" t="s">
        <v>263</v>
      </c>
      <c r="D13" s="109" t="s">
        <v>264</v>
      </c>
      <c r="E13" s="69"/>
      <c r="F13" s="70">
        <f>F58/F67</f>
        <v>0.41274095200629418</v>
      </c>
      <c r="G13" s="70">
        <f t="shared" ref="G13:AE13" si="0">G58/G67</f>
        <v>0.41274133105640148</v>
      </c>
      <c r="H13" s="70">
        <f t="shared" si="0"/>
        <v>0.41274550388666587</v>
      </c>
      <c r="I13" s="70">
        <f t="shared" si="0"/>
        <v>0.41274126606761491</v>
      </c>
      <c r="J13" s="70">
        <f t="shared" si="0"/>
        <v>0.41274356421561664</v>
      </c>
      <c r="K13" s="70">
        <f t="shared" si="0"/>
        <v>0.41178358378011037</v>
      </c>
      <c r="L13" s="70">
        <f t="shared" si="0"/>
        <v>0.41274298483260502</v>
      </c>
      <c r="M13" s="70">
        <f t="shared" si="0"/>
        <v>0.41191288479847676</v>
      </c>
      <c r="N13" s="70">
        <f t="shared" si="0"/>
        <v>0.41274468971261963</v>
      </c>
      <c r="O13" s="70">
        <f t="shared" si="0"/>
        <v>0.41276049382716046</v>
      </c>
      <c r="P13" s="70">
        <f t="shared" si="0"/>
        <v>0.41274151025065897</v>
      </c>
      <c r="Q13" s="70">
        <f t="shared" si="0"/>
        <v>0.41274620739916767</v>
      </c>
      <c r="R13" s="70">
        <f t="shared" si="0"/>
        <v>0.41274089935760178</v>
      </c>
      <c r="S13" s="70">
        <f t="shared" si="0"/>
        <v>0.41279424852112312</v>
      </c>
      <c r="T13" s="70">
        <f t="shared" si="0"/>
        <v>0.41279050547125518</v>
      </c>
      <c r="U13" s="70">
        <f t="shared" si="0"/>
        <v>0.41277336763829192</v>
      </c>
      <c r="V13" s="70">
        <f t="shared" si="0"/>
        <v>0.4126676313080837</v>
      </c>
      <c r="W13" s="70">
        <f t="shared" si="0"/>
        <v>0.41256535576267334</v>
      </c>
      <c r="X13" s="70">
        <f t="shared" si="0"/>
        <v>0.41245035984874157</v>
      </c>
      <c r="Y13" s="70">
        <f t="shared" si="0"/>
        <v>0.4123192065156871</v>
      </c>
      <c r="Z13" s="70">
        <f t="shared" si="0"/>
        <v>0.41216551040634286</v>
      </c>
      <c r="AA13" s="70">
        <f t="shared" si="0"/>
        <v>0.41202488577816659</v>
      </c>
      <c r="AB13" s="70">
        <f t="shared" si="0"/>
        <v>0.41187271231504785</v>
      </c>
      <c r="AC13" s="70">
        <f t="shared" si="0"/>
        <v>0.41170275014628438</v>
      </c>
      <c r="AD13" s="70">
        <f t="shared" si="0"/>
        <v>0.41153894768290294</v>
      </c>
      <c r="AE13" s="70">
        <f t="shared" si="0"/>
        <v>0.41137433269753854</v>
      </c>
      <c r="AF13" s="67"/>
    </row>
    <row r="14" spans="2:32" x14ac:dyDescent="0.3">
      <c r="B14" s="64"/>
      <c r="C14" s="65" t="s">
        <v>265</v>
      </c>
      <c r="D14" s="69" t="s">
        <v>266</v>
      </c>
      <c r="E14" s="69"/>
      <c r="F14" s="70">
        <f>F59/F67</f>
        <v>0</v>
      </c>
      <c r="G14" s="70">
        <f t="shared" ref="G14:AE14" si="1">G59/G67</f>
        <v>0</v>
      </c>
      <c r="H14" s="70">
        <f t="shared" si="1"/>
        <v>0</v>
      </c>
      <c r="I14" s="70">
        <f t="shared" si="1"/>
        <v>0</v>
      </c>
      <c r="J14" s="70">
        <f t="shared" si="1"/>
        <v>0</v>
      </c>
      <c r="K14" s="70">
        <f t="shared" si="1"/>
        <v>0</v>
      </c>
      <c r="L14" s="70">
        <f t="shared" si="1"/>
        <v>0</v>
      </c>
      <c r="M14" s="70">
        <f t="shared" si="1"/>
        <v>0</v>
      </c>
      <c r="N14" s="70">
        <f t="shared" si="1"/>
        <v>0</v>
      </c>
      <c r="O14" s="70">
        <f t="shared" si="1"/>
        <v>0</v>
      </c>
      <c r="P14" s="70">
        <f t="shared" si="1"/>
        <v>0</v>
      </c>
      <c r="Q14" s="70">
        <f t="shared" si="1"/>
        <v>0</v>
      </c>
      <c r="R14" s="70">
        <f t="shared" si="1"/>
        <v>0</v>
      </c>
      <c r="S14" s="70">
        <f t="shared" si="1"/>
        <v>0</v>
      </c>
      <c r="T14" s="70">
        <f t="shared" si="1"/>
        <v>0</v>
      </c>
      <c r="U14" s="70">
        <f t="shared" si="1"/>
        <v>0</v>
      </c>
      <c r="V14" s="70">
        <f t="shared" si="1"/>
        <v>0</v>
      </c>
      <c r="W14" s="70">
        <f t="shared" si="1"/>
        <v>0</v>
      </c>
      <c r="X14" s="70">
        <f t="shared" si="1"/>
        <v>0</v>
      </c>
      <c r="Y14" s="70">
        <f t="shared" si="1"/>
        <v>0</v>
      </c>
      <c r="Z14" s="70">
        <f t="shared" si="1"/>
        <v>0</v>
      </c>
      <c r="AA14" s="70">
        <f t="shared" si="1"/>
        <v>0</v>
      </c>
      <c r="AB14" s="70">
        <f t="shared" si="1"/>
        <v>0</v>
      </c>
      <c r="AC14" s="70">
        <f t="shared" si="1"/>
        <v>0</v>
      </c>
      <c r="AD14" s="70">
        <f t="shared" si="1"/>
        <v>0</v>
      </c>
      <c r="AE14" s="70">
        <f t="shared" si="1"/>
        <v>0</v>
      </c>
      <c r="AF14" s="67"/>
    </row>
    <row r="15" spans="2:32" x14ac:dyDescent="0.3">
      <c r="B15" s="64"/>
      <c r="C15" s="111" t="s">
        <v>267</v>
      </c>
      <c r="D15" s="109" t="s">
        <v>268</v>
      </c>
      <c r="E15" s="69"/>
      <c r="F15" s="70">
        <f>F60/F67</f>
        <v>1.3522816679779701E-3</v>
      </c>
      <c r="G15" s="70">
        <f t="shared" ref="G15:AE15" si="2">G60/G67</f>
        <v>1.5179545562354726E-3</v>
      </c>
      <c r="H15" s="70">
        <f t="shared" si="2"/>
        <v>1.678855618416816E-3</v>
      </c>
      <c r="I15" s="70">
        <f t="shared" si="2"/>
        <v>4.4727404601684331E-3</v>
      </c>
      <c r="J15" s="70">
        <f t="shared" si="2"/>
        <v>6.6135684824349299E-3</v>
      </c>
      <c r="K15" s="70">
        <f t="shared" si="2"/>
        <v>6.0786830778524498E-3</v>
      </c>
      <c r="L15" s="70">
        <f t="shared" si="2"/>
        <v>5.3787893768909795E-3</v>
      </c>
      <c r="M15" s="70">
        <f t="shared" si="2"/>
        <v>6.0496667724531886E-3</v>
      </c>
      <c r="N15" s="70">
        <f t="shared" si="2"/>
        <v>6.7035560579917089E-3</v>
      </c>
      <c r="O15" s="70">
        <f t="shared" si="2"/>
        <v>6.9728395061728395E-3</v>
      </c>
      <c r="P15" s="70">
        <f t="shared" si="2"/>
        <v>7.240388777397396E-3</v>
      </c>
      <c r="Q15" s="70">
        <f t="shared" si="2"/>
        <v>7.3838246293703612E-3</v>
      </c>
      <c r="R15" s="70">
        <f t="shared" si="2"/>
        <v>6.2209259395997933E-3</v>
      </c>
      <c r="S15" s="70">
        <f t="shared" si="2"/>
        <v>6.2121555830875813E-3</v>
      </c>
      <c r="T15" s="70">
        <f t="shared" si="2"/>
        <v>6.2150814902972012E-3</v>
      </c>
      <c r="U15" s="70">
        <f t="shared" si="2"/>
        <v>6.2125443192871267E-3</v>
      </c>
      <c r="V15" s="70">
        <f t="shared" si="2"/>
        <v>6.5635395378671468E-3</v>
      </c>
      <c r="W15" s="70">
        <f t="shared" si="2"/>
        <v>6.8623550807001589E-3</v>
      </c>
      <c r="X15" s="70">
        <f t="shared" si="2"/>
        <v>7.1427603312505927E-3</v>
      </c>
      <c r="Y15" s="70">
        <f t="shared" si="2"/>
        <v>7.3935956700203285E-3</v>
      </c>
      <c r="Z15" s="70">
        <f t="shared" si="2"/>
        <v>7.6313181367690794E-3</v>
      </c>
      <c r="AA15" s="70">
        <f t="shared" si="2"/>
        <v>7.886167006901916E-3</v>
      </c>
      <c r="AB15" s="70">
        <f t="shared" si="2"/>
        <v>8.1194186448559132E-3</v>
      </c>
      <c r="AC15" s="70">
        <f t="shared" si="2"/>
        <v>8.3557636044470449E-3</v>
      </c>
      <c r="AD15" s="70">
        <f t="shared" si="2"/>
        <v>8.5720523515690535E-3</v>
      </c>
      <c r="AE15" s="70">
        <f t="shared" si="2"/>
        <v>8.7920273579901349E-3</v>
      </c>
      <c r="AF15" s="67"/>
    </row>
    <row r="16" spans="2:32" x14ac:dyDescent="0.3">
      <c r="B16" s="64"/>
      <c r="C16" s="111" t="s">
        <v>269</v>
      </c>
      <c r="D16" s="109" t="s">
        <v>270</v>
      </c>
      <c r="E16" s="69"/>
      <c r="F16" s="70">
        <f>F61/F67</f>
        <v>0.30664830841856811</v>
      </c>
      <c r="G16" s="70">
        <f t="shared" ref="G16:AE16" si="3">G61/G67</f>
        <v>0.32114226080356717</v>
      </c>
      <c r="H16" s="70">
        <f t="shared" si="3"/>
        <v>0.33305735706729217</v>
      </c>
      <c r="I16" s="70">
        <f t="shared" si="3"/>
        <v>0.31724221299915378</v>
      </c>
      <c r="J16" s="70">
        <f t="shared" si="3"/>
        <v>0.30415303655241077</v>
      </c>
      <c r="K16" s="70">
        <f t="shared" si="3"/>
        <v>0.37693498452012381</v>
      </c>
      <c r="L16" s="70">
        <f t="shared" si="3"/>
        <v>0.43860863374794828</v>
      </c>
      <c r="M16" s="70">
        <f t="shared" si="3"/>
        <v>0.46566566169470003</v>
      </c>
      <c r="N16" s="70">
        <f t="shared" si="3"/>
        <v>0.48824894389242579</v>
      </c>
      <c r="O16" s="70">
        <f t="shared" si="3"/>
        <v>0.48944197530864192</v>
      </c>
      <c r="P16" s="70">
        <f t="shared" si="3"/>
        <v>0.49031991500413186</v>
      </c>
      <c r="Q16" s="70">
        <f t="shared" si="3"/>
        <v>0.50630022439155364</v>
      </c>
      <c r="R16" s="70">
        <f t="shared" si="3"/>
        <v>0.50749464668094213</v>
      </c>
      <c r="S16" s="70">
        <f t="shared" si="3"/>
        <v>0.50747727153750855</v>
      </c>
      <c r="T16" s="70">
        <f t="shared" si="3"/>
        <v>0.5074713213659956</v>
      </c>
      <c r="U16" s="70">
        <f t="shared" si="3"/>
        <v>0.50748329202095943</v>
      </c>
      <c r="V16" s="70">
        <f t="shared" si="3"/>
        <v>0.50724226919462378</v>
      </c>
      <c r="W16" s="70">
        <f t="shared" si="3"/>
        <v>0.50703284837463058</v>
      </c>
      <c r="X16" s="70">
        <f t="shared" si="3"/>
        <v>0.50687846464536934</v>
      </c>
      <c r="Y16" s="70">
        <f t="shared" si="3"/>
        <v>0.50675264473190129</v>
      </c>
      <c r="Z16" s="70">
        <f t="shared" si="3"/>
        <v>0.50665262636273545</v>
      </c>
      <c r="AA16" s="70">
        <f t="shared" si="3"/>
        <v>0.50654952853115587</v>
      </c>
      <c r="AB16" s="70">
        <f t="shared" si="3"/>
        <v>0.50645618971540307</v>
      </c>
      <c r="AC16" s="70">
        <f t="shared" si="3"/>
        <v>0.50638970157987129</v>
      </c>
      <c r="AD16" s="70">
        <f t="shared" si="3"/>
        <v>0.50633711376929003</v>
      </c>
      <c r="AE16" s="70">
        <f t="shared" si="3"/>
        <v>0.5062808257056759</v>
      </c>
      <c r="AF16" s="67"/>
    </row>
    <row r="17" spans="2:32" x14ac:dyDescent="0.3">
      <c r="B17" s="64"/>
      <c r="C17" s="111" t="s">
        <v>271</v>
      </c>
      <c r="D17" s="109" t="s">
        <v>272</v>
      </c>
      <c r="E17" s="69"/>
      <c r="F17" s="70">
        <f>F62/F67</f>
        <v>0.27702104642014164</v>
      </c>
      <c r="G17" s="70">
        <f t="shared" ref="G17:AE17" si="4">G62/G67</f>
        <v>0.26229780370950145</v>
      </c>
      <c r="H17" s="70">
        <f t="shared" si="4"/>
        <v>0.25012648912193547</v>
      </c>
      <c r="I17" s="70">
        <f t="shared" si="4"/>
        <v>0.26336785268162949</v>
      </c>
      <c r="J17" s="70">
        <f t="shared" si="4"/>
        <v>0.27448087043094865</v>
      </c>
      <c r="K17" s="70">
        <f t="shared" si="4"/>
        <v>0.20308842407309524</v>
      </c>
      <c r="L17" s="70">
        <f t="shared" si="4"/>
        <v>0.14105479641677707</v>
      </c>
      <c r="M17" s="70">
        <f t="shared" si="4"/>
        <v>0.11411059980958425</v>
      </c>
      <c r="N17" s="70">
        <f t="shared" si="4"/>
        <v>9.0002181630669753E-2</v>
      </c>
      <c r="O17" s="70">
        <f t="shared" si="4"/>
        <v>8.7841975308641976E-2</v>
      </c>
      <c r="P17" s="70">
        <f t="shared" si="4"/>
        <v>8.5900916853578882E-2</v>
      </c>
      <c r="Q17" s="70">
        <f t="shared" si="4"/>
        <v>7.1824475940238969E-2</v>
      </c>
      <c r="R17" s="70">
        <f t="shared" si="4"/>
        <v>7.101454626006054E-2</v>
      </c>
      <c r="S17" s="70">
        <f t="shared" si="4"/>
        <v>7.1003542324672375E-2</v>
      </c>
      <c r="T17" s="70">
        <f t="shared" si="4"/>
        <v>7.1010611921055247E-2</v>
      </c>
      <c r="U17" s="70">
        <f t="shared" si="4"/>
        <v>7.1004988861347304E-2</v>
      </c>
      <c r="V17" s="70">
        <f t="shared" si="4"/>
        <v>7.1005564091471865E-2</v>
      </c>
      <c r="W17" s="70">
        <f t="shared" si="4"/>
        <v>7.1010456922027732E-2</v>
      </c>
      <c r="X17" s="70">
        <f t="shared" si="4"/>
        <v>7.1007440940079436E-2</v>
      </c>
      <c r="Y17" s="70">
        <f t="shared" si="4"/>
        <v>7.1009594841316082E-2</v>
      </c>
      <c r="Z17" s="70">
        <f t="shared" si="4"/>
        <v>7.1023290386521318E-2</v>
      </c>
      <c r="AA17" s="70">
        <f t="shared" si="4"/>
        <v>7.1011956838728504E-2</v>
      </c>
      <c r="AB17" s="70">
        <f t="shared" si="4"/>
        <v>7.1024048263445924E-2</v>
      </c>
      <c r="AC17" s="70">
        <f t="shared" si="4"/>
        <v>7.1023990637799878E-2</v>
      </c>
      <c r="AD17" s="70">
        <f t="shared" si="4"/>
        <v>7.1023935100600954E-2</v>
      </c>
      <c r="AE17" s="70">
        <f t="shared" si="4"/>
        <v>7.1024683137139819E-2</v>
      </c>
      <c r="AF17" s="67"/>
    </row>
    <row r="18" spans="2:32" x14ac:dyDescent="0.3">
      <c r="B18" s="64"/>
      <c r="C18" s="71" t="s">
        <v>273</v>
      </c>
      <c r="D18" s="72" t="s">
        <v>274</v>
      </c>
      <c r="E18" s="72"/>
      <c r="F18" s="70">
        <f>F63/F67</f>
        <v>0</v>
      </c>
      <c r="G18" s="70">
        <f t="shared" ref="G18:AE18" si="5">G63/G67</f>
        <v>0</v>
      </c>
      <c r="H18" s="70">
        <f t="shared" si="5"/>
        <v>0</v>
      </c>
      <c r="I18" s="70">
        <f t="shared" si="5"/>
        <v>0</v>
      </c>
      <c r="J18" s="70">
        <f t="shared" si="5"/>
        <v>0</v>
      </c>
      <c r="K18" s="70">
        <f t="shared" si="5"/>
        <v>0</v>
      </c>
      <c r="L18" s="70">
        <f t="shared" si="5"/>
        <v>0</v>
      </c>
      <c r="M18" s="70">
        <f t="shared" si="5"/>
        <v>0</v>
      </c>
      <c r="N18" s="70">
        <f t="shared" si="5"/>
        <v>0</v>
      </c>
      <c r="O18" s="70">
        <f t="shared" si="5"/>
        <v>0</v>
      </c>
      <c r="P18" s="70">
        <f t="shared" si="5"/>
        <v>0</v>
      </c>
      <c r="Q18" s="70">
        <f t="shared" si="5"/>
        <v>0</v>
      </c>
      <c r="R18" s="70">
        <f t="shared" si="5"/>
        <v>0</v>
      </c>
      <c r="S18" s="70">
        <f t="shared" si="5"/>
        <v>0</v>
      </c>
      <c r="T18" s="70">
        <f t="shared" si="5"/>
        <v>0</v>
      </c>
      <c r="U18" s="70">
        <f t="shared" si="5"/>
        <v>0</v>
      </c>
      <c r="V18" s="70">
        <f t="shared" si="5"/>
        <v>0</v>
      </c>
      <c r="W18" s="70">
        <f t="shared" si="5"/>
        <v>0</v>
      </c>
      <c r="X18" s="70">
        <f t="shared" si="5"/>
        <v>0</v>
      </c>
      <c r="Y18" s="70">
        <f t="shared" si="5"/>
        <v>0</v>
      </c>
      <c r="Z18" s="70">
        <f t="shared" si="5"/>
        <v>0</v>
      </c>
      <c r="AA18" s="70">
        <f t="shared" si="5"/>
        <v>0</v>
      </c>
      <c r="AB18" s="70">
        <f t="shared" si="5"/>
        <v>0</v>
      </c>
      <c r="AC18" s="70">
        <f t="shared" si="5"/>
        <v>0</v>
      </c>
      <c r="AD18" s="70">
        <f t="shared" si="5"/>
        <v>0</v>
      </c>
      <c r="AE18" s="70">
        <f t="shared" si="5"/>
        <v>0</v>
      </c>
      <c r="AF18" s="67"/>
    </row>
    <row r="19" spans="2:32" x14ac:dyDescent="0.3">
      <c r="B19" s="64"/>
      <c r="C19" s="112" t="s">
        <v>275</v>
      </c>
      <c r="D19" s="110" t="s">
        <v>276</v>
      </c>
      <c r="E19" s="72"/>
      <c r="F19" s="70">
        <f>F64/F67</f>
        <v>2.2374114870180963E-3</v>
      </c>
      <c r="G19" s="70">
        <f t="shared" ref="G19:AE19" si="6">G64/G67</f>
        <v>2.3006498742943879E-3</v>
      </c>
      <c r="H19" s="70">
        <f t="shared" si="6"/>
        <v>2.3917943056897106E-3</v>
      </c>
      <c r="I19" s="70">
        <f t="shared" si="6"/>
        <v>2.175927791433292E-3</v>
      </c>
      <c r="J19" s="70">
        <f t="shared" si="6"/>
        <v>2.0089603185891049E-3</v>
      </c>
      <c r="K19" s="70">
        <f t="shared" si="6"/>
        <v>2.1143245488182433E-3</v>
      </c>
      <c r="L19" s="70">
        <f t="shared" si="6"/>
        <v>2.2147956257786388E-3</v>
      </c>
      <c r="M19" s="70">
        <f t="shared" si="6"/>
        <v>2.2611869247857819E-3</v>
      </c>
      <c r="N19" s="70">
        <f t="shared" si="6"/>
        <v>2.3006287062930127E-3</v>
      </c>
      <c r="O19" s="70">
        <f t="shared" si="6"/>
        <v>2.9827160493827161E-3</v>
      </c>
      <c r="P19" s="70">
        <f t="shared" si="6"/>
        <v>3.7972691142328738E-3</v>
      </c>
      <c r="Q19" s="70">
        <f t="shared" si="6"/>
        <v>1.7452676396693581E-3</v>
      </c>
      <c r="R19" s="70">
        <f t="shared" si="6"/>
        <v>2.5289817617957615E-3</v>
      </c>
      <c r="S19" s="70">
        <f t="shared" si="6"/>
        <v>2.5127820336084596E-3</v>
      </c>
      <c r="T19" s="70">
        <f t="shared" si="6"/>
        <v>2.5124797513967406E-3</v>
      </c>
      <c r="U19" s="70">
        <f t="shared" si="6"/>
        <v>2.5258071601142102E-3</v>
      </c>
      <c r="V19" s="70">
        <f t="shared" si="6"/>
        <v>2.5209958679535179E-3</v>
      </c>
      <c r="W19" s="70">
        <f t="shared" si="6"/>
        <v>2.5289838599681746E-3</v>
      </c>
      <c r="X19" s="70">
        <f t="shared" si="6"/>
        <v>2.5209742345590328E-3</v>
      </c>
      <c r="Y19" s="70">
        <f t="shared" si="6"/>
        <v>2.5249582410752439E-3</v>
      </c>
      <c r="Z19" s="70">
        <f t="shared" si="6"/>
        <v>2.5272547076313186E-3</v>
      </c>
      <c r="AA19" s="70">
        <f t="shared" si="6"/>
        <v>2.5274618450471468E-3</v>
      </c>
      <c r="AB19" s="70">
        <f t="shared" si="6"/>
        <v>2.527631061247362E-3</v>
      </c>
      <c r="AC19" s="70">
        <f t="shared" si="6"/>
        <v>2.5277940315974255E-3</v>
      </c>
      <c r="AD19" s="70">
        <f t="shared" si="6"/>
        <v>2.5279510956369862E-3</v>
      </c>
      <c r="AE19" s="70">
        <f t="shared" si="6"/>
        <v>2.5281311016556998E-3</v>
      </c>
      <c r="AF19" s="67"/>
    </row>
    <row r="20" spans="2:32" x14ac:dyDescent="0.3">
      <c r="B20" s="64"/>
      <c r="C20" s="65" t="s">
        <v>277</v>
      </c>
      <c r="D20" s="69" t="s">
        <v>278</v>
      </c>
      <c r="E20" s="69"/>
      <c r="F20" s="70">
        <f>F65/F67</f>
        <v>0</v>
      </c>
      <c r="G20" s="70">
        <f t="shared" ref="G20:AE20" si="7">G65/G67</f>
        <v>0</v>
      </c>
      <c r="H20" s="70">
        <f t="shared" si="7"/>
        <v>0</v>
      </c>
      <c r="I20" s="70">
        <f t="shared" si="7"/>
        <v>0</v>
      </c>
      <c r="J20" s="70">
        <f t="shared" si="7"/>
        <v>0</v>
      </c>
      <c r="K20" s="70">
        <f t="shared" si="7"/>
        <v>0</v>
      </c>
      <c r="L20" s="70">
        <f t="shared" si="7"/>
        <v>0</v>
      </c>
      <c r="M20" s="70">
        <f t="shared" si="7"/>
        <v>0</v>
      </c>
      <c r="N20" s="70">
        <f t="shared" si="7"/>
        <v>0</v>
      </c>
      <c r="O20" s="70">
        <f t="shared" si="7"/>
        <v>0</v>
      </c>
      <c r="P20" s="70">
        <f t="shared" si="7"/>
        <v>0</v>
      </c>
      <c r="Q20" s="70">
        <f t="shared" si="7"/>
        <v>0</v>
      </c>
      <c r="R20" s="70">
        <f t="shared" si="7"/>
        <v>0</v>
      </c>
      <c r="S20" s="70">
        <f t="shared" si="7"/>
        <v>0</v>
      </c>
      <c r="T20" s="70">
        <f t="shared" si="7"/>
        <v>0</v>
      </c>
      <c r="U20" s="70">
        <f t="shared" si="7"/>
        <v>0</v>
      </c>
      <c r="V20" s="70">
        <f t="shared" si="7"/>
        <v>0</v>
      </c>
      <c r="W20" s="70">
        <f t="shared" si="7"/>
        <v>0</v>
      </c>
      <c r="X20" s="70">
        <f t="shared" si="7"/>
        <v>0</v>
      </c>
      <c r="Y20" s="70">
        <f t="shared" si="7"/>
        <v>0</v>
      </c>
      <c r="Z20" s="70">
        <f t="shared" si="7"/>
        <v>0</v>
      </c>
      <c r="AA20" s="70">
        <f t="shared" si="7"/>
        <v>0</v>
      </c>
      <c r="AB20" s="70">
        <f t="shared" si="7"/>
        <v>0</v>
      </c>
      <c r="AC20" s="70">
        <f t="shared" si="7"/>
        <v>0</v>
      </c>
      <c r="AD20" s="70">
        <f t="shared" si="7"/>
        <v>0</v>
      </c>
      <c r="AE20" s="70">
        <f t="shared" si="7"/>
        <v>0</v>
      </c>
      <c r="AF20" s="67"/>
    </row>
    <row r="21" spans="2:32" x14ac:dyDescent="0.3">
      <c r="B21" s="64"/>
      <c r="C21" s="65" t="s">
        <v>279</v>
      </c>
      <c r="D21" s="69" t="s">
        <v>280</v>
      </c>
      <c r="E21" s="69"/>
      <c r="F21" s="70">
        <f>F66/F67</f>
        <v>0</v>
      </c>
      <c r="G21" s="70">
        <f t="shared" ref="G21:AE21" si="8">G66/G67</f>
        <v>0</v>
      </c>
      <c r="H21" s="70">
        <f t="shared" si="8"/>
        <v>0</v>
      </c>
      <c r="I21" s="70">
        <f t="shared" si="8"/>
        <v>0</v>
      </c>
      <c r="J21" s="70">
        <f t="shared" si="8"/>
        <v>0</v>
      </c>
      <c r="K21" s="70">
        <f t="shared" si="8"/>
        <v>0</v>
      </c>
      <c r="L21" s="70">
        <f t="shared" si="8"/>
        <v>0</v>
      </c>
      <c r="M21" s="70">
        <f t="shared" si="8"/>
        <v>0</v>
      </c>
      <c r="N21" s="70">
        <f t="shared" si="8"/>
        <v>0</v>
      </c>
      <c r="O21" s="70">
        <f t="shared" si="8"/>
        <v>0</v>
      </c>
      <c r="P21" s="70">
        <f t="shared" si="8"/>
        <v>0</v>
      </c>
      <c r="Q21" s="70">
        <f t="shared" si="8"/>
        <v>0</v>
      </c>
      <c r="R21" s="70">
        <f t="shared" si="8"/>
        <v>0</v>
      </c>
      <c r="S21" s="70">
        <f t="shared" si="8"/>
        <v>0</v>
      </c>
      <c r="T21" s="70">
        <f t="shared" si="8"/>
        <v>0</v>
      </c>
      <c r="U21" s="70">
        <f t="shared" si="8"/>
        <v>0</v>
      </c>
      <c r="V21" s="70">
        <f t="shared" si="8"/>
        <v>0</v>
      </c>
      <c r="W21" s="70">
        <f t="shared" si="8"/>
        <v>0</v>
      </c>
      <c r="X21" s="70">
        <f t="shared" si="8"/>
        <v>0</v>
      </c>
      <c r="Y21" s="70">
        <f t="shared" si="8"/>
        <v>0</v>
      </c>
      <c r="Z21" s="70">
        <f t="shared" si="8"/>
        <v>0</v>
      </c>
      <c r="AA21" s="70">
        <f t="shared" si="8"/>
        <v>0</v>
      </c>
      <c r="AB21" s="70">
        <f t="shared" si="8"/>
        <v>0</v>
      </c>
      <c r="AC21" s="70">
        <f t="shared" si="8"/>
        <v>0</v>
      </c>
      <c r="AD21" s="70">
        <f t="shared" si="8"/>
        <v>0</v>
      </c>
      <c r="AE21" s="70">
        <f t="shared" si="8"/>
        <v>0</v>
      </c>
      <c r="AF21" s="67"/>
    </row>
    <row r="22" spans="2:32" x14ac:dyDescent="0.3">
      <c r="B22" s="64"/>
      <c r="C22" s="65"/>
      <c r="D22" s="65"/>
      <c r="E22" s="65"/>
      <c r="F22" s="73">
        <f t="shared" ref="F22:AE22" si="9">SUM(F13:F21)</f>
        <v>1</v>
      </c>
      <c r="G22" s="73">
        <f t="shared" si="9"/>
        <v>1</v>
      </c>
      <c r="H22" s="73">
        <f t="shared" si="9"/>
        <v>1</v>
      </c>
      <c r="I22" s="73">
        <f t="shared" si="9"/>
        <v>0.99999999999999978</v>
      </c>
      <c r="J22" s="73">
        <f t="shared" si="9"/>
        <v>1.0000000000000002</v>
      </c>
      <c r="K22" s="73">
        <f t="shared" si="9"/>
        <v>1.0000000000000002</v>
      </c>
      <c r="L22" s="73">
        <f t="shared" si="9"/>
        <v>1</v>
      </c>
      <c r="M22" s="73">
        <f t="shared" si="9"/>
        <v>1</v>
      </c>
      <c r="N22" s="73">
        <f>SUM(N13:N21)</f>
        <v>0.99999999999999989</v>
      </c>
      <c r="O22" s="73">
        <f t="shared" si="9"/>
        <v>0.99999999999999989</v>
      </c>
      <c r="P22" s="73">
        <f t="shared" si="9"/>
        <v>1</v>
      </c>
      <c r="Q22" s="73">
        <f t="shared" si="9"/>
        <v>1</v>
      </c>
      <c r="R22" s="73">
        <f t="shared" si="9"/>
        <v>0.99999999999999989</v>
      </c>
      <c r="S22" s="73">
        <f t="shared" si="9"/>
        <v>1</v>
      </c>
      <c r="T22" s="73">
        <f t="shared" si="9"/>
        <v>1</v>
      </c>
      <c r="U22" s="73">
        <f t="shared" si="9"/>
        <v>1</v>
      </c>
      <c r="V22" s="73">
        <f t="shared" si="9"/>
        <v>1</v>
      </c>
      <c r="W22" s="73">
        <f t="shared" si="9"/>
        <v>0.99999999999999989</v>
      </c>
      <c r="X22" s="73">
        <f t="shared" si="9"/>
        <v>0.99999999999999989</v>
      </c>
      <c r="Y22" s="73">
        <f t="shared" si="9"/>
        <v>1.0000000000000002</v>
      </c>
      <c r="Z22" s="73">
        <f t="shared" si="9"/>
        <v>1</v>
      </c>
      <c r="AA22" s="73">
        <f t="shared" si="9"/>
        <v>1</v>
      </c>
      <c r="AB22" s="73">
        <f t="shared" si="9"/>
        <v>1.0000000000000002</v>
      </c>
      <c r="AC22" s="73">
        <f t="shared" si="9"/>
        <v>1</v>
      </c>
      <c r="AD22" s="73">
        <f t="shared" si="9"/>
        <v>0.99999999999999989</v>
      </c>
      <c r="AE22" s="73">
        <f t="shared" si="9"/>
        <v>1</v>
      </c>
      <c r="AF22" s="67"/>
    </row>
    <row r="23" spans="2:32" x14ac:dyDescent="0.3">
      <c r="B23" s="64"/>
      <c r="C23" s="65"/>
      <c r="D23" s="74"/>
      <c r="E23" s="74"/>
      <c r="F23" s="74"/>
      <c r="G23" s="74"/>
      <c r="H23" s="74"/>
      <c r="I23" s="74"/>
      <c r="J23" s="74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67"/>
    </row>
    <row r="24" spans="2:32" x14ac:dyDescent="0.3">
      <c r="B24" s="64"/>
      <c r="C24" s="65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67"/>
    </row>
    <row r="25" spans="2:32" x14ac:dyDescent="0.3">
      <c r="B25" s="64"/>
      <c r="C25" s="6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67"/>
    </row>
    <row r="26" spans="2:32" x14ac:dyDescent="0.3">
      <c r="B26" s="64"/>
      <c r="C26" s="66" t="s">
        <v>281</v>
      </c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67"/>
    </row>
    <row r="27" spans="2:32" ht="28.8" x14ac:dyDescent="0.3">
      <c r="B27" s="64"/>
      <c r="C27" s="65" t="s">
        <v>282</v>
      </c>
      <c r="D27" s="71" t="s">
        <v>283</v>
      </c>
      <c r="E27" s="71"/>
      <c r="F27" s="70">
        <f t="shared" ref="F27:AE27" si="10">F13</f>
        <v>0.41274095200629418</v>
      </c>
      <c r="G27" s="70">
        <f t="shared" si="10"/>
        <v>0.41274133105640148</v>
      </c>
      <c r="H27" s="70">
        <f t="shared" si="10"/>
        <v>0.41274550388666587</v>
      </c>
      <c r="I27" s="70">
        <f t="shared" si="10"/>
        <v>0.41274126606761491</v>
      </c>
      <c r="J27" s="70">
        <f t="shared" si="10"/>
        <v>0.41274356421561664</v>
      </c>
      <c r="K27" s="70">
        <f t="shared" si="10"/>
        <v>0.41178358378011037</v>
      </c>
      <c r="L27" s="70">
        <f t="shared" si="10"/>
        <v>0.41274298483260502</v>
      </c>
      <c r="M27" s="70">
        <f t="shared" si="10"/>
        <v>0.41191288479847676</v>
      </c>
      <c r="N27" s="70">
        <f t="shared" si="10"/>
        <v>0.41274468971261963</v>
      </c>
      <c r="O27" s="70">
        <f t="shared" si="10"/>
        <v>0.41276049382716046</v>
      </c>
      <c r="P27" s="70">
        <f t="shared" si="10"/>
        <v>0.41274151025065897</v>
      </c>
      <c r="Q27" s="70">
        <f t="shared" si="10"/>
        <v>0.41274620739916767</v>
      </c>
      <c r="R27" s="70">
        <f t="shared" si="10"/>
        <v>0.41274089935760178</v>
      </c>
      <c r="S27" s="70">
        <f t="shared" si="10"/>
        <v>0.41279424852112312</v>
      </c>
      <c r="T27" s="70">
        <f t="shared" si="10"/>
        <v>0.41279050547125518</v>
      </c>
      <c r="U27" s="70">
        <f t="shared" si="10"/>
        <v>0.41277336763829192</v>
      </c>
      <c r="V27" s="70">
        <f t="shared" si="10"/>
        <v>0.4126676313080837</v>
      </c>
      <c r="W27" s="70">
        <f t="shared" si="10"/>
        <v>0.41256535576267334</v>
      </c>
      <c r="X27" s="70">
        <f t="shared" si="10"/>
        <v>0.41245035984874157</v>
      </c>
      <c r="Y27" s="70">
        <f t="shared" si="10"/>
        <v>0.4123192065156871</v>
      </c>
      <c r="Z27" s="70">
        <f t="shared" si="10"/>
        <v>0.41216551040634286</v>
      </c>
      <c r="AA27" s="70">
        <f t="shared" si="10"/>
        <v>0.41202488577816659</v>
      </c>
      <c r="AB27" s="70">
        <f t="shared" si="10"/>
        <v>0.41187271231504785</v>
      </c>
      <c r="AC27" s="70">
        <f t="shared" si="10"/>
        <v>0.41170275014628438</v>
      </c>
      <c r="AD27" s="70">
        <f t="shared" si="10"/>
        <v>0.41153894768290294</v>
      </c>
      <c r="AE27" s="70">
        <f t="shared" si="10"/>
        <v>0.41137433269753854</v>
      </c>
      <c r="AF27" s="67"/>
    </row>
    <row r="28" spans="2:32" ht="28.8" x14ac:dyDescent="0.3">
      <c r="B28" s="64"/>
      <c r="C28" s="65" t="s">
        <v>284</v>
      </c>
      <c r="D28" s="71" t="s">
        <v>285</v>
      </c>
      <c r="E28" s="71"/>
      <c r="F28" s="70">
        <f t="shared" ref="F28:AE28" si="11">F15+F14</f>
        <v>1.3522816679779701E-3</v>
      </c>
      <c r="G28" s="70">
        <f t="shared" si="11"/>
        <v>1.5179545562354726E-3</v>
      </c>
      <c r="H28" s="70">
        <f t="shared" si="11"/>
        <v>1.678855618416816E-3</v>
      </c>
      <c r="I28" s="70">
        <f t="shared" si="11"/>
        <v>4.4727404601684331E-3</v>
      </c>
      <c r="J28" s="70">
        <f t="shared" si="11"/>
        <v>6.6135684824349299E-3</v>
      </c>
      <c r="K28" s="70">
        <f t="shared" si="11"/>
        <v>6.0786830778524498E-3</v>
      </c>
      <c r="L28" s="70">
        <f t="shared" si="11"/>
        <v>5.3787893768909795E-3</v>
      </c>
      <c r="M28" s="70">
        <f t="shared" si="11"/>
        <v>6.0496667724531886E-3</v>
      </c>
      <c r="N28" s="70">
        <f t="shared" si="11"/>
        <v>6.7035560579917089E-3</v>
      </c>
      <c r="O28" s="70">
        <f t="shared" si="11"/>
        <v>6.9728395061728395E-3</v>
      </c>
      <c r="P28" s="70">
        <f t="shared" si="11"/>
        <v>7.240388777397396E-3</v>
      </c>
      <c r="Q28" s="70">
        <f t="shared" si="11"/>
        <v>7.3838246293703612E-3</v>
      </c>
      <c r="R28" s="70">
        <f t="shared" si="11"/>
        <v>6.2209259395997933E-3</v>
      </c>
      <c r="S28" s="70">
        <f t="shared" si="11"/>
        <v>6.2121555830875813E-3</v>
      </c>
      <c r="T28" s="70">
        <f t="shared" si="11"/>
        <v>6.2150814902972012E-3</v>
      </c>
      <c r="U28" s="70">
        <f t="shared" si="11"/>
        <v>6.2125443192871267E-3</v>
      </c>
      <c r="V28" s="70">
        <f t="shared" si="11"/>
        <v>6.5635395378671468E-3</v>
      </c>
      <c r="W28" s="70">
        <f t="shared" si="11"/>
        <v>6.8623550807001589E-3</v>
      </c>
      <c r="X28" s="70">
        <f t="shared" si="11"/>
        <v>7.1427603312505927E-3</v>
      </c>
      <c r="Y28" s="70">
        <f t="shared" si="11"/>
        <v>7.3935956700203285E-3</v>
      </c>
      <c r="Z28" s="70">
        <f t="shared" si="11"/>
        <v>7.6313181367690794E-3</v>
      </c>
      <c r="AA28" s="70">
        <f t="shared" si="11"/>
        <v>7.886167006901916E-3</v>
      </c>
      <c r="AB28" s="70">
        <f t="shared" si="11"/>
        <v>8.1194186448559132E-3</v>
      </c>
      <c r="AC28" s="70">
        <f t="shared" si="11"/>
        <v>8.3557636044470449E-3</v>
      </c>
      <c r="AD28" s="70">
        <f t="shared" si="11"/>
        <v>8.5720523515690535E-3</v>
      </c>
      <c r="AE28" s="70">
        <f t="shared" si="11"/>
        <v>8.7920273579901349E-3</v>
      </c>
      <c r="AF28" s="67"/>
    </row>
    <row r="29" spans="2:32" ht="28.8" x14ac:dyDescent="0.3">
      <c r="B29" s="64"/>
      <c r="C29" s="65" t="s">
        <v>286</v>
      </c>
      <c r="D29" s="71" t="s">
        <v>287</v>
      </c>
      <c r="E29" s="71"/>
      <c r="F29" s="70">
        <f t="shared" ref="F29:AE29" si="12">F16+F17+F18+F19</f>
        <v>0.5859067663257278</v>
      </c>
      <c r="G29" s="70">
        <f t="shared" si="12"/>
        <v>0.58574071438736297</v>
      </c>
      <c r="H29" s="70">
        <f t="shared" si="12"/>
        <v>0.58557564049491728</v>
      </c>
      <c r="I29" s="70">
        <f t="shared" si="12"/>
        <v>0.5827859934722166</v>
      </c>
      <c r="J29" s="70">
        <f t="shared" si="12"/>
        <v>0.58064286730194858</v>
      </c>
      <c r="K29" s="70">
        <f t="shared" si="12"/>
        <v>0.58213773314203721</v>
      </c>
      <c r="L29" s="70">
        <f t="shared" si="12"/>
        <v>0.58187822579050397</v>
      </c>
      <c r="M29" s="70">
        <f t="shared" si="12"/>
        <v>0.58203744842907013</v>
      </c>
      <c r="N29" s="70">
        <f t="shared" si="12"/>
        <v>0.58055175422938854</v>
      </c>
      <c r="O29" s="70">
        <f t="shared" si="12"/>
        <v>0.5802666666666666</v>
      </c>
      <c r="P29" s="70">
        <f t="shared" si="12"/>
        <v>0.58001810097194362</v>
      </c>
      <c r="Q29" s="70">
        <f t="shared" si="12"/>
        <v>0.57986996797146195</v>
      </c>
      <c r="R29" s="70">
        <f t="shared" si="12"/>
        <v>0.58103817470279839</v>
      </c>
      <c r="S29" s="70">
        <f t="shared" si="12"/>
        <v>0.58099359589578936</v>
      </c>
      <c r="T29" s="70">
        <f t="shared" si="12"/>
        <v>0.58099441303844768</v>
      </c>
      <c r="U29" s="70">
        <f t="shared" si="12"/>
        <v>0.58101408804242094</v>
      </c>
      <c r="V29" s="70">
        <f t="shared" si="12"/>
        <v>0.58076882915404915</v>
      </c>
      <c r="W29" s="70">
        <f t="shared" si="12"/>
        <v>0.5805722891566264</v>
      </c>
      <c r="X29" s="70">
        <f t="shared" si="12"/>
        <v>0.58040687982000783</v>
      </c>
      <c r="Y29" s="70">
        <f t="shared" si="12"/>
        <v>0.58028719781429261</v>
      </c>
      <c r="Z29" s="70">
        <f t="shared" si="12"/>
        <v>0.58020317145688804</v>
      </c>
      <c r="AA29" s="70">
        <f t="shared" si="12"/>
        <v>0.58008894721493154</v>
      </c>
      <c r="AB29" s="70">
        <f t="shared" si="12"/>
        <v>0.58000786904009627</v>
      </c>
      <c r="AC29" s="70">
        <f t="shared" si="12"/>
        <v>0.57994148624926856</v>
      </c>
      <c r="AD29" s="70">
        <f t="shared" si="12"/>
        <v>0.57988899996552801</v>
      </c>
      <c r="AE29" s="70">
        <f t="shared" si="12"/>
        <v>0.57983363994447146</v>
      </c>
      <c r="AF29" s="67"/>
    </row>
    <row r="30" spans="2:32" ht="28.8" x14ac:dyDescent="0.3">
      <c r="B30" s="64"/>
      <c r="C30" s="65" t="s">
        <v>288</v>
      </c>
      <c r="D30" s="71" t="s">
        <v>289</v>
      </c>
      <c r="E30" s="71"/>
      <c r="F30" s="70">
        <f t="shared" ref="F30:AE30" si="13">F20+F21</f>
        <v>0</v>
      </c>
      <c r="G30" s="70">
        <f t="shared" si="13"/>
        <v>0</v>
      </c>
      <c r="H30" s="70">
        <f t="shared" si="13"/>
        <v>0</v>
      </c>
      <c r="I30" s="70">
        <f t="shared" si="13"/>
        <v>0</v>
      </c>
      <c r="J30" s="70">
        <f t="shared" si="13"/>
        <v>0</v>
      </c>
      <c r="K30" s="70">
        <f t="shared" si="13"/>
        <v>0</v>
      </c>
      <c r="L30" s="70">
        <f t="shared" si="13"/>
        <v>0</v>
      </c>
      <c r="M30" s="70">
        <f t="shared" si="13"/>
        <v>0</v>
      </c>
      <c r="N30" s="70">
        <f t="shared" si="13"/>
        <v>0</v>
      </c>
      <c r="O30" s="70">
        <f t="shared" si="13"/>
        <v>0</v>
      </c>
      <c r="P30" s="70">
        <f t="shared" si="13"/>
        <v>0</v>
      </c>
      <c r="Q30" s="70">
        <f t="shared" si="13"/>
        <v>0</v>
      </c>
      <c r="R30" s="70">
        <f t="shared" si="13"/>
        <v>0</v>
      </c>
      <c r="S30" s="70">
        <f t="shared" si="13"/>
        <v>0</v>
      </c>
      <c r="T30" s="70">
        <f t="shared" si="13"/>
        <v>0</v>
      </c>
      <c r="U30" s="70">
        <f t="shared" si="13"/>
        <v>0</v>
      </c>
      <c r="V30" s="70">
        <f t="shared" si="13"/>
        <v>0</v>
      </c>
      <c r="W30" s="70">
        <f t="shared" si="13"/>
        <v>0</v>
      </c>
      <c r="X30" s="70">
        <f t="shared" si="13"/>
        <v>0</v>
      </c>
      <c r="Y30" s="70">
        <f t="shared" si="13"/>
        <v>0</v>
      </c>
      <c r="Z30" s="70">
        <f t="shared" si="13"/>
        <v>0</v>
      </c>
      <c r="AA30" s="70">
        <f t="shared" si="13"/>
        <v>0</v>
      </c>
      <c r="AB30" s="70">
        <f t="shared" si="13"/>
        <v>0</v>
      </c>
      <c r="AC30" s="70">
        <f t="shared" si="13"/>
        <v>0</v>
      </c>
      <c r="AD30" s="70">
        <f t="shared" si="13"/>
        <v>0</v>
      </c>
      <c r="AE30" s="70">
        <f t="shared" si="13"/>
        <v>0</v>
      </c>
      <c r="AF30" s="67"/>
    </row>
    <row r="31" spans="2:32" x14ac:dyDescent="0.3">
      <c r="B31" s="64"/>
      <c r="C31" s="65"/>
      <c r="D31" s="77"/>
      <c r="E31" s="77"/>
      <c r="F31" s="78">
        <f t="shared" ref="F31:J31" si="14">SUM(F27:F30)</f>
        <v>1</v>
      </c>
      <c r="G31" s="78">
        <f t="shared" si="14"/>
        <v>1</v>
      </c>
      <c r="H31" s="78">
        <f t="shared" si="14"/>
        <v>1</v>
      </c>
      <c r="I31" s="78">
        <f t="shared" si="14"/>
        <v>1</v>
      </c>
      <c r="J31" s="78">
        <f t="shared" si="14"/>
        <v>1.0000000000000002</v>
      </c>
      <c r="K31" s="78">
        <f t="shared" ref="K31:M31" si="15">SUM(K27:K30)</f>
        <v>1</v>
      </c>
      <c r="L31" s="78">
        <f t="shared" si="15"/>
        <v>1</v>
      </c>
      <c r="M31" s="78">
        <f t="shared" si="15"/>
        <v>1</v>
      </c>
      <c r="N31" s="78">
        <f>SUM(N27:N30)</f>
        <v>0.99999999999999989</v>
      </c>
      <c r="O31" s="78">
        <f t="shared" ref="O31:AE31" si="16">SUM(O27:O30)</f>
        <v>0.99999999999999989</v>
      </c>
      <c r="P31" s="78">
        <f t="shared" si="16"/>
        <v>1</v>
      </c>
      <c r="Q31" s="78">
        <f t="shared" si="16"/>
        <v>1</v>
      </c>
      <c r="R31" s="78">
        <f t="shared" si="16"/>
        <v>1</v>
      </c>
      <c r="S31" s="78">
        <f t="shared" si="16"/>
        <v>1</v>
      </c>
      <c r="T31" s="78">
        <f t="shared" si="16"/>
        <v>1</v>
      </c>
      <c r="U31" s="78">
        <f t="shared" si="16"/>
        <v>1</v>
      </c>
      <c r="V31" s="78">
        <f t="shared" si="16"/>
        <v>1</v>
      </c>
      <c r="W31" s="78">
        <f t="shared" si="16"/>
        <v>0.99999999999999989</v>
      </c>
      <c r="X31" s="78">
        <f t="shared" si="16"/>
        <v>1</v>
      </c>
      <c r="Y31" s="78">
        <f t="shared" si="16"/>
        <v>1</v>
      </c>
      <c r="Z31" s="78">
        <f t="shared" si="16"/>
        <v>1</v>
      </c>
      <c r="AA31" s="78">
        <f t="shared" si="16"/>
        <v>1</v>
      </c>
      <c r="AB31" s="78">
        <f t="shared" si="16"/>
        <v>1</v>
      </c>
      <c r="AC31" s="78">
        <f t="shared" si="16"/>
        <v>1</v>
      </c>
      <c r="AD31" s="78">
        <f t="shared" si="16"/>
        <v>1</v>
      </c>
      <c r="AE31" s="78">
        <f t="shared" si="16"/>
        <v>1</v>
      </c>
      <c r="AF31" s="67"/>
    </row>
    <row r="32" spans="2:32" x14ac:dyDescent="0.3">
      <c r="B32" s="64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67"/>
    </row>
    <row r="33" spans="2:32" x14ac:dyDescent="0.3">
      <c r="B33" s="64"/>
      <c r="C33" s="66" t="s">
        <v>290</v>
      </c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79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67"/>
    </row>
    <row r="34" spans="2:32" ht="28.8" x14ac:dyDescent="0.3">
      <c r="B34" s="64"/>
      <c r="C34" s="65" t="s">
        <v>291</v>
      </c>
      <c r="D34" s="71" t="s">
        <v>292</v>
      </c>
      <c r="E34" s="71"/>
      <c r="F34" s="70">
        <f t="shared" ref="F34:M37" si="17">F27</f>
        <v>0.41274095200629418</v>
      </c>
      <c r="G34" s="70">
        <f t="shared" si="17"/>
        <v>0.41274133105640148</v>
      </c>
      <c r="H34" s="70">
        <f t="shared" si="17"/>
        <v>0.41274550388666587</v>
      </c>
      <c r="I34" s="70">
        <f t="shared" si="17"/>
        <v>0.41274126606761491</v>
      </c>
      <c r="J34" s="70">
        <f t="shared" si="17"/>
        <v>0.41274356421561664</v>
      </c>
      <c r="K34" s="70">
        <f t="shared" si="17"/>
        <v>0.41178358378011037</v>
      </c>
      <c r="L34" s="70">
        <f t="shared" si="17"/>
        <v>0.41274298483260502</v>
      </c>
      <c r="M34" s="70">
        <f t="shared" si="17"/>
        <v>0.41191288479847676</v>
      </c>
      <c r="N34" s="70">
        <f>N27</f>
        <v>0.41274468971261963</v>
      </c>
      <c r="O34" s="70">
        <f t="shared" ref="O34:AE37" si="18">O27</f>
        <v>0.41276049382716046</v>
      </c>
      <c r="P34" s="70">
        <f t="shared" si="18"/>
        <v>0.41274151025065897</v>
      </c>
      <c r="Q34" s="70">
        <f t="shared" si="18"/>
        <v>0.41274620739916767</v>
      </c>
      <c r="R34" s="70">
        <f t="shared" si="18"/>
        <v>0.41274089935760178</v>
      </c>
      <c r="S34" s="70">
        <f t="shared" si="18"/>
        <v>0.41279424852112312</v>
      </c>
      <c r="T34" s="70">
        <f t="shared" si="18"/>
        <v>0.41279050547125518</v>
      </c>
      <c r="U34" s="70">
        <f t="shared" si="18"/>
        <v>0.41277336763829192</v>
      </c>
      <c r="V34" s="70">
        <f t="shared" si="18"/>
        <v>0.4126676313080837</v>
      </c>
      <c r="W34" s="70">
        <f t="shared" si="18"/>
        <v>0.41256535576267334</v>
      </c>
      <c r="X34" s="70">
        <f t="shared" si="18"/>
        <v>0.41245035984874157</v>
      </c>
      <c r="Y34" s="70">
        <f t="shared" si="18"/>
        <v>0.4123192065156871</v>
      </c>
      <c r="Z34" s="70">
        <f t="shared" si="18"/>
        <v>0.41216551040634286</v>
      </c>
      <c r="AA34" s="70">
        <f t="shared" si="18"/>
        <v>0.41202488577816659</v>
      </c>
      <c r="AB34" s="70">
        <f t="shared" si="18"/>
        <v>0.41187271231504785</v>
      </c>
      <c r="AC34" s="70">
        <f t="shared" si="18"/>
        <v>0.41170275014628438</v>
      </c>
      <c r="AD34" s="70">
        <f t="shared" si="18"/>
        <v>0.41153894768290294</v>
      </c>
      <c r="AE34" s="70">
        <f t="shared" si="18"/>
        <v>0.41137433269753854</v>
      </c>
      <c r="AF34" s="67"/>
    </row>
    <row r="35" spans="2:32" ht="28.8" x14ac:dyDescent="0.3">
      <c r="B35" s="64"/>
      <c r="C35" s="65" t="s">
        <v>293</v>
      </c>
      <c r="D35" s="71" t="s">
        <v>294</v>
      </c>
      <c r="E35" s="71"/>
      <c r="F35" s="70">
        <f t="shared" si="17"/>
        <v>1.3522816679779701E-3</v>
      </c>
      <c r="G35" s="70">
        <f t="shared" si="17"/>
        <v>1.5179545562354726E-3</v>
      </c>
      <c r="H35" s="70">
        <f t="shared" si="17"/>
        <v>1.678855618416816E-3</v>
      </c>
      <c r="I35" s="70">
        <f t="shared" si="17"/>
        <v>4.4727404601684331E-3</v>
      </c>
      <c r="J35" s="70">
        <f t="shared" si="17"/>
        <v>6.6135684824349299E-3</v>
      </c>
      <c r="K35" s="70">
        <f t="shared" si="17"/>
        <v>6.0786830778524498E-3</v>
      </c>
      <c r="L35" s="70">
        <f t="shared" si="17"/>
        <v>5.3787893768909795E-3</v>
      </c>
      <c r="M35" s="70">
        <f t="shared" si="17"/>
        <v>6.0496667724531886E-3</v>
      </c>
      <c r="N35" s="70">
        <f>N28</f>
        <v>6.7035560579917089E-3</v>
      </c>
      <c r="O35" s="70">
        <f t="shared" si="18"/>
        <v>6.9728395061728395E-3</v>
      </c>
      <c r="P35" s="70">
        <f t="shared" si="18"/>
        <v>7.240388777397396E-3</v>
      </c>
      <c r="Q35" s="70">
        <f t="shared" si="18"/>
        <v>7.3838246293703612E-3</v>
      </c>
      <c r="R35" s="70">
        <f t="shared" si="18"/>
        <v>6.2209259395997933E-3</v>
      </c>
      <c r="S35" s="70">
        <f t="shared" si="18"/>
        <v>6.2121555830875813E-3</v>
      </c>
      <c r="T35" s="70">
        <f t="shared" si="18"/>
        <v>6.2150814902972012E-3</v>
      </c>
      <c r="U35" s="70">
        <f t="shared" si="18"/>
        <v>6.2125443192871267E-3</v>
      </c>
      <c r="V35" s="70">
        <f t="shared" si="18"/>
        <v>6.5635395378671468E-3</v>
      </c>
      <c r="W35" s="70">
        <f t="shared" si="18"/>
        <v>6.8623550807001589E-3</v>
      </c>
      <c r="X35" s="70">
        <f t="shared" si="18"/>
        <v>7.1427603312505927E-3</v>
      </c>
      <c r="Y35" s="70">
        <f t="shared" si="18"/>
        <v>7.3935956700203285E-3</v>
      </c>
      <c r="Z35" s="70">
        <f t="shared" si="18"/>
        <v>7.6313181367690794E-3</v>
      </c>
      <c r="AA35" s="70">
        <f t="shared" si="18"/>
        <v>7.886167006901916E-3</v>
      </c>
      <c r="AB35" s="70">
        <f t="shared" si="18"/>
        <v>8.1194186448559132E-3</v>
      </c>
      <c r="AC35" s="70">
        <f t="shared" si="18"/>
        <v>8.3557636044470449E-3</v>
      </c>
      <c r="AD35" s="70">
        <f t="shared" si="18"/>
        <v>8.5720523515690535E-3</v>
      </c>
      <c r="AE35" s="70">
        <f t="shared" si="18"/>
        <v>8.7920273579901349E-3</v>
      </c>
      <c r="AF35" s="67"/>
    </row>
    <row r="36" spans="2:32" ht="28.8" x14ac:dyDescent="0.3">
      <c r="B36" s="64"/>
      <c r="C36" s="65" t="s">
        <v>295</v>
      </c>
      <c r="D36" s="71" t="s">
        <v>296</v>
      </c>
      <c r="E36" s="71"/>
      <c r="F36" s="70">
        <f t="shared" si="17"/>
        <v>0.5859067663257278</v>
      </c>
      <c r="G36" s="70">
        <f t="shared" si="17"/>
        <v>0.58574071438736297</v>
      </c>
      <c r="H36" s="70">
        <f t="shared" si="17"/>
        <v>0.58557564049491728</v>
      </c>
      <c r="I36" s="70">
        <f t="shared" si="17"/>
        <v>0.5827859934722166</v>
      </c>
      <c r="J36" s="70">
        <f t="shared" si="17"/>
        <v>0.58064286730194858</v>
      </c>
      <c r="K36" s="70">
        <f t="shared" si="17"/>
        <v>0.58213773314203721</v>
      </c>
      <c r="L36" s="70">
        <f t="shared" si="17"/>
        <v>0.58187822579050397</v>
      </c>
      <c r="M36" s="70">
        <f t="shared" si="17"/>
        <v>0.58203744842907013</v>
      </c>
      <c r="N36" s="70">
        <f>N29</f>
        <v>0.58055175422938854</v>
      </c>
      <c r="O36" s="70">
        <f t="shared" si="18"/>
        <v>0.5802666666666666</v>
      </c>
      <c r="P36" s="70">
        <f t="shared" si="18"/>
        <v>0.58001810097194362</v>
      </c>
      <c r="Q36" s="70">
        <f t="shared" si="18"/>
        <v>0.57986996797146195</v>
      </c>
      <c r="R36" s="70">
        <f t="shared" si="18"/>
        <v>0.58103817470279839</v>
      </c>
      <c r="S36" s="70">
        <f t="shared" si="18"/>
        <v>0.58099359589578936</v>
      </c>
      <c r="T36" s="70">
        <f t="shared" si="18"/>
        <v>0.58099441303844768</v>
      </c>
      <c r="U36" s="70">
        <f t="shared" si="18"/>
        <v>0.58101408804242094</v>
      </c>
      <c r="V36" s="70">
        <f t="shared" si="18"/>
        <v>0.58076882915404915</v>
      </c>
      <c r="W36" s="70">
        <f t="shared" si="18"/>
        <v>0.5805722891566264</v>
      </c>
      <c r="X36" s="70">
        <f t="shared" si="18"/>
        <v>0.58040687982000783</v>
      </c>
      <c r="Y36" s="70">
        <f t="shared" si="18"/>
        <v>0.58028719781429261</v>
      </c>
      <c r="Z36" s="70">
        <f t="shared" si="18"/>
        <v>0.58020317145688804</v>
      </c>
      <c r="AA36" s="70">
        <f t="shared" si="18"/>
        <v>0.58008894721493154</v>
      </c>
      <c r="AB36" s="70">
        <f t="shared" si="18"/>
        <v>0.58000786904009627</v>
      </c>
      <c r="AC36" s="70">
        <f t="shared" si="18"/>
        <v>0.57994148624926856</v>
      </c>
      <c r="AD36" s="70">
        <f t="shared" si="18"/>
        <v>0.57988899996552801</v>
      </c>
      <c r="AE36" s="70">
        <f t="shared" si="18"/>
        <v>0.57983363994447146</v>
      </c>
      <c r="AF36" s="67"/>
    </row>
    <row r="37" spans="2:32" x14ac:dyDescent="0.3">
      <c r="B37" s="64"/>
      <c r="C37" s="65" t="s">
        <v>297</v>
      </c>
      <c r="D37" s="71" t="s">
        <v>298</v>
      </c>
      <c r="E37" s="71"/>
      <c r="F37" s="70">
        <f t="shared" si="17"/>
        <v>0</v>
      </c>
      <c r="G37" s="70">
        <f t="shared" si="17"/>
        <v>0</v>
      </c>
      <c r="H37" s="70">
        <f t="shared" si="17"/>
        <v>0</v>
      </c>
      <c r="I37" s="70">
        <f t="shared" si="17"/>
        <v>0</v>
      </c>
      <c r="J37" s="70">
        <f t="shared" si="17"/>
        <v>0</v>
      </c>
      <c r="K37" s="70">
        <f t="shared" si="17"/>
        <v>0</v>
      </c>
      <c r="L37" s="70">
        <f t="shared" si="17"/>
        <v>0</v>
      </c>
      <c r="M37" s="70">
        <f t="shared" si="17"/>
        <v>0</v>
      </c>
      <c r="N37" s="70">
        <f>N30</f>
        <v>0</v>
      </c>
      <c r="O37" s="70">
        <f t="shared" si="18"/>
        <v>0</v>
      </c>
      <c r="P37" s="70">
        <f t="shared" si="18"/>
        <v>0</v>
      </c>
      <c r="Q37" s="70">
        <f t="shared" si="18"/>
        <v>0</v>
      </c>
      <c r="R37" s="70">
        <f t="shared" si="18"/>
        <v>0</v>
      </c>
      <c r="S37" s="70">
        <f t="shared" si="18"/>
        <v>0</v>
      </c>
      <c r="T37" s="70">
        <f t="shared" si="18"/>
        <v>0</v>
      </c>
      <c r="U37" s="70">
        <f t="shared" si="18"/>
        <v>0</v>
      </c>
      <c r="V37" s="70">
        <f t="shared" si="18"/>
        <v>0</v>
      </c>
      <c r="W37" s="70">
        <f t="shared" si="18"/>
        <v>0</v>
      </c>
      <c r="X37" s="70">
        <f t="shared" si="18"/>
        <v>0</v>
      </c>
      <c r="Y37" s="70">
        <f t="shared" si="18"/>
        <v>0</v>
      </c>
      <c r="Z37" s="70">
        <f t="shared" si="18"/>
        <v>0</v>
      </c>
      <c r="AA37" s="70">
        <f t="shared" si="18"/>
        <v>0</v>
      </c>
      <c r="AB37" s="70">
        <f t="shared" si="18"/>
        <v>0</v>
      </c>
      <c r="AC37" s="70">
        <f t="shared" si="18"/>
        <v>0</v>
      </c>
      <c r="AD37" s="70">
        <f t="shared" si="18"/>
        <v>0</v>
      </c>
      <c r="AE37" s="70">
        <f t="shared" si="18"/>
        <v>0</v>
      </c>
      <c r="AF37" s="67"/>
    </row>
    <row r="38" spans="2:32" x14ac:dyDescent="0.3">
      <c r="B38" s="64"/>
      <c r="C38" s="65"/>
      <c r="D38" s="65"/>
      <c r="E38" s="65"/>
      <c r="F38" s="73">
        <f t="shared" ref="F38:M38" si="19">SUM(F34:F37)</f>
        <v>1</v>
      </c>
      <c r="G38" s="73">
        <f t="shared" si="19"/>
        <v>1</v>
      </c>
      <c r="H38" s="73">
        <f t="shared" si="19"/>
        <v>1</v>
      </c>
      <c r="I38" s="73">
        <f t="shared" si="19"/>
        <v>1</v>
      </c>
      <c r="J38" s="73">
        <f t="shared" si="19"/>
        <v>1.0000000000000002</v>
      </c>
      <c r="K38" s="73">
        <f t="shared" si="19"/>
        <v>1</v>
      </c>
      <c r="L38" s="73">
        <f t="shared" si="19"/>
        <v>1</v>
      </c>
      <c r="M38" s="73">
        <f t="shared" si="19"/>
        <v>1</v>
      </c>
      <c r="N38" s="73">
        <f>SUM(N34:N37)</f>
        <v>0.99999999999999989</v>
      </c>
      <c r="O38" s="73">
        <f t="shared" ref="O38:AE38" si="20">SUM(O34:O37)</f>
        <v>0.99999999999999989</v>
      </c>
      <c r="P38" s="73">
        <f t="shared" si="20"/>
        <v>1</v>
      </c>
      <c r="Q38" s="73">
        <f t="shared" si="20"/>
        <v>1</v>
      </c>
      <c r="R38" s="73">
        <f t="shared" si="20"/>
        <v>1</v>
      </c>
      <c r="S38" s="73">
        <f t="shared" si="20"/>
        <v>1</v>
      </c>
      <c r="T38" s="73">
        <f t="shared" si="20"/>
        <v>1</v>
      </c>
      <c r="U38" s="73">
        <f t="shared" si="20"/>
        <v>1</v>
      </c>
      <c r="V38" s="73">
        <f t="shared" si="20"/>
        <v>1</v>
      </c>
      <c r="W38" s="73">
        <f t="shared" si="20"/>
        <v>0.99999999999999989</v>
      </c>
      <c r="X38" s="73">
        <f t="shared" si="20"/>
        <v>1</v>
      </c>
      <c r="Y38" s="73">
        <f t="shared" si="20"/>
        <v>1</v>
      </c>
      <c r="Z38" s="73">
        <f t="shared" si="20"/>
        <v>1</v>
      </c>
      <c r="AA38" s="73">
        <f t="shared" si="20"/>
        <v>1</v>
      </c>
      <c r="AB38" s="73">
        <f t="shared" si="20"/>
        <v>1</v>
      </c>
      <c r="AC38" s="73">
        <f t="shared" si="20"/>
        <v>1</v>
      </c>
      <c r="AD38" s="73">
        <f t="shared" si="20"/>
        <v>1</v>
      </c>
      <c r="AE38" s="73">
        <f t="shared" si="20"/>
        <v>1</v>
      </c>
      <c r="AF38" s="67"/>
    </row>
    <row r="39" spans="2:32" x14ac:dyDescent="0.3">
      <c r="B39" s="64"/>
      <c r="C39" s="65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67"/>
    </row>
    <row r="40" spans="2:32" x14ac:dyDescent="0.3">
      <c r="B40" s="64"/>
      <c r="C40" s="66" t="s">
        <v>299</v>
      </c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67"/>
    </row>
    <row r="41" spans="2:32" ht="28.8" x14ac:dyDescent="0.3">
      <c r="B41" s="64"/>
      <c r="C41" s="65" t="s">
        <v>300</v>
      </c>
      <c r="D41" s="71" t="s">
        <v>301</v>
      </c>
      <c r="E41" s="71"/>
      <c r="F41" s="70">
        <f t="shared" ref="F41:AE42" si="21">F34</f>
        <v>0.41274095200629418</v>
      </c>
      <c r="G41" s="70">
        <f t="shared" si="21"/>
        <v>0.41274133105640148</v>
      </c>
      <c r="H41" s="70">
        <f t="shared" si="21"/>
        <v>0.41274550388666587</v>
      </c>
      <c r="I41" s="70">
        <f t="shared" si="21"/>
        <v>0.41274126606761491</v>
      </c>
      <c r="J41" s="70">
        <f t="shared" si="21"/>
        <v>0.41274356421561664</v>
      </c>
      <c r="K41" s="70">
        <f t="shared" si="21"/>
        <v>0.41178358378011037</v>
      </c>
      <c r="L41" s="70">
        <f t="shared" si="21"/>
        <v>0.41274298483260502</v>
      </c>
      <c r="M41" s="70">
        <f t="shared" si="21"/>
        <v>0.41191288479847676</v>
      </c>
      <c r="N41" s="70">
        <f t="shared" si="21"/>
        <v>0.41274468971261963</v>
      </c>
      <c r="O41" s="70">
        <f t="shared" si="21"/>
        <v>0.41276049382716046</v>
      </c>
      <c r="P41" s="70">
        <f t="shared" si="21"/>
        <v>0.41274151025065897</v>
      </c>
      <c r="Q41" s="70">
        <f t="shared" si="21"/>
        <v>0.41274620739916767</v>
      </c>
      <c r="R41" s="70">
        <f t="shared" si="21"/>
        <v>0.41274089935760178</v>
      </c>
      <c r="S41" s="70">
        <f t="shared" si="21"/>
        <v>0.41279424852112312</v>
      </c>
      <c r="T41" s="70">
        <f t="shared" si="21"/>
        <v>0.41279050547125518</v>
      </c>
      <c r="U41" s="70">
        <f t="shared" si="21"/>
        <v>0.41277336763829192</v>
      </c>
      <c r="V41" s="70">
        <f t="shared" si="21"/>
        <v>0.4126676313080837</v>
      </c>
      <c r="W41" s="70">
        <f t="shared" si="21"/>
        <v>0.41256535576267334</v>
      </c>
      <c r="X41" s="70">
        <f t="shared" si="21"/>
        <v>0.41245035984874157</v>
      </c>
      <c r="Y41" s="70">
        <f t="shared" si="21"/>
        <v>0.4123192065156871</v>
      </c>
      <c r="Z41" s="70">
        <f t="shared" si="21"/>
        <v>0.41216551040634286</v>
      </c>
      <c r="AA41" s="70">
        <f t="shared" si="21"/>
        <v>0.41202488577816659</v>
      </c>
      <c r="AB41" s="70">
        <f t="shared" si="21"/>
        <v>0.41187271231504785</v>
      </c>
      <c r="AC41" s="70">
        <f t="shared" si="21"/>
        <v>0.41170275014628438</v>
      </c>
      <c r="AD41" s="70">
        <f t="shared" si="21"/>
        <v>0.41153894768290294</v>
      </c>
      <c r="AE41" s="70">
        <f t="shared" si="21"/>
        <v>0.41137433269753854</v>
      </c>
      <c r="AF41" s="67"/>
    </row>
    <row r="42" spans="2:32" ht="28.8" x14ac:dyDescent="0.3">
      <c r="B42" s="64"/>
      <c r="C42" s="65" t="s">
        <v>302</v>
      </c>
      <c r="D42" s="71" t="s">
        <v>303</v>
      </c>
      <c r="E42" s="71"/>
      <c r="F42" s="70">
        <f t="shared" si="21"/>
        <v>1.3522816679779701E-3</v>
      </c>
      <c r="G42" s="70">
        <f t="shared" si="21"/>
        <v>1.5179545562354726E-3</v>
      </c>
      <c r="H42" s="70">
        <f t="shared" si="21"/>
        <v>1.678855618416816E-3</v>
      </c>
      <c r="I42" s="70">
        <f t="shared" si="21"/>
        <v>4.4727404601684331E-3</v>
      </c>
      <c r="J42" s="70">
        <f t="shared" si="21"/>
        <v>6.6135684824349299E-3</v>
      </c>
      <c r="K42" s="70">
        <f t="shared" si="21"/>
        <v>6.0786830778524498E-3</v>
      </c>
      <c r="L42" s="70">
        <f t="shared" si="21"/>
        <v>5.3787893768909795E-3</v>
      </c>
      <c r="M42" s="70">
        <f t="shared" si="21"/>
        <v>6.0496667724531886E-3</v>
      </c>
      <c r="N42" s="70">
        <f t="shared" si="21"/>
        <v>6.7035560579917089E-3</v>
      </c>
      <c r="O42" s="70">
        <f t="shared" si="21"/>
        <v>6.9728395061728395E-3</v>
      </c>
      <c r="P42" s="70">
        <f t="shared" si="21"/>
        <v>7.240388777397396E-3</v>
      </c>
      <c r="Q42" s="70">
        <f t="shared" si="21"/>
        <v>7.3838246293703612E-3</v>
      </c>
      <c r="R42" s="70">
        <f t="shared" si="21"/>
        <v>6.2209259395997933E-3</v>
      </c>
      <c r="S42" s="70">
        <f t="shared" si="21"/>
        <v>6.2121555830875813E-3</v>
      </c>
      <c r="T42" s="70">
        <f t="shared" si="21"/>
        <v>6.2150814902972012E-3</v>
      </c>
      <c r="U42" s="70">
        <f t="shared" si="21"/>
        <v>6.2125443192871267E-3</v>
      </c>
      <c r="V42" s="70">
        <f t="shared" si="21"/>
        <v>6.5635395378671468E-3</v>
      </c>
      <c r="W42" s="70">
        <f t="shared" si="21"/>
        <v>6.8623550807001589E-3</v>
      </c>
      <c r="X42" s="70">
        <f t="shared" si="21"/>
        <v>7.1427603312505927E-3</v>
      </c>
      <c r="Y42" s="70">
        <f t="shared" si="21"/>
        <v>7.3935956700203285E-3</v>
      </c>
      <c r="Z42" s="70">
        <f t="shared" si="21"/>
        <v>7.6313181367690794E-3</v>
      </c>
      <c r="AA42" s="70">
        <f t="shared" si="21"/>
        <v>7.886167006901916E-3</v>
      </c>
      <c r="AB42" s="70">
        <f t="shared" si="21"/>
        <v>8.1194186448559132E-3</v>
      </c>
      <c r="AC42" s="70">
        <f t="shared" si="21"/>
        <v>8.3557636044470449E-3</v>
      </c>
      <c r="AD42" s="70">
        <f t="shared" si="21"/>
        <v>8.5720523515690535E-3</v>
      </c>
      <c r="AE42" s="70">
        <f t="shared" si="21"/>
        <v>8.7920273579901349E-3</v>
      </c>
      <c r="AF42" s="67"/>
    </row>
    <row r="43" spans="2:32" x14ac:dyDescent="0.3">
      <c r="B43" s="64"/>
      <c r="C43" s="65" t="s">
        <v>304</v>
      </c>
      <c r="D43" s="71" t="s">
        <v>305</v>
      </c>
      <c r="E43" s="71"/>
      <c r="F43" s="70">
        <f t="shared" ref="F43:M43" si="22">F36+F37</f>
        <v>0.5859067663257278</v>
      </c>
      <c r="G43" s="70">
        <f t="shared" si="22"/>
        <v>0.58574071438736297</v>
      </c>
      <c r="H43" s="70">
        <f t="shared" si="22"/>
        <v>0.58557564049491728</v>
      </c>
      <c r="I43" s="70">
        <f t="shared" si="22"/>
        <v>0.5827859934722166</v>
      </c>
      <c r="J43" s="70">
        <f t="shared" si="22"/>
        <v>0.58064286730194858</v>
      </c>
      <c r="K43" s="70">
        <f t="shared" si="22"/>
        <v>0.58213773314203721</v>
      </c>
      <c r="L43" s="70">
        <f t="shared" si="22"/>
        <v>0.58187822579050397</v>
      </c>
      <c r="M43" s="70">
        <f t="shared" si="22"/>
        <v>0.58203744842907013</v>
      </c>
      <c r="N43" s="70">
        <f>N36+N37</f>
        <v>0.58055175422938854</v>
      </c>
      <c r="O43" s="70">
        <f t="shared" ref="O43:AE43" si="23">O36+O37</f>
        <v>0.5802666666666666</v>
      </c>
      <c r="P43" s="70">
        <f t="shared" si="23"/>
        <v>0.58001810097194362</v>
      </c>
      <c r="Q43" s="70">
        <f t="shared" si="23"/>
        <v>0.57986996797146195</v>
      </c>
      <c r="R43" s="70">
        <f t="shared" si="23"/>
        <v>0.58103817470279839</v>
      </c>
      <c r="S43" s="70">
        <f t="shared" si="23"/>
        <v>0.58099359589578936</v>
      </c>
      <c r="T43" s="70">
        <f t="shared" si="23"/>
        <v>0.58099441303844768</v>
      </c>
      <c r="U43" s="70">
        <f t="shared" si="23"/>
        <v>0.58101408804242094</v>
      </c>
      <c r="V43" s="70">
        <f t="shared" si="23"/>
        <v>0.58076882915404915</v>
      </c>
      <c r="W43" s="70">
        <f t="shared" si="23"/>
        <v>0.5805722891566264</v>
      </c>
      <c r="X43" s="70">
        <f t="shared" si="23"/>
        <v>0.58040687982000783</v>
      </c>
      <c r="Y43" s="70">
        <f t="shared" si="23"/>
        <v>0.58028719781429261</v>
      </c>
      <c r="Z43" s="70">
        <f t="shared" si="23"/>
        <v>0.58020317145688804</v>
      </c>
      <c r="AA43" s="70">
        <f t="shared" si="23"/>
        <v>0.58008894721493154</v>
      </c>
      <c r="AB43" s="70">
        <f t="shared" si="23"/>
        <v>0.58000786904009627</v>
      </c>
      <c r="AC43" s="70">
        <f t="shared" si="23"/>
        <v>0.57994148624926856</v>
      </c>
      <c r="AD43" s="70">
        <f t="shared" si="23"/>
        <v>0.57988899996552801</v>
      </c>
      <c r="AE43" s="70">
        <f t="shared" si="23"/>
        <v>0.57983363994447146</v>
      </c>
      <c r="AF43" s="67"/>
    </row>
    <row r="44" spans="2:32" x14ac:dyDescent="0.3">
      <c r="B44" s="64"/>
      <c r="C44" s="65"/>
      <c r="D44" s="65"/>
      <c r="E44" s="65"/>
      <c r="F44" s="73">
        <f t="shared" ref="F44:M44" si="24">SUM(F41:F43)</f>
        <v>1</v>
      </c>
      <c r="G44" s="73">
        <f t="shared" si="24"/>
        <v>1</v>
      </c>
      <c r="H44" s="73">
        <f t="shared" si="24"/>
        <v>1</v>
      </c>
      <c r="I44" s="73">
        <f t="shared" si="24"/>
        <v>1</v>
      </c>
      <c r="J44" s="73">
        <f t="shared" si="24"/>
        <v>1.0000000000000002</v>
      </c>
      <c r="K44" s="73">
        <f t="shared" si="24"/>
        <v>1</v>
      </c>
      <c r="L44" s="73">
        <f t="shared" si="24"/>
        <v>1</v>
      </c>
      <c r="M44" s="73">
        <f t="shared" si="24"/>
        <v>1</v>
      </c>
      <c r="N44" s="73">
        <f>SUM(N41:N43)</f>
        <v>0.99999999999999989</v>
      </c>
      <c r="O44" s="73">
        <f t="shared" ref="O44:AE44" si="25">SUM(O41:O43)</f>
        <v>0.99999999999999989</v>
      </c>
      <c r="P44" s="73">
        <f t="shared" si="25"/>
        <v>1</v>
      </c>
      <c r="Q44" s="73">
        <f t="shared" si="25"/>
        <v>1</v>
      </c>
      <c r="R44" s="73">
        <f t="shared" si="25"/>
        <v>1</v>
      </c>
      <c r="S44" s="73">
        <f t="shared" si="25"/>
        <v>1</v>
      </c>
      <c r="T44" s="73">
        <f t="shared" si="25"/>
        <v>1</v>
      </c>
      <c r="U44" s="73">
        <f t="shared" si="25"/>
        <v>1</v>
      </c>
      <c r="V44" s="73">
        <f t="shared" si="25"/>
        <v>1</v>
      </c>
      <c r="W44" s="73">
        <f t="shared" si="25"/>
        <v>0.99999999999999989</v>
      </c>
      <c r="X44" s="73">
        <f t="shared" si="25"/>
        <v>1</v>
      </c>
      <c r="Y44" s="73">
        <f t="shared" si="25"/>
        <v>1</v>
      </c>
      <c r="Z44" s="73">
        <f t="shared" si="25"/>
        <v>1</v>
      </c>
      <c r="AA44" s="73">
        <f t="shared" si="25"/>
        <v>1</v>
      </c>
      <c r="AB44" s="73">
        <f t="shared" si="25"/>
        <v>1</v>
      </c>
      <c r="AC44" s="73">
        <f t="shared" si="25"/>
        <v>1</v>
      </c>
      <c r="AD44" s="73">
        <f t="shared" si="25"/>
        <v>1</v>
      </c>
      <c r="AE44" s="73">
        <f t="shared" si="25"/>
        <v>1</v>
      </c>
      <c r="AF44" s="67"/>
    </row>
    <row r="45" spans="2:32" x14ac:dyDescent="0.3">
      <c r="B45" s="64"/>
      <c r="C45" s="65"/>
      <c r="D45" s="65"/>
      <c r="E45" s="65"/>
      <c r="F45" s="65"/>
      <c r="G45" s="65"/>
      <c r="H45" s="65"/>
      <c r="I45" s="65"/>
      <c r="J45" s="65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67"/>
    </row>
    <row r="46" spans="2:32" ht="15" thickBot="1" x14ac:dyDescent="0.35">
      <c r="B46" s="80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2"/>
    </row>
    <row r="49" spans="2:32" ht="15" thickBot="1" x14ac:dyDescent="0.35"/>
    <row r="50" spans="2:32" x14ac:dyDescent="0.3">
      <c r="B50" s="61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3"/>
    </row>
    <row r="51" spans="2:32" x14ac:dyDescent="0.3">
      <c r="B51" s="64"/>
      <c r="C51" s="65"/>
      <c r="D51" s="66" t="s">
        <v>258</v>
      </c>
      <c r="E51" s="66"/>
      <c r="F51" s="66"/>
      <c r="G51" s="66"/>
      <c r="H51" s="66"/>
      <c r="I51" s="66"/>
      <c r="J51" s="66"/>
      <c r="K51" s="66"/>
      <c r="L51" s="66"/>
      <c r="M51" s="66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7"/>
    </row>
    <row r="52" spans="2:32" x14ac:dyDescent="0.3">
      <c r="B52" s="64"/>
      <c r="C52" s="65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7"/>
    </row>
    <row r="53" spans="2:32" x14ac:dyDescent="0.3">
      <c r="B53" s="64"/>
      <c r="C53" s="65"/>
      <c r="D53" s="68" t="s">
        <v>320</v>
      </c>
      <c r="E53" s="68"/>
      <c r="F53" s="68"/>
      <c r="G53" s="68"/>
      <c r="H53" s="68"/>
      <c r="I53" s="68"/>
      <c r="J53" s="68"/>
      <c r="K53" s="68"/>
      <c r="L53" s="68"/>
      <c r="M53" s="68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7"/>
    </row>
    <row r="54" spans="2:32" x14ac:dyDescent="0.3">
      <c r="B54" s="64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7"/>
    </row>
    <row r="55" spans="2:32" x14ac:dyDescent="0.3">
      <c r="B55" s="64"/>
      <c r="C55" s="66" t="s">
        <v>260</v>
      </c>
      <c r="D55" s="66" t="s">
        <v>261</v>
      </c>
      <c r="E55" s="66"/>
      <c r="F55" s="66"/>
      <c r="G55" s="66"/>
      <c r="H55" s="66"/>
      <c r="I55" s="66"/>
      <c r="J55" s="66"/>
      <c r="K55" s="66"/>
      <c r="L55" s="66"/>
      <c r="M55" s="66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7"/>
    </row>
    <row r="56" spans="2:32" x14ac:dyDescent="0.3">
      <c r="B56" s="64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7"/>
    </row>
    <row r="57" spans="2:32" x14ac:dyDescent="0.3">
      <c r="B57" s="64"/>
      <c r="C57" s="66" t="s">
        <v>262</v>
      </c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7"/>
    </row>
    <row r="58" spans="2:32" x14ac:dyDescent="0.3">
      <c r="B58" s="64"/>
      <c r="C58" s="111" t="s">
        <v>263</v>
      </c>
      <c r="D58" s="109" t="s">
        <v>264</v>
      </c>
      <c r="E58" s="69"/>
      <c r="F58" s="161">
        <f>F67-F59-F60-F61-F62-F63-F64-F65-F66</f>
        <v>1.6786999999999996</v>
      </c>
      <c r="G58" s="161">
        <f t="shared" ref="G58:AE58" si="26">G67-G59-G60-G61-G62-G63-G64-G65-G66</f>
        <v>1.7402000000000002</v>
      </c>
      <c r="H58" s="161">
        <f t="shared" si="26"/>
        <v>1.7947000000000006</v>
      </c>
      <c r="I58" s="161">
        <f t="shared" si="26"/>
        <v>2.0486</v>
      </c>
      <c r="J58" s="161">
        <f t="shared" si="26"/>
        <v>2.3216000000000006</v>
      </c>
      <c r="K58" s="161">
        <f t="shared" si="26"/>
        <v>2.1813000000000007</v>
      </c>
      <c r="L58" s="161">
        <f t="shared" si="26"/>
        <v>2.0872000000000006</v>
      </c>
      <c r="M58" s="161">
        <f t="shared" si="26"/>
        <v>2.0767000000000007</v>
      </c>
      <c r="N58" s="161">
        <f t="shared" si="26"/>
        <v>2.0810999999999997</v>
      </c>
      <c r="O58" s="161">
        <f t="shared" si="26"/>
        <v>2.0895999999999999</v>
      </c>
      <c r="P58" s="161">
        <f t="shared" si="26"/>
        <v>2.097799999999999</v>
      </c>
      <c r="Q58" s="161">
        <f t="shared" si="26"/>
        <v>2.1521000000000003</v>
      </c>
      <c r="R58" s="161">
        <f t="shared" si="26"/>
        <v>2.2359000000000004</v>
      </c>
      <c r="S58" s="161">
        <f t="shared" si="26"/>
        <v>2.3656000000000001</v>
      </c>
      <c r="T58" s="161">
        <f t="shared" si="26"/>
        <v>2.4972999999999992</v>
      </c>
      <c r="U58" s="161">
        <f t="shared" si="26"/>
        <v>2.6311000000000004</v>
      </c>
      <c r="V58" s="161">
        <f t="shared" si="26"/>
        <v>2.7664000000000009</v>
      </c>
      <c r="W58" s="161">
        <f t="shared" si="26"/>
        <v>2.9037999999999999</v>
      </c>
      <c r="X58" s="161">
        <f t="shared" si="26"/>
        <v>3.0430999999999999</v>
      </c>
      <c r="Y58" s="161">
        <f t="shared" si="26"/>
        <v>3.1842999999999999</v>
      </c>
      <c r="Z58" s="161">
        <f t="shared" si="26"/>
        <v>3.3269999999999991</v>
      </c>
      <c r="AA58" s="161">
        <f t="shared" si="26"/>
        <v>3.3907999999999996</v>
      </c>
      <c r="AB58" s="161">
        <f t="shared" si="26"/>
        <v>3.4545000000000008</v>
      </c>
      <c r="AC58" s="161">
        <f t="shared" si="26"/>
        <v>3.5179999999999998</v>
      </c>
      <c r="AD58" s="161">
        <f t="shared" si="26"/>
        <v>3.5814999999999997</v>
      </c>
      <c r="AE58" s="161">
        <f t="shared" si="26"/>
        <v>3.6449000000000007</v>
      </c>
      <c r="AF58" s="67"/>
    </row>
    <row r="59" spans="2:32" x14ac:dyDescent="0.3">
      <c r="B59" s="64"/>
      <c r="C59" s="65" t="s">
        <v>265</v>
      </c>
      <c r="D59" s="69" t="s">
        <v>266</v>
      </c>
      <c r="E59" s="69"/>
      <c r="F59" s="163">
        <v>0</v>
      </c>
      <c r="G59" s="163">
        <v>0</v>
      </c>
      <c r="H59" s="163">
        <v>0</v>
      </c>
      <c r="I59" s="163">
        <v>0</v>
      </c>
      <c r="J59" s="163">
        <v>0</v>
      </c>
      <c r="K59" s="163">
        <v>0</v>
      </c>
      <c r="L59" s="163">
        <v>0</v>
      </c>
      <c r="M59" s="163">
        <v>0</v>
      </c>
      <c r="N59" s="160">
        <v>0</v>
      </c>
      <c r="O59" s="160">
        <v>0</v>
      </c>
      <c r="P59" s="160">
        <v>0</v>
      </c>
      <c r="Q59" s="160">
        <v>0</v>
      </c>
      <c r="R59" s="160">
        <v>0</v>
      </c>
      <c r="S59" s="163">
        <v>0</v>
      </c>
      <c r="T59" s="163">
        <v>0</v>
      </c>
      <c r="U59" s="163">
        <v>0</v>
      </c>
      <c r="V59" s="163">
        <v>0</v>
      </c>
      <c r="W59" s="163">
        <v>0</v>
      </c>
      <c r="X59" s="163">
        <v>0</v>
      </c>
      <c r="Y59" s="163">
        <v>0</v>
      </c>
      <c r="Z59" s="163">
        <v>0</v>
      </c>
      <c r="AA59" s="160">
        <v>0</v>
      </c>
      <c r="AB59" s="160">
        <v>0</v>
      </c>
      <c r="AC59" s="160">
        <v>0</v>
      </c>
      <c r="AD59" s="160">
        <v>0</v>
      </c>
      <c r="AE59" s="160">
        <v>0</v>
      </c>
      <c r="AF59" s="67"/>
    </row>
    <row r="60" spans="2:32" x14ac:dyDescent="0.3">
      <c r="B60" s="64"/>
      <c r="C60" s="111" t="s">
        <v>267</v>
      </c>
      <c r="D60" s="109" t="s">
        <v>268</v>
      </c>
      <c r="E60" s="69"/>
      <c r="F60" s="159">
        <f>'Ini_I+C_Compostaje'!C78</f>
        <v>5.4999999999999997E-3</v>
      </c>
      <c r="G60" s="159">
        <f>'Ini_I+C_Compostaje'!D78</f>
        <v>6.4000000000000003E-3</v>
      </c>
      <c r="H60" s="159">
        <f>'Ini_I+C_Compostaje'!E78</f>
        <v>7.3000000000000001E-3</v>
      </c>
      <c r="I60" s="159">
        <f>'Ini_I+C_Compostaje'!F78</f>
        <v>2.2200000000000001E-2</v>
      </c>
      <c r="J60" s="159">
        <f>'Ini_I+C_Compostaje'!G78</f>
        <v>3.7199999999999997E-2</v>
      </c>
      <c r="K60" s="159">
        <f>'Ini_I+C_Compostaje'!H78</f>
        <v>3.2199999999999999E-2</v>
      </c>
      <c r="L60" s="159">
        <f>'Ini_I+C_Compostaje'!I78</f>
        <v>2.7199999999999998E-2</v>
      </c>
      <c r="M60" s="159">
        <f>'Ini_I+C_Compostaje'!J78</f>
        <v>3.0499999999999999E-2</v>
      </c>
      <c r="N60" s="159">
        <f>'Ini_I+C_Compostaje'!K78</f>
        <v>3.3799999999999997E-2</v>
      </c>
      <c r="O60" s="159">
        <f>'Ini_I+C_Compostaje'!L78</f>
        <v>3.5299999999999998E-2</v>
      </c>
      <c r="P60" s="159">
        <f>'Ini_I+C_Compostaje'!M78</f>
        <v>3.6799999999999999E-2</v>
      </c>
      <c r="Q60" s="159">
        <f>'Ini_I+C_Compostaje'!N78</f>
        <v>3.85E-2</v>
      </c>
      <c r="R60" s="159">
        <f>'Ini_I+C_Compostaje'!O78</f>
        <v>3.3700000000000001E-2</v>
      </c>
      <c r="S60" s="159">
        <f>'Ini_I+C_Compostaje'!P78</f>
        <v>3.56E-2</v>
      </c>
      <c r="T60" s="159">
        <f>'Ini_I+C_Compostaje'!Q78</f>
        <v>3.7600000000000001E-2</v>
      </c>
      <c r="U60" s="159">
        <f>'Ini_I+C_Compostaje'!R78</f>
        <v>3.9600000000000003E-2</v>
      </c>
      <c r="V60" s="159">
        <f>'Ini_I+C_Compostaje'!S78</f>
        <v>4.3999999999999997E-2</v>
      </c>
      <c r="W60" s="159">
        <f>'Ini_I+C_Compostaje'!T78</f>
        <v>4.8300000000000003E-2</v>
      </c>
      <c r="X60" s="159">
        <f>'Ini_I+C_Compostaje'!U78</f>
        <v>5.2699999999999997E-2</v>
      </c>
      <c r="Y60" s="159">
        <f>'Ini_I+C_Compostaje'!V78</f>
        <v>5.7099999999999998E-2</v>
      </c>
      <c r="Z60" s="159">
        <f>'Ini_I+C_Compostaje'!W78</f>
        <v>6.1600000000000002E-2</v>
      </c>
      <c r="AA60" s="159">
        <f>'Ini_I+C_Compostaje'!X78</f>
        <v>6.4899999999999999E-2</v>
      </c>
      <c r="AB60" s="159">
        <f>'Ini_I+C_Compostaje'!Y78</f>
        <v>6.8099999999999994E-2</v>
      </c>
      <c r="AC60" s="159">
        <f>'Ini_I+C_Compostaje'!Z78</f>
        <v>7.1400000000000005E-2</v>
      </c>
      <c r="AD60" s="159">
        <f>'Ini_I+C_Compostaje'!AA78</f>
        <v>7.46E-2</v>
      </c>
      <c r="AE60" s="159">
        <f>'Ini_I+C_Compostaje'!AB78</f>
        <v>7.7899999999999997E-2</v>
      </c>
      <c r="AF60" s="67"/>
    </row>
    <row r="61" spans="2:32" x14ac:dyDescent="0.3">
      <c r="B61" s="64"/>
      <c r="C61" s="111" t="s">
        <v>269</v>
      </c>
      <c r="D61" s="109" t="s">
        <v>270</v>
      </c>
      <c r="E61" s="69"/>
      <c r="F61" s="161">
        <f>'Ini_I+C_Compostaje'!C47</f>
        <v>1.2472000000000001</v>
      </c>
      <c r="G61" s="161">
        <f>'Ini_I+C_Compostaje'!D47</f>
        <v>1.3540000000000001</v>
      </c>
      <c r="H61" s="161">
        <f>'Ini_I+C_Compostaje'!E47</f>
        <v>1.4481999999999999</v>
      </c>
      <c r="I61" s="161">
        <f>'Ini_I+C_Compostaje'!F47</f>
        <v>1.5746</v>
      </c>
      <c r="J61" s="161">
        <f>'Ini_I+C_Compostaje'!G47</f>
        <v>1.7108000000000001</v>
      </c>
      <c r="K61" s="161">
        <f>'Ini_I+C_Compostaje'!H47</f>
        <v>1.9966999999999999</v>
      </c>
      <c r="L61" s="161">
        <f>'Ini_I+C_Compostaje'!I47</f>
        <v>2.218</v>
      </c>
      <c r="M61" s="161">
        <f>'Ini_I+C_Compostaje'!J47</f>
        <v>2.3477000000000001</v>
      </c>
      <c r="N61" s="161">
        <f>'Ini_I+C_Compostaje'!K47</f>
        <v>2.4618000000000002</v>
      </c>
      <c r="O61" s="161">
        <f>'Ini_I+C_Compostaje'!L47</f>
        <v>2.4777999999999998</v>
      </c>
      <c r="P61" s="161">
        <f>'Ini_I+C_Compostaje'!M47</f>
        <v>2.4921000000000002</v>
      </c>
      <c r="Q61" s="161">
        <f>'Ini_I+C_Compostaje'!N47</f>
        <v>2.6398999999999999</v>
      </c>
      <c r="R61" s="161">
        <f>'Ini_I+C_Compostaje'!O47</f>
        <v>2.7492000000000001</v>
      </c>
      <c r="S61" s="161">
        <f>'Ini_I+C_Compostaje'!P47</f>
        <v>2.9081999999999999</v>
      </c>
      <c r="T61" s="161">
        <f>'Ini_I+C_Compostaje'!Q47</f>
        <v>3.0701000000000001</v>
      </c>
      <c r="U61" s="161">
        <f>'Ini_I+C_Compostaje'!R47</f>
        <v>3.2347999999999999</v>
      </c>
      <c r="V61" s="161">
        <f>'Ini_I+C_Compostaje'!S47</f>
        <v>3.4003999999999999</v>
      </c>
      <c r="W61" s="161">
        <f>'Ini_I+C_Compostaje'!T47</f>
        <v>3.5687000000000002</v>
      </c>
      <c r="X61" s="161">
        <f>'Ini_I+C_Compostaje'!U47</f>
        <v>3.7397999999999998</v>
      </c>
      <c r="Y61" s="161">
        <f>'Ini_I+C_Compostaje'!V47</f>
        <v>3.9136000000000002</v>
      </c>
      <c r="Z61" s="161">
        <f>'Ini_I+C_Compostaje'!W47</f>
        <v>4.0896999999999997</v>
      </c>
      <c r="AA61" s="161">
        <f>'Ini_I+C_Compostaje'!X47</f>
        <v>4.1687000000000003</v>
      </c>
      <c r="AB61" s="161">
        <f>'Ini_I+C_Compostaje'!Y47</f>
        <v>4.2477999999999998</v>
      </c>
      <c r="AC61" s="161">
        <f>'Ini_I+C_Compostaje'!Z47</f>
        <v>4.3270999999999997</v>
      </c>
      <c r="AD61" s="161">
        <f>'Ini_I+C_Compostaje'!AA47</f>
        <v>4.4065000000000003</v>
      </c>
      <c r="AE61" s="161">
        <f>'Ini_I+C_Compostaje'!AB47</f>
        <v>4.4858000000000002</v>
      </c>
      <c r="AF61" s="67"/>
    </row>
    <row r="62" spans="2:32" x14ac:dyDescent="0.3">
      <c r="B62" s="64"/>
      <c r="C62" s="111" t="s">
        <v>271</v>
      </c>
      <c r="D62" s="109" t="s">
        <v>272</v>
      </c>
      <c r="E62" s="69"/>
      <c r="F62" s="161">
        <v>1.1267</v>
      </c>
      <c r="G62" s="161">
        <v>1.1059000000000001</v>
      </c>
      <c r="H62" s="161">
        <v>1.0875999999999999</v>
      </c>
      <c r="I62" s="161">
        <v>1.3071999999999999</v>
      </c>
      <c r="J62" s="161">
        <v>1.5439000000000001</v>
      </c>
      <c r="K62" s="161">
        <v>1.0758000000000001</v>
      </c>
      <c r="L62" s="161">
        <v>0.71330000000000005</v>
      </c>
      <c r="M62" s="161">
        <v>0.57530000000000003</v>
      </c>
      <c r="N62" s="118">
        <v>0.45379999999999998</v>
      </c>
      <c r="O62" s="118">
        <v>0.44469999999999998</v>
      </c>
      <c r="P62" s="118">
        <v>0.43659999999999999</v>
      </c>
      <c r="Q62" s="118">
        <v>0.3745</v>
      </c>
      <c r="R62" s="118">
        <v>0.38469999999999999</v>
      </c>
      <c r="S62" s="118">
        <v>0.40689999999999998</v>
      </c>
      <c r="T62" s="118">
        <v>0.42959999999999998</v>
      </c>
      <c r="U62" s="118">
        <v>0.4526</v>
      </c>
      <c r="V62" s="118">
        <v>0.47599999999999998</v>
      </c>
      <c r="W62" s="118">
        <v>0.49980000000000002</v>
      </c>
      <c r="X62" s="118">
        <v>0.52390000000000003</v>
      </c>
      <c r="Y62" s="118">
        <v>0.5484</v>
      </c>
      <c r="Z62" s="118">
        <v>0.57330000000000003</v>
      </c>
      <c r="AA62" s="118">
        <v>0.58440000000000003</v>
      </c>
      <c r="AB62" s="118">
        <v>0.59570000000000001</v>
      </c>
      <c r="AC62" s="118">
        <v>0.6069</v>
      </c>
      <c r="AD62" s="118">
        <v>0.61809999999999998</v>
      </c>
      <c r="AE62" s="118">
        <v>0.62929999999999997</v>
      </c>
      <c r="AF62" s="67"/>
    </row>
    <row r="63" spans="2:32" ht="15.6" customHeight="1" x14ac:dyDescent="0.3">
      <c r="B63" s="64"/>
      <c r="C63" s="71" t="s">
        <v>273</v>
      </c>
      <c r="D63" s="72" t="s">
        <v>274</v>
      </c>
      <c r="E63" s="72"/>
      <c r="F63" s="163">
        <v>0</v>
      </c>
      <c r="G63" s="163">
        <v>0</v>
      </c>
      <c r="H63" s="163">
        <v>0</v>
      </c>
      <c r="I63" s="163">
        <v>0</v>
      </c>
      <c r="J63" s="163">
        <v>0</v>
      </c>
      <c r="K63" s="163">
        <v>0</v>
      </c>
      <c r="L63" s="163">
        <v>0</v>
      </c>
      <c r="M63" s="163">
        <v>0</v>
      </c>
      <c r="N63" s="160">
        <v>0</v>
      </c>
      <c r="O63" s="160">
        <v>0</v>
      </c>
      <c r="P63" s="160">
        <v>0</v>
      </c>
      <c r="Q63" s="160">
        <v>0</v>
      </c>
      <c r="R63" s="160">
        <v>0</v>
      </c>
      <c r="S63" s="163">
        <v>0</v>
      </c>
      <c r="T63" s="163">
        <v>0</v>
      </c>
      <c r="U63" s="163">
        <v>0</v>
      </c>
      <c r="V63" s="163">
        <v>0</v>
      </c>
      <c r="W63" s="163">
        <v>0</v>
      </c>
      <c r="X63" s="163">
        <v>0</v>
      </c>
      <c r="Y63" s="163">
        <v>0</v>
      </c>
      <c r="Z63" s="163">
        <v>0</v>
      </c>
      <c r="AA63" s="160">
        <v>0</v>
      </c>
      <c r="AB63" s="160">
        <v>0</v>
      </c>
      <c r="AC63" s="160">
        <v>0</v>
      </c>
      <c r="AD63" s="160">
        <v>0</v>
      </c>
      <c r="AE63" s="160">
        <v>0</v>
      </c>
      <c r="AF63" s="67"/>
    </row>
    <row r="64" spans="2:32" x14ac:dyDescent="0.3">
      <c r="B64" s="64"/>
      <c r="C64" s="112" t="s">
        <v>275</v>
      </c>
      <c r="D64" s="110" t="s">
        <v>276</v>
      </c>
      <c r="E64" s="72"/>
      <c r="F64" s="159">
        <v>9.1000000000000004E-3</v>
      </c>
      <c r="G64" s="159">
        <v>9.7000000000000003E-3</v>
      </c>
      <c r="H64" s="159">
        <v>1.04E-2</v>
      </c>
      <c r="I64" s="159">
        <v>1.0800000000000001E-2</v>
      </c>
      <c r="J64" s="159">
        <v>1.1299999999999999E-2</v>
      </c>
      <c r="K64" s="159">
        <v>1.12E-2</v>
      </c>
      <c r="L64" s="159">
        <v>1.12E-2</v>
      </c>
      <c r="M64" s="159">
        <v>1.14E-2</v>
      </c>
      <c r="N64" s="159">
        <v>1.1599999999999999E-2</v>
      </c>
      <c r="O64" s="159">
        <v>1.5100000000000001E-2</v>
      </c>
      <c r="P64" s="159">
        <v>1.9300000000000001E-2</v>
      </c>
      <c r="Q64" s="159">
        <v>9.1000000000000004E-3</v>
      </c>
      <c r="R64" s="159">
        <v>1.37E-2</v>
      </c>
      <c r="S64" s="118">
        <v>1.44E-2</v>
      </c>
      <c r="T64" s="118">
        <v>1.52E-2</v>
      </c>
      <c r="U64" s="118">
        <v>1.61E-2</v>
      </c>
      <c r="V64" s="118">
        <v>1.6899999999999998E-2</v>
      </c>
      <c r="W64" s="118">
        <v>1.78E-2</v>
      </c>
      <c r="X64" s="118">
        <v>1.8599999999999998E-2</v>
      </c>
      <c r="Y64" s="118">
        <v>1.95E-2</v>
      </c>
      <c r="Z64" s="118">
        <v>2.0400000000000001E-2</v>
      </c>
      <c r="AA64" s="118">
        <v>2.0799999999999999E-2</v>
      </c>
      <c r="AB64" s="118">
        <v>2.12E-2</v>
      </c>
      <c r="AC64" s="118">
        <v>2.1600000000000001E-2</v>
      </c>
      <c r="AD64" s="118">
        <v>2.1999999999999999E-2</v>
      </c>
      <c r="AE64" s="118">
        <v>2.24E-2</v>
      </c>
      <c r="AF64" s="67"/>
    </row>
    <row r="65" spans="2:32" x14ac:dyDescent="0.3">
      <c r="B65" s="64"/>
      <c r="C65" s="65" t="s">
        <v>277</v>
      </c>
      <c r="D65" s="69" t="s">
        <v>278</v>
      </c>
      <c r="E65" s="69"/>
      <c r="F65" s="161">
        <v>0</v>
      </c>
      <c r="G65" s="161">
        <v>0</v>
      </c>
      <c r="H65" s="161">
        <v>0</v>
      </c>
      <c r="I65" s="161">
        <v>0</v>
      </c>
      <c r="J65" s="161">
        <v>0</v>
      </c>
      <c r="K65" s="161">
        <v>0</v>
      </c>
      <c r="L65" s="161">
        <v>0</v>
      </c>
      <c r="M65" s="161">
        <v>0</v>
      </c>
      <c r="N65" s="161">
        <v>0</v>
      </c>
      <c r="O65" s="161">
        <v>0</v>
      </c>
      <c r="P65" s="161">
        <v>0</v>
      </c>
      <c r="Q65" s="161">
        <v>0</v>
      </c>
      <c r="R65" s="161">
        <v>0</v>
      </c>
      <c r="S65" s="118">
        <v>0</v>
      </c>
      <c r="T65" s="118">
        <v>0</v>
      </c>
      <c r="U65" s="118">
        <v>0</v>
      </c>
      <c r="V65" s="118">
        <v>0</v>
      </c>
      <c r="W65" s="118">
        <v>0</v>
      </c>
      <c r="X65" s="118">
        <v>0</v>
      </c>
      <c r="Y65" s="118">
        <v>0</v>
      </c>
      <c r="Z65" s="118">
        <v>0</v>
      </c>
      <c r="AA65" s="118">
        <v>0</v>
      </c>
      <c r="AB65" s="118">
        <v>0</v>
      </c>
      <c r="AC65" s="118">
        <v>0</v>
      </c>
      <c r="AD65" s="118">
        <v>0</v>
      </c>
      <c r="AE65" s="118">
        <v>0</v>
      </c>
      <c r="AF65" s="67"/>
    </row>
    <row r="66" spans="2:32" x14ac:dyDescent="0.3">
      <c r="B66" s="64"/>
      <c r="C66" s="65" t="s">
        <v>279</v>
      </c>
      <c r="D66" s="69" t="s">
        <v>280</v>
      </c>
      <c r="E66" s="69"/>
      <c r="F66" s="161">
        <v>0</v>
      </c>
      <c r="G66" s="161">
        <v>0</v>
      </c>
      <c r="H66" s="161">
        <v>0</v>
      </c>
      <c r="I66" s="161">
        <v>0</v>
      </c>
      <c r="J66" s="161">
        <v>0</v>
      </c>
      <c r="K66" s="161">
        <v>0</v>
      </c>
      <c r="L66" s="161">
        <v>0</v>
      </c>
      <c r="M66" s="161">
        <v>0</v>
      </c>
      <c r="N66" s="161">
        <v>0</v>
      </c>
      <c r="O66" s="161">
        <v>0</v>
      </c>
      <c r="P66" s="161">
        <v>0</v>
      </c>
      <c r="Q66" s="161">
        <v>0</v>
      </c>
      <c r="R66" s="161">
        <v>0</v>
      </c>
      <c r="S66" s="118">
        <v>0</v>
      </c>
      <c r="T66" s="118">
        <v>0</v>
      </c>
      <c r="U66" s="118">
        <v>0</v>
      </c>
      <c r="V66" s="118">
        <v>0</v>
      </c>
      <c r="W66" s="118">
        <v>0</v>
      </c>
      <c r="X66" s="118">
        <v>0</v>
      </c>
      <c r="Y66" s="118">
        <v>0</v>
      </c>
      <c r="Z66" s="118">
        <v>0</v>
      </c>
      <c r="AA66" s="118">
        <v>0</v>
      </c>
      <c r="AB66" s="118">
        <v>0</v>
      </c>
      <c r="AC66" s="118">
        <v>0</v>
      </c>
      <c r="AD66" s="118">
        <v>0</v>
      </c>
      <c r="AE66" s="118">
        <v>0</v>
      </c>
      <c r="AF66" s="67"/>
    </row>
    <row r="67" spans="2:32" x14ac:dyDescent="0.3">
      <c r="B67" s="64"/>
      <c r="C67" s="65"/>
      <c r="D67" s="65"/>
      <c r="E67" s="65"/>
      <c r="F67" s="146">
        <f>'Ini_I+C_Reduccion'!C59</f>
        <v>4.0671999999999997</v>
      </c>
      <c r="G67" s="146">
        <f>'Ini_I+C_Reduccion'!D59</f>
        <v>4.2162000000000006</v>
      </c>
      <c r="H67" s="146">
        <f>'Ini_I+C_Reduccion'!E59</f>
        <v>4.3482000000000003</v>
      </c>
      <c r="I67" s="146">
        <f>'Ini_I+C_Reduccion'!F59</f>
        <v>4.9634</v>
      </c>
      <c r="J67" s="146">
        <f>'Ini_I+C_Reduccion'!G59</f>
        <v>5.6248000000000005</v>
      </c>
      <c r="K67" s="146">
        <f>'Ini_I+C_Reduccion'!H59</f>
        <v>5.2972000000000001</v>
      </c>
      <c r="L67" s="146">
        <f>'Ini_I+C_Reduccion'!I59</f>
        <v>5.0569000000000006</v>
      </c>
      <c r="M67" s="146">
        <f>'Ini_I+C_Reduccion'!J59</f>
        <v>5.0416000000000007</v>
      </c>
      <c r="N67" s="146">
        <f>'Ini_I+C_Reduccion'!K59</f>
        <v>5.0421000000000005</v>
      </c>
      <c r="O67" s="146">
        <f>'Ini_I+C_Reduccion'!L59</f>
        <v>5.0625</v>
      </c>
      <c r="P67" s="146">
        <f>'Ini_I+C_Reduccion'!M59</f>
        <v>5.0825999999999993</v>
      </c>
      <c r="Q67" s="146">
        <f>'Ini_I+C_Reduccion'!N59</f>
        <v>5.2141000000000002</v>
      </c>
      <c r="R67" s="146">
        <f>'Ini_I+C_Reduccion'!O59</f>
        <v>5.4172000000000002</v>
      </c>
      <c r="S67" s="146">
        <f>'Ini_I+C_Reduccion'!P59</f>
        <v>5.7306999999999997</v>
      </c>
      <c r="T67" s="146">
        <f>'Ini_I+C_Reduccion'!Q59</f>
        <v>6.0497999999999994</v>
      </c>
      <c r="U67" s="146">
        <f>'Ini_I+C_Reduccion'!R59</f>
        <v>6.3742000000000001</v>
      </c>
      <c r="V67" s="146">
        <f>'Ini_I+C_Reduccion'!S59</f>
        <v>6.7037000000000004</v>
      </c>
      <c r="W67" s="146">
        <f>'Ini_I+C_Reduccion'!T59</f>
        <v>7.0384000000000002</v>
      </c>
      <c r="X67" s="146">
        <f>'Ini_I+C_Reduccion'!U59</f>
        <v>7.3780999999999999</v>
      </c>
      <c r="Y67" s="146">
        <f>'Ini_I+C_Reduccion'!V59</f>
        <v>7.7229000000000001</v>
      </c>
      <c r="Z67" s="146">
        <f>'Ini_I+C_Reduccion'!W59</f>
        <v>8.0719999999999992</v>
      </c>
      <c r="AA67" s="146">
        <f>'Ini_I+C_Reduccion'!X59</f>
        <v>8.2295999999999996</v>
      </c>
      <c r="AB67" s="146">
        <f>'Ini_I+C_Reduccion'!Y59</f>
        <v>8.3872999999999998</v>
      </c>
      <c r="AC67" s="146">
        <f>'Ini_I+C_Reduccion'!Z59</f>
        <v>8.5449999999999999</v>
      </c>
      <c r="AD67" s="146">
        <f>'Ini_I+C_Reduccion'!AA59</f>
        <v>8.7027000000000001</v>
      </c>
      <c r="AE67" s="146">
        <f>'Ini_I+C_Reduccion'!AB59</f>
        <v>8.8603000000000005</v>
      </c>
      <c r="AF67" s="67"/>
    </row>
    <row r="68" spans="2:32" x14ac:dyDescent="0.3">
      <c r="B68" s="64"/>
      <c r="C68" s="65"/>
      <c r="D68" s="73"/>
      <c r="E68" s="73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  <c r="AE68" s="146"/>
      <c r="AF68" s="67"/>
    </row>
    <row r="69" spans="2:32" x14ac:dyDescent="0.3">
      <c r="B69" s="64"/>
      <c r="C69" s="65"/>
      <c r="D69" s="75"/>
      <c r="E69" s="75"/>
      <c r="F69" s="75"/>
      <c r="G69" s="75"/>
      <c r="H69" s="75"/>
      <c r="I69" s="75"/>
      <c r="J69" s="75"/>
      <c r="K69" s="87"/>
      <c r="L69" s="87"/>
      <c r="M69" s="87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67"/>
    </row>
    <row r="70" spans="2:32" x14ac:dyDescent="0.3">
      <c r="B70" s="64"/>
      <c r="C70" s="66" t="s">
        <v>281</v>
      </c>
      <c r="D70" s="66"/>
      <c r="E70" s="66"/>
      <c r="F70" s="66"/>
      <c r="G70" s="66"/>
      <c r="H70" s="66"/>
      <c r="I70" s="66"/>
      <c r="J70" s="66"/>
      <c r="K70" s="88"/>
      <c r="L70" s="88"/>
      <c r="M70" s="88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67"/>
    </row>
    <row r="71" spans="2:32" ht="28.8" x14ac:dyDescent="0.3">
      <c r="B71" s="64"/>
      <c r="C71" s="65" t="s">
        <v>282</v>
      </c>
      <c r="D71" s="71" t="s">
        <v>283</v>
      </c>
      <c r="E71" s="71"/>
      <c r="F71" s="89">
        <f>F27*F67</f>
        <v>1.6786999999999996</v>
      </c>
      <c r="G71" s="89">
        <f t="shared" ref="G71:R71" si="27">G27*G67</f>
        <v>1.7402000000000002</v>
      </c>
      <c r="H71" s="89">
        <f t="shared" si="27"/>
        <v>1.7947000000000006</v>
      </c>
      <c r="I71" s="89">
        <f t="shared" si="27"/>
        <v>2.0486</v>
      </c>
      <c r="J71" s="89">
        <f t="shared" si="27"/>
        <v>2.3216000000000006</v>
      </c>
      <c r="K71" s="89">
        <f t="shared" si="27"/>
        <v>2.1813000000000007</v>
      </c>
      <c r="L71" s="89">
        <f t="shared" si="27"/>
        <v>2.0872000000000006</v>
      </c>
      <c r="M71" s="89">
        <f t="shared" si="27"/>
        <v>2.0767000000000007</v>
      </c>
      <c r="N71" s="89">
        <f t="shared" si="27"/>
        <v>2.0810999999999997</v>
      </c>
      <c r="O71" s="89">
        <f t="shared" si="27"/>
        <v>2.0895999999999999</v>
      </c>
      <c r="P71" s="89">
        <f t="shared" si="27"/>
        <v>2.097799999999999</v>
      </c>
      <c r="Q71" s="89">
        <f t="shared" si="27"/>
        <v>2.1521000000000003</v>
      </c>
      <c r="R71" s="89">
        <f t="shared" si="27"/>
        <v>2.2359000000000004</v>
      </c>
      <c r="S71" s="84">
        <f t="shared" ref="S71:AE71" si="28">S90*S27</f>
        <v>2.3656000000000001</v>
      </c>
      <c r="T71" s="84">
        <f t="shared" si="28"/>
        <v>2.4972999999999992</v>
      </c>
      <c r="U71" s="84">
        <f t="shared" si="28"/>
        <v>2.6311000000000004</v>
      </c>
      <c r="V71" s="84">
        <f t="shared" si="28"/>
        <v>2.7664000000000009</v>
      </c>
      <c r="W71" s="84">
        <f t="shared" si="28"/>
        <v>2.9037999999999999</v>
      </c>
      <c r="X71" s="84">
        <f t="shared" si="28"/>
        <v>3.0430999999999999</v>
      </c>
      <c r="Y71" s="84">
        <f t="shared" si="28"/>
        <v>3.1842999999999999</v>
      </c>
      <c r="Z71" s="84">
        <f t="shared" si="28"/>
        <v>3.3269999999999991</v>
      </c>
      <c r="AA71" s="84">
        <f t="shared" si="28"/>
        <v>3.3907999999999996</v>
      </c>
      <c r="AB71" s="84">
        <f t="shared" si="28"/>
        <v>3.4545000000000008</v>
      </c>
      <c r="AC71" s="84">
        <f t="shared" si="28"/>
        <v>3.5179999999999998</v>
      </c>
      <c r="AD71" s="84">
        <f t="shared" si="28"/>
        <v>3.5814999999999997</v>
      </c>
      <c r="AE71" s="84">
        <f t="shared" si="28"/>
        <v>3.6449000000000007</v>
      </c>
      <c r="AF71" s="67"/>
    </row>
    <row r="72" spans="2:32" ht="28.8" x14ac:dyDescent="0.3">
      <c r="B72" s="64"/>
      <c r="C72" s="65" t="s">
        <v>284</v>
      </c>
      <c r="D72" s="71" t="s">
        <v>285</v>
      </c>
      <c r="E72" s="71"/>
      <c r="F72" s="89">
        <f>F28*F67</f>
        <v>5.4999999999999997E-3</v>
      </c>
      <c r="G72" s="89">
        <f t="shared" ref="G72:R72" si="29">G28*G67</f>
        <v>6.4000000000000003E-3</v>
      </c>
      <c r="H72" s="89">
        <f t="shared" si="29"/>
        <v>7.2999999999999992E-3</v>
      </c>
      <c r="I72" s="89">
        <f t="shared" si="29"/>
        <v>2.2200000000000001E-2</v>
      </c>
      <c r="J72" s="89">
        <f t="shared" si="29"/>
        <v>3.7199999999999997E-2</v>
      </c>
      <c r="K72" s="89">
        <f t="shared" si="29"/>
        <v>3.2199999999999999E-2</v>
      </c>
      <c r="L72" s="89">
        <f t="shared" si="29"/>
        <v>2.7199999999999998E-2</v>
      </c>
      <c r="M72" s="89">
        <f t="shared" si="29"/>
        <v>3.0499999999999999E-2</v>
      </c>
      <c r="N72" s="89">
        <f t="shared" si="29"/>
        <v>3.3799999999999997E-2</v>
      </c>
      <c r="O72" s="89">
        <f t="shared" si="29"/>
        <v>3.5299999999999998E-2</v>
      </c>
      <c r="P72" s="89">
        <f t="shared" si="29"/>
        <v>3.6799999999999999E-2</v>
      </c>
      <c r="Q72" s="89">
        <f t="shared" si="29"/>
        <v>3.85E-2</v>
      </c>
      <c r="R72" s="89">
        <f t="shared" si="29"/>
        <v>3.3700000000000001E-2</v>
      </c>
      <c r="S72" s="84">
        <f t="shared" ref="S72:AE72" si="30">S90*S28</f>
        <v>3.56E-2</v>
      </c>
      <c r="T72" s="84">
        <f t="shared" si="30"/>
        <v>3.7600000000000001E-2</v>
      </c>
      <c r="U72" s="84">
        <f t="shared" si="30"/>
        <v>3.9600000000000003E-2</v>
      </c>
      <c r="V72" s="84">
        <f t="shared" si="30"/>
        <v>4.3999999999999997E-2</v>
      </c>
      <c r="W72" s="84">
        <f t="shared" si="30"/>
        <v>4.8300000000000003E-2</v>
      </c>
      <c r="X72" s="84">
        <f t="shared" si="30"/>
        <v>5.2699999999999997E-2</v>
      </c>
      <c r="Y72" s="84">
        <f t="shared" si="30"/>
        <v>5.7099999999999998E-2</v>
      </c>
      <c r="Z72" s="84">
        <f t="shared" si="30"/>
        <v>6.1600000000000002E-2</v>
      </c>
      <c r="AA72" s="84">
        <f t="shared" si="30"/>
        <v>6.4899999999999999E-2</v>
      </c>
      <c r="AB72" s="84">
        <f t="shared" si="30"/>
        <v>6.8099999999999994E-2</v>
      </c>
      <c r="AC72" s="84">
        <f t="shared" si="30"/>
        <v>7.1400000000000005E-2</v>
      </c>
      <c r="AD72" s="84">
        <f t="shared" si="30"/>
        <v>7.46E-2</v>
      </c>
      <c r="AE72" s="84">
        <f t="shared" si="30"/>
        <v>7.7899999999999997E-2</v>
      </c>
      <c r="AF72" s="67"/>
    </row>
    <row r="73" spans="2:32" ht="28.8" x14ac:dyDescent="0.3">
      <c r="B73" s="64"/>
      <c r="C73" s="65" t="s">
        <v>286</v>
      </c>
      <c r="D73" s="71" t="s">
        <v>287</v>
      </c>
      <c r="E73" s="71"/>
      <c r="F73" s="89">
        <f>F29*F67</f>
        <v>2.383</v>
      </c>
      <c r="G73" s="89">
        <f t="shared" ref="G73:R73" si="31">G29*G67</f>
        <v>2.4696000000000002</v>
      </c>
      <c r="H73" s="89">
        <f t="shared" si="31"/>
        <v>2.5461999999999994</v>
      </c>
      <c r="I73" s="89">
        <f t="shared" si="31"/>
        <v>2.8925999999999998</v>
      </c>
      <c r="J73" s="89">
        <f t="shared" si="31"/>
        <v>3.2660000000000005</v>
      </c>
      <c r="K73" s="89">
        <f t="shared" si="31"/>
        <v>3.0836999999999994</v>
      </c>
      <c r="L73" s="89">
        <f t="shared" si="31"/>
        <v>2.9424999999999999</v>
      </c>
      <c r="M73" s="89">
        <f t="shared" si="31"/>
        <v>2.9344000000000006</v>
      </c>
      <c r="N73" s="89">
        <f t="shared" si="31"/>
        <v>2.9272</v>
      </c>
      <c r="O73" s="89">
        <f t="shared" si="31"/>
        <v>2.9375999999999998</v>
      </c>
      <c r="P73" s="89">
        <f t="shared" si="31"/>
        <v>2.9480000000000004</v>
      </c>
      <c r="Q73" s="89">
        <f t="shared" si="31"/>
        <v>3.0234999999999999</v>
      </c>
      <c r="R73" s="89">
        <f t="shared" si="31"/>
        <v>3.1475999999999997</v>
      </c>
      <c r="S73" s="84">
        <f t="shared" ref="S73:AE73" si="32">S90*S29</f>
        <v>3.3294999999999999</v>
      </c>
      <c r="T73" s="84">
        <f t="shared" si="32"/>
        <v>3.5149000000000004</v>
      </c>
      <c r="U73" s="84">
        <f t="shared" si="32"/>
        <v>3.7034999999999996</v>
      </c>
      <c r="V73" s="84">
        <f t="shared" si="32"/>
        <v>3.8932999999999995</v>
      </c>
      <c r="W73" s="84">
        <f t="shared" si="32"/>
        <v>4.0862999999999996</v>
      </c>
      <c r="X73" s="84">
        <f t="shared" si="32"/>
        <v>4.2822999999999993</v>
      </c>
      <c r="Y73" s="84">
        <f t="shared" si="32"/>
        <v>4.4815000000000005</v>
      </c>
      <c r="Z73" s="84">
        <f t="shared" si="32"/>
        <v>4.6833999999999998</v>
      </c>
      <c r="AA73" s="84">
        <f t="shared" si="32"/>
        <v>4.7739000000000003</v>
      </c>
      <c r="AB73" s="84">
        <f t="shared" si="32"/>
        <v>4.8646999999999991</v>
      </c>
      <c r="AC73" s="84">
        <f t="shared" si="32"/>
        <v>4.9555999999999996</v>
      </c>
      <c r="AD73" s="84">
        <f t="shared" si="32"/>
        <v>5.0466000000000006</v>
      </c>
      <c r="AE73" s="84">
        <f t="shared" si="32"/>
        <v>5.1375000000000011</v>
      </c>
      <c r="AF73" s="67"/>
    </row>
    <row r="74" spans="2:32" ht="28.8" x14ac:dyDescent="0.3">
      <c r="B74" s="64"/>
      <c r="C74" s="65" t="s">
        <v>288</v>
      </c>
      <c r="D74" s="71" t="s">
        <v>289</v>
      </c>
      <c r="E74" s="71"/>
      <c r="F74" s="89">
        <f>F30*F67</f>
        <v>0</v>
      </c>
      <c r="G74" s="89">
        <f t="shared" ref="G74:R74" si="33">G30*G67</f>
        <v>0</v>
      </c>
      <c r="H74" s="89">
        <f t="shared" si="33"/>
        <v>0</v>
      </c>
      <c r="I74" s="89">
        <f t="shared" si="33"/>
        <v>0</v>
      </c>
      <c r="J74" s="89">
        <f t="shared" si="33"/>
        <v>0</v>
      </c>
      <c r="K74" s="89">
        <f t="shared" si="33"/>
        <v>0</v>
      </c>
      <c r="L74" s="89">
        <f t="shared" si="33"/>
        <v>0</v>
      </c>
      <c r="M74" s="89">
        <f t="shared" si="33"/>
        <v>0</v>
      </c>
      <c r="N74" s="89">
        <f t="shared" si="33"/>
        <v>0</v>
      </c>
      <c r="O74" s="89">
        <f t="shared" si="33"/>
        <v>0</v>
      </c>
      <c r="P74" s="89">
        <f t="shared" si="33"/>
        <v>0</v>
      </c>
      <c r="Q74" s="89">
        <f t="shared" si="33"/>
        <v>0</v>
      </c>
      <c r="R74" s="89">
        <f t="shared" si="33"/>
        <v>0</v>
      </c>
      <c r="S74" s="84">
        <f t="shared" ref="S74:AE74" si="34">S90*S30</f>
        <v>0</v>
      </c>
      <c r="T74" s="84">
        <f t="shared" si="34"/>
        <v>0</v>
      </c>
      <c r="U74" s="84">
        <f t="shared" si="34"/>
        <v>0</v>
      </c>
      <c r="V74" s="84">
        <f t="shared" si="34"/>
        <v>0</v>
      </c>
      <c r="W74" s="84">
        <f t="shared" si="34"/>
        <v>0</v>
      </c>
      <c r="X74" s="84">
        <f t="shared" si="34"/>
        <v>0</v>
      </c>
      <c r="Y74" s="84">
        <f t="shared" si="34"/>
        <v>0</v>
      </c>
      <c r="Z74" s="84">
        <f t="shared" si="34"/>
        <v>0</v>
      </c>
      <c r="AA74" s="84">
        <f t="shared" si="34"/>
        <v>0</v>
      </c>
      <c r="AB74" s="84">
        <f t="shared" si="34"/>
        <v>0</v>
      </c>
      <c r="AC74" s="84">
        <f t="shared" si="34"/>
        <v>0</v>
      </c>
      <c r="AD74" s="84">
        <f t="shared" si="34"/>
        <v>0</v>
      </c>
      <c r="AE74" s="84">
        <f t="shared" si="34"/>
        <v>0</v>
      </c>
      <c r="AF74" s="67"/>
    </row>
    <row r="75" spans="2:32" x14ac:dyDescent="0.3">
      <c r="B75" s="64"/>
      <c r="C75" s="65"/>
      <c r="D75" s="77"/>
      <c r="E75" s="77"/>
      <c r="F75" s="90">
        <f t="shared" ref="F75:M75" si="35">SUM(F71:F74)</f>
        <v>4.0671999999999997</v>
      </c>
      <c r="G75" s="90">
        <f t="shared" si="35"/>
        <v>4.2162000000000006</v>
      </c>
      <c r="H75" s="90">
        <f t="shared" si="35"/>
        <v>4.3482000000000003</v>
      </c>
      <c r="I75" s="90">
        <f t="shared" si="35"/>
        <v>4.9634</v>
      </c>
      <c r="J75" s="90">
        <f t="shared" si="35"/>
        <v>5.6248000000000005</v>
      </c>
      <c r="K75" s="90">
        <f t="shared" si="35"/>
        <v>5.2972000000000001</v>
      </c>
      <c r="L75" s="90">
        <f t="shared" si="35"/>
        <v>5.0569000000000006</v>
      </c>
      <c r="M75" s="90">
        <f t="shared" si="35"/>
        <v>5.0416000000000007</v>
      </c>
      <c r="N75" s="90">
        <f>SUM(N71:N74)</f>
        <v>5.0420999999999996</v>
      </c>
      <c r="O75" s="90">
        <f t="shared" ref="O75:AE75" si="36">SUM(O71:O74)</f>
        <v>5.0625</v>
      </c>
      <c r="P75" s="90">
        <f t="shared" si="36"/>
        <v>5.0825999999999993</v>
      </c>
      <c r="Q75" s="90">
        <f t="shared" si="36"/>
        <v>5.2141000000000002</v>
      </c>
      <c r="R75" s="90">
        <f t="shared" si="36"/>
        <v>5.4172000000000002</v>
      </c>
      <c r="S75" s="90">
        <f t="shared" si="36"/>
        <v>5.7307000000000006</v>
      </c>
      <c r="T75" s="90">
        <f t="shared" si="36"/>
        <v>6.0497999999999994</v>
      </c>
      <c r="U75" s="90">
        <f t="shared" si="36"/>
        <v>6.3742000000000001</v>
      </c>
      <c r="V75" s="90">
        <f t="shared" si="36"/>
        <v>6.7037000000000004</v>
      </c>
      <c r="W75" s="90">
        <f t="shared" si="36"/>
        <v>7.0383999999999993</v>
      </c>
      <c r="X75" s="90">
        <f t="shared" si="36"/>
        <v>7.3780999999999999</v>
      </c>
      <c r="Y75" s="90">
        <f t="shared" si="36"/>
        <v>7.722900000000001</v>
      </c>
      <c r="Z75" s="90">
        <f t="shared" si="36"/>
        <v>8.0719999999999992</v>
      </c>
      <c r="AA75" s="90">
        <f t="shared" si="36"/>
        <v>8.2295999999999996</v>
      </c>
      <c r="AB75" s="90">
        <f t="shared" si="36"/>
        <v>8.3872999999999998</v>
      </c>
      <c r="AC75" s="90">
        <f t="shared" si="36"/>
        <v>8.5449999999999999</v>
      </c>
      <c r="AD75" s="90">
        <f t="shared" si="36"/>
        <v>8.7027000000000001</v>
      </c>
      <c r="AE75" s="90">
        <f t="shared" si="36"/>
        <v>8.8603000000000023</v>
      </c>
      <c r="AF75" s="67"/>
    </row>
    <row r="76" spans="2:32" x14ac:dyDescent="0.3">
      <c r="B76" s="64"/>
      <c r="C76" s="65"/>
      <c r="D76" s="65"/>
      <c r="E76" s="65"/>
      <c r="F76" s="65"/>
      <c r="G76" s="65"/>
      <c r="H76" s="65"/>
      <c r="I76" s="65"/>
      <c r="J76" s="65"/>
      <c r="K76" s="91"/>
      <c r="L76" s="91"/>
      <c r="M76" s="91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67"/>
    </row>
    <row r="77" spans="2:32" x14ac:dyDescent="0.3">
      <c r="B77" s="64"/>
      <c r="C77" s="66" t="s">
        <v>290</v>
      </c>
      <c r="D77" s="66"/>
      <c r="E77" s="66"/>
      <c r="F77" s="66"/>
      <c r="G77" s="66"/>
      <c r="H77" s="66"/>
      <c r="I77" s="66"/>
      <c r="J77" s="66"/>
      <c r="K77" s="88"/>
      <c r="L77" s="88"/>
      <c r="M77" s="88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67"/>
    </row>
    <row r="78" spans="2:32" ht="28.8" x14ac:dyDescent="0.3">
      <c r="B78" s="64"/>
      <c r="C78" s="65" t="s">
        <v>291</v>
      </c>
      <c r="D78" s="71" t="s">
        <v>292</v>
      </c>
      <c r="E78" s="71"/>
      <c r="F78" s="89">
        <f>F34*F90</f>
        <v>1.6786999999999996</v>
      </c>
      <c r="G78" s="89">
        <f t="shared" ref="G78:M78" si="37">G34*G90</f>
        <v>1.7402000000000002</v>
      </c>
      <c r="H78" s="89">
        <f t="shared" si="37"/>
        <v>1.7947000000000006</v>
      </c>
      <c r="I78" s="89">
        <f t="shared" si="37"/>
        <v>2.0486</v>
      </c>
      <c r="J78" s="89">
        <f t="shared" si="37"/>
        <v>2.3216000000000006</v>
      </c>
      <c r="K78" s="89">
        <f t="shared" si="37"/>
        <v>2.1813000000000007</v>
      </c>
      <c r="L78" s="89">
        <f t="shared" si="37"/>
        <v>2.0872000000000006</v>
      </c>
      <c r="M78" s="89">
        <f t="shared" si="37"/>
        <v>2.0767000000000007</v>
      </c>
      <c r="N78" s="84">
        <f t="shared" ref="N78:AE78" si="38">N90*N34</f>
        <v>2.0810999999999997</v>
      </c>
      <c r="O78" s="84">
        <f t="shared" si="38"/>
        <v>2.0895999999999999</v>
      </c>
      <c r="P78" s="84">
        <f t="shared" si="38"/>
        <v>2.097799999999999</v>
      </c>
      <c r="Q78" s="84">
        <f t="shared" si="38"/>
        <v>2.1521000000000003</v>
      </c>
      <c r="R78" s="84">
        <f t="shared" si="38"/>
        <v>2.2359000000000004</v>
      </c>
      <c r="S78" s="84">
        <f t="shared" si="38"/>
        <v>2.3656000000000001</v>
      </c>
      <c r="T78" s="84">
        <f t="shared" si="38"/>
        <v>2.4972999999999992</v>
      </c>
      <c r="U78" s="84">
        <f t="shared" si="38"/>
        <v>2.6311000000000004</v>
      </c>
      <c r="V78" s="84">
        <f t="shared" si="38"/>
        <v>2.7664000000000009</v>
      </c>
      <c r="W78" s="84">
        <f t="shared" si="38"/>
        <v>2.9037999999999999</v>
      </c>
      <c r="X78" s="84">
        <f t="shared" si="38"/>
        <v>3.0430999999999999</v>
      </c>
      <c r="Y78" s="84">
        <f t="shared" si="38"/>
        <v>3.1842999999999999</v>
      </c>
      <c r="Z78" s="84">
        <f t="shared" si="38"/>
        <v>3.3269999999999991</v>
      </c>
      <c r="AA78" s="84">
        <f t="shared" si="38"/>
        <v>3.3907999999999996</v>
      </c>
      <c r="AB78" s="84">
        <f t="shared" si="38"/>
        <v>3.4545000000000008</v>
      </c>
      <c r="AC78" s="84">
        <f t="shared" si="38"/>
        <v>3.5179999999999998</v>
      </c>
      <c r="AD78" s="84">
        <f t="shared" si="38"/>
        <v>3.5814999999999997</v>
      </c>
      <c r="AE78" s="84">
        <f t="shared" si="38"/>
        <v>3.6449000000000007</v>
      </c>
      <c r="AF78" s="67"/>
    </row>
    <row r="79" spans="2:32" ht="28.8" x14ac:dyDescent="0.3">
      <c r="B79" s="64"/>
      <c r="C79" s="65" t="s">
        <v>293</v>
      </c>
      <c r="D79" s="71" t="s">
        <v>294</v>
      </c>
      <c r="E79" s="71"/>
      <c r="F79" s="89">
        <f>F35*F90</f>
        <v>5.4999999999999997E-3</v>
      </c>
      <c r="G79" s="89">
        <f t="shared" ref="G79:M79" si="39">G35*G90</f>
        <v>6.4000000000000003E-3</v>
      </c>
      <c r="H79" s="89">
        <f t="shared" si="39"/>
        <v>7.2999999999999992E-3</v>
      </c>
      <c r="I79" s="89">
        <f t="shared" si="39"/>
        <v>2.2200000000000001E-2</v>
      </c>
      <c r="J79" s="89">
        <f t="shared" si="39"/>
        <v>3.7199999999999997E-2</v>
      </c>
      <c r="K79" s="89">
        <f t="shared" si="39"/>
        <v>3.2199999999999999E-2</v>
      </c>
      <c r="L79" s="89">
        <f t="shared" si="39"/>
        <v>2.7199999999999998E-2</v>
      </c>
      <c r="M79" s="89">
        <f t="shared" si="39"/>
        <v>3.0499999999999999E-2</v>
      </c>
      <c r="N79" s="84">
        <f t="shared" ref="N79:AE79" si="40">N90*N35</f>
        <v>3.3799999999999997E-2</v>
      </c>
      <c r="O79" s="84">
        <f t="shared" si="40"/>
        <v>3.5299999999999998E-2</v>
      </c>
      <c r="P79" s="84">
        <f t="shared" si="40"/>
        <v>3.6799999999999999E-2</v>
      </c>
      <c r="Q79" s="84">
        <f t="shared" si="40"/>
        <v>3.85E-2</v>
      </c>
      <c r="R79" s="84">
        <f t="shared" si="40"/>
        <v>3.3700000000000001E-2</v>
      </c>
      <c r="S79" s="84">
        <f t="shared" si="40"/>
        <v>3.56E-2</v>
      </c>
      <c r="T79" s="84">
        <f t="shared" si="40"/>
        <v>3.7600000000000001E-2</v>
      </c>
      <c r="U79" s="84">
        <f t="shared" si="40"/>
        <v>3.9600000000000003E-2</v>
      </c>
      <c r="V79" s="84">
        <f t="shared" si="40"/>
        <v>4.3999999999999997E-2</v>
      </c>
      <c r="W79" s="84">
        <f t="shared" si="40"/>
        <v>4.8300000000000003E-2</v>
      </c>
      <c r="X79" s="84">
        <f t="shared" si="40"/>
        <v>5.2699999999999997E-2</v>
      </c>
      <c r="Y79" s="84">
        <f t="shared" si="40"/>
        <v>5.7099999999999998E-2</v>
      </c>
      <c r="Z79" s="84">
        <f t="shared" si="40"/>
        <v>6.1600000000000002E-2</v>
      </c>
      <c r="AA79" s="84">
        <f t="shared" si="40"/>
        <v>6.4899999999999999E-2</v>
      </c>
      <c r="AB79" s="84">
        <f t="shared" si="40"/>
        <v>6.8099999999999994E-2</v>
      </c>
      <c r="AC79" s="84">
        <f t="shared" si="40"/>
        <v>7.1400000000000005E-2</v>
      </c>
      <c r="AD79" s="84">
        <f t="shared" si="40"/>
        <v>7.46E-2</v>
      </c>
      <c r="AE79" s="84">
        <f t="shared" si="40"/>
        <v>7.7899999999999997E-2</v>
      </c>
      <c r="AF79" s="67"/>
    </row>
    <row r="80" spans="2:32" ht="28.8" x14ac:dyDescent="0.3">
      <c r="B80" s="64"/>
      <c r="C80" s="65" t="s">
        <v>295</v>
      </c>
      <c r="D80" s="71" t="s">
        <v>296</v>
      </c>
      <c r="E80" s="71"/>
      <c r="F80" s="89">
        <f>F36*F90</f>
        <v>2.383</v>
      </c>
      <c r="G80" s="89">
        <f t="shared" ref="G80:M80" si="41">G36*G90</f>
        <v>2.4696000000000002</v>
      </c>
      <c r="H80" s="89">
        <f t="shared" si="41"/>
        <v>2.5461999999999994</v>
      </c>
      <c r="I80" s="89">
        <f t="shared" si="41"/>
        <v>2.8925999999999998</v>
      </c>
      <c r="J80" s="89">
        <f t="shared" si="41"/>
        <v>3.2660000000000005</v>
      </c>
      <c r="K80" s="89">
        <f t="shared" si="41"/>
        <v>3.0836999999999994</v>
      </c>
      <c r="L80" s="89">
        <f t="shared" si="41"/>
        <v>2.9424999999999999</v>
      </c>
      <c r="M80" s="89">
        <f t="shared" si="41"/>
        <v>2.9344000000000006</v>
      </c>
      <c r="N80" s="84">
        <f t="shared" ref="N80:AE80" si="42">N90*N36</f>
        <v>2.9272</v>
      </c>
      <c r="O80" s="84">
        <f t="shared" si="42"/>
        <v>2.9375999999999998</v>
      </c>
      <c r="P80" s="84">
        <f t="shared" si="42"/>
        <v>2.9480000000000004</v>
      </c>
      <c r="Q80" s="84">
        <f t="shared" si="42"/>
        <v>3.0234999999999999</v>
      </c>
      <c r="R80" s="84">
        <f t="shared" si="42"/>
        <v>3.1475999999999997</v>
      </c>
      <c r="S80" s="84">
        <f t="shared" si="42"/>
        <v>3.3294999999999999</v>
      </c>
      <c r="T80" s="84">
        <f t="shared" si="42"/>
        <v>3.5149000000000004</v>
      </c>
      <c r="U80" s="84">
        <f t="shared" si="42"/>
        <v>3.7034999999999996</v>
      </c>
      <c r="V80" s="84">
        <f t="shared" si="42"/>
        <v>3.8932999999999995</v>
      </c>
      <c r="W80" s="84">
        <f t="shared" si="42"/>
        <v>4.0862999999999996</v>
      </c>
      <c r="X80" s="84">
        <f t="shared" si="42"/>
        <v>4.2822999999999993</v>
      </c>
      <c r="Y80" s="84">
        <f t="shared" si="42"/>
        <v>4.4815000000000005</v>
      </c>
      <c r="Z80" s="84">
        <f t="shared" si="42"/>
        <v>4.6833999999999998</v>
      </c>
      <c r="AA80" s="84">
        <f t="shared" si="42"/>
        <v>4.7739000000000003</v>
      </c>
      <c r="AB80" s="84">
        <f t="shared" si="42"/>
        <v>4.8646999999999991</v>
      </c>
      <c r="AC80" s="84">
        <f t="shared" si="42"/>
        <v>4.9555999999999996</v>
      </c>
      <c r="AD80" s="84">
        <f t="shared" si="42"/>
        <v>5.0466000000000006</v>
      </c>
      <c r="AE80" s="84">
        <f t="shared" si="42"/>
        <v>5.1375000000000011</v>
      </c>
      <c r="AF80" s="67"/>
    </row>
    <row r="81" spans="2:32" x14ac:dyDescent="0.3">
      <c r="B81" s="64"/>
      <c r="C81" s="65" t="s">
        <v>297</v>
      </c>
      <c r="D81" s="71" t="s">
        <v>298</v>
      </c>
      <c r="E81" s="71"/>
      <c r="F81" s="89">
        <f>F37*F90</f>
        <v>0</v>
      </c>
      <c r="G81" s="89">
        <f t="shared" ref="G81:M81" si="43">G37*G90</f>
        <v>0</v>
      </c>
      <c r="H81" s="89">
        <f t="shared" si="43"/>
        <v>0</v>
      </c>
      <c r="I81" s="89">
        <f t="shared" si="43"/>
        <v>0</v>
      </c>
      <c r="J81" s="89">
        <f t="shared" si="43"/>
        <v>0</v>
      </c>
      <c r="K81" s="89">
        <f t="shared" si="43"/>
        <v>0</v>
      </c>
      <c r="L81" s="89">
        <f t="shared" si="43"/>
        <v>0</v>
      </c>
      <c r="M81" s="89">
        <f t="shared" si="43"/>
        <v>0</v>
      </c>
      <c r="N81" s="84">
        <f t="shared" ref="N81:AE81" si="44">N90*N37</f>
        <v>0</v>
      </c>
      <c r="O81" s="84">
        <f t="shared" si="44"/>
        <v>0</v>
      </c>
      <c r="P81" s="84">
        <f t="shared" si="44"/>
        <v>0</v>
      </c>
      <c r="Q81" s="84">
        <f t="shared" si="44"/>
        <v>0</v>
      </c>
      <c r="R81" s="84">
        <f t="shared" si="44"/>
        <v>0</v>
      </c>
      <c r="S81" s="84">
        <f t="shared" si="44"/>
        <v>0</v>
      </c>
      <c r="T81" s="84">
        <f t="shared" si="44"/>
        <v>0</v>
      </c>
      <c r="U81" s="84">
        <f t="shared" si="44"/>
        <v>0</v>
      </c>
      <c r="V81" s="84">
        <f t="shared" si="44"/>
        <v>0</v>
      </c>
      <c r="W81" s="84">
        <f t="shared" si="44"/>
        <v>0</v>
      </c>
      <c r="X81" s="84">
        <f t="shared" si="44"/>
        <v>0</v>
      </c>
      <c r="Y81" s="84">
        <f t="shared" si="44"/>
        <v>0</v>
      </c>
      <c r="Z81" s="84">
        <f t="shared" si="44"/>
        <v>0</v>
      </c>
      <c r="AA81" s="84">
        <f t="shared" si="44"/>
        <v>0</v>
      </c>
      <c r="AB81" s="84">
        <f t="shared" si="44"/>
        <v>0</v>
      </c>
      <c r="AC81" s="84">
        <f t="shared" si="44"/>
        <v>0</v>
      </c>
      <c r="AD81" s="84">
        <f t="shared" si="44"/>
        <v>0</v>
      </c>
      <c r="AE81" s="84">
        <f t="shared" si="44"/>
        <v>0</v>
      </c>
      <c r="AF81" s="67"/>
    </row>
    <row r="82" spans="2:32" x14ac:dyDescent="0.3">
      <c r="B82" s="64"/>
      <c r="C82" s="65"/>
      <c r="D82" s="65"/>
      <c r="E82" s="65"/>
      <c r="F82" s="86">
        <f t="shared" ref="F82:M82" si="45">SUM(F78:F81)</f>
        <v>4.0671999999999997</v>
      </c>
      <c r="G82" s="86">
        <f t="shared" si="45"/>
        <v>4.2162000000000006</v>
      </c>
      <c r="H82" s="86">
        <f t="shared" si="45"/>
        <v>4.3482000000000003</v>
      </c>
      <c r="I82" s="86">
        <f t="shared" si="45"/>
        <v>4.9634</v>
      </c>
      <c r="J82" s="86">
        <f t="shared" si="45"/>
        <v>5.6248000000000005</v>
      </c>
      <c r="K82" s="86">
        <f t="shared" si="45"/>
        <v>5.2972000000000001</v>
      </c>
      <c r="L82" s="86">
        <f t="shared" si="45"/>
        <v>5.0569000000000006</v>
      </c>
      <c r="M82" s="86">
        <f t="shared" si="45"/>
        <v>5.0416000000000007</v>
      </c>
      <c r="N82" s="86">
        <f>SUM(N78:N81)</f>
        <v>5.0420999999999996</v>
      </c>
      <c r="O82" s="86">
        <f t="shared" ref="O82:AE82" si="46">SUM(O78:O81)</f>
        <v>5.0625</v>
      </c>
      <c r="P82" s="86">
        <f t="shared" si="46"/>
        <v>5.0825999999999993</v>
      </c>
      <c r="Q82" s="86">
        <f t="shared" si="46"/>
        <v>5.2141000000000002</v>
      </c>
      <c r="R82" s="86">
        <f t="shared" si="46"/>
        <v>5.4172000000000002</v>
      </c>
      <c r="S82" s="86">
        <f t="shared" si="46"/>
        <v>5.7307000000000006</v>
      </c>
      <c r="T82" s="86">
        <f t="shared" si="46"/>
        <v>6.0497999999999994</v>
      </c>
      <c r="U82" s="86">
        <f t="shared" si="46"/>
        <v>6.3742000000000001</v>
      </c>
      <c r="V82" s="86">
        <f t="shared" si="46"/>
        <v>6.7037000000000004</v>
      </c>
      <c r="W82" s="86">
        <f t="shared" si="46"/>
        <v>7.0383999999999993</v>
      </c>
      <c r="X82" s="86">
        <f t="shared" si="46"/>
        <v>7.3780999999999999</v>
      </c>
      <c r="Y82" s="86">
        <f t="shared" si="46"/>
        <v>7.722900000000001</v>
      </c>
      <c r="Z82" s="86">
        <f t="shared" si="46"/>
        <v>8.0719999999999992</v>
      </c>
      <c r="AA82" s="86">
        <f t="shared" si="46"/>
        <v>8.2295999999999996</v>
      </c>
      <c r="AB82" s="86">
        <f t="shared" si="46"/>
        <v>8.3872999999999998</v>
      </c>
      <c r="AC82" s="86">
        <f t="shared" si="46"/>
        <v>8.5449999999999999</v>
      </c>
      <c r="AD82" s="86">
        <f t="shared" si="46"/>
        <v>8.7027000000000001</v>
      </c>
      <c r="AE82" s="86">
        <f t="shared" si="46"/>
        <v>8.8603000000000023</v>
      </c>
      <c r="AF82" s="67"/>
    </row>
    <row r="83" spans="2:32" x14ac:dyDescent="0.3">
      <c r="B83" s="64"/>
      <c r="C83" s="65"/>
      <c r="D83" s="66"/>
      <c r="E83" s="66"/>
      <c r="F83" s="66"/>
      <c r="G83" s="66"/>
      <c r="H83" s="66"/>
      <c r="I83" s="66"/>
      <c r="J83" s="66"/>
      <c r="K83" s="88"/>
      <c r="L83" s="88"/>
      <c r="M83" s="88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67"/>
    </row>
    <row r="84" spans="2:32" x14ac:dyDescent="0.3">
      <c r="B84" s="64"/>
      <c r="C84" s="66" t="s">
        <v>299</v>
      </c>
      <c r="D84" s="66"/>
      <c r="E84" s="66"/>
      <c r="F84" s="66"/>
      <c r="G84" s="66"/>
      <c r="H84" s="66"/>
      <c r="I84" s="66"/>
      <c r="J84" s="66"/>
      <c r="K84" s="88"/>
      <c r="L84" s="88"/>
      <c r="M84" s="88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67"/>
    </row>
    <row r="85" spans="2:32" ht="28.8" x14ac:dyDescent="0.3">
      <c r="B85" s="64"/>
      <c r="C85" s="65" t="s">
        <v>300</v>
      </c>
      <c r="D85" s="71" t="s">
        <v>301</v>
      </c>
      <c r="E85" s="71"/>
      <c r="F85" s="89">
        <f>F41*F90</f>
        <v>1.6786999999999996</v>
      </c>
      <c r="G85" s="89">
        <f t="shared" ref="G85:M85" si="47">G41*G90</f>
        <v>1.7402000000000002</v>
      </c>
      <c r="H85" s="89">
        <f t="shared" si="47"/>
        <v>1.7947000000000006</v>
      </c>
      <c r="I85" s="89">
        <f t="shared" si="47"/>
        <v>2.0486</v>
      </c>
      <c r="J85" s="89">
        <f t="shared" si="47"/>
        <v>2.3216000000000006</v>
      </c>
      <c r="K85" s="89">
        <f t="shared" si="47"/>
        <v>2.1813000000000007</v>
      </c>
      <c r="L85" s="89">
        <f t="shared" si="47"/>
        <v>2.0872000000000006</v>
      </c>
      <c r="M85" s="89">
        <f t="shared" si="47"/>
        <v>2.0767000000000007</v>
      </c>
      <c r="N85" s="84">
        <f t="shared" ref="N85:AE85" si="48">N90*N41</f>
        <v>2.0810999999999997</v>
      </c>
      <c r="O85" s="84">
        <f t="shared" si="48"/>
        <v>2.0895999999999999</v>
      </c>
      <c r="P85" s="84">
        <f t="shared" si="48"/>
        <v>2.097799999999999</v>
      </c>
      <c r="Q85" s="84">
        <f t="shared" si="48"/>
        <v>2.1521000000000003</v>
      </c>
      <c r="R85" s="84">
        <f t="shared" si="48"/>
        <v>2.2359000000000004</v>
      </c>
      <c r="S85" s="84">
        <f t="shared" si="48"/>
        <v>2.3656000000000001</v>
      </c>
      <c r="T85" s="84">
        <f t="shared" si="48"/>
        <v>2.4972999999999992</v>
      </c>
      <c r="U85" s="84">
        <f t="shared" si="48"/>
        <v>2.6311000000000004</v>
      </c>
      <c r="V85" s="84">
        <f t="shared" si="48"/>
        <v>2.7664000000000009</v>
      </c>
      <c r="W85" s="84">
        <f t="shared" si="48"/>
        <v>2.9037999999999999</v>
      </c>
      <c r="X85" s="84">
        <f t="shared" si="48"/>
        <v>3.0430999999999999</v>
      </c>
      <c r="Y85" s="84">
        <f t="shared" si="48"/>
        <v>3.1842999999999999</v>
      </c>
      <c r="Z85" s="84">
        <f t="shared" si="48"/>
        <v>3.3269999999999991</v>
      </c>
      <c r="AA85" s="84">
        <f t="shared" si="48"/>
        <v>3.3907999999999996</v>
      </c>
      <c r="AB85" s="84">
        <f t="shared" si="48"/>
        <v>3.4545000000000008</v>
      </c>
      <c r="AC85" s="84">
        <f t="shared" si="48"/>
        <v>3.5179999999999998</v>
      </c>
      <c r="AD85" s="84">
        <f t="shared" si="48"/>
        <v>3.5814999999999997</v>
      </c>
      <c r="AE85" s="84">
        <f t="shared" si="48"/>
        <v>3.6449000000000007</v>
      </c>
      <c r="AF85" s="67"/>
    </row>
    <row r="86" spans="2:32" ht="28.8" x14ac:dyDescent="0.3">
      <c r="B86" s="64"/>
      <c r="C86" s="65" t="s">
        <v>302</v>
      </c>
      <c r="D86" s="71" t="s">
        <v>303</v>
      </c>
      <c r="E86" s="71"/>
      <c r="F86" s="89">
        <f>F42*F90</f>
        <v>5.4999999999999997E-3</v>
      </c>
      <c r="G86" s="89">
        <f t="shared" ref="G86:M86" si="49">G42*G90</f>
        <v>6.4000000000000003E-3</v>
      </c>
      <c r="H86" s="89">
        <f t="shared" si="49"/>
        <v>7.2999999999999992E-3</v>
      </c>
      <c r="I86" s="89">
        <f t="shared" si="49"/>
        <v>2.2200000000000001E-2</v>
      </c>
      <c r="J86" s="89">
        <f t="shared" si="49"/>
        <v>3.7199999999999997E-2</v>
      </c>
      <c r="K86" s="89">
        <f t="shared" si="49"/>
        <v>3.2199999999999999E-2</v>
      </c>
      <c r="L86" s="89">
        <f t="shared" si="49"/>
        <v>2.7199999999999998E-2</v>
      </c>
      <c r="M86" s="89">
        <f t="shared" si="49"/>
        <v>3.0499999999999999E-2</v>
      </c>
      <c r="N86" s="84">
        <f t="shared" ref="N86:AE86" si="50">N90*N42</f>
        <v>3.3799999999999997E-2</v>
      </c>
      <c r="O86" s="84">
        <f t="shared" si="50"/>
        <v>3.5299999999999998E-2</v>
      </c>
      <c r="P86" s="84">
        <f t="shared" si="50"/>
        <v>3.6799999999999999E-2</v>
      </c>
      <c r="Q86" s="84">
        <f t="shared" si="50"/>
        <v>3.85E-2</v>
      </c>
      <c r="R86" s="84">
        <f t="shared" si="50"/>
        <v>3.3700000000000001E-2</v>
      </c>
      <c r="S86" s="84">
        <f t="shared" si="50"/>
        <v>3.56E-2</v>
      </c>
      <c r="T86" s="84">
        <f t="shared" si="50"/>
        <v>3.7600000000000001E-2</v>
      </c>
      <c r="U86" s="84">
        <f t="shared" si="50"/>
        <v>3.9600000000000003E-2</v>
      </c>
      <c r="V86" s="84">
        <f t="shared" si="50"/>
        <v>4.3999999999999997E-2</v>
      </c>
      <c r="W86" s="84">
        <f t="shared" si="50"/>
        <v>4.8300000000000003E-2</v>
      </c>
      <c r="X86" s="84">
        <f t="shared" si="50"/>
        <v>5.2699999999999997E-2</v>
      </c>
      <c r="Y86" s="84">
        <f t="shared" si="50"/>
        <v>5.7099999999999998E-2</v>
      </c>
      <c r="Z86" s="84">
        <f t="shared" si="50"/>
        <v>6.1600000000000002E-2</v>
      </c>
      <c r="AA86" s="84">
        <f t="shared" si="50"/>
        <v>6.4899999999999999E-2</v>
      </c>
      <c r="AB86" s="84">
        <f t="shared" si="50"/>
        <v>6.8099999999999994E-2</v>
      </c>
      <c r="AC86" s="84">
        <f t="shared" si="50"/>
        <v>7.1400000000000005E-2</v>
      </c>
      <c r="AD86" s="84">
        <f t="shared" si="50"/>
        <v>7.46E-2</v>
      </c>
      <c r="AE86" s="84">
        <f t="shared" si="50"/>
        <v>7.7899999999999997E-2</v>
      </c>
      <c r="AF86" s="67"/>
    </row>
    <row r="87" spans="2:32" x14ac:dyDescent="0.3">
      <c r="B87" s="64"/>
      <c r="C87" s="65" t="s">
        <v>304</v>
      </c>
      <c r="D87" s="71" t="s">
        <v>305</v>
      </c>
      <c r="E87" s="71"/>
      <c r="F87" s="89">
        <f>F43*F90</f>
        <v>2.383</v>
      </c>
      <c r="G87" s="89">
        <f t="shared" ref="G87:M87" si="51">G43*G90</f>
        <v>2.4696000000000002</v>
      </c>
      <c r="H87" s="89">
        <f t="shared" si="51"/>
        <v>2.5461999999999994</v>
      </c>
      <c r="I87" s="89">
        <f t="shared" si="51"/>
        <v>2.8925999999999998</v>
      </c>
      <c r="J87" s="89">
        <f t="shared" si="51"/>
        <v>3.2660000000000005</v>
      </c>
      <c r="K87" s="89">
        <f t="shared" si="51"/>
        <v>3.0836999999999994</v>
      </c>
      <c r="L87" s="89">
        <f t="shared" si="51"/>
        <v>2.9424999999999999</v>
      </c>
      <c r="M87" s="89">
        <f t="shared" si="51"/>
        <v>2.9344000000000006</v>
      </c>
      <c r="N87" s="84">
        <f t="shared" ref="N87:AE87" si="52">N90*N43</f>
        <v>2.9272</v>
      </c>
      <c r="O87" s="84">
        <f t="shared" si="52"/>
        <v>2.9375999999999998</v>
      </c>
      <c r="P87" s="84">
        <f t="shared" si="52"/>
        <v>2.9480000000000004</v>
      </c>
      <c r="Q87" s="84">
        <f t="shared" si="52"/>
        <v>3.0234999999999999</v>
      </c>
      <c r="R87" s="84">
        <f t="shared" si="52"/>
        <v>3.1475999999999997</v>
      </c>
      <c r="S87" s="84">
        <f t="shared" si="52"/>
        <v>3.3294999999999999</v>
      </c>
      <c r="T87" s="84">
        <f t="shared" si="52"/>
        <v>3.5149000000000004</v>
      </c>
      <c r="U87" s="84">
        <f t="shared" si="52"/>
        <v>3.7034999999999996</v>
      </c>
      <c r="V87" s="84">
        <f t="shared" si="52"/>
        <v>3.8932999999999995</v>
      </c>
      <c r="W87" s="84">
        <f t="shared" si="52"/>
        <v>4.0862999999999996</v>
      </c>
      <c r="X87" s="84">
        <f t="shared" si="52"/>
        <v>4.2822999999999993</v>
      </c>
      <c r="Y87" s="84">
        <f t="shared" si="52"/>
        <v>4.4815000000000005</v>
      </c>
      <c r="Z87" s="84">
        <f t="shared" si="52"/>
        <v>4.6833999999999998</v>
      </c>
      <c r="AA87" s="84">
        <f t="shared" si="52"/>
        <v>4.7739000000000003</v>
      </c>
      <c r="AB87" s="84">
        <f t="shared" si="52"/>
        <v>4.8646999999999991</v>
      </c>
      <c r="AC87" s="84">
        <f t="shared" si="52"/>
        <v>4.9555999999999996</v>
      </c>
      <c r="AD87" s="84">
        <f t="shared" si="52"/>
        <v>5.0466000000000006</v>
      </c>
      <c r="AE87" s="84">
        <f t="shared" si="52"/>
        <v>5.1375000000000011</v>
      </c>
      <c r="AF87" s="67"/>
    </row>
    <row r="88" spans="2:32" x14ac:dyDescent="0.3">
      <c r="B88" s="64"/>
      <c r="C88" s="65"/>
      <c r="D88" s="65"/>
      <c r="E88" s="65"/>
      <c r="F88" s="86">
        <f t="shared" ref="F88:M88" si="53">SUM(F85:F87)</f>
        <v>4.0671999999999997</v>
      </c>
      <c r="G88" s="86">
        <f t="shared" si="53"/>
        <v>4.2162000000000006</v>
      </c>
      <c r="H88" s="86">
        <f t="shared" si="53"/>
        <v>4.3482000000000003</v>
      </c>
      <c r="I88" s="86">
        <f t="shared" si="53"/>
        <v>4.9634</v>
      </c>
      <c r="J88" s="86">
        <f t="shared" si="53"/>
        <v>5.6248000000000005</v>
      </c>
      <c r="K88" s="86">
        <f t="shared" si="53"/>
        <v>5.2972000000000001</v>
      </c>
      <c r="L88" s="86">
        <f t="shared" si="53"/>
        <v>5.0569000000000006</v>
      </c>
      <c r="M88" s="86">
        <f t="shared" si="53"/>
        <v>5.0416000000000007</v>
      </c>
      <c r="N88" s="86">
        <f>SUM(N85:N87)</f>
        <v>5.0420999999999996</v>
      </c>
      <c r="O88" s="86">
        <f t="shared" ref="O88:AE88" si="54">SUM(O85:O87)</f>
        <v>5.0625</v>
      </c>
      <c r="P88" s="86">
        <f t="shared" si="54"/>
        <v>5.0825999999999993</v>
      </c>
      <c r="Q88" s="86">
        <f t="shared" si="54"/>
        <v>5.2141000000000002</v>
      </c>
      <c r="R88" s="86">
        <f t="shared" si="54"/>
        <v>5.4172000000000002</v>
      </c>
      <c r="S88" s="86">
        <f t="shared" si="54"/>
        <v>5.7307000000000006</v>
      </c>
      <c r="T88" s="86">
        <f t="shared" si="54"/>
        <v>6.0497999999999994</v>
      </c>
      <c r="U88" s="86">
        <f t="shared" si="54"/>
        <v>6.3742000000000001</v>
      </c>
      <c r="V88" s="86">
        <f t="shared" si="54"/>
        <v>6.7037000000000004</v>
      </c>
      <c r="W88" s="86">
        <f t="shared" si="54"/>
        <v>7.0383999999999993</v>
      </c>
      <c r="X88" s="86">
        <f t="shared" si="54"/>
        <v>7.3780999999999999</v>
      </c>
      <c r="Y88" s="86">
        <f t="shared" si="54"/>
        <v>7.722900000000001</v>
      </c>
      <c r="Z88" s="86">
        <f t="shared" si="54"/>
        <v>8.0719999999999992</v>
      </c>
      <c r="AA88" s="86">
        <f t="shared" si="54"/>
        <v>8.2295999999999996</v>
      </c>
      <c r="AB88" s="86">
        <f t="shared" si="54"/>
        <v>8.3872999999999998</v>
      </c>
      <c r="AC88" s="86">
        <f t="shared" si="54"/>
        <v>8.5449999999999999</v>
      </c>
      <c r="AD88" s="86">
        <f t="shared" si="54"/>
        <v>8.7027000000000001</v>
      </c>
      <c r="AE88" s="86">
        <f t="shared" si="54"/>
        <v>8.8603000000000023</v>
      </c>
      <c r="AF88" s="67"/>
    </row>
    <row r="89" spans="2:32" x14ac:dyDescent="0.3">
      <c r="B89" s="64"/>
      <c r="C89" s="65"/>
      <c r="D89" s="65"/>
      <c r="E89" s="65"/>
      <c r="F89" s="65"/>
      <c r="G89" s="65"/>
      <c r="H89" s="65"/>
      <c r="I89" s="65"/>
      <c r="J89" s="65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  <c r="AC89" s="91"/>
      <c r="AD89" s="91"/>
      <c r="AE89" s="91"/>
      <c r="AF89" s="67"/>
    </row>
    <row r="90" spans="2:32" x14ac:dyDescent="0.3">
      <c r="B90" s="64"/>
      <c r="C90" s="65" t="s">
        <v>307</v>
      </c>
      <c r="D90" s="66" t="s">
        <v>308</v>
      </c>
      <c r="E90" s="66"/>
      <c r="F90" s="117">
        <f>F67</f>
        <v>4.0671999999999997</v>
      </c>
      <c r="G90" s="117">
        <f t="shared" ref="G90:AE90" si="55">G67</f>
        <v>4.2162000000000006</v>
      </c>
      <c r="H90" s="117">
        <f t="shared" si="55"/>
        <v>4.3482000000000003</v>
      </c>
      <c r="I90" s="117">
        <f t="shared" si="55"/>
        <v>4.9634</v>
      </c>
      <c r="J90" s="117">
        <f t="shared" si="55"/>
        <v>5.6248000000000005</v>
      </c>
      <c r="K90" s="117">
        <f t="shared" si="55"/>
        <v>5.2972000000000001</v>
      </c>
      <c r="L90" s="117">
        <f t="shared" si="55"/>
        <v>5.0569000000000006</v>
      </c>
      <c r="M90" s="117">
        <f t="shared" si="55"/>
        <v>5.0416000000000007</v>
      </c>
      <c r="N90" s="117">
        <f t="shared" si="55"/>
        <v>5.0421000000000005</v>
      </c>
      <c r="O90" s="117">
        <f t="shared" si="55"/>
        <v>5.0625</v>
      </c>
      <c r="P90" s="117">
        <f t="shared" si="55"/>
        <v>5.0825999999999993</v>
      </c>
      <c r="Q90" s="117">
        <f t="shared" si="55"/>
        <v>5.2141000000000002</v>
      </c>
      <c r="R90" s="117">
        <f t="shared" si="55"/>
        <v>5.4172000000000002</v>
      </c>
      <c r="S90" s="117">
        <f>S67</f>
        <v>5.7306999999999997</v>
      </c>
      <c r="T90" s="117">
        <f t="shared" si="55"/>
        <v>6.0497999999999994</v>
      </c>
      <c r="U90" s="117">
        <f t="shared" si="55"/>
        <v>6.3742000000000001</v>
      </c>
      <c r="V90" s="117">
        <f t="shared" si="55"/>
        <v>6.7037000000000004</v>
      </c>
      <c r="W90" s="117">
        <f t="shared" si="55"/>
        <v>7.0384000000000002</v>
      </c>
      <c r="X90" s="117">
        <f t="shared" si="55"/>
        <v>7.3780999999999999</v>
      </c>
      <c r="Y90" s="117">
        <f t="shared" si="55"/>
        <v>7.7229000000000001</v>
      </c>
      <c r="Z90" s="117">
        <f t="shared" si="55"/>
        <v>8.0719999999999992</v>
      </c>
      <c r="AA90" s="117">
        <f t="shared" si="55"/>
        <v>8.2295999999999996</v>
      </c>
      <c r="AB90" s="117">
        <f t="shared" si="55"/>
        <v>8.3872999999999998</v>
      </c>
      <c r="AC90" s="117">
        <f t="shared" si="55"/>
        <v>8.5449999999999999</v>
      </c>
      <c r="AD90" s="117">
        <f t="shared" si="55"/>
        <v>8.7027000000000001</v>
      </c>
      <c r="AE90" s="117">
        <f t="shared" si="55"/>
        <v>8.8603000000000005</v>
      </c>
      <c r="AF90" s="67"/>
    </row>
    <row r="91" spans="2:32" x14ac:dyDescent="0.3">
      <c r="B91" s="64"/>
      <c r="C91" s="65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93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  <c r="AA91" s="94"/>
      <c r="AB91" s="94"/>
      <c r="AC91" s="94"/>
      <c r="AD91" s="94"/>
      <c r="AE91" s="94"/>
      <c r="AF91" s="67"/>
    </row>
    <row r="92" spans="2:32" ht="15" thickBot="1" x14ac:dyDescent="0.35">
      <c r="B92" s="80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2"/>
    </row>
    <row r="94" spans="2:32" x14ac:dyDescent="0.3">
      <c r="F94" s="12"/>
      <c r="G94" s="12"/>
      <c r="H94" s="12"/>
      <c r="I94" s="12"/>
      <c r="J94" s="12"/>
      <c r="K94" s="12"/>
      <c r="L94" s="12"/>
      <c r="M94" s="12"/>
    </row>
    <row r="95" spans="2:32" x14ac:dyDescent="0.3"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</row>
    <row r="100" spans="14:31" x14ac:dyDescent="0.3"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DD794-4703-42C6-AC52-2EC68177C3EF}">
  <sheetPr>
    <tabColor theme="5" tint="0.59999389629810485"/>
  </sheetPr>
  <dimension ref="B1:AF26"/>
  <sheetViews>
    <sheetView workbookViewId="0">
      <selection activeCell="D12" sqref="D12:D14"/>
    </sheetView>
  </sheetViews>
  <sheetFormatPr defaultColWidth="11.44140625" defaultRowHeight="14.4" x14ac:dyDescent="0.3"/>
  <cols>
    <col min="2" max="2" width="13" bestFit="1" customWidth="1"/>
    <col min="3" max="3" width="17.6640625" bestFit="1" customWidth="1"/>
    <col min="4" max="4" width="61.88671875" customWidth="1"/>
    <col min="5" max="5" width="9.109375" customWidth="1"/>
    <col min="6" max="18" width="7.5546875" bestFit="1" customWidth="1"/>
    <col min="19" max="31" width="7.88671875" bestFit="1" customWidth="1"/>
  </cols>
  <sheetData>
    <row r="1" spans="2:32" ht="20.399999999999999" thickBot="1" x14ac:dyDescent="0.35">
      <c r="B1" s="55"/>
      <c r="C1" s="56"/>
      <c r="D1" s="56" t="s">
        <v>257</v>
      </c>
      <c r="E1" s="56"/>
      <c r="F1" s="97">
        <v>2010</v>
      </c>
      <c r="G1" s="97">
        <v>2011</v>
      </c>
      <c r="H1" s="97">
        <v>2012</v>
      </c>
      <c r="I1" s="97">
        <v>2013</v>
      </c>
      <c r="J1" s="97">
        <v>2014</v>
      </c>
      <c r="K1" s="97">
        <v>2015</v>
      </c>
      <c r="L1" s="97">
        <v>2016</v>
      </c>
      <c r="M1" s="97">
        <v>2017</v>
      </c>
      <c r="N1" s="97">
        <v>2018</v>
      </c>
      <c r="O1" s="97">
        <v>2019</v>
      </c>
      <c r="P1" s="97">
        <v>2020</v>
      </c>
      <c r="Q1" s="97">
        <v>2021</v>
      </c>
      <c r="R1" s="97">
        <v>2022</v>
      </c>
      <c r="S1" s="57">
        <v>2023</v>
      </c>
      <c r="T1" s="57">
        <v>2024</v>
      </c>
      <c r="U1" s="57">
        <v>2025</v>
      </c>
      <c r="V1" s="57">
        <v>2026</v>
      </c>
      <c r="W1" s="57">
        <v>2027</v>
      </c>
      <c r="X1" s="57">
        <v>2028</v>
      </c>
      <c r="Y1" s="57">
        <v>2029</v>
      </c>
      <c r="Z1" s="57">
        <v>2030</v>
      </c>
      <c r="AA1" s="57">
        <v>2031</v>
      </c>
      <c r="AB1" s="57">
        <v>2032</v>
      </c>
      <c r="AC1" s="57">
        <v>2033</v>
      </c>
      <c r="AD1" s="57">
        <v>2034</v>
      </c>
      <c r="AE1" s="57">
        <v>2035</v>
      </c>
      <c r="AF1" s="58"/>
    </row>
    <row r="2" spans="2:32" ht="15.6" customHeight="1" x14ac:dyDescent="0.3"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</row>
    <row r="3" spans="2:32" ht="15.6" customHeight="1" x14ac:dyDescent="0.3"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</row>
    <row r="5" spans="2:32" ht="15" thickBot="1" x14ac:dyDescent="0.35"/>
    <row r="6" spans="2:32" x14ac:dyDescent="0.3">
      <c r="B6" s="61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3"/>
    </row>
    <row r="7" spans="2:32" x14ac:dyDescent="0.3">
      <c r="B7" s="64"/>
      <c r="C7" s="65"/>
      <c r="D7" s="66" t="s">
        <v>321</v>
      </c>
      <c r="E7" s="66"/>
      <c r="F7" s="66"/>
      <c r="G7" s="66"/>
      <c r="H7" s="66"/>
      <c r="I7" s="66"/>
      <c r="J7" s="66"/>
      <c r="K7" s="66"/>
      <c r="L7" s="66"/>
      <c r="M7" s="66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7"/>
    </row>
    <row r="8" spans="2:32" x14ac:dyDescent="0.3">
      <c r="B8" s="64"/>
      <c r="C8" s="65"/>
      <c r="D8" s="66"/>
      <c r="E8" s="66"/>
      <c r="F8" s="66"/>
      <c r="G8" s="66"/>
      <c r="H8" s="66"/>
      <c r="I8" s="66"/>
      <c r="J8" s="66"/>
      <c r="K8" s="66"/>
      <c r="L8" s="66"/>
      <c r="M8" s="66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7"/>
    </row>
    <row r="9" spans="2:32" x14ac:dyDescent="0.3">
      <c r="B9" s="64"/>
      <c r="C9" s="65"/>
      <c r="D9" s="68" t="s">
        <v>322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7"/>
    </row>
    <row r="10" spans="2:32" x14ac:dyDescent="0.3">
      <c r="B10" s="64"/>
      <c r="C10" s="65"/>
      <c r="D10" s="66"/>
      <c r="E10" s="66"/>
      <c r="F10" s="66"/>
      <c r="G10" s="66"/>
      <c r="H10" s="66"/>
      <c r="I10" s="66"/>
      <c r="J10" s="66"/>
      <c r="K10" s="88"/>
      <c r="L10" s="88"/>
      <c r="M10" s="88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67"/>
    </row>
    <row r="11" spans="2:32" x14ac:dyDescent="0.3">
      <c r="B11" s="64"/>
      <c r="C11" s="66"/>
      <c r="D11" s="66"/>
      <c r="E11" s="66"/>
      <c r="F11" s="66"/>
      <c r="G11" s="66"/>
      <c r="H11" s="66"/>
      <c r="I11" s="66"/>
      <c r="J11" s="66"/>
      <c r="K11" s="88"/>
      <c r="L11" s="88"/>
      <c r="M11" s="88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67"/>
    </row>
    <row r="12" spans="2:32" x14ac:dyDescent="0.3">
      <c r="B12" s="64"/>
      <c r="C12" s="65" t="s">
        <v>323</v>
      </c>
      <c r="D12" s="71" t="s">
        <v>324</v>
      </c>
      <c r="E12" s="71"/>
      <c r="F12" s="140">
        <f>T_5D1!F70</f>
        <v>0.3417</v>
      </c>
      <c r="G12" s="140">
        <f>T_5D1!G70</f>
        <v>0.3468</v>
      </c>
      <c r="H12" s="140">
        <f>T_5D1!H70</f>
        <v>0.3533</v>
      </c>
      <c r="I12" s="140">
        <f>T_5D1!I70</f>
        <v>0.35899999999999999</v>
      </c>
      <c r="J12" s="140">
        <f>T_5D1!J70</f>
        <v>0.36480000000000001</v>
      </c>
      <c r="K12" s="140">
        <f>T_5D1!K70</f>
        <v>0.3705</v>
      </c>
      <c r="L12" s="140">
        <f>T_5D1!L70</f>
        <v>0.37619999999999998</v>
      </c>
      <c r="M12" s="140">
        <f>T_5D1!M70</f>
        <v>0.38179999999999997</v>
      </c>
      <c r="N12" s="140">
        <f>T_5D1!N70</f>
        <v>0.38740000000000002</v>
      </c>
      <c r="O12" s="140">
        <f>T_5D1!O70</f>
        <v>0.39279999999999998</v>
      </c>
      <c r="P12" s="140">
        <f>T_5D1!P70</f>
        <v>0.39850000000000002</v>
      </c>
      <c r="Q12" s="140">
        <f>T_5D1!Q70</f>
        <v>0.39910000000000001</v>
      </c>
      <c r="R12" s="140">
        <f>T_5D1!R70</f>
        <v>0.38740000000000002</v>
      </c>
      <c r="S12" s="118">
        <f>ROUND($R$12*S22,4)</f>
        <v>0.4178</v>
      </c>
      <c r="T12" s="118">
        <f t="shared" ref="T12:AE12" si="0">ROUND($R$12*T22,4)</f>
        <v>0.4491</v>
      </c>
      <c r="U12" s="118">
        <f t="shared" si="0"/>
        <v>0.44729999999999998</v>
      </c>
      <c r="V12" s="118">
        <f t="shared" si="0"/>
        <v>0.4647</v>
      </c>
      <c r="W12" s="118">
        <f t="shared" si="0"/>
        <v>0.54549999999999998</v>
      </c>
      <c r="X12" s="118">
        <f t="shared" si="0"/>
        <v>0.57940000000000003</v>
      </c>
      <c r="Y12" s="118">
        <f t="shared" si="0"/>
        <v>0.61319999999999997</v>
      </c>
      <c r="Z12" s="118">
        <f t="shared" si="0"/>
        <v>0.64710000000000001</v>
      </c>
      <c r="AA12" s="118">
        <f t="shared" si="0"/>
        <v>0.68189999999999995</v>
      </c>
      <c r="AB12" s="118">
        <f t="shared" si="0"/>
        <v>0.71750000000000003</v>
      </c>
      <c r="AC12" s="118">
        <f t="shared" si="0"/>
        <v>0.75309999999999999</v>
      </c>
      <c r="AD12" s="118">
        <f t="shared" si="0"/>
        <v>0.78959999999999997</v>
      </c>
      <c r="AE12" s="118">
        <f t="shared" si="0"/>
        <v>0.82599999999999996</v>
      </c>
      <c r="AF12" s="67"/>
    </row>
    <row r="13" spans="2:32" x14ac:dyDescent="0.3">
      <c r="B13" s="64"/>
      <c r="C13" s="65" t="s">
        <v>325</v>
      </c>
      <c r="D13" s="69" t="s">
        <v>326</v>
      </c>
      <c r="E13" s="71"/>
      <c r="F13" s="140">
        <f>T_5D1!F83</f>
        <v>8.5999999999999993E-2</v>
      </c>
      <c r="G13" s="140">
        <f>T_5D1!G83</f>
        <v>8.7400000000000005E-2</v>
      </c>
      <c r="H13" s="140">
        <f>T_5D1!H83</f>
        <v>8.7999999999999995E-2</v>
      </c>
      <c r="I13" s="140">
        <f>T_5D1!I83</f>
        <v>8.9599999999999999E-2</v>
      </c>
      <c r="J13" s="140">
        <f>T_5D1!J83</f>
        <v>9.1200000000000003E-2</v>
      </c>
      <c r="K13" s="140">
        <f>T_5D1!K83</f>
        <v>9.0300000000000005E-2</v>
      </c>
      <c r="L13" s="140">
        <f>T_5D1!L83</f>
        <v>8.9399999999999993E-2</v>
      </c>
      <c r="M13" s="140">
        <f>T_5D1!M83</f>
        <v>8.9599999999999999E-2</v>
      </c>
      <c r="N13" s="140">
        <f>T_5D1!N83</f>
        <v>8.9700000000000002E-2</v>
      </c>
      <c r="O13" s="140">
        <f>T_5D1!O83</f>
        <v>9.3600000000000003E-2</v>
      </c>
      <c r="P13" s="140">
        <f>T_5D1!P83</f>
        <v>9.7600000000000006E-2</v>
      </c>
      <c r="Q13" s="140">
        <f>T_5D1!Q83</f>
        <v>9.7000000000000003E-2</v>
      </c>
      <c r="R13" s="140">
        <f>T_5D1!R83</f>
        <v>9.2499999999999999E-2</v>
      </c>
      <c r="S13" s="118">
        <f>ROUND($R$13*S22,4)</f>
        <v>9.98E-2</v>
      </c>
      <c r="T13" s="118">
        <f t="shared" ref="T13:AE13" si="1">ROUND($R$13*T22,4)</f>
        <v>0.1072</v>
      </c>
      <c r="U13" s="118">
        <f t="shared" si="1"/>
        <v>0.10680000000000001</v>
      </c>
      <c r="V13" s="118">
        <f t="shared" si="1"/>
        <v>0.111</v>
      </c>
      <c r="W13" s="118">
        <f t="shared" si="1"/>
        <v>0.13020000000000001</v>
      </c>
      <c r="X13" s="118">
        <f t="shared" si="1"/>
        <v>0.13830000000000001</v>
      </c>
      <c r="Y13" s="118">
        <f t="shared" si="1"/>
        <v>0.1464</v>
      </c>
      <c r="Z13" s="118">
        <f t="shared" si="1"/>
        <v>0.1545</v>
      </c>
      <c r="AA13" s="118">
        <f t="shared" si="1"/>
        <v>0.1628</v>
      </c>
      <c r="AB13" s="118">
        <f t="shared" si="1"/>
        <v>0.17130000000000001</v>
      </c>
      <c r="AC13" s="118">
        <f t="shared" si="1"/>
        <v>0.17979999999999999</v>
      </c>
      <c r="AD13" s="118">
        <f t="shared" si="1"/>
        <v>0.1885</v>
      </c>
      <c r="AE13" s="118">
        <f t="shared" si="1"/>
        <v>0.19719999999999999</v>
      </c>
      <c r="AF13" s="67"/>
    </row>
    <row r="14" spans="2:32" x14ac:dyDescent="0.3">
      <c r="B14" s="64"/>
      <c r="C14" s="65" t="s">
        <v>327</v>
      </c>
      <c r="D14" s="71" t="s">
        <v>328</v>
      </c>
      <c r="E14" s="71"/>
      <c r="F14" s="118">
        <f>T_5D2!F46</f>
        <v>0.21940000000000001</v>
      </c>
      <c r="G14" s="118">
        <f>T_5D2!G46</f>
        <v>0.42559999999999998</v>
      </c>
      <c r="H14" s="118">
        <f>T_5D2!H46</f>
        <v>0.63180000000000003</v>
      </c>
      <c r="I14" s="118">
        <f>T_5D2!I46</f>
        <v>0.44800000000000001</v>
      </c>
      <c r="J14" s="118">
        <f>T_5D2!J46</f>
        <v>0.26429999999999998</v>
      </c>
      <c r="K14" s="118">
        <f>T_5D2!K46</f>
        <v>0.54620000000000002</v>
      </c>
      <c r="L14" s="118">
        <f>T_5D2!L46</f>
        <v>0.82809999999999995</v>
      </c>
      <c r="M14" s="118">
        <f>T_5D2!M46</f>
        <v>0.86429999999999996</v>
      </c>
      <c r="N14" s="118">
        <f>T_5D2!N46</f>
        <v>0.90059999999999996</v>
      </c>
      <c r="O14" s="118">
        <f>T_5D2!O46</f>
        <v>0.86040000000000005</v>
      </c>
      <c r="P14" s="118">
        <f>T_5D2!P46</f>
        <v>0.82030000000000003</v>
      </c>
      <c r="Q14" s="118">
        <f>T_5D2!Q46</f>
        <v>0.70069999999999999</v>
      </c>
      <c r="R14" s="118">
        <f>T_5D2!R46</f>
        <v>0.85040000000000004</v>
      </c>
      <c r="S14" s="118">
        <f>ROUND($R$14*S22,4)</f>
        <v>0.91710000000000003</v>
      </c>
      <c r="T14" s="118">
        <f t="shared" ref="T14:AE14" si="2">ROUND($R$14*T22,4)</f>
        <v>0.98580000000000001</v>
      </c>
      <c r="U14" s="118">
        <f t="shared" si="2"/>
        <v>0.98199999999999998</v>
      </c>
      <c r="V14" s="118">
        <f t="shared" si="2"/>
        <v>1.0201</v>
      </c>
      <c r="W14" s="118">
        <f t="shared" si="2"/>
        <v>1.1974</v>
      </c>
      <c r="X14" s="118">
        <f t="shared" si="2"/>
        <v>1.2718</v>
      </c>
      <c r="Y14" s="118">
        <f t="shared" si="2"/>
        <v>1.3461000000000001</v>
      </c>
      <c r="Z14" s="118">
        <f t="shared" si="2"/>
        <v>1.4205000000000001</v>
      </c>
      <c r="AA14" s="118">
        <f t="shared" si="2"/>
        <v>1.4967999999999999</v>
      </c>
      <c r="AB14" s="118">
        <f t="shared" si="2"/>
        <v>1.575</v>
      </c>
      <c r="AC14" s="118">
        <f t="shared" si="2"/>
        <v>1.6531</v>
      </c>
      <c r="AD14" s="118">
        <f t="shared" si="2"/>
        <v>1.7332000000000001</v>
      </c>
      <c r="AE14" s="118">
        <f t="shared" si="2"/>
        <v>1.8132999999999999</v>
      </c>
      <c r="AF14" s="67"/>
    </row>
    <row r="15" spans="2:32" x14ac:dyDescent="0.3">
      <c r="B15" s="64"/>
      <c r="C15" s="65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7"/>
    </row>
    <row r="16" spans="2:32" ht="15" thickBot="1" x14ac:dyDescent="0.35">
      <c r="B16" s="80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2"/>
    </row>
    <row r="18" spans="4:31" x14ac:dyDescent="0.3">
      <c r="F18" s="12"/>
      <c r="G18" s="12"/>
      <c r="H18" s="12"/>
      <c r="I18" s="12"/>
      <c r="J18" s="12"/>
      <c r="K18" s="12"/>
      <c r="L18" s="12"/>
      <c r="M18" s="12"/>
    </row>
    <row r="19" spans="4:31" x14ac:dyDescent="0.3"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1" spans="4:31" x14ac:dyDescent="0.3">
      <c r="D21" t="s">
        <v>315</v>
      </c>
      <c r="F21" s="11">
        <v>3.2042000000000002</v>
      </c>
      <c r="G21" s="11">
        <v>3.7105000000000001</v>
      </c>
      <c r="H21" s="11">
        <v>4.2168999999999999</v>
      </c>
      <c r="I21" s="11">
        <v>4.5907999999999998</v>
      </c>
      <c r="J21" s="11">
        <v>4.9647000000000006</v>
      </c>
      <c r="K21" s="11">
        <v>5.1417999999999999</v>
      </c>
      <c r="L21" s="11">
        <v>5.3186</v>
      </c>
      <c r="M21" s="11">
        <v>5.3310999999999993</v>
      </c>
      <c r="N21" s="11">
        <v>4.04</v>
      </c>
      <c r="O21" s="11">
        <v>4.01</v>
      </c>
      <c r="P21" s="11">
        <v>4.0599999999999996</v>
      </c>
      <c r="Q21" s="11">
        <v>4.12</v>
      </c>
      <c r="R21" s="11">
        <v>4.46</v>
      </c>
      <c r="S21" s="11">
        <v>4.8099999999999996</v>
      </c>
      <c r="T21" s="11">
        <v>5.17</v>
      </c>
      <c r="U21" s="11">
        <v>5.15</v>
      </c>
      <c r="V21" s="11">
        <v>5.35</v>
      </c>
      <c r="W21" s="11">
        <v>6.28</v>
      </c>
      <c r="X21" s="11">
        <v>6.67</v>
      </c>
      <c r="Y21" s="11">
        <v>7.06</v>
      </c>
      <c r="Z21" s="11">
        <v>7.45</v>
      </c>
      <c r="AA21" s="11">
        <v>7.85</v>
      </c>
      <c r="AB21" s="11">
        <v>8.26</v>
      </c>
      <c r="AC21" s="11">
        <v>8.67</v>
      </c>
      <c r="AD21" s="11">
        <v>9.09</v>
      </c>
      <c r="AE21" s="11">
        <v>9.51</v>
      </c>
    </row>
    <row r="22" spans="4:31" x14ac:dyDescent="0.3">
      <c r="D22" t="s">
        <v>316</v>
      </c>
      <c r="R22">
        <f>R21/$R$21</f>
        <v>1</v>
      </c>
      <c r="S22">
        <f t="shared" ref="S22:AE22" si="3">S21/$R$21</f>
        <v>1.0784753363228698</v>
      </c>
      <c r="T22">
        <f t="shared" si="3"/>
        <v>1.1591928251121075</v>
      </c>
      <c r="U22">
        <f t="shared" si="3"/>
        <v>1.1547085201793723</v>
      </c>
      <c r="V22">
        <f t="shared" si="3"/>
        <v>1.1995515695067265</v>
      </c>
      <c r="W22">
        <f t="shared" si="3"/>
        <v>1.4080717488789238</v>
      </c>
      <c r="X22">
        <f t="shared" si="3"/>
        <v>1.4955156950672646</v>
      </c>
      <c r="Y22">
        <f t="shared" si="3"/>
        <v>1.5829596412556053</v>
      </c>
      <c r="Z22">
        <f t="shared" si="3"/>
        <v>1.6704035874439462</v>
      </c>
      <c r="AA22">
        <f t="shared" si="3"/>
        <v>1.7600896860986546</v>
      </c>
      <c r="AB22">
        <f t="shared" si="3"/>
        <v>1.852017937219731</v>
      </c>
      <c r="AC22">
        <f t="shared" si="3"/>
        <v>1.9439461883408071</v>
      </c>
      <c r="AD22">
        <f t="shared" si="3"/>
        <v>2.0381165919282509</v>
      </c>
      <c r="AE22">
        <f t="shared" si="3"/>
        <v>2.1322869955156949</v>
      </c>
    </row>
    <row r="24" spans="4:31" x14ac:dyDescent="0.3">
      <c r="F24">
        <f>(G12-F12)/F12</f>
        <v>1.4925373134328339E-2</v>
      </c>
      <c r="G24">
        <f t="shared" ref="G24:Q24" si="4">(H12-G12)/G12</f>
        <v>1.8742791234140733E-2</v>
      </c>
      <c r="H24">
        <f t="shared" si="4"/>
        <v>1.6133597509198933E-2</v>
      </c>
      <c r="I24">
        <f t="shared" si="4"/>
        <v>1.6155988857938796E-2</v>
      </c>
      <c r="J24">
        <f t="shared" si="4"/>
        <v>1.5624999999999953E-2</v>
      </c>
      <c r="K24">
        <f t="shared" si="4"/>
        <v>1.5384615384615339E-2</v>
      </c>
      <c r="L24">
        <f t="shared" si="4"/>
        <v>1.4885699096225396E-2</v>
      </c>
      <c r="M24">
        <f t="shared" si="4"/>
        <v>1.4667365112624542E-2</v>
      </c>
      <c r="N24">
        <f t="shared" si="4"/>
        <v>1.393908105317491E-2</v>
      </c>
      <c r="O24">
        <f t="shared" si="4"/>
        <v>1.4511201629328001E-2</v>
      </c>
      <c r="P24">
        <f t="shared" si="4"/>
        <v>1.5056461731492833E-3</v>
      </c>
      <c r="Q24">
        <f t="shared" si="4"/>
        <v>-2.9315960912052085E-2</v>
      </c>
      <c r="R24" s="151">
        <f>AVERAGE(F24:Q24)</f>
        <v>1.0596699856056012E-2</v>
      </c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6" spans="4:31" x14ac:dyDescent="0.3">
      <c r="R26">
        <f>(S21-R21)/R21</f>
        <v>7.8475336322869876E-2</v>
      </c>
      <c r="S26">
        <f t="shared" ref="S26:AD26" si="5">(T21-S21)/S21</f>
        <v>7.4844074844074918E-2</v>
      </c>
      <c r="T26">
        <f t="shared" si="5"/>
        <v>-3.8684719535782542E-3</v>
      </c>
      <c r="U26">
        <f t="shared" si="5"/>
        <v>3.8834951456310537E-2</v>
      </c>
      <c r="V26">
        <f t="shared" si="5"/>
        <v>0.17383177570093469</v>
      </c>
      <c r="W26">
        <f t="shared" si="5"/>
        <v>6.2101910828025422E-2</v>
      </c>
      <c r="X26">
        <f t="shared" si="5"/>
        <v>5.8470764617691108E-2</v>
      </c>
      <c r="Y26">
        <f t="shared" si="5"/>
        <v>5.5240793201133231E-2</v>
      </c>
      <c r="Z26">
        <f t="shared" si="5"/>
        <v>5.3691275167785164E-2</v>
      </c>
      <c r="AA26">
        <f t="shared" si="5"/>
        <v>5.2229299363057348E-2</v>
      </c>
      <c r="AB26">
        <f t="shared" si="5"/>
        <v>4.9636803874092028E-2</v>
      </c>
      <c r="AC26">
        <f t="shared" si="5"/>
        <v>4.8442906574394456E-2</v>
      </c>
      <c r="AD26">
        <f t="shared" si="5"/>
        <v>4.6204620462046195E-2</v>
      </c>
      <c r="AE26" s="151">
        <f>AVERAGE(R26:AD26)</f>
        <v>6.0625849266064361E-2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17545-62EA-4EA6-B3F9-CBE5FDD7297B}">
  <sheetPr>
    <tabColor theme="5" tint="0.59999389629810485"/>
  </sheetPr>
  <dimension ref="B1:AF26"/>
  <sheetViews>
    <sheetView workbookViewId="0">
      <selection activeCell="D12" sqref="D12:D14"/>
    </sheetView>
  </sheetViews>
  <sheetFormatPr defaultColWidth="11.44140625" defaultRowHeight="14.4" x14ac:dyDescent="0.3"/>
  <cols>
    <col min="2" max="2" width="13" bestFit="1" customWidth="1"/>
    <col min="3" max="3" width="17.6640625" bestFit="1" customWidth="1"/>
    <col min="4" max="4" width="65.5546875" customWidth="1"/>
    <col min="5" max="5" width="9.109375" customWidth="1"/>
    <col min="6" max="18" width="7.5546875" bestFit="1" customWidth="1"/>
    <col min="19" max="31" width="7.88671875" bestFit="1" customWidth="1"/>
  </cols>
  <sheetData>
    <row r="1" spans="2:32" ht="20.399999999999999" thickBot="1" x14ac:dyDescent="0.35">
      <c r="B1" s="55"/>
      <c r="C1" s="56"/>
      <c r="D1" s="56" t="s">
        <v>257</v>
      </c>
      <c r="E1" s="56"/>
      <c r="F1" s="97">
        <v>2010</v>
      </c>
      <c r="G1" s="97">
        <v>2011</v>
      </c>
      <c r="H1" s="97">
        <v>2012</v>
      </c>
      <c r="I1" s="97">
        <v>2013</v>
      </c>
      <c r="J1" s="97">
        <v>2014</v>
      </c>
      <c r="K1" s="97">
        <v>2015</v>
      </c>
      <c r="L1" s="97">
        <v>2016</v>
      </c>
      <c r="M1" s="97">
        <v>2017</v>
      </c>
      <c r="N1" s="97">
        <v>2018</v>
      </c>
      <c r="O1" s="97">
        <v>2019</v>
      </c>
      <c r="P1" s="97">
        <v>2020</v>
      </c>
      <c r="Q1" s="97">
        <v>2021</v>
      </c>
      <c r="R1" s="97">
        <v>2022</v>
      </c>
      <c r="S1" s="57">
        <v>2023</v>
      </c>
      <c r="T1" s="57">
        <v>2024</v>
      </c>
      <c r="U1" s="57">
        <v>2025</v>
      </c>
      <c r="V1" s="57">
        <v>2026</v>
      </c>
      <c r="W1" s="57">
        <v>2027</v>
      </c>
      <c r="X1" s="57">
        <v>2028</v>
      </c>
      <c r="Y1" s="57">
        <v>2029</v>
      </c>
      <c r="Z1" s="57">
        <v>2030</v>
      </c>
      <c r="AA1" s="57">
        <v>2031</v>
      </c>
      <c r="AB1" s="57">
        <v>2032</v>
      </c>
      <c r="AC1" s="57">
        <v>2033</v>
      </c>
      <c r="AD1" s="57">
        <v>2034</v>
      </c>
      <c r="AE1" s="57">
        <v>2035</v>
      </c>
      <c r="AF1" s="58"/>
    </row>
    <row r="2" spans="2:32" ht="15.6" customHeight="1" x14ac:dyDescent="0.3"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</row>
    <row r="3" spans="2:32" ht="15.6" customHeight="1" x14ac:dyDescent="0.3"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</row>
    <row r="5" spans="2:32" ht="15" thickBot="1" x14ac:dyDescent="0.35"/>
    <row r="6" spans="2:32" x14ac:dyDescent="0.3">
      <c r="B6" s="61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3"/>
    </row>
    <row r="7" spans="2:32" x14ac:dyDescent="0.3">
      <c r="B7" s="64"/>
      <c r="C7" s="65"/>
      <c r="D7" s="66" t="s">
        <v>321</v>
      </c>
      <c r="E7" s="66"/>
      <c r="F7" s="66"/>
      <c r="G7" s="66"/>
      <c r="H7" s="66"/>
      <c r="I7" s="66"/>
      <c r="J7" s="66"/>
      <c r="K7" s="66"/>
      <c r="L7" s="66"/>
      <c r="M7" s="66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7"/>
    </row>
    <row r="8" spans="2:32" x14ac:dyDescent="0.3">
      <c r="B8" s="64"/>
      <c r="C8" s="65"/>
      <c r="D8" s="66"/>
      <c r="E8" s="66"/>
      <c r="F8" s="66"/>
      <c r="G8" s="66"/>
      <c r="H8" s="66"/>
      <c r="I8" s="66"/>
      <c r="J8" s="66"/>
      <c r="K8" s="66"/>
      <c r="L8" s="66"/>
      <c r="M8" s="66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7"/>
    </row>
    <row r="9" spans="2:32" x14ac:dyDescent="0.3">
      <c r="B9" s="64"/>
      <c r="C9" s="65"/>
      <c r="D9" s="68" t="s">
        <v>67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7"/>
    </row>
    <row r="10" spans="2:32" x14ac:dyDescent="0.3">
      <c r="B10" s="64"/>
      <c r="C10" s="65"/>
      <c r="D10" s="66"/>
      <c r="E10" s="66"/>
      <c r="F10" s="66"/>
      <c r="G10" s="66"/>
      <c r="H10" s="66"/>
      <c r="I10" s="66"/>
      <c r="J10" s="66"/>
      <c r="K10" s="88"/>
      <c r="L10" s="88"/>
      <c r="M10" s="88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67"/>
    </row>
    <row r="11" spans="2:32" x14ac:dyDescent="0.3">
      <c r="B11" s="64"/>
      <c r="C11" s="66"/>
      <c r="D11" s="66"/>
      <c r="E11" s="66"/>
      <c r="F11" s="66"/>
      <c r="G11" s="66"/>
      <c r="H11" s="66"/>
      <c r="I11" s="66"/>
      <c r="J11" s="66"/>
      <c r="K11" s="88"/>
      <c r="L11" s="88"/>
      <c r="M11" s="88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67"/>
    </row>
    <row r="12" spans="2:32" x14ac:dyDescent="0.3">
      <c r="B12" s="64"/>
      <c r="C12" s="65" t="s">
        <v>323</v>
      </c>
      <c r="D12" s="71" t="s">
        <v>324</v>
      </c>
      <c r="E12" s="71"/>
      <c r="F12" s="140">
        <f>Ini_I_PTAR!C81</f>
        <v>0.3417</v>
      </c>
      <c r="G12" s="140">
        <f>Ini_I_PTAR!D81</f>
        <v>0.3468</v>
      </c>
      <c r="H12" s="140">
        <f>Ini_I_PTAR!E81</f>
        <v>0.3533</v>
      </c>
      <c r="I12" s="140">
        <f>Ini_I_PTAR!F81</f>
        <v>0.35899999999999999</v>
      </c>
      <c r="J12" s="140">
        <f>Ini_I_PTAR!G81</f>
        <v>0.36480000000000001</v>
      </c>
      <c r="K12" s="140">
        <f>Ini_I_PTAR!H81</f>
        <v>0.3705</v>
      </c>
      <c r="L12" s="140">
        <f>Ini_I_PTAR!I81</f>
        <v>0.37619999999999998</v>
      </c>
      <c r="M12" s="140">
        <f>Ini_I_PTAR!J81</f>
        <v>0.38179999999999997</v>
      </c>
      <c r="N12" s="140">
        <f>Ini_I_PTAR!K81</f>
        <v>0.38740000000000002</v>
      </c>
      <c r="O12" s="140">
        <f>Ini_I_PTAR!L81</f>
        <v>0.39279999999999998</v>
      </c>
      <c r="P12" s="140">
        <f>Ini_I_PTAR!M81</f>
        <v>0.39850000000000002</v>
      </c>
      <c r="Q12" s="140">
        <f>Ini_I_PTAR!N81</f>
        <v>0.39910000000000001</v>
      </c>
      <c r="R12" s="140">
        <f>Ini_I_PTAR!O81</f>
        <v>0.38740000000000002</v>
      </c>
      <c r="S12" s="140">
        <f>Ini_I_PTAR!P81</f>
        <v>0.4178</v>
      </c>
      <c r="T12" s="140">
        <f>Ini_I_PTAR!Q81</f>
        <v>0.4491</v>
      </c>
      <c r="U12" s="140">
        <f>Ini_I_PTAR!R81</f>
        <v>0.44729999999999998</v>
      </c>
      <c r="V12" s="140">
        <f>Ini_I_PTAR!S81</f>
        <v>0.46200000000000002</v>
      </c>
      <c r="W12" s="140">
        <f>Ini_I_PTAR!T81</f>
        <v>0.53610000000000002</v>
      </c>
      <c r="X12" s="140">
        <f>Ini_I_PTAR!U81</f>
        <v>0.56340000000000001</v>
      </c>
      <c r="Y12" s="140">
        <f>Ini_I_PTAR!V81</f>
        <v>0.59079999999999999</v>
      </c>
      <c r="Z12" s="140">
        <f>Ini_I_PTAR!W81</f>
        <v>0.61839999999999995</v>
      </c>
      <c r="AA12" s="140">
        <f>Ini_I_PTAR!X81</f>
        <v>0.64710000000000001</v>
      </c>
      <c r="AB12" s="140">
        <f>Ini_I_PTAR!Y81</f>
        <v>0.67669999999999997</v>
      </c>
      <c r="AC12" s="140">
        <f>Ini_I_PTAR!Z81</f>
        <v>0.70650000000000002</v>
      </c>
      <c r="AD12" s="140">
        <f>Ini_I_PTAR!AA81</f>
        <v>0.73729999999999996</v>
      </c>
      <c r="AE12" s="140">
        <f>Ini_I_PTAR!AB81</f>
        <v>0.7681</v>
      </c>
      <c r="AF12" s="67"/>
    </row>
    <row r="13" spans="2:32" x14ac:dyDescent="0.3">
      <c r="B13" s="64"/>
      <c r="C13" s="65" t="s">
        <v>325</v>
      </c>
      <c r="D13" s="69" t="s">
        <v>326</v>
      </c>
      <c r="E13" s="71"/>
      <c r="F13" s="140">
        <f>Ini_I_PTAR!C94</f>
        <v>8.5999999999999993E-2</v>
      </c>
      <c r="G13" s="140">
        <f>Ini_I_PTAR!D94</f>
        <v>8.7400000000000005E-2</v>
      </c>
      <c r="H13" s="140">
        <f>Ini_I_PTAR!E94</f>
        <v>8.7999999999999995E-2</v>
      </c>
      <c r="I13" s="140">
        <f>Ini_I_PTAR!F94</f>
        <v>8.9599999999999999E-2</v>
      </c>
      <c r="J13" s="140">
        <f>Ini_I_PTAR!G94</f>
        <v>9.1200000000000003E-2</v>
      </c>
      <c r="K13" s="140">
        <f>Ini_I_PTAR!H94</f>
        <v>9.0300000000000005E-2</v>
      </c>
      <c r="L13" s="140">
        <f>Ini_I_PTAR!I94</f>
        <v>8.9399999999999993E-2</v>
      </c>
      <c r="M13" s="140">
        <f>Ini_I_PTAR!J94</f>
        <v>8.9599999999999999E-2</v>
      </c>
      <c r="N13" s="140">
        <f>Ini_I_PTAR!K94</f>
        <v>8.9700000000000002E-2</v>
      </c>
      <c r="O13" s="140">
        <f>Ini_I_PTAR!L94</f>
        <v>9.3600000000000003E-2</v>
      </c>
      <c r="P13" s="140">
        <f>Ini_I_PTAR!M94</f>
        <v>9.7600000000000006E-2</v>
      </c>
      <c r="Q13" s="140">
        <f>Ini_I_PTAR!N94</f>
        <v>9.7000000000000003E-2</v>
      </c>
      <c r="R13" s="140">
        <f>Ini_I_PTAR!O94</f>
        <v>9.2499999999999999E-2</v>
      </c>
      <c r="S13" s="140">
        <f>Ini_I_PTAR!P94</f>
        <v>9.98E-2</v>
      </c>
      <c r="T13" s="140">
        <f>Ini_I_PTAR!Q94</f>
        <v>0.1072</v>
      </c>
      <c r="U13" s="140">
        <f>Ini_I_PTAR!R94</f>
        <v>0.10680000000000001</v>
      </c>
      <c r="V13" s="140">
        <f>Ini_I_PTAR!S94</f>
        <v>0.1104</v>
      </c>
      <c r="W13" s="140">
        <f>Ini_I_PTAR!T94</f>
        <v>0.12790000000000001</v>
      </c>
      <c r="X13" s="140">
        <f>Ini_I_PTAR!U94</f>
        <v>0.13450000000000001</v>
      </c>
      <c r="Y13" s="140">
        <f>Ini_I_PTAR!V94</f>
        <v>0.14099999999999999</v>
      </c>
      <c r="Z13" s="140">
        <f>Ini_I_PTAR!W94</f>
        <v>0.14760000000000001</v>
      </c>
      <c r="AA13" s="140">
        <f>Ini_I_PTAR!X94</f>
        <v>0.1545</v>
      </c>
      <c r="AB13" s="140">
        <f>Ini_I_PTAR!Y94</f>
        <v>0.16159999999999999</v>
      </c>
      <c r="AC13" s="140">
        <f>Ini_I_PTAR!Z94</f>
        <v>0.16869999999999999</v>
      </c>
      <c r="AD13" s="140">
        <f>Ini_I_PTAR!AA94</f>
        <v>0.17599999999999999</v>
      </c>
      <c r="AE13" s="140">
        <f>Ini_I_PTAR!AB94</f>
        <v>0.18340000000000001</v>
      </c>
      <c r="AF13" s="67"/>
    </row>
    <row r="14" spans="2:32" x14ac:dyDescent="0.3">
      <c r="B14" s="64"/>
      <c r="C14" s="65" t="s">
        <v>327</v>
      </c>
      <c r="D14" s="71" t="s">
        <v>328</v>
      </c>
      <c r="E14" s="71"/>
      <c r="F14" s="118">
        <f>'Ini_I+C_PTAR_ARI'!C42</f>
        <v>0.21940000000000001</v>
      </c>
      <c r="G14" s="118">
        <f>'Ini_I+C_PTAR_ARI'!D42</f>
        <v>0.42559999999999998</v>
      </c>
      <c r="H14" s="118">
        <f>'Ini_I+C_PTAR_ARI'!E42</f>
        <v>0.63180000000000003</v>
      </c>
      <c r="I14" s="118">
        <f>'Ini_I+C_PTAR_ARI'!F42</f>
        <v>0.44800000000000001</v>
      </c>
      <c r="J14" s="118">
        <f>'Ini_I+C_PTAR_ARI'!G42</f>
        <v>0.26429999999999998</v>
      </c>
      <c r="K14" s="118">
        <f>'Ini_I+C_PTAR_ARI'!H42</f>
        <v>0.54620000000000002</v>
      </c>
      <c r="L14" s="118">
        <f>'Ini_I+C_PTAR_ARI'!I42</f>
        <v>0.82809999999999995</v>
      </c>
      <c r="M14" s="118">
        <f>'Ini_I+C_PTAR_ARI'!J42</f>
        <v>0.86429999999999996</v>
      </c>
      <c r="N14" s="118">
        <f>'Ini_I+C_PTAR_ARI'!K42</f>
        <v>0.90059999999999996</v>
      </c>
      <c r="O14" s="118">
        <f>'Ini_I+C_PTAR_ARI'!L42</f>
        <v>0.86040000000000005</v>
      </c>
      <c r="P14" s="118">
        <f>'Ini_I+C_PTAR_ARI'!M42</f>
        <v>0.82030000000000003</v>
      </c>
      <c r="Q14" s="118">
        <f>'Ini_I+C_PTAR_ARI'!N42</f>
        <v>0.70069999999999999</v>
      </c>
      <c r="R14" s="118">
        <f>'Ini_I+C_PTAR_ARI'!O42</f>
        <v>0.85040000000000004</v>
      </c>
      <c r="S14" s="118">
        <f>'Ini_I+C_PTAR_ARI'!P42</f>
        <v>0.91710000000000003</v>
      </c>
      <c r="T14" s="118">
        <f>'Ini_I+C_PTAR_ARI'!Q42</f>
        <v>0.98580000000000001</v>
      </c>
      <c r="U14" s="118">
        <f>'Ini_I+C_PTAR_ARI'!R42</f>
        <v>0.98199999999999998</v>
      </c>
      <c r="V14" s="118">
        <f>'Ini_I+C_PTAR_ARI'!S42</f>
        <v>1.0189999999999999</v>
      </c>
      <c r="W14" s="118">
        <f>'Ini_I+C_PTAR_ARI'!T42</f>
        <v>1.1951000000000001</v>
      </c>
      <c r="X14" s="118">
        <f>'Ini_I+C_PTAR_ARI'!U42</f>
        <v>1.2684</v>
      </c>
      <c r="Y14" s="118">
        <f>'Ini_I+C_PTAR_ARI'!V42</f>
        <v>1.3414999999999999</v>
      </c>
      <c r="Z14" s="118">
        <f>'Ini_I+C_PTAR_ARI'!W42</f>
        <v>1.4148000000000001</v>
      </c>
      <c r="AA14" s="118">
        <f>'Ini_I+C_PTAR_ARI'!X42</f>
        <v>1.4899</v>
      </c>
      <c r="AB14" s="118">
        <f>'Ini_I+C_PTAR_ARI'!Y42</f>
        <v>1.5669999999999999</v>
      </c>
      <c r="AC14" s="118">
        <f>'Ini_I+C_PTAR_ARI'!Z42</f>
        <v>1.6439999999999999</v>
      </c>
      <c r="AD14" s="118">
        <f>'Ini_I+C_PTAR_ARI'!AA42</f>
        <v>1.7229000000000001</v>
      </c>
      <c r="AE14" s="118">
        <f>'Ini_I+C_PTAR_ARI'!AB42</f>
        <v>1.8019000000000001</v>
      </c>
      <c r="AF14" s="67"/>
    </row>
    <row r="15" spans="2:32" x14ac:dyDescent="0.3">
      <c r="B15" s="64"/>
      <c r="C15" s="65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7"/>
    </row>
    <row r="16" spans="2:32" ht="15" thickBot="1" x14ac:dyDescent="0.35">
      <c r="B16" s="80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2"/>
    </row>
    <row r="18" spans="6:31" x14ac:dyDescent="0.3">
      <c r="F18" s="12"/>
      <c r="G18" s="12"/>
      <c r="H18" s="12"/>
      <c r="I18" s="12"/>
      <c r="J18" s="12"/>
      <c r="K18" s="12"/>
      <c r="L18" s="12"/>
      <c r="M18" s="12"/>
    </row>
    <row r="19" spans="6:31" x14ac:dyDescent="0.3"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1" spans="6:31" x14ac:dyDescent="0.3"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4" spans="6:31" x14ac:dyDescent="0.3">
      <c r="R24" s="15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6" spans="6:31" x14ac:dyDescent="0.3">
      <c r="AE26" s="151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09AA0-DD7F-4A1F-912C-117625A02434}">
  <sheetPr>
    <tabColor theme="5" tint="0.59999389629810485"/>
  </sheetPr>
  <dimension ref="B1:AF26"/>
  <sheetViews>
    <sheetView workbookViewId="0">
      <selection activeCell="D12" sqref="D12:D14"/>
    </sheetView>
  </sheetViews>
  <sheetFormatPr defaultColWidth="11.44140625" defaultRowHeight="14.4" x14ac:dyDescent="0.3"/>
  <cols>
    <col min="2" max="2" width="13" bestFit="1" customWidth="1"/>
    <col min="3" max="3" width="17.6640625" bestFit="1" customWidth="1"/>
    <col min="4" max="4" width="64.44140625" customWidth="1"/>
    <col min="5" max="5" width="9.109375" customWidth="1"/>
    <col min="6" max="18" width="7.5546875" bestFit="1" customWidth="1"/>
    <col min="19" max="31" width="7.88671875" bestFit="1" customWidth="1"/>
  </cols>
  <sheetData>
    <row r="1" spans="2:32" ht="20.399999999999999" thickBot="1" x14ac:dyDescent="0.35">
      <c r="B1" s="55"/>
      <c r="C1" s="56"/>
      <c r="D1" s="56" t="s">
        <v>257</v>
      </c>
      <c r="E1" s="56"/>
      <c r="F1" s="97">
        <v>2010</v>
      </c>
      <c r="G1" s="97">
        <v>2011</v>
      </c>
      <c r="H1" s="97">
        <v>2012</v>
      </c>
      <c r="I1" s="97">
        <v>2013</v>
      </c>
      <c r="J1" s="97">
        <v>2014</v>
      </c>
      <c r="K1" s="97">
        <v>2015</v>
      </c>
      <c r="L1" s="97">
        <v>2016</v>
      </c>
      <c r="M1" s="97">
        <v>2017</v>
      </c>
      <c r="N1" s="97">
        <v>2018</v>
      </c>
      <c r="O1" s="97">
        <v>2019</v>
      </c>
      <c r="P1" s="97">
        <v>2020</v>
      </c>
      <c r="Q1" s="97">
        <v>2021</v>
      </c>
      <c r="R1" s="97">
        <v>2022</v>
      </c>
      <c r="S1" s="57">
        <v>2023</v>
      </c>
      <c r="T1" s="57">
        <v>2024</v>
      </c>
      <c r="U1" s="57">
        <v>2025</v>
      </c>
      <c r="V1" s="57">
        <v>2026</v>
      </c>
      <c r="W1" s="57">
        <v>2027</v>
      </c>
      <c r="X1" s="57">
        <v>2028</v>
      </c>
      <c r="Y1" s="57">
        <v>2029</v>
      </c>
      <c r="Z1" s="57">
        <v>2030</v>
      </c>
      <c r="AA1" s="57">
        <v>2031</v>
      </c>
      <c r="AB1" s="57">
        <v>2032</v>
      </c>
      <c r="AC1" s="57">
        <v>2033</v>
      </c>
      <c r="AD1" s="57">
        <v>2034</v>
      </c>
      <c r="AE1" s="57">
        <v>2035</v>
      </c>
      <c r="AF1" s="58"/>
    </row>
    <row r="2" spans="2:32" ht="15.6" customHeight="1" x14ac:dyDescent="0.3"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</row>
    <row r="3" spans="2:32" ht="15.6" customHeight="1" x14ac:dyDescent="0.3"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</row>
    <row r="5" spans="2:32" ht="15" thickBot="1" x14ac:dyDescent="0.35"/>
    <row r="6" spans="2:32" x14ac:dyDescent="0.3">
      <c r="B6" s="61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3"/>
    </row>
    <row r="7" spans="2:32" x14ac:dyDescent="0.3">
      <c r="B7" s="64"/>
      <c r="C7" s="65"/>
      <c r="D7" s="66" t="s">
        <v>321</v>
      </c>
      <c r="E7" s="66"/>
      <c r="F7" s="66"/>
      <c r="G7" s="66"/>
      <c r="H7" s="66"/>
      <c r="I7" s="66"/>
      <c r="J7" s="66"/>
      <c r="K7" s="66"/>
      <c r="L7" s="66"/>
      <c r="M7" s="66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7"/>
    </row>
    <row r="8" spans="2:32" x14ac:dyDescent="0.3">
      <c r="B8" s="64"/>
      <c r="C8" s="65"/>
      <c r="D8" s="66"/>
      <c r="E8" s="66"/>
      <c r="F8" s="66"/>
      <c r="G8" s="66"/>
      <c r="H8" s="66"/>
      <c r="I8" s="66"/>
      <c r="J8" s="66"/>
      <c r="K8" s="66"/>
      <c r="L8" s="66"/>
      <c r="M8" s="66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7"/>
    </row>
    <row r="9" spans="2:32" x14ac:dyDescent="0.3">
      <c r="B9" s="64"/>
      <c r="C9" s="65"/>
      <c r="D9" s="68" t="s">
        <v>68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7"/>
    </row>
    <row r="10" spans="2:32" x14ac:dyDescent="0.3">
      <c r="B10" s="64"/>
      <c r="C10" s="65"/>
      <c r="D10" s="66"/>
      <c r="E10" s="66"/>
      <c r="F10" s="66"/>
      <c r="G10" s="66"/>
      <c r="H10" s="66"/>
      <c r="I10" s="66"/>
      <c r="J10" s="66"/>
      <c r="K10" s="88"/>
      <c r="L10" s="88"/>
      <c r="M10" s="88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67"/>
    </row>
    <row r="11" spans="2:32" x14ac:dyDescent="0.3">
      <c r="B11" s="64"/>
      <c r="C11" s="66"/>
      <c r="D11" s="66"/>
      <c r="E11" s="66"/>
      <c r="F11" s="66"/>
      <c r="G11" s="66"/>
      <c r="H11" s="66"/>
      <c r="I11" s="66"/>
      <c r="J11" s="66"/>
      <c r="K11" s="88"/>
      <c r="L11" s="88"/>
      <c r="M11" s="88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67"/>
    </row>
    <row r="12" spans="2:32" x14ac:dyDescent="0.3">
      <c r="B12" s="64"/>
      <c r="C12" s="65" t="s">
        <v>323</v>
      </c>
      <c r="D12" s="71" t="s">
        <v>324</v>
      </c>
      <c r="E12" s="71"/>
      <c r="F12" s="140">
        <f>'Ini_I+C_PTAR'!C81</f>
        <v>0.3417</v>
      </c>
      <c r="G12" s="140">
        <f>'Ini_I+C_PTAR'!D81</f>
        <v>0.3468</v>
      </c>
      <c r="H12" s="140">
        <f>'Ini_I+C_PTAR'!E81</f>
        <v>0.3533</v>
      </c>
      <c r="I12" s="140">
        <f>'Ini_I+C_PTAR'!F81</f>
        <v>0.35899999999999999</v>
      </c>
      <c r="J12" s="140">
        <f>'Ini_I+C_PTAR'!G81</f>
        <v>0.36480000000000001</v>
      </c>
      <c r="K12" s="140">
        <f>'Ini_I+C_PTAR'!H81</f>
        <v>0.3705</v>
      </c>
      <c r="L12" s="140">
        <f>'Ini_I+C_PTAR'!I81</f>
        <v>0.37619999999999998</v>
      </c>
      <c r="M12" s="140">
        <f>'Ini_I+C_PTAR'!J81</f>
        <v>0.38179999999999997</v>
      </c>
      <c r="N12" s="140">
        <f>'Ini_I+C_PTAR'!K81</f>
        <v>0.38740000000000002</v>
      </c>
      <c r="O12" s="140">
        <f>'Ini_I+C_PTAR'!L81</f>
        <v>0.39279999999999998</v>
      </c>
      <c r="P12" s="140">
        <f>'Ini_I+C_PTAR'!M81</f>
        <v>0.39850000000000002</v>
      </c>
      <c r="Q12" s="140">
        <f>'Ini_I+C_PTAR'!N81</f>
        <v>0.39910000000000001</v>
      </c>
      <c r="R12" s="140">
        <f>'Ini_I+C_PTAR'!O81</f>
        <v>0.38740000000000002</v>
      </c>
      <c r="S12" s="140">
        <f>'Ini_I+C_PTAR'!P81</f>
        <v>0.4178</v>
      </c>
      <c r="T12" s="140">
        <f>'Ini_I+C_PTAR'!Q81</f>
        <v>0.4491</v>
      </c>
      <c r="U12" s="140">
        <f>'Ini_I+C_PTAR'!R81</f>
        <v>0.44729999999999998</v>
      </c>
      <c r="V12" s="140">
        <f>'Ini_I+C_PTAR'!S81</f>
        <v>0.46200000000000002</v>
      </c>
      <c r="W12" s="140">
        <f>'Ini_I+C_PTAR'!T81</f>
        <v>0.53610000000000002</v>
      </c>
      <c r="X12" s="140">
        <f>'Ini_I+C_PTAR'!U81</f>
        <v>0.56340000000000001</v>
      </c>
      <c r="Y12" s="140">
        <f>'Ini_I+C_PTAR'!V81</f>
        <v>0.59079999999999999</v>
      </c>
      <c r="Z12" s="140">
        <f>'Ini_I+C_PTAR'!W81</f>
        <v>0.61839999999999995</v>
      </c>
      <c r="AA12" s="140">
        <f>'Ini_I+C_PTAR'!X81</f>
        <v>0.64710000000000001</v>
      </c>
      <c r="AB12" s="140">
        <f>'Ini_I+C_PTAR'!Y81</f>
        <v>0.67669999999999997</v>
      </c>
      <c r="AC12" s="140">
        <f>'Ini_I+C_PTAR'!Z81</f>
        <v>0.70650000000000002</v>
      </c>
      <c r="AD12" s="140">
        <f>'Ini_I+C_PTAR'!AA81</f>
        <v>0.71730000000000005</v>
      </c>
      <c r="AE12" s="140">
        <f>'Ini_I+C_PTAR'!AB81</f>
        <v>0.72870000000000001</v>
      </c>
      <c r="AF12" s="67"/>
    </row>
    <row r="13" spans="2:32" x14ac:dyDescent="0.3">
      <c r="B13" s="64"/>
      <c r="C13" s="65" t="s">
        <v>325</v>
      </c>
      <c r="D13" s="69" t="s">
        <v>326</v>
      </c>
      <c r="E13" s="71"/>
      <c r="F13" s="140">
        <f>'Ini_I+C_PTAR'!C94</f>
        <v>8.5999999999999993E-2</v>
      </c>
      <c r="G13" s="140">
        <f>'Ini_I+C_PTAR'!D94</f>
        <v>8.7400000000000005E-2</v>
      </c>
      <c r="H13" s="140">
        <f>'Ini_I+C_PTAR'!E94</f>
        <v>8.7999999999999995E-2</v>
      </c>
      <c r="I13" s="140">
        <f>'Ini_I+C_PTAR'!F94</f>
        <v>8.9599999999999999E-2</v>
      </c>
      <c r="J13" s="140">
        <f>'Ini_I+C_PTAR'!G94</f>
        <v>9.1200000000000003E-2</v>
      </c>
      <c r="K13" s="140">
        <f>'Ini_I+C_PTAR'!H94</f>
        <v>9.0300000000000005E-2</v>
      </c>
      <c r="L13" s="140">
        <f>'Ini_I+C_PTAR'!I94</f>
        <v>8.9399999999999993E-2</v>
      </c>
      <c r="M13" s="140">
        <f>'Ini_I+C_PTAR'!J94</f>
        <v>8.9599999999999999E-2</v>
      </c>
      <c r="N13" s="140">
        <f>'Ini_I+C_PTAR'!K94</f>
        <v>8.9700000000000002E-2</v>
      </c>
      <c r="O13" s="140">
        <f>'Ini_I+C_PTAR'!L94</f>
        <v>9.3600000000000003E-2</v>
      </c>
      <c r="P13" s="140">
        <f>'Ini_I+C_PTAR'!M94</f>
        <v>9.7600000000000006E-2</v>
      </c>
      <c r="Q13" s="140">
        <f>'Ini_I+C_PTAR'!N94</f>
        <v>9.7000000000000003E-2</v>
      </c>
      <c r="R13" s="140">
        <f>'Ini_I+C_PTAR'!O94</f>
        <v>9.2499999999999999E-2</v>
      </c>
      <c r="S13" s="140">
        <f>'Ini_I+C_PTAR'!P94</f>
        <v>9.98E-2</v>
      </c>
      <c r="T13" s="140">
        <f>'Ini_I+C_PTAR'!Q94</f>
        <v>0.1072</v>
      </c>
      <c r="U13" s="140">
        <f>'Ini_I+C_PTAR'!R94</f>
        <v>0.10680000000000001</v>
      </c>
      <c r="V13" s="140">
        <f>'Ini_I+C_PTAR'!S94</f>
        <v>0.1104</v>
      </c>
      <c r="W13" s="140">
        <f>'Ini_I+C_PTAR'!T94</f>
        <v>0.12790000000000001</v>
      </c>
      <c r="X13" s="140">
        <f>'Ini_I+C_PTAR'!U94</f>
        <v>0.13450000000000001</v>
      </c>
      <c r="Y13" s="140">
        <f>'Ini_I+C_PTAR'!V94</f>
        <v>0.14099999999999999</v>
      </c>
      <c r="Z13" s="140">
        <f>'Ini_I+C_PTAR'!W94</f>
        <v>0.14760000000000001</v>
      </c>
      <c r="AA13" s="140">
        <f>'Ini_I+C_PTAR'!X94</f>
        <v>0.1545</v>
      </c>
      <c r="AB13" s="140">
        <f>'Ini_I+C_PTAR'!Y94</f>
        <v>0.16159999999999999</v>
      </c>
      <c r="AC13" s="140">
        <f>'Ini_I+C_PTAR'!Z94</f>
        <v>0.16869999999999999</v>
      </c>
      <c r="AD13" s="140">
        <f>'Ini_I+C_PTAR'!AA94</f>
        <v>0.17119999999999999</v>
      </c>
      <c r="AE13" s="140">
        <f>'Ini_I+C_PTAR'!AB94</f>
        <v>0.17399999999999999</v>
      </c>
      <c r="AF13" s="67"/>
    </row>
    <row r="14" spans="2:32" x14ac:dyDescent="0.3">
      <c r="B14" s="64"/>
      <c r="C14" s="65" t="s">
        <v>327</v>
      </c>
      <c r="D14" s="71" t="s">
        <v>328</v>
      </c>
      <c r="E14" s="71"/>
      <c r="F14" s="118">
        <f>'Ini_I+C_PTAR_ARI'!C42</f>
        <v>0.21940000000000001</v>
      </c>
      <c r="G14" s="118">
        <f>'Ini_I+C_PTAR_ARI'!D42</f>
        <v>0.42559999999999998</v>
      </c>
      <c r="H14" s="118">
        <f>'Ini_I+C_PTAR_ARI'!E42</f>
        <v>0.63180000000000003</v>
      </c>
      <c r="I14" s="118">
        <f>'Ini_I+C_PTAR_ARI'!F42</f>
        <v>0.44800000000000001</v>
      </c>
      <c r="J14" s="118">
        <f>'Ini_I+C_PTAR_ARI'!G42</f>
        <v>0.26429999999999998</v>
      </c>
      <c r="K14" s="118">
        <f>'Ini_I+C_PTAR_ARI'!H42</f>
        <v>0.54620000000000002</v>
      </c>
      <c r="L14" s="118">
        <f>'Ini_I+C_PTAR_ARI'!I42</f>
        <v>0.82809999999999995</v>
      </c>
      <c r="M14" s="118">
        <f>'Ini_I+C_PTAR_ARI'!J42</f>
        <v>0.86429999999999996</v>
      </c>
      <c r="N14" s="118">
        <f>'Ini_I+C_PTAR_ARI'!K42</f>
        <v>0.90059999999999996</v>
      </c>
      <c r="O14" s="118">
        <f>'Ini_I+C_PTAR_ARI'!L42</f>
        <v>0.86040000000000005</v>
      </c>
      <c r="P14" s="118">
        <f>'Ini_I+C_PTAR_ARI'!M42</f>
        <v>0.82030000000000003</v>
      </c>
      <c r="Q14" s="118">
        <f>'Ini_I+C_PTAR_ARI'!N42</f>
        <v>0.70069999999999999</v>
      </c>
      <c r="R14" s="118">
        <f>'Ini_I+C_PTAR_ARI'!O42</f>
        <v>0.85040000000000004</v>
      </c>
      <c r="S14" s="118">
        <f>'Ini_I+C_PTAR_ARI'!P42</f>
        <v>0.91710000000000003</v>
      </c>
      <c r="T14" s="118">
        <f>'Ini_I+C_PTAR_ARI'!Q42</f>
        <v>0.98580000000000001</v>
      </c>
      <c r="U14" s="118">
        <f>'Ini_I+C_PTAR_ARI'!R42</f>
        <v>0.98199999999999998</v>
      </c>
      <c r="V14" s="118">
        <f>'Ini_I+C_PTAR_ARI'!S42</f>
        <v>1.0189999999999999</v>
      </c>
      <c r="W14" s="118">
        <f>'Ini_I+C_PTAR_ARI'!T42</f>
        <v>1.1951000000000001</v>
      </c>
      <c r="X14" s="118">
        <f>'Ini_I+C_PTAR_ARI'!U42</f>
        <v>1.2684</v>
      </c>
      <c r="Y14" s="118">
        <f>'Ini_I+C_PTAR_ARI'!V42</f>
        <v>1.3414999999999999</v>
      </c>
      <c r="Z14" s="118">
        <f>'Ini_I+C_PTAR_ARI'!W42</f>
        <v>1.4148000000000001</v>
      </c>
      <c r="AA14" s="118">
        <f>'Ini_I+C_PTAR_ARI'!X42</f>
        <v>1.4899</v>
      </c>
      <c r="AB14" s="118">
        <f>'Ini_I+C_PTAR_ARI'!Y42</f>
        <v>1.5669999999999999</v>
      </c>
      <c r="AC14" s="118">
        <f>'Ini_I+C_PTAR_ARI'!Z42</f>
        <v>1.6439999999999999</v>
      </c>
      <c r="AD14" s="118">
        <f>'Ini_I+C_PTAR_ARI'!AA42</f>
        <v>1.7229000000000001</v>
      </c>
      <c r="AE14" s="118">
        <f>'Ini_I+C_PTAR_ARI'!AB42</f>
        <v>1.8019000000000001</v>
      </c>
      <c r="AF14" s="67"/>
    </row>
    <row r="15" spans="2:32" x14ac:dyDescent="0.3">
      <c r="B15" s="64"/>
      <c r="C15" s="65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7"/>
    </row>
    <row r="16" spans="2:32" ht="15" thickBot="1" x14ac:dyDescent="0.35">
      <c r="B16" s="80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2"/>
    </row>
    <row r="18" spans="6:31" x14ac:dyDescent="0.3">
      <c r="F18" s="12"/>
      <c r="G18" s="12"/>
      <c r="H18" s="12"/>
      <c r="I18" s="12"/>
      <c r="J18" s="12"/>
      <c r="K18" s="12"/>
      <c r="L18" s="12"/>
      <c r="M18" s="12"/>
    </row>
    <row r="19" spans="6:31" x14ac:dyDescent="0.3"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1" spans="6:31" x14ac:dyDescent="0.3"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4" spans="6:31" x14ac:dyDescent="0.3">
      <c r="R24" s="15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6" spans="6:31" x14ac:dyDescent="0.3">
      <c r="AE26" s="151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48F5B-69AC-4722-A5EE-D36CDB8A86A5}">
  <sheetPr>
    <tabColor theme="7" tint="0.59999389629810485"/>
  </sheetPr>
  <dimension ref="B3:AG15"/>
  <sheetViews>
    <sheetView topLeftCell="F1" workbookViewId="0">
      <selection activeCell="W5" sqref="W5"/>
    </sheetView>
  </sheetViews>
  <sheetFormatPr defaultRowHeight="14.4" x14ac:dyDescent="0.3"/>
  <cols>
    <col min="8" max="20" width="9.5546875" bestFit="1" customWidth="1"/>
    <col min="21" max="21" width="11.109375" customWidth="1"/>
    <col min="22" max="33" width="9.5546875" bestFit="1" customWidth="1"/>
  </cols>
  <sheetData>
    <row r="3" spans="2:33" x14ac:dyDescent="0.3">
      <c r="B3" t="s">
        <v>329</v>
      </c>
    </row>
    <row r="4" spans="2:33" x14ac:dyDescent="0.3">
      <c r="H4">
        <v>2010</v>
      </c>
      <c r="I4">
        <v>2011</v>
      </c>
      <c r="J4">
        <v>2012</v>
      </c>
      <c r="K4">
        <v>2013</v>
      </c>
      <c r="L4">
        <v>2014</v>
      </c>
      <c r="M4">
        <v>2015</v>
      </c>
      <c r="N4">
        <v>2016</v>
      </c>
      <c r="O4">
        <v>2017</v>
      </c>
      <c r="P4">
        <v>2018</v>
      </c>
      <c r="Q4">
        <v>2019</v>
      </c>
      <c r="R4">
        <v>2020</v>
      </c>
      <c r="S4">
        <v>2021</v>
      </c>
      <c r="T4">
        <v>2022</v>
      </c>
      <c r="U4">
        <v>2023</v>
      </c>
      <c r="V4">
        <v>2024</v>
      </c>
      <c r="W4">
        <v>2025</v>
      </c>
      <c r="X4">
        <v>2026</v>
      </c>
      <c r="Y4">
        <v>2027</v>
      </c>
      <c r="Z4">
        <v>2028</v>
      </c>
      <c r="AA4">
        <v>2029</v>
      </c>
      <c r="AB4">
        <v>2030</v>
      </c>
      <c r="AC4">
        <v>2031</v>
      </c>
      <c r="AD4">
        <v>2032</v>
      </c>
      <c r="AE4">
        <v>2033</v>
      </c>
      <c r="AF4">
        <v>2034</v>
      </c>
      <c r="AG4">
        <v>2035</v>
      </c>
    </row>
    <row r="5" spans="2:33" x14ac:dyDescent="0.3">
      <c r="B5" t="s">
        <v>330</v>
      </c>
      <c r="G5" t="s">
        <v>71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6.0000000000000036</v>
      </c>
      <c r="T5">
        <v>12</v>
      </c>
      <c r="U5">
        <v>18</v>
      </c>
      <c r="V5">
        <v>24</v>
      </c>
      <c r="W5">
        <v>29.999999999999993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3">
      <c r="G6" t="s">
        <v>226</v>
      </c>
      <c r="H6" s="13">
        <f>ROUND(H5/1000,4)</f>
        <v>0</v>
      </c>
      <c r="I6" s="13">
        <f t="shared" ref="I6:AG6" si="0">ROUND(I5/1000,4)</f>
        <v>0</v>
      </c>
      <c r="J6" s="13">
        <f t="shared" si="0"/>
        <v>0</v>
      </c>
      <c r="K6" s="13">
        <f t="shared" si="0"/>
        <v>0</v>
      </c>
      <c r="L6" s="13">
        <f t="shared" si="0"/>
        <v>0</v>
      </c>
      <c r="M6" s="13">
        <f t="shared" si="0"/>
        <v>0</v>
      </c>
      <c r="N6" s="13">
        <f t="shared" si="0"/>
        <v>0</v>
      </c>
      <c r="O6" s="13">
        <f t="shared" si="0"/>
        <v>0</v>
      </c>
      <c r="P6" s="13">
        <f t="shared" si="0"/>
        <v>0</v>
      </c>
      <c r="Q6" s="13">
        <f t="shared" si="0"/>
        <v>0</v>
      </c>
      <c r="R6" s="13">
        <f t="shared" si="0"/>
        <v>0</v>
      </c>
      <c r="S6" s="13">
        <f t="shared" si="0"/>
        <v>6.0000000000000001E-3</v>
      </c>
      <c r="T6" s="13">
        <f t="shared" si="0"/>
        <v>1.2E-2</v>
      </c>
      <c r="U6" s="13">
        <f t="shared" si="0"/>
        <v>1.7999999999999999E-2</v>
      </c>
      <c r="V6" s="13">
        <f t="shared" si="0"/>
        <v>2.4E-2</v>
      </c>
      <c r="W6" s="13">
        <f t="shared" si="0"/>
        <v>0.03</v>
      </c>
      <c r="X6" s="13">
        <f t="shared" si="0"/>
        <v>0</v>
      </c>
      <c r="Y6" s="13">
        <f t="shared" si="0"/>
        <v>0</v>
      </c>
      <c r="Z6" s="13">
        <f t="shared" si="0"/>
        <v>0</v>
      </c>
      <c r="AA6" s="13">
        <f t="shared" si="0"/>
        <v>0</v>
      </c>
      <c r="AB6" s="13">
        <f t="shared" si="0"/>
        <v>0</v>
      </c>
      <c r="AC6" s="13">
        <f t="shared" si="0"/>
        <v>0</v>
      </c>
      <c r="AD6" s="13">
        <f t="shared" si="0"/>
        <v>0</v>
      </c>
      <c r="AE6" s="13">
        <f t="shared" si="0"/>
        <v>0</v>
      </c>
      <c r="AF6" s="13">
        <f t="shared" si="0"/>
        <v>0</v>
      </c>
      <c r="AG6" s="13">
        <f t="shared" si="0"/>
        <v>0</v>
      </c>
    </row>
    <row r="7" spans="2:33" x14ac:dyDescent="0.3"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</row>
    <row r="8" spans="2:33" x14ac:dyDescent="0.3">
      <c r="B8" t="s">
        <v>330</v>
      </c>
      <c r="G8" t="s">
        <v>227</v>
      </c>
      <c r="H8" s="11">
        <f t="shared" ref="H8:AF8" si="1">H5/$D$11</f>
        <v>0</v>
      </c>
      <c r="I8" s="11">
        <f t="shared" si="1"/>
        <v>0</v>
      </c>
      <c r="J8" s="11">
        <f t="shared" si="1"/>
        <v>0</v>
      </c>
      <c r="K8" s="11">
        <f t="shared" si="1"/>
        <v>0</v>
      </c>
      <c r="L8" s="11">
        <f t="shared" si="1"/>
        <v>0</v>
      </c>
      <c r="M8" s="11">
        <f t="shared" si="1"/>
        <v>0</v>
      </c>
      <c r="N8" s="11">
        <f t="shared" si="1"/>
        <v>0</v>
      </c>
      <c r="O8" s="11">
        <f t="shared" si="1"/>
        <v>0</v>
      </c>
      <c r="P8" s="11">
        <f t="shared" si="1"/>
        <v>0</v>
      </c>
      <c r="Q8" s="11">
        <f t="shared" si="1"/>
        <v>0</v>
      </c>
      <c r="R8" s="11">
        <f t="shared" si="1"/>
        <v>0</v>
      </c>
      <c r="S8" s="11">
        <f t="shared" si="1"/>
        <v>0.21428571428571441</v>
      </c>
      <c r="T8" s="11">
        <f>T5/$D$11</f>
        <v>0.42857142857142855</v>
      </c>
      <c r="U8" s="11">
        <f t="shared" si="1"/>
        <v>0.6428571428571429</v>
      </c>
      <c r="V8" s="11">
        <f t="shared" si="1"/>
        <v>0.8571428571428571</v>
      </c>
      <c r="W8" s="11">
        <f t="shared" si="1"/>
        <v>1.0714285714285712</v>
      </c>
      <c r="X8" s="11">
        <f t="shared" si="1"/>
        <v>0</v>
      </c>
      <c r="Y8" s="11">
        <f t="shared" si="1"/>
        <v>0</v>
      </c>
      <c r="Z8" s="11">
        <f t="shared" si="1"/>
        <v>0</v>
      </c>
      <c r="AA8" s="11">
        <f t="shared" si="1"/>
        <v>0</v>
      </c>
      <c r="AB8" s="11">
        <f t="shared" si="1"/>
        <v>0</v>
      </c>
      <c r="AC8" s="11">
        <f t="shared" si="1"/>
        <v>0</v>
      </c>
      <c r="AD8" s="11">
        <f t="shared" si="1"/>
        <v>0</v>
      </c>
      <c r="AE8" s="11">
        <f t="shared" si="1"/>
        <v>0</v>
      </c>
      <c r="AF8" s="11">
        <f t="shared" si="1"/>
        <v>0</v>
      </c>
      <c r="AG8" s="11">
        <f>AG5/$D$11</f>
        <v>0</v>
      </c>
    </row>
    <row r="9" spans="2:33" x14ac:dyDescent="0.3">
      <c r="G9" t="s">
        <v>331</v>
      </c>
      <c r="H9" s="13">
        <f>H6/$D$11</f>
        <v>0</v>
      </c>
      <c r="I9" s="13">
        <f t="shared" ref="I9:AG9" si="2">I6/$D$11</f>
        <v>0</v>
      </c>
      <c r="J9" s="13">
        <f t="shared" si="2"/>
        <v>0</v>
      </c>
      <c r="K9" s="13">
        <f t="shared" si="2"/>
        <v>0</v>
      </c>
      <c r="L9" s="13">
        <f t="shared" si="2"/>
        <v>0</v>
      </c>
      <c r="M9" s="13">
        <f t="shared" si="2"/>
        <v>0</v>
      </c>
      <c r="N9" s="13">
        <f t="shared" si="2"/>
        <v>0</v>
      </c>
      <c r="O9" s="13">
        <f t="shared" si="2"/>
        <v>0</v>
      </c>
      <c r="P9" s="13">
        <f t="shared" si="2"/>
        <v>0</v>
      </c>
      <c r="Q9" s="13">
        <f t="shared" si="2"/>
        <v>0</v>
      </c>
      <c r="R9" s="13">
        <f t="shared" si="2"/>
        <v>0</v>
      </c>
      <c r="S9" s="13">
        <f t="shared" si="2"/>
        <v>2.142857142857143E-4</v>
      </c>
      <c r="T9" s="13">
        <f t="shared" si="2"/>
        <v>4.285714285714286E-4</v>
      </c>
      <c r="U9" s="13">
        <f t="shared" si="2"/>
        <v>6.4285714285714282E-4</v>
      </c>
      <c r="V9" s="13">
        <f t="shared" si="2"/>
        <v>8.5714285714285721E-4</v>
      </c>
      <c r="W9" s="13">
        <f t="shared" si="2"/>
        <v>1.0714285714285715E-3</v>
      </c>
      <c r="X9" s="13">
        <f t="shared" si="2"/>
        <v>0</v>
      </c>
      <c r="Y9" s="13">
        <f t="shared" si="2"/>
        <v>0</v>
      </c>
      <c r="Z9" s="13">
        <f t="shared" si="2"/>
        <v>0</v>
      </c>
      <c r="AA9" s="13">
        <f t="shared" si="2"/>
        <v>0</v>
      </c>
      <c r="AB9" s="13">
        <f t="shared" si="2"/>
        <v>0</v>
      </c>
      <c r="AC9" s="13">
        <f t="shared" si="2"/>
        <v>0</v>
      </c>
      <c r="AD9" s="13">
        <f t="shared" si="2"/>
        <v>0</v>
      </c>
      <c r="AE9" s="13">
        <f t="shared" si="2"/>
        <v>0</v>
      </c>
      <c r="AF9" s="13">
        <f t="shared" si="2"/>
        <v>0</v>
      </c>
      <c r="AG9" s="13">
        <f t="shared" si="2"/>
        <v>0</v>
      </c>
    </row>
    <row r="11" spans="2:33" x14ac:dyDescent="0.3">
      <c r="C11" t="s">
        <v>95</v>
      </c>
      <c r="D11">
        <v>28</v>
      </c>
    </row>
    <row r="12" spans="2:33" x14ac:dyDescent="0.3">
      <c r="D12" s="13">
        <f>ROUND(1/D11,4)</f>
        <v>3.5700000000000003E-2</v>
      </c>
      <c r="H12" s="13">
        <f>H6*$D$12</f>
        <v>0</v>
      </c>
      <c r="I12" s="13">
        <f t="shared" ref="I12:AG12" si="3">I6*$D$12</f>
        <v>0</v>
      </c>
      <c r="J12" s="13">
        <f t="shared" si="3"/>
        <v>0</v>
      </c>
      <c r="K12" s="13">
        <f t="shared" si="3"/>
        <v>0</v>
      </c>
      <c r="L12" s="13">
        <f t="shared" si="3"/>
        <v>0</v>
      </c>
      <c r="M12" s="13">
        <f t="shared" si="3"/>
        <v>0</v>
      </c>
      <c r="N12" s="13">
        <f t="shared" si="3"/>
        <v>0</v>
      </c>
      <c r="O12" s="13">
        <f t="shared" si="3"/>
        <v>0</v>
      </c>
      <c r="P12" s="13">
        <f t="shared" si="3"/>
        <v>0</v>
      </c>
      <c r="Q12" s="13">
        <f t="shared" si="3"/>
        <v>0</v>
      </c>
      <c r="R12" s="13">
        <f t="shared" si="3"/>
        <v>0</v>
      </c>
      <c r="S12" s="13">
        <f t="shared" si="3"/>
        <v>2.1420000000000003E-4</v>
      </c>
      <c r="T12" s="13">
        <f t="shared" si="3"/>
        <v>4.2840000000000006E-4</v>
      </c>
      <c r="U12" s="13">
        <f t="shared" si="3"/>
        <v>6.4260000000000001E-4</v>
      </c>
      <c r="V12" s="13">
        <f t="shared" si="3"/>
        <v>8.5680000000000012E-4</v>
      </c>
      <c r="W12" s="13">
        <f t="shared" si="3"/>
        <v>1.0710000000000001E-3</v>
      </c>
      <c r="X12" s="13">
        <f t="shared" si="3"/>
        <v>0</v>
      </c>
      <c r="Y12" s="13">
        <f t="shared" si="3"/>
        <v>0</v>
      </c>
      <c r="Z12" s="13">
        <f t="shared" si="3"/>
        <v>0</v>
      </c>
      <c r="AA12" s="13">
        <f t="shared" si="3"/>
        <v>0</v>
      </c>
      <c r="AB12" s="13">
        <f t="shared" si="3"/>
        <v>0</v>
      </c>
      <c r="AC12" s="13">
        <f t="shared" si="3"/>
        <v>0</v>
      </c>
      <c r="AD12" s="13">
        <f t="shared" si="3"/>
        <v>0</v>
      </c>
      <c r="AE12" s="13">
        <f t="shared" si="3"/>
        <v>0</v>
      </c>
      <c r="AF12" s="13">
        <f t="shared" si="3"/>
        <v>0</v>
      </c>
      <c r="AG12" s="13">
        <f t="shared" si="3"/>
        <v>0</v>
      </c>
    </row>
    <row r="14" spans="2:33" x14ac:dyDescent="0.3">
      <c r="T14" s="143"/>
    </row>
    <row r="15" spans="2:33" x14ac:dyDescent="0.3">
      <c r="N15" s="143"/>
      <c r="O15" s="143"/>
      <c r="P15" s="143"/>
      <c r="Q15" s="143"/>
      <c r="R15" s="143"/>
      <c r="S15" s="143"/>
      <c r="T15" s="11"/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A104D-07D2-4B33-9DAF-16357115CBBC}">
  <sheetPr>
    <tabColor theme="7" tint="0.59999389629810485"/>
  </sheetPr>
  <dimension ref="E4:AF66"/>
  <sheetViews>
    <sheetView topLeftCell="C1" workbookViewId="0">
      <selection activeCell="R7" sqref="R7:V7"/>
    </sheetView>
  </sheetViews>
  <sheetFormatPr defaultRowHeight="14.4" x14ac:dyDescent="0.3"/>
  <cols>
    <col min="5" max="5" width="9" bestFit="1" customWidth="1"/>
    <col min="6" max="6" width="20.33203125" customWidth="1"/>
    <col min="7" max="31" width="7.88671875" bestFit="1" customWidth="1"/>
    <col min="32" max="32" width="9.109375" bestFit="1" customWidth="1"/>
  </cols>
  <sheetData>
    <row r="4" spans="5:32" x14ac:dyDescent="0.3">
      <c r="E4" s="1" t="s">
        <v>71</v>
      </c>
    </row>
    <row r="6" spans="5:32" x14ac:dyDescent="0.3">
      <c r="E6" s="3" t="s">
        <v>332</v>
      </c>
      <c r="F6" s="3" t="s">
        <v>333</v>
      </c>
      <c r="G6" s="3">
        <v>2010</v>
      </c>
      <c r="H6" s="3">
        <v>2011</v>
      </c>
      <c r="I6" s="3">
        <v>2012</v>
      </c>
      <c r="J6" s="3">
        <v>2013</v>
      </c>
      <c r="K6" s="3">
        <v>2014</v>
      </c>
      <c r="L6" s="3">
        <v>2015</v>
      </c>
      <c r="M6" s="3">
        <v>2016</v>
      </c>
      <c r="N6" s="3">
        <v>2017</v>
      </c>
      <c r="O6" s="3">
        <v>2018</v>
      </c>
      <c r="P6" s="3">
        <v>2019</v>
      </c>
      <c r="Q6" s="3">
        <v>2020</v>
      </c>
      <c r="R6" s="3">
        <v>2021</v>
      </c>
      <c r="S6" s="3">
        <v>2022</v>
      </c>
      <c r="T6" s="3">
        <v>2023</v>
      </c>
      <c r="U6" s="3">
        <v>2024</v>
      </c>
      <c r="V6" s="3">
        <v>2025</v>
      </c>
      <c r="W6" s="3">
        <v>2026</v>
      </c>
      <c r="X6" s="3">
        <v>2027</v>
      </c>
      <c r="Y6" s="3">
        <v>2028</v>
      </c>
      <c r="Z6" s="3">
        <v>2029</v>
      </c>
      <c r="AA6" s="3">
        <v>2030</v>
      </c>
      <c r="AB6" s="3">
        <v>2031</v>
      </c>
      <c r="AC6" s="3">
        <v>2032</v>
      </c>
      <c r="AD6" s="3">
        <v>2033</v>
      </c>
      <c r="AE6" s="3">
        <v>2034</v>
      </c>
      <c r="AF6" s="3">
        <v>2035</v>
      </c>
    </row>
    <row r="7" spans="5:32" x14ac:dyDescent="0.3">
      <c r="E7" s="3" t="s">
        <v>35</v>
      </c>
      <c r="F7" s="3" t="s">
        <v>269</v>
      </c>
      <c r="G7" s="7">
        <f>T_5A1!E90*1000+Ajuste_T_Iniciativas1eraNDC_5CN!H6*1000</f>
        <v>892.37160000000006</v>
      </c>
      <c r="H7" s="7">
        <f>T_5A1!F90*1000+Ajuste_T_Iniciativas1eraNDC_5CN!I6*1000</f>
        <v>1032.8312000000001</v>
      </c>
      <c r="I7" s="7">
        <f>T_5A1!G90*1000+Ajuste_T_Iniciativas1eraNDC_5CN!J6*1000</f>
        <v>1173.3316400000001</v>
      </c>
      <c r="J7" s="7">
        <f>T_5A1!H90*1000+Ajuste_T_Iniciativas1eraNDC_5CN!K6*1000</f>
        <v>1229.7626000000002</v>
      </c>
      <c r="K7" s="7">
        <f>T_5A1!I90*1000+Ajuste_T_Iniciativas1eraNDC_5CN!L6*1000</f>
        <v>1286.35052</v>
      </c>
      <c r="L7" s="7">
        <f>T_5A1!J90*1000+Ajuste_T_Iniciativas1eraNDC_5CN!M6*1000</f>
        <v>1720.15705</v>
      </c>
      <c r="M7" s="7">
        <f>T_5A1!K90*1000+Ajuste_T_Iniciativas1eraNDC_5CN!N6*1000</f>
        <v>2154.1215999999999</v>
      </c>
      <c r="N7" s="7">
        <f>T_5A1!L90*1000+Ajuste_T_Iniciativas1eraNDC_5CN!O6*1000</f>
        <v>2435.0344399999999</v>
      </c>
      <c r="O7" s="7">
        <f>T_5A1!M90*1000+Ajuste_T_Iniciativas1eraNDC_5CN!P6*1000</f>
        <v>2716.10394</v>
      </c>
      <c r="P7" s="7">
        <f>T_5A1!N90*1000+Ajuste_T_Iniciativas1eraNDC_5CN!Q6*1000</f>
        <v>2898.0348799999997</v>
      </c>
      <c r="Q7" s="7">
        <f>T_5A1!O90*1000+Ajuste_T_Iniciativas1eraNDC_5CN!R6*1000</f>
        <v>3079.7371800000005</v>
      </c>
      <c r="R7" s="7">
        <f>T_5A1!P90*1000+Ajuste_T_Iniciativas1eraNDC_5CN!S6*1000</f>
        <v>3305.0830299999998</v>
      </c>
      <c r="S7" s="7">
        <f>T_5A1!Q90*1000+Ajuste_T_Iniciativas1eraNDC_5CN!T6*1000</f>
        <v>3461.69616</v>
      </c>
      <c r="T7" s="7">
        <f>T_5A1!R90*1000+Ajuste_T_Iniciativas1eraNDC_5CN!U6*1000</f>
        <v>3845.1912000000002</v>
      </c>
      <c r="U7" s="7">
        <f>T_5A1!S90*1000+Ajuste_T_Iniciativas1eraNDC_5CN!V6*1000</f>
        <v>4261.9660400000002</v>
      </c>
      <c r="V7" s="7">
        <f>T_5A1!T90*1000+Ajuste_T_Iniciativas1eraNDC_5CN!W6*1000</f>
        <v>4712.6964799999996</v>
      </c>
      <c r="W7" s="7">
        <f>T_5A1!U90*1000+Ajuste_T_Iniciativas1eraNDC_5CN!X6*1000</f>
        <v>5163.1787199999999</v>
      </c>
      <c r="X7" s="7">
        <f>T_5A1!V90*1000+Ajuste_T_Iniciativas1eraNDC_5CN!Y6*1000</f>
        <v>5691.0697199999995</v>
      </c>
      <c r="Y7" s="7">
        <f>T_5A1!W90*1000+Ajuste_T_Iniciativas1eraNDC_5CN!Z6*1000</f>
        <v>6259.47336</v>
      </c>
      <c r="Z7" s="7">
        <f>T_5A1!X90*1000+Ajuste_T_Iniciativas1eraNDC_5CN!AA6*1000</f>
        <v>6870.4501599999994</v>
      </c>
      <c r="AA7" s="7">
        <f>T_5A1!Y90*1000+Ajuste_T_Iniciativas1eraNDC_5CN!AB6*1000</f>
        <v>7536.8412000000008</v>
      </c>
      <c r="AB7" s="7">
        <f>T_5A1!Z90*1000+Ajuste_T_Iniciativas1eraNDC_5CN!AC6*1000</f>
        <v>8058.268399999999</v>
      </c>
      <c r="AC7" s="7">
        <f>T_5A1!AA90*1000+Ajuste_T_Iniciativas1eraNDC_5CN!AD6*1000</f>
        <v>8618.0732400000015</v>
      </c>
      <c r="AD7" s="7">
        <f>T_5A1!AB90*1000+Ajuste_T_Iniciativas1eraNDC_5CN!AE6*1000</f>
        <v>9205.2732799999994</v>
      </c>
      <c r="AE7" s="7">
        <f>T_5A1!AC90*1000+Ajuste_T_Iniciativas1eraNDC_5CN!AF6*1000</f>
        <v>9832.9097999999994</v>
      </c>
      <c r="AF7" s="7">
        <f>T_5A1!AD90*1000+Ajuste_T_Iniciativas1eraNDC_5CN!AG6*1000</f>
        <v>10502.094959999999</v>
      </c>
    </row>
    <row r="8" spans="5:32" x14ac:dyDescent="0.3">
      <c r="E8" s="3" t="s">
        <v>38</v>
      </c>
      <c r="F8" s="3" t="s">
        <v>271</v>
      </c>
      <c r="G8" s="7">
        <f>T_5A2!E56*1000</f>
        <v>806.15385000000003</v>
      </c>
      <c r="H8" s="7">
        <f>T_5A2!F56*1000</f>
        <v>843.58052000000021</v>
      </c>
      <c r="I8" s="7">
        <f>T_5A2!G56*1000</f>
        <v>881.17351999999994</v>
      </c>
      <c r="J8" s="7">
        <f>T_5A2!H56*1000</f>
        <v>1020.9232</v>
      </c>
      <c r="K8" s="7">
        <f>T_5A2!I56*1000</f>
        <v>1160.85841</v>
      </c>
      <c r="L8" s="7">
        <f>T_5A2!J56*1000</f>
        <v>926.80170000000021</v>
      </c>
      <c r="M8" s="7">
        <f>T_5A2!K56*1000</f>
        <v>692.75695999999994</v>
      </c>
      <c r="N8" s="7">
        <f>T_5A2!L56*1000</f>
        <v>596.70115999999996</v>
      </c>
      <c r="O8" s="7">
        <f>T_5A2!M56*1000</f>
        <v>500.67753999999996</v>
      </c>
      <c r="P8" s="7">
        <f>T_5A2!N56*1000</f>
        <v>520.12112000000002</v>
      </c>
      <c r="Q8" s="7">
        <f>T_5A2!O56*1000</f>
        <v>539.55027999999993</v>
      </c>
      <c r="R8" s="7">
        <f>T_5A2!P56*1000</f>
        <v>468.01265000000001</v>
      </c>
      <c r="S8" s="7">
        <f>T_5A2!Q56*1000</f>
        <v>482.72155999999995</v>
      </c>
      <c r="T8" s="7">
        <f>T_5A2!R56*1000</f>
        <v>535.48039999999992</v>
      </c>
      <c r="U8" s="7">
        <f>T_5A2!S56*1000</f>
        <v>593.01983999999993</v>
      </c>
      <c r="V8" s="7">
        <f>T_5A2!T56*1000</f>
        <v>655.18376000000001</v>
      </c>
      <c r="W8" s="7">
        <f>T_5A2!U56*1000</f>
        <v>722.37759999999992</v>
      </c>
      <c r="X8" s="7">
        <f>T_5A2!V56*1000</f>
        <v>796.28136000000006</v>
      </c>
      <c r="Y8" s="7">
        <f>T_5A2!W56*1000</f>
        <v>875.75124000000005</v>
      </c>
      <c r="Z8" s="7">
        <f>T_5A2!X56*1000</f>
        <v>961.23551999999995</v>
      </c>
      <c r="AA8" s="7">
        <f>T_5A2!Y56*1000</f>
        <v>1054.6426799999999</v>
      </c>
      <c r="AB8" s="7">
        <f>T_5A2!Z56*1000</f>
        <v>1127.4244800000001</v>
      </c>
      <c r="AC8" s="7">
        <f>T_5A2!AA56*1000</f>
        <v>1205.93508</v>
      </c>
      <c r="AD8" s="7">
        <f>T_5A2!AB56*1000</f>
        <v>1288.08456</v>
      </c>
      <c r="AE8" s="7">
        <f>T_5A2!AC56*1000</f>
        <v>1375.8905999999999</v>
      </c>
      <c r="AF8" s="7">
        <f>T_5A2!AD56*1000</f>
        <v>1469.5413599999997</v>
      </c>
    </row>
    <row r="9" spans="5:32" x14ac:dyDescent="0.3">
      <c r="E9" s="3" t="s">
        <v>334</v>
      </c>
      <c r="F9" s="3" t="s">
        <v>267</v>
      </c>
      <c r="G9" s="7">
        <f>T_Compostaje!G51*1000</f>
        <v>1.05325</v>
      </c>
      <c r="H9" s="7">
        <f>T_Compostaje!H51*1000</f>
        <v>1.2256</v>
      </c>
      <c r="I9" s="7">
        <f>T_Compostaje!I51*1000</f>
        <v>1.39795</v>
      </c>
      <c r="J9" s="7">
        <f>T_Compostaje!J51*1000</f>
        <v>4.2513000000000005</v>
      </c>
      <c r="K9" s="7">
        <f>T_Compostaje!K51*1000</f>
        <v>7.1237999999999992</v>
      </c>
      <c r="L9" s="7">
        <f>T_Compostaje!L51*1000</f>
        <v>6.1663000000000006</v>
      </c>
      <c r="M9" s="7">
        <f>T_Compostaje!M51*1000</f>
        <v>5.2087999999999992</v>
      </c>
      <c r="N9" s="7">
        <f>T_Compostaje!N51*1000</f>
        <v>5.8407499999999999</v>
      </c>
      <c r="O9" s="7">
        <f>T_Compostaje!O51*1000</f>
        <v>6.4726999999999997</v>
      </c>
      <c r="P9" s="7">
        <f>T_Compostaje!P51*1000</f>
        <v>6.7599499999999999</v>
      </c>
      <c r="Q9" s="7">
        <f>T_Compostaje!Q51*1000</f>
        <v>7.0472000000000001</v>
      </c>
      <c r="R9" s="7">
        <f>T_Compostaje!R51*1000</f>
        <v>7.3727499999999999</v>
      </c>
      <c r="S9" s="7">
        <f>T_Compostaje!S51*1000</f>
        <v>6.4535500000000008</v>
      </c>
      <c r="T9" s="7">
        <f>T_Compostaje!T51*1000</f>
        <v>6.8174000000000001</v>
      </c>
      <c r="U9" s="7">
        <f>T_Compostaje!U51*1000</f>
        <v>7.2004000000000001</v>
      </c>
      <c r="V9" s="7">
        <f>T_Compostaje!V51*1000</f>
        <v>7.5834000000000001</v>
      </c>
      <c r="W9" s="7">
        <f>T_Compostaje!W51*1000</f>
        <v>7.9855500000000008</v>
      </c>
      <c r="X9" s="7">
        <f>T_Compostaje!X51*1000</f>
        <v>8.3685500000000008</v>
      </c>
      <c r="Y9" s="7">
        <f>T_Compostaje!Y51*1000</f>
        <v>8.7898499999999995</v>
      </c>
      <c r="Z9" s="7">
        <f>T_Compostaje!Z51*1000</f>
        <v>9.1920000000000002</v>
      </c>
      <c r="AA9" s="7">
        <f>T_Compostaje!AA51*1000</f>
        <v>9.6133000000000006</v>
      </c>
      <c r="AB9" s="7">
        <f>T_Compostaje!AB51*1000</f>
        <v>9.8048000000000002</v>
      </c>
      <c r="AC9" s="7">
        <f>T_Compostaje!AC51*1000</f>
        <v>9.97715</v>
      </c>
      <c r="AD9" s="7">
        <f>T_Compostaje!AD51*1000</f>
        <v>10.168650000000001</v>
      </c>
      <c r="AE9" s="7">
        <f>T_Compostaje!AE51*1000</f>
        <v>10.360150000000001</v>
      </c>
      <c r="AF9" s="7">
        <f>T_Compostaje!AF51*1000</f>
        <v>10.55165</v>
      </c>
    </row>
    <row r="10" spans="5:32" x14ac:dyDescent="0.3">
      <c r="E10" s="3" t="s">
        <v>335</v>
      </c>
      <c r="F10" s="3" t="s">
        <v>275</v>
      </c>
      <c r="G10" s="7">
        <f>T_Incineracion!C68*1000</f>
        <v>13.366080000000002</v>
      </c>
      <c r="H10" s="7">
        <f>T_Incineracion!D68*1000</f>
        <v>13.876820000000002</v>
      </c>
      <c r="I10" s="7">
        <f>T_Incineracion!E68*1000</f>
        <v>14.481999999999999</v>
      </c>
      <c r="J10" s="7">
        <f>T_Incineracion!F68*1000</f>
        <v>14.797080000000003</v>
      </c>
      <c r="K10" s="7">
        <f>T_Incineracion!G68*1000</f>
        <v>15.23014</v>
      </c>
      <c r="L10" s="7">
        <f>T_Incineracion!H68*1000</f>
        <v>15.126720000000001</v>
      </c>
      <c r="M10" s="7">
        <f>T_Incineracion!I68*1000</f>
        <v>15.1592</v>
      </c>
      <c r="N10" s="7">
        <f>T_Incineracion!J68*1000</f>
        <v>15.327300000000001</v>
      </c>
      <c r="O10" s="7">
        <f>T_Incineracion!K68*1000</f>
        <v>15.490639999999999</v>
      </c>
      <c r="P10" s="7">
        <f>T_Incineracion!L68*1000</f>
        <v>18.624340000000004</v>
      </c>
      <c r="Q10" s="7">
        <f>T_Incineracion!M68*1000</f>
        <v>21.836020000000001</v>
      </c>
      <c r="R10" s="7">
        <f>T_Incineracion!N68*1000</f>
        <v>13.299650000000002</v>
      </c>
      <c r="S10" s="7">
        <f>T_Incineracion!O68*1000</f>
        <v>17.26474</v>
      </c>
      <c r="T10" s="7">
        <f>T_Incineracion!P68*1000</f>
        <v>18.036000000000001</v>
      </c>
      <c r="U10" s="7">
        <f>T_Incineracion!Q68*1000</f>
        <v>18.879919999999998</v>
      </c>
      <c r="V10" s="7">
        <f>T_Incineracion!R68*1000</f>
        <v>19.831979999999998</v>
      </c>
      <c r="W10" s="7">
        <f>T_Incineracion!S68*1000</f>
        <v>20.645040000000002</v>
      </c>
      <c r="X10" s="7">
        <f>T_Incineracion!T68*1000</f>
        <v>21.564699999999998</v>
      </c>
      <c r="Y10" s="7">
        <f>T_Incineracion!U68*1000</f>
        <v>22.347899999999996</v>
      </c>
      <c r="Z10" s="7">
        <f>T_Incineracion!V68*1000</f>
        <v>23.2362</v>
      </c>
      <c r="AA10" s="7">
        <f>T_Incineracion!W68*1000</f>
        <v>24.106680000000001</v>
      </c>
      <c r="AB10" s="7">
        <f>T_Incineracion!X68*1000</f>
        <v>24.375519999999998</v>
      </c>
      <c r="AC10" s="7">
        <f>T_Incineracion!Y68*1000</f>
        <v>24.638639999999995</v>
      </c>
      <c r="AD10" s="7">
        <f>T_Incineracion!Z68*1000</f>
        <v>24.896160000000005</v>
      </c>
      <c r="AE10" s="7">
        <f>T_Incineracion!AA68*1000</f>
        <v>25.148199999999999</v>
      </c>
      <c r="AF10" s="7">
        <f>T_Incineracion!AB68*1000</f>
        <v>25.392639999999997</v>
      </c>
    </row>
    <row r="11" spans="5:32" x14ac:dyDescent="0.3">
      <c r="E11" s="141" t="s">
        <v>41</v>
      </c>
      <c r="F11" s="3" t="s">
        <v>323</v>
      </c>
      <c r="G11" s="7">
        <f>T_5D1!F75*1000</f>
        <v>226.27374</v>
      </c>
      <c r="H11" s="7">
        <f>T_5D1!G75*1000</f>
        <v>257.81112000000002</v>
      </c>
      <c r="I11" s="7">
        <f>T_5D1!H75*1000</f>
        <v>291.33118000000002</v>
      </c>
      <c r="J11" s="7">
        <f>T_5D1!I75*1000</f>
        <v>294.41590000000002</v>
      </c>
      <c r="K11" s="7">
        <f>T_5D1!J75*1000</f>
        <v>297.53088000000002</v>
      </c>
      <c r="L11" s="7">
        <f>T_5D1!K75*1000</f>
        <v>301.99455</v>
      </c>
      <c r="M11" s="7">
        <f>T_5D1!L75*1000</f>
        <v>306.45251999999999</v>
      </c>
      <c r="N11" s="7">
        <f>T_5D1!M75*1000</f>
        <v>312.73237999999998</v>
      </c>
      <c r="O11" s="7">
        <f>T_5D1!N75*1000</f>
        <v>319.06263999999999</v>
      </c>
      <c r="P11" s="7">
        <f>T_5D1!O75*1000</f>
        <v>313.6508</v>
      </c>
      <c r="Q11" s="7">
        <f>T_5D1!P75*1000</f>
        <v>308.23974999999996</v>
      </c>
      <c r="R11" s="7">
        <f>T_5D1!Q75*1000</f>
        <v>316.72576000000004</v>
      </c>
      <c r="S11" s="7">
        <f>T_5D1!R75*1000</f>
        <v>313.13542000000001</v>
      </c>
      <c r="T11" s="7">
        <f>T_5D1!S75*1000</f>
        <v>344.18364000000003</v>
      </c>
      <c r="U11" s="7">
        <f>T_5D1!T75*1000</f>
        <v>376.66016999999999</v>
      </c>
      <c r="V11" s="7">
        <f>T_5D1!U75*1000</f>
        <v>381.90473999999995</v>
      </c>
      <c r="W11" s="7">
        <f>T_5D1!V75*1000</f>
        <v>403.96370999999999</v>
      </c>
      <c r="X11" s="7">
        <f>T_5D1!W75*1000</f>
        <v>482.76750000000004</v>
      </c>
      <c r="Y11" s="7">
        <f>T_5D1!X75*1000</f>
        <v>522.0394</v>
      </c>
      <c r="Z11" s="7">
        <f>T_5D1!Y75*1000</f>
        <v>562.42704000000003</v>
      </c>
      <c r="AA11" s="7">
        <f>T_5D1!Z75*1000</f>
        <v>604.26197999999999</v>
      </c>
      <c r="AB11" s="7">
        <f>T_5D1!AA75*1000</f>
        <v>648.28232999999989</v>
      </c>
      <c r="AC11" s="7">
        <f>T_5D1!AB75*1000</f>
        <v>694.39649999999995</v>
      </c>
      <c r="AD11" s="7">
        <f>T_5D1!AC75*1000</f>
        <v>742.02942999999993</v>
      </c>
      <c r="AE11" s="7">
        <f>T_5D1!AD75*1000</f>
        <v>792.04776000000015</v>
      </c>
      <c r="AF11" s="7">
        <f>T_5D1!AE75*1000</f>
        <v>843.51120000000003</v>
      </c>
    </row>
    <row r="12" spans="5:32" x14ac:dyDescent="0.3">
      <c r="E12" s="141" t="s">
        <v>41</v>
      </c>
      <c r="F12" s="3" t="s">
        <v>325</v>
      </c>
      <c r="G12" s="7">
        <f>T_5D1!F88*1000</f>
        <v>179.06059999999999</v>
      </c>
      <c r="H12" s="7">
        <f>T_5D1!G88*1000</f>
        <v>181.97554000000002</v>
      </c>
      <c r="I12" s="7">
        <f>T_5D1!H88*1000</f>
        <v>183.22479999999999</v>
      </c>
      <c r="J12" s="7">
        <f>T_5D1!I88*1000</f>
        <v>186.55616000000001</v>
      </c>
      <c r="K12" s="7">
        <f>T_5D1!J88*1000</f>
        <v>189.88751999999999</v>
      </c>
      <c r="L12" s="7">
        <f>T_5D1!K88*1000</f>
        <v>188.01363000000001</v>
      </c>
      <c r="M12" s="7">
        <f>T_5D1!L88*1000</f>
        <v>186.13973999999999</v>
      </c>
      <c r="N12" s="7">
        <f>T_5D1!M88*1000</f>
        <v>186.55616000000001</v>
      </c>
      <c r="O12" s="7">
        <f>T_5D1!N88*1000</f>
        <v>186.76437000000001</v>
      </c>
      <c r="P12" s="7">
        <f>T_5D1!O88*1000</f>
        <v>194.88456000000002</v>
      </c>
      <c r="Q12" s="7">
        <f>T_5D1!P88*1000</f>
        <v>203.21296000000004</v>
      </c>
      <c r="R12" s="7">
        <f>T_5D1!Q88*1000</f>
        <v>201.96370000000002</v>
      </c>
      <c r="S12" s="7">
        <f>T_5D1!R88*1000</f>
        <v>192.59424999999999</v>
      </c>
      <c r="T12" s="7">
        <f>T_5D1!S88*1000</f>
        <v>208.93130000000002</v>
      </c>
      <c r="U12" s="7">
        <f>T_5D1!T88*1000</f>
        <v>224.42320000000001</v>
      </c>
      <c r="V12" s="7">
        <f>T_5D1!U88*1000</f>
        <v>223.58580000000003</v>
      </c>
      <c r="W12" s="7">
        <f>T_5D1!V88*1000</f>
        <v>232.3785</v>
      </c>
      <c r="X12" s="7">
        <f>T_5D1!W88*1000</f>
        <v>272.57370000000003</v>
      </c>
      <c r="Y12" s="7">
        <f>T_5D1!X88*1000</f>
        <v>289.53104999999999</v>
      </c>
      <c r="Z12" s="7">
        <f>T_5D1!Y88*1000</f>
        <v>306.48840000000007</v>
      </c>
      <c r="AA12" s="7">
        <f>T_5D1!Z88*1000</f>
        <v>323.44575000000003</v>
      </c>
      <c r="AB12" s="7">
        <f>T_5D1!AA88*1000</f>
        <v>340.8218</v>
      </c>
      <c r="AC12" s="7">
        <f>T_5D1!AB88*1000</f>
        <v>358.61655000000002</v>
      </c>
      <c r="AD12" s="7">
        <f>T_5D1!AC88*1000</f>
        <v>376.41129999999998</v>
      </c>
      <c r="AE12" s="7">
        <f>T_5D1!AD88*1000</f>
        <v>394.62475000000001</v>
      </c>
      <c r="AF12" s="7">
        <f>T_5D1!AE88*1000</f>
        <v>412.83819999999997</v>
      </c>
    </row>
    <row r="13" spans="5:32" x14ac:dyDescent="0.3">
      <c r="E13" s="3" t="s">
        <v>44</v>
      </c>
      <c r="F13" s="3" t="s">
        <v>327</v>
      </c>
      <c r="G13" s="7">
        <f>T_5D2!F51*1000</f>
        <v>153.57999999999998</v>
      </c>
      <c r="H13" s="7">
        <f>T_5D2!G51*1000</f>
        <v>297.91999999999996</v>
      </c>
      <c r="I13" s="7">
        <f>T_5D2!H51*1000</f>
        <v>442.26</v>
      </c>
      <c r="J13" s="7">
        <f>T_5D2!I51*1000</f>
        <v>313.59999999999997</v>
      </c>
      <c r="K13" s="7">
        <f>T_5D2!J51*1000</f>
        <v>185.01</v>
      </c>
      <c r="L13" s="7">
        <f>T_5D2!K51*1000</f>
        <v>382.34000000000003</v>
      </c>
      <c r="M13" s="7">
        <f>T_5D2!L51*1000</f>
        <v>579.66999999999996</v>
      </c>
      <c r="N13" s="7">
        <f>T_5D2!M51*1000</f>
        <v>605.01</v>
      </c>
      <c r="O13" s="7">
        <f>T_5D2!N51*1000</f>
        <v>630.41999999999996</v>
      </c>
      <c r="P13" s="7">
        <f>T_5D2!O51*1000</f>
        <v>602.28000000000009</v>
      </c>
      <c r="Q13" s="7">
        <f>T_5D2!P51*1000</f>
        <v>574.21</v>
      </c>
      <c r="R13" s="7">
        <f>T_5D2!Q51*1000</f>
        <v>490.49</v>
      </c>
      <c r="S13" s="7">
        <f>T_5D2!R51*1000</f>
        <v>595.28000000000009</v>
      </c>
      <c r="T13" s="7">
        <f>T_5D2!S51*1000</f>
        <v>641.96999999999991</v>
      </c>
      <c r="U13" s="7">
        <f>T_5D2!T51*1000</f>
        <v>690.06000000000006</v>
      </c>
      <c r="V13" s="7">
        <f>T_5D2!U51*1000</f>
        <v>687.39999999999986</v>
      </c>
      <c r="W13" s="7">
        <f>T_5D2!V51*1000</f>
        <v>714.06999999999994</v>
      </c>
      <c r="X13" s="7">
        <f>T_5D2!W51*1000</f>
        <v>838.18</v>
      </c>
      <c r="Y13" s="7">
        <f>T_5D2!X51*1000</f>
        <v>890.26</v>
      </c>
      <c r="Z13" s="7">
        <f>T_5D2!Y51*1000</f>
        <v>942.27</v>
      </c>
      <c r="AA13" s="7">
        <f>T_5D2!Z51*1000</f>
        <v>994.34999999999991</v>
      </c>
      <c r="AB13" s="7">
        <f>T_5D2!AA51*1000</f>
        <v>1047.7599999999998</v>
      </c>
      <c r="AC13" s="7">
        <f>T_5D2!AB51*1000</f>
        <v>1102.4999999999998</v>
      </c>
      <c r="AD13" s="7">
        <f>T_5D2!AC51*1000</f>
        <v>1157.17</v>
      </c>
      <c r="AE13" s="7">
        <f>T_5D2!AD51*1000</f>
        <v>1213.2399999999998</v>
      </c>
      <c r="AF13" s="7">
        <f>T_5D2!AE51*1000</f>
        <v>1269.31</v>
      </c>
    </row>
    <row r="14" spans="5:32" x14ac:dyDescent="0.3"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5:32" x14ac:dyDescent="0.3"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 spans="5:32" x14ac:dyDescent="0.3">
      <c r="F16" t="s">
        <v>336</v>
      </c>
      <c r="G16" s="11">
        <f>G7+G8+G9+G10</f>
        <v>1712.94478</v>
      </c>
      <c r="H16" s="11">
        <f t="shared" ref="H16:AF16" si="0">H7+H8+H9+H10</f>
        <v>1891.5141400000002</v>
      </c>
      <c r="I16" s="11">
        <f t="shared" si="0"/>
        <v>2070.3851100000002</v>
      </c>
      <c r="J16" s="11">
        <f t="shared" si="0"/>
        <v>2269.7341799999999</v>
      </c>
      <c r="K16" s="11">
        <f t="shared" si="0"/>
        <v>2469.5628699999997</v>
      </c>
      <c r="L16" s="11">
        <f t="shared" si="0"/>
        <v>2668.2517700000003</v>
      </c>
      <c r="M16" s="11">
        <f t="shared" si="0"/>
        <v>2867.24656</v>
      </c>
      <c r="N16" s="11">
        <f t="shared" si="0"/>
        <v>3052.9036499999997</v>
      </c>
      <c r="O16" s="11">
        <f t="shared" si="0"/>
        <v>3238.7448199999999</v>
      </c>
      <c r="P16" s="11">
        <f t="shared" si="0"/>
        <v>3443.5402899999999</v>
      </c>
      <c r="Q16" s="11">
        <f t="shared" si="0"/>
        <v>3648.1706800000006</v>
      </c>
      <c r="R16" s="11">
        <f t="shared" si="0"/>
        <v>3793.7680799999998</v>
      </c>
      <c r="S16" s="11">
        <f t="shared" si="0"/>
        <v>3968.1360100000002</v>
      </c>
      <c r="T16" s="11">
        <f t="shared" si="0"/>
        <v>4405.5249999999996</v>
      </c>
      <c r="U16" s="11">
        <f t="shared" si="0"/>
        <v>4881.0662000000002</v>
      </c>
      <c r="V16" s="11">
        <f t="shared" si="0"/>
        <v>5395.2956199999999</v>
      </c>
      <c r="W16" s="11">
        <f t="shared" si="0"/>
        <v>5914.1869100000004</v>
      </c>
      <c r="X16" s="11">
        <f t="shared" si="0"/>
        <v>6517.2843299999995</v>
      </c>
      <c r="Y16" s="11">
        <f t="shared" si="0"/>
        <v>7166.3623499999994</v>
      </c>
      <c r="Z16" s="11">
        <f t="shared" si="0"/>
        <v>7864.1138799999999</v>
      </c>
      <c r="AA16" s="11">
        <f t="shared" si="0"/>
        <v>8625.2038600000014</v>
      </c>
      <c r="AB16" s="11">
        <f t="shared" si="0"/>
        <v>9219.8731999999982</v>
      </c>
      <c r="AC16" s="11">
        <f t="shared" si="0"/>
        <v>9858.6241100000007</v>
      </c>
      <c r="AD16" s="11">
        <f t="shared" si="0"/>
        <v>10528.422649999999</v>
      </c>
      <c r="AE16" s="11">
        <f t="shared" si="0"/>
        <v>11244.30875</v>
      </c>
      <c r="AF16" s="11">
        <f t="shared" si="0"/>
        <v>12007.580609999997</v>
      </c>
    </row>
    <row r="17" spans="5:32" x14ac:dyDescent="0.3">
      <c r="F17" t="s">
        <v>337</v>
      </c>
      <c r="G17" s="11">
        <f>G11+G12+G13</f>
        <v>558.91434000000004</v>
      </c>
      <c r="H17" s="11">
        <f t="shared" ref="H17:AF17" si="1">H11+H12+H13</f>
        <v>737.70666000000006</v>
      </c>
      <c r="I17" s="11">
        <f t="shared" si="1"/>
        <v>916.81597999999997</v>
      </c>
      <c r="J17" s="11">
        <f t="shared" si="1"/>
        <v>794.57205999999996</v>
      </c>
      <c r="K17" s="11">
        <f t="shared" si="1"/>
        <v>672.42840000000001</v>
      </c>
      <c r="L17" s="11">
        <f t="shared" si="1"/>
        <v>872.34818000000007</v>
      </c>
      <c r="M17" s="11">
        <f t="shared" si="1"/>
        <v>1072.26226</v>
      </c>
      <c r="N17" s="11">
        <f t="shared" si="1"/>
        <v>1104.29854</v>
      </c>
      <c r="O17" s="11">
        <f t="shared" si="1"/>
        <v>1136.24701</v>
      </c>
      <c r="P17" s="11">
        <f t="shared" si="1"/>
        <v>1110.8153600000001</v>
      </c>
      <c r="Q17" s="11">
        <f t="shared" si="1"/>
        <v>1085.6627100000001</v>
      </c>
      <c r="R17" s="11">
        <f t="shared" si="1"/>
        <v>1009.1794600000001</v>
      </c>
      <c r="S17" s="11">
        <f t="shared" si="1"/>
        <v>1101.0096700000001</v>
      </c>
      <c r="T17" s="11">
        <f t="shared" si="1"/>
        <v>1195.08494</v>
      </c>
      <c r="U17" s="11">
        <f t="shared" si="1"/>
        <v>1291.1433700000002</v>
      </c>
      <c r="V17" s="11">
        <f t="shared" si="1"/>
        <v>1292.8905399999999</v>
      </c>
      <c r="W17" s="11">
        <f t="shared" si="1"/>
        <v>1350.41221</v>
      </c>
      <c r="X17" s="11">
        <f t="shared" si="1"/>
        <v>1593.5212000000001</v>
      </c>
      <c r="Y17" s="11">
        <f t="shared" si="1"/>
        <v>1701.8304499999999</v>
      </c>
      <c r="Z17" s="11">
        <f t="shared" si="1"/>
        <v>1811.1854400000002</v>
      </c>
      <c r="AA17" s="11">
        <f t="shared" si="1"/>
        <v>1922.05773</v>
      </c>
      <c r="AB17" s="11">
        <f t="shared" si="1"/>
        <v>2036.8641299999997</v>
      </c>
      <c r="AC17" s="11">
        <f t="shared" si="1"/>
        <v>2155.5130499999996</v>
      </c>
      <c r="AD17" s="11">
        <f t="shared" si="1"/>
        <v>2275.6107299999999</v>
      </c>
      <c r="AE17" s="11">
        <f t="shared" si="1"/>
        <v>2399.9125100000001</v>
      </c>
      <c r="AF17" s="11">
        <f t="shared" si="1"/>
        <v>2525.6594</v>
      </c>
    </row>
    <row r="18" spans="5:32" x14ac:dyDescent="0.3">
      <c r="F18" s="1" t="s">
        <v>253</v>
      </c>
      <c r="G18" s="142">
        <f>G7+G8+G9+G10+G11+G12+G13</f>
        <v>2271.8591200000001</v>
      </c>
      <c r="H18" s="142">
        <f t="shared" ref="H18:AF18" si="2">H7+H8+H9+H10+H11+H12+H13</f>
        <v>2629.2208000000001</v>
      </c>
      <c r="I18" s="142">
        <f t="shared" si="2"/>
        <v>2987.2010900000005</v>
      </c>
      <c r="J18" s="142">
        <f t="shared" si="2"/>
        <v>3064.3062399999999</v>
      </c>
      <c r="K18" s="142">
        <f t="shared" si="2"/>
        <v>3141.9912700000004</v>
      </c>
      <c r="L18" s="142">
        <f t="shared" si="2"/>
        <v>3540.5999500000003</v>
      </c>
      <c r="M18" s="142">
        <f t="shared" si="2"/>
        <v>3939.50882</v>
      </c>
      <c r="N18" s="142">
        <f t="shared" si="2"/>
        <v>4157.20219</v>
      </c>
      <c r="O18" s="142">
        <f t="shared" si="2"/>
        <v>4374.9918299999999</v>
      </c>
      <c r="P18" s="142">
        <f t="shared" si="2"/>
        <v>4554.3556499999995</v>
      </c>
      <c r="Q18" s="142">
        <f t="shared" si="2"/>
        <v>4733.8333900000007</v>
      </c>
      <c r="R18" s="142">
        <f t="shared" si="2"/>
        <v>4802.9475400000001</v>
      </c>
      <c r="S18" s="142">
        <f t="shared" si="2"/>
        <v>5069.1456799999996</v>
      </c>
      <c r="T18" s="142">
        <f t="shared" si="2"/>
        <v>5600.6099400000003</v>
      </c>
      <c r="U18" s="142">
        <f t="shared" si="2"/>
        <v>6172.2095700000009</v>
      </c>
      <c r="V18" s="142">
        <f t="shared" si="2"/>
        <v>6688.1861599999993</v>
      </c>
      <c r="W18" s="142">
        <f t="shared" si="2"/>
        <v>7264.5991199999999</v>
      </c>
      <c r="X18" s="142">
        <f t="shared" si="2"/>
        <v>8110.8055299999996</v>
      </c>
      <c r="Y18" s="142">
        <f t="shared" si="2"/>
        <v>8868.1927999999989</v>
      </c>
      <c r="Z18" s="142">
        <f t="shared" si="2"/>
        <v>9675.2993200000001</v>
      </c>
      <c r="AA18" s="142">
        <f t="shared" si="2"/>
        <v>10547.261590000002</v>
      </c>
      <c r="AB18" s="142">
        <f t="shared" si="2"/>
        <v>11256.737329999998</v>
      </c>
      <c r="AC18" s="142">
        <f t="shared" si="2"/>
        <v>12014.137160000002</v>
      </c>
      <c r="AD18" s="142">
        <f t="shared" si="2"/>
        <v>12804.033379999999</v>
      </c>
      <c r="AE18" s="142">
        <f t="shared" si="2"/>
        <v>13644.22126</v>
      </c>
      <c r="AF18" s="142">
        <f t="shared" si="2"/>
        <v>14533.240009999998</v>
      </c>
    </row>
    <row r="20" spans="5:32" x14ac:dyDescent="0.3">
      <c r="E20" s="1" t="s">
        <v>338</v>
      </c>
    </row>
    <row r="22" spans="5:32" x14ac:dyDescent="0.3">
      <c r="E22" s="3" t="s">
        <v>332</v>
      </c>
      <c r="F22" s="3" t="s">
        <v>333</v>
      </c>
      <c r="G22" s="3">
        <v>2010</v>
      </c>
      <c r="H22" s="3">
        <v>2011</v>
      </c>
      <c r="I22" s="3">
        <v>2012</v>
      </c>
      <c r="J22" s="3">
        <v>2013</v>
      </c>
      <c r="K22" s="3">
        <v>2014</v>
      </c>
      <c r="L22" s="3">
        <v>2015</v>
      </c>
      <c r="M22" s="3">
        <v>2016</v>
      </c>
      <c r="N22" s="3">
        <v>2017</v>
      </c>
      <c r="O22" s="3">
        <v>2018</v>
      </c>
      <c r="P22" s="3">
        <v>2019</v>
      </c>
      <c r="Q22" s="3">
        <v>2020</v>
      </c>
      <c r="R22" s="3">
        <v>2021</v>
      </c>
      <c r="S22" s="3">
        <v>2022</v>
      </c>
      <c r="T22" s="3">
        <v>2023</v>
      </c>
      <c r="U22" s="3">
        <v>2024</v>
      </c>
      <c r="V22" s="3">
        <v>2025</v>
      </c>
      <c r="W22" s="3">
        <v>2026</v>
      </c>
      <c r="X22" s="3">
        <v>2027</v>
      </c>
      <c r="Y22" s="3">
        <v>2028</v>
      </c>
      <c r="Z22" s="3">
        <v>2029</v>
      </c>
      <c r="AA22" s="3">
        <v>2030</v>
      </c>
      <c r="AB22" s="3">
        <v>2031</v>
      </c>
      <c r="AC22" s="3">
        <v>2032</v>
      </c>
      <c r="AD22" s="3">
        <v>2033</v>
      </c>
      <c r="AE22" s="3">
        <v>2034</v>
      </c>
      <c r="AF22" s="3">
        <v>2035</v>
      </c>
    </row>
    <row r="23" spans="5:32" x14ac:dyDescent="0.3">
      <c r="E23" s="3" t="s">
        <v>35</v>
      </c>
      <c r="F23" s="3" t="s">
        <v>269</v>
      </c>
      <c r="G23" s="7">
        <f>T_5A1!E91*1000</f>
        <v>0</v>
      </c>
      <c r="H23" s="7">
        <f>T_5A1!F91*1000</f>
        <v>0</v>
      </c>
      <c r="I23" s="7">
        <f>T_5A1!G91*1000</f>
        <v>0</v>
      </c>
      <c r="J23" s="7">
        <f>T_5A1!H91*1000</f>
        <v>0</v>
      </c>
      <c r="K23" s="7">
        <f>T_5A1!I91*1000</f>
        <v>0</v>
      </c>
      <c r="L23" s="7">
        <f>T_5A1!J91*1000</f>
        <v>0</v>
      </c>
      <c r="M23" s="7">
        <f>T_5A1!K91*1000</f>
        <v>0</v>
      </c>
      <c r="N23" s="7">
        <f>T_5A1!L91*1000</f>
        <v>0</v>
      </c>
      <c r="O23" s="7">
        <f>T_5A1!M91*1000</f>
        <v>0</v>
      </c>
      <c r="P23" s="7">
        <f>T_5A1!N91*1000</f>
        <v>0</v>
      </c>
      <c r="Q23" s="7">
        <f>T_5A1!O91*1000</f>
        <v>0</v>
      </c>
      <c r="R23" s="7">
        <f>T_5A1!P91*1000</f>
        <v>0</v>
      </c>
      <c r="S23" s="7">
        <f>T_5A1!Q91*1000</f>
        <v>0</v>
      </c>
      <c r="T23" s="7">
        <f>T_5A1!R91*1000</f>
        <v>0</v>
      </c>
      <c r="U23" s="7">
        <f>T_5A1!S91*1000</f>
        <v>0</v>
      </c>
      <c r="V23" s="7">
        <f>T_5A1!T91*1000</f>
        <v>0</v>
      </c>
      <c r="W23" s="7">
        <f>T_5A1!U91*1000</f>
        <v>0</v>
      </c>
      <c r="X23" s="7">
        <f>T_5A1!V91*1000</f>
        <v>0</v>
      </c>
      <c r="Y23" s="7">
        <f>T_5A1!W91*1000</f>
        <v>0</v>
      </c>
      <c r="Z23" s="7">
        <f>T_5A1!X91*1000</f>
        <v>0</v>
      </c>
      <c r="AA23" s="7">
        <f>T_5A1!Y91*1000</f>
        <v>0</v>
      </c>
      <c r="AB23" s="7">
        <f>T_5A1!Z91*1000</f>
        <v>0</v>
      </c>
      <c r="AC23" s="7">
        <f>T_5A1!AA91*1000</f>
        <v>0</v>
      </c>
      <c r="AD23" s="7">
        <f>T_5A1!AB91*1000</f>
        <v>0</v>
      </c>
      <c r="AE23" s="7">
        <f>T_5A1!AC91*1000</f>
        <v>0</v>
      </c>
      <c r="AF23" s="7">
        <f>T_5A1!AD91*1000</f>
        <v>0</v>
      </c>
    </row>
    <row r="24" spans="5:32" x14ac:dyDescent="0.3">
      <c r="E24" s="3" t="s">
        <v>38</v>
      </c>
      <c r="F24" s="3" t="s">
        <v>271</v>
      </c>
      <c r="G24" s="7">
        <f>T_5A2!E57*1000</f>
        <v>0</v>
      </c>
      <c r="H24" s="7">
        <f>T_5A2!F57*1000</f>
        <v>0</v>
      </c>
      <c r="I24" s="7">
        <f>T_5A2!G57*1000</f>
        <v>0</v>
      </c>
      <c r="J24" s="7">
        <f>T_5A2!H57*1000</f>
        <v>0</v>
      </c>
      <c r="K24" s="7">
        <f>T_5A2!I57*1000</f>
        <v>0</v>
      </c>
      <c r="L24" s="7">
        <f>T_5A2!J57*1000</f>
        <v>0</v>
      </c>
      <c r="M24" s="7">
        <f>T_5A2!K57*1000</f>
        <v>0</v>
      </c>
      <c r="N24" s="7">
        <f>T_5A2!L57*1000</f>
        <v>0</v>
      </c>
      <c r="O24" s="7">
        <f>T_5A2!M57*1000</f>
        <v>0</v>
      </c>
      <c r="P24" s="7">
        <f>T_5A2!N57*1000</f>
        <v>0</v>
      </c>
      <c r="Q24" s="7">
        <f>T_5A2!O57*1000</f>
        <v>0</v>
      </c>
      <c r="R24" s="7">
        <f>T_5A2!P57*1000</f>
        <v>0</v>
      </c>
      <c r="S24" s="7">
        <f>T_5A2!Q57*1000</f>
        <v>0</v>
      </c>
      <c r="T24" s="7">
        <f>T_5A2!R57*1000</f>
        <v>0</v>
      </c>
      <c r="U24" s="7">
        <f>T_5A2!S57*1000</f>
        <v>0</v>
      </c>
      <c r="V24" s="7">
        <f>T_5A2!T57*1000</f>
        <v>0</v>
      </c>
      <c r="W24" s="7">
        <f>T_5A2!U57*1000</f>
        <v>0</v>
      </c>
      <c r="X24" s="7">
        <f>T_5A2!V57*1000</f>
        <v>0</v>
      </c>
      <c r="Y24" s="7">
        <f>T_5A2!W57*1000</f>
        <v>0</v>
      </c>
      <c r="Z24" s="7">
        <f>T_5A2!X57*1000</f>
        <v>0</v>
      </c>
      <c r="AA24" s="7">
        <f>T_5A2!Y57*1000</f>
        <v>0</v>
      </c>
      <c r="AB24" s="7">
        <f>T_5A2!Z57*1000</f>
        <v>0</v>
      </c>
      <c r="AC24" s="7">
        <f>T_5A2!AA57*1000</f>
        <v>0</v>
      </c>
      <c r="AD24" s="7">
        <f>T_5A2!AB57*1000</f>
        <v>0</v>
      </c>
      <c r="AE24" s="7">
        <f>T_5A2!AC57*1000</f>
        <v>0</v>
      </c>
      <c r="AF24" s="7">
        <f>T_5A2!AD57*1000</f>
        <v>0</v>
      </c>
    </row>
    <row r="25" spans="5:32" x14ac:dyDescent="0.3">
      <c r="E25" s="3" t="s">
        <v>334</v>
      </c>
      <c r="F25" s="3" t="s">
        <v>267</v>
      </c>
      <c r="G25" s="7">
        <f>T_Compostaje!G52*1000</f>
        <v>0</v>
      </c>
      <c r="H25" s="7">
        <f>T_Compostaje!H52*1000</f>
        <v>0</v>
      </c>
      <c r="I25" s="7">
        <f>T_Compostaje!I52*1000</f>
        <v>0</v>
      </c>
      <c r="J25" s="7">
        <f>T_Compostaje!J52*1000</f>
        <v>0</v>
      </c>
      <c r="K25" s="7">
        <f>T_Compostaje!K52*1000</f>
        <v>0</v>
      </c>
      <c r="L25" s="7">
        <f>T_Compostaje!L52*1000</f>
        <v>0</v>
      </c>
      <c r="M25" s="7">
        <f>T_Compostaje!M52*1000</f>
        <v>0</v>
      </c>
      <c r="N25" s="7">
        <f>T_Compostaje!N52*1000</f>
        <v>0</v>
      </c>
      <c r="O25" s="7">
        <f>T_Compostaje!O52*1000</f>
        <v>0</v>
      </c>
      <c r="P25" s="7">
        <f>T_Compostaje!P52*1000</f>
        <v>0</v>
      </c>
      <c r="Q25" s="7">
        <f>T_Compostaje!Q52*1000</f>
        <v>0</v>
      </c>
      <c r="R25" s="7">
        <f>T_Compostaje!R52*1000</f>
        <v>0</v>
      </c>
      <c r="S25" s="7">
        <f>T_Compostaje!S52*1000</f>
        <v>0</v>
      </c>
      <c r="T25" s="7">
        <f>T_Compostaje!T52*1000</f>
        <v>0</v>
      </c>
      <c r="U25" s="7">
        <f>T_Compostaje!U52*1000</f>
        <v>0</v>
      </c>
      <c r="V25" s="7">
        <f>T_Compostaje!V52*1000</f>
        <v>0</v>
      </c>
      <c r="W25" s="7">
        <f>T_Compostaje!W52*1000</f>
        <v>0</v>
      </c>
      <c r="X25" s="7">
        <f>T_Compostaje!X52*1000</f>
        <v>0</v>
      </c>
      <c r="Y25" s="7">
        <f>T_Compostaje!Y52*1000</f>
        <v>0</v>
      </c>
      <c r="Z25" s="7">
        <f>T_Compostaje!Z52*1000</f>
        <v>0</v>
      </c>
      <c r="AA25" s="7">
        <f>T_Compostaje!AA52*1000</f>
        <v>0</v>
      </c>
      <c r="AB25" s="7">
        <f>T_Compostaje!AB52*1000</f>
        <v>0</v>
      </c>
      <c r="AC25" s="7">
        <f>T_Compostaje!AC52*1000</f>
        <v>0</v>
      </c>
      <c r="AD25" s="7">
        <f>T_Compostaje!AD52*1000</f>
        <v>0</v>
      </c>
      <c r="AE25" s="7">
        <f>T_Compostaje!AE52*1000</f>
        <v>0</v>
      </c>
      <c r="AF25" s="7">
        <f>T_Compostaje!AF52*1000</f>
        <v>0</v>
      </c>
    </row>
    <row r="26" spans="5:32" x14ac:dyDescent="0.3">
      <c r="E26" s="3" t="s">
        <v>335</v>
      </c>
      <c r="F26" s="3" t="s">
        <v>275</v>
      </c>
      <c r="G26" s="7">
        <f>T_Incineracion!C69*1000</f>
        <v>13.18135</v>
      </c>
      <c r="H26" s="7">
        <f>T_Incineracion!D69*1000</f>
        <v>13.680880000000002</v>
      </c>
      <c r="I26" s="7">
        <f>T_Incineracion!E69*1000</f>
        <v>14.27192</v>
      </c>
      <c r="J26" s="7">
        <f>T_Incineracion!F69*1000</f>
        <v>14.578920000000002</v>
      </c>
      <c r="K26" s="7">
        <f>T_Incineracion!G69*1000</f>
        <v>15.000749999999998</v>
      </c>
      <c r="L26" s="7">
        <f>T_Incineracion!H69*1000</f>
        <v>14.90048</v>
      </c>
      <c r="M26" s="7">
        <f>T_Incineracion!I69*1000</f>
        <v>14.931839999999999</v>
      </c>
      <c r="N26" s="7">
        <f>T_Incineracion!J69*1000</f>
        <v>15.095880000000001</v>
      </c>
      <c r="O26" s="7">
        <f>T_Incineracion!K69*1000</f>
        <v>15.256319999999999</v>
      </c>
      <c r="P26" s="7">
        <f>T_Incineracion!L69*1000</f>
        <v>18.284590000000005</v>
      </c>
      <c r="Q26" s="7">
        <f>T_Incineracion!M69*1000</f>
        <v>21.368959999999998</v>
      </c>
      <c r="R26" s="7">
        <f>T_Incineracion!N69*1000</f>
        <v>13.092170000000001</v>
      </c>
      <c r="S26" s="7">
        <f>T_Incineracion!O69*1000</f>
        <v>16.940049999999999</v>
      </c>
      <c r="T26" s="7">
        <f>T_Incineracion!P69*1000</f>
        <v>17.654399999999999</v>
      </c>
      <c r="U26" s="7">
        <f>T_Incineracion!Q69*1000</f>
        <v>18.477119999999999</v>
      </c>
      <c r="V26" s="7">
        <f>T_Incineracion!R69*1000</f>
        <v>19.405330000000003</v>
      </c>
      <c r="W26" s="7">
        <f>T_Incineracion!S69*1000</f>
        <v>20.197189999999999</v>
      </c>
      <c r="X26" s="7">
        <f>T_Incineracion!T69*1000</f>
        <v>21.093</v>
      </c>
      <c r="Y26" s="7">
        <f>T_Incineracion!U69*1000</f>
        <v>21.855</v>
      </c>
      <c r="Z26" s="7">
        <f>T_Incineracion!V69*1000</f>
        <v>22.719450000000002</v>
      </c>
      <c r="AA26" s="7">
        <f>T_Incineracion!W69*1000</f>
        <v>23.566080000000003</v>
      </c>
      <c r="AB26" s="7">
        <f>T_Incineracion!X69*1000</f>
        <v>23.82432</v>
      </c>
      <c r="AC26" s="7">
        <f>T_Incineracion!Y69*1000</f>
        <v>24.076839999999997</v>
      </c>
      <c r="AD26" s="7">
        <f>T_Incineracion!Z69*1000</f>
        <v>24.323760000000004</v>
      </c>
      <c r="AE26" s="7">
        <f>T_Incineracion!AA69*1000</f>
        <v>24.565199999999997</v>
      </c>
      <c r="AF26" s="7">
        <f>T_Incineracion!AB69*1000</f>
        <v>24.799039999999998</v>
      </c>
    </row>
    <row r="27" spans="5:32" x14ac:dyDescent="0.3">
      <c r="E27" s="141" t="s">
        <v>41</v>
      </c>
      <c r="F27" s="3" t="s">
        <v>323</v>
      </c>
      <c r="G27" s="7">
        <f>T_5D1!F76*1000</f>
        <v>0</v>
      </c>
      <c r="H27" s="7">
        <f>T_5D1!G76*1000</f>
        <v>0</v>
      </c>
      <c r="I27" s="7">
        <f>T_5D1!H76*1000</f>
        <v>0</v>
      </c>
      <c r="J27" s="7">
        <f>T_5D1!I76*1000</f>
        <v>0</v>
      </c>
      <c r="K27" s="7">
        <f>T_5D1!J76*1000</f>
        <v>0</v>
      </c>
      <c r="L27" s="7">
        <f>T_5D1!K76*1000</f>
        <v>0</v>
      </c>
      <c r="M27" s="7">
        <f>T_5D1!L76*1000</f>
        <v>0</v>
      </c>
      <c r="N27" s="7">
        <f>T_5D1!M76*1000</f>
        <v>0</v>
      </c>
      <c r="O27" s="7">
        <f>T_5D1!N76*1000</f>
        <v>0</v>
      </c>
      <c r="P27" s="7">
        <f>T_5D1!O76*1000</f>
        <v>0</v>
      </c>
      <c r="Q27" s="7">
        <f>T_5D1!P76*1000</f>
        <v>0</v>
      </c>
      <c r="R27" s="7">
        <f>T_5D1!Q76*1000</f>
        <v>0</v>
      </c>
      <c r="S27" s="7">
        <f>T_5D1!R76*1000</f>
        <v>0</v>
      </c>
      <c r="T27" s="7">
        <f>T_5D1!S76*1000</f>
        <v>0</v>
      </c>
      <c r="U27" s="7">
        <f>T_5D1!T76*1000</f>
        <v>0</v>
      </c>
      <c r="V27" s="7">
        <f>T_5D1!U76*1000</f>
        <v>0</v>
      </c>
      <c r="W27" s="7">
        <f>T_5D1!V76*1000</f>
        <v>0</v>
      </c>
      <c r="X27" s="7">
        <f>T_5D1!W76*1000</f>
        <v>0</v>
      </c>
      <c r="Y27" s="7">
        <f>T_5D1!X76*1000</f>
        <v>0</v>
      </c>
      <c r="Z27" s="7">
        <f>T_5D1!Y76*1000</f>
        <v>0</v>
      </c>
      <c r="AA27" s="7">
        <f>T_5D1!Z76*1000</f>
        <v>0</v>
      </c>
      <c r="AB27" s="7">
        <f>T_5D1!AA76*1000</f>
        <v>0</v>
      </c>
      <c r="AC27" s="7">
        <f>T_5D1!AB76*1000</f>
        <v>0</v>
      </c>
      <c r="AD27" s="7">
        <f>T_5D1!AC76*1000</f>
        <v>0</v>
      </c>
      <c r="AE27" s="7">
        <f>T_5D1!AD76*1000</f>
        <v>0</v>
      </c>
      <c r="AF27" s="7">
        <f>T_5D1!AE76*1000</f>
        <v>0</v>
      </c>
    </row>
    <row r="28" spans="5:32" x14ac:dyDescent="0.3">
      <c r="E28" s="141" t="s">
        <v>41</v>
      </c>
      <c r="F28" s="3" t="s">
        <v>325</v>
      </c>
      <c r="G28" s="7">
        <f>T_5D1!F89*1000</f>
        <v>0</v>
      </c>
      <c r="H28" s="7">
        <f>T_5D1!G89*1000</f>
        <v>0</v>
      </c>
      <c r="I28" s="7">
        <f>T_5D1!H89*1000</f>
        <v>0</v>
      </c>
      <c r="J28" s="7">
        <f>T_5D1!I89*1000</f>
        <v>0</v>
      </c>
      <c r="K28" s="7">
        <f>T_5D1!J89*1000</f>
        <v>0</v>
      </c>
      <c r="L28" s="7">
        <f>T_5D1!K89*1000</f>
        <v>0</v>
      </c>
      <c r="M28" s="7">
        <f>T_5D1!L89*1000</f>
        <v>0</v>
      </c>
      <c r="N28" s="7">
        <f>T_5D1!M89*1000</f>
        <v>0</v>
      </c>
      <c r="O28" s="7">
        <f>T_5D1!N89*1000</f>
        <v>0</v>
      </c>
      <c r="P28" s="7">
        <f>T_5D1!O89*1000</f>
        <v>0</v>
      </c>
      <c r="Q28" s="7">
        <f>T_5D1!P89*1000</f>
        <v>0</v>
      </c>
      <c r="R28" s="7">
        <f>T_5D1!Q89*1000</f>
        <v>0</v>
      </c>
      <c r="S28" s="7">
        <f>T_5D1!R89*1000</f>
        <v>0</v>
      </c>
      <c r="T28" s="7">
        <f>T_5D1!S89*1000</f>
        <v>0</v>
      </c>
      <c r="U28" s="7">
        <f>T_5D1!T89*1000</f>
        <v>0</v>
      </c>
      <c r="V28" s="7">
        <f>T_5D1!U89*1000</f>
        <v>0</v>
      </c>
      <c r="W28" s="7">
        <f>T_5D1!V89*1000</f>
        <v>0</v>
      </c>
      <c r="X28" s="7">
        <f>T_5D1!W89*1000</f>
        <v>0</v>
      </c>
      <c r="Y28" s="7">
        <f>T_5D1!X89*1000</f>
        <v>0</v>
      </c>
      <c r="Z28" s="7">
        <f>T_5D1!Y89*1000</f>
        <v>0</v>
      </c>
      <c r="AA28" s="7">
        <f>T_5D1!Z89*1000</f>
        <v>0</v>
      </c>
      <c r="AB28" s="7">
        <f>T_5D1!AA89*1000</f>
        <v>0</v>
      </c>
      <c r="AC28" s="7">
        <f>T_5D1!AB89*1000</f>
        <v>0</v>
      </c>
      <c r="AD28" s="7">
        <f>T_5D1!AC89*1000</f>
        <v>0</v>
      </c>
      <c r="AE28" s="7">
        <f>T_5D1!AD89*1000</f>
        <v>0</v>
      </c>
      <c r="AF28" s="7">
        <f>T_5D1!AE89*1000</f>
        <v>0</v>
      </c>
    </row>
    <row r="29" spans="5:32" x14ac:dyDescent="0.3">
      <c r="E29" s="3" t="s">
        <v>44</v>
      </c>
      <c r="F29" s="3" t="s">
        <v>327</v>
      </c>
      <c r="G29" s="7">
        <f>T_5D2!F52*1000</f>
        <v>0</v>
      </c>
      <c r="H29" s="7">
        <f>T_5D2!G52*1000</f>
        <v>0</v>
      </c>
      <c r="I29" s="7">
        <f>T_5D2!H52*1000</f>
        <v>0</v>
      </c>
      <c r="J29" s="7">
        <f>T_5D2!I52*1000</f>
        <v>0</v>
      </c>
      <c r="K29" s="7">
        <f>T_5D2!J52*1000</f>
        <v>0</v>
      </c>
      <c r="L29" s="7">
        <f>T_5D2!K52*1000</f>
        <v>0</v>
      </c>
      <c r="M29" s="7">
        <f>T_5D2!L52*1000</f>
        <v>0</v>
      </c>
      <c r="N29" s="7">
        <f>T_5D2!M52*1000</f>
        <v>0</v>
      </c>
      <c r="O29" s="7">
        <f>T_5D2!N52*1000</f>
        <v>0</v>
      </c>
      <c r="P29" s="7">
        <f>T_5D2!O52*1000</f>
        <v>0</v>
      </c>
      <c r="Q29" s="7">
        <f>T_5D2!P52*1000</f>
        <v>0</v>
      </c>
      <c r="R29" s="7">
        <f>T_5D2!Q52*1000</f>
        <v>0</v>
      </c>
      <c r="S29" s="7">
        <f>T_5D2!R52*1000</f>
        <v>0</v>
      </c>
      <c r="T29" s="7">
        <f>T_5D2!S52*1000</f>
        <v>0</v>
      </c>
      <c r="U29" s="7">
        <f>T_5D2!T52*1000</f>
        <v>0</v>
      </c>
      <c r="V29" s="7">
        <f>T_5D2!U52*1000</f>
        <v>0</v>
      </c>
      <c r="W29" s="7">
        <f>T_5D2!V52*1000</f>
        <v>0</v>
      </c>
      <c r="X29" s="7">
        <f>T_5D2!W52*1000</f>
        <v>0</v>
      </c>
      <c r="Y29" s="7">
        <f>T_5D2!X52*1000</f>
        <v>0</v>
      </c>
      <c r="Z29" s="7">
        <f>T_5D2!Y52*1000</f>
        <v>0</v>
      </c>
      <c r="AA29" s="7">
        <f>T_5D2!Z52*1000</f>
        <v>0</v>
      </c>
      <c r="AB29" s="7">
        <f>T_5D2!AA52*1000</f>
        <v>0</v>
      </c>
      <c r="AC29" s="7">
        <f>T_5D2!AB52*1000</f>
        <v>0</v>
      </c>
      <c r="AD29" s="7">
        <f>T_5D2!AC52*1000</f>
        <v>0</v>
      </c>
      <c r="AE29" s="7">
        <f>T_5D2!AD52*1000</f>
        <v>0</v>
      </c>
      <c r="AF29" s="7">
        <f>T_5D2!AE52*1000</f>
        <v>0</v>
      </c>
    </row>
    <row r="30" spans="5:32" x14ac:dyDescent="0.3"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</row>
    <row r="31" spans="5:32" x14ac:dyDescent="0.3"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</row>
    <row r="32" spans="5:32" x14ac:dyDescent="0.3">
      <c r="F32" t="s">
        <v>336</v>
      </c>
      <c r="G32" s="11">
        <f>G23+G24+G25+G26</f>
        <v>13.18135</v>
      </c>
      <c r="H32" s="11">
        <f t="shared" ref="H32:AF32" si="3">H23+H24+H25+H26</f>
        <v>13.680880000000002</v>
      </c>
      <c r="I32" s="11">
        <f t="shared" si="3"/>
        <v>14.27192</v>
      </c>
      <c r="J32" s="11">
        <f t="shared" si="3"/>
        <v>14.578920000000002</v>
      </c>
      <c r="K32" s="11">
        <f t="shared" si="3"/>
        <v>15.000749999999998</v>
      </c>
      <c r="L32" s="11">
        <f t="shared" si="3"/>
        <v>14.90048</v>
      </c>
      <c r="M32" s="11">
        <f t="shared" si="3"/>
        <v>14.931839999999999</v>
      </c>
      <c r="N32" s="11">
        <f t="shared" si="3"/>
        <v>15.095880000000001</v>
      </c>
      <c r="O32" s="11">
        <f t="shared" si="3"/>
        <v>15.256319999999999</v>
      </c>
      <c r="P32" s="11">
        <f t="shared" si="3"/>
        <v>18.284590000000005</v>
      </c>
      <c r="Q32" s="11">
        <f t="shared" si="3"/>
        <v>21.368959999999998</v>
      </c>
      <c r="R32" s="11">
        <f t="shared" si="3"/>
        <v>13.092170000000001</v>
      </c>
      <c r="S32" s="11">
        <f t="shared" si="3"/>
        <v>16.940049999999999</v>
      </c>
      <c r="T32" s="11">
        <f t="shared" si="3"/>
        <v>17.654399999999999</v>
      </c>
      <c r="U32" s="11">
        <f t="shared" si="3"/>
        <v>18.477119999999999</v>
      </c>
      <c r="V32" s="11">
        <f t="shared" si="3"/>
        <v>19.405330000000003</v>
      </c>
      <c r="W32" s="11">
        <f t="shared" si="3"/>
        <v>20.197189999999999</v>
      </c>
      <c r="X32" s="11">
        <f t="shared" si="3"/>
        <v>21.093</v>
      </c>
      <c r="Y32" s="11">
        <f t="shared" si="3"/>
        <v>21.855</v>
      </c>
      <c r="Z32" s="11">
        <f t="shared" si="3"/>
        <v>22.719450000000002</v>
      </c>
      <c r="AA32" s="11">
        <f t="shared" si="3"/>
        <v>23.566080000000003</v>
      </c>
      <c r="AB32" s="11">
        <f t="shared" si="3"/>
        <v>23.82432</v>
      </c>
      <c r="AC32" s="11">
        <f t="shared" si="3"/>
        <v>24.076839999999997</v>
      </c>
      <c r="AD32" s="11">
        <f t="shared" si="3"/>
        <v>24.323760000000004</v>
      </c>
      <c r="AE32" s="11">
        <f t="shared" si="3"/>
        <v>24.565199999999997</v>
      </c>
      <c r="AF32" s="11">
        <f t="shared" si="3"/>
        <v>24.799039999999998</v>
      </c>
    </row>
    <row r="33" spans="5:32" x14ac:dyDescent="0.3">
      <c r="F33" t="s">
        <v>337</v>
      </c>
      <c r="G33" s="11">
        <f>G27+G28+G29</f>
        <v>0</v>
      </c>
      <c r="H33" s="11">
        <f t="shared" ref="H33:AF33" si="4">H27+H28+H29</f>
        <v>0</v>
      </c>
      <c r="I33" s="11">
        <f t="shared" si="4"/>
        <v>0</v>
      </c>
      <c r="J33" s="11">
        <f t="shared" si="4"/>
        <v>0</v>
      </c>
      <c r="K33" s="11">
        <f t="shared" si="4"/>
        <v>0</v>
      </c>
      <c r="L33" s="11">
        <f t="shared" si="4"/>
        <v>0</v>
      </c>
      <c r="M33" s="11">
        <f t="shared" si="4"/>
        <v>0</v>
      </c>
      <c r="N33" s="11">
        <f t="shared" si="4"/>
        <v>0</v>
      </c>
      <c r="O33" s="11">
        <f t="shared" si="4"/>
        <v>0</v>
      </c>
      <c r="P33" s="11">
        <f t="shared" si="4"/>
        <v>0</v>
      </c>
      <c r="Q33" s="11">
        <f t="shared" si="4"/>
        <v>0</v>
      </c>
      <c r="R33" s="11">
        <f t="shared" si="4"/>
        <v>0</v>
      </c>
      <c r="S33" s="11">
        <f t="shared" si="4"/>
        <v>0</v>
      </c>
      <c r="T33" s="11">
        <f t="shared" si="4"/>
        <v>0</v>
      </c>
      <c r="U33" s="11">
        <f t="shared" si="4"/>
        <v>0</v>
      </c>
      <c r="V33" s="11">
        <f t="shared" si="4"/>
        <v>0</v>
      </c>
      <c r="W33" s="11">
        <f t="shared" si="4"/>
        <v>0</v>
      </c>
      <c r="X33" s="11">
        <f t="shared" si="4"/>
        <v>0</v>
      </c>
      <c r="Y33" s="11">
        <f t="shared" si="4"/>
        <v>0</v>
      </c>
      <c r="Z33" s="11">
        <f t="shared" si="4"/>
        <v>0</v>
      </c>
      <c r="AA33" s="11">
        <f t="shared" si="4"/>
        <v>0</v>
      </c>
      <c r="AB33" s="11">
        <f t="shared" si="4"/>
        <v>0</v>
      </c>
      <c r="AC33" s="11">
        <f t="shared" si="4"/>
        <v>0</v>
      </c>
      <c r="AD33" s="11">
        <f t="shared" si="4"/>
        <v>0</v>
      </c>
      <c r="AE33" s="11">
        <f t="shared" si="4"/>
        <v>0</v>
      </c>
      <c r="AF33" s="11">
        <f t="shared" si="4"/>
        <v>0</v>
      </c>
    </row>
    <row r="34" spans="5:32" x14ac:dyDescent="0.3">
      <c r="F34" t="s">
        <v>253</v>
      </c>
      <c r="G34" s="11">
        <f>G23+G24+G25+G26+G27+G28+G29</f>
        <v>13.18135</v>
      </c>
      <c r="H34" s="11">
        <f t="shared" ref="H34:AF34" si="5">H23+H24+H25+H26+H27+H28+H29</f>
        <v>13.680880000000002</v>
      </c>
      <c r="I34" s="11">
        <f t="shared" si="5"/>
        <v>14.27192</v>
      </c>
      <c r="J34" s="11">
        <f t="shared" si="5"/>
        <v>14.578920000000002</v>
      </c>
      <c r="K34" s="11">
        <f t="shared" si="5"/>
        <v>15.000749999999998</v>
      </c>
      <c r="L34" s="11">
        <f t="shared" si="5"/>
        <v>14.90048</v>
      </c>
      <c r="M34" s="11">
        <f t="shared" si="5"/>
        <v>14.931839999999999</v>
      </c>
      <c r="N34" s="11">
        <f t="shared" si="5"/>
        <v>15.095880000000001</v>
      </c>
      <c r="O34" s="11">
        <f t="shared" si="5"/>
        <v>15.256319999999999</v>
      </c>
      <c r="P34" s="11">
        <f t="shared" si="5"/>
        <v>18.284590000000005</v>
      </c>
      <c r="Q34" s="11">
        <f t="shared" si="5"/>
        <v>21.368959999999998</v>
      </c>
      <c r="R34" s="11">
        <f t="shared" si="5"/>
        <v>13.092170000000001</v>
      </c>
      <c r="S34" s="11">
        <f t="shared" si="5"/>
        <v>16.940049999999999</v>
      </c>
      <c r="T34" s="11">
        <f t="shared" si="5"/>
        <v>17.654399999999999</v>
      </c>
      <c r="U34" s="11">
        <f t="shared" si="5"/>
        <v>18.477119999999999</v>
      </c>
      <c r="V34" s="11">
        <f t="shared" si="5"/>
        <v>19.405330000000003</v>
      </c>
      <c r="W34" s="11">
        <f t="shared" si="5"/>
        <v>20.197189999999999</v>
      </c>
      <c r="X34" s="11">
        <f t="shared" si="5"/>
        <v>21.093</v>
      </c>
      <c r="Y34" s="11">
        <f t="shared" si="5"/>
        <v>21.855</v>
      </c>
      <c r="Z34" s="11">
        <f t="shared" si="5"/>
        <v>22.719450000000002</v>
      </c>
      <c r="AA34" s="11">
        <f t="shared" si="5"/>
        <v>23.566080000000003</v>
      </c>
      <c r="AB34" s="11">
        <f t="shared" si="5"/>
        <v>23.82432</v>
      </c>
      <c r="AC34" s="11">
        <f t="shared" si="5"/>
        <v>24.076839999999997</v>
      </c>
      <c r="AD34" s="11">
        <f t="shared" si="5"/>
        <v>24.323760000000004</v>
      </c>
      <c r="AE34" s="11">
        <f t="shared" si="5"/>
        <v>24.565199999999997</v>
      </c>
      <c r="AF34" s="11">
        <f t="shared" si="5"/>
        <v>24.799039999999998</v>
      </c>
    </row>
    <row r="36" spans="5:32" x14ac:dyDescent="0.3">
      <c r="E36" s="1" t="s">
        <v>227</v>
      </c>
    </row>
    <row r="38" spans="5:32" x14ac:dyDescent="0.3">
      <c r="E38" s="3" t="s">
        <v>332</v>
      </c>
      <c r="F38" s="3" t="s">
        <v>333</v>
      </c>
      <c r="G38" s="3">
        <v>2010</v>
      </c>
      <c r="H38" s="3">
        <v>2011</v>
      </c>
      <c r="I38" s="3">
        <v>2012</v>
      </c>
      <c r="J38" s="3">
        <v>2013</v>
      </c>
      <c r="K38" s="3">
        <v>2014</v>
      </c>
      <c r="L38" s="3">
        <v>2015</v>
      </c>
      <c r="M38" s="3">
        <v>2016</v>
      </c>
      <c r="N38" s="3">
        <v>2017</v>
      </c>
      <c r="O38" s="3">
        <v>2018</v>
      </c>
      <c r="P38" s="3">
        <v>2019</v>
      </c>
      <c r="Q38" s="3">
        <v>2020</v>
      </c>
      <c r="R38" s="3">
        <v>2021</v>
      </c>
      <c r="S38" s="3">
        <v>2022</v>
      </c>
      <c r="T38" s="3">
        <v>2023</v>
      </c>
      <c r="U38" s="3">
        <v>2024</v>
      </c>
      <c r="V38" s="3">
        <v>2025</v>
      </c>
      <c r="W38" s="3">
        <v>2026</v>
      </c>
      <c r="X38" s="3">
        <v>2027</v>
      </c>
      <c r="Y38" s="3">
        <v>2028</v>
      </c>
      <c r="Z38" s="3">
        <v>2029</v>
      </c>
      <c r="AA38" s="3">
        <v>2030</v>
      </c>
      <c r="AB38" s="3">
        <v>2031</v>
      </c>
      <c r="AC38" s="3">
        <v>2032</v>
      </c>
      <c r="AD38" s="3">
        <v>2033</v>
      </c>
      <c r="AE38" s="3">
        <v>2034</v>
      </c>
      <c r="AF38" s="3">
        <v>2035</v>
      </c>
    </row>
    <row r="39" spans="5:32" x14ac:dyDescent="0.3">
      <c r="E39" s="3" t="s">
        <v>35</v>
      </c>
      <c r="F39" s="3" t="s">
        <v>269</v>
      </c>
      <c r="G39" s="7">
        <f>T_5A1!E92*1000+Ajuste_T_Iniciativas1eraNDC_5CN!H9*1000</f>
        <v>31.928320000000003</v>
      </c>
      <c r="H39" s="7">
        <f>T_5A1!F92*1000+Ajuste_T_Iniciativas1eraNDC_5CN!I9*1000</f>
        <v>36.828800000000001</v>
      </c>
      <c r="I39" s="7">
        <f>T_5A1!G92*1000+Ajuste_T_Iniciativas1eraNDC_5CN!J9*1000</f>
        <v>41.852979999999995</v>
      </c>
      <c r="J39" s="7">
        <f>T_5A1!H92*1000+Ajuste_T_Iniciativas1eraNDC_5CN!K9*1000</f>
        <v>43.931339999999999</v>
      </c>
      <c r="K39" s="7">
        <f>T_5A1!I92*1000+Ajuste_T_Iniciativas1eraNDC_5CN!L9*1000</f>
        <v>46.020520000000005</v>
      </c>
      <c r="L39" s="7">
        <f>T_5A1!J92*1000+Ajuste_T_Iniciativas1eraNDC_5CN!M9*1000</f>
        <v>61.498360000000005</v>
      </c>
      <c r="M39" s="7">
        <f>T_5A1!K92*1000+Ajuste_T_Iniciativas1eraNDC_5CN!N9*1000</f>
        <v>76.964600000000004</v>
      </c>
      <c r="N39" s="7">
        <f>T_5A1!L92*1000+Ajuste_T_Iniciativas1eraNDC_5CN!O9*1000</f>
        <v>86.864899999999992</v>
      </c>
      <c r="O39" s="7">
        <f>T_5A1!M92*1000+Ajuste_T_Iniciativas1eraNDC_5CN!P9*1000</f>
        <v>96.994919999999993</v>
      </c>
      <c r="P39" s="7">
        <f>T_5A1!N92*1000+Ajuste_T_Iniciativas1eraNDC_5CN!Q9*1000</f>
        <v>103.57203999999997</v>
      </c>
      <c r="Q39" s="7">
        <f>T_5A1!O92*1000+Ajuste_T_Iniciativas1eraNDC_5CN!R9*1000</f>
        <v>109.90161000000001</v>
      </c>
      <c r="R39" s="7">
        <f>T_5A1!P92*1000+Ajuste_T_Iniciativas1eraNDC_5CN!S9*1000</f>
        <v>117.95382571428571</v>
      </c>
      <c r="S39" s="7">
        <f>T_5A1!Q92*1000+Ajuste_T_Iniciativas1eraNDC_5CN!T9*1000</f>
        <v>123.59273142857144</v>
      </c>
      <c r="T39" s="7">
        <f>T_5A1!R92*1000+Ajuste_T_Iniciativas1eraNDC_5CN!U9*1000</f>
        <v>137.32825714285713</v>
      </c>
      <c r="U39" s="7">
        <f>T_5A1!S92*1000+Ajuste_T_Iniciativas1eraNDC_5CN!V9*1000</f>
        <v>152.21307285714286</v>
      </c>
      <c r="V39" s="7">
        <f>T_5A1!T92*1000+Ajuste_T_Iniciativas1eraNDC_5CN!W9*1000</f>
        <v>168.31058857142858</v>
      </c>
      <c r="W39" s="7">
        <f>T_5A1!U92*1000+Ajuste_T_Iniciativas1eraNDC_5CN!X9*1000</f>
        <v>184.39923999999999</v>
      </c>
      <c r="X39" s="7">
        <f>T_5A1!V92*1000+Ajuste_T_Iniciativas1eraNDC_5CN!Y9*1000</f>
        <v>203.25248999999997</v>
      </c>
      <c r="Y39" s="7">
        <f>T_5A1!W92*1000+Ajuste_T_Iniciativas1eraNDC_5CN!Z9*1000</f>
        <v>223.55262000000002</v>
      </c>
      <c r="Z39" s="7">
        <f>T_5A1!X92*1000+Ajuste_T_Iniciativas1eraNDC_5CN!AA9*1000</f>
        <v>245.37322000000003</v>
      </c>
      <c r="AA39" s="7">
        <f>T_5A1!Y92*1000+Ajuste_T_Iniciativas1eraNDC_5CN!AB9*1000</f>
        <v>269.17289999999997</v>
      </c>
      <c r="AB39" s="7">
        <f>T_5A1!Z92*1000+Ajuste_T_Iniciativas1eraNDC_5CN!AC9*1000</f>
        <v>287.7953</v>
      </c>
      <c r="AC39" s="7">
        <f>T_5A1!AA92*1000+Ajuste_T_Iniciativas1eraNDC_5CN!AD9*1000</f>
        <v>307.78833000000003</v>
      </c>
      <c r="AD39" s="7">
        <f>T_5A1!AB92*1000+Ajuste_T_Iniciativas1eraNDC_5CN!AE9*1000</f>
        <v>328.75976000000009</v>
      </c>
      <c r="AE39" s="7">
        <f>T_5A1!AC92*1000+Ajuste_T_Iniciativas1eraNDC_5CN!AF9*1000</f>
        <v>351.17534999999998</v>
      </c>
      <c r="AF39" s="7">
        <f>T_5A1!AD92*1000+Ajuste_T_Iniciativas1eraNDC_5CN!AG9*1000</f>
        <v>375.07482000000005</v>
      </c>
    </row>
    <row r="40" spans="5:32" x14ac:dyDescent="0.3">
      <c r="E40" s="3" t="s">
        <v>38</v>
      </c>
      <c r="F40" s="3" t="s">
        <v>271</v>
      </c>
      <c r="G40" s="7">
        <f>T_5A2!E58*1000</f>
        <v>28.843520000000002</v>
      </c>
      <c r="H40" s="7">
        <f>T_5A2!F58*1000</f>
        <v>30.080480000000001</v>
      </c>
      <c r="I40" s="7">
        <f>T_5A2!G58*1000</f>
        <v>31.431639999999998</v>
      </c>
      <c r="J40" s="7">
        <f>T_5A2!H58*1000</f>
        <v>36.470879999999994</v>
      </c>
      <c r="K40" s="7">
        <f>T_5A2!I58*1000</f>
        <v>41.530910000000006</v>
      </c>
      <c r="L40" s="7">
        <f>T_5A2!J58*1000</f>
        <v>33.134640000000005</v>
      </c>
      <c r="M40" s="7">
        <f>T_5A2!K58*1000</f>
        <v>24.751510000000003</v>
      </c>
      <c r="N40" s="7">
        <f>T_5A2!L58*1000</f>
        <v>21.286099999999998</v>
      </c>
      <c r="O40" s="7">
        <f>T_5A2!M58*1000</f>
        <v>17.879719999999999</v>
      </c>
      <c r="P40" s="7">
        <f>T_5A2!N58*1000</f>
        <v>18.588459999999998</v>
      </c>
      <c r="Q40" s="7">
        <f>T_5A2!O58*1000</f>
        <v>19.254059999999999</v>
      </c>
      <c r="R40" s="7">
        <f>T_5A2!P58*1000</f>
        <v>16.7027</v>
      </c>
      <c r="S40" s="7">
        <f>T_5A2!Q58*1000</f>
        <v>17.234559999999998</v>
      </c>
      <c r="T40" s="7">
        <f>T_5A2!R58*1000</f>
        <v>19.124300000000002</v>
      </c>
      <c r="U40" s="7">
        <f>T_5A2!S58*1000</f>
        <v>21.179279999999999</v>
      </c>
      <c r="V40" s="7">
        <f>T_5A2!T58*1000</f>
        <v>23.399419999999999</v>
      </c>
      <c r="W40" s="7">
        <f>T_5A2!U58*1000</f>
        <v>25.799199999999999</v>
      </c>
      <c r="X40" s="7">
        <f>T_5A2!V58*1000</f>
        <v>28.43862</v>
      </c>
      <c r="Y40" s="7">
        <f>T_5A2!W58*1000</f>
        <v>31.276830000000004</v>
      </c>
      <c r="Z40" s="7">
        <f>T_5A2!X58*1000</f>
        <v>34.329839999999997</v>
      </c>
      <c r="AA40" s="7">
        <f>T_5A2!Y58*1000</f>
        <v>37.66581</v>
      </c>
      <c r="AB40" s="7">
        <f>T_5A2!Z58*1000</f>
        <v>40.265160000000002</v>
      </c>
      <c r="AC40" s="7">
        <f>T_5A2!AA58*1000</f>
        <v>43.069110000000002</v>
      </c>
      <c r="AD40" s="7">
        <f>T_5A2!AB58*1000</f>
        <v>46.003020000000006</v>
      </c>
      <c r="AE40" s="7">
        <f>T_5A2!AC58*1000</f>
        <v>49.138950000000001</v>
      </c>
      <c r="AF40" s="7">
        <f>T_5A2!AD58*1000</f>
        <v>52.483620000000002</v>
      </c>
    </row>
    <row r="41" spans="5:32" x14ac:dyDescent="0.3">
      <c r="E41" s="3" t="s">
        <v>334</v>
      </c>
      <c r="F41" s="3" t="s">
        <v>267</v>
      </c>
      <c r="G41" s="7">
        <f>T_Compostaje!G53*1000</f>
        <v>2.1999999999999999E-2</v>
      </c>
      <c r="H41" s="7">
        <f>T_Compostaje!H53*1000</f>
        <v>2.5600000000000001E-2</v>
      </c>
      <c r="I41" s="7">
        <f>T_Compostaje!I53*1000</f>
        <v>2.92E-2</v>
      </c>
      <c r="J41" s="7">
        <f>T_Compostaje!J53*1000</f>
        <v>8.8800000000000004E-2</v>
      </c>
      <c r="K41" s="7">
        <f>T_Compostaje!K53*1000</f>
        <v>0.14879999999999999</v>
      </c>
      <c r="L41" s="7">
        <f>T_Compostaje!L53*1000</f>
        <v>0.12880000000000003</v>
      </c>
      <c r="M41" s="7">
        <f>T_Compostaje!M53*1000</f>
        <v>0.10880000000000001</v>
      </c>
      <c r="N41" s="7">
        <f>T_Compostaje!N53*1000</f>
        <v>0.122</v>
      </c>
      <c r="O41" s="7">
        <f>T_Compostaje!O53*1000</f>
        <v>0.13519999999999999</v>
      </c>
      <c r="P41" s="7">
        <f>T_Compostaje!P53*1000</f>
        <v>0.14119999999999999</v>
      </c>
      <c r="Q41" s="7">
        <f>T_Compostaje!Q53*1000</f>
        <v>0.1472</v>
      </c>
      <c r="R41" s="7">
        <f>T_Compostaje!R53*1000</f>
        <v>0.154</v>
      </c>
      <c r="S41" s="7">
        <f>T_Compostaje!S53*1000</f>
        <v>0.1348</v>
      </c>
      <c r="T41" s="7">
        <f>T_Compostaje!T53*1000</f>
        <v>0.1424</v>
      </c>
      <c r="U41" s="7">
        <f>T_Compostaje!U53*1000</f>
        <v>0.15040000000000001</v>
      </c>
      <c r="V41" s="7">
        <f>T_Compostaje!V53*1000</f>
        <v>0.15840000000000004</v>
      </c>
      <c r="W41" s="7">
        <f>T_Compostaje!W53*1000</f>
        <v>0.1668</v>
      </c>
      <c r="X41" s="7">
        <f>T_Compostaje!X53*1000</f>
        <v>0.17480000000000001</v>
      </c>
      <c r="Y41" s="7">
        <f>T_Compostaje!Y53*1000</f>
        <v>0.18360000000000001</v>
      </c>
      <c r="Z41" s="7">
        <f>T_Compostaje!Z53*1000</f>
        <v>0.192</v>
      </c>
      <c r="AA41" s="7">
        <f>T_Compostaje!AA53*1000</f>
        <v>0.20080000000000001</v>
      </c>
      <c r="AB41" s="7">
        <f>T_Compostaje!AB53*1000</f>
        <v>0.20480000000000001</v>
      </c>
      <c r="AC41" s="7">
        <f>T_Compostaje!AC53*1000</f>
        <v>0.2084</v>
      </c>
      <c r="AD41" s="7">
        <f>T_Compostaje!AD53*1000</f>
        <v>0.21240000000000001</v>
      </c>
      <c r="AE41" s="7">
        <f>T_Compostaje!AE53*1000</f>
        <v>0.21640000000000001</v>
      </c>
      <c r="AF41" s="7">
        <f>T_Compostaje!AF53*1000</f>
        <v>0.22040000000000001</v>
      </c>
    </row>
    <row r="42" spans="5:32" x14ac:dyDescent="0.3">
      <c r="E42" s="3" t="s">
        <v>335</v>
      </c>
      <c r="F42" s="3" t="s">
        <v>275</v>
      </c>
      <c r="G42" s="7">
        <f>T_Incineracion!C70*1000</f>
        <v>0</v>
      </c>
      <c r="H42" s="7">
        <f>T_Incineracion!D70*1000</f>
        <v>0</v>
      </c>
      <c r="I42" s="7">
        <f>T_Incineracion!E70*1000</f>
        <v>0</v>
      </c>
      <c r="J42" s="7">
        <f>T_Incineracion!F70*1000</f>
        <v>0</v>
      </c>
      <c r="K42" s="7">
        <f>T_Incineracion!G70*1000</f>
        <v>0</v>
      </c>
      <c r="L42" s="7">
        <f>T_Incineracion!H70*1000</f>
        <v>0</v>
      </c>
      <c r="M42" s="7">
        <f>T_Incineracion!I70*1000</f>
        <v>0</v>
      </c>
      <c r="N42" s="7">
        <f>T_Incineracion!J70*1000</f>
        <v>0</v>
      </c>
      <c r="O42" s="7">
        <f>T_Incineracion!K70*1000</f>
        <v>0</v>
      </c>
      <c r="P42" s="7">
        <f>T_Incineracion!L70*1000</f>
        <v>0</v>
      </c>
      <c r="Q42" s="7">
        <f>T_Incineracion!M70*1000</f>
        <v>0</v>
      </c>
      <c r="R42" s="7">
        <f>T_Incineracion!N70*1000</f>
        <v>0</v>
      </c>
      <c r="S42" s="7">
        <f>T_Incineracion!O70*1000</f>
        <v>0</v>
      </c>
      <c r="T42" s="7">
        <f>T_Incineracion!P70*1000</f>
        <v>0</v>
      </c>
      <c r="U42" s="7">
        <f>T_Incineracion!Q70*1000</f>
        <v>0</v>
      </c>
      <c r="V42" s="7">
        <f>T_Incineracion!R70*1000</f>
        <v>0</v>
      </c>
      <c r="W42" s="7">
        <f>T_Incineracion!S70*1000</f>
        <v>0</v>
      </c>
      <c r="X42" s="7">
        <f>T_Incineracion!T70*1000</f>
        <v>0</v>
      </c>
      <c r="Y42" s="7">
        <f>T_Incineracion!U70*1000</f>
        <v>0</v>
      </c>
      <c r="Z42" s="7">
        <f>T_Incineracion!V70*1000</f>
        <v>0</v>
      </c>
      <c r="AA42" s="7">
        <f>T_Incineracion!W70*1000</f>
        <v>0</v>
      </c>
      <c r="AB42" s="7">
        <f>T_Incineracion!X70*1000</f>
        <v>0</v>
      </c>
      <c r="AC42" s="7">
        <f>T_Incineracion!Y70*1000</f>
        <v>0</v>
      </c>
      <c r="AD42" s="7">
        <f>T_Incineracion!Z70*1000</f>
        <v>0</v>
      </c>
      <c r="AE42" s="7">
        <f>T_Incineracion!AA70*1000</f>
        <v>0</v>
      </c>
      <c r="AF42" s="7">
        <f>T_Incineracion!AB70*1000</f>
        <v>0</v>
      </c>
    </row>
    <row r="43" spans="5:32" x14ac:dyDescent="0.3">
      <c r="E43" s="141" t="s">
        <v>41</v>
      </c>
      <c r="F43" s="3" t="s">
        <v>323</v>
      </c>
      <c r="G43" s="7">
        <f>T_5D1!F77*1000</f>
        <v>8.0641199999999991</v>
      </c>
      <c r="H43" s="7">
        <f>T_5D1!G77*1000</f>
        <v>9.190199999999999</v>
      </c>
      <c r="I43" s="7">
        <f>T_5D1!H77*1000</f>
        <v>10.38702</v>
      </c>
      <c r="J43" s="7">
        <f>T_5D1!I77*1000</f>
        <v>10.518699999999999</v>
      </c>
      <c r="K43" s="7">
        <f>T_5D1!J77*1000</f>
        <v>10.615680000000001</v>
      </c>
      <c r="L43" s="7">
        <f>T_5D1!K77*1000</f>
        <v>10.781550000000001</v>
      </c>
      <c r="M43" s="7">
        <f>T_5D1!L77*1000</f>
        <v>10.947419999999999</v>
      </c>
      <c r="N43" s="7">
        <f>T_5D1!M77*1000</f>
        <v>11.186739999999999</v>
      </c>
      <c r="O43" s="7">
        <f>T_5D1!N77*1000</f>
        <v>11.389559999999999</v>
      </c>
      <c r="P43" s="7">
        <f>T_5D1!O77*1000</f>
        <v>11.194799999999999</v>
      </c>
      <c r="Q43" s="7">
        <f>T_5D1!P77*1000</f>
        <v>10.998600000000001</v>
      </c>
      <c r="R43" s="7">
        <f>T_5D1!Q77*1000</f>
        <v>11.29453</v>
      </c>
      <c r="S43" s="7">
        <f>T_5D1!R77*1000</f>
        <v>11.19586</v>
      </c>
      <c r="T43" s="7">
        <f>T_5D1!S77*1000</f>
        <v>12.292510569408012</v>
      </c>
      <c r="U43" s="7">
        <f>T_5D1!T77*1000</f>
        <v>13.45208248917012</v>
      </c>
      <c r="V43" s="7">
        <f>T_5D1!U77*1000</f>
        <v>13.640166665062839</v>
      </c>
      <c r="W43" s="7">
        <f>T_5D1!V77*1000</f>
        <v>14.426725323297831</v>
      </c>
      <c r="X43" s="7">
        <f>T_5D1!W77*1000</f>
        <v>17.241067715346095</v>
      </c>
      <c r="Y43" s="7">
        <f>T_5D1!X77*1000</f>
        <v>18.643274989669287</v>
      </c>
      <c r="Z43" s="7">
        <f>T_5D1!Y77*1000</f>
        <v>20.087235573197376</v>
      </c>
      <c r="AA43" s="7">
        <f>T_5D1!Z77*1000</f>
        <v>21.580611096729744</v>
      </c>
      <c r="AB43" s="7">
        <f>T_5D1!AA77*1000</f>
        <v>23.151937480639397</v>
      </c>
      <c r="AC43" s="7">
        <f>T_5D1!AB77*1000</f>
        <v>24.800638838999486</v>
      </c>
      <c r="AD43" s="7">
        <f>T_5D1!AC77*1000</f>
        <v>26.501345381598416</v>
      </c>
      <c r="AE43" s="7">
        <f>T_5D1!AD77*1000</f>
        <v>28.287640638538804</v>
      </c>
      <c r="AF43" s="7">
        <f>T_5D1!AE77*1000</f>
        <v>30.126171619112789</v>
      </c>
    </row>
    <row r="44" spans="5:32" x14ac:dyDescent="0.3">
      <c r="E44" s="141" t="s">
        <v>41</v>
      </c>
      <c r="F44" s="3" t="s">
        <v>325</v>
      </c>
      <c r="G44" s="7">
        <f>T_5D1!F90</f>
        <v>0</v>
      </c>
      <c r="H44" s="7">
        <f>T_5D1!G90</f>
        <v>0</v>
      </c>
      <c r="I44" s="7">
        <f>T_5D1!H90</f>
        <v>0</v>
      </c>
      <c r="J44" s="7">
        <f>T_5D1!I90</f>
        <v>0</v>
      </c>
      <c r="K44" s="7">
        <f>T_5D1!J90</f>
        <v>0</v>
      </c>
      <c r="L44" s="7">
        <f>T_5D1!K90</f>
        <v>0</v>
      </c>
      <c r="M44" s="7">
        <f>T_5D1!L90</f>
        <v>0</v>
      </c>
      <c r="N44" s="7">
        <f>T_5D1!M90</f>
        <v>0</v>
      </c>
      <c r="O44" s="7">
        <f>T_5D1!N90</f>
        <v>0</v>
      </c>
      <c r="P44" s="7">
        <f>T_5D1!O90</f>
        <v>0</v>
      </c>
      <c r="Q44" s="7">
        <f>T_5D1!P90</f>
        <v>0</v>
      </c>
      <c r="R44" s="7">
        <f>T_5D1!Q90</f>
        <v>0</v>
      </c>
      <c r="S44" s="7">
        <f>T_5D1!R90</f>
        <v>0</v>
      </c>
      <c r="T44" s="7">
        <f>T_5D1!S90</f>
        <v>0</v>
      </c>
      <c r="U44" s="7">
        <f>T_5D1!T90</f>
        <v>0</v>
      </c>
      <c r="V44" s="7">
        <f>T_5D1!U90</f>
        <v>0</v>
      </c>
      <c r="W44" s="7">
        <f>T_5D1!V90</f>
        <v>0</v>
      </c>
      <c r="X44" s="7">
        <f>T_5D1!W90</f>
        <v>0</v>
      </c>
      <c r="Y44" s="7">
        <f>T_5D1!X90</f>
        <v>0</v>
      </c>
      <c r="Z44" s="7">
        <f>T_5D1!Y90</f>
        <v>0</v>
      </c>
      <c r="AA44" s="7">
        <f>T_5D1!Z90</f>
        <v>0</v>
      </c>
      <c r="AB44" s="7">
        <f>T_5D1!AA90</f>
        <v>0</v>
      </c>
      <c r="AC44" s="7">
        <f>T_5D1!AB90</f>
        <v>0</v>
      </c>
      <c r="AD44" s="7">
        <f>T_5D1!AC90</f>
        <v>0</v>
      </c>
      <c r="AE44" s="7">
        <f>T_5D1!AD90</f>
        <v>0</v>
      </c>
      <c r="AF44" s="7">
        <f>T_5D1!AE90</f>
        <v>0</v>
      </c>
    </row>
    <row r="45" spans="5:32" x14ac:dyDescent="0.3">
      <c r="E45" s="3" t="s">
        <v>44</v>
      </c>
      <c r="F45" s="3" t="s">
        <v>327</v>
      </c>
      <c r="G45" s="7">
        <f>T_5D2!F53*1000</f>
        <v>5.4850000000000003</v>
      </c>
      <c r="H45" s="7">
        <f>T_5D2!G53*1000</f>
        <v>10.64</v>
      </c>
      <c r="I45" s="7">
        <f>T_5D2!H53*1000</f>
        <v>15.795</v>
      </c>
      <c r="J45" s="7">
        <f>T_5D2!I53*1000</f>
        <v>11.200000000000001</v>
      </c>
      <c r="K45" s="7">
        <f>T_5D2!J53*1000</f>
        <v>6.6074999999999999</v>
      </c>
      <c r="L45" s="7">
        <f>T_5D2!K53*1000</f>
        <v>13.655000000000001</v>
      </c>
      <c r="M45" s="7">
        <f>T_5D2!L53*1000</f>
        <v>20.702499999999997</v>
      </c>
      <c r="N45" s="7">
        <f>T_5D2!M53*1000</f>
        <v>21.607500000000002</v>
      </c>
      <c r="O45" s="7">
        <f>T_5D2!N53*1000</f>
        <v>22.515000000000001</v>
      </c>
      <c r="P45" s="7">
        <f>T_5D2!O53*1000</f>
        <v>21.51</v>
      </c>
      <c r="Q45" s="7">
        <f>T_5D2!P53*1000</f>
        <v>20.5075</v>
      </c>
      <c r="R45" s="7">
        <f>T_5D2!Q53*1000</f>
        <v>17.517500000000002</v>
      </c>
      <c r="S45" s="7">
        <f>T_5D2!R53*1000</f>
        <v>21.26</v>
      </c>
      <c r="T45" s="7">
        <f>T_5D2!S53*1000</f>
        <v>22.927500000000002</v>
      </c>
      <c r="U45" s="7">
        <f>T_5D2!T53*1000</f>
        <v>24.645</v>
      </c>
      <c r="V45" s="7">
        <f>T_5D2!U53*1000</f>
        <v>24.55</v>
      </c>
      <c r="W45" s="7">
        <f>T_5D2!V53*1000</f>
        <v>25.502500000000001</v>
      </c>
      <c r="X45" s="7">
        <f>T_5D2!W53*1000</f>
        <v>29.935000000000002</v>
      </c>
      <c r="Y45" s="7">
        <f>T_5D2!X53*1000</f>
        <v>31.795000000000005</v>
      </c>
      <c r="Z45" s="7">
        <f>T_5D2!Y53*1000</f>
        <v>33.652500000000003</v>
      </c>
      <c r="AA45" s="7">
        <f>T_5D2!Z53*1000</f>
        <v>35.512500000000003</v>
      </c>
      <c r="AB45" s="7">
        <f>T_5D2!AA53*1000</f>
        <v>37.42</v>
      </c>
      <c r="AC45" s="7">
        <f>T_5D2!AB53*1000</f>
        <v>39.375</v>
      </c>
      <c r="AD45" s="7">
        <f>T_5D2!AC53*1000</f>
        <v>41.327500000000001</v>
      </c>
      <c r="AE45" s="7">
        <f>T_5D2!AD53*1000</f>
        <v>43.330000000000005</v>
      </c>
      <c r="AF45" s="7">
        <f>T_5D2!AE53*1000</f>
        <v>45.332499999999996</v>
      </c>
    </row>
    <row r="46" spans="5:32" x14ac:dyDescent="0.3"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</row>
    <row r="47" spans="5:32" x14ac:dyDescent="0.3"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</row>
    <row r="48" spans="5:32" x14ac:dyDescent="0.3">
      <c r="F48" t="s">
        <v>336</v>
      </c>
      <c r="G48" s="11">
        <f>G39+G40+G41+G42</f>
        <v>60.793840000000003</v>
      </c>
      <c r="H48" s="11">
        <f t="shared" ref="H48:AF48" si="6">H39+H40+H41+H42</f>
        <v>66.934879999999993</v>
      </c>
      <c r="I48" s="11">
        <f t="shared" si="6"/>
        <v>73.313819999999993</v>
      </c>
      <c r="J48" s="11">
        <f t="shared" si="6"/>
        <v>80.491020000000006</v>
      </c>
      <c r="K48" s="11">
        <f t="shared" si="6"/>
        <v>87.700230000000005</v>
      </c>
      <c r="L48" s="11">
        <f t="shared" si="6"/>
        <v>94.761800000000008</v>
      </c>
      <c r="M48" s="11">
        <f t="shared" si="6"/>
        <v>101.82491000000002</v>
      </c>
      <c r="N48" s="11">
        <f t="shared" si="6"/>
        <v>108.27299999999998</v>
      </c>
      <c r="O48" s="11">
        <f t="shared" si="6"/>
        <v>115.00984</v>
      </c>
      <c r="P48" s="11">
        <f t="shared" si="6"/>
        <v>122.30169999999997</v>
      </c>
      <c r="Q48" s="11">
        <f t="shared" si="6"/>
        <v>129.30287000000001</v>
      </c>
      <c r="R48" s="11">
        <f t="shared" si="6"/>
        <v>134.81052571428572</v>
      </c>
      <c r="S48" s="11">
        <f t="shared" si="6"/>
        <v>140.96209142857145</v>
      </c>
      <c r="T48" s="11">
        <f t="shared" si="6"/>
        <v>156.59495714285714</v>
      </c>
      <c r="U48" s="11">
        <f t="shared" si="6"/>
        <v>173.54275285714286</v>
      </c>
      <c r="V48" s="11">
        <f t="shared" si="6"/>
        <v>191.86840857142857</v>
      </c>
      <c r="W48" s="11">
        <f t="shared" si="6"/>
        <v>210.36524</v>
      </c>
      <c r="X48" s="11">
        <f t="shared" si="6"/>
        <v>231.86590999999999</v>
      </c>
      <c r="Y48" s="11">
        <f t="shared" si="6"/>
        <v>255.01305000000002</v>
      </c>
      <c r="Z48" s="11">
        <f t="shared" si="6"/>
        <v>279.89506000000006</v>
      </c>
      <c r="AA48" s="11">
        <f t="shared" si="6"/>
        <v>307.03951000000001</v>
      </c>
      <c r="AB48" s="11">
        <f t="shared" si="6"/>
        <v>328.26525999999996</v>
      </c>
      <c r="AC48" s="11">
        <f t="shared" si="6"/>
        <v>351.06584000000004</v>
      </c>
      <c r="AD48" s="11">
        <f t="shared" si="6"/>
        <v>374.97518000000008</v>
      </c>
      <c r="AE48" s="11">
        <f t="shared" si="6"/>
        <v>400.53070000000002</v>
      </c>
      <c r="AF48" s="11">
        <f t="shared" si="6"/>
        <v>427.77884</v>
      </c>
    </row>
    <row r="49" spans="5:32" x14ac:dyDescent="0.3">
      <c r="F49" t="s">
        <v>337</v>
      </c>
      <c r="G49" s="11">
        <f>G43+G44+G45</f>
        <v>13.549119999999998</v>
      </c>
      <c r="H49" s="11">
        <f t="shared" ref="H49:AF49" si="7">H43+H44+H45</f>
        <v>19.830199999999998</v>
      </c>
      <c r="I49" s="11">
        <f t="shared" si="7"/>
        <v>26.182020000000001</v>
      </c>
      <c r="J49" s="11">
        <f t="shared" si="7"/>
        <v>21.718699999999998</v>
      </c>
      <c r="K49" s="11">
        <f t="shared" si="7"/>
        <v>17.223179999999999</v>
      </c>
      <c r="L49" s="11">
        <f t="shared" si="7"/>
        <v>24.436550000000004</v>
      </c>
      <c r="M49" s="11">
        <f t="shared" si="7"/>
        <v>31.649919999999995</v>
      </c>
      <c r="N49" s="11">
        <f t="shared" si="7"/>
        <v>32.794240000000002</v>
      </c>
      <c r="O49" s="11">
        <f t="shared" si="7"/>
        <v>33.904560000000004</v>
      </c>
      <c r="P49" s="11">
        <f t="shared" si="7"/>
        <v>32.704799999999999</v>
      </c>
      <c r="Q49" s="11">
        <f t="shared" si="7"/>
        <v>31.506100000000004</v>
      </c>
      <c r="R49" s="11">
        <f t="shared" si="7"/>
        <v>28.81203</v>
      </c>
      <c r="S49" s="11">
        <f t="shared" si="7"/>
        <v>32.455860000000001</v>
      </c>
      <c r="T49" s="11">
        <f t="shared" si="7"/>
        <v>35.220010569408018</v>
      </c>
      <c r="U49" s="11">
        <f t="shared" si="7"/>
        <v>38.09708248917012</v>
      </c>
      <c r="V49" s="11">
        <f t="shared" si="7"/>
        <v>38.19016666506284</v>
      </c>
      <c r="W49" s="11">
        <f t="shared" si="7"/>
        <v>39.929225323297828</v>
      </c>
      <c r="X49" s="11">
        <f t="shared" si="7"/>
        <v>47.176067715346093</v>
      </c>
      <c r="Y49" s="11">
        <f t="shared" si="7"/>
        <v>50.438274989669296</v>
      </c>
      <c r="Z49" s="11">
        <f t="shared" si="7"/>
        <v>53.739735573197379</v>
      </c>
      <c r="AA49" s="11">
        <f t="shared" si="7"/>
        <v>57.093111096729743</v>
      </c>
      <c r="AB49" s="11">
        <f t="shared" si="7"/>
        <v>60.571937480639399</v>
      </c>
      <c r="AC49" s="11">
        <f t="shared" si="7"/>
        <v>64.17563883899949</v>
      </c>
      <c r="AD49" s="11">
        <f t="shared" si="7"/>
        <v>67.828845381598413</v>
      </c>
      <c r="AE49" s="11">
        <f t="shared" si="7"/>
        <v>71.617640638538802</v>
      </c>
      <c r="AF49" s="11">
        <f t="shared" si="7"/>
        <v>75.458671619112778</v>
      </c>
    </row>
    <row r="50" spans="5:32" x14ac:dyDescent="0.3">
      <c r="F50" t="s">
        <v>253</v>
      </c>
      <c r="G50" s="11">
        <f>G39+G40+G41+G42+G43+G44+G45</f>
        <v>74.342960000000005</v>
      </c>
      <c r="H50" s="11">
        <f t="shared" ref="H50:AF50" si="8">H39+H40+H41+H42+H43+H44+H45</f>
        <v>86.765079999999998</v>
      </c>
      <c r="I50" s="11">
        <f t="shared" si="8"/>
        <v>99.495840000000001</v>
      </c>
      <c r="J50" s="11">
        <f t="shared" si="8"/>
        <v>102.20972</v>
      </c>
      <c r="K50" s="11">
        <f t="shared" si="8"/>
        <v>104.92341</v>
      </c>
      <c r="L50" s="11">
        <f t="shared" si="8"/>
        <v>119.19835</v>
      </c>
      <c r="M50" s="11">
        <f t="shared" si="8"/>
        <v>133.47483</v>
      </c>
      <c r="N50" s="11">
        <f t="shared" si="8"/>
        <v>141.06723999999997</v>
      </c>
      <c r="O50" s="11">
        <f t="shared" si="8"/>
        <v>148.9144</v>
      </c>
      <c r="P50" s="11">
        <f t="shared" si="8"/>
        <v>155.00649999999996</v>
      </c>
      <c r="Q50" s="11">
        <f t="shared" si="8"/>
        <v>160.80897000000002</v>
      </c>
      <c r="R50" s="11">
        <f t="shared" si="8"/>
        <v>163.62255571428574</v>
      </c>
      <c r="S50" s="11">
        <f t="shared" si="8"/>
        <v>173.41795142857146</v>
      </c>
      <c r="T50" s="11">
        <f t="shared" si="8"/>
        <v>191.81496771226517</v>
      </c>
      <c r="U50" s="11">
        <f t="shared" si="8"/>
        <v>211.63983534631299</v>
      </c>
      <c r="V50" s="11">
        <f t="shared" si="8"/>
        <v>230.05857523649144</v>
      </c>
      <c r="W50" s="11">
        <f t="shared" si="8"/>
        <v>250.29446532329783</v>
      </c>
      <c r="X50" s="11">
        <f t="shared" si="8"/>
        <v>279.04197771534609</v>
      </c>
      <c r="Y50" s="11">
        <f t="shared" si="8"/>
        <v>305.45132498966933</v>
      </c>
      <c r="Z50" s="11">
        <f t="shared" si="8"/>
        <v>333.63479557319749</v>
      </c>
      <c r="AA50" s="11">
        <f t="shared" si="8"/>
        <v>364.13262109672974</v>
      </c>
      <c r="AB50" s="11">
        <f t="shared" si="8"/>
        <v>388.83719748063936</v>
      </c>
      <c r="AC50" s="11">
        <f t="shared" si="8"/>
        <v>415.24147883899951</v>
      </c>
      <c r="AD50" s="11">
        <f t="shared" si="8"/>
        <v>442.80402538159848</v>
      </c>
      <c r="AE50" s="11">
        <f t="shared" si="8"/>
        <v>472.1483406385388</v>
      </c>
      <c r="AF50" s="11">
        <f t="shared" si="8"/>
        <v>503.23751161911275</v>
      </c>
    </row>
    <row r="52" spans="5:32" x14ac:dyDescent="0.3">
      <c r="E52" s="1" t="s">
        <v>339</v>
      </c>
    </row>
    <row r="54" spans="5:32" x14ac:dyDescent="0.3">
      <c r="E54" s="3" t="s">
        <v>332</v>
      </c>
      <c r="F54" s="3" t="s">
        <v>333</v>
      </c>
      <c r="G54" s="3">
        <v>2010</v>
      </c>
      <c r="H54" s="3">
        <v>2011</v>
      </c>
      <c r="I54" s="3">
        <v>2012</v>
      </c>
      <c r="J54" s="3">
        <v>2013</v>
      </c>
      <c r="K54" s="3">
        <v>2014</v>
      </c>
      <c r="L54" s="3">
        <v>2015</v>
      </c>
      <c r="M54" s="3">
        <v>2016</v>
      </c>
      <c r="N54" s="3">
        <v>2017</v>
      </c>
      <c r="O54" s="3">
        <v>2018</v>
      </c>
      <c r="P54" s="3">
        <v>2019</v>
      </c>
      <c r="Q54" s="3">
        <v>2020</v>
      </c>
      <c r="R54" s="3">
        <v>2021</v>
      </c>
      <c r="S54" s="3">
        <v>2022</v>
      </c>
      <c r="T54" s="3">
        <v>2023</v>
      </c>
      <c r="U54" s="3">
        <v>2024</v>
      </c>
      <c r="V54" s="3">
        <v>2025</v>
      </c>
      <c r="W54" s="3">
        <v>2026</v>
      </c>
      <c r="X54" s="3">
        <v>2027</v>
      </c>
      <c r="Y54" s="3">
        <v>2028</v>
      </c>
      <c r="Z54" s="3">
        <v>2029</v>
      </c>
      <c r="AA54" s="3">
        <v>2030</v>
      </c>
      <c r="AB54" s="3">
        <v>2031</v>
      </c>
      <c r="AC54" s="3">
        <v>2032</v>
      </c>
      <c r="AD54" s="3">
        <v>2033</v>
      </c>
      <c r="AE54" s="3">
        <v>2034</v>
      </c>
      <c r="AF54" s="3">
        <v>2035</v>
      </c>
    </row>
    <row r="55" spans="5:32" x14ac:dyDescent="0.3">
      <c r="E55" s="3" t="s">
        <v>35</v>
      </c>
      <c r="F55" s="3" t="s">
        <v>269</v>
      </c>
      <c r="G55" s="7">
        <f>T_5A1!E93*1000</f>
        <v>0</v>
      </c>
      <c r="H55" s="7">
        <f>T_5A1!F93*1000</f>
        <v>0</v>
      </c>
      <c r="I55" s="7">
        <f>T_5A1!G93*1000</f>
        <v>0</v>
      </c>
      <c r="J55" s="7">
        <f>T_5A1!H93*1000</f>
        <v>0</v>
      </c>
      <c r="K55" s="7">
        <f>T_5A1!I93*1000</f>
        <v>0</v>
      </c>
      <c r="L55" s="7">
        <f>T_5A1!J93*1000</f>
        <v>0</v>
      </c>
      <c r="M55" s="7">
        <f>T_5A1!K93*1000</f>
        <v>0</v>
      </c>
      <c r="N55" s="7">
        <f>T_5A1!L93*1000</f>
        <v>0</v>
      </c>
      <c r="O55" s="7">
        <f>T_5A1!M93*1000</f>
        <v>0</v>
      </c>
      <c r="P55" s="7">
        <f>T_5A1!N93*1000</f>
        <v>0</v>
      </c>
      <c r="Q55" s="7">
        <f>T_5A1!O93*1000</f>
        <v>0</v>
      </c>
      <c r="R55" s="7">
        <f>T_5A1!P93*1000</f>
        <v>0</v>
      </c>
      <c r="S55" s="7">
        <f>T_5A1!Q93*1000</f>
        <v>0</v>
      </c>
      <c r="T55" s="7">
        <f>T_5A1!R93*1000</f>
        <v>0</v>
      </c>
      <c r="U55" s="7">
        <f>T_5A1!S93*1000</f>
        <v>0</v>
      </c>
      <c r="V55" s="7">
        <f>T_5A1!T93*1000</f>
        <v>0</v>
      </c>
      <c r="W55" s="7">
        <f>T_5A1!U93*1000</f>
        <v>0</v>
      </c>
      <c r="X55" s="7">
        <f>T_5A1!V93*1000</f>
        <v>0</v>
      </c>
      <c r="Y55" s="7">
        <f>T_5A1!W93*1000</f>
        <v>0</v>
      </c>
      <c r="Z55" s="7">
        <f>T_5A1!X93*1000</f>
        <v>0</v>
      </c>
      <c r="AA55" s="7">
        <f>T_5A1!Y93*1000</f>
        <v>0</v>
      </c>
      <c r="AB55" s="7">
        <f>T_5A1!Z93*1000</f>
        <v>0</v>
      </c>
      <c r="AC55" s="7">
        <f>T_5A1!AA93*1000</f>
        <v>0</v>
      </c>
      <c r="AD55" s="7">
        <f>T_5A1!AB93*1000</f>
        <v>0</v>
      </c>
      <c r="AE55" s="7">
        <f>T_5A1!AC93*1000</f>
        <v>0</v>
      </c>
      <c r="AF55" s="7">
        <f>T_5A1!AD93*1000</f>
        <v>0</v>
      </c>
    </row>
    <row r="56" spans="5:32" x14ac:dyDescent="0.3">
      <c r="E56" s="3" t="s">
        <v>38</v>
      </c>
      <c r="F56" s="3" t="s">
        <v>271</v>
      </c>
      <c r="G56" s="7">
        <f>T_5A2!E59*1000</f>
        <v>0</v>
      </c>
      <c r="H56" s="7">
        <f>T_5A2!F59*1000</f>
        <v>0</v>
      </c>
      <c r="I56" s="7">
        <f>T_5A2!G59*1000</f>
        <v>0</v>
      </c>
      <c r="J56" s="7">
        <f>T_5A2!H59*1000</f>
        <v>0</v>
      </c>
      <c r="K56" s="7">
        <f>T_5A2!I59*1000</f>
        <v>0</v>
      </c>
      <c r="L56" s="7">
        <f>T_5A2!J59*1000</f>
        <v>0</v>
      </c>
      <c r="M56" s="7">
        <f>T_5A2!K59*1000</f>
        <v>0</v>
      </c>
      <c r="N56" s="7">
        <f>T_5A2!L59*1000</f>
        <v>0</v>
      </c>
      <c r="O56" s="7">
        <f>T_5A2!M59*1000</f>
        <v>0</v>
      </c>
      <c r="P56" s="7">
        <f>T_5A2!N59*1000</f>
        <v>0</v>
      </c>
      <c r="Q56" s="7">
        <f>T_5A2!O59*1000</f>
        <v>0</v>
      </c>
      <c r="R56" s="7">
        <f>T_5A2!P59*1000</f>
        <v>0</v>
      </c>
      <c r="S56" s="7">
        <f>T_5A2!Q59*1000</f>
        <v>0</v>
      </c>
      <c r="T56" s="7">
        <f>T_5A2!R59*1000</f>
        <v>0</v>
      </c>
      <c r="U56" s="7">
        <f>T_5A2!S59*1000</f>
        <v>0</v>
      </c>
      <c r="V56" s="7">
        <f>T_5A2!T59*1000</f>
        <v>0</v>
      </c>
      <c r="W56" s="7">
        <f>T_5A2!U59*1000</f>
        <v>0</v>
      </c>
      <c r="X56" s="7">
        <f>T_5A2!V59*1000</f>
        <v>0</v>
      </c>
      <c r="Y56" s="7">
        <f>T_5A2!W59*1000</f>
        <v>0</v>
      </c>
      <c r="Z56" s="7">
        <f>T_5A2!X59*1000</f>
        <v>0</v>
      </c>
      <c r="AA56" s="7">
        <f>T_5A2!Y59*1000</f>
        <v>0</v>
      </c>
      <c r="AB56" s="7">
        <f>T_5A2!Z59*1000</f>
        <v>0</v>
      </c>
      <c r="AC56" s="7">
        <f>T_5A2!AA59*1000</f>
        <v>0</v>
      </c>
      <c r="AD56" s="7">
        <f>T_5A2!AB59*1000</f>
        <v>0</v>
      </c>
      <c r="AE56" s="7">
        <f>T_5A2!AC59*1000</f>
        <v>0</v>
      </c>
      <c r="AF56" s="7">
        <f>T_5A2!AD59*1000</f>
        <v>0</v>
      </c>
    </row>
    <row r="57" spans="5:32" x14ac:dyDescent="0.3">
      <c r="E57" s="3" t="s">
        <v>334</v>
      </c>
      <c r="F57" s="3" t="s">
        <v>267</v>
      </c>
      <c r="G57" s="7">
        <f>T_Compostaje!G54*1000</f>
        <v>1.6499999999999996E-3</v>
      </c>
      <c r="H57" s="7">
        <f>T_Compostaje!H54*1000</f>
        <v>1.9199999999999998E-3</v>
      </c>
      <c r="I57" s="7">
        <f>T_Compostaje!I54*1000</f>
        <v>2.1899999999999997E-3</v>
      </c>
      <c r="J57" s="7">
        <f>T_Compostaje!J54*1000</f>
        <v>6.6600000000000001E-3</v>
      </c>
      <c r="K57" s="7">
        <f>T_Compostaje!K54*1000</f>
        <v>1.1159999999999998E-2</v>
      </c>
      <c r="L57" s="7">
        <f>T_Compostaje!L54*1000</f>
        <v>9.6599999999999984E-3</v>
      </c>
      <c r="M57" s="7">
        <f>T_Compostaje!M54*1000</f>
        <v>8.1599999999999989E-3</v>
      </c>
      <c r="N57" s="7">
        <f>T_Compostaje!N54*1000</f>
        <v>9.1499999999999984E-3</v>
      </c>
      <c r="O57" s="7">
        <f>T_Compostaje!O54*1000</f>
        <v>1.0139999999999998E-2</v>
      </c>
      <c r="P57" s="7">
        <f>T_Compostaje!P54*1000</f>
        <v>1.0589999999999999E-2</v>
      </c>
      <c r="Q57" s="7">
        <f>T_Compostaje!Q54*1000</f>
        <v>1.1039999999999999E-2</v>
      </c>
      <c r="R57" s="7">
        <f>T_Compostaje!R54*1000</f>
        <v>1.155E-2</v>
      </c>
      <c r="S57" s="7">
        <f>T_Compostaje!S54*1000</f>
        <v>1.0109999999999999E-2</v>
      </c>
      <c r="T57" s="7">
        <f>T_Compostaje!T54*1000</f>
        <v>1.0679999999999999E-2</v>
      </c>
      <c r="U57" s="7">
        <f>T_Compostaje!U54*1000</f>
        <v>1.1279999999999998E-2</v>
      </c>
      <c r="V57" s="7">
        <f>T_Compostaje!V54*1000</f>
        <v>1.188E-2</v>
      </c>
      <c r="W57" s="7">
        <f>T_Compostaje!W54*1000</f>
        <v>1.2509999999999999E-2</v>
      </c>
      <c r="X57" s="7">
        <f>T_Compostaje!X54*1000</f>
        <v>1.311E-2</v>
      </c>
      <c r="Y57" s="7">
        <f>T_Compostaje!Y54*1000</f>
        <v>1.3770000000000001E-2</v>
      </c>
      <c r="Z57" s="7">
        <f>T_Compostaje!Z54*1000</f>
        <v>1.44E-2</v>
      </c>
      <c r="AA57" s="7">
        <f>T_Compostaje!AA54*1000</f>
        <v>1.506E-2</v>
      </c>
      <c r="AB57" s="7">
        <f>T_Compostaje!AB54*1000</f>
        <v>1.5359999999999999E-2</v>
      </c>
      <c r="AC57" s="7">
        <f>T_Compostaje!AC54*1000</f>
        <v>1.5629999999999998E-2</v>
      </c>
      <c r="AD57" s="7">
        <f>T_Compostaje!AD54*1000</f>
        <v>1.593E-2</v>
      </c>
      <c r="AE57" s="7">
        <f>T_Compostaje!AE54*1000</f>
        <v>1.6229999999999998E-2</v>
      </c>
      <c r="AF57" s="7">
        <f>T_Compostaje!AF54*1000</f>
        <v>1.653E-2</v>
      </c>
    </row>
    <row r="58" spans="5:32" x14ac:dyDescent="0.3">
      <c r="E58" s="3" t="s">
        <v>335</v>
      </c>
      <c r="F58" s="3" t="s">
        <v>275</v>
      </c>
      <c r="G58" s="7">
        <f>T_Incineracion!C71*1000</f>
        <v>9.1000000000000011E-4</v>
      </c>
      <c r="H58" s="7">
        <f>T_Incineracion!D71*1000</f>
        <v>9.7000000000000005E-4</v>
      </c>
      <c r="I58" s="7">
        <f>T_Incineracion!E71*1000</f>
        <v>1.0399999999999999E-3</v>
      </c>
      <c r="J58" s="7">
        <f>T_Incineracion!F71*1000</f>
        <v>1.08E-3</v>
      </c>
      <c r="K58" s="7">
        <f>T_Incineracion!G71*1000</f>
        <v>1.1299999999999999E-3</v>
      </c>
      <c r="L58" s="7">
        <f>T_Incineracion!H71*1000</f>
        <v>1.1200000000000001E-3</v>
      </c>
      <c r="M58" s="7">
        <f>T_Incineracion!I71*1000</f>
        <v>1.1200000000000001E-3</v>
      </c>
      <c r="N58" s="7">
        <f>T_Incineracion!J71*1000</f>
        <v>1.1400000000000002E-3</v>
      </c>
      <c r="O58" s="7">
        <f>T_Incineracion!K71*1000</f>
        <v>1.16E-3</v>
      </c>
      <c r="P58" s="7">
        <f>T_Incineracion!L71*1000</f>
        <v>1.5100000000000001E-3</v>
      </c>
      <c r="Q58" s="7">
        <f>T_Incineracion!M71*1000</f>
        <v>1.9300000000000001E-3</v>
      </c>
      <c r="R58" s="7">
        <f>T_Incineracion!N71*1000</f>
        <v>9.1000000000000011E-4</v>
      </c>
      <c r="S58" s="7">
        <f>T_Incineracion!O71*1000</f>
        <v>1.3699999999999999E-3</v>
      </c>
      <c r="T58" s="7">
        <f>T_Incineracion!P71*1000</f>
        <v>1.4399999999999999E-3</v>
      </c>
      <c r="U58" s="7">
        <f>T_Incineracion!Q71*1000</f>
        <v>1.5200000000000001E-3</v>
      </c>
      <c r="V58" s="7">
        <f>T_Incineracion!R71*1000</f>
        <v>1.6100000000000001E-3</v>
      </c>
      <c r="W58" s="7">
        <f>T_Incineracion!S71*1000</f>
        <v>1.6899999999999999E-3</v>
      </c>
      <c r="X58" s="7">
        <f>T_Incineracion!T71*1000</f>
        <v>1.7800000000000001E-3</v>
      </c>
      <c r="Y58" s="7">
        <f>T_Incineracion!U71*1000</f>
        <v>1.8599999999999999E-3</v>
      </c>
      <c r="Z58" s="7">
        <f>T_Incineracion!V71*1000</f>
        <v>1.9499999999999999E-3</v>
      </c>
      <c r="AA58" s="7">
        <f>T_Incineracion!W71*1000</f>
        <v>2.0400000000000006E-3</v>
      </c>
      <c r="AB58" s="7">
        <f>T_Incineracion!X71*1000</f>
        <v>2.0799999999999998E-3</v>
      </c>
      <c r="AC58" s="7">
        <f>T_Incineracion!Y71*1000</f>
        <v>2.1199999999999999E-3</v>
      </c>
      <c r="AD58" s="7">
        <f>T_Incineracion!Z71*1000</f>
        <v>2.16E-3</v>
      </c>
      <c r="AE58" s="7">
        <f>T_Incineracion!AA71*1000</f>
        <v>2.2000000000000001E-3</v>
      </c>
      <c r="AF58" s="7">
        <f>T_Incineracion!AB71*1000</f>
        <v>2.2400000000000002E-3</v>
      </c>
    </row>
    <row r="59" spans="5:32" x14ac:dyDescent="0.3">
      <c r="E59" s="141" t="s">
        <v>41</v>
      </c>
      <c r="F59" s="3" t="s">
        <v>323</v>
      </c>
      <c r="G59" s="7">
        <f>T_5D1!F78*1000</f>
        <v>0</v>
      </c>
      <c r="H59" s="7">
        <f>T_5D1!G78*1000</f>
        <v>0</v>
      </c>
      <c r="I59" s="7">
        <f>T_5D1!H78*1000</f>
        <v>0</v>
      </c>
      <c r="J59" s="7">
        <f>T_5D1!I78*1000</f>
        <v>0</v>
      </c>
      <c r="K59" s="7">
        <f>T_5D1!J78*1000</f>
        <v>0</v>
      </c>
      <c r="L59" s="7">
        <f>T_5D1!K78*1000</f>
        <v>0</v>
      </c>
      <c r="M59" s="7">
        <f>T_5D1!L78*1000</f>
        <v>0</v>
      </c>
      <c r="N59" s="7">
        <f>T_5D1!M78*1000</f>
        <v>0</v>
      </c>
      <c r="O59" s="7">
        <f>T_5D1!N78*1000</f>
        <v>0</v>
      </c>
      <c r="P59" s="7">
        <f>T_5D1!O78*1000</f>
        <v>0</v>
      </c>
      <c r="Q59" s="7">
        <f>T_5D1!P78*1000</f>
        <v>0</v>
      </c>
      <c r="R59" s="7">
        <f>T_5D1!Q78*1000</f>
        <v>0</v>
      </c>
      <c r="S59" s="7">
        <f>T_5D1!R78*1000</f>
        <v>0</v>
      </c>
      <c r="T59" s="7">
        <f>T_5D1!S78*1000</f>
        <v>0</v>
      </c>
      <c r="U59" s="7">
        <f>T_5D1!T78*1000</f>
        <v>0</v>
      </c>
      <c r="V59" s="7">
        <f>T_5D1!U78*1000</f>
        <v>0</v>
      </c>
      <c r="W59" s="7">
        <f>T_5D1!V78*1000</f>
        <v>0</v>
      </c>
      <c r="X59" s="7">
        <f>T_5D1!W78*1000</f>
        <v>0</v>
      </c>
      <c r="Y59" s="7">
        <f>T_5D1!X78*1000</f>
        <v>0</v>
      </c>
      <c r="Z59" s="7">
        <f>T_5D1!Y78*1000</f>
        <v>0</v>
      </c>
      <c r="AA59" s="7">
        <f>T_5D1!Z78*1000</f>
        <v>0</v>
      </c>
      <c r="AB59" s="7">
        <f>T_5D1!AA78*1000</f>
        <v>0</v>
      </c>
      <c r="AC59" s="7">
        <f>T_5D1!AB78*1000</f>
        <v>0</v>
      </c>
      <c r="AD59" s="7">
        <f>T_5D1!AC78*1000</f>
        <v>0</v>
      </c>
      <c r="AE59" s="7">
        <f>T_5D1!AD78*1000</f>
        <v>0</v>
      </c>
      <c r="AF59" s="7">
        <f>T_5D1!AE78*1000</f>
        <v>0</v>
      </c>
    </row>
    <row r="60" spans="5:32" x14ac:dyDescent="0.3">
      <c r="E60" s="141" t="s">
        <v>41</v>
      </c>
      <c r="F60" s="3" t="s">
        <v>325</v>
      </c>
      <c r="G60" s="7">
        <f>T_5D1!F91*1000</f>
        <v>0.6794</v>
      </c>
      <c r="H60" s="7">
        <f>T_5D1!G91*1000</f>
        <v>0.69046000000000018</v>
      </c>
      <c r="I60" s="7">
        <f>T_5D1!H91*1000</f>
        <v>0.69520000000000004</v>
      </c>
      <c r="J60" s="7">
        <f>T_5D1!I91*1000</f>
        <v>0.70784000000000002</v>
      </c>
      <c r="K60" s="7">
        <f>T_5D1!J91*1000</f>
        <v>0.72048000000000012</v>
      </c>
      <c r="L60" s="7">
        <f>T_5D1!K91*1000</f>
        <v>0.71337000000000006</v>
      </c>
      <c r="M60" s="7">
        <f>T_5D1!L91*1000</f>
        <v>0.70626</v>
      </c>
      <c r="N60" s="7">
        <f>T_5D1!M91*1000</f>
        <v>0.70784000000000002</v>
      </c>
      <c r="O60" s="7">
        <f>T_5D1!N91*1000</f>
        <v>0.70863000000000009</v>
      </c>
      <c r="P60" s="7">
        <f>T_5D1!O91*1000</f>
        <v>0.7394400000000001</v>
      </c>
      <c r="Q60" s="7">
        <f>T_5D1!P91*1000</f>
        <v>0.77104000000000006</v>
      </c>
      <c r="R60" s="7">
        <f>T_5D1!Q91*1000</f>
        <v>0.76630000000000009</v>
      </c>
      <c r="S60" s="7">
        <f>T_5D1!R91*1000</f>
        <v>0.73075000000000001</v>
      </c>
      <c r="T60" s="7">
        <f>T_5D1!S91*1000</f>
        <v>0.78842000000000012</v>
      </c>
      <c r="U60" s="7">
        <f>T_5D1!T91*1000</f>
        <v>0.84688000000000019</v>
      </c>
      <c r="V60" s="7">
        <f>T_5D1!U91*1000</f>
        <v>0.84372000000000014</v>
      </c>
      <c r="W60" s="7">
        <f>T_5D1!V91*1000</f>
        <v>0.87690000000000012</v>
      </c>
      <c r="X60" s="7">
        <f>T_5D1!W91*1000</f>
        <v>1.02858</v>
      </c>
      <c r="Y60" s="7">
        <f>T_5D1!X91*1000</f>
        <v>1.0925700000000003</v>
      </c>
      <c r="Z60" s="7">
        <f>T_5D1!Y91*1000</f>
        <v>1.15656</v>
      </c>
      <c r="AA60" s="7">
        <f>T_5D1!Z91*1000</f>
        <v>1.2205500000000002</v>
      </c>
      <c r="AB60" s="7">
        <f>T_5D1!AA91*1000</f>
        <v>1.2861200000000002</v>
      </c>
      <c r="AC60" s="7">
        <f>T_5D1!AB91*1000</f>
        <v>1.3532700000000002</v>
      </c>
      <c r="AD60" s="7">
        <f>T_5D1!AC91*1000</f>
        <v>1.4204200000000002</v>
      </c>
      <c r="AE60" s="7">
        <f>T_5D1!AD91*1000</f>
        <v>1.48915</v>
      </c>
      <c r="AF60" s="7">
        <f>T_5D1!AE91*1000</f>
        <v>1.5578799999999999</v>
      </c>
    </row>
    <row r="61" spans="5:32" x14ac:dyDescent="0.3">
      <c r="E61" s="3" t="s">
        <v>44</v>
      </c>
      <c r="F61" s="3" t="s">
        <v>327</v>
      </c>
      <c r="G61" s="7">
        <f>T_5D2!F54*1000</f>
        <v>0</v>
      </c>
      <c r="H61" s="7">
        <f>T_5D2!G54*1000</f>
        <v>0</v>
      </c>
      <c r="I61" s="7">
        <f>T_5D2!H54*1000</f>
        <v>0</v>
      </c>
      <c r="J61" s="7">
        <f>T_5D2!I54*1000</f>
        <v>0</v>
      </c>
      <c r="K61" s="7">
        <f>T_5D2!J54*1000</f>
        <v>0</v>
      </c>
      <c r="L61" s="7">
        <f>T_5D2!K54*1000</f>
        <v>0</v>
      </c>
      <c r="M61" s="7">
        <f>T_5D2!L54*1000</f>
        <v>0</v>
      </c>
      <c r="N61" s="7">
        <f>T_5D2!M54*1000</f>
        <v>0</v>
      </c>
      <c r="O61" s="7">
        <f>T_5D2!N54*1000</f>
        <v>0</v>
      </c>
      <c r="P61" s="7">
        <f>T_5D2!O54*1000</f>
        <v>0</v>
      </c>
      <c r="Q61" s="7">
        <f>T_5D2!P54*1000</f>
        <v>0</v>
      </c>
      <c r="R61" s="7">
        <f>T_5D2!Q54*1000</f>
        <v>0</v>
      </c>
      <c r="S61" s="7">
        <f>T_5D2!R54*1000</f>
        <v>0</v>
      </c>
      <c r="T61" s="7">
        <f>T_5D2!S54*1000</f>
        <v>0</v>
      </c>
      <c r="U61" s="7">
        <f>T_5D2!T54*1000</f>
        <v>0</v>
      </c>
      <c r="V61" s="7">
        <f>T_5D2!U54*1000</f>
        <v>0</v>
      </c>
      <c r="W61" s="7">
        <f>T_5D2!V54*1000</f>
        <v>0</v>
      </c>
      <c r="X61" s="7">
        <f>T_5D2!W54*1000</f>
        <v>0</v>
      </c>
      <c r="Y61" s="7">
        <f>T_5D2!X54*1000</f>
        <v>0</v>
      </c>
      <c r="Z61" s="7">
        <f>T_5D2!Y54*1000</f>
        <v>0</v>
      </c>
      <c r="AA61" s="7">
        <f>T_5D2!Z54*1000</f>
        <v>0</v>
      </c>
      <c r="AB61" s="7">
        <f>T_5D2!AA54*1000</f>
        <v>0</v>
      </c>
      <c r="AC61" s="7">
        <f>T_5D2!AB54*1000</f>
        <v>0</v>
      </c>
      <c r="AD61" s="7">
        <f>T_5D2!AC54*1000</f>
        <v>0</v>
      </c>
      <c r="AE61" s="7">
        <f>T_5D2!AD54*1000</f>
        <v>0</v>
      </c>
      <c r="AF61" s="7">
        <f>T_5D2!AE54*1000</f>
        <v>0</v>
      </c>
    </row>
    <row r="62" spans="5:32" x14ac:dyDescent="0.3"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</row>
    <row r="63" spans="5:32" x14ac:dyDescent="0.3"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</row>
    <row r="64" spans="5:32" x14ac:dyDescent="0.3">
      <c r="F64" t="s">
        <v>336</v>
      </c>
      <c r="G64" s="11">
        <f>G55+G56+G57+G58</f>
        <v>2.5599999999999998E-3</v>
      </c>
      <c r="H64" s="11">
        <f t="shared" ref="H64:AF64" si="9">H55+H56+H57+H58</f>
        <v>2.8899999999999998E-3</v>
      </c>
      <c r="I64" s="11">
        <f t="shared" si="9"/>
        <v>3.2299999999999994E-3</v>
      </c>
      <c r="J64" s="11">
        <f t="shared" si="9"/>
        <v>7.7400000000000004E-3</v>
      </c>
      <c r="K64" s="11">
        <f t="shared" si="9"/>
        <v>1.2289999999999999E-2</v>
      </c>
      <c r="L64" s="11">
        <f t="shared" si="9"/>
        <v>1.0779999999999998E-2</v>
      </c>
      <c r="M64" s="11">
        <f t="shared" si="9"/>
        <v>9.2799999999999983E-3</v>
      </c>
      <c r="N64" s="11">
        <f t="shared" si="9"/>
        <v>1.0289999999999999E-2</v>
      </c>
      <c r="O64" s="11">
        <f t="shared" si="9"/>
        <v>1.1299999999999998E-2</v>
      </c>
      <c r="P64" s="11">
        <f t="shared" si="9"/>
        <v>1.21E-2</v>
      </c>
      <c r="Q64" s="11">
        <f t="shared" si="9"/>
        <v>1.2969999999999999E-2</v>
      </c>
      <c r="R64" s="11">
        <f t="shared" si="9"/>
        <v>1.2459999999999999E-2</v>
      </c>
      <c r="S64" s="11">
        <f t="shared" si="9"/>
        <v>1.1479999999999999E-2</v>
      </c>
      <c r="T64" s="11">
        <f t="shared" si="9"/>
        <v>1.2119999999999999E-2</v>
      </c>
      <c r="U64" s="11">
        <f t="shared" si="9"/>
        <v>1.2799999999999999E-2</v>
      </c>
      <c r="V64" s="11">
        <f t="shared" si="9"/>
        <v>1.349E-2</v>
      </c>
      <c r="W64" s="11">
        <f t="shared" si="9"/>
        <v>1.4199999999999999E-2</v>
      </c>
      <c r="X64" s="11">
        <f t="shared" si="9"/>
        <v>1.489E-2</v>
      </c>
      <c r="Y64" s="11">
        <f t="shared" si="9"/>
        <v>1.5630000000000002E-2</v>
      </c>
      <c r="Z64" s="11">
        <f t="shared" si="9"/>
        <v>1.635E-2</v>
      </c>
      <c r="AA64" s="11">
        <f t="shared" si="9"/>
        <v>1.7100000000000001E-2</v>
      </c>
      <c r="AB64" s="11">
        <f t="shared" si="9"/>
        <v>1.7439999999999997E-2</v>
      </c>
      <c r="AC64" s="11">
        <f t="shared" si="9"/>
        <v>1.7749999999999998E-2</v>
      </c>
      <c r="AD64" s="11">
        <f t="shared" si="9"/>
        <v>1.8089999999999998E-2</v>
      </c>
      <c r="AE64" s="11">
        <f t="shared" si="9"/>
        <v>1.8429999999999998E-2</v>
      </c>
      <c r="AF64" s="11">
        <f t="shared" si="9"/>
        <v>1.8769999999999998E-2</v>
      </c>
    </row>
    <row r="65" spans="6:32" x14ac:dyDescent="0.3">
      <c r="F65" t="s">
        <v>337</v>
      </c>
      <c r="G65" s="11">
        <f>G59+G60+G61</f>
        <v>0.6794</v>
      </c>
      <c r="H65" s="11">
        <f t="shared" ref="H65:AF65" si="10">H59+H60+H61</f>
        <v>0.69046000000000018</v>
      </c>
      <c r="I65" s="11">
        <f t="shared" si="10"/>
        <v>0.69520000000000004</v>
      </c>
      <c r="J65" s="11">
        <f t="shared" si="10"/>
        <v>0.70784000000000002</v>
      </c>
      <c r="K65" s="11">
        <f t="shared" si="10"/>
        <v>0.72048000000000012</v>
      </c>
      <c r="L65" s="11">
        <f t="shared" si="10"/>
        <v>0.71337000000000006</v>
      </c>
      <c r="M65" s="11">
        <f t="shared" si="10"/>
        <v>0.70626</v>
      </c>
      <c r="N65" s="11">
        <f t="shared" si="10"/>
        <v>0.70784000000000002</v>
      </c>
      <c r="O65" s="11">
        <f t="shared" si="10"/>
        <v>0.70863000000000009</v>
      </c>
      <c r="P65" s="11">
        <f t="shared" si="10"/>
        <v>0.7394400000000001</v>
      </c>
      <c r="Q65" s="11">
        <f t="shared" si="10"/>
        <v>0.77104000000000006</v>
      </c>
      <c r="R65" s="11">
        <f t="shared" si="10"/>
        <v>0.76630000000000009</v>
      </c>
      <c r="S65" s="11">
        <f t="shared" si="10"/>
        <v>0.73075000000000001</v>
      </c>
      <c r="T65" s="11">
        <f t="shared" si="10"/>
        <v>0.78842000000000012</v>
      </c>
      <c r="U65" s="11">
        <f t="shared" si="10"/>
        <v>0.84688000000000019</v>
      </c>
      <c r="V65" s="11">
        <f t="shared" si="10"/>
        <v>0.84372000000000014</v>
      </c>
      <c r="W65" s="11">
        <f t="shared" si="10"/>
        <v>0.87690000000000012</v>
      </c>
      <c r="X65" s="11">
        <f t="shared" si="10"/>
        <v>1.02858</v>
      </c>
      <c r="Y65" s="11">
        <f t="shared" si="10"/>
        <v>1.0925700000000003</v>
      </c>
      <c r="Z65" s="11">
        <f t="shared" si="10"/>
        <v>1.15656</v>
      </c>
      <c r="AA65" s="11">
        <f t="shared" si="10"/>
        <v>1.2205500000000002</v>
      </c>
      <c r="AB65" s="11">
        <f t="shared" si="10"/>
        <v>1.2861200000000002</v>
      </c>
      <c r="AC65" s="11">
        <f t="shared" si="10"/>
        <v>1.3532700000000002</v>
      </c>
      <c r="AD65" s="11">
        <f t="shared" si="10"/>
        <v>1.4204200000000002</v>
      </c>
      <c r="AE65" s="11">
        <f t="shared" si="10"/>
        <v>1.48915</v>
      </c>
      <c r="AF65" s="11">
        <f t="shared" si="10"/>
        <v>1.5578799999999999</v>
      </c>
    </row>
    <row r="66" spans="6:32" x14ac:dyDescent="0.3">
      <c r="F66" t="s">
        <v>253</v>
      </c>
      <c r="G66" s="11">
        <f>G55+G56+G57+G58+G59+G60+G61</f>
        <v>0.68196000000000001</v>
      </c>
      <c r="H66" s="11">
        <f t="shared" ref="H66:AF66" si="11">H55+H56+H57+H58+H59+H60+H61</f>
        <v>0.69335000000000013</v>
      </c>
      <c r="I66" s="11">
        <f t="shared" si="11"/>
        <v>0.69843</v>
      </c>
      <c r="J66" s="11">
        <f t="shared" si="11"/>
        <v>0.71557999999999999</v>
      </c>
      <c r="K66" s="11">
        <f t="shared" si="11"/>
        <v>0.73277000000000014</v>
      </c>
      <c r="L66" s="11">
        <f t="shared" si="11"/>
        <v>0.72415000000000007</v>
      </c>
      <c r="M66" s="11">
        <f t="shared" si="11"/>
        <v>0.71553999999999995</v>
      </c>
      <c r="N66" s="11">
        <f t="shared" si="11"/>
        <v>0.71813000000000005</v>
      </c>
      <c r="O66" s="11">
        <f t="shared" si="11"/>
        <v>0.71993000000000007</v>
      </c>
      <c r="P66" s="11">
        <f t="shared" si="11"/>
        <v>0.7515400000000001</v>
      </c>
      <c r="Q66" s="11">
        <f t="shared" si="11"/>
        <v>0.7840100000000001</v>
      </c>
      <c r="R66" s="11">
        <f t="shared" si="11"/>
        <v>0.77876000000000012</v>
      </c>
      <c r="S66" s="11">
        <f t="shared" si="11"/>
        <v>0.74223000000000006</v>
      </c>
      <c r="T66" s="11">
        <f t="shared" si="11"/>
        <v>0.80054000000000014</v>
      </c>
      <c r="U66" s="11">
        <f t="shared" si="11"/>
        <v>0.85968000000000022</v>
      </c>
      <c r="V66" s="11">
        <f t="shared" si="11"/>
        <v>0.85721000000000014</v>
      </c>
      <c r="W66" s="11">
        <f t="shared" si="11"/>
        <v>0.89110000000000011</v>
      </c>
      <c r="X66" s="11">
        <f t="shared" si="11"/>
        <v>1.0434700000000001</v>
      </c>
      <c r="Y66" s="11">
        <f t="shared" si="11"/>
        <v>1.1082000000000003</v>
      </c>
      <c r="Z66" s="11">
        <f t="shared" si="11"/>
        <v>1.1729100000000001</v>
      </c>
      <c r="AA66" s="11">
        <f t="shared" si="11"/>
        <v>1.2376500000000001</v>
      </c>
      <c r="AB66" s="11">
        <f t="shared" si="11"/>
        <v>1.3035600000000001</v>
      </c>
      <c r="AC66" s="11">
        <f t="shared" si="11"/>
        <v>1.3710200000000001</v>
      </c>
      <c r="AD66" s="11">
        <f t="shared" si="11"/>
        <v>1.4385100000000002</v>
      </c>
      <c r="AE66" s="11">
        <f t="shared" si="11"/>
        <v>1.5075799999999999</v>
      </c>
      <c r="AF66" s="11">
        <f t="shared" si="11"/>
        <v>1.5766499999999999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F8710-04B5-4243-A80C-5AFD4727BB58}">
  <sheetPr>
    <tabColor theme="7" tint="0.59999389629810485"/>
  </sheetPr>
  <dimension ref="E4:AF62"/>
  <sheetViews>
    <sheetView topLeftCell="D1" workbookViewId="0">
      <selection activeCell="R7" sqref="R7"/>
    </sheetView>
  </sheetViews>
  <sheetFormatPr defaultRowHeight="14.4" x14ac:dyDescent="0.3"/>
  <cols>
    <col min="5" max="5" width="9" bestFit="1" customWidth="1"/>
    <col min="6" max="6" width="20.33203125" customWidth="1"/>
    <col min="7" max="31" width="7.88671875" bestFit="1" customWidth="1"/>
    <col min="32" max="32" width="9.109375" bestFit="1" customWidth="1"/>
  </cols>
  <sheetData>
    <row r="4" spans="5:32" x14ac:dyDescent="0.3">
      <c r="E4" s="1" t="s">
        <v>71</v>
      </c>
    </row>
    <row r="6" spans="5:32" x14ac:dyDescent="0.3">
      <c r="E6" s="3" t="s">
        <v>332</v>
      </c>
      <c r="F6" s="3" t="s">
        <v>333</v>
      </c>
      <c r="G6" s="3">
        <v>2010</v>
      </c>
      <c r="H6" s="3">
        <v>2011</v>
      </c>
      <c r="I6" s="3">
        <v>2012</v>
      </c>
      <c r="J6" s="3">
        <v>2013</v>
      </c>
      <c r="K6" s="3">
        <v>2014</v>
      </c>
      <c r="L6" s="3">
        <v>2015</v>
      </c>
      <c r="M6" s="3">
        <v>2016</v>
      </c>
      <c r="N6" s="3">
        <v>2017</v>
      </c>
      <c r="O6" s="3">
        <v>2018</v>
      </c>
      <c r="P6" s="3">
        <v>2019</v>
      </c>
      <c r="Q6" s="3">
        <v>2020</v>
      </c>
      <c r="R6" s="3">
        <v>2021</v>
      </c>
      <c r="S6" s="3">
        <v>2022</v>
      </c>
      <c r="T6" s="3">
        <v>2023</v>
      </c>
      <c r="U6" s="3">
        <v>2024</v>
      </c>
      <c r="V6" s="3">
        <v>2025</v>
      </c>
      <c r="W6" s="3">
        <v>2026</v>
      </c>
      <c r="X6" s="3">
        <v>2027</v>
      </c>
      <c r="Y6" s="3">
        <v>2028</v>
      </c>
      <c r="Z6" s="3">
        <v>2029</v>
      </c>
      <c r="AA6" s="3">
        <v>2030</v>
      </c>
      <c r="AB6" s="3">
        <v>2031</v>
      </c>
      <c r="AC6" s="3">
        <v>2032</v>
      </c>
      <c r="AD6" s="3">
        <v>2033</v>
      </c>
      <c r="AE6" s="3">
        <v>2034</v>
      </c>
      <c r="AF6" s="3">
        <v>2035</v>
      </c>
    </row>
    <row r="7" spans="5:32" x14ac:dyDescent="0.3">
      <c r="E7" s="17" t="s">
        <v>35</v>
      </c>
      <c r="F7" s="17" t="s">
        <v>269</v>
      </c>
      <c r="G7" s="7">
        <f>Ini_I_Compostaje!C52*1000-'Ini_I+C_CapturaMetano'!C21</f>
        <v>892.37160000000006</v>
      </c>
      <c r="H7" s="7">
        <f>Ini_I_Compostaje!D52*1000-'Ini_I+C_CapturaMetano'!D21</f>
        <v>1032.8312000000001</v>
      </c>
      <c r="I7" s="7">
        <f>Ini_I_Compostaje!E52*1000-'Ini_I+C_CapturaMetano'!E21</f>
        <v>1173.3316400000001</v>
      </c>
      <c r="J7" s="7">
        <f>Ini_I_Compostaje!F52*1000-'Ini_I+C_CapturaMetano'!F21</f>
        <v>1229.7626000000002</v>
      </c>
      <c r="K7" s="7">
        <f>Ini_I_Compostaje!G52*1000-'Ini_I+C_CapturaMetano'!G21</f>
        <v>1286.35052</v>
      </c>
      <c r="L7" s="7">
        <f>Ini_I_Compostaje!H52*1000-'Ini_I+C_CapturaMetano'!H21</f>
        <v>1720.15705</v>
      </c>
      <c r="M7" s="7">
        <f>Ini_I_Compostaje!I52*1000-'Ini_I+C_CapturaMetano'!I21</f>
        <v>2154.1215999999999</v>
      </c>
      <c r="N7" s="7">
        <f>Ini_I_Compostaje!J52*1000-'Ini_I+C_CapturaMetano'!J21</f>
        <v>2435.0344399999999</v>
      </c>
      <c r="O7" s="7">
        <f>Ini_I_Compostaje!K52*1000-'Ini_I+C_CapturaMetano'!K21</f>
        <v>2716.10394</v>
      </c>
      <c r="P7" s="7">
        <f>Ini_I_Compostaje!L52*1000-'Ini_I+C_CapturaMetano'!L21</f>
        <v>2898.0348799999997</v>
      </c>
      <c r="Q7" s="7">
        <f>Ini_I_Compostaje!M52*1000-'Ini_I+C_CapturaMetano'!M21</f>
        <v>3079.7371800000005</v>
      </c>
      <c r="R7" s="7">
        <f>Ini_I_Compostaje!N52*1000-'Ini_I+C_CapturaMetano'!N21</f>
        <v>3299.0830299999998</v>
      </c>
      <c r="S7" s="7">
        <f>Ini_I_Compostaje!O52*1000-'Ini_I+C_CapturaMetano'!O21</f>
        <v>3449.69616</v>
      </c>
      <c r="T7" s="7">
        <f>Ini_I_Compostaje!P52*1000-'Ini_I+C_CapturaMetano'!P21</f>
        <v>3827.1912000000002</v>
      </c>
      <c r="U7" s="7">
        <f>Ini_I_Compostaje!Q52*1000-'Ini_I+C_CapturaMetano'!Q21</f>
        <v>4237.9660400000002</v>
      </c>
      <c r="V7" s="7">
        <f>Ini_I_Compostaje!R52*1000-'Ini_I+C_CapturaMetano'!R21</f>
        <v>4682.6964799999996</v>
      </c>
      <c r="W7" s="7">
        <f>Ini_I_Compostaje!S52*1000-'Ini_I+C_CapturaMetano'!S21</f>
        <v>5154.5787200000004</v>
      </c>
      <c r="X7" s="7">
        <f>Ini_I_Compostaje!T52*1000-'Ini_I+C_CapturaMetano'!T21</f>
        <v>5673.8697199999997</v>
      </c>
      <c r="Y7" s="7">
        <f>Ini_I_Compostaje!U52*1000-'Ini_I+C_CapturaMetano'!U21</f>
        <v>6233.6733599999998</v>
      </c>
      <c r="Z7" s="7">
        <f>Ini_I_Compostaje!V52*1000-'Ini_I+C_CapturaMetano'!V21</f>
        <v>6836.0501599999998</v>
      </c>
      <c r="AA7" s="7">
        <f>Ini_I_Compostaje!W52*1000-'Ini_I+C_CapturaMetano'!W21</f>
        <v>7531.3412000000008</v>
      </c>
      <c r="AB7" s="7">
        <f>Ini_I_Compostaje!X52*1000-'Ini_I+C_CapturaMetano'!X21</f>
        <v>8051.6683999999987</v>
      </c>
      <c r="AC7" s="7">
        <f>Ini_I_Compostaje!Y52*1000-'Ini_I+C_CapturaMetano'!Y21</f>
        <v>8610.3732400000008</v>
      </c>
      <c r="AD7" s="7">
        <f>Ini_I_Compostaje!Z52*1000-'Ini_I+C_CapturaMetano'!Z21</f>
        <v>9196.4732800000002</v>
      </c>
      <c r="AE7" s="7">
        <f>Ini_I_Compostaje!AA52*1000-'Ini_I+C_CapturaMetano'!AA21</f>
        <v>9823.0097999999998</v>
      </c>
      <c r="AF7" s="7">
        <f>Ini_I_Compostaje!AB52*1000-'Ini_I+C_CapturaMetano'!AB21</f>
        <v>10488.494959999998</v>
      </c>
    </row>
    <row r="8" spans="5:32" x14ac:dyDescent="0.3">
      <c r="E8" s="3" t="s">
        <v>38</v>
      </c>
      <c r="F8" s="3" t="s">
        <v>271</v>
      </c>
      <c r="G8" s="7">
        <f>T_5A2!E56*1000</f>
        <v>806.15385000000003</v>
      </c>
      <c r="H8" s="7">
        <f>T_5A2!F56*1000</f>
        <v>843.58052000000021</v>
      </c>
      <c r="I8" s="7">
        <f>T_5A2!G56*1000</f>
        <v>881.17351999999994</v>
      </c>
      <c r="J8" s="7">
        <f>T_5A2!H56*1000</f>
        <v>1020.9232</v>
      </c>
      <c r="K8" s="7">
        <f>T_5A2!I56*1000</f>
        <v>1160.85841</v>
      </c>
      <c r="L8" s="7">
        <f>T_5A2!J56*1000</f>
        <v>926.80170000000021</v>
      </c>
      <c r="M8" s="7">
        <f>T_5A2!K56*1000</f>
        <v>692.75695999999994</v>
      </c>
      <c r="N8" s="7">
        <f>T_5A2!L56*1000</f>
        <v>596.70115999999996</v>
      </c>
      <c r="O8" s="7">
        <f>T_5A2!M56*1000</f>
        <v>500.67753999999996</v>
      </c>
      <c r="P8" s="7">
        <f>T_5A2!N56*1000</f>
        <v>520.12112000000002</v>
      </c>
      <c r="Q8" s="7">
        <f>T_5A2!O56*1000</f>
        <v>539.55027999999993</v>
      </c>
      <c r="R8" s="7">
        <f>T_5A2!P56*1000</f>
        <v>468.01265000000001</v>
      </c>
      <c r="S8" s="7">
        <f>T_5A2!Q56*1000</f>
        <v>482.72155999999995</v>
      </c>
      <c r="T8" s="7">
        <f>T_5A2!R56*1000</f>
        <v>535.48039999999992</v>
      </c>
      <c r="U8" s="7">
        <f>T_5A2!S56*1000</f>
        <v>593.01983999999993</v>
      </c>
      <c r="V8" s="7">
        <f>T_5A2!T56*1000</f>
        <v>655.18376000000001</v>
      </c>
      <c r="W8" s="7">
        <f>T_5A2!U56*1000</f>
        <v>722.37759999999992</v>
      </c>
      <c r="X8" s="7">
        <f>T_5A2!V56*1000</f>
        <v>796.28136000000006</v>
      </c>
      <c r="Y8" s="7">
        <f>T_5A2!W56*1000</f>
        <v>875.75124000000005</v>
      </c>
      <c r="Z8" s="7">
        <f>T_5A2!X56*1000</f>
        <v>961.23551999999995</v>
      </c>
      <c r="AA8" s="7">
        <f>T_5A2!Y56*1000</f>
        <v>1054.6426799999999</v>
      </c>
      <c r="AB8" s="7">
        <f>T_5A2!Z56*1000</f>
        <v>1127.4244800000001</v>
      </c>
      <c r="AC8" s="7">
        <f>T_5A2!AA56*1000</f>
        <v>1205.93508</v>
      </c>
      <c r="AD8" s="7">
        <f>T_5A2!AB56*1000</f>
        <v>1288.08456</v>
      </c>
      <c r="AE8" s="7">
        <f>T_5A2!AC56*1000</f>
        <v>1375.8905999999999</v>
      </c>
      <c r="AF8" s="7">
        <f>T_5A2!AD56*1000</f>
        <v>1469.5413599999997</v>
      </c>
    </row>
    <row r="9" spans="5:32" x14ac:dyDescent="0.3">
      <c r="E9" s="17" t="s">
        <v>334</v>
      </c>
      <c r="F9" s="17" t="s">
        <v>267</v>
      </c>
      <c r="G9" s="7">
        <f>Ini_I_Compostaje!C83*1000</f>
        <v>1.05325</v>
      </c>
      <c r="H9" s="7">
        <f>Ini_I_Compostaje!D83*1000</f>
        <v>1.2256</v>
      </c>
      <c r="I9" s="7">
        <f>Ini_I_Compostaje!E83*1000</f>
        <v>1.39795</v>
      </c>
      <c r="J9" s="7">
        <f>Ini_I_Compostaje!F83*1000</f>
        <v>4.2513000000000005</v>
      </c>
      <c r="K9" s="7">
        <f>Ini_I_Compostaje!G83*1000</f>
        <v>7.1237999999999992</v>
      </c>
      <c r="L9" s="7">
        <f>Ini_I_Compostaje!H83*1000</f>
        <v>6.1663000000000006</v>
      </c>
      <c r="M9" s="7">
        <f>Ini_I_Compostaje!I83*1000</f>
        <v>5.2087999999999992</v>
      </c>
      <c r="N9" s="7">
        <f>Ini_I_Compostaje!J83*1000</f>
        <v>5.8407499999999999</v>
      </c>
      <c r="O9" s="7">
        <f>Ini_I_Compostaje!K83*1000</f>
        <v>6.4726999999999997</v>
      </c>
      <c r="P9" s="7">
        <f>Ini_I_Compostaje!L83*1000</f>
        <v>6.7599499999999999</v>
      </c>
      <c r="Q9" s="7">
        <f>Ini_I_Compostaje!M83*1000</f>
        <v>7.0472000000000001</v>
      </c>
      <c r="R9" s="7">
        <f>Ini_I_Compostaje!N83*1000</f>
        <v>7.3727499999999999</v>
      </c>
      <c r="S9" s="7">
        <f>Ini_I_Compostaje!O83*1000</f>
        <v>6.4535500000000008</v>
      </c>
      <c r="T9" s="7">
        <f>Ini_I_Compostaje!P83*1000</f>
        <v>6.8174000000000001</v>
      </c>
      <c r="U9" s="7">
        <f>Ini_I_Compostaje!Q83*1000</f>
        <v>7.2004000000000001</v>
      </c>
      <c r="V9" s="7">
        <f>Ini_I_Compostaje!R83*1000</f>
        <v>7.5834000000000001</v>
      </c>
      <c r="W9" s="7">
        <f>Ini_I_Compostaje!S83*1000</f>
        <v>8.1962000000000206</v>
      </c>
      <c r="X9" s="7">
        <f>Ini_I_Compostaje!T83*1000</f>
        <v>8.7898500000000404</v>
      </c>
      <c r="Y9" s="7">
        <f>Ini_I_Compostaje!U83*1000</f>
        <v>9.4218000000000579</v>
      </c>
      <c r="Z9" s="7">
        <f>Ini_I_Compostaje!V83*1000</f>
        <v>10.034600000000077</v>
      </c>
      <c r="AA9" s="7">
        <f>Ini_I_Compostaje!W83*1000</f>
        <v>10.666549999999928</v>
      </c>
      <c r="AB9" s="7">
        <f>Ini_I_Compostaje!X83*1000</f>
        <v>11.068700000000117</v>
      </c>
      <c r="AC9" s="7">
        <f>Ini_I_Compostaje!Y83*1000</f>
        <v>11.451699999999965</v>
      </c>
      <c r="AD9" s="7">
        <f>Ini_I_Compostaje!Z83*1000</f>
        <v>11.853850000000156</v>
      </c>
      <c r="AE9" s="7">
        <f>Ini_I_Compostaje!AA83*1000</f>
        <v>12.256000000000007</v>
      </c>
      <c r="AF9" s="7">
        <f>Ini_I_Compostaje!AB83*1000</f>
        <v>13.156050000000056</v>
      </c>
    </row>
    <row r="10" spans="5:32" x14ac:dyDescent="0.3">
      <c r="E10" s="3" t="s">
        <v>335</v>
      </c>
      <c r="F10" s="3" t="s">
        <v>275</v>
      </c>
      <c r="G10" s="7">
        <f>T_Incineracion!C68*1000</f>
        <v>13.366080000000002</v>
      </c>
      <c r="H10" s="7">
        <f>T_Incineracion!D68*1000</f>
        <v>13.876820000000002</v>
      </c>
      <c r="I10" s="7">
        <f>T_Incineracion!E68*1000</f>
        <v>14.481999999999999</v>
      </c>
      <c r="J10" s="7">
        <f>T_Incineracion!F68*1000</f>
        <v>14.797080000000003</v>
      </c>
      <c r="K10" s="7">
        <f>T_Incineracion!G68*1000</f>
        <v>15.23014</v>
      </c>
      <c r="L10" s="7">
        <f>T_Incineracion!H68*1000</f>
        <v>15.126720000000001</v>
      </c>
      <c r="M10" s="7">
        <f>T_Incineracion!I68*1000</f>
        <v>15.1592</v>
      </c>
      <c r="N10" s="7">
        <f>T_Incineracion!J68*1000</f>
        <v>15.327300000000001</v>
      </c>
      <c r="O10" s="7">
        <f>T_Incineracion!K68*1000</f>
        <v>15.490639999999999</v>
      </c>
      <c r="P10" s="7">
        <f>T_Incineracion!L68*1000</f>
        <v>18.624340000000004</v>
      </c>
      <c r="Q10" s="7">
        <f>T_Incineracion!M68*1000</f>
        <v>21.836020000000001</v>
      </c>
      <c r="R10" s="7">
        <f>T_Incineracion!N68*1000</f>
        <v>13.299650000000002</v>
      </c>
      <c r="S10" s="7">
        <f>T_Incineracion!O68*1000</f>
        <v>17.26474</v>
      </c>
      <c r="T10" s="7">
        <f>T_Incineracion!P68*1000</f>
        <v>18.036000000000001</v>
      </c>
      <c r="U10" s="7">
        <f>T_Incineracion!Q68*1000</f>
        <v>18.879919999999998</v>
      </c>
      <c r="V10" s="7">
        <f>T_Incineracion!R68*1000</f>
        <v>19.831979999999998</v>
      </c>
      <c r="W10" s="7">
        <f>T_Incineracion!S68*1000</f>
        <v>20.645040000000002</v>
      </c>
      <c r="X10" s="7">
        <f>T_Incineracion!T68*1000</f>
        <v>21.564699999999998</v>
      </c>
      <c r="Y10" s="7">
        <f>T_Incineracion!U68*1000</f>
        <v>22.347899999999996</v>
      </c>
      <c r="Z10" s="7">
        <f>T_Incineracion!V68*1000</f>
        <v>23.2362</v>
      </c>
      <c r="AA10" s="7">
        <f>T_Incineracion!W68*1000</f>
        <v>24.106680000000001</v>
      </c>
      <c r="AB10" s="7">
        <f>T_Incineracion!X68*1000</f>
        <v>24.375519999999998</v>
      </c>
      <c r="AC10" s="7">
        <f>T_Incineracion!Y68*1000</f>
        <v>24.638639999999995</v>
      </c>
      <c r="AD10" s="7">
        <f>T_Incineracion!Z68*1000</f>
        <v>24.896160000000005</v>
      </c>
      <c r="AE10" s="7">
        <f>T_Incineracion!AA68*1000</f>
        <v>25.148199999999999</v>
      </c>
      <c r="AF10" s="7">
        <f>T_Incineracion!AB68*1000</f>
        <v>25.392639999999997</v>
      </c>
    </row>
    <row r="11" spans="5:32" x14ac:dyDescent="0.3">
      <c r="E11" s="173" t="s">
        <v>41</v>
      </c>
      <c r="F11" s="17" t="s">
        <v>323</v>
      </c>
      <c r="G11" s="7">
        <f>Ini_I_PTAR!C86*1000</f>
        <v>226.27374</v>
      </c>
      <c r="H11" s="7">
        <f>Ini_I_PTAR!D86*1000</f>
        <v>257.81112000000002</v>
      </c>
      <c r="I11" s="7">
        <f>Ini_I_PTAR!E86*1000</f>
        <v>291.33118000000002</v>
      </c>
      <c r="J11" s="7">
        <f>Ini_I_PTAR!F86*1000</f>
        <v>294.41590000000002</v>
      </c>
      <c r="K11" s="7">
        <f>Ini_I_PTAR!G86*1000</f>
        <v>297.53088000000002</v>
      </c>
      <c r="L11" s="7">
        <f>Ini_I_PTAR!H86*1000</f>
        <v>301.99455</v>
      </c>
      <c r="M11" s="7">
        <f>Ini_I_PTAR!I86*1000</f>
        <v>306.45251999999999</v>
      </c>
      <c r="N11" s="7">
        <f>Ini_I_PTAR!J86*1000</f>
        <v>312.73237999999998</v>
      </c>
      <c r="O11" s="7">
        <f>Ini_I_PTAR!K86*1000</f>
        <v>319.06263999999999</v>
      </c>
      <c r="P11" s="7">
        <f>Ini_I_PTAR!L86*1000</f>
        <v>313.6508</v>
      </c>
      <c r="Q11" s="7">
        <f>Ini_I_PTAR!M86*1000</f>
        <v>308.23974999999996</v>
      </c>
      <c r="R11" s="7">
        <f>Ini_I_PTAR!N86*1000</f>
        <v>316.72576000000004</v>
      </c>
      <c r="S11" s="7">
        <f>Ini_I_PTAR!O86*1000</f>
        <v>313.13542000000001</v>
      </c>
      <c r="T11" s="7">
        <f>Ini_I_PTAR!P86*1000</f>
        <v>344.18364000000003</v>
      </c>
      <c r="U11" s="7">
        <f>Ini_I_PTAR!Q86*1000</f>
        <v>376.66016999999999</v>
      </c>
      <c r="V11" s="7">
        <f>Ini_I_PTAR!R86*1000</f>
        <v>381.90473999999995</v>
      </c>
      <c r="W11" s="7">
        <f>Ini_I_PTAR!S86*1000</f>
        <v>401.61487048643068</v>
      </c>
      <c r="X11" s="7">
        <f>Ini_I_PTAR!T86*1000</f>
        <v>474.41609271545099</v>
      </c>
      <c r="Y11" s="7">
        <f>Ini_I_PTAR!U86*1000</f>
        <v>507.60924932936712</v>
      </c>
      <c r="Z11" s="7">
        <f>Ini_I_PTAR!V86*1000</f>
        <v>541.84370237165729</v>
      </c>
      <c r="AA11" s="7">
        <f>Ini_I_PTAR!W86*1000</f>
        <v>577.44809163237801</v>
      </c>
      <c r="AB11" s="7">
        <f>Ini_I_PTAR!X86*1000</f>
        <v>615.16158357666825</v>
      </c>
      <c r="AC11" s="7">
        <f>Ini_I_PTAR!Y86*1000</f>
        <v>654.89618198399819</v>
      </c>
      <c r="AD11" s="7">
        <f>Ini_I_PTAR!Z86*1000</f>
        <v>696.07446447879033</v>
      </c>
      <c r="AE11" s="7">
        <f>Ini_I_PTAR!AA86*1000</f>
        <v>739.56373007332718</v>
      </c>
      <c r="AF11" s="7">
        <f>Ini_I_PTAR!AB86*1000</f>
        <v>784.42812518020867</v>
      </c>
    </row>
    <row r="12" spans="5:32" x14ac:dyDescent="0.3">
      <c r="E12" s="173" t="s">
        <v>41</v>
      </c>
      <c r="F12" s="17" t="s">
        <v>325</v>
      </c>
      <c r="G12" s="7">
        <f>Ini_I_PTAR!C99*1000</f>
        <v>179.06059999999999</v>
      </c>
      <c r="H12" s="7">
        <f>Ini_I_PTAR!D99*1000</f>
        <v>181.97554000000002</v>
      </c>
      <c r="I12" s="7">
        <f>Ini_I_PTAR!E99*1000</f>
        <v>183.22479999999999</v>
      </c>
      <c r="J12" s="7">
        <f>Ini_I_PTAR!F99*1000</f>
        <v>186.55616000000001</v>
      </c>
      <c r="K12" s="7">
        <f>Ini_I_PTAR!G99*1000</f>
        <v>189.88751999999999</v>
      </c>
      <c r="L12" s="7">
        <f>Ini_I_PTAR!H99*1000</f>
        <v>188.01363000000001</v>
      </c>
      <c r="M12" s="7">
        <f>Ini_I_PTAR!I99*1000</f>
        <v>186.13973999999999</v>
      </c>
      <c r="N12" s="7">
        <f>Ini_I_PTAR!J99*1000</f>
        <v>186.55616000000001</v>
      </c>
      <c r="O12" s="7">
        <f>Ini_I_PTAR!K99*1000</f>
        <v>186.76437000000001</v>
      </c>
      <c r="P12" s="7">
        <f>Ini_I_PTAR!L99*1000</f>
        <v>194.88456000000002</v>
      </c>
      <c r="Q12" s="7">
        <f>Ini_I_PTAR!M99*1000</f>
        <v>203.21296000000004</v>
      </c>
      <c r="R12" s="7">
        <f>Ini_I_PTAR!N99*1000</f>
        <v>201.96370000000002</v>
      </c>
      <c r="S12" s="7">
        <f>Ini_I_PTAR!O99*1000</f>
        <v>192.59424999999999</v>
      </c>
      <c r="T12" s="7">
        <f>Ini_I_PTAR!P99*1000</f>
        <v>208.93130000000002</v>
      </c>
      <c r="U12" s="7">
        <f>Ini_I_PTAR!Q99*1000</f>
        <v>224.42320000000001</v>
      </c>
      <c r="V12" s="7">
        <f>Ini_I_PTAR!R99*1000</f>
        <v>223.58580000000003</v>
      </c>
      <c r="W12" s="7">
        <f>Ini_I_PTAR!S99*1000</f>
        <v>231.0273395135693</v>
      </c>
      <c r="X12" s="7">
        <f>Ini_I_PTAR!T99*1000</f>
        <v>267.85844061788237</v>
      </c>
      <c r="Y12" s="7">
        <f>Ini_I_PTAR!U99*1000</f>
        <v>281.52786733729954</v>
      </c>
      <c r="Z12" s="7">
        <f>Ini_I_PTAR!V99*1000</f>
        <v>295.27173762834281</v>
      </c>
      <c r="AA12" s="7">
        <f>Ini_I_PTAR!W99*1000</f>
        <v>309.09297170095533</v>
      </c>
      <c r="AB12" s="7">
        <f>Ini_I_PTAR!X99*1000</f>
        <v>323.40921308999827</v>
      </c>
      <c r="AC12" s="7">
        <f>Ini_I_PTAR!Y99*1000</f>
        <v>338.2168680160018</v>
      </c>
      <c r="AD12" s="7">
        <f>Ini_I_PTAR!Z99*1000</f>
        <v>353.0995988545431</v>
      </c>
      <c r="AE12" s="7">
        <f>Ini_I_PTAR!AA99*1000</f>
        <v>368.47544659333954</v>
      </c>
      <c r="AF12" s="7">
        <f>Ini_I_PTAR!AB99*1000</f>
        <v>383.92127481979139</v>
      </c>
    </row>
    <row r="13" spans="5:32" x14ac:dyDescent="0.3">
      <c r="E13" s="17" t="s">
        <v>44</v>
      </c>
      <c r="F13" s="17" t="s">
        <v>327</v>
      </c>
      <c r="G13" s="7">
        <f>'Ini_I+C_PTAR_ARI'!C47*1000</f>
        <v>153.57999999999998</v>
      </c>
      <c r="H13" s="7">
        <f>'Ini_I+C_PTAR_ARI'!D47*1000</f>
        <v>297.91999999999996</v>
      </c>
      <c r="I13" s="7">
        <f>'Ini_I+C_PTAR_ARI'!E47*1000</f>
        <v>442.26</v>
      </c>
      <c r="J13" s="7">
        <f>'Ini_I+C_PTAR_ARI'!F47*1000</f>
        <v>313.59999999999997</v>
      </c>
      <c r="K13" s="7">
        <f>'Ini_I+C_PTAR_ARI'!G47*1000</f>
        <v>185.01</v>
      </c>
      <c r="L13" s="7">
        <f>'Ini_I+C_PTAR_ARI'!H47*1000</f>
        <v>382.34000000000003</v>
      </c>
      <c r="M13" s="7">
        <f>'Ini_I+C_PTAR_ARI'!I47*1000</f>
        <v>579.66999999999996</v>
      </c>
      <c r="N13" s="7">
        <f>'Ini_I+C_PTAR_ARI'!J47*1000</f>
        <v>605.01</v>
      </c>
      <c r="O13" s="7">
        <f>'Ini_I+C_PTAR_ARI'!K47*1000</f>
        <v>630.41999999999996</v>
      </c>
      <c r="P13" s="7">
        <f>'Ini_I+C_PTAR_ARI'!L47*1000</f>
        <v>602.28000000000009</v>
      </c>
      <c r="Q13" s="7">
        <f>'Ini_I+C_PTAR_ARI'!M47*1000</f>
        <v>574.21</v>
      </c>
      <c r="R13" s="7">
        <f>'Ini_I+C_PTAR_ARI'!N47*1000</f>
        <v>490.49</v>
      </c>
      <c r="S13" s="7">
        <f>'Ini_I+C_PTAR_ARI'!O47*1000</f>
        <v>595.28000000000009</v>
      </c>
      <c r="T13" s="7">
        <f>'Ini_I+C_PTAR_ARI'!P47*1000</f>
        <v>641.96999999999991</v>
      </c>
      <c r="U13" s="7">
        <f>'Ini_I+C_PTAR_ARI'!Q47*1000</f>
        <v>690.06000000000006</v>
      </c>
      <c r="V13" s="7">
        <f>'Ini_I+C_PTAR_ARI'!R47*1000</f>
        <v>687.39999999999986</v>
      </c>
      <c r="W13" s="7">
        <f>'Ini_I+C_PTAR_ARI'!S47*1000</f>
        <v>713.27</v>
      </c>
      <c r="X13" s="7">
        <f>'Ini_I+C_PTAR_ARI'!T47*1000</f>
        <v>836.57999999999993</v>
      </c>
      <c r="Y13" s="7">
        <f>'Ini_I+C_PTAR_ARI'!U47*1000</f>
        <v>887.86</v>
      </c>
      <c r="Z13" s="7">
        <f>'Ini_I+C_PTAR_ARI'!V47*1000</f>
        <v>939.06999999999994</v>
      </c>
      <c r="AA13" s="7">
        <f>'Ini_I+C_PTAR_ARI'!W47*1000</f>
        <v>990.34999999999991</v>
      </c>
      <c r="AB13" s="7">
        <f>'Ini_I+C_PTAR_ARI'!X47*1000</f>
        <v>1042.9599999999998</v>
      </c>
      <c r="AC13" s="7">
        <f>'Ini_I+C_PTAR_ARI'!Y47*1000</f>
        <v>1096.8999999999999</v>
      </c>
      <c r="AD13" s="7">
        <f>'Ini_I+C_PTAR_ARI'!Z47*1000</f>
        <v>1150.77</v>
      </c>
      <c r="AE13" s="7">
        <f>'Ini_I+C_PTAR_ARI'!AA47*1000</f>
        <v>1206.0399999999997</v>
      </c>
      <c r="AF13" s="7">
        <f>'Ini_I+C_PTAR_ARI'!AB47*1000</f>
        <v>1261.31</v>
      </c>
    </row>
    <row r="14" spans="5:32" x14ac:dyDescent="0.3"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5:32" x14ac:dyDescent="0.3">
      <c r="F15" t="s">
        <v>336</v>
      </c>
      <c r="G15" s="11">
        <f>G7+G8+G9+G10</f>
        <v>1712.94478</v>
      </c>
      <c r="H15" s="11">
        <f t="shared" ref="H15:AF15" si="0">H7+H8+H9+H10</f>
        <v>1891.5141400000002</v>
      </c>
      <c r="I15" s="11">
        <f t="shared" si="0"/>
        <v>2070.3851100000002</v>
      </c>
      <c r="J15" s="11">
        <f t="shared" si="0"/>
        <v>2269.7341799999999</v>
      </c>
      <c r="K15" s="11">
        <f t="shared" si="0"/>
        <v>2469.5628699999997</v>
      </c>
      <c r="L15" s="11">
        <f t="shared" si="0"/>
        <v>2668.2517700000003</v>
      </c>
      <c r="M15" s="11">
        <f t="shared" si="0"/>
        <v>2867.24656</v>
      </c>
      <c r="N15" s="11">
        <f t="shared" si="0"/>
        <v>3052.9036499999997</v>
      </c>
      <c r="O15" s="11">
        <f t="shared" si="0"/>
        <v>3238.7448199999999</v>
      </c>
      <c r="P15" s="11">
        <f t="shared" si="0"/>
        <v>3443.5402899999999</v>
      </c>
      <c r="Q15" s="11">
        <f t="shared" si="0"/>
        <v>3648.1706800000006</v>
      </c>
      <c r="R15" s="11">
        <f t="shared" si="0"/>
        <v>3787.7680799999998</v>
      </c>
      <c r="S15" s="11">
        <f t="shared" si="0"/>
        <v>3956.1360100000002</v>
      </c>
      <c r="T15" s="11">
        <f t="shared" si="0"/>
        <v>4387.5249999999996</v>
      </c>
      <c r="U15" s="11">
        <f t="shared" si="0"/>
        <v>4857.0662000000002</v>
      </c>
      <c r="V15" s="11">
        <f t="shared" si="0"/>
        <v>5365.2956199999999</v>
      </c>
      <c r="W15" s="11">
        <f t="shared" si="0"/>
        <v>5905.7975600000009</v>
      </c>
      <c r="X15" s="11">
        <f t="shared" si="0"/>
        <v>6500.5056299999997</v>
      </c>
      <c r="Y15" s="11">
        <f t="shared" si="0"/>
        <v>7141.1943000000001</v>
      </c>
      <c r="Z15" s="11">
        <f t="shared" si="0"/>
        <v>7830.5564800000002</v>
      </c>
      <c r="AA15" s="11">
        <f t="shared" si="0"/>
        <v>8620.7571100000005</v>
      </c>
      <c r="AB15" s="11">
        <f t="shared" si="0"/>
        <v>9214.5370999999977</v>
      </c>
      <c r="AC15" s="11">
        <f t="shared" si="0"/>
        <v>9852.3986599999989</v>
      </c>
      <c r="AD15" s="11">
        <f t="shared" si="0"/>
        <v>10521.307849999999</v>
      </c>
      <c r="AE15" s="11">
        <f t="shared" si="0"/>
        <v>11236.304599999999</v>
      </c>
      <c r="AF15" s="11">
        <f t="shared" si="0"/>
        <v>11996.585009999997</v>
      </c>
    </row>
    <row r="16" spans="5:32" x14ac:dyDescent="0.3">
      <c r="F16" t="s">
        <v>337</v>
      </c>
      <c r="G16" s="11">
        <f>G11+G12+G13</f>
        <v>558.91434000000004</v>
      </c>
      <c r="H16" s="11">
        <f t="shared" ref="H16:AF16" si="1">H11+H12+H13</f>
        <v>737.70666000000006</v>
      </c>
      <c r="I16" s="11">
        <f t="shared" si="1"/>
        <v>916.81597999999997</v>
      </c>
      <c r="J16" s="11">
        <f t="shared" si="1"/>
        <v>794.57205999999996</v>
      </c>
      <c r="K16" s="11">
        <f t="shared" si="1"/>
        <v>672.42840000000001</v>
      </c>
      <c r="L16" s="11">
        <f t="shared" si="1"/>
        <v>872.34818000000007</v>
      </c>
      <c r="M16" s="11">
        <f t="shared" si="1"/>
        <v>1072.26226</v>
      </c>
      <c r="N16" s="11">
        <f t="shared" si="1"/>
        <v>1104.29854</v>
      </c>
      <c r="O16" s="11">
        <f t="shared" si="1"/>
        <v>1136.24701</v>
      </c>
      <c r="P16" s="11">
        <f t="shared" si="1"/>
        <v>1110.8153600000001</v>
      </c>
      <c r="Q16" s="11">
        <f t="shared" si="1"/>
        <v>1085.6627100000001</v>
      </c>
      <c r="R16" s="11">
        <f t="shared" si="1"/>
        <v>1009.1794600000001</v>
      </c>
      <c r="S16" s="11">
        <f t="shared" si="1"/>
        <v>1101.0096700000001</v>
      </c>
      <c r="T16" s="11">
        <f t="shared" si="1"/>
        <v>1195.08494</v>
      </c>
      <c r="U16" s="11">
        <f t="shared" si="1"/>
        <v>1291.1433700000002</v>
      </c>
      <c r="V16" s="11">
        <f t="shared" si="1"/>
        <v>1292.8905399999999</v>
      </c>
      <c r="W16" s="11">
        <f t="shared" si="1"/>
        <v>1345.91221</v>
      </c>
      <c r="X16" s="11">
        <f t="shared" si="1"/>
        <v>1578.8545333333332</v>
      </c>
      <c r="Y16" s="11">
        <f t="shared" si="1"/>
        <v>1676.9971166666667</v>
      </c>
      <c r="Z16" s="11">
        <f t="shared" si="1"/>
        <v>1776.18544</v>
      </c>
      <c r="AA16" s="11">
        <f t="shared" si="1"/>
        <v>1876.8910633333332</v>
      </c>
      <c r="AB16" s="11">
        <f t="shared" si="1"/>
        <v>1981.5307966666664</v>
      </c>
      <c r="AC16" s="11">
        <f t="shared" si="1"/>
        <v>2090.0130499999996</v>
      </c>
      <c r="AD16" s="11">
        <f t="shared" si="1"/>
        <v>2199.9440633333334</v>
      </c>
      <c r="AE16" s="11">
        <f t="shared" si="1"/>
        <v>2314.0791766666662</v>
      </c>
      <c r="AF16" s="11">
        <f t="shared" si="1"/>
        <v>2429.6594</v>
      </c>
    </row>
    <row r="17" spans="5:32" x14ac:dyDescent="0.3">
      <c r="F17" s="1" t="s">
        <v>253</v>
      </c>
      <c r="G17" s="142">
        <f>G7+G8+G9+G10+G11+G12+G13</f>
        <v>2271.8591200000001</v>
      </c>
      <c r="H17" s="142">
        <f t="shared" ref="H17:AF17" si="2">H7+H8+H9+H10+H11+H12+H13</f>
        <v>2629.2208000000001</v>
      </c>
      <c r="I17" s="142">
        <f t="shared" si="2"/>
        <v>2987.2010900000005</v>
      </c>
      <c r="J17" s="142">
        <f t="shared" si="2"/>
        <v>3064.3062399999999</v>
      </c>
      <c r="K17" s="142">
        <f t="shared" si="2"/>
        <v>3141.9912700000004</v>
      </c>
      <c r="L17" s="142">
        <f t="shared" si="2"/>
        <v>3540.5999500000003</v>
      </c>
      <c r="M17" s="142">
        <f t="shared" si="2"/>
        <v>3939.50882</v>
      </c>
      <c r="N17" s="142">
        <f t="shared" si="2"/>
        <v>4157.20219</v>
      </c>
      <c r="O17" s="142">
        <f t="shared" si="2"/>
        <v>4374.9918299999999</v>
      </c>
      <c r="P17" s="142">
        <f t="shared" si="2"/>
        <v>4554.3556499999995</v>
      </c>
      <c r="Q17" s="142">
        <f t="shared" si="2"/>
        <v>4733.8333900000007</v>
      </c>
      <c r="R17" s="142">
        <f t="shared" si="2"/>
        <v>4796.9475400000001</v>
      </c>
      <c r="S17" s="142">
        <f t="shared" si="2"/>
        <v>5057.1456799999996</v>
      </c>
      <c r="T17" s="142">
        <f t="shared" si="2"/>
        <v>5582.6099400000003</v>
      </c>
      <c r="U17" s="142">
        <f t="shared" si="2"/>
        <v>6148.2095700000009</v>
      </c>
      <c r="V17" s="142">
        <f t="shared" si="2"/>
        <v>6658.1861599999993</v>
      </c>
      <c r="W17" s="142">
        <f t="shared" si="2"/>
        <v>7251.7097700000013</v>
      </c>
      <c r="X17" s="142">
        <f t="shared" si="2"/>
        <v>8079.3601633333328</v>
      </c>
      <c r="Y17" s="142">
        <f t="shared" si="2"/>
        <v>8818.1914166666666</v>
      </c>
      <c r="Z17" s="142">
        <f t="shared" si="2"/>
        <v>9606.7419200000004</v>
      </c>
      <c r="AA17" s="142">
        <f t="shared" si="2"/>
        <v>10497.648173333333</v>
      </c>
      <c r="AB17" s="142">
        <f t="shared" si="2"/>
        <v>11196.067896666664</v>
      </c>
      <c r="AC17" s="142">
        <f t="shared" si="2"/>
        <v>11942.411709999998</v>
      </c>
      <c r="AD17" s="142">
        <f t="shared" si="2"/>
        <v>12721.251913333334</v>
      </c>
      <c r="AE17" s="142">
        <f t="shared" si="2"/>
        <v>13550.383776666666</v>
      </c>
      <c r="AF17" s="142">
        <f t="shared" si="2"/>
        <v>14426.244409999998</v>
      </c>
    </row>
    <row r="19" spans="5:32" x14ac:dyDescent="0.3">
      <c r="E19" s="1" t="s">
        <v>338</v>
      </c>
    </row>
    <row r="21" spans="5:32" x14ac:dyDescent="0.3">
      <c r="E21" s="3" t="s">
        <v>332</v>
      </c>
      <c r="F21" s="3" t="s">
        <v>333</v>
      </c>
      <c r="G21" s="3">
        <v>2010</v>
      </c>
      <c r="H21" s="3">
        <v>2011</v>
      </c>
      <c r="I21" s="3">
        <v>2012</v>
      </c>
      <c r="J21" s="3">
        <v>2013</v>
      </c>
      <c r="K21" s="3">
        <v>2014</v>
      </c>
      <c r="L21" s="3">
        <v>2015</v>
      </c>
      <c r="M21" s="3">
        <v>2016</v>
      </c>
      <c r="N21" s="3">
        <v>2017</v>
      </c>
      <c r="O21" s="3">
        <v>2018</v>
      </c>
      <c r="P21" s="3">
        <v>2019</v>
      </c>
      <c r="Q21" s="3">
        <v>2020</v>
      </c>
      <c r="R21" s="3">
        <v>2021</v>
      </c>
      <c r="S21" s="3">
        <v>2022</v>
      </c>
      <c r="T21" s="3">
        <v>2023</v>
      </c>
      <c r="U21" s="3">
        <v>2024</v>
      </c>
      <c r="V21" s="3">
        <v>2025</v>
      </c>
      <c r="W21" s="3">
        <v>2026</v>
      </c>
      <c r="X21" s="3">
        <v>2027</v>
      </c>
      <c r="Y21" s="3">
        <v>2028</v>
      </c>
      <c r="Z21" s="3">
        <v>2029</v>
      </c>
      <c r="AA21" s="3">
        <v>2030</v>
      </c>
      <c r="AB21" s="3">
        <v>2031</v>
      </c>
      <c r="AC21" s="3">
        <v>2032</v>
      </c>
      <c r="AD21" s="3">
        <v>2033</v>
      </c>
      <c r="AE21" s="3">
        <v>2034</v>
      </c>
      <c r="AF21" s="3">
        <v>2035</v>
      </c>
    </row>
    <row r="22" spans="5:32" x14ac:dyDescent="0.3">
      <c r="E22" s="3" t="s">
        <v>35</v>
      </c>
      <c r="F22" s="3" t="s">
        <v>269</v>
      </c>
      <c r="G22" s="7">
        <f>T_5A1!E60*1000</f>
        <v>0</v>
      </c>
      <c r="H22" s="7">
        <f>T_5A1!F60*1000</f>
        <v>0</v>
      </c>
      <c r="I22" s="7">
        <f>T_5A1!G60*1000</f>
        <v>0</v>
      </c>
      <c r="J22" s="7">
        <f>T_5A1!H60*1000</f>
        <v>0</v>
      </c>
      <c r="K22" s="7">
        <f>T_5A1!I60*1000</f>
        <v>0</v>
      </c>
      <c r="L22" s="7">
        <f>T_5A1!J60*1000</f>
        <v>0</v>
      </c>
      <c r="M22" s="7">
        <f>T_5A1!K60*1000</f>
        <v>0</v>
      </c>
      <c r="N22" s="7">
        <f>T_5A1!L60*1000</f>
        <v>0</v>
      </c>
      <c r="O22" s="7">
        <f>T_5A1!M60*1000</f>
        <v>0</v>
      </c>
      <c r="P22" s="7">
        <f>T_5A1!N60*1000</f>
        <v>0</v>
      </c>
      <c r="Q22" s="7">
        <f>T_5A1!O60*1000</f>
        <v>0</v>
      </c>
      <c r="R22" s="7">
        <f>T_5A1!P60*1000</f>
        <v>0</v>
      </c>
      <c r="S22" s="7">
        <f>T_5A1!Q60*1000</f>
        <v>0</v>
      </c>
      <c r="T22" s="7">
        <f>T_5A1!R60*1000</f>
        <v>0</v>
      </c>
      <c r="U22" s="7">
        <f>T_5A1!S60*1000</f>
        <v>0</v>
      </c>
      <c r="V22" s="7">
        <f>T_5A1!T60*1000</f>
        <v>0</v>
      </c>
      <c r="W22" s="7">
        <f>T_5A1!U60*1000</f>
        <v>0</v>
      </c>
      <c r="X22" s="7">
        <f>T_5A1!V60*1000</f>
        <v>0</v>
      </c>
      <c r="Y22" s="7">
        <f>T_5A1!W60*1000</f>
        <v>0</v>
      </c>
      <c r="Z22" s="7">
        <f>T_5A1!X60*1000</f>
        <v>0</v>
      </c>
      <c r="AA22" s="7">
        <f>T_5A1!Y60*1000</f>
        <v>0</v>
      </c>
      <c r="AB22" s="7">
        <f>T_5A1!Z60*1000</f>
        <v>0</v>
      </c>
      <c r="AC22" s="7">
        <f>T_5A1!AA60*1000</f>
        <v>0</v>
      </c>
      <c r="AD22" s="7">
        <f>T_5A1!AB60*1000</f>
        <v>0</v>
      </c>
      <c r="AE22" s="7">
        <f>T_5A1!AC60*1000</f>
        <v>0</v>
      </c>
      <c r="AF22" s="7">
        <f>T_5A1!AD60*1000</f>
        <v>0</v>
      </c>
    </row>
    <row r="23" spans="5:32" x14ac:dyDescent="0.3">
      <c r="E23" s="3" t="s">
        <v>38</v>
      </c>
      <c r="F23" s="3" t="s">
        <v>271</v>
      </c>
      <c r="G23" s="7">
        <f>T_5A2!E57*1000</f>
        <v>0</v>
      </c>
      <c r="H23" s="7">
        <f>T_5A2!F57*1000</f>
        <v>0</v>
      </c>
      <c r="I23" s="7">
        <f>T_5A2!G57*1000</f>
        <v>0</v>
      </c>
      <c r="J23" s="7">
        <f>T_5A2!H57*1000</f>
        <v>0</v>
      </c>
      <c r="K23" s="7">
        <f>T_5A2!I57*1000</f>
        <v>0</v>
      </c>
      <c r="L23" s="7">
        <f>T_5A2!J57*1000</f>
        <v>0</v>
      </c>
      <c r="M23" s="7">
        <f>T_5A2!K57*1000</f>
        <v>0</v>
      </c>
      <c r="N23" s="7">
        <f>T_5A2!L57*1000</f>
        <v>0</v>
      </c>
      <c r="O23" s="7">
        <f>T_5A2!M57*1000</f>
        <v>0</v>
      </c>
      <c r="P23" s="7">
        <f>T_5A2!N57*1000</f>
        <v>0</v>
      </c>
      <c r="Q23" s="7">
        <f>T_5A2!O57*1000</f>
        <v>0</v>
      </c>
      <c r="R23" s="7">
        <f>T_5A2!P57*1000</f>
        <v>0</v>
      </c>
      <c r="S23" s="7">
        <f>T_5A2!Q57*1000</f>
        <v>0</v>
      </c>
      <c r="T23" s="7">
        <f>T_5A2!R57*1000</f>
        <v>0</v>
      </c>
      <c r="U23" s="7">
        <f>T_5A2!S57*1000</f>
        <v>0</v>
      </c>
      <c r="V23" s="7">
        <f>T_5A2!T57*1000</f>
        <v>0</v>
      </c>
      <c r="W23" s="7">
        <f>T_5A2!U57*1000</f>
        <v>0</v>
      </c>
      <c r="X23" s="7">
        <f>T_5A2!V57*1000</f>
        <v>0</v>
      </c>
      <c r="Y23" s="7">
        <f>T_5A2!W57*1000</f>
        <v>0</v>
      </c>
      <c r="Z23" s="7">
        <f>T_5A2!X57*1000</f>
        <v>0</v>
      </c>
      <c r="AA23" s="7">
        <f>T_5A2!Y57*1000</f>
        <v>0</v>
      </c>
      <c r="AB23" s="7">
        <f>T_5A2!Z57*1000</f>
        <v>0</v>
      </c>
      <c r="AC23" s="7">
        <f>T_5A2!AA57*1000</f>
        <v>0</v>
      </c>
      <c r="AD23" s="7">
        <f>T_5A2!AB57*1000</f>
        <v>0</v>
      </c>
      <c r="AE23" s="7">
        <f>T_5A2!AC57*1000</f>
        <v>0</v>
      </c>
      <c r="AF23" s="7">
        <f>T_5A2!AD57*1000</f>
        <v>0</v>
      </c>
    </row>
    <row r="24" spans="5:32" x14ac:dyDescent="0.3">
      <c r="E24" s="3" t="s">
        <v>334</v>
      </c>
      <c r="F24" s="3" t="s">
        <v>267</v>
      </c>
      <c r="G24" s="7">
        <f>T_Compostaje!G52*1000</f>
        <v>0</v>
      </c>
      <c r="H24" s="7">
        <f>T_Compostaje!H52*1000</f>
        <v>0</v>
      </c>
      <c r="I24" s="7">
        <f>T_Compostaje!I52*1000</f>
        <v>0</v>
      </c>
      <c r="J24" s="7">
        <f>T_Compostaje!J52*1000</f>
        <v>0</v>
      </c>
      <c r="K24" s="7">
        <f>T_Compostaje!K52*1000</f>
        <v>0</v>
      </c>
      <c r="L24" s="7">
        <f>T_Compostaje!L52*1000</f>
        <v>0</v>
      </c>
      <c r="M24" s="7">
        <f>T_Compostaje!M52*1000</f>
        <v>0</v>
      </c>
      <c r="N24" s="7">
        <f>T_Compostaje!N52*1000</f>
        <v>0</v>
      </c>
      <c r="O24" s="7">
        <f>T_Compostaje!O52*1000</f>
        <v>0</v>
      </c>
      <c r="P24" s="7">
        <f>T_Compostaje!P52*1000</f>
        <v>0</v>
      </c>
      <c r="Q24" s="7">
        <f>T_Compostaje!Q52*1000</f>
        <v>0</v>
      </c>
      <c r="R24" s="7">
        <f>T_Compostaje!R52*1000</f>
        <v>0</v>
      </c>
      <c r="S24" s="7">
        <f>T_Compostaje!S52*1000</f>
        <v>0</v>
      </c>
      <c r="T24" s="7">
        <f>T_Compostaje!T52*1000</f>
        <v>0</v>
      </c>
      <c r="U24" s="7">
        <f>T_Compostaje!U52*1000</f>
        <v>0</v>
      </c>
      <c r="V24" s="7">
        <f>T_Compostaje!V52*1000</f>
        <v>0</v>
      </c>
      <c r="W24" s="7">
        <f>T_Compostaje!W52*1000</f>
        <v>0</v>
      </c>
      <c r="X24" s="7">
        <f>T_Compostaje!X52*1000</f>
        <v>0</v>
      </c>
      <c r="Y24" s="7">
        <f>T_Compostaje!Y52*1000</f>
        <v>0</v>
      </c>
      <c r="Z24" s="7">
        <f>T_Compostaje!Z52*1000</f>
        <v>0</v>
      </c>
      <c r="AA24" s="7">
        <f>T_Compostaje!AA52*1000</f>
        <v>0</v>
      </c>
      <c r="AB24" s="7">
        <f>T_Compostaje!AB52*1000</f>
        <v>0</v>
      </c>
      <c r="AC24" s="7">
        <f>T_Compostaje!AC52*1000</f>
        <v>0</v>
      </c>
      <c r="AD24" s="7">
        <f>T_Compostaje!AD52*1000</f>
        <v>0</v>
      </c>
      <c r="AE24" s="7">
        <f>T_Compostaje!AE52*1000</f>
        <v>0</v>
      </c>
      <c r="AF24" s="7">
        <f>T_Compostaje!AF52*1000</f>
        <v>0</v>
      </c>
    </row>
    <row r="25" spans="5:32" x14ac:dyDescent="0.3">
      <c r="E25" s="3" t="s">
        <v>335</v>
      </c>
      <c r="F25" s="3" t="s">
        <v>275</v>
      </c>
      <c r="G25" s="7">
        <f>T_Incineracion!C69*1000</f>
        <v>13.18135</v>
      </c>
      <c r="H25" s="7">
        <f>T_Incineracion!D69*1000</f>
        <v>13.680880000000002</v>
      </c>
      <c r="I25" s="7">
        <f>T_Incineracion!E69*1000</f>
        <v>14.27192</v>
      </c>
      <c r="J25" s="7">
        <f>T_Incineracion!F69*1000</f>
        <v>14.578920000000002</v>
      </c>
      <c r="K25" s="7">
        <f>T_Incineracion!G69*1000</f>
        <v>15.000749999999998</v>
      </c>
      <c r="L25" s="7">
        <f>T_Incineracion!H69*1000</f>
        <v>14.90048</v>
      </c>
      <c r="M25" s="7">
        <f>T_Incineracion!I69*1000</f>
        <v>14.931839999999999</v>
      </c>
      <c r="N25" s="7">
        <f>T_Incineracion!J69*1000</f>
        <v>15.095880000000001</v>
      </c>
      <c r="O25" s="7">
        <f>T_Incineracion!K69*1000</f>
        <v>15.256319999999999</v>
      </c>
      <c r="P25" s="7">
        <f>T_Incineracion!L69*1000</f>
        <v>18.284590000000005</v>
      </c>
      <c r="Q25" s="7">
        <f>T_Incineracion!M69*1000</f>
        <v>21.368959999999998</v>
      </c>
      <c r="R25" s="7">
        <f>T_Incineracion!N69*1000</f>
        <v>13.092170000000001</v>
      </c>
      <c r="S25" s="7">
        <f>T_Incineracion!O69*1000</f>
        <v>16.940049999999999</v>
      </c>
      <c r="T25" s="7">
        <f>T_Incineracion!P69*1000</f>
        <v>17.654399999999999</v>
      </c>
      <c r="U25" s="7">
        <f>T_Incineracion!Q69*1000</f>
        <v>18.477119999999999</v>
      </c>
      <c r="V25" s="7">
        <f>T_Incineracion!R69*1000</f>
        <v>19.405330000000003</v>
      </c>
      <c r="W25" s="7">
        <f>T_Incineracion!S69*1000</f>
        <v>20.197189999999999</v>
      </c>
      <c r="X25" s="7">
        <f>T_Incineracion!T69*1000</f>
        <v>21.093</v>
      </c>
      <c r="Y25" s="7">
        <f>T_Incineracion!U69*1000</f>
        <v>21.855</v>
      </c>
      <c r="Z25" s="7">
        <f>T_Incineracion!V69*1000</f>
        <v>22.719450000000002</v>
      </c>
      <c r="AA25" s="7">
        <f>T_Incineracion!W69*1000</f>
        <v>23.566080000000003</v>
      </c>
      <c r="AB25" s="7">
        <f>T_Incineracion!X69*1000</f>
        <v>23.82432</v>
      </c>
      <c r="AC25" s="7">
        <f>T_Incineracion!Y69*1000</f>
        <v>24.076839999999997</v>
      </c>
      <c r="AD25" s="7">
        <f>T_Incineracion!Z69*1000</f>
        <v>24.323760000000004</v>
      </c>
      <c r="AE25" s="7">
        <f>T_Incineracion!AA69*1000</f>
        <v>24.565199999999997</v>
      </c>
      <c r="AF25" s="7">
        <f>T_Incineracion!AB69*1000</f>
        <v>24.799039999999998</v>
      </c>
    </row>
    <row r="26" spans="5:32" x14ac:dyDescent="0.3">
      <c r="E26" s="141" t="s">
        <v>41</v>
      </c>
      <c r="F26" s="3" t="s">
        <v>323</v>
      </c>
      <c r="G26" s="7">
        <f>T_5D1!F76*1000</f>
        <v>0</v>
      </c>
      <c r="H26" s="7">
        <f>T_5D1!G76*1000</f>
        <v>0</v>
      </c>
      <c r="I26" s="7">
        <f>T_5D1!H76*1000</f>
        <v>0</v>
      </c>
      <c r="J26" s="7">
        <f>T_5D1!I76*1000</f>
        <v>0</v>
      </c>
      <c r="K26" s="7">
        <f>T_5D1!J76*1000</f>
        <v>0</v>
      </c>
      <c r="L26" s="7">
        <f>T_5D1!K76*1000</f>
        <v>0</v>
      </c>
      <c r="M26" s="7">
        <f>T_5D1!L76*1000</f>
        <v>0</v>
      </c>
      <c r="N26" s="7">
        <f>T_5D1!M76*1000</f>
        <v>0</v>
      </c>
      <c r="O26" s="7">
        <f>T_5D1!N76*1000</f>
        <v>0</v>
      </c>
      <c r="P26" s="7">
        <f>T_5D1!O76*1000</f>
        <v>0</v>
      </c>
      <c r="Q26" s="7">
        <f>T_5D1!P76*1000</f>
        <v>0</v>
      </c>
      <c r="R26" s="7">
        <f>T_5D1!Q76*1000</f>
        <v>0</v>
      </c>
      <c r="S26" s="7">
        <f>T_5D1!R76*1000</f>
        <v>0</v>
      </c>
      <c r="T26" s="7">
        <f>T_5D1!S76*1000</f>
        <v>0</v>
      </c>
      <c r="U26" s="7">
        <f>T_5D1!T76*1000</f>
        <v>0</v>
      </c>
      <c r="V26" s="7">
        <f>T_5D1!U76*1000</f>
        <v>0</v>
      </c>
      <c r="W26" s="7">
        <f>T_5D1!V76*1000</f>
        <v>0</v>
      </c>
      <c r="X26" s="7">
        <f>T_5D1!W76*1000</f>
        <v>0</v>
      </c>
      <c r="Y26" s="7">
        <f>T_5D1!X76*1000</f>
        <v>0</v>
      </c>
      <c r="Z26" s="7">
        <f>T_5D1!Y76*1000</f>
        <v>0</v>
      </c>
      <c r="AA26" s="7">
        <f>T_5D1!Z76*1000</f>
        <v>0</v>
      </c>
      <c r="AB26" s="7">
        <f>T_5D1!AA76*1000</f>
        <v>0</v>
      </c>
      <c r="AC26" s="7">
        <f>T_5D1!AB76*1000</f>
        <v>0</v>
      </c>
      <c r="AD26" s="7">
        <f>T_5D1!AC76*1000</f>
        <v>0</v>
      </c>
      <c r="AE26" s="7">
        <f>T_5D1!AD76*1000</f>
        <v>0</v>
      </c>
      <c r="AF26" s="7">
        <f>T_5D1!AE76*1000</f>
        <v>0</v>
      </c>
    </row>
    <row r="27" spans="5:32" x14ac:dyDescent="0.3">
      <c r="E27" s="141" t="s">
        <v>41</v>
      </c>
      <c r="F27" s="3" t="s">
        <v>325</v>
      </c>
      <c r="G27" s="7">
        <f>T_5D1!F89*1000</f>
        <v>0</v>
      </c>
      <c r="H27" s="7">
        <f>T_5D1!G89*1000</f>
        <v>0</v>
      </c>
      <c r="I27" s="7">
        <f>T_5D1!H89*1000</f>
        <v>0</v>
      </c>
      <c r="J27" s="7">
        <f>T_5D1!I89*1000</f>
        <v>0</v>
      </c>
      <c r="K27" s="7">
        <f>T_5D1!J89*1000</f>
        <v>0</v>
      </c>
      <c r="L27" s="7">
        <f>T_5D1!K89*1000</f>
        <v>0</v>
      </c>
      <c r="M27" s="7">
        <f>T_5D1!L89*1000</f>
        <v>0</v>
      </c>
      <c r="N27" s="7">
        <f>T_5D1!M89*1000</f>
        <v>0</v>
      </c>
      <c r="O27" s="7">
        <f>T_5D1!N89*1000</f>
        <v>0</v>
      </c>
      <c r="P27" s="7">
        <f>T_5D1!O89*1000</f>
        <v>0</v>
      </c>
      <c r="Q27" s="7">
        <f>T_5D1!P89*1000</f>
        <v>0</v>
      </c>
      <c r="R27" s="7">
        <f>T_5D1!Q89*1000</f>
        <v>0</v>
      </c>
      <c r="S27" s="7">
        <f>T_5D1!R89*1000</f>
        <v>0</v>
      </c>
      <c r="T27" s="7">
        <f>T_5D1!S89*1000</f>
        <v>0</v>
      </c>
      <c r="U27" s="7">
        <f>T_5D1!T89*1000</f>
        <v>0</v>
      </c>
      <c r="V27" s="7">
        <f>T_5D1!U89*1000</f>
        <v>0</v>
      </c>
      <c r="W27" s="7">
        <f>T_5D1!V89*1000</f>
        <v>0</v>
      </c>
      <c r="X27" s="7">
        <f>T_5D1!W89*1000</f>
        <v>0</v>
      </c>
      <c r="Y27" s="7">
        <f>T_5D1!X89*1000</f>
        <v>0</v>
      </c>
      <c r="Z27" s="7">
        <f>T_5D1!Y89*1000</f>
        <v>0</v>
      </c>
      <c r="AA27" s="7">
        <f>T_5D1!Z89*1000</f>
        <v>0</v>
      </c>
      <c r="AB27" s="7">
        <f>T_5D1!AA89*1000</f>
        <v>0</v>
      </c>
      <c r="AC27" s="7">
        <f>T_5D1!AB89*1000</f>
        <v>0</v>
      </c>
      <c r="AD27" s="7">
        <f>T_5D1!AC89*1000</f>
        <v>0</v>
      </c>
      <c r="AE27" s="7">
        <f>T_5D1!AD89*1000</f>
        <v>0</v>
      </c>
      <c r="AF27" s="7">
        <f>T_5D1!AE89*1000</f>
        <v>0</v>
      </c>
    </row>
    <row r="28" spans="5:32" x14ac:dyDescent="0.3">
      <c r="E28" s="3" t="s">
        <v>44</v>
      </c>
      <c r="F28" s="3" t="s">
        <v>327</v>
      </c>
      <c r="G28" s="7">
        <f>T_5D2!F52*1000</f>
        <v>0</v>
      </c>
      <c r="H28" s="7">
        <f>T_5D2!G52*1000</f>
        <v>0</v>
      </c>
      <c r="I28" s="7">
        <f>T_5D2!H52*1000</f>
        <v>0</v>
      </c>
      <c r="J28" s="7">
        <f>T_5D2!I52*1000</f>
        <v>0</v>
      </c>
      <c r="K28" s="7">
        <f>T_5D2!J52*1000</f>
        <v>0</v>
      </c>
      <c r="L28" s="7">
        <f>T_5D2!K52*1000</f>
        <v>0</v>
      </c>
      <c r="M28" s="7">
        <f>T_5D2!L52*1000</f>
        <v>0</v>
      </c>
      <c r="N28" s="7">
        <f>T_5D2!M52*1000</f>
        <v>0</v>
      </c>
      <c r="O28" s="7">
        <f>T_5D2!N52*1000</f>
        <v>0</v>
      </c>
      <c r="P28" s="7">
        <f>T_5D2!O52*1000</f>
        <v>0</v>
      </c>
      <c r="Q28" s="7">
        <f>T_5D2!P52*1000</f>
        <v>0</v>
      </c>
      <c r="R28" s="7">
        <f>T_5D2!Q52*1000</f>
        <v>0</v>
      </c>
      <c r="S28" s="7">
        <f>T_5D2!R52*1000</f>
        <v>0</v>
      </c>
      <c r="T28" s="7">
        <f>T_5D2!S52*1000</f>
        <v>0</v>
      </c>
      <c r="U28" s="7">
        <f>T_5D2!T52*1000</f>
        <v>0</v>
      </c>
      <c r="V28" s="7">
        <f>T_5D2!U52*1000</f>
        <v>0</v>
      </c>
      <c r="W28" s="7">
        <f>T_5D2!V52*1000</f>
        <v>0</v>
      </c>
      <c r="X28" s="7">
        <f>T_5D2!W52*1000</f>
        <v>0</v>
      </c>
      <c r="Y28" s="7">
        <f>T_5D2!X52*1000</f>
        <v>0</v>
      </c>
      <c r="Z28" s="7">
        <f>T_5D2!Y52*1000</f>
        <v>0</v>
      </c>
      <c r="AA28" s="7">
        <f>T_5D2!Z52*1000</f>
        <v>0</v>
      </c>
      <c r="AB28" s="7">
        <f>T_5D2!AA52*1000</f>
        <v>0</v>
      </c>
      <c r="AC28" s="7">
        <f>T_5D2!AB52*1000</f>
        <v>0</v>
      </c>
      <c r="AD28" s="7">
        <f>T_5D2!AC52*1000</f>
        <v>0</v>
      </c>
      <c r="AE28" s="7">
        <f>T_5D2!AD52*1000</f>
        <v>0</v>
      </c>
      <c r="AF28" s="7">
        <f>T_5D2!AE52*1000</f>
        <v>0</v>
      </c>
    </row>
    <row r="29" spans="5:32" x14ac:dyDescent="0.3"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</row>
    <row r="30" spans="5:32" x14ac:dyDescent="0.3">
      <c r="F30" t="s">
        <v>336</v>
      </c>
      <c r="G30" s="11">
        <f>G22+G23+G24+G25</f>
        <v>13.18135</v>
      </c>
      <c r="H30" s="11">
        <f t="shared" ref="H30:AF30" si="3">H22+H23+H24+H25</f>
        <v>13.680880000000002</v>
      </c>
      <c r="I30" s="11">
        <f t="shared" si="3"/>
        <v>14.27192</v>
      </c>
      <c r="J30" s="11">
        <f t="shared" si="3"/>
        <v>14.578920000000002</v>
      </c>
      <c r="K30" s="11">
        <f t="shared" si="3"/>
        <v>15.000749999999998</v>
      </c>
      <c r="L30" s="11">
        <f t="shared" si="3"/>
        <v>14.90048</v>
      </c>
      <c r="M30" s="11">
        <f t="shared" si="3"/>
        <v>14.931839999999999</v>
      </c>
      <c r="N30" s="11">
        <f t="shared" si="3"/>
        <v>15.095880000000001</v>
      </c>
      <c r="O30" s="11">
        <f t="shared" si="3"/>
        <v>15.256319999999999</v>
      </c>
      <c r="P30" s="11">
        <f t="shared" si="3"/>
        <v>18.284590000000005</v>
      </c>
      <c r="Q30" s="11">
        <f t="shared" si="3"/>
        <v>21.368959999999998</v>
      </c>
      <c r="R30" s="11">
        <f t="shared" si="3"/>
        <v>13.092170000000001</v>
      </c>
      <c r="S30" s="11">
        <f t="shared" si="3"/>
        <v>16.940049999999999</v>
      </c>
      <c r="T30" s="11">
        <f t="shared" si="3"/>
        <v>17.654399999999999</v>
      </c>
      <c r="U30" s="11">
        <f t="shared" si="3"/>
        <v>18.477119999999999</v>
      </c>
      <c r="V30" s="11">
        <f t="shared" si="3"/>
        <v>19.405330000000003</v>
      </c>
      <c r="W30" s="11">
        <f t="shared" si="3"/>
        <v>20.197189999999999</v>
      </c>
      <c r="X30" s="11">
        <f t="shared" si="3"/>
        <v>21.093</v>
      </c>
      <c r="Y30" s="11">
        <f t="shared" si="3"/>
        <v>21.855</v>
      </c>
      <c r="Z30" s="11">
        <f t="shared" si="3"/>
        <v>22.719450000000002</v>
      </c>
      <c r="AA30" s="11">
        <f t="shared" si="3"/>
        <v>23.566080000000003</v>
      </c>
      <c r="AB30" s="11">
        <f t="shared" si="3"/>
        <v>23.82432</v>
      </c>
      <c r="AC30" s="11">
        <f t="shared" si="3"/>
        <v>24.076839999999997</v>
      </c>
      <c r="AD30" s="11">
        <f t="shared" si="3"/>
        <v>24.323760000000004</v>
      </c>
      <c r="AE30" s="11">
        <f t="shared" si="3"/>
        <v>24.565199999999997</v>
      </c>
      <c r="AF30" s="11">
        <f t="shared" si="3"/>
        <v>24.799039999999998</v>
      </c>
    </row>
    <row r="31" spans="5:32" x14ac:dyDescent="0.3">
      <c r="F31" t="s">
        <v>337</v>
      </c>
      <c r="G31" s="11">
        <f>G26+G27+G28</f>
        <v>0</v>
      </c>
      <c r="H31" s="11">
        <f t="shared" ref="H31:AF31" si="4">H26+H27+H28</f>
        <v>0</v>
      </c>
      <c r="I31" s="11">
        <f t="shared" si="4"/>
        <v>0</v>
      </c>
      <c r="J31" s="11">
        <f t="shared" si="4"/>
        <v>0</v>
      </c>
      <c r="K31" s="11">
        <f t="shared" si="4"/>
        <v>0</v>
      </c>
      <c r="L31" s="11">
        <f t="shared" si="4"/>
        <v>0</v>
      </c>
      <c r="M31" s="11">
        <f t="shared" si="4"/>
        <v>0</v>
      </c>
      <c r="N31" s="11">
        <f t="shared" si="4"/>
        <v>0</v>
      </c>
      <c r="O31" s="11">
        <f t="shared" si="4"/>
        <v>0</v>
      </c>
      <c r="P31" s="11">
        <f t="shared" si="4"/>
        <v>0</v>
      </c>
      <c r="Q31" s="11">
        <f t="shared" si="4"/>
        <v>0</v>
      </c>
      <c r="R31" s="11">
        <f t="shared" si="4"/>
        <v>0</v>
      </c>
      <c r="S31" s="11">
        <f t="shared" si="4"/>
        <v>0</v>
      </c>
      <c r="T31" s="11">
        <f t="shared" si="4"/>
        <v>0</v>
      </c>
      <c r="U31" s="11">
        <f t="shared" si="4"/>
        <v>0</v>
      </c>
      <c r="V31" s="11">
        <f t="shared" si="4"/>
        <v>0</v>
      </c>
      <c r="W31" s="11">
        <f t="shared" si="4"/>
        <v>0</v>
      </c>
      <c r="X31" s="11">
        <f t="shared" si="4"/>
        <v>0</v>
      </c>
      <c r="Y31" s="11">
        <f t="shared" si="4"/>
        <v>0</v>
      </c>
      <c r="Z31" s="11">
        <f t="shared" si="4"/>
        <v>0</v>
      </c>
      <c r="AA31" s="11">
        <f t="shared" si="4"/>
        <v>0</v>
      </c>
      <c r="AB31" s="11">
        <f t="shared" si="4"/>
        <v>0</v>
      </c>
      <c r="AC31" s="11">
        <f t="shared" si="4"/>
        <v>0</v>
      </c>
      <c r="AD31" s="11">
        <f t="shared" si="4"/>
        <v>0</v>
      </c>
      <c r="AE31" s="11">
        <f t="shared" si="4"/>
        <v>0</v>
      </c>
      <c r="AF31" s="11">
        <f t="shared" si="4"/>
        <v>0</v>
      </c>
    </row>
    <row r="32" spans="5:32" x14ac:dyDescent="0.3">
      <c r="F32" t="s">
        <v>253</v>
      </c>
      <c r="G32" s="11">
        <f>G22+G23+G24+G25+G26+G27+G28</f>
        <v>13.18135</v>
      </c>
      <c r="H32" s="11">
        <f t="shared" ref="H32:AF32" si="5">H22+H23+H24+H25+H26+H27+H28</f>
        <v>13.680880000000002</v>
      </c>
      <c r="I32" s="11">
        <f t="shared" si="5"/>
        <v>14.27192</v>
      </c>
      <c r="J32" s="11">
        <f t="shared" si="5"/>
        <v>14.578920000000002</v>
      </c>
      <c r="K32" s="11">
        <f t="shared" si="5"/>
        <v>15.000749999999998</v>
      </c>
      <c r="L32" s="11">
        <f t="shared" si="5"/>
        <v>14.90048</v>
      </c>
      <c r="M32" s="11">
        <f t="shared" si="5"/>
        <v>14.931839999999999</v>
      </c>
      <c r="N32" s="11">
        <f t="shared" si="5"/>
        <v>15.095880000000001</v>
      </c>
      <c r="O32" s="11">
        <f t="shared" si="5"/>
        <v>15.256319999999999</v>
      </c>
      <c r="P32" s="11">
        <f t="shared" si="5"/>
        <v>18.284590000000005</v>
      </c>
      <c r="Q32" s="11">
        <f t="shared" si="5"/>
        <v>21.368959999999998</v>
      </c>
      <c r="R32" s="11">
        <f t="shared" si="5"/>
        <v>13.092170000000001</v>
      </c>
      <c r="S32" s="11">
        <f t="shared" si="5"/>
        <v>16.940049999999999</v>
      </c>
      <c r="T32" s="11">
        <f t="shared" si="5"/>
        <v>17.654399999999999</v>
      </c>
      <c r="U32" s="11">
        <f t="shared" si="5"/>
        <v>18.477119999999999</v>
      </c>
      <c r="V32" s="11">
        <f t="shared" si="5"/>
        <v>19.405330000000003</v>
      </c>
      <c r="W32" s="11">
        <f t="shared" si="5"/>
        <v>20.197189999999999</v>
      </c>
      <c r="X32" s="11">
        <f t="shared" si="5"/>
        <v>21.093</v>
      </c>
      <c r="Y32" s="11">
        <f t="shared" si="5"/>
        <v>21.855</v>
      </c>
      <c r="Z32" s="11">
        <f t="shared" si="5"/>
        <v>22.719450000000002</v>
      </c>
      <c r="AA32" s="11">
        <f t="shared" si="5"/>
        <v>23.566080000000003</v>
      </c>
      <c r="AB32" s="11">
        <f t="shared" si="5"/>
        <v>23.82432</v>
      </c>
      <c r="AC32" s="11">
        <f t="shared" si="5"/>
        <v>24.076839999999997</v>
      </c>
      <c r="AD32" s="11">
        <f t="shared" si="5"/>
        <v>24.323760000000004</v>
      </c>
      <c r="AE32" s="11">
        <f t="shared" si="5"/>
        <v>24.565199999999997</v>
      </c>
      <c r="AF32" s="11">
        <f t="shared" si="5"/>
        <v>24.799039999999998</v>
      </c>
    </row>
    <row r="34" spans="5:32" x14ac:dyDescent="0.3">
      <c r="E34" s="1" t="s">
        <v>227</v>
      </c>
    </row>
    <row r="36" spans="5:32" x14ac:dyDescent="0.3">
      <c r="E36" s="3" t="s">
        <v>332</v>
      </c>
      <c r="F36" s="3" t="s">
        <v>333</v>
      </c>
      <c r="G36" s="3">
        <v>2010</v>
      </c>
      <c r="H36" s="3">
        <v>2011</v>
      </c>
      <c r="I36" s="3">
        <v>2012</v>
      </c>
      <c r="J36" s="3">
        <v>2013</v>
      </c>
      <c r="K36" s="3">
        <v>2014</v>
      </c>
      <c r="L36" s="3">
        <v>2015</v>
      </c>
      <c r="M36" s="3">
        <v>2016</v>
      </c>
      <c r="N36" s="3">
        <v>2017</v>
      </c>
      <c r="O36" s="3">
        <v>2018</v>
      </c>
      <c r="P36" s="3">
        <v>2019</v>
      </c>
      <c r="Q36" s="3">
        <v>2020</v>
      </c>
      <c r="R36" s="3">
        <v>2021</v>
      </c>
      <c r="S36" s="3">
        <v>2022</v>
      </c>
      <c r="T36" s="3">
        <v>2023</v>
      </c>
      <c r="U36" s="3">
        <v>2024</v>
      </c>
      <c r="V36" s="3">
        <v>2025</v>
      </c>
      <c r="W36" s="3">
        <v>2026</v>
      </c>
      <c r="X36" s="3">
        <v>2027</v>
      </c>
      <c r="Y36" s="3">
        <v>2028</v>
      </c>
      <c r="Z36" s="3">
        <v>2029</v>
      </c>
      <c r="AA36" s="3">
        <v>2030</v>
      </c>
      <c r="AB36" s="3">
        <v>2031</v>
      </c>
      <c r="AC36" s="3">
        <v>2032</v>
      </c>
      <c r="AD36" s="3">
        <v>2033</v>
      </c>
      <c r="AE36" s="3">
        <v>2034</v>
      </c>
      <c r="AF36" s="3">
        <v>2035</v>
      </c>
    </row>
    <row r="37" spans="5:32" x14ac:dyDescent="0.3">
      <c r="E37" s="17" t="s">
        <v>35</v>
      </c>
      <c r="F37" s="17" t="s">
        <v>269</v>
      </c>
      <c r="G37" s="7">
        <f>Ini_I_Compostaje!C54*1000-'Ini_I+C_CapturaMetano'!C31</f>
        <v>31.870414285714286</v>
      </c>
      <c r="H37" s="7">
        <f>Ini_I_Compostaje!D54*1000-'Ini_I+C_CapturaMetano'!D31</f>
        <v>36.886828571428573</v>
      </c>
      <c r="I37" s="7">
        <f>Ini_I_Compostaje!E54*1000-'Ini_I+C_CapturaMetano'!E31</f>
        <v>41.904701428571428</v>
      </c>
      <c r="J37" s="7">
        <f>Ini_I_Compostaje!F54*1000-'Ini_I+C_CapturaMetano'!F31</f>
        <v>43.920092857142862</v>
      </c>
      <c r="K37" s="7">
        <f>Ini_I_Compostaje!G54*1000-'Ini_I+C_CapturaMetano'!G31</f>
        <v>45.941090000000003</v>
      </c>
      <c r="L37" s="7">
        <f>Ini_I_Compostaje!H54*1000-'Ini_I+C_CapturaMetano'!H31</f>
        <v>61.434180357142864</v>
      </c>
      <c r="M37" s="7">
        <f>Ini_I_Compostaje!I54*1000-'Ini_I+C_CapturaMetano'!I31</f>
        <v>76.932914285714276</v>
      </c>
      <c r="N37" s="7">
        <f>Ini_I_Compostaje!J54*1000-'Ini_I+C_CapturaMetano'!J31</f>
        <v>86.965515714285701</v>
      </c>
      <c r="O37" s="7">
        <f>Ini_I_Compostaje!K54*1000-'Ini_I+C_CapturaMetano'!K31</f>
        <v>97.003712142857154</v>
      </c>
      <c r="P37" s="7">
        <f>Ini_I_Compostaje!L54*1000-'Ini_I+C_CapturaMetano'!L31</f>
        <v>103.50124571428569</v>
      </c>
      <c r="Q37" s="7">
        <f>Ini_I_Compostaje!M54*1000-'Ini_I+C_CapturaMetano'!M31</f>
        <v>109.99061357142858</v>
      </c>
      <c r="R37" s="7">
        <f>Ini_I_Compostaje!N54*1000-'Ini_I+C_CapturaMetano'!N31</f>
        <v>117.82439392857142</v>
      </c>
      <c r="S37" s="7">
        <f>Ini_I_Compostaje!O54*1000-'Ini_I+C_CapturaMetano'!O31</f>
        <v>123.20343428571427</v>
      </c>
      <c r="T37" s="7">
        <f>Ini_I_Compostaje!P54*1000-'Ini_I+C_CapturaMetano'!P31</f>
        <v>136.68540000000002</v>
      </c>
      <c r="U37" s="7">
        <f>Ini_I_Compostaje!Q54*1000-'Ini_I+C_CapturaMetano'!Q31</f>
        <v>151.35593</v>
      </c>
      <c r="V37" s="7">
        <f>Ini_I_Compostaje!R54*1000-'Ini_I+C_CapturaMetano'!R31</f>
        <v>167.23916</v>
      </c>
      <c r="W37" s="7">
        <f>Ini_I_Compostaje!S54*1000-'Ini_I+C_CapturaMetano'!S31</f>
        <v>184.09209714285717</v>
      </c>
      <c r="X37" s="7">
        <f>Ini_I_Compostaje!T54*1000-'Ini_I+C_CapturaMetano'!T31</f>
        <v>202.63820428571427</v>
      </c>
      <c r="Y37" s="7">
        <f>Ini_I_Compostaje!U54*1000-'Ini_I+C_CapturaMetano'!U31</f>
        <v>222.63119142857144</v>
      </c>
      <c r="Z37" s="7">
        <f>Ini_I_Compostaje!V54*1000-'Ini_I+C_CapturaMetano'!V31</f>
        <v>244.14464857142855</v>
      </c>
      <c r="AA37" s="7">
        <f>Ini_I_Compostaje!W54*1000-'Ini_I+C_CapturaMetano'!W31</f>
        <v>268.97647142857147</v>
      </c>
      <c r="AB37" s="7">
        <f>Ini_I_Compostaje!X54*1000-'Ini_I+C_CapturaMetano'!X31</f>
        <v>287.55958571428567</v>
      </c>
      <c r="AC37" s="7">
        <f>Ini_I_Compostaje!Y54*1000-'Ini_I+C_CapturaMetano'!Y31</f>
        <v>307.51333000000005</v>
      </c>
      <c r="AD37" s="7">
        <f>Ini_I_Compostaje!Z54*1000-'Ini_I+C_CapturaMetano'!Z31</f>
        <v>328.44547428571423</v>
      </c>
      <c r="AE37" s="7">
        <f>Ini_I_Compostaje!AA54*1000-'Ini_I+C_CapturaMetano'!AA31</f>
        <v>350.82177857142852</v>
      </c>
      <c r="AF37" s="7">
        <f>Ini_I_Compostaje!AB54*1000-'Ini_I+C_CapturaMetano'!AB31</f>
        <v>374.58910571428567</v>
      </c>
    </row>
    <row r="38" spans="5:32" x14ac:dyDescent="0.3">
      <c r="E38" s="3" t="s">
        <v>38</v>
      </c>
      <c r="F38" s="3" t="s">
        <v>271</v>
      </c>
      <c r="G38" s="7">
        <f>T_5A2!E58*1000</f>
        <v>28.843520000000002</v>
      </c>
      <c r="H38" s="7">
        <f>T_5A2!F58*1000</f>
        <v>30.080480000000001</v>
      </c>
      <c r="I38" s="7">
        <f>T_5A2!G58*1000</f>
        <v>31.431639999999998</v>
      </c>
      <c r="J38" s="7">
        <f>T_5A2!H58*1000</f>
        <v>36.470879999999994</v>
      </c>
      <c r="K38" s="7">
        <f>T_5A2!I58*1000</f>
        <v>41.530910000000006</v>
      </c>
      <c r="L38" s="7">
        <f>T_5A2!J58*1000</f>
        <v>33.134640000000005</v>
      </c>
      <c r="M38" s="7">
        <f>T_5A2!K58*1000</f>
        <v>24.751510000000003</v>
      </c>
      <c r="N38" s="7">
        <f>T_5A2!L58*1000</f>
        <v>21.286099999999998</v>
      </c>
      <c r="O38" s="7">
        <f>T_5A2!M58*1000</f>
        <v>17.879719999999999</v>
      </c>
      <c r="P38" s="7">
        <f>T_5A2!N58*1000</f>
        <v>18.588459999999998</v>
      </c>
      <c r="Q38" s="7">
        <f>T_5A2!O58*1000</f>
        <v>19.254059999999999</v>
      </c>
      <c r="R38" s="7">
        <f>T_5A2!P58*1000</f>
        <v>16.7027</v>
      </c>
      <c r="S38" s="7">
        <f>T_5A2!Q58*1000</f>
        <v>17.234559999999998</v>
      </c>
      <c r="T38" s="7">
        <f>T_5A2!R58*1000</f>
        <v>19.124300000000002</v>
      </c>
      <c r="U38" s="7">
        <f>T_5A2!S58*1000</f>
        <v>21.179279999999999</v>
      </c>
      <c r="V38" s="7">
        <f>T_5A2!T58*1000</f>
        <v>23.399419999999999</v>
      </c>
      <c r="W38" s="7">
        <f>T_5A2!U58*1000</f>
        <v>25.799199999999999</v>
      </c>
      <c r="X38" s="7">
        <f>T_5A2!V58*1000</f>
        <v>28.43862</v>
      </c>
      <c r="Y38" s="7">
        <f>T_5A2!W58*1000</f>
        <v>31.276830000000004</v>
      </c>
      <c r="Z38" s="7">
        <f>T_5A2!X58*1000</f>
        <v>34.329839999999997</v>
      </c>
      <c r="AA38" s="7">
        <f>T_5A2!Y58*1000</f>
        <v>37.66581</v>
      </c>
      <c r="AB38" s="7">
        <f>T_5A2!Z58*1000</f>
        <v>40.265160000000002</v>
      </c>
      <c r="AC38" s="7">
        <f>T_5A2!AA58*1000</f>
        <v>43.069110000000002</v>
      </c>
      <c r="AD38" s="7">
        <f>T_5A2!AB58*1000</f>
        <v>46.003020000000006</v>
      </c>
      <c r="AE38" s="7">
        <f>T_5A2!AC58*1000</f>
        <v>49.138950000000001</v>
      </c>
      <c r="AF38" s="7">
        <f>T_5A2!AD58*1000</f>
        <v>52.483620000000002</v>
      </c>
    </row>
    <row r="39" spans="5:32" x14ac:dyDescent="0.3">
      <c r="E39" s="17" t="s">
        <v>334</v>
      </c>
      <c r="F39" s="17" t="s">
        <v>267</v>
      </c>
      <c r="G39" s="7">
        <f>Ini_I_Compostaje!C85*1000</f>
        <v>2.1999999999999999E-2</v>
      </c>
      <c r="H39" s="7">
        <f>Ini_I_Compostaje!D85*1000</f>
        <v>2.5600000000000001E-2</v>
      </c>
      <c r="I39" s="7">
        <f>Ini_I_Compostaje!E85*1000</f>
        <v>2.92E-2</v>
      </c>
      <c r="J39" s="7">
        <f>Ini_I_Compostaje!F85*1000</f>
        <v>8.8800000000000004E-2</v>
      </c>
      <c r="K39" s="7">
        <f>Ini_I_Compostaje!G85*1000</f>
        <v>0.14879999999999999</v>
      </c>
      <c r="L39" s="7">
        <f>Ini_I_Compostaje!H85*1000</f>
        <v>0.12880000000000003</v>
      </c>
      <c r="M39" s="7">
        <f>Ini_I_Compostaje!I85*1000</f>
        <v>0.10880000000000001</v>
      </c>
      <c r="N39" s="7">
        <f>Ini_I_Compostaje!J85*1000</f>
        <v>0.122</v>
      </c>
      <c r="O39" s="7">
        <f>Ini_I_Compostaje!K85*1000</f>
        <v>0.13519999999999999</v>
      </c>
      <c r="P39" s="7">
        <f>Ini_I_Compostaje!L85*1000</f>
        <v>0.14119999999999999</v>
      </c>
      <c r="Q39" s="7">
        <f>Ini_I_Compostaje!M85*1000</f>
        <v>0.1472</v>
      </c>
      <c r="R39" s="7">
        <f>Ini_I_Compostaje!N85*1000</f>
        <v>0.154</v>
      </c>
      <c r="S39" s="7">
        <f>Ini_I_Compostaje!O85*1000</f>
        <v>0.1348</v>
      </c>
      <c r="T39" s="7">
        <f>Ini_I_Compostaje!P85*1000</f>
        <v>0.1424</v>
      </c>
      <c r="U39" s="7">
        <f>Ini_I_Compostaje!Q85*1000</f>
        <v>0.15040000000000001</v>
      </c>
      <c r="V39" s="7">
        <f>Ini_I_Compostaje!R85*1000</f>
        <v>0.15840000000000004</v>
      </c>
      <c r="W39" s="7">
        <f>Ini_I_Compostaje!S85*1000</f>
        <v>0.17120000000000041</v>
      </c>
      <c r="X39" s="7">
        <f>Ini_I_Compostaje!T85*1000</f>
        <v>0.18360000000000082</v>
      </c>
      <c r="Y39" s="7">
        <f>Ini_I_Compostaje!U85*1000</f>
        <v>0.19680000000000122</v>
      </c>
      <c r="Z39" s="7">
        <f>Ini_I_Compostaje!V85*1000</f>
        <v>0.20960000000000162</v>
      </c>
      <c r="AA39" s="7">
        <f>Ini_I_Compostaje!W85*1000</f>
        <v>0.22279999999999847</v>
      </c>
      <c r="AB39" s="7">
        <f>Ini_I_Compostaje!X85*1000</f>
        <v>0.23120000000000246</v>
      </c>
      <c r="AC39" s="7">
        <f>Ini_I_Compostaje!Y85*1000</f>
        <v>0.23919999999999927</v>
      </c>
      <c r="AD39" s="7">
        <f>Ini_I_Compostaje!Z85*1000</f>
        <v>0.24760000000000326</v>
      </c>
      <c r="AE39" s="7">
        <f>Ini_I_Compostaje!AA85*1000</f>
        <v>0.25600000000000012</v>
      </c>
      <c r="AF39" s="7">
        <f>Ini_I_Compostaje!AB85*1000</f>
        <v>0.27480000000000115</v>
      </c>
    </row>
    <row r="40" spans="5:32" x14ac:dyDescent="0.3">
      <c r="E40" s="3" t="s">
        <v>335</v>
      </c>
      <c r="F40" s="3" t="s">
        <v>275</v>
      </c>
      <c r="G40" s="7">
        <f>T_Incineracion!C70*1000</f>
        <v>0</v>
      </c>
      <c r="H40" s="7">
        <f>T_Incineracion!D70*1000</f>
        <v>0</v>
      </c>
      <c r="I40" s="7">
        <f>T_Incineracion!E70*1000</f>
        <v>0</v>
      </c>
      <c r="J40" s="7">
        <f>T_Incineracion!F70*1000</f>
        <v>0</v>
      </c>
      <c r="K40" s="7">
        <f>T_Incineracion!G70*1000</f>
        <v>0</v>
      </c>
      <c r="L40" s="7">
        <f>T_Incineracion!H70*1000</f>
        <v>0</v>
      </c>
      <c r="M40" s="7">
        <f>T_Incineracion!I70*1000</f>
        <v>0</v>
      </c>
      <c r="N40" s="7">
        <f>T_Incineracion!J70*1000</f>
        <v>0</v>
      </c>
      <c r="O40" s="7">
        <f>T_Incineracion!K70*1000</f>
        <v>0</v>
      </c>
      <c r="P40" s="7">
        <f>T_Incineracion!L70*1000</f>
        <v>0</v>
      </c>
      <c r="Q40" s="7">
        <f>T_Incineracion!M70*1000</f>
        <v>0</v>
      </c>
      <c r="R40" s="7">
        <f>T_Incineracion!N70*1000</f>
        <v>0</v>
      </c>
      <c r="S40" s="7">
        <f>T_Incineracion!O70*1000</f>
        <v>0</v>
      </c>
      <c r="T40" s="7">
        <f>T_Incineracion!P70*1000</f>
        <v>0</v>
      </c>
      <c r="U40" s="7">
        <f>T_Incineracion!Q70*1000</f>
        <v>0</v>
      </c>
      <c r="V40" s="7">
        <f>T_Incineracion!R70*1000</f>
        <v>0</v>
      </c>
      <c r="W40" s="7">
        <f>T_Incineracion!S70*1000</f>
        <v>0</v>
      </c>
      <c r="X40" s="7">
        <f>T_Incineracion!T70*1000</f>
        <v>0</v>
      </c>
      <c r="Y40" s="7">
        <f>T_Incineracion!U70*1000</f>
        <v>0</v>
      </c>
      <c r="Z40" s="7">
        <f>T_Incineracion!V70*1000</f>
        <v>0</v>
      </c>
      <c r="AA40" s="7">
        <f>T_Incineracion!W70*1000</f>
        <v>0</v>
      </c>
      <c r="AB40" s="7">
        <f>T_Incineracion!X70*1000</f>
        <v>0</v>
      </c>
      <c r="AC40" s="7">
        <f>T_Incineracion!Y70*1000</f>
        <v>0</v>
      </c>
      <c r="AD40" s="7">
        <f>T_Incineracion!Z70*1000</f>
        <v>0</v>
      </c>
      <c r="AE40" s="7">
        <f>T_Incineracion!AA70*1000</f>
        <v>0</v>
      </c>
      <c r="AF40" s="7">
        <f>T_Incineracion!AB70*1000</f>
        <v>0</v>
      </c>
    </row>
    <row r="41" spans="5:32" x14ac:dyDescent="0.3">
      <c r="E41" s="173" t="s">
        <v>41</v>
      </c>
      <c r="F41" s="17" t="s">
        <v>323</v>
      </c>
      <c r="G41" s="7">
        <f>Ini_I_PTAR!C88*1000</f>
        <v>8.0812049999999989</v>
      </c>
      <c r="H41" s="7">
        <f>Ini_I_PTAR!D88*1000</f>
        <v>9.2075399999999998</v>
      </c>
      <c r="I41" s="7">
        <f>Ini_I_PTAR!E88*1000</f>
        <v>10.404685000000001</v>
      </c>
      <c r="J41" s="7">
        <f>Ini_I_PTAR!F88*1000</f>
        <v>10.514853571428572</v>
      </c>
      <c r="K41" s="7">
        <f>Ini_I_PTAR!G88*1000</f>
        <v>10.626102857142858</v>
      </c>
      <c r="L41" s="7">
        <f>Ini_I_PTAR!H88*1000</f>
        <v>10.785519642857144</v>
      </c>
      <c r="M41" s="7">
        <f>Ini_I_PTAR!I88*1000</f>
        <v>10.944732857142856</v>
      </c>
      <c r="N41" s="7">
        <f>Ini_I_PTAR!J88*1000</f>
        <v>11.169013571428572</v>
      </c>
      <c r="O41" s="7">
        <f>Ini_I_PTAR!K88*1000</f>
        <v>11.395094285714285</v>
      </c>
      <c r="P41" s="7">
        <f>Ini_I_PTAR!L88*1000</f>
        <v>11.201814285714287</v>
      </c>
      <c r="Q41" s="7">
        <f>Ini_I_PTAR!M88*1000</f>
        <v>11.0085625</v>
      </c>
      <c r="R41" s="7">
        <f>Ini_I_PTAR!N88*1000</f>
        <v>11.311634285714286</v>
      </c>
      <c r="S41" s="7">
        <f>Ini_I_PTAR!O88*1000</f>
        <v>11.183407857142857</v>
      </c>
      <c r="T41" s="7">
        <f>Ini_I_PTAR!P88*1000</f>
        <v>12.292272857142859</v>
      </c>
      <c r="U41" s="7">
        <f>Ini_I_PTAR!Q88*1000</f>
        <v>13.452148928571429</v>
      </c>
      <c r="V41" s="7">
        <f>Ini_I_PTAR!R88*1000</f>
        <v>13.639454999999998</v>
      </c>
      <c r="W41" s="7">
        <f>Ini_I_PTAR!S88*1000</f>
        <v>14.343388231658238</v>
      </c>
      <c r="X41" s="7">
        <f>Ini_I_PTAR!T88*1000</f>
        <v>16.943431882694679</v>
      </c>
      <c r="Y41" s="7">
        <f>Ini_I_PTAR!U88*1000</f>
        <v>18.12890176176311</v>
      </c>
      <c r="Z41" s="7">
        <f>Ini_I_PTAR!V88*1000</f>
        <v>19.351560798987759</v>
      </c>
      <c r="AA41" s="7">
        <f>Ini_I_PTAR!W88*1000</f>
        <v>20.623146129727786</v>
      </c>
      <c r="AB41" s="7">
        <f>Ini_I_PTAR!X88*1000</f>
        <v>21.970056556309579</v>
      </c>
      <c r="AC41" s="7">
        <f>Ini_I_PTAR!Y88*1000</f>
        <v>23.389149356571362</v>
      </c>
      <c r="AD41" s="7">
        <f>Ini_I_PTAR!Z88*1000</f>
        <v>24.859802302813936</v>
      </c>
      <c r="AE41" s="7">
        <f>Ini_I_PTAR!AA88*1000</f>
        <v>26.412990359761686</v>
      </c>
      <c r="AF41" s="7">
        <f>Ini_I_PTAR!AB88*1000</f>
        <v>28.015290185007451</v>
      </c>
    </row>
    <row r="42" spans="5:32" x14ac:dyDescent="0.3">
      <c r="E42" s="141" t="s">
        <v>41</v>
      </c>
      <c r="F42" s="3" t="s">
        <v>325</v>
      </c>
      <c r="G42" s="7">
        <f>T_5D1!F90</f>
        <v>0</v>
      </c>
      <c r="H42" s="7">
        <f>T_5D1!G90</f>
        <v>0</v>
      </c>
      <c r="I42" s="7">
        <f>T_5D1!H90</f>
        <v>0</v>
      </c>
      <c r="J42" s="7">
        <f>T_5D1!I90</f>
        <v>0</v>
      </c>
      <c r="K42" s="7">
        <f>T_5D1!J90</f>
        <v>0</v>
      </c>
      <c r="L42" s="7">
        <f>T_5D1!K90</f>
        <v>0</v>
      </c>
      <c r="M42" s="7">
        <f>T_5D1!L90</f>
        <v>0</v>
      </c>
      <c r="N42" s="7">
        <f>T_5D1!M90</f>
        <v>0</v>
      </c>
      <c r="O42" s="7">
        <f>T_5D1!N90</f>
        <v>0</v>
      </c>
      <c r="P42" s="7">
        <f>T_5D1!O90</f>
        <v>0</v>
      </c>
      <c r="Q42" s="7">
        <f>T_5D1!P90</f>
        <v>0</v>
      </c>
      <c r="R42" s="7">
        <f>T_5D1!Q90</f>
        <v>0</v>
      </c>
      <c r="S42" s="7">
        <f>T_5D1!R90</f>
        <v>0</v>
      </c>
      <c r="T42" s="7">
        <f>T_5D1!S90</f>
        <v>0</v>
      </c>
      <c r="U42" s="7">
        <f>T_5D1!T90</f>
        <v>0</v>
      </c>
      <c r="V42" s="7">
        <f>T_5D1!U90</f>
        <v>0</v>
      </c>
      <c r="W42" s="7">
        <f>T_5D1!V90</f>
        <v>0</v>
      </c>
      <c r="X42" s="7">
        <f>T_5D1!W90</f>
        <v>0</v>
      </c>
      <c r="Y42" s="7">
        <f>T_5D1!X90</f>
        <v>0</v>
      </c>
      <c r="Z42" s="7">
        <f>T_5D1!Y90</f>
        <v>0</v>
      </c>
      <c r="AA42" s="7">
        <f>T_5D1!Z90</f>
        <v>0</v>
      </c>
      <c r="AB42" s="7">
        <f>T_5D1!AA90</f>
        <v>0</v>
      </c>
      <c r="AC42" s="7">
        <f>T_5D1!AB90</f>
        <v>0</v>
      </c>
      <c r="AD42" s="7">
        <f>T_5D1!AC90</f>
        <v>0</v>
      </c>
      <c r="AE42" s="7">
        <f>T_5D1!AD90</f>
        <v>0</v>
      </c>
      <c r="AF42" s="7">
        <f>T_5D1!AE90</f>
        <v>0</v>
      </c>
    </row>
    <row r="43" spans="5:32" x14ac:dyDescent="0.3">
      <c r="E43" s="17" t="s">
        <v>44</v>
      </c>
      <c r="F43" s="17" t="s">
        <v>327</v>
      </c>
      <c r="G43" s="7">
        <f>'Ini_I+C_PTAR_ARI'!C49*1000</f>
        <v>5.4849999999999994</v>
      </c>
      <c r="H43" s="7">
        <f>'Ini_I+C_PTAR_ARI'!D49*1000</f>
        <v>10.639999999999999</v>
      </c>
      <c r="I43" s="7">
        <f>'Ini_I+C_PTAR_ARI'!E49*1000</f>
        <v>15.795</v>
      </c>
      <c r="J43" s="7">
        <f>'Ini_I+C_PTAR_ARI'!F49*1000</f>
        <v>11.2</v>
      </c>
      <c r="K43" s="7">
        <f>'Ini_I+C_PTAR_ARI'!G49*1000</f>
        <v>6.6074999999999999</v>
      </c>
      <c r="L43" s="7">
        <f>'Ini_I+C_PTAR_ARI'!H49*1000</f>
        <v>13.655000000000001</v>
      </c>
      <c r="M43" s="7">
        <f>'Ini_I+C_PTAR_ARI'!I49*1000</f>
        <v>20.702499999999993</v>
      </c>
      <c r="N43" s="7">
        <f>'Ini_I+C_PTAR_ARI'!J49*1000</f>
        <v>21.607499999999998</v>
      </c>
      <c r="O43" s="7">
        <f>'Ini_I+C_PTAR_ARI'!K49*1000</f>
        <v>22.515000000000001</v>
      </c>
      <c r="P43" s="7">
        <f>'Ini_I+C_PTAR_ARI'!L49*1000</f>
        <v>21.51</v>
      </c>
      <c r="Q43" s="7">
        <f>'Ini_I+C_PTAR_ARI'!M49*1000</f>
        <v>20.5075</v>
      </c>
      <c r="R43" s="7">
        <f>'Ini_I+C_PTAR_ARI'!N49*1000</f>
        <v>17.517499999999998</v>
      </c>
      <c r="S43" s="7">
        <f>'Ini_I+C_PTAR_ARI'!O49*1000</f>
        <v>21.26</v>
      </c>
      <c r="T43" s="7">
        <f>'Ini_I+C_PTAR_ARI'!P49*1000</f>
        <v>22.927499999999995</v>
      </c>
      <c r="U43" s="7">
        <f>'Ini_I+C_PTAR_ARI'!Q49*1000</f>
        <v>24.645</v>
      </c>
      <c r="V43" s="7">
        <f>'Ini_I+C_PTAR_ARI'!R49*1000</f>
        <v>24.549999999999997</v>
      </c>
      <c r="W43" s="7">
        <f>'Ini_I+C_PTAR_ARI'!S49*1000</f>
        <v>25.473928571428569</v>
      </c>
      <c r="X43" s="7">
        <f>'Ini_I+C_PTAR_ARI'!T49*1000</f>
        <v>29.877857142857142</v>
      </c>
      <c r="Y43" s="7">
        <f>'Ini_I+C_PTAR_ARI'!U49*1000</f>
        <v>31.709285714285709</v>
      </c>
      <c r="Z43" s="7">
        <f>'Ini_I+C_PTAR_ARI'!V49*1000</f>
        <v>33.538214285714282</v>
      </c>
      <c r="AA43" s="7">
        <f>'Ini_I+C_PTAR_ARI'!W49*1000</f>
        <v>35.369642857142857</v>
      </c>
      <c r="AB43" s="7">
        <f>'Ini_I+C_PTAR_ARI'!X49*1000</f>
        <v>37.248571428571424</v>
      </c>
      <c r="AC43" s="7">
        <f>'Ini_I+C_PTAR_ARI'!Y49*1000</f>
        <v>39.174999999999997</v>
      </c>
      <c r="AD43" s="7">
        <f>'Ini_I+C_PTAR_ARI'!Z49*1000</f>
        <v>41.098928571428573</v>
      </c>
      <c r="AE43" s="7">
        <f>'Ini_I+C_PTAR_ARI'!AA49*1000</f>
        <v>43.072857142857131</v>
      </c>
      <c r="AF43" s="7">
        <f>'Ini_I+C_PTAR_ARI'!AB49*1000</f>
        <v>45.046785714285711</v>
      </c>
    </row>
    <row r="44" spans="5:32" x14ac:dyDescent="0.3"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</row>
    <row r="45" spans="5:32" x14ac:dyDescent="0.3">
      <c r="F45" t="s">
        <v>336</v>
      </c>
      <c r="G45" s="11">
        <f>G37+G38+G39+G40</f>
        <v>60.735934285714286</v>
      </c>
      <c r="H45" s="11">
        <f t="shared" ref="H45:AF45" si="6">H37+H38+H39+H40</f>
        <v>66.992908571428572</v>
      </c>
      <c r="I45" s="11">
        <f t="shared" si="6"/>
        <v>73.365541428571433</v>
      </c>
      <c r="J45" s="11">
        <f t="shared" si="6"/>
        <v>80.479772857142862</v>
      </c>
      <c r="K45" s="11">
        <f t="shared" si="6"/>
        <v>87.620800000000003</v>
      </c>
      <c r="L45" s="11">
        <f t="shared" si="6"/>
        <v>94.697620357142867</v>
      </c>
      <c r="M45" s="11">
        <f t="shared" si="6"/>
        <v>101.79322428571427</v>
      </c>
      <c r="N45" s="11">
        <f t="shared" si="6"/>
        <v>108.37361571428569</v>
      </c>
      <c r="O45" s="11">
        <f t="shared" si="6"/>
        <v>115.01863214285714</v>
      </c>
      <c r="P45" s="11">
        <f t="shared" si="6"/>
        <v>122.23090571428568</v>
      </c>
      <c r="Q45" s="11">
        <f t="shared" si="6"/>
        <v>129.39187357142859</v>
      </c>
      <c r="R45" s="11">
        <f t="shared" si="6"/>
        <v>134.68109392857141</v>
      </c>
      <c r="S45" s="11">
        <f t="shared" si="6"/>
        <v>140.57279428571428</v>
      </c>
      <c r="T45" s="11">
        <f t="shared" si="6"/>
        <v>155.95210000000003</v>
      </c>
      <c r="U45" s="11">
        <f t="shared" si="6"/>
        <v>172.68561</v>
      </c>
      <c r="V45" s="11">
        <f t="shared" si="6"/>
        <v>190.79697999999999</v>
      </c>
      <c r="W45" s="11">
        <f t="shared" si="6"/>
        <v>210.06249714285718</v>
      </c>
      <c r="X45" s="11">
        <f t="shared" si="6"/>
        <v>231.26042428571429</v>
      </c>
      <c r="Y45" s="11">
        <f t="shared" si="6"/>
        <v>254.10482142857143</v>
      </c>
      <c r="Z45" s="11">
        <f t="shared" si="6"/>
        <v>278.68408857142856</v>
      </c>
      <c r="AA45" s="11">
        <f t="shared" si="6"/>
        <v>306.8650814285715</v>
      </c>
      <c r="AB45" s="11">
        <f t="shared" si="6"/>
        <v>328.05594571428566</v>
      </c>
      <c r="AC45" s="11">
        <f t="shared" si="6"/>
        <v>350.82164000000006</v>
      </c>
      <c r="AD45" s="11">
        <f t="shared" si="6"/>
        <v>374.6960942857142</v>
      </c>
      <c r="AE45" s="11">
        <f t="shared" si="6"/>
        <v>400.21672857142852</v>
      </c>
      <c r="AF45" s="11">
        <f t="shared" si="6"/>
        <v>427.34752571428567</v>
      </c>
    </row>
    <row r="46" spans="5:32" x14ac:dyDescent="0.3">
      <c r="F46" t="s">
        <v>337</v>
      </c>
      <c r="G46" s="11">
        <f>G41+G42+G43</f>
        <v>13.566204999999998</v>
      </c>
      <c r="H46" s="11">
        <f t="shared" ref="H46:AF46" si="7">H41+H42+H43</f>
        <v>19.847539999999999</v>
      </c>
      <c r="I46" s="11">
        <f t="shared" si="7"/>
        <v>26.199685000000002</v>
      </c>
      <c r="J46" s="11">
        <f t="shared" si="7"/>
        <v>21.71485357142857</v>
      </c>
      <c r="K46" s="11">
        <f t="shared" si="7"/>
        <v>17.233602857142856</v>
      </c>
      <c r="L46" s="11">
        <f t="shared" si="7"/>
        <v>24.440519642857147</v>
      </c>
      <c r="M46" s="11">
        <f t="shared" si="7"/>
        <v>31.64723285714285</v>
      </c>
      <c r="N46" s="11">
        <f t="shared" si="7"/>
        <v>32.776513571428566</v>
      </c>
      <c r="O46" s="11">
        <f t="shared" si="7"/>
        <v>33.910094285714287</v>
      </c>
      <c r="P46" s="11">
        <f t="shared" si="7"/>
        <v>32.71181428571429</v>
      </c>
      <c r="Q46" s="11">
        <f t="shared" si="7"/>
        <v>31.5160625</v>
      </c>
      <c r="R46" s="11">
        <f t="shared" si="7"/>
        <v>28.829134285714282</v>
      </c>
      <c r="S46" s="11">
        <f t="shared" si="7"/>
        <v>32.443407857142859</v>
      </c>
      <c r="T46" s="11">
        <f t="shared" si="7"/>
        <v>35.219772857142857</v>
      </c>
      <c r="U46" s="11">
        <f t="shared" si="7"/>
        <v>38.097148928571428</v>
      </c>
      <c r="V46" s="11">
        <f t="shared" si="7"/>
        <v>38.189454999999995</v>
      </c>
      <c r="W46" s="11">
        <f t="shared" si="7"/>
        <v>39.817316803086811</v>
      </c>
      <c r="X46" s="11">
        <f t="shared" si="7"/>
        <v>46.82128902555182</v>
      </c>
      <c r="Y46" s="11">
        <f t="shared" si="7"/>
        <v>49.838187476048816</v>
      </c>
      <c r="Z46" s="11">
        <f t="shared" si="7"/>
        <v>52.889775084702038</v>
      </c>
      <c r="AA46" s="11">
        <f t="shared" si="7"/>
        <v>55.992788986870643</v>
      </c>
      <c r="AB46" s="11">
        <f t="shared" si="7"/>
        <v>59.218627984881003</v>
      </c>
      <c r="AC46" s="11">
        <f t="shared" si="7"/>
        <v>62.564149356571363</v>
      </c>
      <c r="AD46" s="11">
        <f t="shared" si="7"/>
        <v>65.958730874242505</v>
      </c>
      <c r="AE46" s="11">
        <f t="shared" si="7"/>
        <v>69.48584750261881</v>
      </c>
      <c r="AF46" s="11">
        <f t="shared" si="7"/>
        <v>73.062075899293163</v>
      </c>
    </row>
    <row r="47" spans="5:32" x14ac:dyDescent="0.3">
      <c r="F47" t="s">
        <v>253</v>
      </c>
      <c r="G47" s="11">
        <f>G37+G38+G39+G40+G41+G42+G43</f>
        <v>74.30213928571429</v>
      </c>
      <c r="H47" s="11">
        <f t="shared" ref="H47:AF47" si="8">H37+H38+H39+H40+H41+H42+H43</f>
        <v>86.840448571428567</v>
      </c>
      <c r="I47" s="11">
        <f t="shared" si="8"/>
        <v>99.565226428571435</v>
      </c>
      <c r="J47" s="11">
        <f t="shared" si="8"/>
        <v>102.19462642857144</v>
      </c>
      <c r="K47" s="11">
        <f t="shared" si="8"/>
        <v>104.85440285714286</v>
      </c>
      <c r="L47" s="11">
        <f t="shared" si="8"/>
        <v>119.13814000000001</v>
      </c>
      <c r="M47" s="11">
        <f t="shared" si="8"/>
        <v>133.44045714285713</v>
      </c>
      <c r="N47" s="11">
        <f t="shared" si="8"/>
        <v>141.15012928571426</v>
      </c>
      <c r="O47" s="11">
        <f t="shared" si="8"/>
        <v>148.92872642857142</v>
      </c>
      <c r="P47" s="11">
        <f t="shared" si="8"/>
        <v>154.94271999999995</v>
      </c>
      <c r="Q47" s="11">
        <f t="shared" si="8"/>
        <v>160.90793607142859</v>
      </c>
      <c r="R47" s="11">
        <f t="shared" si="8"/>
        <v>163.51022821428569</v>
      </c>
      <c r="S47" s="11">
        <f t="shared" si="8"/>
        <v>173.01620214285714</v>
      </c>
      <c r="T47" s="11">
        <f t="shared" si="8"/>
        <v>191.17187285714289</v>
      </c>
      <c r="U47" s="11">
        <f t="shared" si="8"/>
        <v>210.78275892857144</v>
      </c>
      <c r="V47" s="11">
        <f t="shared" si="8"/>
        <v>228.98643499999997</v>
      </c>
      <c r="W47" s="11">
        <f t="shared" si="8"/>
        <v>249.87981394594399</v>
      </c>
      <c r="X47" s="11">
        <f t="shared" si="8"/>
        <v>278.08171331126613</v>
      </c>
      <c r="Y47" s="11">
        <f t="shared" si="8"/>
        <v>303.94300890462029</v>
      </c>
      <c r="Z47" s="11">
        <f t="shared" si="8"/>
        <v>331.57386365613058</v>
      </c>
      <c r="AA47" s="11">
        <f t="shared" si="8"/>
        <v>362.85787041544216</v>
      </c>
      <c r="AB47" s="11">
        <f t="shared" si="8"/>
        <v>387.27457369916669</v>
      </c>
      <c r="AC47" s="11">
        <f t="shared" si="8"/>
        <v>413.38578935657142</v>
      </c>
      <c r="AD47" s="11">
        <f t="shared" si="8"/>
        <v>440.65482515995672</v>
      </c>
      <c r="AE47" s="11">
        <f t="shared" si="8"/>
        <v>469.70257607404733</v>
      </c>
      <c r="AF47" s="11">
        <f t="shared" si="8"/>
        <v>500.40960161357884</v>
      </c>
    </row>
    <row r="49" spans="5:32" x14ac:dyDescent="0.3">
      <c r="E49" s="1" t="s">
        <v>339</v>
      </c>
    </row>
    <row r="51" spans="5:32" x14ac:dyDescent="0.3">
      <c r="E51" s="3" t="s">
        <v>332</v>
      </c>
      <c r="F51" s="3" t="s">
        <v>333</v>
      </c>
      <c r="G51" s="3">
        <v>2010</v>
      </c>
      <c r="H51" s="3">
        <v>2011</v>
      </c>
      <c r="I51" s="3">
        <v>2012</v>
      </c>
      <c r="J51" s="3">
        <v>2013</v>
      </c>
      <c r="K51" s="3">
        <v>2014</v>
      </c>
      <c r="L51" s="3">
        <v>2015</v>
      </c>
      <c r="M51" s="3">
        <v>2016</v>
      </c>
      <c r="N51" s="3">
        <v>2017</v>
      </c>
      <c r="O51" s="3">
        <v>2018</v>
      </c>
      <c r="P51" s="3">
        <v>2019</v>
      </c>
      <c r="Q51" s="3">
        <v>2020</v>
      </c>
      <c r="R51" s="3">
        <v>2021</v>
      </c>
      <c r="S51" s="3">
        <v>2022</v>
      </c>
      <c r="T51" s="3">
        <v>2023</v>
      </c>
      <c r="U51" s="3">
        <v>2024</v>
      </c>
      <c r="V51" s="3">
        <v>2025</v>
      </c>
      <c r="W51" s="3">
        <v>2026</v>
      </c>
      <c r="X51" s="3">
        <v>2027</v>
      </c>
      <c r="Y51" s="3">
        <v>2028</v>
      </c>
      <c r="Z51" s="3">
        <v>2029</v>
      </c>
      <c r="AA51" s="3">
        <v>2030</v>
      </c>
      <c r="AB51" s="3">
        <v>2031</v>
      </c>
      <c r="AC51" s="3">
        <v>2032</v>
      </c>
      <c r="AD51" s="3">
        <v>2033</v>
      </c>
      <c r="AE51" s="3">
        <v>2034</v>
      </c>
      <c r="AF51" s="3">
        <v>2035</v>
      </c>
    </row>
    <row r="52" spans="5:32" x14ac:dyDescent="0.3">
      <c r="E52" s="3" t="s">
        <v>35</v>
      </c>
      <c r="F52" s="3" t="s">
        <v>269</v>
      </c>
      <c r="G52" s="7">
        <f>T_5A1!E62*1000</f>
        <v>0</v>
      </c>
      <c r="H52" s="7">
        <f>T_5A1!F62*1000</f>
        <v>0</v>
      </c>
      <c r="I52" s="7">
        <f>T_5A1!G62*1000</f>
        <v>0</v>
      </c>
      <c r="J52" s="7">
        <f>T_5A1!H62*1000</f>
        <v>0</v>
      </c>
      <c r="K52" s="7">
        <f>T_5A1!I62*1000</f>
        <v>0</v>
      </c>
      <c r="L52" s="7">
        <f>T_5A1!J62*1000</f>
        <v>0</v>
      </c>
      <c r="M52" s="7">
        <f>T_5A1!K62*1000</f>
        <v>0</v>
      </c>
      <c r="N52" s="7">
        <f>T_5A1!L62*1000</f>
        <v>0</v>
      </c>
      <c r="O52" s="7">
        <f>T_5A1!M62*1000</f>
        <v>0</v>
      </c>
      <c r="P52" s="7">
        <f>T_5A1!N62*1000</f>
        <v>0</v>
      </c>
      <c r="Q52" s="7">
        <f>T_5A1!O62*1000</f>
        <v>0</v>
      </c>
      <c r="R52" s="7">
        <f>T_5A1!P62*1000</f>
        <v>0</v>
      </c>
      <c r="S52" s="7">
        <f>T_5A1!Q62*1000</f>
        <v>0</v>
      </c>
      <c r="T52" s="7">
        <f>T_5A1!R62*1000</f>
        <v>0</v>
      </c>
      <c r="U52" s="7">
        <f>T_5A1!S62*1000</f>
        <v>0</v>
      </c>
      <c r="V52" s="7">
        <f>T_5A1!T62*1000</f>
        <v>0</v>
      </c>
      <c r="W52" s="7">
        <f>T_5A1!U62*1000</f>
        <v>0</v>
      </c>
      <c r="X52" s="7">
        <f>T_5A1!V62*1000</f>
        <v>0</v>
      </c>
      <c r="Y52" s="7">
        <f>T_5A1!W62*1000</f>
        <v>0</v>
      </c>
      <c r="Z52" s="7">
        <f>T_5A1!X62*1000</f>
        <v>0</v>
      </c>
      <c r="AA52" s="7">
        <f>T_5A1!Y62*1000</f>
        <v>0</v>
      </c>
      <c r="AB52" s="7">
        <f>T_5A1!Z62*1000</f>
        <v>0</v>
      </c>
      <c r="AC52" s="7">
        <f>T_5A1!AA62*1000</f>
        <v>0</v>
      </c>
      <c r="AD52" s="7">
        <f>T_5A1!AB62*1000</f>
        <v>0</v>
      </c>
      <c r="AE52" s="7">
        <f>T_5A1!AC62*1000</f>
        <v>0</v>
      </c>
      <c r="AF52" s="7">
        <f>T_5A1!AD62*1000</f>
        <v>0</v>
      </c>
    </row>
    <row r="53" spans="5:32" x14ac:dyDescent="0.3">
      <c r="E53" s="3" t="s">
        <v>38</v>
      </c>
      <c r="F53" s="3" t="s">
        <v>271</v>
      </c>
      <c r="G53" s="7">
        <f>T_5A2!E59*1000</f>
        <v>0</v>
      </c>
      <c r="H53" s="7">
        <f>T_5A2!F59*1000</f>
        <v>0</v>
      </c>
      <c r="I53" s="7">
        <f>T_5A2!G59*1000</f>
        <v>0</v>
      </c>
      <c r="J53" s="7">
        <f>T_5A2!H59*1000</f>
        <v>0</v>
      </c>
      <c r="K53" s="7">
        <f>T_5A2!I59*1000</f>
        <v>0</v>
      </c>
      <c r="L53" s="7">
        <f>T_5A2!J59*1000</f>
        <v>0</v>
      </c>
      <c r="M53" s="7">
        <f>T_5A2!K59*1000</f>
        <v>0</v>
      </c>
      <c r="N53" s="7">
        <f>T_5A2!L59*1000</f>
        <v>0</v>
      </c>
      <c r="O53" s="7">
        <f>T_5A2!M59*1000</f>
        <v>0</v>
      </c>
      <c r="P53" s="7">
        <f>T_5A2!N59*1000</f>
        <v>0</v>
      </c>
      <c r="Q53" s="7">
        <f>T_5A2!O59*1000</f>
        <v>0</v>
      </c>
      <c r="R53" s="7">
        <f>T_5A2!P59*1000</f>
        <v>0</v>
      </c>
      <c r="S53" s="7">
        <f>T_5A2!Q59*1000</f>
        <v>0</v>
      </c>
      <c r="T53" s="7">
        <f>T_5A2!R59*1000</f>
        <v>0</v>
      </c>
      <c r="U53" s="7">
        <f>T_5A2!S59*1000</f>
        <v>0</v>
      </c>
      <c r="V53" s="7">
        <f>T_5A2!T59*1000</f>
        <v>0</v>
      </c>
      <c r="W53" s="7">
        <f>T_5A2!U59*1000</f>
        <v>0</v>
      </c>
      <c r="X53" s="7">
        <f>T_5A2!V59*1000</f>
        <v>0</v>
      </c>
      <c r="Y53" s="7">
        <f>T_5A2!W59*1000</f>
        <v>0</v>
      </c>
      <c r="Z53" s="7">
        <f>T_5A2!X59*1000</f>
        <v>0</v>
      </c>
      <c r="AA53" s="7">
        <f>T_5A2!Y59*1000</f>
        <v>0</v>
      </c>
      <c r="AB53" s="7">
        <f>T_5A2!Z59*1000</f>
        <v>0</v>
      </c>
      <c r="AC53" s="7">
        <f>T_5A2!AA59*1000</f>
        <v>0</v>
      </c>
      <c r="AD53" s="7">
        <f>T_5A2!AB59*1000</f>
        <v>0</v>
      </c>
      <c r="AE53" s="7">
        <f>T_5A2!AC59*1000</f>
        <v>0</v>
      </c>
      <c r="AF53" s="7">
        <f>T_5A2!AD59*1000</f>
        <v>0</v>
      </c>
    </row>
    <row r="54" spans="5:32" x14ac:dyDescent="0.3">
      <c r="E54" s="3" t="s">
        <v>334</v>
      </c>
      <c r="F54" s="3" t="s">
        <v>267</v>
      </c>
      <c r="G54" s="7">
        <f>T_Compostaje!G54*1000</f>
        <v>1.6499999999999996E-3</v>
      </c>
      <c r="H54" s="7">
        <f>T_Compostaje!H54*1000</f>
        <v>1.9199999999999998E-3</v>
      </c>
      <c r="I54" s="7">
        <f>T_Compostaje!I54*1000</f>
        <v>2.1899999999999997E-3</v>
      </c>
      <c r="J54" s="7">
        <f>T_Compostaje!J54*1000</f>
        <v>6.6600000000000001E-3</v>
      </c>
      <c r="K54" s="7">
        <f>T_Compostaje!K54*1000</f>
        <v>1.1159999999999998E-2</v>
      </c>
      <c r="L54" s="7">
        <f>T_Compostaje!L54*1000</f>
        <v>9.6599999999999984E-3</v>
      </c>
      <c r="M54" s="7">
        <f>T_Compostaje!M54*1000</f>
        <v>8.1599999999999989E-3</v>
      </c>
      <c r="N54" s="7">
        <f>T_Compostaje!N54*1000</f>
        <v>9.1499999999999984E-3</v>
      </c>
      <c r="O54" s="7">
        <f>T_Compostaje!O54*1000</f>
        <v>1.0139999999999998E-2</v>
      </c>
      <c r="P54" s="7">
        <f>T_Compostaje!P54*1000</f>
        <v>1.0589999999999999E-2</v>
      </c>
      <c r="Q54" s="7">
        <f>T_Compostaje!Q54*1000</f>
        <v>1.1039999999999999E-2</v>
      </c>
      <c r="R54" s="7">
        <f>T_Compostaje!R54*1000</f>
        <v>1.155E-2</v>
      </c>
      <c r="S54" s="7">
        <f>T_Compostaje!S54*1000</f>
        <v>1.0109999999999999E-2</v>
      </c>
      <c r="T54" s="7">
        <f>T_Compostaje!T54*1000</f>
        <v>1.0679999999999999E-2</v>
      </c>
      <c r="U54" s="7">
        <f>T_Compostaje!U54*1000</f>
        <v>1.1279999999999998E-2</v>
      </c>
      <c r="V54" s="7">
        <f>T_Compostaje!V54*1000</f>
        <v>1.188E-2</v>
      </c>
      <c r="W54" s="7">
        <f>T_Compostaje!W54*1000</f>
        <v>1.2509999999999999E-2</v>
      </c>
      <c r="X54" s="7">
        <f>T_Compostaje!X54*1000</f>
        <v>1.311E-2</v>
      </c>
      <c r="Y54" s="7">
        <f>T_Compostaje!Y54*1000</f>
        <v>1.3770000000000001E-2</v>
      </c>
      <c r="Z54" s="7">
        <f>T_Compostaje!Z54*1000</f>
        <v>1.44E-2</v>
      </c>
      <c r="AA54" s="7">
        <f>T_Compostaje!AA54*1000</f>
        <v>1.506E-2</v>
      </c>
      <c r="AB54" s="7">
        <f>T_Compostaje!AB54*1000</f>
        <v>1.5359999999999999E-2</v>
      </c>
      <c r="AC54" s="7">
        <f>T_Compostaje!AC54*1000</f>
        <v>1.5629999999999998E-2</v>
      </c>
      <c r="AD54" s="7">
        <f>T_Compostaje!AD54*1000</f>
        <v>1.593E-2</v>
      </c>
      <c r="AE54" s="7">
        <f>T_Compostaje!AE54*1000</f>
        <v>1.6229999999999998E-2</v>
      </c>
      <c r="AF54" s="7">
        <f>T_Compostaje!AF54*1000</f>
        <v>1.653E-2</v>
      </c>
    </row>
    <row r="55" spans="5:32" x14ac:dyDescent="0.3">
      <c r="E55" s="3" t="s">
        <v>335</v>
      </c>
      <c r="F55" s="3" t="s">
        <v>275</v>
      </c>
      <c r="G55" s="7">
        <f>T_Incineracion!C71*1000</f>
        <v>9.1000000000000011E-4</v>
      </c>
      <c r="H55" s="7">
        <f>T_Incineracion!D71*1000</f>
        <v>9.7000000000000005E-4</v>
      </c>
      <c r="I55" s="7">
        <f>T_Incineracion!E71*1000</f>
        <v>1.0399999999999999E-3</v>
      </c>
      <c r="J55" s="7">
        <f>T_Incineracion!F71*1000</f>
        <v>1.08E-3</v>
      </c>
      <c r="K55" s="7">
        <f>T_Incineracion!G71*1000</f>
        <v>1.1299999999999999E-3</v>
      </c>
      <c r="L55" s="7">
        <f>T_Incineracion!H71*1000</f>
        <v>1.1200000000000001E-3</v>
      </c>
      <c r="M55" s="7">
        <f>T_Incineracion!I71*1000</f>
        <v>1.1200000000000001E-3</v>
      </c>
      <c r="N55" s="7">
        <f>T_Incineracion!J71*1000</f>
        <v>1.1400000000000002E-3</v>
      </c>
      <c r="O55" s="7">
        <f>T_Incineracion!K71*1000</f>
        <v>1.16E-3</v>
      </c>
      <c r="P55" s="7">
        <f>T_Incineracion!L71*1000</f>
        <v>1.5100000000000001E-3</v>
      </c>
      <c r="Q55" s="7">
        <f>T_Incineracion!M71*1000</f>
        <v>1.9300000000000001E-3</v>
      </c>
      <c r="R55" s="7">
        <f>T_Incineracion!N71*1000</f>
        <v>9.1000000000000011E-4</v>
      </c>
      <c r="S55" s="7">
        <f>T_Incineracion!O71*1000</f>
        <v>1.3699999999999999E-3</v>
      </c>
      <c r="T55" s="7">
        <f>T_Incineracion!P71*1000</f>
        <v>1.4399999999999999E-3</v>
      </c>
      <c r="U55" s="7">
        <f>T_Incineracion!Q71*1000</f>
        <v>1.5200000000000001E-3</v>
      </c>
      <c r="V55" s="7">
        <f>T_Incineracion!R71*1000</f>
        <v>1.6100000000000001E-3</v>
      </c>
      <c r="W55" s="7">
        <f>T_Incineracion!S71*1000</f>
        <v>1.6899999999999999E-3</v>
      </c>
      <c r="X55" s="7">
        <f>T_Incineracion!T71*1000</f>
        <v>1.7800000000000001E-3</v>
      </c>
      <c r="Y55" s="7">
        <f>T_Incineracion!U71*1000</f>
        <v>1.8599999999999999E-3</v>
      </c>
      <c r="Z55" s="7">
        <f>T_Incineracion!V71*1000</f>
        <v>1.9499999999999999E-3</v>
      </c>
      <c r="AA55" s="7">
        <f>T_Incineracion!W71*1000</f>
        <v>2.0400000000000006E-3</v>
      </c>
      <c r="AB55" s="7">
        <f>T_Incineracion!X71*1000</f>
        <v>2.0799999999999998E-3</v>
      </c>
      <c r="AC55" s="7">
        <f>T_Incineracion!Y71*1000</f>
        <v>2.1199999999999999E-3</v>
      </c>
      <c r="AD55" s="7">
        <f>T_Incineracion!Z71*1000</f>
        <v>2.16E-3</v>
      </c>
      <c r="AE55" s="7">
        <f>T_Incineracion!AA71*1000</f>
        <v>2.2000000000000001E-3</v>
      </c>
      <c r="AF55" s="7">
        <f>T_Incineracion!AB71*1000</f>
        <v>2.2400000000000002E-3</v>
      </c>
    </row>
    <row r="56" spans="5:32" x14ac:dyDescent="0.3">
      <c r="E56" s="141" t="s">
        <v>41</v>
      </c>
      <c r="F56" s="3" t="s">
        <v>323</v>
      </c>
      <c r="G56" s="7">
        <f>T_5D1!F78*1000</f>
        <v>0</v>
      </c>
      <c r="H56" s="7">
        <f>T_5D1!G78*1000</f>
        <v>0</v>
      </c>
      <c r="I56" s="7">
        <f>T_5D1!H78*1000</f>
        <v>0</v>
      </c>
      <c r="J56" s="7">
        <f>T_5D1!I78*1000</f>
        <v>0</v>
      </c>
      <c r="K56" s="7">
        <f>T_5D1!J78*1000</f>
        <v>0</v>
      </c>
      <c r="L56" s="7">
        <f>T_5D1!K78*1000</f>
        <v>0</v>
      </c>
      <c r="M56" s="7">
        <f>T_5D1!L78*1000</f>
        <v>0</v>
      </c>
      <c r="N56" s="7">
        <f>T_5D1!M78*1000</f>
        <v>0</v>
      </c>
      <c r="O56" s="7">
        <f>T_5D1!N78*1000</f>
        <v>0</v>
      </c>
      <c r="P56" s="7">
        <f>T_5D1!O78*1000</f>
        <v>0</v>
      </c>
      <c r="Q56" s="7">
        <f>T_5D1!P78*1000</f>
        <v>0</v>
      </c>
      <c r="R56" s="7">
        <f>T_5D1!Q78*1000</f>
        <v>0</v>
      </c>
      <c r="S56" s="7">
        <f>T_5D1!R78*1000</f>
        <v>0</v>
      </c>
      <c r="T56" s="7">
        <f>T_5D1!S78*1000</f>
        <v>0</v>
      </c>
      <c r="U56" s="7">
        <f>T_5D1!T78*1000</f>
        <v>0</v>
      </c>
      <c r="V56" s="7">
        <f>T_5D1!U78*1000</f>
        <v>0</v>
      </c>
      <c r="W56" s="7">
        <f>T_5D1!V78*1000</f>
        <v>0</v>
      </c>
      <c r="X56" s="7">
        <f>T_5D1!W78*1000</f>
        <v>0</v>
      </c>
      <c r="Y56" s="7">
        <f>T_5D1!X78*1000</f>
        <v>0</v>
      </c>
      <c r="Z56" s="7">
        <f>T_5D1!Y78*1000</f>
        <v>0</v>
      </c>
      <c r="AA56" s="7">
        <f>T_5D1!Z78*1000</f>
        <v>0</v>
      </c>
      <c r="AB56" s="7">
        <f>T_5D1!AA78*1000</f>
        <v>0</v>
      </c>
      <c r="AC56" s="7">
        <f>T_5D1!AB78*1000</f>
        <v>0</v>
      </c>
      <c r="AD56" s="7">
        <f>T_5D1!AC78*1000</f>
        <v>0</v>
      </c>
      <c r="AE56" s="7">
        <f>T_5D1!AD78*1000</f>
        <v>0</v>
      </c>
      <c r="AF56" s="7">
        <f>T_5D1!AE78*1000</f>
        <v>0</v>
      </c>
    </row>
    <row r="57" spans="5:32" x14ac:dyDescent="0.3">
      <c r="E57" s="173" t="s">
        <v>41</v>
      </c>
      <c r="F57" s="17" t="s">
        <v>325</v>
      </c>
      <c r="G57" s="7">
        <f>Ini_I_PTAR!C102*1000</f>
        <v>0.67570037735849053</v>
      </c>
      <c r="H57" s="7">
        <f>Ini_I_PTAR!D102*1000</f>
        <v>0.68670015094339631</v>
      </c>
      <c r="I57" s="7">
        <f>Ini_I_PTAR!E102*1000</f>
        <v>0.69141433962264154</v>
      </c>
      <c r="J57" s="7">
        <f>Ini_I_PTAR!F102*1000</f>
        <v>0.70398550943396221</v>
      </c>
      <c r="K57" s="7">
        <f>Ini_I_PTAR!G102*1000</f>
        <v>0.71655667924528299</v>
      </c>
      <c r="L57" s="7">
        <f>Ini_I_PTAR!H102*1000</f>
        <v>0.70948539622641515</v>
      </c>
      <c r="M57" s="7">
        <f>Ini_I_PTAR!I102*1000</f>
        <v>0.7024141132075471</v>
      </c>
      <c r="N57" s="7">
        <f>Ini_I_PTAR!J102*1000</f>
        <v>0.70398550943396221</v>
      </c>
      <c r="O57" s="7">
        <f>Ini_I_PTAR!K102*1000</f>
        <v>0.70477120754716982</v>
      </c>
      <c r="P57" s="7">
        <f>Ini_I_PTAR!L102*1000</f>
        <v>0.73541343396226422</v>
      </c>
      <c r="Q57" s="7">
        <f>Ini_I_PTAR!M102*1000</f>
        <v>0.76684135849056612</v>
      </c>
      <c r="R57" s="7">
        <f>Ini_I_PTAR!N102*1000</f>
        <v>0.76212716981132089</v>
      </c>
      <c r="S57" s="7">
        <f>Ini_I_PTAR!O102*1000</f>
        <v>0.72677075471698116</v>
      </c>
      <c r="T57" s="7">
        <f>Ini_I_PTAR!P102*1000</f>
        <v>0.78842000000000012</v>
      </c>
      <c r="U57" s="7">
        <f>Ini_I_PTAR!Q102*1000</f>
        <v>0.84688000000000008</v>
      </c>
      <c r="V57" s="7">
        <f>Ini_I_PTAR!R102*1000</f>
        <v>0.84372000000000003</v>
      </c>
      <c r="W57" s="7">
        <f>Ini_I_PTAR!S102*1000</f>
        <v>0.87180128118328037</v>
      </c>
      <c r="X57" s="7">
        <f>Ini_I_PTAR!T102*1000</f>
        <v>1.0107865683693675</v>
      </c>
      <c r="Y57" s="7">
        <f>Ini_I_PTAR!U102*1000</f>
        <v>1.0623693107067909</v>
      </c>
      <c r="Z57" s="7">
        <f>Ini_I_PTAR!V102*1000</f>
        <v>1.1142329721824256</v>
      </c>
      <c r="AA57" s="7">
        <f>Ini_I_PTAR!W102*1000</f>
        <v>1.1663885724564353</v>
      </c>
      <c r="AB57" s="7">
        <f>Ini_I_PTAR!X102*1000</f>
        <v>1.2204121248679181</v>
      </c>
      <c r="AC57" s="7">
        <f>Ini_I_PTAR!Y102*1000</f>
        <v>1.2762900679849125</v>
      </c>
      <c r="AD57" s="7">
        <f>Ini_I_PTAR!Z102*1000</f>
        <v>1.3324513164322382</v>
      </c>
      <c r="AE57" s="7">
        <f>Ini_I_PTAR!AA102*1000</f>
        <v>1.3904733833710927</v>
      </c>
      <c r="AF57" s="7">
        <f>Ini_I_PTAR!AB102*1000</f>
        <v>1.4487595276218541</v>
      </c>
    </row>
    <row r="58" spans="5:32" x14ac:dyDescent="0.3">
      <c r="E58" s="3" t="s">
        <v>44</v>
      </c>
      <c r="F58" s="3" t="s">
        <v>327</v>
      </c>
      <c r="G58" s="7">
        <f>T_5D2!F54*1000</f>
        <v>0</v>
      </c>
      <c r="H58" s="7">
        <f>T_5D2!G54*1000</f>
        <v>0</v>
      </c>
      <c r="I58" s="7">
        <f>T_5D2!H54*1000</f>
        <v>0</v>
      </c>
      <c r="J58" s="7">
        <f>T_5D2!I54*1000</f>
        <v>0</v>
      </c>
      <c r="K58" s="7">
        <f>T_5D2!J54*1000</f>
        <v>0</v>
      </c>
      <c r="L58" s="7">
        <f>T_5D2!K54*1000</f>
        <v>0</v>
      </c>
      <c r="M58" s="7">
        <f>T_5D2!L54*1000</f>
        <v>0</v>
      </c>
      <c r="N58" s="7">
        <f>T_5D2!M54*1000</f>
        <v>0</v>
      </c>
      <c r="O58" s="7">
        <f>T_5D2!N54*1000</f>
        <v>0</v>
      </c>
      <c r="P58" s="7">
        <f>T_5D2!O54*1000</f>
        <v>0</v>
      </c>
      <c r="Q58" s="7">
        <f>T_5D2!P54*1000</f>
        <v>0</v>
      </c>
      <c r="R58" s="7">
        <f>T_5D2!Q54*1000</f>
        <v>0</v>
      </c>
      <c r="S58" s="7">
        <f>T_5D2!R54*1000</f>
        <v>0</v>
      </c>
      <c r="T58" s="7">
        <f>T_5D2!S54*1000</f>
        <v>0</v>
      </c>
      <c r="U58" s="7">
        <f>T_5D2!T54*1000</f>
        <v>0</v>
      </c>
      <c r="V58" s="7">
        <f>T_5D2!U54*1000</f>
        <v>0</v>
      </c>
      <c r="W58" s="7">
        <f>T_5D2!V54*1000</f>
        <v>0</v>
      </c>
      <c r="X58" s="7">
        <f>T_5D2!W54*1000</f>
        <v>0</v>
      </c>
      <c r="Y58" s="7">
        <f>T_5D2!X54*1000</f>
        <v>0</v>
      </c>
      <c r="Z58" s="7">
        <f>T_5D2!Y54*1000</f>
        <v>0</v>
      </c>
      <c r="AA58" s="7">
        <f>T_5D2!Z54*1000</f>
        <v>0</v>
      </c>
      <c r="AB58" s="7">
        <f>T_5D2!AA54*1000</f>
        <v>0</v>
      </c>
      <c r="AC58" s="7">
        <f>T_5D2!AB54*1000</f>
        <v>0</v>
      </c>
      <c r="AD58" s="7">
        <f>T_5D2!AC54*1000</f>
        <v>0</v>
      </c>
      <c r="AE58" s="7">
        <f>T_5D2!AD54*1000</f>
        <v>0</v>
      </c>
      <c r="AF58" s="7">
        <f>T_5D2!AE54*1000</f>
        <v>0</v>
      </c>
    </row>
    <row r="59" spans="5:32" x14ac:dyDescent="0.3"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</row>
    <row r="60" spans="5:32" x14ac:dyDescent="0.3">
      <c r="F60" t="s">
        <v>336</v>
      </c>
      <c r="G60" s="11">
        <f>G52+G53+G54+G55</f>
        <v>2.5599999999999998E-3</v>
      </c>
      <c r="H60" s="11">
        <f t="shared" ref="H60:AF60" si="9">H52+H53+H54+H55</f>
        <v>2.8899999999999998E-3</v>
      </c>
      <c r="I60" s="11">
        <f t="shared" si="9"/>
        <v>3.2299999999999994E-3</v>
      </c>
      <c r="J60" s="11">
        <f t="shared" si="9"/>
        <v>7.7400000000000004E-3</v>
      </c>
      <c r="K60" s="11">
        <f t="shared" si="9"/>
        <v>1.2289999999999999E-2</v>
      </c>
      <c r="L60" s="11">
        <f t="shared" si="9"/>
        <v>1.0779999999999998E-2</v>
      </c>
      <c r="M60" s="11">
        <f t="shared" si="9"/>
        <v>9.2799999999999983E-3</v>
      </c>
      <c r="N60" s="11">
        <f t="shared" si="9"/>
        <v>1.0289999999999999E-2</v>
      </c>
      <c r="O60" s="11">
        <f t="shared" si="9"/>
        <v>1.1299999999999998E-2</v>
      </c>
      <c r="P60" s="11">
        <f t="shared" si="9"/>
        <v>1.21E-2</v>
      </c>
      <c r="Q60" s="11">
        <f t="shared" si="9"/>
        <v>1.2969999999999999E-2</v>
      </c>
      <c r="R60" s="11">
        <f t="shared" si="9"/>
        <v>1.2459999999999999E-2</v>
      </c>
      <c r="S60" s="11">
        <f t="shared" si="9"/>
        <v>1.1479999999999999E-2</v>
      </c>
      <c r="T60" s="11">
        <f t="shared" si="9"/>
        <v>1.2119999999999999E-2</v>
      </c>
      <c r="U60" s="11">
        <f t="shared" si="9"/>
        <v>1.2799999999999999E-2</v>
      </c>
      <c r="V60" s="11">
        <f t="shared" si="9"/>
        <v>1.349E-2</v>
      </c>
      <c r="W60" s="11">
        <f t="shared" si="9"/>
        <v>1.4199999999999999E-2</v>
      </c>
      <c r="X60" s="11">
        <f t="shared" si="9"/>
        <v>1.489E-2</v>
      </c>
      <c r="Y60" s="11">
        <f t="shared" si="9"/>
        <v>1.5630000000000002E-2</v>
      </c>
      <c r="Z60" s="11">
        <f t="shared" si="9"/>
        <v>1.635E-2</v>
      </c>
      <c r="AA60" s="11">
        <f t="shared" si="9"/>
        <v>1.7100000000000001E-2</v>
      </c>
      <c r="AB60" s="11">
        <f t="shared" si="9"/>
        <v>1.7439999999999997E-2</v>
      </c>
      <c r="AC60" s="11">
        <f t="shared" si="9"/>
        <v>1.7749999999999998E-2</v>
      </c>
      <c r="AD60" s="11">
        <f t="shared" si="9"/>
        <v>1.8089999999999998E-2</v>
      </c>
      <c r="AE60" s="11">
        <f t="shared" si="9"/>
        <v>1.8429999999999998E-2</v>
      </c>
      <c r="AF60" s="11">
        <f t="shared" si="9"/>
        <v>1.8769999999999998E-2</v>
      </c>
    </row>
    <row r="61" spans="5:32" x14ac:dyDescent="0.3">
      <c r="F61" t="s">
        <v>337</v>
      </c>
      <c r="G61" s="11">
        <f>G56+G57+G58</f>
        <v>0.67570037735849053</v>
      </c>
      <c r="H61" s="11">
        <f t="shared" ref="H61:AF61" si="10">H56+H57+H58</f>
        <v>0.68670015094339631</v>
      </c>
      <c r="I61" s="11">
        <f t="shared" si="10"/>
        <v>0.69141433962264154</v>
      </c>
      <c r="J61" s="11">
        <f t="shared" si="10"/>
        <v>0.70398550943396221</v>
      </c>
      <c r="K61" s="11">
        <f t="shared" si="10"/>
        <v>0.71655667924528299</v>
      </c>
      <c r="L61" s="11">
        <f t="shared" si="10"/>
        <v>0.70948539622641515</v>
      </c>
      <c r="M61" s="11">
        <f t="shared" si="10"/>
        <v>0.7024141132075471</v>
      </c>
      <c r="N61" s="11">
        <f t="shared" si="10"/>
        <v>0.70398550943396221</v>
      </c>
      <c r="O61" s="11">
        <f t="shared" si="10"/>
        <v>0.70477120754716982</v>
      </c>
      <c r="P61" s="11">
        <f t="shared" si="10"/>
        <v>0.73541343396226422</v>
      </c>
      <c r="Q61" s="11">
        <f t="shared" si="10"/>
        <v>0.76684135849056612</v>
      </c>
      <c r="R61" s="11">
        <f t="shared" si="10"/>
        <v>0.76212716981132089</v>
      </c>
      <c r="S61" s="11">
        <f t="shared" si="10"/>
        <v>0.72677075471698116</v>
      </c>
      <c r="T61" s="11">
        <f t="shared" si="10"/>
        <v>0.78842000000000012</v>
      </c>
      <c r="U61" s="11">
        <f t="shared" si="10"/>
        <v>0.84688000000000008</v>
      </c>
      <c r="V61" s="11">
        <f t="shared" si="10"/>
        <v>0.84372000000000003</v>
      </c>
      <c r="W61" s="11">
        <f t="shared" si="10"/>
        <v>0.87180128118328037</v>
      </c>
      <c r="X61" s="11">
        <f t="shared" si="10"/>
        <v>1.0107865683693675</v>
      </c>
      <c r="Y61" s="11">
        <f t="shared" si="10"/>
        <v>1.0623693107067909</v>
      </c>
      <c r="Z61" s="11">
        <f t="shared" si="10"/>
        <v>1.1142329721824256</v>
      </c>
      <c r="AA61" s="11">
        <f t="shared" si="10"/>
        <v>1.1663885724564353</v>
      </c>
      <c r="AB61" s="11">
        <f t="shared" si="10"/>
        <v>1.2204121248679181</v>
      </c>
      <c r="AC61" s="11">
        <f t="shared" si="10"/>
        <v>1.2762900679849125</v>
      </c>
      <c r="AD61" s="11">
        <f t="shared" si="10"/>
        <v>1.3324513164322382</v>
      </c>
      <c r="AE61" s="11">
        <f t="shared" si="10"/>
        <v>1.3904733833710927</v>
      </c>
      <c r="AF61" s="11">
        <f t="shared" si="10"/>
        <v>1.4487595276218541</v>
      </c>
    </row>
    <row r="62" spans="5:32" x14ac:dyDescent="0.3">
      <c r="F62" t="s">
        <v>253</v>
      </c>
      <c r="G62" s="11">
        <f>G52+G53+G54+G55+G56+G57+G58</f>
        <v>0.67826037735849054</v>
      </c>
      <c r="H62" s="11">
        <f t="shared" ref="H62:AF62" si="11">H52+H53+H54+H55+H56+H57+H58</f>
        <v>0.68959015094339626</v>
      </c>
      <c r="I62" s="11">
        <f t="shared" si="11"/>
        <v>0.69464433962264149</v>
      </c>
      <c r="J62" s="11">
        <f t="shared" si="11"/>
        <v>0.71172550943396218</v>
      </c>
      <c r="K62" s="11">
        <f t="shared" si="11"/>
        <v>0.72884667924528301</v>
      </c>
      <c r="L62" s="11">
        <f t="shared" si="11"/>
        <v>0.72026539622641517</v>
      </c>
      <c r="M62" s="11">
        <f t="shared" si="11"/>
        <v>0.71169411320754705</v>
      </c>
      <c r="N62" s="11">
        <f t="shared" si="11"/>
        <v>0.71427550943396223</v>
      </c>
      <c r="O62" s="11">
        <f t="shared" si="11"/>
        <v>0.7160712075471698</v>
      </c>
      <c r="P62" s="11">
        <f t="shared" si="11"/>
        <v>0.74751343396226422</v>
      </c>
      <c r="Q62" s="11">
        <f t="shared" si="11"/>
        <v>0.77981135849056615</v>
      </c>
      <c r="R62" s="11">
        <f t="shared" si="11"/>
        <v>0.77458716981132092</v>
      </c>
      <c r="S62" s="11">
        <f t="shared" si="11"/>
        <v>0.73825075471698121</v>
      </c>
      <c r="T62" s="11">
        <f t="shared" si="11"/>
        <v>0.80054000000000014</v>
      </c>
      <c r="U62" s="11">
        <f t="shared" si="11"/>
        <v>0.85968000000000011</v>
      </c>
      <c r="V62" s="11">
        <f t="shared" si="11"/>
        <v>0.85721000000000003</v>
      </c>
      <c r="W62" s="11">
        <f t="shared" si="11"/>
        <v>0.88600128118328036</v>
      </c>
      <c r="X62" s="11">
        <f t="shared" si="11"/>
        <v>1.0256765683693676</v>
      </c>
      <c r="Y62" s="11">
        <f t="shared" si="11"/>
        <v>1.0779993107067909</v>
      </c>
      <c r="Z62" s="11">
        <f t="shared" si="11"/>
        <v>1.1305829721824256</v>
      </c>
      <c r="AA62" s="11">
        <f t="shared" si="11"/>
        <v>1.1834885724564352</v>
      </c>
      <c r="AB62" s="11">
        <f t="shared" si="11"/>
        <v>1.237852124867918</v>
      </c>
      <c r="AC62" s="11">
        <f t="shared" si="11"/>
        <v>1.2940400679849124</v>
      </c>
      <c r="AD62" s="11">
        <f t="shared" si="11"/>
        <v>1.3505413164322382</v>
      </c>
      <c r="AE62" s="11">
        <f t="shared" si="11"/>
        <v>1.4089033833710927</v>
      </c>
      <c r="AF62" s="11">
        <f t="shared" si="11"/>
        <v>1.4675295276218541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ADF88-09CF-470C-9F28-108083231796}">
  <sheetPr>
    <tabColor theme="7" tint="0.59999389629810485"/>
  </sheetPr>
  <dimension ref="E4:AF62"/>
  <sheetViews>
    <sheetView topLeftCell="D1" workbookViewId="0">
      <selection activeCell="L58" sqref="L58"/>
    </sheetView>
  </sheetViews>
  <sheetFormatPr defaultRowHeight="14.4" x14ac:dyDescent="0.3"/>
  <cols>
    <col min="5" max="5" width="9" bestFit="1" customWidth="1"/>
    <col min="6" max="6" width="20.33203125" customWidth="1"/>
    <col min="7" max="31" width="7.88671875" bestFit="1" customWidth="1"/>
    <col min="32" max="32" width="9.109375" bestFit="1" customWidth="1"/>
  </cols>
  <sheetData>
    <row r="4" spans="5:32" x14ac:dyDescent="0.3">
      <c r="E4" s="1" t="s">
        <v>71</v>
      </c>
    </row>
    <row r="6" spans="5:32" x14ac:dyDescent="0.3">
      <c r="E6" s="3" t="s">
        <v>332</v>
      </c>
      <c r="F6" s="3" t="s">
        <v>333</v>
      </c>
      <c r="G6" s="3">
        <v>2010</v>
      </c>
      <c r="H6" s="3">
        <v>2011</v>
      </c>
      <c r="I6" s="3">
        <v>2012</v>
      </c>
      <c r="J6" s="3">
        <v>2013</v>
      </c>
      <c r="K6" s="3">
        <v>2014</v>
      </c>
      <c r="L6" s="3">
        <v>2015</v>
      </c>
      <c r="M6" s="3">
        <v>2016</v>
      </c>
      <c r="N6" s="3">
        <v>2017</v>
      </c>
      <c r="O6" s="3">
        <v>2018</v>
      </c>
      <c r="P6" s="3">
        <v>2019</v>
      </c>
      <c r="Q6" s="3">
        <v>2020</v>
      </c>
      <c r="R6" s="3">
        <v>2021</v>
      </c>
      <c r="S6" s="3">
        <v>2022</v>
      </c>
      <c r="T6" s="3">
        <v>2023</v>
      </c>
      <c r="U6" s="3">
        <v>2024</v>
      </c>
      <c r="V6" s="3">
        <v>2025</v>
      </c>
      <c r="W6" s="3">
        <v>2026</v>
      </c>
      <c r="X6" s="3">
        <v>2027</v>
      </c>
      <c r="Y6" s="3">
        <v>2028</v>
      </c>
      <c r="Z6" s="3">
        <v>2029</v>
      </c>
      <c r="AA6" s="3">
        <v>2030</v>
      </c>
      <c r="AB6" s="3">
        <v>2031</v>
      </c>
      <c r="AC6" s="3">
        <v>2032</v>
      </c>
      <c r="AD6" s="3">
        <v>2033</v>
      </c>
      <c r="AE6" s="3">
        <v>2034</v>
      </c>
      <c r="AF6" s="3">
        <v>2035</v>
      </c>
    </row>
    <row r="7" spans="5:32" x14ac:dyDescent="0.3">
      <c r="E7" s="17" t="s">
        <v>35</v>
      </c>
      <c r="F7" s="17" t="s">
        <v>269</v>
      </c>
      <c r="G7" s="7">
        <f>'Ini_I+C_Compostaje'!C52*1000-'Ini_I+C_CapturaMetano'!C22</f>
        <v>892.37160000000006</v>
      </c>
      <c r="H7" s="7">
        <f>'Ini_I+C_Compostaje'!D52*1000-'Ini_I+C_CapturaMetano'!D22</f>
        <v>1032.8312000000001</v>
      </c>
      <c r="I7" s="7">
        <f>'Ini_I+C_Compostaje'!E52*1000-'Ini_I+C_CapturaMetano'!E22</f>
        <v>1173.3316400000001</v>
      </c>
      <c r="J7" s="7">
        <f>'Ini_I+C_Compostaje'!F52*1000-'Ini_I+C_CapturaMetano'!F22</f>
        <v>1229.7626000000002</v>
      </c>
      <c r="K7" s="7">
        <f>'Ini_I+C_Compostaje'!G52*1000-'Ini_I+C_CapturaMetano'!G22</f>
        <v>1286.35052</v>
      </c>
      <c r="L7" s="7">
        <f>'Ini_I+C_Compostaje'!H52*1000-'Ini_I+C_CapturaMetano'!H22</f>
        <v>1720.15705</v>
      </c>
      <c r="M7" s="7">
        <f>'Ini_I+C_Compostaje'!I52*1000-'Ini_I+C_CapturaMetano'!I22</f>
        <v>2154.1215999999999</v>
      </c>
      <c r="N7" s="7">
        <f>'Ini_I+C_Compostaje'!J52*1000-'Ini_I+C_CapturaMetano'!J22</f>
        <v>2435.0344399999999</v>
      </c>
      <c r="O7" s="7">
        <f>'Ini_I+C_Compostaje'!K52*1000-'Ini_I+C_CapturaMetano'!K22</f>
        <v>2716.10394</v>
      </c>
      <c r="P7" s="7">
        <f>'Ini_I+C_Compostaje'!L52*1000-'Ini_I+C_CapturaMetano'!L22</f>
        <v>2898.0348799999997</v>
      </c>
      <c r="Q7" s="7">
        <f>'Ini_I+C_Compostaje'!M52*1000-'Ini_I+C_CapturaMetano'!M22</f>
        <v>3079.7371800000005</v>
      </c>
      <c r="R7" s="7">
        <f>'Ini_I+C_Compostaje'!N52*1000-'Ini_I+C_CapturaMetano'!N22</f>
        <v>3299.0830299999998</v>
      </c>
      <c r="S7" s="7">
        <f>'Ini_I+C_Compostaje'!O52*1000-'Ini_I+C_CapturaMetano'!O22</f>
        <v>3449.69616</v>
      </c>
      <c r="T7" s="7">
        <f>'Ini_I+C_Compostaje'!P52*1000-'Ini_I+C_CapturaMetano'!P22</f>
        <v>3827.1912000000002</v>
      </c>
      <c r="U7" s="7">
        <f>'Ini_I+C_Compostaje'!Q52*1000-'Ini_I+C_CapturaMetano'!Q22</f>
        <v>4237.9660400000002</v>
      </c>
      <c r="V7" s="7">
        <f>'Ini_I+C_Compostaje'!R52*1000-'Ini_I+C_CapturaMetano'!R22</f>
        <v>4682.6964799999996</v>
      </c>
      <c r="W7" s="7">
        <f>'Ini_I+C_Compostaje'!S52*1000-'Ini_I+C_CapturaMetano'!S22</f>
        <v>5147.9414399999996</v>
      </c>
      <c r="X7" s="7">
        <f>'Ini_I+C_Compostaje'!T52*1000-'Ini_I+C_CapturaMetano'!T22</f>
        <v>5660.7091199999995</v>
      </c>
      <c r="Y7" s="7">
        <f>'Ini_I+C_Compostaje'!U52*1000-'Ini_I+C_CapturaMetano'!U22</f>
        <v>6213.9572399999997</v>
      </c>
      <c r="Z7" s="7">
        <f>'Ini_I+C_Compostaje'!V52*1000-'Ini_I+C_CapturaMetano'!V22</f>
        <v>6796.8874971428577</v>
      </c>
      <c r="AA7" s="7">
        <f>'Ini_I+C_Compostaje'!W52*1000-'Ini_I+C_CapturaMetano'!W22</f>
        <v>7472.693354285715</v>
      </c>
      <c r="AB7" s="7">
        <f>'Ini_I+C_Compostaje'!X52*1000-'Ini_I+C_CapturaMetano'!X22</f>
        <v>7973.6899314285711</v>
      </c>
      <c r="AC7" s="7">
        <f>'Ini_I+C_Compostaje'!Y52*1000-'Ini_I+C_CapturaMetano'!Y22</f>
        <v>8512.8365085714304</v>
      </c>
      <c r="AD7" s="7">
        <f>'Ini_I+C_Compostaje'!Z52*1000-'Ini_I+C_CapturaMetano'!Z22</f>
        <v>9079.5479657142878</v>
      </c>
      <c r="AE7" s="7">
        <f>'Ini_I+C_Compostaje'!AA52*1000-'Ini_I+C_CapturaMetano'!AA22</f>
        <v>9686.667342857143</v>
      </c>
      <c r="AF7" s="7">
        <f>'Ini_I+C_Compostaje'!AB52*1000-'Ini_I+C_CapturaMetano'!AB22</f>
        <v>10335.305119999999</v>
      </c>
    </row>
    <row r="8" spans="5:32" x14ac:dyDescent="0.3">
      <c r="E8" s="3" t="s">
        <v>38</v>
      </c>
      <c r="F8" s="3" t="s">
        <v>271</v>
      </c>
      <c r="G8" s="7">
        <f>T_5A2!E56*1000</f>
        <v>806.15385000000003</v>
      </c>
      <c r="H8" s="7">
        <f>T_5A2!F56*1000</f>
        <v>843.58052000000021</v>
      </c>
      <c r="I8" s="7">
        <f>T_5A2!G56*1000</f>
        <v>881.17351999999994</v>
      </c>
      <c r="J8" s="7">
        <f>T_5A2!H56*1000</f>
        <v>1020.9232</v>
      </c>
      <c r="K8" s="7">
        <f>T_5A2!I56*1000</f>
        <v>1160.85841</v>
      </c>
      <c r="L8" s="7">
        <f>T_5A2!J56*1000</f>
        <v>926.80170000000021</v>
      </c>
      <c r="M8" s="7">
        <f>T_5A2!K56*1000</f>
        <v>692.75695999999994</v>
      </c>
      <c r="N8" s="7">
        <f>T_5A2!L56*1000</f>
        <v>596.70115999999996</v>
      </c>
      <c r="O8" s="7">
        <f>T_5A2!M56*1000</f>
        <v>500.67753999999996</v>
      </c>
      <c r="P8" s="7">
        <f>T_5A2!N56*1000</f>
        <v>520.12112000000002</v>
      </c>
      <c r="Q8" s="7">
        <f>T_5A2!O56*1000</f>
        <v>539.55027999999993</v>
      </c>
      <c r="R8" s="7">
        <f>T_5A2!P56*1000</f>
        <v>468.01265000000001</v>
      </c>
      <c r="S8" s="7">
        <f>T_5A2!Q56*1000</f>
        <v>482.72155999999995</v>
      </c>
      <c r="T8" s="7">
        <f>T_5A2!R56*1000</f>
        <v>535.48039999999992</v>
      </c>
      <c r="U8" s="7">
        <f>T_5A2!S56*1000</f>
        <v>593.01983999999993</v>
      </c>
      <c r="V8" s="7">
        <f>T_5A2!T56*1000</f>
        <v>655.18376000000001</v>
      </c>
      <c r="W8" s="7">
        <f>T_5A2!U56*1000</f>
        <v>722.37759999999992</v>
      </c>
      <c r="X8" s="7">
        <f>T_5A2!V56*1000</f>
        <v>796.28136000000006</v>
      </c>
      <c r="Y8" s="7">
        <f>T_5A2!W56*1000</f>
        <v>875.75124000000005</v>
      </c>
      <c r="Z8" s="7">
        <f>T_5A2!X56*1000</f>
        <v>961.23551999999995</v>
      </c>
      <c r="AA8" s="7">
        <f>T_5A2!Y56*1000</f>
        <v>1054.6426799999999</v>
      </c>
      <c r="AB8" s="7">
        <f>T_5A2!Z56*1000</f>
        <v>1127.4244800000001</v>
      </c>
      <c r="AC8" s="7">
        <f>T_5A2!AA56*1000</f>
        <v>1205.93508</v>
      </c>
      <c r="AD8" s="7">
        <f>T_5A2!AB56*1000</f>
        <v>1288.08456</v>
      </c>
      <c r="AE8" s="7">
        <f>T_5A2!AC56*1000</f>
        <v>1375.8905999999999</v>
      </c>
      <c r="AF8" s="7">
        <f>T_5A2!AD56*1000</f>
        <v>1469.5413599999997</v>
      </c>
    </row>
    <row r="9" spans="5:32" x14ac:dyDescent="0.3">
      <c r="E9" s="17" t="s">
        <v>334</v>
      </c>
      <c r="F9" s="17" t="s">
        <v>267</v>
      </c>
      <c r="G9" s="7">
        <f>'Ini_I+C_Compostaje'!C83*1000</f>
        <v>1.05325</v>
      </c>
      <c r="H9" s="7">
        <f>'Ini_I+C_Compostaje'!D83*1000</f>
        <v>1.2256</v>
      </c>
      <c r="I9" s="7">
        <f>'Ini_I+C_Compostaje'!E83*1000</f>
        <v>1.39795</v>
      </c>
      <c r="J9" s="7">
        <f>'Ini_I+C_Compostaje'!F83*1000</f>
        <v>4.2513000000000005</v>
      </c>
      <c r="K9" s="7">
        <f>'Ini_I+C_Compostaje'!G83*1000</f>
        <v>7.1237999999999992</v>
      </c>
      <c r="L9" s="7">
        <f>'Ini_I+C_Compostaje'!H83*1000</f>
        <v>6.1663000000000006</v>
      </c>
      <c r="M9" s="7">
        <f>'Ini_I+C_Compostaje'!I83*1000</f>
        <v>5.2087999999999992</v>
      </c>
      <c r="N9" s="7">
        <f>'Ini_I+C_Compostaje'!J83*1000</f>
        <v>5.8407499999999999</v>
      </c>
      <c r="O9" s="7">
        <f>'Ini_I+C_Compostaje'!K83*1000</f>
        <v>6.4726999999999997</v>
      </c>
      <c r="P9" s="7">
        <f>'Ini_I+C_Compostaje'!L83*1000</f>
        <v>6.7599499999999999</v>
      </c>
      <c r="Q9" s="7">
        <f>'Ini_I+C_Compostaje'!M83*1000</f>
        <v>7.0472000000000001</v>
      </c>
      <c r="R9" s="7">
        <f>'Ini_I+C_Compostaje'!N83*1000</f>
        <v>7.3727499999999999</v>
      </c>
      <c r="S9" s="7">
        <f>'Ini_I+C_Compostaje'!O83*1000</f>
        <v>6.4535500000000008</v>
      </c>
      <c r="T9" s="7">
        <f>'Ini_I+C_Compostaje'!P83*1000</f>
        <v>6.8174000000000001</v>
      </c>
      <c r="U9" s="7">
        <f>'Ini_I+C_Compostaje'!Q83*1000</f>
        <v>7.2004000000000001</v>
      </c>
      <c r="V9" s="7">
        <f>'Ini_I+C_Compostaje'!R83*1000</f>
        <v>7.5834000000000001</v>
      </c>
      <c r="W9" s="7">
        <f>'Ini_I+C_Compostaje'!S83*1000</f>
        <v>8.4260000000000002</v>
      </c>
      <c r="X9" s="7">
        <f>'Ini_I+C_Compostaje'!T83*1000</f>
        <v>9.2494500000000013</v>
      </c>
      <c r="Y9" s="7">
        <f>'Ini_I+C_Compostaje'!U83*1000</f>
        <v>10.09205</v>
      </c>
      <c r="Z9" s="7">
        <f>'Ini_I+C_Compostaje'!V83*1000</f>
        <v>10.934650000000001</v>
      </c>
      <c r="AA9" s="7">
        <f>'Ini_I+C_Compostaje'!W83*1000</f>
        <v>11.7964</v>
      </c>
      <c r="AB9" s="7">
        <f>'Ini_I+C_Compostaje'!X83*1000</f>
        <v>12.42835</v>
      </c>
      <c r="AC9" s="7">
        <f>'Ini_I+C_Compostaje'!Y83*1000</f>
        <v>13.04115</v>
      </c>
      <c r="AD9" s="7">
        <f>'Ini_I+C_Compostaje'!Z83*1000</f>
        <v>13.6731</v>
      </c>
      <c r="AE9" s="7">
        <f>'Ini_I+C_Compostaje'!AA83*1000</f>
        <v>14.2859</v>
      </c>
      <c r="AF9" s="7">
        <f>'Ini_I+C_Compostaje'!AB83*1000</f>
        <v>14.91785</v>
      </c>
    </row>
    <row r="10" spans="5:32" x14ac:dyDescent="0.3">
      <c r="E10" s="3" t="s">
        <v>335</v>
      </c>
      <c r="F10" s="3" t="s">
        <v>275</v>
      </c>
      <c r="G10" s="7">
        <f>T_Incineracion!C68*1000</f>
        <v>13.366080000000002</v>
      </c>
      <c r="H10" s="7">
        <f>T_Incineracion!D68*1000</f>
        <v>13.876820000000002</v>
      </c>
      <c r="I10" s="7">
        <f>T_Incineracion!E68*1000</f>
        <v>14.481999999999999</v>
      </c>
      <c r="J10" s="7">
        <f>T_Incineracion!F68*1000</f>
        <v>14.797080000000003</v>
      </c>
      <c r="K10" s="7">
        <f>T_Incineracion!G68*1000</f>
        <v>15.23014</v>
      </c>
      <c r="L10" s="7">
        <f>T_Incineracion!H68*1000</f>
        <v>15.126720000000001</v>
      </c>
      <c r="M10" s="7">
        <f>T_Incineracion!I68*1000</f>
        <v>15.1592</v>
      </c>
      <c r="N10" s="7">
        <f>T_Incineracion!J68*1000</f>
        <v>15.327300000000001</v>
      </c>
      <c r="O10" s="7">
        <f>T_Incineracion!K68*1000</f>
        <v>15.490639999999999</v>
      </c>
      <c r="P10" s="7">
        <f>T_Incineracion!L68*1000</f>
        <v>18.624340000000004</v>
      </c>
      <c r="Q10" s="7">
        <f>T_Incineracion!M68*1000</f>
        <v>21.836020000000001</v>
      </c>
      <c r="R10" s="7">
        <f>T_Incineracion!N68*1000</f>
        <v>13.299650000000002</v>
      </c>
      <c r="S10" s="7">
        <f>T_Incineracion!O68*1000</f>
        <v>17.26474</v>
      </c>
      <c r="T10" s="7">
        <f>T_Incineracion!P68*1000</f>
        <v>18.036000000000001</v>
      </c>
      <c r="U10" s="7">
        <f>T_Incineracion!Q68*1000</f>
        <v>18.879919999999998</v>
      </c>
      <c r="V10" s="7">
        <f>T_Incineracion!R68*1000</f>
        <v>19.831979999999998</v>
      </c>
      <c r="W10" s="7">
        <f>T_Incineracion!S68*1000</f>
        <v>20.645040000000002</v>
      </c>
      <c r="X10" s="7">
        <f>T_Incineracion!T68*1000</f>
        <v>21.564699999999998</v>
      </c>
      <c r="Y10" s="7">
        <f>T_Incineracion!U68*1000</f>
        <v>22.347899999999996</v>
      </c>
      <c r="Z10" s="7">
        <f>T_Incineracion!V68*1000</f>
        <v>23.2362</v>
      </c>
      <c r="AA10" s="7">
        <f>T_Incineracion!W68*1000</f>
        <v>24.106680000000001</v>
      </c>
      <c r="AB10" s="7">
        <f>T_Incineracion!X68*1000</f>
        <v>24.375519999999998</v>
      </c>
      <c r="AC10" s="7">
        <f>T_Incineracion!Y68*1000</f>
        <v>24.638639999999995</v>
      </c>
      <c r="AD10" s="7">
        <f>T_Incineracion!Z68*1000</f>
        <v>24.896160000000005</v>
      </c>
      <c r="AE10" s="7">
        <f>T_Incineracion!AA68*1000</f>
        <v>25.148199999999999</v>
      </c>
      <c r="AF10" s="7">
        <f>T_Incineracion!AB68*1000</f>
        <v>25.392639999999997</v>
      </c>
    </row>
    <row r="11" spans="5:32" x14ac:dyDescent="0.3">
      <c r="E11" s="173" t="s">
        <v>41</v>
      </c>
      <c r="F11" s="17" t="s">
        <v>323</v>
      </c>
      <c r="G11" s="7">
        <f>'Ini_I+C_PTAR'!C86*1000</f>
        <v>226.27374</v>
      </c>
      <c r="H11" s="7">
        <f>'Ini_I+C_PTAR'!D86*1000</f>
        <v>257.81112000000002</v>
      </c>
      <c r="I11" s="7">
        <f>'Ini_I+C_PTAR'!E86*1000</f>
        <v>291.33118000000002</v>
      </c>
      <c r="J11" s="7">
        <f>'Ini_I+C_PTAR'!F86*1000</f>
        <v>294.41590000000002</v>
      </c>
      <c r="K11" s="7">
        <f>'Ini_I+C_PTAR'!G86*1000</f>
        <v>297.53088000000002</v>
      </c>
      <c r="L11" s="7">
        <f>'Ini_I+C_PTAR'!H86*1000</f>
        <v>301.99455</v>
      </c>
      <c r="M11" s="7">
        <f>'Ini_I+C_PTAR'!I86*1000</f>
        <v>306.45251999999999</v>
      </c>
      <c r="N11" s="7">
        <f>'Ini_I+C_PTAR'!J86*1000</f>
        <v>312.73237999999998</v>
      </c>
      <c r="O11" s="7">
        <f>'Ini_I+C_PTAR'!K86*1000</f>
        <v>319.06263999999999</v>
      </c>
      <c r="P11" s="7">
        <f>'Ini_I+C_PTAR'!L86*1000</f>
        <v>313.6508</v>
      </c>
      <c r="Q11" s="7">
        <f>'Ini_I+C_PTAR'!M86*1000</f>
        <v>308.23974999999996</v>
      </c>
      <c r="R11" s="7">
        <f>'Ini_I+C_PTAR'!N86*1000</f>
        <v>316.72576000000004</v>
      </c>
      <c r="S11" s="7">
        <f>'Ini_I+C_PTAR'!O86*1000</f>
        <v>313.13542000000001</v>
      </c>
      <c r="T11" s="7">
        <f>'Ini_I+C_PTAR'!P86*1000</f>
        <v>344.18364000000003</v>
      </c>
      <c r="U11" s="7">
        <f>'Ini_I+C_PTAR'!Q86*1000</f>
        <v>376.66016999999999</v>
      </c>
      <c r="V11" s="7">
        <f>'Ini_I+C_PTAR'!R86*1000</f>
        <v>381.90473999999995</v>
      </c>
      <c r="W11" s="7">
        <f>'Ini_I+C_PTAR'!S86*1000</f>
        <v>401.61487048643068</v>
      </c>
      <c r="X11" s="7">
        <f>'Ini_I+C_PTAR'!T86*1000</f>
        <v>474.41609271545099</v>
      </c>
      <c r="Y11" s="7">
        <f>'Ini_I+C_PTAR'!U86*1000</f>
        <v>507.60924932936712</v>
      </c>
      <c r="Z11" s="7">
        <f>'Ini_I+C_PTAR'!V86*1000</f>
        <v>541.84370237165729</v>
      </c>
      <c r="AA11" s="7">
        <f>'Ini_I+C_PTAR'!W86*1000</f>
        <v>577.44809163237801</v>
      </c>
      <c r="AB11" s="7">
        <f>'Ini_I+C_PTAR'!X86*1000</f>
        <v>615.16158357666825</v>
      </c>
      <c r="AC11" s="7">
        <f>'Ini_I+C_PTAR'!Y86*1000</f>
        <v>654.89618198399819</v>
      </c>
      <c r="AD11" s="7">
        <f>'Ini_I+C_PTAR'!Z86*1000</f>
        <v>696.07446447879033</v>
      </c>
      <c r="AE11" s="7">
        <f>'Ini_I+C_PTAR'!AA86*1000</f>
        <v>719.54014934674581</v>
      </c>
      <c r="AF11" s="7">
        <f>'Ini_I+C_PTAR'!AB86*1000</f>
        <v>744.14421053035085</v>
      </c>
    </row>
    <row r="12" spans="5:32" x14ac:dyDescent="0.3">
      <c r="E12" s="173" t="s">
        <v>41</v>
      </c>
      <c r="F12" s="17" t="s">
        <v>325</v>
      </c>
      <c r="G12" s="7">
        <f>'Ini_I+C_PTAR'!C99*1000</f>
        <v>179.06059999999999</v>
      </c>
      <c r="H12" s="7">
        <f>'Ini_I+C_PTAR'!D99*1000</f>
        <v>181.97554000000002</v>
      </c>
      <c r="I12" s="7">
        <f>'Ini_I+C_PTAR'!E99*1000</f>
        <v>183.22479999999999</v>
      </c>
      <c r="J12" s="7">
        <f>'Ini_I+C_PTAR'!F99*1000</f>
        <v>186.55616000000001</v>
      </c>
      <c r="K12" s="7">
        <f>'Ini_I+C_PTAR'!G99*1000</f>
        <v>189.88751999999999</v>
      </c>
      <c r="L12" s="7">
        <f>'Ini_I+C_PTAR'!H99*1000</f>
        <v>188.01363000000001</v>
      </c>
      <c r="M12" s="7">
        <f>'Ini_I+C_PTAR'!I99*1000</f>
        <v>186.13973999999999</v>
      </c>
      <c r="N12" s="7">
        <f>'Ini_I+C_PTAR'!J99*1000</f>
        <v>186.55616000000001</v>
      </c>
      <c r="O12" s="7">
        <f>'Ini_I+C_PTAR'!K99*1000</f>
        <v>186.76437000000001</v>
      </c>
      <c r="P12" s="7">
        <f>'Ini_I+C_PTAR'!L99*1000</f>
        <v>194.88456000000002</v>
      </c>
      <c r="Q12" s="7">
        <f>'Ini_I+C_PTAR'!M99*1000</f>
        <v>203.21296000000004</v>
      </c>
      <c r="R12" s="7">
        <f>'Ini_I+C_PTAR'!N99*1000</f>
        <v>201.96370000000002</v>
      </c>
      <c r="S12" s="7">
        <f>'Ini_I+C_PTAR'!O99*1000</f>
        <v>192.59424999999999</v>
      </c>
      <c r="T12" s="7">
        <f>'Ini_I+C_PTAR'!P99*1000</f>
        <v>208.93130000000002</v>
      </c>
      <c r="U12" s="7">
        <f>'Ini_I+C_PTAR'!Q99*1000</f>
        <v>224.42320000000001</v>
      </c>
      <c r="V12" s="7">
        <f>'Ini_I+C_PTAR'!R99*1000</f>
        <v>223.58580000000003</v>
      </c>
      <c r="W12" s="7">
        <f>'Ini_I+C_PTAR'!S99*1000</f>
        <v>231.0273395135693</v>
      </c>
      <c r="X12" s="7">
        <f>'Ini_I+C_PTAR'!T99*1000</f>
        <v>267.85844061788237</v>
      </c>
      <c r="Y12" s="7">
        <f>'Ini_I+C_PTAR'!U99*1000</f>
        <v>281.52786733729954</v>
      </c>
      <c r="Z12" s="7">
        <f>'Ini_I+C_PTAR'!V99*1000</f>
        <v>295.27173762834281</v>
      </c>
      <c r="AA12" s="7">
        <f>'Ini_I+C_PTAR'!W99*1000</f>
        <v>309.09297170095533</v>
      </c>
      <c r="AB12" s="7">
        <f>'Ini_I+C_PTAR'!X99*1000</f>
        <v>323.40921308999827</v>
      </c>
      <c r="AC12" s="7">
        <f>'Ini_I+C_PTAR'!Y99*1000</f>
        <v>338.2168680160018</v>
      </c>
      <c r="AD12" s="7">
        <f>'Ini_I+C_PTAR'!Z99*1000</f>
        <v>353.0995988545431</v>
      </c>
      <c r="AE12" s="7">
        <f>'Ini_I+C_PTAR'!AA99*1000</f>
        <v>358.49902731992103</v>
      </c>
      <c r="AF12" s="7">
        <f>'Ini_I+C_PTAR'!AB99*1000</f>
        <v>364.20518946964916</v>
      </c>
    </row>
    <row r="13" spans="5:32" x14ac:dyDescent="0.3">
      <c r="E13" s="17" t="s">
        <v>44</v>
      </c>
      <c r="F13" s="17" t="s">
        <v>327</v>
      </c>
      <c r="G13" s="7">
        <f>'Ini_I+C_PTAR_ARI'!C47*1000</f>
        <v>153.57999999999998</v>
      </c>
      <c r="H13" s="7">
        <f>'Ini_I+C_PTAR_ARI'!D47*1000</f>
        <v>297.91999999999996</v>
      </c>
      <c r="I13" s="7">
        <f>'Ini_I+C_PTAR_ARI'!E47*1000</f>
        <v>442.26</v>
      </c>
      <c r="J13" s="7">
        <f>'Ini_I+C_PTAR_ARI'!F47*1000</f>
        <v>313.59999999999997</v>
      </c>
      <c r="K13" s="7">
        <f>'Ini_I+C_PTAR_ARI'!G47*1000</f>
        <v>185.01</v>
      </c>
      <c r="L13" s="7">
        <f>'Ini_I+C_PTAR_ARI'!H47*1000</f>
        <v>382.34000000000003</v>
      </c>
      <c r="M13" s="7">
        <f>'Ini_I+C_PTAR_ARI'!I47*1000</f>
        <v>579.66999999999996</v>
      </c>
      <c r="N13" s="7">
        <f>'Ini_I+C_PTAR_ARI'!J47*1000</f>
        <v>605.01</v>
      </c>
      <c r="O13" s="7">
        <f>'Ini_I+C_PTAR_ARI'!K47*1000</f>
        <v>630.41999999999996</v>
      </c>
      <c r="P13" s="7">
        <f>'Ini_I+C_PTAR_ARI'!L47*1000</f>
        <v>602.28000000000009</v>
      </c>
      <c r="Q13" s="7">
        <f>'Ini_I+C_PTAR_ARI'!M47*1000</f>
        <v>574.21</v>
      </c>
      <c r="R13" s="7">
        <f>'Ini_I+C_PTAR_ARI'!N47*1000</f>
        <v>490.49</v>
      </c>
      <c r="S13" s="7">
        <f>'Ini_I+C_PTAR_ARI'!O47*1000</f>
        <v>595.28000000000009</v>
      </c>
      <c r="T13" s="7">
        <f>'Ini_I+C_PTAR_ARI'!P47*1000</f>
        <v>641.96999999999991</v>
      </c>
      <c r="U13" s="7">
        <f>'Ini_I+C_PTAR_ARI'!Q47*1000</f>
        <v>690.06000000000006</v>
      </c>
      <c r="V13" s="7">
        <f>'Ini_I+C_PTAR_ARI'!R47*1000</f>
        <v>687.39999999999986</v>
      </c>
      <c r="W13" s="7">
        <f>'Ini_I+C_PTAR_ARI'!S47*1000</f>
        <v>713.27</v>
      </c>
      <c r="X13" s="7">
        <f>'Ini_I+C_PTAR_ARI'!T47*1000</f>
        <v>836.57999999999993</v>
      </c>
      <c r="Y13" s="7">
        <f>'Ini_I+C_PTAR_ARI'!U47*1000</f>
        <v>887.86</v>
      </c>
      <c r="Z13" s="7">
        <f>'Ini_I+C_PTAR_ARI'!V47*1000</f>
        <v>939.06999999999994</v>
      </c>
      <c r="AA13" s="7">
        <f>'Ini_I+C_PTAR_ARI'!W47*1000</f>
        <v>990.34999999999991</v>
      </c>
      <c r="AB13" s="7">
        <f>'Ini_I+C_PTAR_ARI'!X47*1000</f>
        <v>1042.9599999999998</v>
      </c>
      <c r="AC13" s="7">
        <f>'Ini_I+C_PTAR_ARI'!Y47*1000</f>
        <v>1096.8999999999999</v>
      </c>
      <c r="AD13" s="7">
        <f>'Ini_I+C_PTAR_ARI'!Z47*1000</f>
        <v>1150.77</v>
      </c>
      <c r="AE13" s="7">
        <f>'Ini_I+C_PTAR_ARI'!AA47*1000</f>
        <v>1206.0399999999997</v>
      </c>
      <c r="AF13" s="7">
        <f>'Ini_I+C_PTAR_ARI'!AB47*1000</f>
        <v>1261.31</v>
      </c>
    </row>
    <row r="14" spans="5:32" x14ac:dyDescent="0.3"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5:32" x14ac:dyDescent="0.3">
      <c r="F15" t="s">
        <v>336</v>
      </c>
      <c r="G15" s="11">
        <f>G7+G8+G9+G10</f>
        <v>1712.94478</v>
      </c>
      <c r="H15" s="11">
        <f t="shared" ref="H15:AF15" si="0">H7+H8+H9+H10</f>
        <v>1891.5141400000002</v>
      </c>
      <c r="I15" s="11">
        <f t="shared" si="0"/>
        <v>2070.3851100000002</v>
      </c>
      <c r="J15" s="11">
        <f t="shared" si="0"/>
        <v>2269.7341799999999</v>
      </c>
      <c r="K15" s="11">
        <f t="shared" si="0"/>
        <v>2469.5628699999997</v>
      </c>
      <c r="L15" s="11">
        <f t="shared" si="0"/>
        <v>2668.2517700000003</v>
      </c>
      <c r="M15" s="11">
        <f t="shared" si="0"/>
        <v>2867.24656</v>
      </c>
      <c r="N15" s="11">
        <f t="shared" si="0"/>
        <v>3052.9036499999997</v>
      </c>
      <c r="O15" s="11">
        <f t="shared" si="0"/>
        <v>3238.7448199999999</v>
      </c>
      <c r="P15" s="11">
        <f t="shared" si="0"/>
        <v>3443.5402899999999</v>
      </c>
      <c r="Q15" s="11">
        <f t="shared" si="0"/>
        <v>3648.1706800000006</v>
      </c>
      <c r="R15" s="11">
        <f t="shared" si="0"/>
        <v>3787.7680799999998</v>
      </c>
      <c r="S15" s="11">
        <f t="shared" si="0"/>
        <v>3956.1360100000002</v>
      </c>
      <c r="T15" s="11">
        <f t="shared" si="0"/>
        <v>4387.5249999999996</v>
      </c>
      <c r="U15" s="11">
        <f t="shared" si="0"/>
        <v>4857.0662000000002</v>
      </c>
      <c r="V15" s="11">
        <f t="shared" si="0"/>
        <v>5365.2956199999999</v>
      </c>
      <c r="W15" s="11">
        <f t="shared" si="0"/>
        <v>5899.3900800000001</v>
      </c>
      <c r="X15" s="11">
        <f t="shared" si="0"/>
        <v>6487.8046299999996</v>
      </c>
      <c r="Y15" s="11">
        <f t="shared" si="0"/>
        <v>7122.1484299999993</v>
      </c>
      <c r="Z15" s="11">
        <f t="shared" si="0"/>
        <v>7792.2938671428583</v>
      </c>
      <c r="AA15" s="11">
        <f t="shared" si="0"/>
        <v>8563.2391142857159</v>
      </c>
      <c r="AB15" s="11">
        <f t="shared" si="0"/>
        <v>9137.9182814285705</v>
      </c>
      <c r="AC15" s="11">
        <f t="shared" si="0"/>
        <v>9756.451378571428</v>
      </c>
      <c r="AD15" s="11">
        <f t="shared" si="0"/>
        <v>10406.201785714287</v>
      </c>
      <c r="AE15" s="11">
        <f t="shared" si="0"/>
        <v>11101.992042857144</v>
      </c>
      <c r="AF15" s="11">
        <f t="shared" si="0"/>
        <v>11845.156969999998</v>
      </c>
    </row>
    <row r="16" spans="5:32" x14ac:dyDescent="0.3">
      <c r="F16" t="s">
        <v>337</v>
      </c>
      <c r="G16" s="11">
        <f>G11+G12+G13</f>
        <v>558.91434000000004</v>
      </c>
      <c r="H16" s="11">
        <f t="shared" ref="H16:AF16" si="1">H11+H12+H13</f>
        <v>737.70666000000006</v>
      </c>
      <c r="I16" s="11">
        <f t="shared" si="1"/>
        <v>916.81597999999997</v>
      </c>
      <c r="J16" s="11">
        <f t="shared" si="1"/>
        <v>794.57205999999996</v>
      </c>
      <c r="K16" s="11">
        <f t="shared" si="1"/>
        <v>672.42840000000001</v>
      </c>
      <c r="L16" s="11">
        <f t="shared" si="1"/>
        <v>872.34818000000007</v>
      </c>
      <c r="M16" s="11">
        <f t="shared" si="1"/>
        <v>1072.26226</v>
      </c>
      <c r="N16" s="11">
        <f t="shared" si="1"/>
        <v>1104.29854</v>
      </c>
      <c r="O16" s="11">
        <f t="shared" si="1"/>
        <v>1136.24701</v>
      </c>
      <c r="P16" s="11">
        <f t="shared" si="1"/>
        <v>1110.8153600000001</v>
      </c>
      <c r="Q16" s="11">
        <f t="shared" si="1"/>
        <v>1085.6627100000001</v>
      </c>
      <c r="R16" s="11">
        <f t="shared" si="1"/>
        <v>1009.1794600000001</v>
      </c>
      <c r="S16" s="11">
        <f t="shared" si="1"/>
        <v>1101.0096700000001</v>
      </c>
      <c r="T16" s="11">
        <f t="shared" si="1"/>
        <v>1195.08494</v>
      </c>
      <c r="U16" s="11">
        <f t="shared" si="1"/>
        <v>1291.1433700000002</v>
      </c>
      <c r="V16" s="11">
        <f t="shared" si="1"/>
        <v>1292.8905399999999</v>
      </c>
      <c r="W16" s="11">
        <f t="shared" si="1"/>
        <v>1345.91221</v>
      </c>
      <c r="X16" s="11">
        <f t="shared" si="1"/>
        <v>1578.8545333333332</v>
      </c>
      <c r="Y16" s="11">
        <f t="shared" si="1"/>
        <v>1676.9971166666667</v>
      </c>
      <c r="Z16" s="11">
        <f t="shared" si="1"/>
        <v>1776.18544</v>
      </c>
      <c r="AA16" s="11">
        <f t="shared" si="1"/>
        <v>1876.8910633333332</v>
      </c>
      <c r="AB16" s="11">
        <f t="shared" si="1"/>
        <v>1981.5307966666664</v>
      </c>
      <c r="AC16" s="11">
        <f t="shared" si="1"/>
        <v>2090.0130499999996</v>
      </c>
      <c r="AD16" s="11">
        <f t="shared" si="1"/>
        <v>2199.9440633333334</v>
      </c>
      <c r="AE16" s="11">
        <f t="shared" si="1"/>
        <v>2284.0791766666666</v>
      </c>
      <c r="AF16" s="11">
        <f t="shared" si="1"/>
        <v>2369.6594</v>
      </c>
    </row>
    <row r="17" spans="5:32" x14ac:dyDescent="0.3">
      <c r="F17" s="1" t="s">
        <v>253</v>
      </c>
      <c r="G17" s="142">
        <f>G7+G8+G9+G10+G11+G12+G13</f>
        <v>2271.8591200000001</v>
      </c>
      <c r="H17" s="142">
        <f t="shared" ref="H17:AF17" si="2">H7+H8+H9+H10+H11+H12+H13</f>
        <v>2629.2208000000001</v>
      </c>
      <c r="I17" s="142">
        <f t="shared" si="2"/>
        <v>2987.2010900000005</v>
      </c>
      <c r="J17" s="142">
        <f t="shared" si="2"/>
        <v>3064.3062399999999</v>
      </c>
      <c r="K17" s="142">
        <f t="shared" si="2"/>
        <v>3141.9912700000004</v>
      </c>
      <c r="L17" s="142">
        <f t="shared" si="2"/>
        <v>3540.5999500000003</v>
      </c>
      <c r="M17" s="142">
        <f t="shared" si="2"/>
        <v>3939.50882</v>
      </c>
      <c r="N17" s="142">
        <f t="shared" si="2"/>
        <v>4157.20219</v>
      </c>
      <c r="O17" s="142">
        <f t="shared" si="2"/>
        <v>4374.9918299999999</v>
      </c>
      <c r="P17" s="142">
        <f t="shared" si="2"/>
        <v>4554.3556499999995</v>
      </c>
      <c r="Q17" s="142">
        <f t="shared" si="2"/>
        <v>4733.8333900000007</v>
      </c>
      <c r="R17" s="142">
        <f t="shared" si="2"/>
        <v>4796.9475400000001</v>
      </c>
      <c r="S17" s="142">
        <f t="shared" si="2"/>
        <v>5057.1456799999996</v>
      </c>
      <c r="T17" s="142">
        <f t="shared" si="2"/>
        <v>5582.6099400000003</v>
      </c>
      <c r="U17" s="142">
        <f t="shared" si="2"/>
        <v>6148.2095700000009</v>
      </c>
      <c r="V17" s="142">
        <f t="shared" si="2"/>
        <v>6658.1861599999993</v>
      </c>
      <c r="W17" s="142">
        <f t="shared" si="2"/>
        <v>7245.3022899999996</v>
      </c>
      <c r="X17" s="142">
        <f t="shared" si="2"/>
        <v>8066.6591633333328</v>
      </c>
      <c r="Y17" s="142">
        <f t="shared" si="2"/>
        <v>8799.1455466666666</v>
      </c>
      <c r="Z17" s="142">
        <f t="shared" si="2"/>
        <v>9568.4793071428594</v>
      </c>
      <c r="AA17" s="142">
        <f t="shared" si="2"/>
        <v>10440.130177619048</v>
      </c>
      <c r="AB17" s="142">
        <f t="shared" si="2"/>
        <v>11119.449078095236</v>
      </c>
      <c r="AC17" s="142">
        <f t="shared" si="2"/>
        <v>11846.464428571428</v>
      </c>
      <c r="AD17" s="142">
        <f t="shared" si="2"/>
        <v>12606.145849047622</v>
      </c>
      <c r="AE17" s="142">
        <f t="shared" si="2"/>
        <v>13386.07121952381</v>
      </c>
      <c r="AF17" s="142">
        <f t="shared" si="2"/>
        <v>14214.816369999997</v>
      </c>
    </row>
    <row r="19" spans="5:32" x14ac:dyDescent="0.3">
      <c r="E19" s="1" t="s">
        <v>338</v>
      </c>
    </row>
    <row r="21" spans="5:32" x14ac:dyDescent="0.3">
      <c r="E21" s="3" t="s">
        <v>332</v>
      </c>
      <c r="F21" s="3" t="s">
        <v>333</v>
      </c>
      <c r="G21" s="3">
        <v>2010</v>
      </c>
      <c r="H21" s="3">
        <v>2011</v>
      </c>
      <c r="I21" s="3">
        <v>2012</v>
      </c>
      <c r="J21" s="3">
        <v>2013</v>
      </c>
      <c r="K21" s="3">
        <v>2014</v>
      </c>
      <c r="L21" s="3">
        <v>2015</v>
      </c>
      <c r="M21" s="3">
        <v>2016</v>
      </c>
      <c r="N21" s="3">
        <v>2017</v>
      </c>
      <c r="O21" s="3">
        <v>2018</v>
      </c>
      <c r="P21" s="3">
        <v>2019</v>
      </c>
      <c r="Q21" s="3">
        <v>2020</v>
      </c>
      <c r="R21" s="3">
        <v>2021</v>
      </c>
      <c r="S21" s="3">
        <v>2022</v>
      </c>
      <c r="T21" s="3">
        <v>2023</v>
      </c>
      <c r="U21" s="3">
        <v>2024</v>
      </c>
      <c r="V21" s="3">
        <v>2025</v>
      </c>
      <c r="W21" s="3">
        <v>2026</v>
      </c>
      <c r="X21" s="3">
        <v>2027</v>
      </c>
      <c r="Y21" s="3">
        <v>2028</v>
      </c>
      <c r="Z21" s="3">
        <v>2029</v>
      </c>
      <c r="AA21" s="3">
        <v>2030</v>
      </c>
      <c r="AB21" s="3">
        <v>2031</v>
      </c>
      <c r="AC21" s="3">
        <v>2032</v>
      </c>
      <c r="AD21" s="3">
        <v>2033</v>
      </c>
      <c r="AE21" s="3">
        <v>2034</v>
      </c>
      <c r="AF21" s="3">
        <v>2035</v>
      </c>
    </row>
    <row r="22" spans="5:32" x14ac:dyDescent="0.3">
      <c r="E22" s="3" t="s">
        <v>35</v>
      </c>
      <c r="F22" s="3" t="s">
        <v>269</v>
      </c>
      <c r="G22" s="7">
        <f>T_5A1!E60*1000</f>
        <v>0</v>
      </c>
      <c r="H22" s="7">
        <f>T_5A1!F60*1000</f>
        <v>0</v>
      </c>
      <c r="I22" s="7">
        <f>T_5A1!G60*1000</f>
        <v>0</v>
      </c>
      <c r="J22" s="7">
        <f>T_5A1!H60*1000</f>
        <v>0</v>
      </c>
      <c r="K22" s="7">
        <f>T_5A1!I60*1000</f>
        <v>0</v>
      </c>
      <c r="L22" s="7">
        <f>T_5A1!J60*1000</f>
        <v>0</v>
      </c>
      <c r="M22" s="7">
        <f>T_5A1!K60*1000</f>
        <v>0</v>
      </c>
      <c r="N22" s="7">
        <f>T_5A1!L60*1000</f>
        <v>0</v>
      </c>
      <c r="O22" s="7">
        <f>T_5A1!M60*1000</f>
        <v>0</v>
      </c>
      <c r="P22" s="7">
        <f>T_5A1!N60*1000</f>
        <v>0</v>
      </c>
      <c r="Q22" s="7">
        <f>T_5A1!O60*1000</f>
        <v>0</v>
      </c>
      <c r="R22" s="7">
        <f>T_5A1!P60*1000</f>
        <v>0</v>
      </c>
      <c r="S22" s="7">
        <f>T_5A1!Q60*1000</f>
        <v>0</v>
      </c>
      <c r="T22" s="7">
        <f>T_5A1!R60*1000</f>
        <v>0</v>
      </c>
      <c r="U22" s="7">
        <f>T_5A1!S60*1000</f>
        <v>0</v>
      </c>
      <c r="V22" s="7">
        <f>T_5A1!T60*1000</f>
        <v>0</v>
      </c>
      <c r="W22" s="7">
        <f>T_5A1!U60*1000</f>
        <v>0</v>
      </c>
      <c r="X22" s="7">
        <f>T_5A1!V60*1000</f>
        <v>0</v>
      </c>
      <c r="Y22" s="7">
        <f>T_5A1!W60*1000</f>
        <v>0</v>
      </c>
      <c r="Z22" s="7">
        <f>T_5A1!X60*1000</f>
        <v>0</v>
      </c>
      <c r="AA22" s="7">
        <f>T_5A1!Y60*1000</f>
        <v>0</v>
      </c>
      <c r="AB22" s="7">
        <f>T_5A1!Z60*1000</f>
        <v>0</v>
      </c>
      <c r="AC22" s="7">
        <f>T_5A1!AA60*1000</f>
        <v>0</v>
      </c>
      <c r="AD22" s="7">
        <f>T_5A1!AB60*1000</f>
        <v>0</v>
      </c>
      <c r="AE22" s="7">
        <f>T_5A1!AC60*1000</f>
        <v>0</v>
      </c>
      <c r="AF22" s="7">
        <f>T_5A1!AD60*1000</f>
        <v>0</v>
      </c>
    </row>
    <row r="23" spans="5:32" x14ac:dyDescent="0.3">
      <c r="E23" s="3" t="s">
        <v>38</v>
      </c>
      <c r="F23" s="3" t="s">
        <v>271</v>
      </c>
      <c r="G23" s="7">
        <f>T_5A2!E57*1000</f>
        <v>0</v>
      </c>
      <c r="H23" s="7">
        <f>T_5A2!F57*1000</f>
        <v>0</v>
      </c>
      <c r="I23" s="7">
        <f>T_5A2!G57*1000</f>
        <v>0</v>
      </c>
      <c r="J23" s="7">
        <f>T_5A2!H57*1000</f>
        <v>0</v>
      </c>
      <c r="K23" s="7">
        <f>T_5A2!I57*1000</f>
        <v>0</v>
      </c>
      <c r="L23" s="7">
        <f>T_5A2!J57*1000</f>
        <v>0</v>
      </c>
      <c r="M23" s="7">
        <f>T_5A2!K57*1000</f>
        <v>0</v>
      </c>
      <c r="N23" s="7">
        <f>T_5A2!L57*1000</f>
        <v>0</v>
      </c>
      <c r="O23" s="7">
        <f>T_5A2!M57*1000</f>
        <v>0</v>
      </c>
      <c r="P23" s="7">
        <f>T_5A2!N57*1000</f>
        <v>0</v>
      </c>
      <c r="Q23" s="7">
        <f>T_5A2!O57*1000</f>
        <v>0</v>
      </c>
      <c r="R23" s="7">
        <f>T_5A2!P57*1000</f>
        <v>0</v>
      </c>
      <c r="S23" s="7">
        <f>T_5A2!Q57*1000</f>
        <v>0</v>
      </c>
      <c r="T23" s="7">
        <f>T_5A2!R57*1000</f>
        <v>0</v>
      </c>
      <c r="U23" s="7">
        <f>T_5A2!S57*1000</f>
        <v>0</v>
      </c>
      <c r="V23" s="7">
        <f>T_5A2!T57*1000</f>
        <v>0</v>
      </c>
      <c r="W23" s="7">
        <f>T_5A2!U57*1000</f>
        <v>0</v>
      </c>
      <c r="X23" s="7">
        <f>T_5A2!V57*1000</f>
        <v>0</v>
      </c>
      <c r="Y23" s="7">
        <f>T_5A2!W57*1000</f>
        <v>0</v>
      </c>
      <c r="Z23" s="7">
        <f>T_5A2!X57*1000</f>
        <v>0</v>
      </c>
      <c r="AA23" s="7">
        <f>T_5A2!Y57*1000</f>
        <v>0</v>
      </c>
      <c r="AB23" s="7">
        <f>T_5A2!Z57*1000</f>
        <v>0</v>
      </c>
      <c r="AC23" s="7">
        <f>T_5A2!AA57*1000</f>
        <v>0</v>
      </c>
      <c r="AD23" s="7">
        <f>T_5A2!AB57*1000</f>
        <v>0</v>
      </c>
      <c r="AE23" s="7">
        <f>T_5A2!AC57*1000</f>
        <v>0</v>
      </c>
      <c r="AF23" s="7">
        <f>T_5A2!AD57*1000</f>
        <v>0</v>
      </c>
    </row>
    <row r="24" spans="5:32" x14ac:dyDescent="0.3">
      <c r="E24" s="3" t="s">
        <v>334</v>
      </c>
      <c r="F24" s="3" t="s">
        <v>267</v>
      </c>
      <c r="G24" s="7">
        <f>T_Compostaje!G52*1000</f>
        <v>0</v>
      </c>
      <c r="H24" s="7">
        <f>T_Compostaje!H52*1000</f>
        <v>0</v>
      </c>
      <c r="I24" s="7">
        <f>T_Compostaje!I52*1000</f>
        <v>0</v>
      </c>
      <c r="J24" s="7">
        <f>T_Compostaje!J52*1000</f>
        <v>0</v>
      </c>
      <c r="K24" s="7">
        <f>T_Compostaje!K52*1000</f>
        <v>0</v>
      </c>
      <c r="L24" s="7">
        <f>T_Compostaje!L52*1000</f>
        <v>0</v>
      </c>
      <c r="M24" s="7">
        <f>T_Compostaje!M52*1000</f>
        <v>0</v>
      </c>
      <c r="N24" s="7">
        <f>T_Compostaje!N52*1000</f>
        <v>0</v>
      </c>
      <c r="O24" s="7">
        <f>T_Compostaje!O52*1000</f>
        <v>0</v>
      </c>
      <c r="P24" s="7">
        <f>T_Compostaje!P52*1000</f>
        <v>0</v>
      </c>
      <c r="Q24" s="7">
        <f>T_Compostaje!Q52*1000</f>
        <v>0</v>
      </c>
      <c r="R24" s="7">
        <f>T_Compostaje!R52*1000</f>
        <v>0</v>
      </c>
      <c r="S24" s="7">
        <f>T_Compostaje!S52*1000</f>
        <v>0</v>
      </c>
      <c r="T24" s="7">
        <f>T_Compostaje!T52*1000</f>
        <v>0</v>
      </c>
      <c r="U24" s="7">
        <f>T_Compostaje!U52*1000</f>
        <v>0</v>
      </c>
      <c r="V24" s="7">
        <f>T_Compostaje!V52*1000</f>
        <v>0</v>
      </c>
      <c r="W24" s="7">
        <f>T_Compostaje!W52*1000</f>
        <v>0</v>
      </c>
      <c r="X24" s="7">
        <f>T_Compostaje!X52*1000</f>
        <v>0</v>
      </c>
      <c r="Y24" s="7">
        <f>T_Compostaje!Y52*1000</f>
        <v>0</v>
      </c>
      <c r="Z24" s="7">
        <f>T_Compostaje!Z52*1000</f>
        <v>0</v>
      </c>
      <c r="AA24" s="7">
        <f>T_Compostaje!AA52*1000</f>
        <v>0</v>
      </c>
      <c r="AB24" s="7">
        <f>T_Compostaje!AB52*1000</f>
        <v>0</v>
      </c>
      <c r="AC24" s="7">
        <f>T_Compostaje!AC52*1000</f>
        <v>0</v>
      </c>
      <c r="AD24" s="7">
        <f>T_Compostaje!AD52*1000</f>
        <v>0</v>
      </c>
      <c r="AE24" s="7">
        <f>T_Compostaje!AE52*1000</f>
        <v>0</v>
      </c>
      <c r="AF24" s="7">
        <f>T_Compostaje!AF52*1000</f>
        <v>0</v>
      </c>
    </row>
    <row r="25" spans="5:32" x14ac:dyDescent="0.3">
      <c r="E25" s="3" t="s">
        <v>335</v>
      </c>
      <c r="F25" s="3" t="s">
        <v>275</v>
      </c>
      <c r="G25" s="7">
        <f>T_Incineracion!C69*1000</f>
        <v>13.18135</v>
      </c>
      <c r="H25" s="7">
        <f>T_Incineracion!D69*1000</f>
        <v>13.680880000000002</v>
      </c>
      <c r="I25" s="7">
        <f>T_Incineracion!E69*1000</f>
        <v>14.27192</v>
      </c>
      <c r="J25" s="7">
        <f>T_Incineracion!F69*1000</f>
        <v>14.578920000000002</v>
      </c>
      <c r="K25" s="7">
        <f>T_Incineracion!G69*1000</f>
        <v>15.000749999999998</v>
      </c>
      <c r="L25" s="7">
        <f>T_Incineracion!H69*1000</f>
        <v>14.90048</v>
      </c>
      <c r="M25" s="7">
        <f>T_Incineracion!I69*1000</f>
        <v>14.931839999999999</v>
      </c>
      <c r="N25" s="7">
        <f>T_Incineracion!J69*1000</f>
        <v>15.095880000000001</v>
      </c>
      <c r="O25" s="7">
        <f>T_Incineracion!K69*1000</f>
        <v>15.256319999999999</v>
      </c>
      <c r="P25" s="7">
        <f>T_Incineracion!L69*1000</f>
        <v>18.284590000000005</v>
      </c>
      <c r="Q25" s="7">
        <f>T_Incineracion!M69*1000</f>
        <v>21.368959999999998</v>
      </c>
      <c r="R25" s="7">
        <f>T_Incineracion!N69*1000</f>
        <v>13.092170000000001</v>
      </c>
      <c r="S25" s="7">
        <f>T_Incineracion!O69*1000</f>
        <v>16.940049999999999</v>
      </c>
      <c r="T25" s="7">
        <f>T_Incineracion!P69*1000</f>
        <v>17.654399999999999</v>
      </c>
      <c r="U25" s="7">
        <f>T_Incineracion!Q69*1000</f>
        <v>18.477119999999999</v>
      </c>
      <c r="V25" s="7">
        <f>T_Incineracion!R69*1000</f>
        <v>19.405330000000003</v>
      </c>
      <c r="W25" s="7">
        <f>T_Incineracion!S69*1000</f>
        <v>20.197189999999999</v>
      </c>
      <c r="X25" s="7">
        <f>T_Incineracion!T69*1000</f>
        <v>21.093</v>
      </c>
      <c r="Y25" s="7">
        <f>T_Incineracion!U69*1000</f>
        <v>21.855</v>
      </c>
      <c r="Z25" s="7">
        <f>T_Incineracion!V69*1000</f>
        <v>22.719450000000002</v>
      </c>
      <c r="AA25" s="7">
        <f>T_Incineracion!W69*1000</f>
        <v>23.566080000000003</v>
      </c>
      <c r="AB25" s="7">
        <f>T_Incineracion!X69*1000</f>
        <v>23.82432</v>
      </c>
      <c r="AC25" s="7">
        <f>T_Incineracion!Y69*1000</f>
        <v>24.076839999999997</v>
      </c>
      <c r="AD25" s="7">
        <f>T_Incineracion!Z69*1000</f>
        <v>24.323760000000004</v>
      </c>
      <c r="AE25" s="7">
        <f>T_Incineracion!AA69*1000</f>
        <v>24.565199999999997</v>
      </c>
      <c r="AF25" s="7">
        <f>T_Incineracion!AB69*1000</f>
        <v>24.799039999999998</v>
      </c>
    </row>
    <row r="26" spans="5:32" x14ac:dyDescent="0.3">
      <c r="E26" s="141" t="s">
        <v>41</v>
      </c>
      <c r="F26" s="3" t="s">
        <v>323</v>
      </c>
      <c r="G26" s="7">
        <f>T_5D1!F76*1000</f>
        <v>0</v>
      </c>
      <c r="H26" s="7">
        <f>T_5D1!G76*1000</f>
        <v>0</v>
      </c>
      <c r="I26" s="7">
        <f>T_5D1!H76*1000</f>
        <v>0</v>
      </c>
      <c r="J26" s="7">
        <f>T_5D1!I76*1000</f>
        <v>0</v>
      </c>
      <c r="K26" s="7">
        <f>T_5D1!J76*1000</f>
        <v>0</v>
      </c>
      <c r="L26" s="7">
        <f>T_5D1!K76*1000</f>
        <v>0</v>
      </c>
      <c r="M26" s="7">
        <f>T_5D1!L76*1000</f>
        <v>0</v>
      </c>
      <c r="N26" s="7">
        <f>T_5D1!M76*1000</f>
        <v>0</v>
      </c>
      <c r="O26" s="7">
        <f>T_5D1!N76*1000</f>
        <v>0</v>
      </c>
      <c r="P26" s="7">
        <f>T_5D1!O76*1000</f>
        <v>0</v>
      </c>
      <c r="Q26" s="7">
        <f>T_5D1!P76*1000</f>
        <v>0</v>
      </c>
      <c r="R26" s="7">
        <f>T_5D1!Q76*1000</f>
        <v>0</v>
      </c>
      <c r="S26" s="7">
        <f>T_5D1!R76*1000</f>
        <v>0</v>
      </c>
      <c r="T26" s="7">
        <f>T_5D1!S76*1000</f>
        <v>0</v>
      </c>
      <c r="U26" s="7">
        <f>T_5D1!T76*1000</f>
        <v>0</v>
      </c>
      <c r="V26" s="7">
        <f>T_5D1!U76*1000</f>
        <v>0</v>
      </c>
      <c r="W26" s="7">
        <f>T_5D1!V76*1000</f>
        <v>0</v>
      </c>
      <c r="X26" s="7">
        <f>T_5D1!W76*1000</f>
        <v>0</v>
      </c>
      <c r="Y26" s="7">
        <f>T_5D1!X76*1000</f>
        <v>0</v>
      </c>
      <c r="Z26" s="7">
        <f>T_5D1!Y76*1000</f>
        <v>0</v>
      </c>
      <c r="AA26" s="7">
        <f>T_5D1!Z76*1000</f>
        <v>0</v>
      </c>
      <c r="AB26" s="7">
        <f>T_5D1!AA76*1000</f>
        <v>0</v>
      </c>
      <c r="AC26" s="7">
        <f>T_5D1!AB76*1000</f>
        <v>0</v>
      </c>
      <c r="AD26" s="7">
        <f>T_5D1!AC76*1000</f>
        <v>0</v>
      </c>
      <c r="AE26" s="7">
        <f>T_5D1!AD76*1000</f>
        <v>0</v>
      </c>
      <c r="AF26" s="7">
        <f>T_5D1!AE76*1000</f>
        <v>0</v>
      </c>
    </row>
    <row r="27" spans="5:32" x14ac:dyDescent="0.3">
      <c r="E27" s="141" t="s">
        <v>41</v>
      </c>
      <c r="F27" s="3" t="s">
        <v>325</v>
      </c>
      <c r="G27" s="7">
        <f>T_5D1!F89*1000</f>
        <v>0</v>
      </c>
      <c r="H27" s="7">
        <f>T_5D1!G89*1000</f>
        <v>0</v>
      </c>
      <c r="I27" s="7">
        <f>T_5D1!H89*1000</f>
        <v>0</v>
      </c>
      <c r="J27" s="7">
        <f>T_5D1!I89*1000</f>
        <v>0</v>
      </c>
      <c r="K27" s="7">
        <f>T_5D1!J89*1000</f>
        <v>0</v>
      </c>
      <c r="L27" s="7">
        <f>T_5D1!K89*1000</f>
        <v>0</v>
      </c>
      <c r="M27" s="7">
        <f>T_5D1!L89*1000</f>
        <v>0</v>
      </c>
      <c r="N27" s="7">
        <f>T_5D1!M89*1000</f>
        <v>0</v>
      </c>
      <c r="O27" s="7">
        <f>T_5D1!N89*1000</f>
        <v>0</v>
      </c>
      <c r="P27" s="7">
        <f>T_5D1!O89*1000</f>
        <v>0</v>
      </c>
      <c r="Q27" s="7">
        <f>T_5D1!P89*1000</f>
        <v>0</v>
      </c>
      <c r="R27" s="7">
        <f>T_5D1!Q89*1000</f>
        <v>0</v>
      </c>
      <c r="S27" s="7">
        <f>T_5D1!R89*1000</f>
        <v>0</v>
      </c>
      <c r="T27" s="7">
        <f>T_5D1!S89*1000</f>
        <v>0</v>
      </c>
      <c r="U27" s="7">
        <f>T_5D1!T89*1000</f>
        <v>0</v>
      </c>
      <c r="V27" s="7">
        <f>T_5D1!U89*1000</f>
        <v>0</v>
      </c>
      <c r="W27" s="7">
        <f>T_5D1!V89*1000</f>
        <v>0</v>
      </c>
      <c r="X27" s="7">
        <f>T_5D1!W89*1000</f>
        <v>0</v>
      </c>
      <c r="Y27" s="7">
        <f>T_5D1!X89*1000</f>
        <v>0</v>
      </c>
      <c r="Z27" s="7">
        <f>T_5D1!Y89*1000</f>
        <v>0</v>
      </c>
      <c r="AA27" s="7">
        <f>T_5D1!Z89*1000</f>
        <v>0</v>
      </c>
      <c r="AB27" s="7">
        <f>T_5D1!AA89*1000</f>
        <v>0</v>
      </c>
      <c r="AC27" s="7">
        <f>T_5D1!AB89*1000</f>
        <v>0</v>
      </c>
      <c r="AD27" s="7">
        <f>T_5D1!AC89*1000</f>
        <v>0</v>
      </c>
      <c r="AE27" s="7">
        <f>T_5D1!AD89*1000</f>
        <v>0</v>
      </c>
      <c r="AF27" s="7">
        <f>T_5D1!AE89*1000</f>
        <v>0</v>
      </c>
    </row>
    <row r="28" spans="5:32" x14ac:dyDescent="0.3">
      <c r="E28" s="3" t="s">
        <v>44</v>
      </c>
      <c r="F28" s="3" t="s">
        <v>327</v>
      </c>
      <c r="G28" s="7">
        <f>T_5D2!F52*1000</f>
        <v>0</v>
      </c>
      <c r="H28" s="7">
        <f>T_5D2!G52*1000</f>
        <v>0</v>
      </c>
      <c r="I28" s="7">
        <f>T_5D2!H52*1000</f>
        <v>0</v>
      </c>
      <c r="J28" s="7">
        <f>T_5D2!I52*1000</f>
        <v>0</v>
      </c>
      <c r="K28" s="7">
        <f>T_5D2!J52*1000</f>
        <v>0</v>
      </c>
      <c r="L28" s="7">
        <f>T_5D2!K52*1000</f>
        <v>0</v>
      </c>
      <c r="M28" s="7">
        <f>T_5D2!L52*1000</f>
        <v>0</v>
      </c>
      <c r="N28" s="7">
        <f>T_5D2!M52*1000</f>
        <v>0</v>
      </c>
      <c r="O28" s="7">
        <f>T_5D2!N52*1000</f>
        <v>0</v>
      </c>
      <c r="P28" s="7">
        <f>T_5D2!O52*1000</f>
        <v>0</v>
      </c>
      <c r="Q28" s="7">
        <f>T_5D2!P52*1000</f>
        <v>0</v>
      </c>
      <c r="R28" s="7">
        <f>T_5D2!Q52*1000</f>
        <v>0</v>
      </c>
      <c r="S28" s="7">
        <f>T_5D2!R52*1000</f>
        <v>0</v>
      </c>
      <c r="T28" s="7">
        <f>T_5D2!S52*1000</f>
        <v>0</v>
      </c>
      <c r="U28" s="7">
        <f>T_5D2!T52*1000</f>
        <v>0</v>
      </c>
      <c r="V28" s="7">
        <f>T_5D2!U52*1000</f>
        <v>0</v>
      </c>
      <c r="W28" s="7">
        <f>T_5D2!V52*1000</f>
        <v>0</v>
      </c>
      <c r="X28" s="7">
        <f>T_5D2!W52*1000</f>
        <v>0</v>
      </c>
      <c r="Y28" s="7">
        <f>T_5D2!X52*1000</f>
        <v>0</v>
      </c>
      <c r="Z28" s="7">
        <f>T_5D2!Y52*1000</f>
        <v>0</v>
      </c>
      <c r="AA28" s="7">
        <f>T_5D2!Z52*1000</f>
        <v>0</v>
      </c>
      <c r="AB28" s="7">
        <f>T_5D2!AA52*1000</f>
        <v>0</v>
      </c>
      <c r="AC28" s="7">
        <f>T_5D2!AB52*1000</f>
        <v>0</v>
      </c>
      <c r="AD28" s="7">
        <f>T_5D2!AC52*1000</f>
        <v>0</v>
      </c>
      <c r="AE28" s="7">
        <f>T_5D2!AD52*1000</f>
        <v>0</v>
      </c>
      <c r="AF28" s="7">
        <f>T_5D2!AE52*1000</f>
        <v>0</v>
      </c>
    </row>
    <row r="29" spans="5:32" x14ac:dyDescent="0.3"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</row>
    <row r="30" spans="5:32" x14ac:dyDescent="0.3">
      <c r="F30" t="s">
        <v>336</v>
      </c>
      <c r="G30" s="11">
        <f>G22+G23+G24+G25</f>
        <v>13.18135</v>
      </c>
      <c r="H30" s="11">
        <f t="shared" ref="H30:AF30" si="3">H22+H23+H24+H25</f>
        <v>13.680880000000002</v>
      </c>
      <c r="I30" s="11">
        <f t="shared" si="3"/>
        <v>14.27192</v>
      </c>
      <c r="J30" s="11">
        <f t="shared" si="3"/>
        <v>14.578920000000002</v>
      </c>
      <c r="K30" s="11">
        <f t="shared" si="3"/>
        <v>15.000749999999998</v>
      </c>
      <c r="L30" s="11">
        <f t="shared" si="3"/>
        <v>14.90048</v>
      </c>
      <c r="M30" s="11">
        <f t="shared" si="3"/>
        <v>14.931839999999999</v>
      </c>
      <c r="N30" s="11">
        <f t="shared" si="3"/>
        <v>15.095880000000001</v>
      </c>
      <c r="O30" s="11">
        <f t="shared" si="3"/>
        <v>15.256319999999999</v>
      </c>
      <c r="P30" s="11">
        <f t="shared" si="3"/>
        <v>18.284590000000005</v>
      </c>
      <c r="Q30" s="11">
        <f t="shared" si="3"/>
        <v>21.368959999999998</v>
      </c>
      <c r="R30" s="11">
        <f t="shared" si="3"/>
        <v>13.092170000000001</v>
      </c>
      <c r="S30" s="11">
        <f t="shared" si="3"/>
        <v>16.940049999999999</v>
      </c>
      <c r="T30" s="11">
        <f t="shared" si="3"/>
        <v>17.654399999999999</v>
      </c>
      <c r="U30" s="11">
        <f t="shared" si="3"/>
        <v>18.477119999999999</v>
      </c>
      <c r="V30" s="11">
        <f t="shared" si="3"/>
        <v>19.405330000000003</v>
      </c>
      <c r="W30" s="11">
        <f t="shared" si="3"/>
        <v>20.197189999999999</v>
      </c>
      <c r="X30" s="11">
        <f t="shared" si="3"/>
        <v>21.093</v>
      </c>
      <c r="Y30" s="11">
        <f t="shared" si="3"/>
        <v>21.855</v>
      </c>
      <c r="Z30" s="11">
        <f t="shared" si="3"/>
        <v>22.719450000000002</v>
      </c>
      <c r="AA30" s="11">
        <f t="shared" si="3"/>
        <v>23.566080000000003</v>
      </c>
      <c r="AB30" s="11">
        <f t="shared" si="3"/>
        <v>23.82432</v>
      </c>
      <c r="AC30" s="11">
        <f t="shared" si="3"/>
        <v>24.076839999999997</v>
      </c>
      <c r="AD30" s="11">
        <f t="shared" si="3"/>
        <v>24.323760000000004</v>
      </c>
      <c r="AE30" s="11">
        <f t="shared" si="3"/>
        <v>24.565199999999997</v>
      </c>
      <c r="AF30" s="11">
        <f t="shared" si="3"/>
        <v>24.799039999999998</v>
      </c>
    </row>
    <row r="31" spans="5:32" x14ac:dyDescent="0.3">
      <c r="F31" t="s">
        <v>337</v>
      </c>
      <c r="G31" s="11">
        <f>G26+G27+G28</f>
        <v>0</v>
      </c>
      <c r="H31" s="11">
        <f t="shared" ref="H31:AF31" si="4">H26+H27+H28</f>
        <v>0</v>
      </c>
      <c r="I31" s="11">
        <f t="shared" si="4"/>
        <v>0</v>
      </c>
      <c r="J31" s="11">
        <f t="shared" si="4"/>
        <v>0</v>
      </c>
      <c r="K31" s="11">
        <f t="shared" si="4"/>
        <v>0</v>
      </c>
      <c r="L31" s="11">
        <f t="shared" si="4"/>
        <v>0</v>
      </c>
      <c r="M31" s="11">
        <f t="shared" si="4"/>
        <v>0</v>
      </c>
      <c r="N31" s="11">
        <f t="shared" si="4"/>
        <v>0</v>
      </c>
      <c r="O31" s="11">
        <f t="shared" si="4"/>
        <v>0</v>
      </c>
      <c r="P31" s="11">
        <f t="shared" si="4"/>
        <v>0</v>
      </c>
      <c r="Q31" s="11">
        <f t="shared" si="4"/>
        <v>0</v>
      </c>
      <c r="R31" s="11">
        <f t="shared" si="4"/>
        <v>0</v>
      </c>
      <c r="S31" s="11">
        <f t="shared" si="4"/>
        <v>0</v>
      </c>
      <c r="T31" s="11">
        <f t="shared" si="4"/>
        <v>0</v>
      </c>
      <c r="U31" s="11">
        <f t="shared" si="4"/>
        <v>0</v>
      </c>
      <c r="V31" s="11">
        <f t="shared" si="4"/>
        <v>0</v>
      </c>
      <c r="W31" s="11">
        <f t="shared" si="4"/>
        <v>0</v>
      </c>
      <c r="X31" s="11">
        <f t="shared" si="4"/>
        <v>0</v>
      </c>
      <c r="Y31" s="11">
        <f t="shared" si="4"/>
        <v>0</v>
      </c>
      <c r="Z31" s="11">
        <f t="shared" si="4"/>
        <v>0</v>
      </c>
      <c r="AA31" s="11">
        <f t="shared" si="4"/>
        <v>0</v>
      </c>
      <c r="AB31" s="11">
        <f t="shared" si="4"/>
        <v>0</v>
      </c>
      <c r="AC31" s="11">
        <f t="shared" si="4"/>
        <v>0</v>
      </c>
      <c r="AD31" s="11">
        <f t="shared" si="4"/>
        <v>0</v>
      </c>
      <c r="AE31" s="11">
        <f t="shared" si="4"/>
        <v>0</v>
      </c>
      <c r="AF31" s="11">
        <f t="shared" si="4"/>
        <v>0</v>
      </c>
    </row>
    <row r="32" spans="5:32" x14ac:dyDescent="0.3">
      <c r="F32" t="s">
        <v>253</v>
      </c>
      <c r="G32" s="11">
        <f>G22+G23+G24+G25+G26+G27+G28</f>
        <v>13.18135</v>
      </c>
      <c r="H32" s="11">
        <f t="shared" ref="H32:AF32" si="5">H22+H23+H24+H25+H26+H27+H28</f>
        <v>13.680880000000002</v>
      </c>
      <c r="I32" s="11">
        <f t="shared" si="5"/>
        <v>14.27192</v>
      </c>
      <c r="J32" s="11">
        <f t="shared" si="5"/>
        <v>14.578920000000002</v>
      </c>
      <c r="K32" s="11">
        <f t="shared" si="5"/>
        <v>15.000749999999998</v>
      </c>
      <c r="L32" s="11">
        <f t="shared" si="5"/>
        <v>14.90048</v>
      </c>
      <c r="M32" s="11">
        <f t="shared" si="5"/>
        <v>14.931839999999999</v>
      </c>
      <c r="N32" s="11">
        <f t="shared" si="5"/>
        <v>15.095880000000001</v>
      </c>
      <c r="O32" s="11">
        <f t="shared" si="5"/>
        <v>15.256319999999999</v>
      </c>
      <c r="P32" s="11">
        <f t="shared" si="5"/>
        <v>18.284590000000005</v>
      </c>
      <c r="Q32" s="11">
        <f t="shared" si="5"/>
        <v>21.368959999999998</v>
      </c>
      <c r="R32" s="11">
        <f t="shared" si="5"/>
        <v>13.092170000000001</v>
      </c>
      <c r="S32" s="11">
        <f t="shared" si="5"/>
        <v>16.940049999999999</v>
      </c>
      <c r="T32" s="11">
        <f t="shared" si="5"/>
        <v>17.654399999999999</v>
      </c>
      <c r="U32" s="11">
        <f t="shared" si="5"/>
        <v>18.477119999999999</v>
      </c>
      <c r="V32" s="11">
        <f t="shared" si="5"/>
        <v>19.405330000000003</v>
      </c>
      <c r="W32" s="11">
        <f t="shared" si="5"/>
        <v>20.197189999999999</v>
      </c>
      <c r="X32" s="11">
        <f t="shared" si="5"/>
        <v>21.093</v>
      </c>
      <c r="Y32" s="11">
        <f t="shared" si="5"/>
        <v>21.855</v>
      </c>
      <c r="Z32" s="11">
        <f t="shared" si="5"/>
        <v>22.719450000000002</v>
      </c>
      <c r="AA32" s="11">
        <f t="shared" si="5"/>
        <v>23.566080000000003</v>
      </c>
      <c r="AB32" s="11">
        <f t="shared" si="5"/>
        <v>23.82432</v>
      </c>
      <c r="AC32" s="11">
        <f t="shared" si="5"/>
        <v>24.076839999999997</v>
      </c>
      <c r="AD32" s="11">
        <f t="shared" si="5"/>
        <v>24.323760000000004</v>
      </c>
      <c r="AE32" s="11">
        <f t="shared" si="5"/>
        <v>24.565199999999997</v>
      </c>
      <c r="AF32" s="11">
        <f t="shared" si="5"/>
        <v>24.799039999999998</v>
      </c>
    </row>
    <row r="34" spans="5:32" x14ac:dyDescent="0.3">
      <c r="E34" s="1" t="s">
        <v>227</v>
      </c>
    </row>
    <row r="36" spans="5:32" x14ac:dyDescent="0.3">
      <c r="E36" s="3" t="s">
        <v>332</v>
      </c>
      <c r="F36" s="3" t="s">
        <v>333</v>
      </c>
      <c r="G36" s="3">
        <v>2010</v>
      </c>
      <c r="H36" s="3">
        <v>2011</v>
      </c>
      <c r="I36" s="3">
        <v>2012</v>
      </c>
      <c r="J36" s="3">
        <v>2013</v>
      </c>
      <c r="K36" s="3">
        <v>2014</v>
      </c>
      <c r="L36" s="3">
        <v>2015</v>
      </c>
      <c r="M36" s="3">
        <v>2016</v>
      </c>
      <c r="N36" s="3">
        <v>2017</v>
      </c>
      <c r="O36" s="3">
        <v>2018</v>
      </c>
      <c r="P36" s="3">
        <v>2019</v>
      </c>
      <c r="Q36" s="3">
        <v>2020</v>
      </c>
      <c r="R36" s="3">
        <v>2021</v>
      </c>
      <c r="S36" s="3">
        <v>2022</v>
      </c>
      <c r="T36" s="3">
        <v>2023</v>
      </c>
      <c r="U36" s="3">
        <v>2024</v>
      </c>
      <c r="V36" s="3">
        <v>2025</v>
      </c>
      <c r="W36" s="3">
        <v>2026</v>
      </c>
      <c r="X36" s="3">
        <v>2027</v>
      </c>
      <c r="Y36" s="3">
        <v>2028</v>
      </c>
      <c r="Z36" s="3">
        <v>2029</v>
      </c>
      <c r="AA36" s="3">
        <v>2030</v>
      </c>
      <c r="AB36" s="3">
        <v>2031</v>
      </c>
      <c r="AC36" s="3">
        <v>2032</v>
      </c>
      <c r="AD36" s="3">
        <v>2033</v>
      </c>
      <c r="AE36" s="3">
        <v>2034</v>
      </c>
      <c r="AF36" s="3">
        <v>2035</v>
      </c>
    </row>
    <row r="37" spans="5:32" x14ac:dyDescent="0.3">
      <c r="E37" s="17" t="s">
        <v>35</v>
      </c>
      <c r="F37" s="17" t="s">
        <v>269</v>
      </c>
      <c r="G37" s="7">
        <f>'Ini_I+C_Compostaje'!C54*1000-'Ini_I+C_CapturaMetano'!C32</f>
        <v>31.870414285714286</v>
      </c>
      <c r="H37" s="7">
        <f>'Ini_I+C_Compostaje'!D54*1000-'Ini_I+C_CapturaMetano'!D32</f>
        <v>36.886828571428573</v>
      </c>
      <c r="I37" s="7">
        <f>'Ini_I+C_Compostaje'!E54*1000-'Ini_I+C_CapturaMetano'!E32</f>
        <v>41.904701428571428</v>
      </c>
      <c r="J37" s="7">
        <f>'Ini_I+C_Compostaje'!F54*1000-'Ini_I+C_CapturaMetano'!F32</f>
        <v>43.920092857142862</v>
      </c>
      <c r="K37" s="7">
        <f>'Ini_I+C_Compostaje'!G54*1000-'Ini_I+C_CapturaMetano'!G32</f>
        <v>45.941090000000003</v>
      </c>
      <c r="L37" s="7">
        <f>'Ini_I+C_Compostaje'!H54*1000-'Ini_I+C_CapturaMetano'!H32</f>
        <v>61.434180357142864</v>
      </c>
      <c r="M37" s="7">
        <f>'Ini_I+C_Compostaje'!I54*1000-'Ini_I+C_CapturaMetano'!I32</f>
        <v>76.932914285714276</v>
      </c>
      <c r="N37" s="7">
        <f>'Ini_I+C_Compostaje'!J54*1000-'Ini_I+C_CapturaMetano'!J32</f>
        <v>86.965515714285701</v>
      </c>
      <c r="O37" s="7">
        <f>'Ini_I+C_Compostaje'!K54*1000-'Ini_I+C_CapturaMetano'!K32</f>
        <v>97.003712142857154</v>
      </c>
      <c r="P37" s="7">
        <f>'Ini_I+C_Compostaje'!L54*1000-'Ini_I+C_CapturaMetano'!L32</f>
        <v>103.50124571428569</v>
      </c>
      <c r="Q37" s="7">
        <f>'Ini_I+C_Compostaje'!M54*1000-'Ini_I+C_CapturaMetano'!M32</f>
        <v>109.99061357142858</v>
      </c>
      <c r="R37" s="7">
        <f>'Ini_I+C_Compostaje'!N54*1000-'Ini_I+C_CapturaMetano'!N32</f>
        <v>117.82439392857142</v>
      </c>
      <c r="S37" s="7">
        <f>'Ini_I+C_Compostaje'!O54*1000-'Ini_I+C_CapturaMetano'!O32</f>
        <v>123.20343428571427</v>
      </c>
      <c r="T37" s="7">
        <f>'Ini_I+C_Compostaje'!P54*1000-'Ini_I+C_CapturaMetano'!P32</f>
        <v>136.68540000000002</v>
      </c>
      <c r="U37" s="7">
        <f>'Ini_I+C_Compostaje'!Q54*1000-'Ini_I+C_CapturaMetano'!Q32</f>
        <v>151.35593</v>
      </c>
      <c r="V37" s="7">
        <f>'Ini_I+C_Compostaje'!R54*1000-'Ini_I+C_CapturaMetano'!R32</f>
        <v>167.23916</v>
      </c>
      <c r="W37" s="7">
        <f>'Ini_I+C_Compostaje'!S54*1000-'Ini_I+C_CapturaMetano'!S32</f>
        <v>183.85505142857141</v>
      </c>
      <c r="X37" s="7">
        <f>'Ini_I+C_Compostaje'!T54*1000-'Ini_I+C_CapturaMetano'!T32</f>
        <v>202.16818285714282</v>
      </c>
      <c r="Y37" s="7">
        <f>'Ini_I+C_Compostaje'!U54*1000-'Ini_I+C_CapturaMetano'!U32</f>
        <v>221.92704428571426</v>
      </c>
      <c r="Z37" s="7">
        <f>'Ini_I+C_Compostaje'!V54*1000-'Ini_I+C_CapturaMetano'!V32</f>
        <v>242.74598204081636</v>
      </c>
      <c r="AA37" s="7">
        <f>'Ini_I+C_Compostaje'!W54*1000-'Ini_I+C_CapturaMetano'!W32</f>
        <v>266.88190551020409</v>
      </c>
      <c r="AB37" s="7">
        <f>'Ini_I+C_Compostaje'!X54*1000-'Ini_I+C_CapturaMetano'!X32</f>
        <v>284.77464040816324</v>
      </c>
      <c r="AC37" s="7">
        <f>'Ini_I+C_Compostaje'!Y54*1000-'Ini_I+C_CapturaMetano'!Y32</f>
        <v>304.02987530612251</v>
      </c>
      <c r="AD37" s="7">
        <f>'Ini_I+C_Compostaje'!Z54*1000-'Ini_I+C_CapturaMetano'!Z32</f>
        <v>324.26957020408167</v>
      </c>
      <c r="AE37" s="7">
        <f>'Ini_I+C_Compostaje'!AA54*1000-'Ini_I+C_CapturaMetano'!AA32</f>
        <v>345.95240510204087</v>
      </c>
      <c r="AF37" s="7">
        <f>'Ini_I+C_Compostaje'!AB54*1000-'Ini_I+C_CapturaMetano'!AB32</f>
        <v>369.11804000000001</v>
      </c>
    </row>
    <row r="38" spans="5:32" x14ac:dyDescent="0.3">
      <c r="E38" s="3" t="s">
        <v>38</v>
      </c>
      <c r="F38" s="3" t="s">
        <v>271</v>
      </c>
      <c r="G38" s="7">
        <f>T_5A2!E58*1000</f>
        <v>28.843520000000002</v>
      </c>
      <c r="H38" s="7">
        <f>T_5A2!F58*1000</f>
        <v>30.080480000000001</v>
      </c>
      <c r="I38" s="7">
        <f>T_5A2!G58*1000</f>
        <v>31.431639999999998</v>
      </c>
      <c r="J38" s="7">
        <f>T_5A2!H58*1000</f>
        <v>36.470879999999994</v>
      </c>
      <c r="K38" s="7">
        <f>T_5A2!I58*1000</f>
        <v>41.530910000000006</v>
      </c>
      <c r="L38" s="7">
        <f>T_5A2!J58*1000</f>
        <v>33.134640000000005</v>
      </c>
      <c r="M38" s="7">
        <f>T_5A2!K58*1000</f>
        <v>24.751510000000003</v>
      </c>
      <c r="N38" s="7">
        <f>T_5A2!L58*1000</f>
        <v>21.286099999999998</v>
      </c>
      <c r="O38" s="7">
        <f>T_5A2!M58*1000</f>
        <v>17.879719999999999</v>
      </c>
      <c r="P38" s="7">
        <f>T_5A2!N58*1000</f>
        <v>18.588459999999998</v>
      </c>
      <c r="Q38" s="7">
        <f>T_5A2!O58*1000</f>
        <v>19.254059999999999</v>
      </c>
      <c r="R38" s="7">
        <f>T_5A2!P58*1000</f>
        <v>16.7027</v>
      </c>
      <c r="S38" s="7">
        <f>T_5A2!Q58*1000</f>
        <v>17.234559999999998</v>
      </c>
      <c r="T38" s="7">
        <f>T_5A2!R58*1000</f>
        <v>19.124300000000002</v>
      </c>
      <c r="U38" s="7">
        <f>T_5A2!S58*1000</f>
        <v>21.179279999999999</v>
      </c>
      <c r="V38" s="7">
        <f>T_5A2!T58*1000</f>
        <v>23.399419999999999</v>
      </c>
      <c r="W38" s="7">
        <f>T_5A2!U58*1000</f>
        <v>25.799199999999999</v>
      </c>
      <c r="X38" s="7">
        <f>T_5A2!V58*1000</f>
        <v>28.43862</v>
      </c>
      <c r="Y38" s="7">
        <f>T_5A2!W58*1000</f>
        <v>31.276830000000004</v>
      </c>
      <c r="Z38" s="7">
        <f>T_5A2!X58*1000</f>
        <v>34.329839999999997</v>
      </c>
      <c r="AA38" s="7">
        <f>T_5A2!Y58*1000</f>
        <v>37.66581</v>
      </c>
      <c r="AB38" s="7">
        <f>T_5A2!Z58*1000</f>
        <v>40.265160000000002</v>
      </c>
      <c r="AC38" s="7">
        <f>T_5A2!AA58*1000</f>
        <v>43.069110000000002</v>
      </c>
      <c r="AD38" s="7">
        <f>T_5A2!AB58*1000</f>
        <v>46.003020000000006</v>
      </c>
      <c r="AE38" s="7">
        <f>T_5A2!AC58*1000</f>
        <v>49.138950000000001</v>
      </c>
      <c r="AF38" s="7">
        <f>T_5A2!AD58*1000</f>
        <v>52.483620000000002</v>
      </c>
    </row>
    <row r="39" spans="5:32" x14ac:dyDescent="0.3">
      <c r="E39" s="17" t="s">
        <v>334</v>
      </c>
      <c r="F39" s="17" t="s">
        <v>267</v>
      </c>
      <c r="G39" s="7">
        <f>'Ini_I+C_Compostaje'!C85*1000</f>
        <v>2.1999999999999999E-2</v>
      </c>
      <c r="H39" s="7">
        <f>'Ini_I+C_Compostaje'!D85*1000</f>
        <v>2.5600000000000001E-2</v>
      </c>
      <c r="I39" s="7">
        <f>'Ini_I+C_Compostaje'!E85*1000</f>
        <v>2.92E-2</v>
      </c>
      <c r="J39" s="7">
        <f>'Ini_I+C_Compostaje'!F85*1000</f>
        <v>8.8800000000000004E-2</v>
      </c>
      <c r="K39" s="7">
        <f>'Ini_I+C_Compostaje'!G85*1000</f>
        <v>0.14879999999999999</v>
      </c>
      <c r="L39" s="7">
        <f>'Ini_I+C_Compostaje'!H85*1000</f>
        <v>0.12880000000000003</v>
      </c>
      <c r="M39" s="7">
        <f>'Ini_I+C_Compostaje'!I85*1000</f>
        <v>0.10880000000000001</v>
      </c>
      <c r="N39" s="7">
        <f>'Ini_I+C_Compostaje'!J85*1000</f>
        <v>0.122</v>
      </c>
      <c r="O39" s="7">
        <f>'Ini_I+C_Compostaje'!K85*1000</f>
        <v>0.13519999999999999</v>
      </c>
      <c r="P39" s="7">
        <f>'Ini_I+C_Compostaje'!L85*1000</f>
        <v>0.14119999999999999</v>
      </c>
      <c r="Q39" s="7">
        <f>'Ini_I+C_Compostaje'!M85*1000</f>
        <v>0.1472</v>
      </c>
      <c r="R39" s="7">
        <f>'Ini_I+C_Compostaje'!N85*1000</f>
        <v>0.154</v>
      </c>
      <c r="S39" s="7">
        <f>'Ini_I+C_Compostaje'!O85*1000</f>
        <v>0.1348</v>
      </c>
      <c r="T39" s="7">
        <f>'Ini_I+C_Compostaje'!P85*1000</f>
        <v>0.1424</v>
      </c>
      <c r="U39" s="7">
        <f>'Ini_I+C_Compostaje'!Q85*1000</f>
        <v>0.15040000000000001</v>
      </c>
      <c r="V39" s="7">
        <f>'Ini_I+C_Compostaje'!R85*1000</f>
        <v>0.15840000000000004</v>
      </c>
      <c r="W39" s="7">
        <f>'Ini_I+C_Compostaje'!S85*1000</f>
        <v>0.17599999999999999</v>
      </c>
      <c r="X39" s="7">
        <f>'Ini_I+C_Compostaje'!T85*1000</f>
        <v>0.19320000000000001</v>
      </c>
      <c r="Y39" s="7">
        <f>'Ini_I+C_Compostaje'!U85*1000</f>
        <v>0.21079999999999999</v>
      </c>
      <c r="Z39" s="7">
        <f>'Ini_I+C_Compostaje'!V85*1000</f>
        <v>0.22839999999999999</v>
      </c>
      <c r="AA39" s="7">
        <f>'Ini_I+C_Compostaje'!W85*1000</f>
        <v>0.24640000000000004</v>
      </c>
      <c r="AB39" s="7">
        <f>'Ini_I+C_Compostaje'!X85*1000</f>
        <v>0.2596</v>
      </c>
      <c r="AC39" s="7">
        <f>'Ini_I+C_Compostaje'!Y85*1000</f>
        <v>0.27240000000000003</v>
      </c>
      <c r="AD39" s="7">
        <f>'Ini_I+C_Compostaje'!Z85*1000</f>
        <v>0.28560000000000002</v>
      </c>
      <c r="AE39" s="7">
        <f>'Ini_I+C_Compostaje'!AA85*1000</f>
        <v>0.2984</v>
      </c>
      <c r="AF39" s="7">
        <f>'Ini_I+C_Compostaje'!AB85*1000</f>
        <v>0.31159999999999999</v>
      </c>
    </row>
    <row r="40" spans="5:32" x14ac:dyDescent="0.3">
      <c r="E40" s="3" t="s">
        <v>335</v>
      </c>
      <c r="F40" s="3" t="s">
        <v>275</v>
      </c>
      <c r="G40" s="7">
        <f>T_Incineracion!C70*1000</f>
        <v>0</v>
      </c>
      <c r="H40" s="7">
        <f>T_Incineracion!D70*1000</f>
        <v>0</v>
      </c>
      <c r="I40" s="7">
        <f>T_Incineracion!E70*1000</f>
        <v>0</v>
      </c>
      <c r="J40" s="7">
        <f>T_Incineracion!F70*1000</f>
        <v>0</v>
      </c>
      <c r="K40" s="7">
        <f>T_Incineracion!G70*1000</f>
        <v>0</v>
      </c>
      <c r="L40" s="7">
        <f>T_Incineracion!H70*1000</f>
        <v>0</v>
      </c>
      <c r="M40" s="7">
        <f>T_Incineracion!I70*1000</f>
        <v>0</v>
      </c>
      <c r="N40" s="7">
        <f>T_Incineracion!J70*1000</f>
        <v>0</v>
      </c>
      <c r="O40" s="7">
        <f>T_Incineracion!K70*1000</f>
        <v>0</v>
      </c>
      <c r="P40" s="7">
        <f>T_Incineracion!L70*1000</f>
        <v>0</v>
      </c>
      <c r="Q40" s="7">
        <f>T_Incineracion!M70*1000</f>
        <v>0</v>
      </c>
      <c r="R40" s="7">
        <f>T_Incineracion!N70*1000</f>
        <v>0</v>
      </c>
      <c r="S40" s="7">
        <f>T_Incineracion!O70*1000</f>
        <v>0</v>
      </c>
      <c r="T40" s="7">
        <f>T_Incineracion!P70*1000</f>
        <v>0</v>
      </c>
      <c r="U40" s="7">
        <f>T_Incineracion!Q70*1000</f>
        <v>0</v>
      </c>
      <c r="V40" s="7">
        <f>T_Incineracion!R70*1000</f>
        <v>0</v>
      </c>
      <c r="W40" s="7">
        <f>T_Incineracion!S70*1000</f>
        <v>0</v>
      </c>
      <c r="X40" s="7">
        <f>T_Incineracion!T70*1000</f>
        <v>0</v>
      </c>
      <c r="Y40" s="7">
        <f>T_Incineracion!U70*1000</f>
        <v>0</v>
      </c>
      <c r="Z40" s="7">
        <f>T_Incineracion!V70*1000</f>
        <v>0</v>
      </c>
      <c r="AA40" s="7">
        <f>T_Incineracion!W70*1000</f>
        <v>0</v>
      </c>
      <c r="AB40" s="7">
        <f>T_Incineracion!X70*1000</f>
        <v>0</v>
      </c>
      <c r="AC40" s="7">
        <f>T_Incineracion!Y70*1000</f>
        <v>0</v>
      </c>
      <c r="AD40" s="7">
        <f>T_Incineracion!Z70*1000</f>
        <v>0</v>
      </c>
      <c r="AE40" s="7">
        <f>T_Incineracion!AA70*1000</f>
        <v>0</v>
      </c>
      <c r="AF40" s="7">
        <f>T_Incineracion!AB70*1000</f>
        <v>0</v>
      </c>
    </row>
    <row r="41" spans="5:32" x14ac:dyDescent="0.3">
      <c r="E41" s="173" t="s">
        <v>41</v>
      </c>
      <c r="F41" s="17" t="s">
        <v>323</v>
      </c>
      <c r="G41" s="7">
        <f>'Ini_I+C_PTAR'!C88*1000</f>
        <v>8.0812049999999989</v>
      </c>
      <c r="H41" s="7">
        <f>'Ini_I+C_PTAR'!D88*1000</f>
        <v>9.2075399999999998</v>
      </c>
      <c r="I41" s="7">
        <f>'Ini_I+C_PTAR'!E88*1000</f>
        <v>10.404685000000001</v>
      </c>
      <c r="J41" s="7">
        <f>'Ini_I+C_PTAR'!F88*1000</f>
        <v>10.514853571428572</v>
      </c>
      <c r="K41" s="7">
        <f>'Ini_I+C_PTAR'!G88*1000</f>
        <v>10.626102857142858</v>
      </c>
      <c r="L41" s="7">
        <f>'Ini_I+C_PTAR'!H88*1000</f>
        <v>10.785519642857144</v>
      </c>
      <c r="M41" s="7">
        <f>'Ini_I+C_PTAR'!I88*1000</f>
        <v>10.944732857142856</v>
      </c>
      <c r="N41" s="7">
        <f>'Ini_I+C_PTAR'!J88*1000</f>
        <v>11.169013571428572</v>
      </c>
      <c r="O41" s="7">
        <f>'Ini_I+C_PTAR'!K88*1000</f>
        <v>11.395094285714285</v>
      </c>
      <c r="P41" s="7">
        <f>'Ini_I+C_PTAR'!L88*1000</f>
        <v>11.201814285714287</v>
      </c>
      <c r="Q41" s="7">
        <f>'Ini_I+C_PTAR'!M88*1000</f>
        <v>11.0085625</v>
      </c>
      <c r="R41" s="7">
        <f>'Ini_I+C_PTAR'!N88*1000</f>
        <v>11.311634285714286</v>
      </c>
      <c r="S41" s="7">
        <f>'Ini_I+C_PTAR'!O88*1000</f>
        <v>11.183407857142857</v>
      </c>
      <c r="T41" s="7">
        <f>'Ini_I+C_PTAR'!P88*1000</f>
        <v>12.292272857142859</v>
      </c>
      <c r="U41" s="7">
        <f>'Ini_I+C_PTAR'!Q88*1000</f>
        <v>13.452148928571429</v>
      </c>
      <c r="V41" s="7">
        <f>'Ini_I+C_PTAR'!R88*1000</f>
        <v>13.639454999999998</v>
      </c>
      <c r="W41" s="7">
        <f>'Ini_I+C_PTAR'!S88*1000</f>
        <v>14.343388231658238</v>
      </c>
      <c r="X41" s="7">
        <f>'Ini_I+C_PTAR'!T88*1000</f>
        <v>16.943431882694679</v>
      </c>
      <c r="Y41" s="7">
        <f>'Ini_I+C_PTAR'!U88*1000</f>
        <v>18.12890176176311</v>
      </c>
      <c r="Z41" s="7">
        <f>'Ini_I+C_PTAR'!V88*1000</f>
        <v>19.351560798987759</v>
      </c>
      <c r="AA41" s="7">
        <f>'Ini_I+C_PTAR'!W88*1000</f>
        <v>20.623146129727786</v>
      </c>
      <c r="AB41" s="7">
        <f>'Ini_I+C_PTAR'!X88*1000</f>
        <v>21.970056556309579</v>
      </c>
      <c r="AC41" s="7">
        <f>'Ini_I+C_PTAR'!Y88*1000</f>
        <v>23.389149356571362</v>
      </c>
      <c r="AD41" s="7">
        <f>'Ini_I+C_PTAR'!Z88*1000</f>
        <v>24.859802302813936</v>
      </c>
      <c r="AE41" s="7">
        <f>'Ini_I+C_PTAR'!AA88*1000</f>
        <v>25.697862476669496</v>
      </c>
      <c r="AF41" s="7">
        <f>'Ini_I+C_PTAR'!AB88*1000</f>
        <v>26.57657894751253</v>
      </c>
    </row>
    <row r="42" spans="5:32" x14ac:dyDescent="0.3">
      <c r="E42" s="141" t="s">
        <v>41</v>
      </c>
      <c r="F42" s="3" t="s">
        <v>325</v>
      </c>
      <c r="G42" s="7">
        <f>T_5D1!F90</f>
        <v>0</v>
      </c>
      <c r="H42" s="7">
        <f>T_5D1!G90</f>
        <v>0</v>
      </c>
      <c r="I42" s="7">
        <f>T_5D1!H90</f>
        <v>0</v>
      </c>
      <c r="J42" s="7">
        <f>T_5D1!I90</f>
        <v>0</v>
      </c>
      <c r="K42" s="7">
        <f>T_5D1!J90</f>
        <v>0</v>
      </c>
      <c r="L42" s="7">
        <f>T_5D1!K90</f>
        <v>0</v>
      </c>
      <c r="M42" s="7">
        <f>T_5D1!L90</f>
        <v>0</v>
      </c>
      <c r="N42" s="7">
        <f>T_5D1!M90</f>
        <v>0</v>
      </c>
      <c r="O42" s="7">
        <f>T_5D1!N90</f>
        <v>0</v>
      </c>
      <c r="P42" s="7">
        <f>T_5D1!O90</f>
        <v>0</v>
      </c>
      <c r="Q42" s="7">
        <f>T_5D1!P90</f>
        <v>0</v>
      </c>
      <c r="R42" s="7">
        <f>T_5D1!Q90</f>
        <v>0</v>
      </c>
      <c r="S42" s="7">
        <f>T_5D1!R90</f>
        <v>0</v>
      </c>
      <c r="T42" s="7">
        <f>T_5D1!S90</f>
        <v>0</v>
      </c>
      <c r="U42" s="7">
        <f>T_5D1!T90</f>
        <v>0</v>
      </c>
      <c r="V42" s="7">
        <f>T_5D1!U90</f>
        <v>0</v>
      </c>
      <c r="W42" s="7">
        <f>T_5D1!V90</f>
        <v>0</v>
      </c>
      <c r="X42" s="7">
        <f>T_5D1!W90</f>
        <v>0</v>
      </c>
      <c r="Y42" s="7">
        <f>T_5D1!X90</f>
        <v>0</v>
      </c>
      <c r="Z42" s="7">
        <f>T_5D1!Y90</f>
        <v>0</v>
      </c>
      <c r="AA42" s="7">
        <f>T_5D1!Z90</f>
        <v>0</v>
      </c>
      <c r="AB42" s="7">
        <f>T_5D1!AA90</f>
        <v>0</v>
      </c>
      <c r="AC42" s="7">
        <f>T_5D1!AB90</f>
        <v>0</v>
      </c>
      <c r="AD42" s="7">
        <f>T_5D1!AC90</f>
        <v>0</v>
      </c>
      <c r="AE42" s="7">
        <f>T_5D1!AD90</f>
        <v>0</v>
      </c>
      <c r="AF42" s="7">
        <f>T_5D1!AE90</f>
        <v>0</v>
      </c>
    </row>
    <row r="43" spans="5:32" x14ac:dyDescent="0.3">
      <c r="E43" s="17" t="s">
        <v>44</v>
      </c>
      <c r="F43" s="17" t="s">
        <v>327</v>
      </c>
      <c r="G43" s="7">
        <f>'Ini_I+C_PTAR_ARI'!C49*1000</f>
        <v>5.4849999999999994</v>
      </c>
      <c r="H43" s="7">
        <f>'Ini_I+C_PTAR_ARI'!D49*1000</f>
        <v>10.639999999999999</v>
      </c>
      <c r="I43" s="7">
        <f>'Ini_I+C_PTAR_ARI'!E49*1000</f>
        <v>15.795</v>
      </c>
      <c r="J43" s="7">
        <f>'Ini_I+C_PTAR_ARI'!F49*1000</f>
        <v>11.2</v>
      </c>
      <c r="K43" s="7">
        <f>'Ini_I+C_PTAR_ARI'!G49*1000</f>
        <v>6.6074999999999999</v>
      </c>
      <c r="L43" s="7">
        <f>'Ini_I+C_PTAR_ARI'!H49*1000</f>
        <v>13.655000000000001</v>
      </c>
      <c r="M43" s="7">
        <f>'Ini_I+C_PTAR_ARI'!I49*1000</f>
        <v>20.702499999999993</v>
      </c>
      <c r="N43" s="7">
        <f>'Ini_I+C_PTAR_ARI'!J49*1000</f>
        <v>21.607499999999998</v>
      </c>
      <c r="O43" s="7">
        <f>'Ini_I+C_PTAR_ARI'!K49*1000</f>
        <v>22.515000000000001</v>
      </c>
      <c r="P43" s="7">
        <f>'Ini_I+C_PTAR_ARI'!L49*1000</f>
        <v>21.51</v>
      </c>
      <c r="Q43" s="7">
        <f>'Ini_I+C_PTAR_ARI'!M49*1000</f>
        <v>20.5075</v>
      </c>
      <c r="R43" s="7">
        <f>'Ini_I+C_PTAR_ARI'!N49*1000</f>
        <v>17.517499999999998</v>
      </c>
      <c r="S43" s="7">
        <f>'Ini_I+C_PTAR_ARI'!O49*1000</f>
        <v>21.26</v>
      </c>
      <c r="T43" s="7">
        <f>'Ini_I+C_PTAR_ARI'!P49*1000</f>
        <v>22.927499999999995</v>
      </c>
      <c r="U43" s="7">
        <f>'Ini_I+C_PTAR_ARI'!Q49*1000</f>
        <v>24.645</v>
      </c>
      <c r="V43" s="7">
        <f>'Ini_I+C_PTAR_ARI'!R49*1000</f>
        <v>24.549999999999997</v>
      </c>
      <c r="W43" s="7">
        <f>'Ini_I+C_PTAR_ARI'!S49*1000</f>
        <v>25.473928571428569</v>
      </c>
      <c r="X43" s="7">
        <f>'Ini_I+C_PTAR_ARI'!T49*1000</f>
        <v>29.877857142857142</v>
      </c>
      <c r="Y43" s="7">
        <f>'Ini_I+C_PTAR_ARI'!U49*1000</f>
        <v>31.709285714285709</v>
      </c>
      <c r="Z43" s="7">
        <f>'Ini_I+C_PTAR_ARI'!V49*1000</f>
        <v>33.538214285714282</v>
      </c>
      <c r="AA43" s="7">
        <f>'Ini_I+C_PTAR_ARI'!W49*1000</f>
        <v>35.369642857142857</v>
      </c>
      <c r="AB43" s="7">
        <f>'Ini_I+C_PTAR_ARI'!X49*1000</f>
        <v>37.248571428571424</v>
      </c>
      <c r="AC43" s="7">
        <f>'Ini_I+C_PTAR_ARI'!Y49*1000</f>
        <v>39.174999999999997</v>
      </c>
      <c r="AD43" s="7">
        <f>'Ini_I+C_PTAR_ARI'!Z49*1000</f>
        <v>41.098928571428573</v>
      </c>
      <c r="AE43" s="7">
        <f>'Ini_I+C_PTAR_ARI'!AA49*1000</f>
        <v>43.072857142857131</v>
      </c>
      <c r="AF43" s="7">
        <f>'Ini_I+C_PTAR_ARI'!AB49*1000</f>
        <v>45.046785714285711</v>
      </c>
    </row>
    <row r="44" spans="5:32" x14ac:dyDescent="0.3"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</row>
    <row r="45" spans="5:32" x14ac:dyDescent="0.3">
      <c r="F45" t="s">
        <v>336</v>
      </c>
      <c r="G45" s="11">
        <f>G37+G38+G39+G40</f>
        <v>60.735934285714286</v>
      </c>
      <c r="H45" s="11">
        <f t="shared" ref="H45:AF45" si="6">H37+H38+H39+H40</f>
        <v>66.992908571428572</v>
      </c>
      <c r="I45" s="11">
        <f t="shared" si="6"/>
        <v>73.365541428571433</v>
      </c>
      <c r="J45" s="11">
        <f t="shared" si="6"/>
        <v>80.479772857142862</v>
      </c>
      <c r="K45" s="11">
        <f t="shared" si="6"/>
        <v>87.620800000000003</v>
      </c>
      <c r="L45" s="11">
        <f t="shared" si="6"/>
        <v>94.697620357142867</v>
      </c>
      <c r="M45" s="11">
        <f t="shared" si="6"/>
        <v>101.79322428571427</v>
      </c>
      <c r="N45" s="11">
        <f t="shared" si="6"/>
        <v>108.37361571428569</v>
      </c>
      <c r="O45" s="11">
        <f t="shared" si="6"/>
        <v>115.01863214285714</v>
      </c>
      <c r="P45" s="11">
        <f t="shared" si="6"/>
        <v>122.23090571428568</v>
      </c>
      <c r="Q45" s="11">
        <f t="shared" si="6"/>
        <v>129.39187357142859</v>
      </c>
      <c r="R45" s="11">
        <f t="shared" si="6"/>
        <v>134.68109392857141</v>
      </c>
      <c r="S45" s="11">
        <f t="shared" si="6"/>
        <v>140.57279428571428</v>
      </c>
      <c r="T45" s="11">
        <f t="shared" si="6"/>
        <v>155.95210000000003</v>
      </c>
      <c r="U45" s="11">
        <f t="shared" si="6"/>
        <v>172.68561</v>
      </c>
      <c r="V45" s="11">
        <f t="shared" si="6"/>
        <v>190.79697999999999</v>
      </c>
      <c r="W45" s="11">
        <f t="shared" si="6"/>
        <v>209.83025142857139</v>
      </c>
      <c r="X45" s="11">
        <f t="shared" si="6"/>
        <v>230.80000285714283</v>
      </c>
      <c r="Y45" s="11">
        <f t="shared" si="6"/>
        <v>253.41467428571428</v>
      </c>
      <c r="Z45" s="11">
        <f t="shared" si="6"/>
        <v>277.3042220408164</v>
      </c>
      <c r="AA45" s="11">
        <f t="shared" si="6"/>
        <v>304.79411551020411</v>
      </c>
      <c r="AB45" s="11">
        <f t="shared" si="6"/>
        <v>325.29940040816319</v>
      </c>
      <c r="AC45" s="11">
        <f t="shared" si="6"/>
        <v>347.37138530612253</v>
      </c>
      <c r="AD45" s="11">
        <f t="shared" si="6"/>
        <v>370.55819020408165</v>
      </c>
      <c r="AE45" s="11">
        <f t="shared" si="6"/>
        <v>395.38975510204091</v>
      </c>
      <c r="AF45" s="11">
        <f t="shared" si="6"/>
        <v>421.91326000000004</v>
      </c>
    </row>
    <row r="46" spans="5:32" x14ac:dyDescent="0.3">
      <c r="F46" t="s">
        <v>337</v>
      </c>
      <c r="G46" s="11">
        <f>G41+G42+G43</f>
        <v>13.566204999999998</v>
      </c>
      <c r="H46" s="11">
        <f t="shared" ref="H46:AF46" si="7">H41+H42+H43</f>
        <v>19.847539999999999</v>
      </c>
      <c r="I46" s="11">
        <f t="shared" si="7"/>
        <v>26.199685000000002</v>
      </c>
      <c r="J46" s="11">
        <f t="shared" si="7"/>
        <v>21.71485357142857</v>
      </c>
      <c r="K46" s="11">
        <f t="shared" si="7"/>
        <v>17.233602857142856</v>
      </c>
      <c r="L46" s="11">
        <f t="shared" si="7"/>
        <v>24.440519642857147</v>
      </c>
      <c r="M46" s="11">
        <f t="shared" si="7"/>
        <v>31.64723285714285</v>
      </c>
      <c r="N46" s="11">
        <f t="shared" si="7"/>
        <v>32.776513571428566</v>
      </c>
      <c r="O46" s="11">
        <f t="shared" si="7"/>
        <v>33.910094285714287</v>
      </c>
      <c r="P46" s="11">
        <f t="shared" si="7"/>
        <v>32.71181428571429</v>
      </c>
      <c r="Q46" s="11">
        <f t="shared" si="7"/>
        <v>31.5160625</v>
      </c>
      <c r="R46" s="11">
        <f t="shared" si="7"/>
        <v>28.829134285714282</v>
      </c>
      <c r="S46" s="11">
        <f t="shared" si="7"/>
        <v>32.443407857142859</v>
      </c>
      <c r="T46" s="11">
        <f t="shared" si="7"/>
        <v>35.219772857142857</v>
      </c>
      <c r="U46" s="11">
        <f t="shared" si="7"/>
        <v>38.097148928571428</v>
      </c>
      <c r="V46" s="11">
        <f t="shared" si="7"/>
        <v>38.189454999999995</v>
      </c>
      <c r="W46" s="11">
        <f t="shared" si="7"/>
        <v>39.817316803086811</v>
      </c>
      <c r="X46" s="11">
        <f t="shared" si="7"/>
        <v>46.82128902555182</v>
      </c>
      <c r="Y46" s="11">
        <f t="shared" si="7"/>
        <v>49.838187476048816</v>
      </c>
      <c r="Z46" s="11">
        <f t="shared" si="7"/>
        <v>52.889775084702038</v>
      </c>
      <c r="AA46" s="11">
        <f t="shared" si="7"/>
        <v>55.992788986870643</v>
      </c>
      <c r="AB46" s="11">
        <f t="shared" si="7"/>
        <v>59.218627984881003</v>
      </c>
      <c r="AC46" s="11">
        <f t="shared" si="7"/>
        <v>62.564149356571363</v>
      </c>
      <c r="AD46" s="11">
        <f t="shared" si="7"/>
        <v>65.958730874242505</v>
      </c>
      <c r="AE46" s="11">
        <f t="shared" si="7"/>
        <v>68.770719619526631</v>
      </c>
      <c r="AF46" s="11">
        <f t="shared" si="7"/>
        <v>71.623364661798234</v>
      </c>
    </row>
    <row r="47" spans="5:32" x14ac:dyDescent="0.3">
      <c r="F47" t="s">
        <v>253</v>
      </c>
      <c r="G47" s="11">
        <f>G37+G38+G39+G40+G41+G42+G43</f>
        <v>74.30213928571429</v>
      </c>
      <c r="H47" s="11">
        <f t="shared" ref="H47:AF47" si="8">H37+H38+H39+H40+H41+H42+H43</f>
        <v>86.840448571428567</v>
      </c>
      <c r="I47" s="11">
        <f t="shared" si="8"/>
        <v>99.565226428571435</v>
      </c>
      <c r="J47" s="11">
        <f t="shared" si="8"/>
        <v>102.19462642857144</v>
      </c>
      <c r="K47" s="11">
        <f t="shared" si="8"/>
        <v>104.85440285714286</v>
      </c>
      <c r="L47" s="11">
        <f t="shared" si="8"/>
        <v>119.13814000000001</v>
      </c>
      <c r="M47" s="11">
        <f t="shared" si="8"/>
        <v>133.44045714285713</v>
      </c>
      <c r="N47" s="11">
        <f t="shared" si="8"/>
        <v>141.15012928571426</v>
      </c>
      <c r="O47" s="11">
        <f t="shared" si="8"/>
        <v>148.92872642857142</v>
      </c>
      <c r="P47" s="11">
        <f t="shared" si="8"/>
        <v>154.94271999999995</v>
      </c>
      <c r="Q47" s="11">
        <f t="shared" si="8"/>
        <v>160.90793607142859</v>
      </c>
      <c r="R47" s="11">
        <f t="shared" si="8"/>
        <v>163.51022821428569</v>
      </c>
      <c r="S47" s="11">
        <f t="shared" si="8"/>
        <v>173.01620214285714</v>
      </c>
      <c r="T47" s="11">
        <f t="shared" si="8"/>
        <v>191.17187285714289</v>
      </c>
      <c r="U47" s="11">
        <f t="shared" si="8"/>
        <v>210.78275892857144</v>
      </c>
      <c r="V47" s="11">
        <f t="shared" si="8"/>
        <v>228.98643499999997</v>
      </c>
      <c r="W47" s="11">
        <f t="shared" si="8"/>
        <v>249.6475682316582</v>
      </c>
      <c r="X47" s="11">
        <f t="shared" si="8"/>
        <v>277.62129188269466</v>
      </c>
      <c r="Y47" s="11">
        <f t="shared" si="8"/>
        <v>303.25286176176314</v>
      </c>
      <c r="Z47" s="11">
        <f t="shared" si="8"/>
        <v>330.19399712551842</v>
      </c>
      <c r="AA47" s="11">
        <f t="shared" si="8"/>
        <v>360.78690449707477</v>
      </c>
      <c r="AB47" s="11">
        <f t="shared" si="8"/>
        <v>384.51802839304423</v>
      </c>
      <c r="AC47" s="11">
        <f t="shared" si="8"/>
        <v>409.9355346626939</v>
      </c>
      <c r="AD47" s="11">
        <f t="shared" si="8"/>
        <v>436.51692107832417</v>
      </c>
      <c r="AE47" s="11">
        <f t="shared" si="8"/>
        <v>464.16047472156754</v>
      </c>
      <c r="AF47" s="11">
        <f t="shared" si="8"/>
        <v>493.53662466179827</v>
      </c>
    </row>
    <row r="49" spans="5:32" x14ac:dyDescent="0.3">
      <c r="E49" s="1" t="s">
        <v>339</v>
      </c>
    </row>
    <row r="51" spans="5:32" x14ac:dyDescent="0.3">
      <c r="E51" s="3" t="s">
        <v>332</v>
      </c>
      <c r="F51" s="3" t="s">
        <v>333</v>
      </c>
      <c r="G51" s="3">
        <v>2010</v>
      </c>
      <c r="H51" s="3">
        <v>2011</v>
      </c>
      <c r="I51" s="3">
        <v>2012</v>
      </c>
      <c r="J51" s="3">
        <v>2013</v>
      </c>
      <c r="K51" s="3">
        <v>2014</v>
      </c>
      <c r="L51" s="3">
        <v>2015</v>
      </c>
      <c r="M51" s="3">
        <v>2016</v>
      </c>
      <c r="N51" s="3">
        <v>2017</v>
      </c>
      <c r="O51" s="3">
        <v>2018</v>
      </c>
      <c r="P51" s="3">
        <v>2019</v>
      </c>
      <c r="Q51" s="3">
        <v>2020</v>
      </c>
      <c r="R51" s="3">
        <v>2021</v>
      </c>
      <c r="S51" s="3">
        <v>2022</v>
      </c>
      <c r="T51" s="3">
        <v>2023</v>
      </c>
      <c r="U51" s="3">
        <v>2024</v>
      </c>
      <c r="V51" s="3">
        <v>2025</v>
      </c>
      <c r="W51" s="3">
        <v>2026</v>
      </c>
      <c r="X51" s="3">
        <v>2027</v>
      </c>
      <c r="Y51" s="3">
        <v>2028</v>
      </c>
      <c r="Z51" s="3">
        <v>2029</v>
      </c>
      <c r="AA51" s="3">
        <v>2030</v>
      </c>
      <c r="AB51" s="3">
        <v>2031</v>
      </c>
      <c r="AC51" s="3">
        <v>2032</v>
      </c>
      <c r="AD51" s="3">
        <v>2033</v>
      </c>
      <c r="AE51" s="3">
        <v>2034</v>
      </c>
      <c r="AF51" s="3">
        <v>2035</v>
      </c>
    </row>
    <row r="52" spans="5:32" x14ac:dyDescent="0.3">
      <c r="E52" s="3" t="s">
        <v>35</v>
      </c>
      <c r="F52" s="3" t="s">
        <v>269</v>
      </c>
      <c r="G52" s="7">
        <f>T_5A1!E62*1000</f>
        <v>0</v>
      </c>
      <c r="H52" s="7">
        <f>T_5A1!F62*1000</f>
        <v>0</v>
      </c>
      <c r="I52" s="7">
        <f>T_5A1!G62*1000</f>
        <v>0</v>
      </c>
      <c r="J52" s="7">
        <f>T_5A1!H62*1000</f>
        <v>0</v>
      </c>
      <c r="K52" s="7">
        <f>T_5A1!I62*1000</f>
        <v>0</v>
      </c>
      <c r="L52" s="7">
        <f>T_5A1!J62*1000</f>
        <v>0</v>
      </c>
      <c r="M52" s="7">
        <f>T_5A1!K62*1000</f>
        <v>0</v>
      </c>
      <c r="N52" s="7">
        <f>T_5A1!L62*1000</f>
        <v>0</v>
      </c>
      <c r="O52" s="7">
        <f>T_5A1!M62*1000</f>
        <v>0</v>
      </c>
      <c r="P52" s="7">
        <f>T_5A1!N62*1000</f>
        <v>0</v>
      </c>
      <c r="Q52" s="7">
        <f>T_5A1!O62*1000</f>
        <v>0</v>
      </c>
      <c r="R52" s="7">
        <f>T_5A1!P62*1000</f>
        <v>0</v>
      </c>
      <c r="S52" s="7">
        <f>T_5A1!Q62*1000</f>
        <v>0</v>
      </c>
      <c r="T52" s="7">
        <f>T_5A1!R62*1000</f>
        <v>0</v>
      </c>
      <c r="U52" s="7">
        <f>T_5A1!S62*1000</f>
        <v>0</v>
      </c>
      <c r="V52" s="7">
        <f>T_5A1!T62*1000</f>
        <v>0</v>
      </c>
      <c r="W52" s="7">
        <f>T_5A1!U62*1000</f>
        <v>0</v>
      </c>
      <c r="X52" s="7">
        <f>T_5A1!V62*1000</f>
        <v>0</v>
      </c>
      <c r="Y52" s="7">
        <f>T_5A1!W62*1000</f>
        <v>0</v>
      </c>
      <c r="Z52" s="7">
        <f>T_5A1!X62*1000</f>
        <v>0</v>
      </c>
      <c r="AA52" s="7">
        <f>T_5A1!Y62*1000</f>
        <v>0</v>
      </c>
      <c r="AB52" s="7">
        <f>T_5A1!Z62*1000</f>
        <v>0</v>
      </c>
      <c r="AC52" s="7">
        <f>T_5A1!AA62*1000</f>
        <v>0</v>
      </c>
      <c r="AD52" s="7">
        <f>T_5A1!AB62*1000</f>
        <v>0</v>
      </c>
      <c r="AE52" s="7">
        <f>T_5A1!AC62*1000</f>
        <v>0</v>
      </c>
      <c r="AF52" s="7">
        <f>T_5A1!AD62*1000</f>
        <v>0</v>
      </c>
    </row>
    <row r="53" spans="5:32" x14ac:dyDescent="0.3">
      <c r="E53" s="3" t="s">
        <v>38</v>
      </c>
      <c r="F53" s="3" t="s">
        <v>271</v>
      </c>
      <c r="G53" s="7">
        <f>T_5A2!E59*1000</f>
        <v>0</v>
      </c>
      <c r="H53" s="7">
        <f>T_5A2!F59*1000</f>
        <v>0</v>
      </c>
      <c r="I53" s="7">
        <f>T_5A2!G59*1000</f>
        <v>0</v>
      </c>
      <c r="J53" s="7">
        <f>T_5A2!H59*1000</f>
        <v>0</v>
      </c>
      <c r="K53" s="7">
        <f>T_5A2!I59*1000</f>
        <v>0</v>
      </c>
      <c r="L53" s="7">
        <f>T_5A2!J59*1000</f>
        <v>0</v>
      </c>
      <c r="M53" s="7">
        <f>T_5A2!K59*1000</f>
        <v>0</v>
      </c>
      <c r="N53" s="7">
        <f>T_5A2!L59*1000</f>
        <v>0</v>
      </c>
      <c r="O53" s="7">
        <f>T_5A2!M59*1000</f>
        <v>0</v>
      </c>
      <c r="P53" s="7">
        <f>T_5A2!N59*1000</f>
        <v>0</v>
      </c>
      <c r="Q53" s="7">
        <f>T_5A2!O59*1000</f>
        <v>0</v>
      </c>
      <c r="R53" s="7">
        <f>T_5A2!P59*1000</f>
        <v>0</v>
      </c>
      <c r="S53" s="7">
        <f>T_5A2!Q59*1000</f>
        <v>0</v>
      </c>
      <c r="T53" s="7">
        <f>T_5A2!R59*1000</f>
        <v>0</v>
      </c>
      <c r="U53" s="7">
        <f>T_5A2!S59*1000</f>
        <v>0</v>
      </c>
      <c r="V53" s="7">
        <f>T_5A2!T59*1000</f>
        <v>0</v>
      </c>
      <c r="W53" s="7">
        <f>T_5A2!U59*1000</f>
        <v>0</v>
      </c>
      <c r="X53" s="7">
        <f>T_5A2!V59*1000</f>
        <v>0</v>
      </c>
      <c r="Y53" s="7">
        <f>T_5A2!W59*1000</f>
        <v>0</v>
      </c>
      <c r="Z53" s="7">
        <f>T_5A2!X59*1000</f>
        <v>0</v>
      </c>
      <c r="AA53" s="7">
        <f>T_5A2!Y59*1000</f>
        <v>0</v>
      </c>
      <c r="AB53" s="7">
        <f>T_5A2!Z59*1000</f>
        <v>0</v>
      </c>
      <c r="AC53" s="7">
        <f>T_5A2!AA59*1000</f>
        <v>0</v>
      </c>
      <c r="AD53" s="7">
        <f>T_5A2!AB59*1000</f>
        <v>0</v>
      </c>
      <c r="AE53" s="7">
        <f>T_5A2!AC59*1000</f>
        <v>0</v>
      </c>
      <c r="AF53" s="7">
        <f>T_5A2!AD59*1000</f>
        <v>0</v>
      </c>
    </row>
    <row r="54" spans="5:32" x14ac:dyDescent="0.3">
      <c r="E54" s="3" t="s">
        <v>334</v>
      </c>
      <c r="F54" s="3" t="s">
        <v>267</v>
      </c>
      <c r="G54" s="7">
        <f>T_Compostaje!G54*1000</f>
        <v>1.6499999999999996E-3</v>
      </c>
      <c r="H54" s="7">
        <f>T_Compostaje!H54*1000</f>
        <v>1.9199999999999998E-3</v>
      </c>
      <c r="I54" s="7">
        <f>T_Compostaje!I54*1000</f>
        <v>2.1899999999999997E-3</v>
      </c>
      <c r="J54" s="7">
        <f>T_Compostaje!J54*1000</f>
        <v>6.6600000000000001E-3</v>
      </c>
      <c r="K54" s="7">
        <f>T_Compostaje!K54*1000</f>
        <v>1.1159999999999998E-2</v>
      </c>
      <c r="L54" s="7">
        <f>T_Compostaje!L54*1000</f>
        <v>9.6599999999999984E-3</v>
      </c>
      <c r="M54" s="7">
        <f>T_Compostaje!M54*1000</f>
        <v>8.1599999999999989E-3</v>
      </c>
      <c r="N54" s="7">
        <f>T_Compostaje!N54*1000</f>
        <v>9.1499999999999984E-3</v>
      </c>
      <c r="O54" s="7">
        <f>T_Compostaje!O54*1000</f>
        <v>1.0139999999999998E-2</v>
      </c>
      <c r="P54" s="7">
        <f>T_Compostaje!P54*1000</f>
        <v>1.0589999999999999E-2</v>
      </c>
      <c r="Q54" s="7">
        <f>T_Compostaje!Q54*1000</f>
        <v>1.1039999999999999E-2</v>
      </c>
      <c r="R54" s="7">
        <f>T_Compostaje!R54*1000</f>
        <v>1.155E-2</v>
      </c>
      <c r="S54" s="7">
        <f>T_Compostaje!S54*1000</f>
        <v>1.0109999999999999E-2</v>
      </c>
      <c r="T54" s="7">
        <f>T_Compostaje!T54*1000</f>
        <v>1.0679999999999999E-2</v>
      </c>
      <c r="U54" s="7">
        <f>T_Compostaje!U54*1000</f>
        <v>1.1279999999999998E-2</v>
      </c>
      <c r="V54" s="7">
        <f>T_Compostaje!V54*1000</f>
        <v>1.188E-2</v>
      </c>
      <c r="W54" s="7">
        <f>T_Compostaje!W54*1000</f>
        <v>1.2509999999999999E-2</v>
      </c>
      <c r="X54" s="7">
        <f>T_Compostaje!X54*1000</f>
        <v>1.311E-2</v>
      </c>
      <c r="Y54" s="7">
        <f>T_Compostaje!Y54*1000</f>
        <v>1.3770000000000001E-2</v>
      </c>
      <c r="Z54" s="7">
        <f>T_Compostaje!Z54*1000</f>
        <v>1.44E-2</v>
      </c>
      <c r="AA54" s="7">
        <f>T_Compostaje!AA54*1000</f>
        <v>1.506E-2</v>
      </c>
      <c r="AB54" s="7">
        <f>T_Compostaje!AB54*1000</f>
        <v>1.5359999999999999E-2</v>
      </c>
      <c r="AC54" s="7">
        <f>T_Compostaje!AC54*1000</f>
        <v>1.5629999999999998E-2</v>
      </c>
      <c r="AD54" s="7">
        <f>T_Compostaje!AD54*1000</f>
        <v>1.593E-2</v>
      </c>
      <c r="AE54" s="7">
        <f>T_Compostaje!AE54*1000</f>
        <v>1.6229999999999998E-2</v>
      </c>
      <c r="AF54" s="7">
        <f>T_Compostaje!AF54*1000</f>
        <v>1.653E-2</v>
      </c>
    </row>
    <row r="55" spans="5:32" x14ac:dyDescent="0.3">
      <c r="E55" s="3" t="s">
        <v>335</v>
      </c>
      <c r="F55" s="3" t="s">
        <v>275</v>
      </c>
      <c r="G55" s="7">
        <f>T_Incineracion!C71*1000</f>
        <v>9.1000000000000011E-4</v>
      </c>
      <c r="H55" s="7">
        <f>T_Incineracion!D71*1000</f>
        <v>9.7000000000000005E-4</v>
      </c>
      <c r="I55" s="7">
        <f>T_Incineracion!E71*1000</f>
        <v>1.0399999999999999E-3</v>
      </c>
      <c r="J55" s="7">
        <f>T_Incineracion!F71*1000</f>
        <v>1.08E-3</v>
      </c>
      <c r="K55" s="7">
        <f>T_Incineracion!G71*1000</f>
        <v>1.1299999999999999E-3</v>
      </c>
      <c r="L55" s="7">
        <f>T_Incineracion!H71*1000</f>
        <v>1.1200000000000001E-3</v>
      </c>
      <c r="M55" s="7">
        <f>T_Incineracion!I71*1000</f>
        <v>1.1200000000000001E-3</v>
      </c>
      <c r="N55" s="7">
        <f>T_Incineracion!J71*1000</f>
        <v>1.1400000000000002E-3</v>
      </c>
      <c r="O55" s="7">
        <f>T_Incineracion!K71*1000</f>
        <v>1.16E-3</v>
      </c>
      <c r="P55" s="7">
        <f>T_Incineracion!L71*1000</f>
        <v>1.5100000000000001E-3</v>
      </c>
      <c r="Q55" s="7">
        <f>T_Incineracion!M71*1000</f>
        <v>1.9300000000000001E-3</v>
      </c>
      <c r="R55" s="7">
        <f>T_Incineracion!N71*1000</f>
        <v>9.1000000000000011E-4</v>
      </c>
      <c r="S55" s="7">
        <f>T_Incineracion!O71*1000</f>
        <v>1.3699999999999999E-3</v>
      </c>
      <c r="T55" s="7">
        <f>T_Incineracion!P71*1000</f>
        <v>1.4399999999999999E-3</v>
      </c>
      <c r="U55" s="7">
        <f>T_Incineracion!Q71*1000</f>
        <v>1.5200000000000001E-3</v>
      </c>
      <c r="V55" s="7">
        <f>T_Incineracion!R71*1000</f>
        <v>1.6100000000000001E-3</v>
      </c>
      <c r="W55" s="7">
        <f>T_Incineracion!S71*1000</f>
        <v>1.6899999999999999E-3</v>
      </c>
      <c r="X55" s="7">
        <f>T_Incineracion!T71*1000</f>
        <v>1.7800000000000001E-3</v>
      </c>
      <c r="Y55" s="7">
        <f>T_Incineracion!U71*1000</f>
        <v>1.8599999999999999E-3</v>
      </c>
      <c r="Z55" s="7">
        <f>T_Incineracion!V71*1000</f>
        <v>1.9499999999999999E-3</v>
      </c>
      <c r="AA55" s="7">
        <f>T_Incineracion!W71*1000</f>
        <v>2.0400000000000006E-3</v>
      </c>
      <c r="AB55" s="7">
        <f>T_Incineracion!X71*1000</f>
        <v>2.0799999999999998E-3</v>
      </c>
      <c r="AC55" s="7">
        <f>T_Incineracion!Y71*1000</f>
        <v>2.1199999999999999E-3</v>
      </c>
      <c r="AD55" s="7">
        <f>T_Incineracion!Z71*1000</f>
        <v>2.16E-3</v>
      </c>
      <c r="AE55" s="7">
        <f>T_Incineracion!AA71*1000</f>
        <v>2.2000000000000001E-3</v>
      </c>
      <c r="AF55" s="7">
        <f>T_Incineracion!AB71*1000</f>
        <v>2.2400000000000002E-3</v>
      </c>
    </row>
    <row r="56" spans="5:32" x14ac:dyDescent="0.3">
      <c r="E56" s="141" t="s">
        <v>41</v>
      </c>
      <c r="F56" s="3" t="s">
        <v>323</v>
      </c>
      <c r="G56" s="7">
        <f>T_5D1!F78*1000</f>
        <v>0</v>
      </c>
      <c r="H56" s="7">
        <f>T_5D1!G78*1000</f>
        <v>0</v>
      </c>
      <c r="I56" s="7">
        <f>T_5D1!H78*1000</f>
        <v>0</v>
      </c>
      <c r="J56" s="7">
        <f>T_5D1!I78*1000</f>
        <v>0</v>
      </c>
      <c r="K56" s="7">
        <f>T_5D1!J78*1000</f>
        <v>0</v>
      </c>
      <c r="L56" s="7">
        <f>T_5D1!K78*1000</f>
        <v>0</v>
      </c>
      <c r="M56" s="7">
        <f>T_5D1!L78*1000</f>
        <v>0</v>
      </c>
      <c r="N56" s="7">
        <f>T_5D1!M78*1000</f>
        <v>0</v>
      </c>
      <c r="O56" s="7">
        <f>T_5D1!N78*1000</f>
        <v>0</v>
      </c>
      <c r="P56" s="7">
        <f>T_5D1!O78*1000</f>
        <v>0</v>
      </c>
      <c r="Q56" s="7">
        <f>T_5D1!P78*1000</f>
        <v>0</v>
      </c>
      <c r="R56" s="7">
        <f>T_5D1!Q78*1000</f>
        <v>0</v>
      </c>
      <c r="S56" s="7">
        <f>T_5D1!R78*1000</f>
        <v>0</v>
      </c>
      <c r="T56" s="7">
        <f>T_5D1!S78*1000</f>
        <v>0</v>
      </c>
      <c r="U56" s="7">
        <f>T_5D1!T78*1000</f>
        <v>0</v>
      </c>
      <c r="V56" s="7">
        <f>T_5D1!U78*1000</f>
        <v>0</v>
      </c>
      <c r="W56" s="7">
        <f>T_5D1!V78*1000</f>
        <v>0</v>
      </c>
      <c r="X56" s="7">
        <f>T_5D1!W78*1000</f>
        <v>0</v>
      </c>
      <c r="Y56" s="7">
        <f>T_5D1!X78*1000</f>
        <v>0</v>
      </c>
      <c r="Z56" s="7">
        <f>T_5D1!Y78*1000</f>
        <v>0</v>
      </c>
      <c r="AA56" s="7">
        <f>T_5D1!Z78*1000</f>
        <v>0</v>
      </c>
      <c r="AB56" s="7">
        <f>T_5D1!AA78*1000</f>
        <v>0</v>
      </c>
      <c r="AC56" s="7">
        <f>T_5D1!AB78*1000</f>
        <v>0</v>
      </c>
      <c r="AD56" s="7">
        <f>T_5D1!AC78*1000</f>
        <v>0</v>
      </c>
      <c r="AE56" s="7">
        <f>T_5D1!AD78*1000</f>
        <v>0</v>
      </c>
      <c r="AF56" s="7">
        <f>T_5D1!AE78*1000</f>
        <v>0</v>
      </c>
    </row>
    <row r="57" spans="5:32" x14ac:dyDescent="0.3">
      <c r="E57" s="173" t="s">
        <v>41</v>
      </c>
      <c r="F57" s="17" t="s">
        <v>325</v>
      </c>
      <c r="G57" s="7">
        <f>'Ini_I+C_PTAR'!C102*1000</f>
        <v>0.67570037735849053</v>
      </c>
      <c r="H57" s="7">
        <f>'Ini_I+C_PTAR'!D102*1000</f>
        <v>0.68670015094339631</v>
      </c>
      <c r="I57" s="7">
        <f>'Ini_I+C_PTAR'!E102*1000</f>
        <v>0.69141433962264154</v>
      </c>
      <c r="J57" s="7">
        <f>'Ini_I+C_PTAR'!F102*1000</f>
        <v>0.70398550943396221</v>
      </c>
      <c r="K57" s="7">
        <f>'Ini_I+C_PTAR'!G102*1000</f>
        <v>0.71655667924528299</v>
      </c>
      <c r="L57" s="7">
        <f>'Ini_I+C_PTAR'!H102*1000</f>
        <v>0.70948539622641515</v>
      </c>
      <c r="M57" s="7">
        <f>'Ini_I+C_PTAR'!I102*1000</f>
        <v>0.7024141132075471</v>
      </c>
      <c r="N57" s="7">
        <f>'Ini_I+C_PTAR'!J102*1000</f>
        <v>0.70398550943396221</v>
      </c>
      <c r="O57" s="7">
        <f>'Ini_I+C_PTAR'!K102*1000</f>
        <v>0.70477120754716982</v>
      </c>
      <c r="P57" s="7">
        <f>'Ini_I+C_PTAR'!L102*1000</f>
        <v>0.73541343396226422</v>
      </c>
      <c r="Q57" s="7">
        <f>'Ini_I+C_PTAR'!M102*1000</f>
        <v>0.76684135849056612</v>
      </c>
      <c r="R57" s="7">
        <f>'Ini_I+C_PTAR'!N102*1000</f>
        <v>0.76212716981132089</v>
      </c>
      <c r="S57" s="7">
        <f>'Ini_I+C_PTAR'!O102*1000</f>
        <v>0.72677075471698116</v>
      </c>
      <c r="T57" s="7">
        <f>'Ini_I+C_PTAR'!P102*1000</f>
        <v>0.78842000000000012</v>
      </c>
      <c r="U57" s="7">
        <f>'Ini_I+C_PTAR'!Q102*1000</f>
        <v>0.84688000000000008</v>
      </c>
      <c r="V57" s="7">
        <f>'Ini_I+C_PTAR'!R102*1000</f>
        <v>0.84372000000000003</v>
      </c>
      <c r="W57" s="7">
        <f>'Ini_I+C_PTAR'!S102*1000</f>
        <v>0.87180128118328037</v>
      </c>
      <c r="X57" s="7">
        <f>'Ini_I+C_PTAR'!T102*1000</f>
        <v>1.0107865683693675</v>
      </c>
      <c r="Y57" s="7">
        <f>'Ini_I+C_PTAR'!U102*1000</f>
        <v>1.0623693107067909</v>
      </c>
      <c r="Z57" s="7">
        <f>'Ini_I+C_PTAR'!V102*1000</f>
        <v>1.1142329721824256</v>
      </c>
      <c r="AA57" s="7">
        <f>'Ini_I+C_PTAR'!W102*1000</f>
        <v>1.1663885724564353</v>
      </c>
      <c r="AB57" s="7">
        <f>'Ini_I+C_PTAR'!X102*1000</f>
        <v>1.2204121248679181</v>
      </c>
      <c r="AC57" s="7">
        <f>'Ini_I+C_PTAR'!Y102*1000</f>
        <v>1.2762900679849125</v>
      </c>
      <c r="AD57" s="7">
        <f>'Ini_I+C_PTAR'!Z102*1000</f>
        <v>1.3324513164322382</v>
      </c>
      <c r="AE57" s="7">
        <f>'Ini_I+C_PTAR'!AA102*1000</f>
        <v>1.3528265181883812</v>
      </c>
      <c r="AF57" s="7">
        <f>'Ini_I+C_PTAR'!AB102*1000</f>
        <v>1.3743592055458458</v>
      </c>
    </row>
    <row r="58" spans="5:32" x14ac:dyDescent="0.3">
      <c r="E58" s="3" t="s">
        <v>44</v>
      </c>
      <c r="F58" s="3" t="s">
        <v>327</v>
      </c>
      <c r="G58" s="7">
        <f>T_5D2!F54*1000</f>
        <v>0</v>
      </c>
      <c r="H58" s="7">
        <f>T_5D2!G54*1000</f>
        <v>0</v>
      </c>
      <c r="I58" s="7">
        <f>T_5D2!H54*1000</f>
        <v>0</v>
      </c>
      <c r="J58" s="7">
        <f>T_5D2!I54*1000</f>
        <v>0</v>
      </c>
      <c r="K58" s="7">
        <f>T_5D2!J54*1000</f>
        <v>0</v>
      </c>
      <c r="L58" s="7">
        <f>T_5D2!K54*1000</f>
        <v>0</v>
      </c>
      <c r="M58" s="7">
        <f>T_5D2!L54*1000</f>
        <v>0</v>
      </c>
      <c r="N58" s="7">
        <f>T_5D2!M54*1000</f>
        <v>0</v>
      </c>
      <c r="O58" s="7">
        <f>T_5D2!N54*1000</f>
        <v>0</v>
      </c>
      <c r="P58" s="7">
        <f>T_5D2!O54*1000</f>
        <v>0</v>
      </c>
      <c r="Q58" s="7">
        <f>T_5D2!P54*1000</f>
        <v>0</v>
      </c>
      <c r="R58" s="7">
        <f>T_5D2!Q54*1000</f>
        <v>0</v>
      </c>
      <c r="S58" s="7">
        <f>T_5D2!R54*1000</f>
        <v>0</v>
      </c>
      <c r="T58" s="7">
        <f>T_5D2!S54*1000</f>
        <v>0</v>
      </c>
      <c r="U58" s="7">
        <f>T_5D2!T54*1000</f>
        <v>0</v>
      </c>
      <c r="V58" s="7">
        <f>T_5D2!U54*1000</f>
        <v>0</v>
      </c>
      <c r="W58" s="7">
        <f>T_5D2!V54*1000</f>
        <v>0</v>
      </c>
      <c r="X58" s="7">
        <f>T_5D2!W54*1000</f>
        <v>0</v>
      </c>
      <c r="Y58" s="7">
        <f>T_5D2!X54*1000</f>
        <v>0</v>
      </c>
      <c r="Z58" s="7">
        <f>T_5D2!Y54*1000</f>
        <v>0</v>
      </c>
      <c r="AA58" s="7">
        <f>T_5D2!Z54*1000</f>
        <v>0</v>
      </c>
      <c r="AB58" s="7">
        <f>T_5D2!AA54*1000</f>
        <v>0</v>
      </c>
      <c r="AC58" s="7">
        <f>T_5D2!AB54*1000</f>
        <v>0</v>
      </c>
      <c r="AD58" s="7">
        <f>T_5D2!AC54*1000</f>
        <v>0</v>
      </c>
      <c r="AE58" s="7">
        <f>T_5D2!AD54*1000</f>
        <v>0</v>
      </c>
      <c r="AF58" s="7">
        <f>T_5D2!AE54*1000</f>
        <v>0</v>
      </c>
    </row>
    <row r="59" spans="5:32" x14ac:dyDescent="0.3"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</row>
    <row r="60" spans="5:32" x14ac:dyDescent="0.3">
      <c r="F60" t="s">
        <v>336</v>
      </c>
      <c r="G60" s="11">
        <f>G52+G53+G54+G55</f>
        <v>2.5599999999999998E-3</v>
      </c>
      <c r="H60" s="11">
        <f t="shared" ref="H60:AF60" si="9">H52+H53+H54+H55</f>
        <v>2.8899999999999998E-3</v>
      </c>
      <c r="I60" s="11">
        <f t="shared" si="9"/>
        <v>3.2299999999999994E-3</v>
      </c>
      <c r="J60" s="11">
        <f t="shared" si="9"/>
        <v>7.7400000000000004E-3</v>
      </c>
      <c r="K60" s="11">
        <f t="shared" si="9"/>
        <v>1.2289999999999999E-2</v>
      </c>
      <c r="L60" s="11">
        <f t="shared" si="9"/>
        <v>1.0779999999999998E-2</v>
      </c>
      <c r="M60" s="11">
        <f t="shared" si="9"/>
        <v>9.2799999999999983E-3</v>
      </c>
      <c r="N60" s="11">
        <f t="shared" si="9"/>
        <v>1.0289999999999999E-2</v>
      </c>
      <c r="O60" s="11">
        <f t="shared" si="9"/>
        <v>1.1299999999999998E-2</v>
      </c>
      <c r="P60" s="11">
        <f t="shared" si="9"/>
        <v>1.21E-2</v>
      </c>
      <c r="Q60" s="11">
        <f t="shared" si="9"/>
        <v>1.2969999999999999E-2</v>
      </c>
      <c r="R60" s="11">
        <f t="shared" si="9"/>
        <v>1.2459999999999999E-2</v>
      </c>
      <c r="S60" s="11">
        <f t="shared" si="9"/>
        <v>1.1479999999999999E-2</v>
      </c>
      <c r="T60" s="11">
        <f t="shared" si="9"/>
        <v>1.2119999999999999E-2</v>
      </c>
      <c r="U60" s="11">
        <f t="shared" si="9"/>
        <v>1.2799999999999999E-2</v>
      </c>
      <c r="V60" s="11">
        <f t="shared" si="9"/>
        <v>1.349E-2</v>
      </c>
      <c r="W60" s="11">
        <f t="shared" si="9"/>
        <v>1.4199999999999999E-2</v>
      </c>
      <c r="X60" s="11">
        <f t="shared" si="9"/>
        <v>1.489E-2</v>
      </c>
      <c r="Y60" s="11">
        <f t="shared" si="9"/>
        <v>1.5630000000000002E-2</v>
      </c>
      <c r="Z60" s="11">
        <f t="shared" si="9"/>
        <v>1.635E-2</v>
      </c>
      <c r="AA60" s="11">
        <f t="shared" si="9"/>
        <v>1.7100000000000001E-2</v>
      </c>
      <c r="AB60" s="11">
        <f t="shared" si="9"/>
        <v>1.7439999999999997E-2</v>
      </c>
      <c r="AC60" s="11">
        <f t="shared" si="9"/>
        <v>1.7749999999999998E-2</v>
      </c>
      <c r="AD60" s="11">
        <f t="shared" si="9"/>
        <v>1.8089999999999998E-2</v>
      </c>
      <c r="AE60" s="11">
        <f t="shared" si="9"/>
        <v>1.8429999999999998E-2</v>
      </c>
      <c r="AF60" s="11">
        <f t="shared" si="9"/>
        <v>1.8769999999999998E-2</v>
      </c>
    </row>
    <row r="61" spans="5:32" x14ac:dyDescent="0.3">
      <c r="F61" t="s">
        <v>337</v>
      </c>
      <c r="G61" s="11">
        <f>G56+G57+G58</f>
        <v>0.67570037735849053</v>
      </c>
      <c r="H61" s="11">
        <f t="shared" ref="H61:AF61" si="10">H56+H57+H58</f>
        <v>0.68670015094339631</v>
      </c>
      <c r="I61" s="11">
        <f t="shared" si="10"/>
        <v>0.69141433962264154</v>
      </c>
      <c r="J61" s="11">
        <f t="shared" si="10"/>
        <v>0.70398550943396221</v>
      </c>
      <c r="K61" s="11">
        <f t="shared" si="10"/>
        <v>0.71655667924528299</v>
      </c>
      <c r="L61" s="11">
        <f t="shared" si="10"/>
        <v>0.70948539622641515</v>
      </c>
      <c r="M61" s="11">
        <f t="shared" si="10"/>
        <v>0.7024141132075471</v>
      </c>
      <c r="N61" s="11">
        <f t="shared" si="10"/>
        <v>0.70398550943396221</v>
      </c>
      <c r="O61" s="11">
        <f t="shared" si="10"/>
        <v>0.70477120754716982</v>
      </c>
      <c r="P61" s="11">
        <f t="shared" si="10"/>
        <v>0.73541343396226422</v>
      </c>
      <c r="Q61" s="11">
        <f t="shared" si="10"/>
        <v>0.76684135849056612</v>
      </c>
      <c r="R61" s="11">
        <f t="shared" si="10"/>
        <v>0.76212716981132089</v>
      </c>
      <c r="S61" s="11">
        <f t="shared" si="10"/>
        <v>0.72677075471698116</v>
      </c>
      <c r="T61" s="11">
        <f t="shared" si="10"/>
        <v>0.78842000000000012</v>
      </c>
      <c r="U61" s="11">
        <f t="shared" si="10"/>
        <v>0.84688000000000008</v>
      </c>
      <c r="V61" s="11">
        <f t="shared" si="10"/>
        <v>0.84372000000000003</v>
      </c>
      <c r="W61" s="11">
        <f t="shared" si="10"/>
        <v>0.87180128118328037</v>
      </c>
      <c r="X61" s="11">
        <f t="shared" si="10"/>
        <v>1.0107865683693675</v>
      </c>
      <c r="Y61" s="11">
        <f t="shared" si="10"/>
        <v>1.0623693107067909</v>
      </c>
      <c r="Z61" s="11">
        <f t="shared" si="10"/>
        <v>1.1142329721824256</v>
      </c>
      <c r="AA61" s="11">
        <f t="shared" si="10"/>
        <v>1.1663885724564353</v>
      </c>
      <c r="AB61" s="11">
        <f t="shared" si="10"/>
        <v>1.2204121248679181</v>
      </c>
      <c r="AC61" s="11">
        <f t="shared" si="10"/>
        <v>1.2762900679849125</v>
      </c>
      <c r="AD61" s="11">
        <f t="shared" si="10"/>
        <v>1.3324513164322382</v>
      </c>
      <c r="AE61" s="11">
        <f t="shared" si="10"/>
        <v>1.3528265181883812</v>
      </c>
      <c r="AF61" s="11">
        <f t="shared" si="10"/>
        <v>1.3743592055458458</v>
      </c>
    </row>
    <row r="62" spans="5:32" x14ac:dyDescent="0.3">
      <c r="F62" t="s">
        <v>253</v>
      </c>
      <c r="G62" s="11">
        <f>G52+G53+G54+G55+G56+G57+G58</f>
        <v>0.67826037735849054</v>
      </c>
      <c r="H62" s="11">
        <f t="shared" ref="H62:AF62" si="11">H52+H53+H54+H55+H56+H57+H58</f>
        <v>0.68959015094339626</v>
      </c>
      <c r="I62" s="11">
        <f t="shared" si="11"/>
        <v>0.69464433962264149</v>
      </c>
      <c r="J62" s="11">
        <f t="shared" si="11"/>
        <v>0.71172550943396218</v>
      </c>
      <c r="K62" s="11">
        <f t="shared" si="11"/>
        <v>0.72884667924528301</v>
      </c>
      <c r="L62" s="11">
        <f t="shared" si="11"/>
        <v>0.72026539622641517</v>
      </c>
      <c r="M62" s="11">
        <f t="shared" si="11"/>
        <v>0.71169411320754705</v>
      </c>
      <c r="N62" s="11">
        <f t="shared" si="11"/>
        <v>0.71427550943396223</v>
      </c>
      <c r="O62" s="11">
        <f t="shared" si="11"/>
        <v>0.7160712075471698</v>
      </c>
      <c r="P62" s="11">
        <f t="shared" si="11"/>
        <v>0.74751343396226422</v>
      </c>
      <c r="Q62" s="11">
        <f t="shared" si="11"/>
        <v>0.77981135849056615</v>
      </c>
      <c r="R62" s="11">
        <f t="shared" si="11"/>
        <v>0.77458716981132092</v>
      </c>
      <c r="S62" s="11">
        <f t="shared" si="11"/>
        <v>0.73825075471698121</v>
      </c>
      <c r="T62" s="11">
        <f t="shared" si="11"/>
        <v>0.80054000000000014</v>
      </c>
      <c r="U62" s="11">
        <f t="shared" si="11"/>
        <v>0.85968000000000011</v>
      </c>
      <c r="V62" s="11">
        <f t="shared" si="11"/>
        <v>0.85721000000000003</v>
      </c>
      <c r="W62" s="11">
        <f t="shared" si="11"/>
        <v>0.88600128118328036</v>
      </c>
      <c r="X62" s="11">
        <f t="shared" si="11"/>
        <v>1.0256765683693676</v>
      </c>
      <c r="Y62" s="11">
        <f t="shared" si="11"/>
        <v>1.0779993107067909</v>
      </c>
      <c r="Z62" s="11">
        <f t="shared" si="11"/>
        <v>1.1305829721824256</v>
      </c>
      <c r="AA62" s="11">
        <f t="shared" si="11"/>
        <v>1.1834885724564352</v>
      </c>
      <c r="AB62" s="11">
        <f t="shared" si="11"/>
        <v>1.237852124867918</v>
      </c>
      <c r="AC62" s="11">
        <f t="shared" si="11"/>
        <v>1.2940400679849124</v>
      </c>
      <c r="AD62" s="11">
        <f t="shared" si="11"/>
        <v>1.3505413164322382</v>
      </c>
      <c r="AE62" s="11">
        <f t="shared" si="11"/>
        <v>1.3712565181883811</v>
      </c>
      <c r="AF62" s="11">
        <f t="shared" si="11"/>
        <v>1.3931292055458457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79DFD9-D51E-4D22-A85D-1C2E60D61A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426EB4-AEF4-443A-8CF4-E59F61599E5C}">
  <ds:schemaRefs>
    <ds:schemaRef ds:uri="http://schemas.microsoft.com/office/2006/metadata/properties"/>
    <ds:schemaRef ds:uri="http://schemas.microsoft.com/office/infopath/2007/PartnerControls"/>
    <ds:schemaRef ds:uri="20fbab50-0c90-4fcd-9aec-c69fdbaf44e3"/>
    <ds:schemaRef ds:uri="ed575f5b-fa7e-445b-bbbb-e92fdf4cc5d5"/>
  </ds:schemaRefs>
</ds:datastoreItem>
</file>

<file path=customXml/itemProps3.xml><?xml version="1.0" encoding="utf-8"?>
<ds:datastoreItem xmlns:ds="http://schemas.openxmlformats.org/officeDocument/2006/customXml" ds:itemID="{CB722129-C53D-4429-AFDE-BC20489C63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Indice</vt:lpstr>
      <vt:lpstr>Metas</vt:lpstr>
      <vt:lpstr>Gases</vt:lpstr>
      <vt:lpstr>T_INGEI_5CN</vt:lpstr>
      <vt:lpstr>T_5A1</vt:lpstr>
      <vt:lpstr>T_5A2</vt:lpstr>
      <vt:lpstr>T_Compostaje</vt:lpstr>
      <vt:lpstr>T_Incineracion</vt:lpstr>
      <vt:lpstr>T_5D1</vt:lpstr>
      <vt:lpstr>T_5D2</vt:lpstr>
      <vt:lpstr>Ini_I+C_CapturaMetano</vt:lpstr>
      <vt:lpstr>Ini_I+C_Reduccion</vt:lpstr>
      <vt:lpstr>Ini_I_Compostaje</vt:lpstr>
      <vt:lpstr>Ini_I+C_Compostaje</vt:lpstr>
      <vt:lpstr>Ini_I_PTAR</vt:lpstr>
      <vt:lpstr>Ini_I+C_PTAR</vt:lpstr>
      <vt:lpstr>Ini_I+C_PTAR_ARI</vt:lpstr>
      <vt:lpstr>Act_T_Solidos</vt:lpstr>
      <vt:lpstr>Act_T_Poblacion_PPC</vt:lpstr>
      <vt:lpstr>Act_I_Solidos</vt:lpstr>
      <vt:lpstr>Act_I+C_Solidos</vt:lpstr>
      <vt:lpstr>Act_T_Aguas</vt:lpstr>
      <vt:lpstr>Act_I_Aguas</vt:lpstr>
      <vt:lpstr>Act_I+C_Aguas</vt:lpstr>
      <vt:lpstr>Ajuste_T_Iniciativas1eraNDC_5CN</vt:lpstr>
      <vt:lpstr>Emi_T_ajustado</vt:lpstr>
      <vt:lpstr>Emi_I</vt:lpstr>
      <vt:lpstr>Emi_I+C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Ignacio  Alfaro Corrales</dc:creator>
  <cp:keywords/>
  <dc:description/>
  <cp:lastModifiedBy>Ignacio  Alfaro Corrales</cp:lastModifiedBy>
  <cp:revision/>
  <dcterms:created xsi:type="dcterms:W3CDTF">2015-06-05T18:17:20Z</dcterms:created>
  <dcterms:modified xsi:type="dcterms:W3CDTF">2025-02-20T20:48:29Z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  <property fmtid="{D5CDD505-2E9C-101B-9397-08002B2CF9AE}" pid="3" name="MediaServiceImageTags">
    <vt:lpwstr/>
  </property>
</Properties>
</file>