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yos-e\ECU_NDC\Data\"/>
    </mc:Choice>
  </mc:AlternateContent>
  <xr:revisionPtr revIDLastSave="0" documentId="13_ncr:1_{E11773A7-5508-414D-9551-3C493BB71E82}" xr6:coauthVersionLast="47" xr6:coauthVersionMax="47" xr10:uidLastSave="{00000000-0000-0000-0000-000000000000}"/>
  <bookViews>
    <workbookView xWindow="-108" yWindow="-108" windowWidth="23256" windowHeight="12456" firstSheet="3" activeTab="6" xr2:uid="{BD0CFADF-1C3D-43BA-A9CB-311DAA41743A}"/>
  </bookViews>
  <sheets>
    <sheet name="CONTENIDO" sheetId="18" r:id="rId1"/>
    <sheet name="COBERTURA_BOSQUE" sheetId="6" r:id="rId2"/>
    <sheet name="COBERTURA_HACIA_TF" sheetId="3" r:id="rId3"/>
    <sheet name="COBERTURA_CAMBIOS_TF" sheetId="15" r:id="rId4"/>
    <sheet name="MEDIDAS_INCOND" sheetId="16" r:id="rId5"/>
    <sheet name="MEDIDAS_COND" sheetId="17" r:id="rId6"/>
    <sheet name="FACTORES_EMISION" sheetId="1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 i="6" l="1"/>
  <c r="H26" i="6"/>
  <c r="F26" i="6"/>
  <c r="D26" i="6"/>
  <c r="F24" i="6" l="1"/>
  <c r="P3" i="3" l="1"/>
  <c r="Q3" i="3" s="1"/>
  <c r="R3" i="3" s="1"/>
  <c r="S3" i="3" s="1"/>
  <c r="T3" i="3" s="1"/>
  <c r="U3" i="3" s="1"/>
  <c r="V3" i="3" s="1"/>
  <c r="W3" i="3" s="1"/>
  <c r="X3" i="3" s="1"/>
  <c r="Y3" i="3" s="1"/>
  <c r="Z3" i="3" s="1"/>
  <c r="AA3" i="3" s="1"/>
  <c r="AB3" i="3" s="1"/>
  <c r="P4" i="3"/>
  <c r="Q4" i="3" s="1"/>
  <c r="R4" i="3" s="1"/>
  <c r="S4" i="3" s="1"/>
  <c r="T4" i="3" s="1"/>
  <c r="U4" i="3" s="1"/>
  <c r="V4" i="3" s="1"/>
  <c r="W4" i="3" s="1"/>
  <c r="X4" i="3" s="1"/>
  <c r="Y4" i="3" s="1"/>
  <c r="Z4" i="3" s="1"/>
  <c r="AA4" i="3" s="1"/>
  <c r="AB4" i="3" s="1"/>
  <c r="P5" i="3"/>
  <c r="Q5" i="3" s="1"/>
  <c r="R5" i="3" s="1"/>
  <c r="S5" i="3" s="1"/>
  <c r="T5" i="3" s="1"/>
  <c r="U5" i="3" s="1"/>
  <c r="V5" i="3" s="1"/>
  <c r="W5" i="3" s="1"/>
  <c r="X5" i="3" s="1"/>
  <c r="Y5" i="3" s="1"/>
  <c r="Z5" i="3" s="1"/>
  <c r="AA5" i="3" s="1"/>
  <c r="AB5" i="3" s="1"/>
  <c r="P6" i="3"/>
  <c r="Q6" i="3" s="1"/>
  <c r="R6" i="3" s="1"/>
  <c r="S6" i="3" s="1"/>
  <c r="T6" i="3" s="1"/>
  <c r="U6" i="3" s="1"/>
  <c r="V6" i="3" s="1"/>
  <c r="W6" i="3" s="1"/>
  <c r="X6" i="3" s="1"/>
  <c r="Y6" i="3" s="1"/>
  <c r="Z6" i="3" s="1"/>
  <c r="AA6" i="3" s="1"/>
  <c r="AB6" i="3" s="1"/>
  <c r="P2" i="3"/>
  <c r="P10" i="3" s="1"/>
  <c r="P36" i="6"/>
  <c r="P37" i="6"/>
  <c r="P38" i="6"/>
  <c r="P39" i="6"/>
  <c r="P40" i="6"/>
  <c r="P41" i="6"/>
  <c r="P42" i="6"/>
  <c r="P43" i="6"/>
  <c r="P44" i="6"/>
  <c r="P35" i="6"/>
  <c r="O45" i="6"/>
  <c r="O36" i="6"/>
  <c r="O37" i="6"/>
  <c r="O38" i="6"/>
  <c r="O39" i="6"/>
  <c r="O40" i="6"/>
  <c r="O41" i="6"/>
  <c r="O42" i="6"/>
  <c r="O43" i="6"/>
  <c r="O44" i="6"/>
  <c r="O35" i="6"/>
  <c r="Q2" i="3" l="1"/>
  <c r="R2" i="3" s="1"/>
  <c r="S2" i="3" s="1"/>
  <c r="T2" i="3" s="1"/>
  <c r="U2" i="3" s="1"/>
  <c r="V2" i="3" s="1"/>
  <c r="W2" i="3" s="1"/>
  <c r="X2" i="3" s="1"/>
  <c r="Y2" i="3" s="1"/>
  <c r="Z2" i="3" s="1"/>
  <c r="AA2" i="3" s="1"/>
  <c r="AB2" i="3" s="1"/>
  <c r="P45" i="6"/>
  <c r="F3" i="15" l="1"/>
  <c r="G3" i="15"/>
  <c r="H3" i="15"/>
  <c r="I3" i="15"/>
  <c r="J3" i="15"/>
  <c r="K3" i="15"/>
  <c r="L3" i="15"/>
  <c r="M3" i="15"/>
  <c r="N3" i="15"/>
  <c r="O3" i="15"/>
  <c r="P3" i="15"/>
  <c r="Q3" i="15"/>
  <c r="B57" i="15"/>
  <c r="B58" i="15"/>
  <c r="B59" i="15"/>
  <c r="B60" i="15"/>
  <c r="B61" i="15"/>
  <c r="B62" i="15"/>
  <c r="B63" i="15"/>
  <c r="B64" i="15"/>
  <c r="B65" i="15"/>
  <c r="B56" i="15"/>
  <c r="B75" i="15"/>
  <c r="B76" i="15"/>
  <c r="B77" i="15"/>
  <c r="B78" i="15"/>
  <c r="B79" i="15"/>
  <c r="B80" i="15"/>
  <c r="B81" i="15"/>
  <c r="B82" i="15"/>
  <c r="B83" i="15"/>
  <c r="B74" i="15"/>
  <c r="B40" i="15"/>
  <c r="B41" i="15"/>
  <c r="B42" i="15"/>
  <c r="B43" i="15"/>
  <c r="B44" i="15"/>
  <c r="B45" i="15"/>
  <c r="B46" i="15"/>
  <c r="B47" i="15"/>
  <c r="B48" i="15"/>
  <c r="B39" i="15"/>
  <c r="B23" i="15"/>
  <c r="B24" i="15"/>
  <c r="B25" i="15"/>
  <c r="B26" i="15"/>
  <c r="B27" i="15"/>
  <c r="B28" i="15"/>
  <c r="B29" i="15"/>
  <c r="B30" i="15"/>
  <c r="B31" i="15"/>
  <c r="B22" i="15"/>
  <c r="Q4" i="15"/>
  <c r="Q5" i="15"/>
  <c r="C17" i="6" l="1"/>
  <c r="E73" i="17"/>
  <c r="E93" i="17" s="1"/>
  <c r="F73" i="17"/>
  <c r="F93" i="17" s="1"/>
  <c r="G73" i="17"/>
  <c r="G93" i="17" s="1"/>
  <c r="H73" i="17"/>
  <c r="H93" i="17" s="1"/>
  <c r="I73" i="17"/>
  <c r="I93" i="17" s="1"/>
  <c r="J73" i="17"/>
  <c r="J93" i="17" s="1"/>
  <c r="K73" i="17"/>
  <c r="K93" i="17" s="1"/>
  <c r="L73" i="17"/>
  <c r="L93" i="17" s="1"/>
  <c r="D73" i="17"/>
  <c r="D93" i="17" s="1"/>
  <c r="C73" i="17"/>
  <c r="C93" i="17" s="1"/>
  <c r="C74" i="17"/>
  <c r="C94" i="17" s="1"/>
  <c r="D67" i="17"/>
  <c r="D74" i="17" s="1"/>
  <c r="D94" i="17" s="1"/>
  <c r="D69" i="17"/>
  <c r="D76" i="17" s="1"/>
  <c r="D96" i="17" s="1"/>
  <c r="C76" i="17"/>
  <c r="C96" i="17" s="1"/>
  <c r="C71" i="17"/>
  <c r="C91" i="17" s="1"/>
  <c r="E67" i="17" l="1"/>
  <c r="E69" i="17"/>
  <c r="D71" i="17"/>
  <c r="D91" i="17" s="1"/>
  <c r="C72" i="17"/>
  <c r="C92" i="17" s="1"/>
  <c r="C75" i="17"/>
  <c r="C11" i="16"/>
  <c r="C22" i="16" s="1"/>
  <c r="C111" i="17"/>
  <c r="D111" i="17"/>
  <c r="E111" i="17"/>
  <c r="F111" i="17"/>
  <c r="G111" i="17"/>
  <c r="H111" i="17"/>
  <c r="I111" i="17"/>
  <c r="J111" i="17"/>
  <c r="K111" i="17"/>
  <c r="L111" i="17"/>
  <c r="D112" i="17"/>
  <c r="E112" i="17"/>
  <c r="F112" i="17"/>
  <c r="G112" i="17"/>
  <c r="H112" i="17"/>
  <c r="I112" i="17"/>
  <c r="J112" i="17"/>
  <c r="K112" i="17"/>
  <c r="L112" i="17"/>
  <c r="D113" i="17"/>
  <c r="E113" i="17"/>
  <c r="F113" i="17"/>
  <c r="G113" i="17"/>
  <c r="H113" i="17"/>
  <c r="I113" i="17"/>
  <c r="J113" i="17"/>
  <c r="K113" i="17"/>
  <c r="L113" i="17"/>
  <c r="D114" i="17"/>
  <c r="E114" i="17"/>
  <c r="F114" i="17"/>
  <c r="G114" i="17"/>
  <c r="H114" i="17"/>
  <c r="I114" i="17"/>
  <c r="J114" i="17"/>
  <c r="K114" i="17"/>
  <c r="L114" i="17"/>
  <c r="D115" i="17"/>
  <c r="E115" i="17"/>
  <c r="F115" i="17"/>
  <c r="G115" i="17"/>
  <c r="H115" i="17"/>
  <c r="I115" i="17"/>
  <c r="J115" i="17"/>
  <c r="K115" i="17"/>
  <c r="L115" i="17"/>
  <c r="D116" i="17"/>
  <c r="E116" i="17"/>
  <c r="F116" i="17"/>
  <c r="G116" i="17"/>
  <c r="H116" i="17"/>
  <c r="I116" i="17"/>
  <c r="J116" i="17"/>
  <c r="K116" i="17"/>
  <c r="L116" i="17"/>
  <c r="D117" i="17"/>
  <c r="E117" i="17"/>
  <c r="F117" i="17"/>
  <c r="G117" i="17"/>
  <c r="H117" i="17"/>
  <c r="I117" i="17"/>
  <c r="J117" i="17"/>
  <c r="K117" i="17"/>
  <c r="L117" i="17"/>
  <c r="D118" i="17"/>
  <c r="E118" i="17"/>
  <c r="F118" i="17"/>
  <c r="G118" i="17"/>
  <c r="H118" i="17"/>
  <c r="I118" i="17"/>
  <c r="J118" i="17"/>
  <c r="K118" i="17"/>
  <c r="L118" i="17"/>
  <c r="C112" i="17"/>
  <c r="C113" i="17"/>
  <c r="C114" i="17"/>
  <c r="C115" i="17"/>
  <c r="C116" i="17"/>
  <c r="C117" i="17"/>
  <c r="C118" i="17"/>
  <c r="C7" i="17"/>
  <c r="C159" i="17"/>
  <c r="C5" i="17"/>
  <c r="C4" i="17"/>
  <c r="E159" i="17"/>
  <c r="F159" i="17"/>
  <c r="G159" i="17"/>
  <c r="H159" i="17"/>
  <c r="I159" i="17"/>
  <c r="J159" i="17"/>
  <c r="K159" i="17"/>
  <c r="L159" i="17"/>
  <c r="D160" i="17"/>
  <c r="E160" i="17"/>
  <c r="F160" i="17"/>
  <c r="G160" i="17"/>
  <c r="H160" i="17"/>
  <c r="I160" i="17"/>
  <c r="J160" i="17"/>
  <c r="K160" i="17"/>
  <c r="L160" i="17"/>
  <c r="D161" i="17"/>
  <c r="E161" i="17"/>
  <c r="F161" i="17"/>
  <c r="G161" i="17"/>
  <c r="H161" i="17"/>
  <c r="I161" i="17"/>
  <c r="J161" i="17"/>
  <c r="K161" i="17"/>
  <c r="L161" i="17"/>
  <c r="D162" i="17"/>
  <c r="E162" i="17"/>
  <c r="F162" i="17"/>
  <c r="G162" i="17"/>
  <c r="H162" i="17"/>
  <c r="I162" i="17"/>
  <c r="J162" i="17"/>
  <c r="K162" i="17"/>
  <c r="L162" i="17"/>
  <c r="D163" i="17"/>
  <c r="E163" i="17"/>
  <c r="F163" i="17"/>
  <c r="G163" i="17"/>
  <c r="H163" i="17"/>
  <c r="I163" i="17"/>
  <c r="J163" i="17"/>
  <c r="K163" i="17"/>
  <c r="L163" i="17"/>
  <c r="D164" i="17"/>
  <c r="E164" i="17"/>
  <c r="F164" i="17"/>
  <c r="G164" i="17"/>
  <c r="H164" i="17"/>
  <c r="I164" i="17"/>
  <c r="J164" i="17"/>
  <c r="K164" i="17"/>
  <c r="L164" i="17"/>
  <c r="D165" i="17"/>
  <c r="E165" i="17"/>
  <c r="F165" i="17"/>
  <c r="G165" i="17"/>
  <c r="H165" i="17"/>
  <c r="I165" i="17"/>
  <c r="J165" i="17"/>
  <c r="K165" i="17"/>
  <c r="L165" i="17"/>
  <c r="D166" i="17"/>
  <c r="E166" i="17"/>
  <c r="F166" i="17"/>
  <c r="G166" i="17"/>
  <c r="H166" i="17"/>
  <c r="I166" i="17"/>
  <c r="J166" i="17"/>
  <c r="K166" i="17"/>
  <c r="L166" i="17"/>
  <c r="C160" i="17"/>
  <c r="C161" i="17"/>
  <c r="C162" i="17"/>
  <c r="C163" i="17"/>
  <c r="C164" i="17"/>
  <c r="C165" i="17"/>
  <c r="C166" i="17"/>
  <c r="D24" i="17"/>
  <c r="E24" i="17"/>
  <c r="F24" i="17"/>
  <c r="G24" i="17"/>
  <c r="H24" i="17"/>
  <c r="I24" i="17"/>
  <c r="J24" i="17"/>
  <c r="K24" i="17"/>
  <c r="L24" i="17"/>
  <c r="C24" i="17"/>
  <c r="D14" i="17"/>
  <c r="E14" i="17"/>
  <c r="F14" i="17"/>
  <c r="C14" i="17"/>
  <c r="C54" i="16"/>
  <c r="D47" i="16"/>
  <c r="E47" i="16"/>
  <c r="C47" i="16"/>
  <c r="D4" i="16"/>
  <c r="C33" i="16"/>
  <c r="D33" i="16"/>
  <c r="E33" i="16"/>
  <c r="F33" i="16"/>
  <c r="G33" i="16"/>
  <c r="H33" i="16"/>
  <c r="I33" i="16"/>
  <c r="J33" i="16"/>
  <c r="K33" i="16"/>
  <c r="L33" i="16"/>
  <c r="D34" i="16"/>
  <c r="E34" i="16"/>
  <c r="F34" i="16"/>
  <c r="G34" i="16"/>
  <c r="H34" i="16"/>
  <c r="I34" i="16"/>
  <c r="J34" i="16"/>
  <c r="K34" i="16"/>
  <c r="L34" i="16"/>
  <c r="D35" i="16"/>
  <c r="E35" i="16"/>
  <c r="F35" i="16"/>
  <c r="G35" i="16"/>
  <c r="H35" i="16"/>
  <c r="I35" i="16"/>
  <c r="J35" i="16"/>
  <c r="K35" i="16"/>
  <c r="L35" i="16"/>
  <c r="C34" i="16"/>
  <c r="C35" i="16"/>
  <c r="C13" i="16"/>
  <c r="C24" i="16" s="1"/>
  <c r="C12" i="16"/>
  <c r="C23" i="16" s="1"/>
  <c r="I126" i="17" l="1"/>
  <c r="I144" i="17"/>
  <c r="F121" i="17"/>
  <c r="F139" i="17"/>
  <c r="G127" i="17"/>
  <c r="G145" i="17"/>
  <c r="J124" i="17"/>
  <c r="J142" i="17"/>
  <c r="E121" i="17"/>
  <c r="E139" i="17"/>
  <c r="F127" i="17"/>
  <c r="F145" i="17"/>
  <c r="I124" i="17"/>
  <c r="I142" i="17"/>
  <c r="L121" i="17"/>
  <c r="L139" i="17"/>
  <c r="C121" i="17"/>
  <c r="C139" i="17"/>
  <c r="E127" i="17"/>
  <c r="E145" i="17"/>
  <c r="F126" i="17"/>
  <c r="F144" i="17"/>
  <c r="G125" i="17"/>
  <c r="G143" i="17"/>
  <c r="H124" i="17"/>
  <c r="H142" i="17"/>
  <c r="I123" i="17"/>
  <c r="I141" i="17"/>
  <c r="J122" i="17"/>
  <c r="J140" i="17"/>
  <c r="K121" i="17"/>
  <c r="K139" i="17"/>
  <c r="L120" i="17"/>
  <c r="L138" i="17"/>
  <c r="D120" i="17"/>
  <c r="D138" i="17"/>
  <c r="C122" i="17"/>
  <c r="C140" i="17"/>
  <c r="G126" i="17"/>
  <c r="G144" i="17"/>
  <c r="H125" i="17"/>
  <c r="H143" i="17"/>
  <c r="J123" i="17"/>
  <c r="J141" i="17"/>
  <c r="K122" i="17"/>
  <c r="K140" i="17"/>
  <c r="D121" i="17"/>
  <c r="D139" i="17"/>
  <c r="E120" i="17"/>
  <c r="E138" i="17"/>
  <c r="L127" i="17"/>
  <c r="L145" i="17"/>
  <c r="D127" i="17"/>
  <c r="D145" i="17"/>
  <c r="E126" i="17"/>
  <c r="E144" i="17"/>
  <c r="F125" i="17"/>
  <c r="F143" i="17"/>
  <c r="G124" i="17"/>
  <c r="G142" i="17"/>
  <c r="H123" i="17"/>
  <c r="H141" i="17"/>
  <c r="I122" i="17"/>
  <c r="I140" i="17"/>
  <c r="J121" i="17"/>
  <c r="J139" i="17"/>
  <c r="K120" i="17"/>
  <c r="K138" i="17"/>
  <c r="C120" i="17"/>
  <c r="C138" i="17"/>
  <c r="H127" i="17"/>
  <c r="H145" i="17"/>
  <c r="K124" i="17"/>
  <c r="K142" i="17"/>
  <c r="H126" i="17"/>
  <c r="H144" i="17"/>
  <c r="K123" i="17"/>
  <c r="K141" i="17"/>
  <c r="D122" i="17"/>
  <c r="D140" i="17"/>
  <c r="C127" i="17"/>
  <c r="C145" i="17"/>
  <c r="L126" i="17"/>
  <c r="L144" i="17"/>
  <c r="E125" i="17"/>
  <c r="E143" i="17"/>
  <c r="G123" i="17"/>
  <c r="G141" i="17"/>
  <c r="J120" i="17"/>
  <c r="J138" i="17"/>
  <c r="C126" i="17"/>
  <c r="C144" i="17"/>
  <c r="J127" i="17"/>
  <c r="J145" i="17"/>
  <c r="K126" i="17"/>
  <c r="K144" i="17"/>
  <c r="L125" i="17"/>
  <c r="L143" i="17"/>
  <c r="D125" i="17"/>
  <c r="D143" i="17"/>
  <c r="E124" i="17"/>
  <c r="E142" i="17"/>
  <c r="F123" i="17"/>
  <c r="F141" i="17"/>
  <c r="G122" i="17"/>
  <c r="G140" i="17"/>
  <c r="H121" i="17"/>
  <c r="H139" i="17"/>
  <c r="I120" i="17"/>
  <c r="I138" i="17"/>
  <c r="D75" i="17"/>
  <c r="D95" i="17" s="1"/>
  <c r="C95" i="17"/>
  <c r="C124" i="17"/>
  <c r="C142" i="17"/>
  <c r="J125" i="17"/>
  <c r="J143" i="17"/>
  <c r="L123" i="17"/>
  <c r="L141" i="17"/>
  <c r="D123" i="17"/>
  <c r="D141" i="17"/>
  <c r="E122" i="17"/>
  <c r="E140" i="17"/>
  <c r="G120" i="17"/>
  <c r="G138" i="17"/>
  <c r="C123" i="17"/>
  <c r="C141" i="17"/>
  <c r="I125" i="17"/>
  <c r="I143" i="17"/>
  <c r="L122" i="17"/>
  <c r="L140" i="17"/>
  <c r="F120" i="17"/>
  <c r="F138" i="17"/>
  <c r="K127" i="17"/>
  <c r="K145" i="17"/>
  <c r="D126" i="17"/>
  <c r="D144" i="17"/>
  <c r="F124" i="17"/>
  <c r="F142" i="17"/>
  <c r="H122" i="17"/>
  <c r="H140" i="17"/>
  <c r="I121" i="17"/>
  <c r="I139" i="17"/>
  <c r="C125" i="17"/>
  <c r="C143" i="17"/>
  <c r="I127" i="17"/>
  <c r="I145" i="17"/>
  <c r="J126" i="17"/>
  <c r="J144" i="17"/>
  <c r="K125" i="17"/>
  <c r="K143" i="17"/>
  <c r="L124" i="17"/>
  <c r="L142" i="17"/>
  <c r="D124" i="17"/>
  <c r="D142" i="17"/>
  <c r="E123" i="17"/>
  <c r="E141" i="17"/>
  <c r="F122" i="17"/>
  <c r="F140" i="17"/>
  <c r="G121" i="17"/>
  <c r="G139" i="17"/>
  <c r="H120" i="17"/>
  <c r="H138" i="17"/>
  <c r="D11" i="16"/>
  <c r="D22" i="16" s="1"/>
  <c r="C14" i="16"/>
  <c r="E11" i="16"/>
  <c r="E22" i="16" s="1"/>
  <c r="C55" i="16"/>
  <c r="C59" i="16"/>
  <c r="D54" i="16"/>
  <c r="E74" i="17"/>
  <c r="E94" i="17" s="1"/>
  <c r="F67" i="17"/>
  <c r="F69" i="17"/>
  <c r="E76" i="17"/>
  <c r="E96" i="17" s="1"/>
  <c r="C79" i="17"/>
  <c r="D72" i="17"/>
  <c r="E71" i="17"/>
  <c r="C77" i="17"/>
  <c r="C78" i="17"/>
  <c r="D159" i="17"/>
  <c r="D78" i="17"/>
  <c r="C82" i="17"/>
  <c r="C80" i="17"/>
  <c r="C81" i="17"/>
  <c r="D82" i="17"/>
  <c r="F11" i="16"/>
  <c r="F22" i="16" s="1"/>
  <c r="D13" i="16"/>
  <c r="D24" i="16" s="1"/>
  <c r="D12" i="16"/>
  <c r="C16" i="16"/>
  <c r="C15" i="16"/>
  <c r="E75" i="17" l="1"/>
  <c r="F71" i="17"/>
  <c r="F91" i="17" s="1"/>
  <c r="E91" i="17"/>
  <c r="E72" i="17"/>
  <c r="D92" i="17"/>
  <c r="D55" i="16"/>
  <c r="D59" i="16"/>
  <c r="E12" i="16"/>
  <c r="E23" i="16" s="1"/>
  <c r="D23" i="16"/>
  <c r="E54" i="16"/>
  <c r="G71" i="17"/>
  <c r="F74" i="17"/>
  <c r="F94" i="17" s="1"/>
  <c r="G67" i="17"/>
  <c r="G69" i="17"/>
  <c r="F76" i="17"/>
  <c r="F96" i="17" s="1"/>
  <c r="D80" i="17"/>
  <c r="E79" i="17"/>
  <c r="E78" i="17"/>
  <c r="D77" i="17"/>
  <c r="E82" i="17"/>
  <c r="D81" i="17"/>
  <c r="D79" i="17"/>
  <c r="F79" i="17"/>
  <c r="D15" i="16"/>
  <c r="D14" i="16"/>
  <c r="E14" i="16"/>
  <c r="G11" i="16"/>
  <c r="F12" i="16"/>
  <c r="E15" i="16"/>
  <c r="E13" i="16"/>
  <c r="E24" i="16" s="1"/>
  <c r="F14" i="16"/>
  <c r="D16" i="16"/>
  <c r="H71" i="17" l="1"/>
  <c r="H91" i="17" s="1"/>
  <c r="G91" i="17"/>
  <c r="F75" i="17"/>
  <c r="E95" i="17"/>
  <c r="F72" i="17"/>
  <c r="E92" i="17"/>
  <c r="E55" i="16"/>
  <c r="E59" i="16"/>
  <c r="H11" i="16"/>
  <c r="H22" i="16" s="1"/>
  <c r="G22" i="16"/>
  <c r="F15" i="16"/>
  <c r="F23" i="16"/>
  <c r="H67" i="17"/>
  <c r="G74" i="17"/>
  <c r="G94" i="17" s="1"/>
  <c r="H69" i="17"/>
  <c r="G76" i="17"/>
  <c r="F82" i="17"/>
  <c r="E77" i="17"/>
  <c r="E80" i="17"/>
  <c r="E81" i="17"/>
  <c r="G80" i="17"/>
  <c r="F80" i="17"/>
  <c r="G79" i="17"/>
  <c r="I11" i="16"/>
  <c r="G14" i="16"/>
  <c r="F13" i="16"/>
  <c r="E16" i="16"/>
  <c r="G12" i="16"/>
  <c r="G82" i="17" l="1"/>
  <c r="G96" i="17"/>
  <c r="F95" i="17"/>
  <c r="G75" i="17"/>
  <c r="F81" i="17"/>
  <c r="F92" i="17"/>
  <c r="G72" i="17"/>
  <c r="G92" i="17" s="1"/>
  <c r="I71" i="17"/>
  <c r="F16" i="16"/>
  <c r="F24" i="16"/>
  <c r="J11" i="16"/>
  <c r="I22" i="16"/>
  <c r="G15" i="16"/>
  <c r="G23" i="16"/>
  <c r="I67" i="17"/>
  <c r="H74" i="17"/>
  <c r="H94" i="17" s="1"/>
  <c r="I69" i="17"/>
  <c r="H76" i="17"/>
  <c r="F78" i="17"/>
  <c r="F77" i="17"/>
  <c r="G77" i="17"/>
  <c r="G13" i="16"/>
  <c r="H12" i="16"/>
  <c r="H23" i="16" s="1"/>
  <c r="I14" i="16"/>
  <c r="H14" i="16"/>
  <c r="O17" i="6"/>
  <c r="D5" i="16"/>
  <c r="G78" i="17" l="1"/>
  <c r="H72" i="17"/>
  <c r="H82" i="17"/>
  <c r="H96" i="17"/>
  <c r="G95" i="17"/>
  <c r="G81" i="17"/>
  <c r="H75" i="17"/>
  <c r="J71" i="17"/>
  <c r="J91" i="17" s="1"/>
  <c r="I91" i="17"/>
  <c r="K71" i="17"/>
  <c r="G16" i="16"/>
  <c r="G24" i="16"/>
  <c r="K11" i="16"/>
  <c r="J22" i="16"/>
  <c r="J67" i="17"/>
  <c r="I74" i="17"/>
  <c r="I94" i="17" s="1"/>
  <c r="J69" i="17"/>
  <c r="I76" i="17"/>
  <c r="I96" i="17" s="1"/>
  <c r="I77" i="17"/>
  <c r="H80" i="17"/>
  <c r="H79" i="17"/>
  <c r="C5" i="16"/>
  <c r="E5" i="16" s="1"/>
  <c r="H13" i="16"/>
  <c r="H15" i="16"/>
  <c r="I12" i="16"/>
  <c r="I23" i="16" s="1"/>
  <c r="E4" i="17"/>
  <c r="E5" i="17"/>
  <c r="I72" i="17" l="1"/>
  <c r="H92" i="17"/>
  <c r="H78" i="17"/>
  <c r="I75" i="17"/>
  <c r="H95" i="17"/>
  <c r="H81" i="17"/>
  <c r="L71" i="17"/>
  <c r="L91" i="17" s="1"/>
  <c r="K91" i="17"/>
  <c r="I82" i="17"/>
  <c r="I13" i="16"/>
  <c r="H24" i="16"/>
  <c r="K22" i="16"/>
  <c r="L11" i="16"/>
  <c r="L22" i="16" s="1"/>
  <c r="K67" i="17"/>
  <c r="J74" i="17"/>
  <c r="K69" i="17"/>
  <c r="J76" i="17"/>
  <c r="J96" i="17" s="1"/>
  <c r="I78" i="17"/>
  <c r="H77" i="17"/>
  <c r="I80" i="17"/>
  <c r="I79" i="17"/>
  <c r="H16" i="16"/>
  <c r="I16" i="16"/>
  <c r="I15" i="16"/>
  <c r="J12" i="16"/>
  <c r="J14" i="16"/>
  <c r="J80" i="17" l="1"/>
  <c r="J94" i="17"/>
  <c r="J82" i="17"/>
  <c r="J75" i="17"/>
  <c r="I95" i="17"/>
  <c r="I81" i="17"/>
  <c r="J72" i="17"/>
  <c r="I92" i="17"/>
  <c r="K72" i="17"/>
  <c r="K12" i="16"/>
  <c r="K23" i="16" s="1"/>
  <c r="J23" i="16"/>
  <c r="J13" i="16"/>
  <c r="I24" i="16"/>
  <c r="L67" i="17"/>
  <c r="L74" i="17" s="1"/>
  <c r="L94" i="17" s="1"/>
  <c r="K74" i="17"/>
  <c r="K94" i="17" s="1"/>
  <c r="K76" i="17"/>
  <c r="K96" i="17" s="1"/>
  <c r="L69" i="17"/>
  <c r="L76" i="17" s="1"/>
  <c r="L96" i="17" s="1"/>
  <c r="J77" i="17"/>
  <c r="J79" i="17"/>
  <c r="J15" i="16"/>
  <c r="L12" i="16"/>
  <c r="L23" i="16" s="1"/>
  <c r="K15" i="16"/>
  <c r="K14" i="16"/>
  <c r="O24" i="6"/>
  <c r="P23" i="6"/>
  <c r="AB23" i="6"/>
  <c r="AA23" i="6"/>
  <c r="Z23" i="6"/>
  <c r="Y23" i="6"/>
  <c r="X23" i="6"/>
  <c r="W23" i="6"/>
  <c r="V23" i="6"/>
  <c r="U23" i="6"/>
  <c r="T23" i="6"/>
  <c r="S23" i="6"/>
  <c r="R23" i="6"/>
  <c r="Q23" i="6"/>
  <c r="E17" i="6"/>
  <c r="G17" i="6"/>
  <c r="I17" i="6"/>
  <c r="K17" i="6"/>
  <c r="L17" i="6"/>
  <c r="M17" i="6"/>
  <c r="N17" i="6"/>
  <c r="J92" i="17" l="1"/>
  <c r="J78" i="17"/>
  <c r="L72" i="17"/>
  <c r="K92" i="17"/>
  <c r="K82" i="17"/>
  <c r="K78" i="17"/>
  <c r="K75" i="17"/>
  <c r="J95" i="17"/>
  <c r="J81" i="17"/>
  <c r="J24" i="16"/>
  <c r="J16" i="16"/>
  <c r="K13" i="16"/>
  <c r="L80" i="17"/>
  <c r="O27" i="6"/>
  <c r="P24" i="6"/>
  <c r="K80" i="17"/>
  <c r="K77" i="17"/>
  <c r="L77" i="17"/>
  <c r="L82" i="17"/>
  <c r="K79" i="17"/>
  <c r="L15" i="16"/>
  <c r="L14" i="16"/>
  <c r="L75" i="17" l="1"/>
  <c r="K95" i="17"/>
  <c r="K81" i="17"/>
  <c r="L92" i="17"/>
  <c r="L78" i="17"/>
  <c r="K24" i="16"/>
  <c r="K16" i="16"/>
  <c r="L13" i="16"/>
  <c r="P25" i="6"/>
  <c r="P26" i="6" s="1"/>
  <c r="D7" i="17"/>
  <c r="E7" i="17" s="1"/>
  <c r="L79" i="17"/>
  <c r="Q24" i="6"/>
  <c r="L95" i="17" l="1"/>
  <c r="D6" i="17" s="1"/>
  <c r="L81" i="17"/>
  <c r="L24" i="16"/>
  <c r="C4" i="16" s="1"/>
  <c r="L16" i="16"/>
  <c r="E4" i="16"/>
  <c r="R24" i="6"/>
  <c r="S24" i="6" l="1"/>
  <c r="T24" i="6" l="1"/>
  <c r="U24" i="6" l="1"/>
  <c r="V24" i="6" l="1"/>
  <c r="W24" i="6" l="1"/>
  <c r="X24" i="6" l="1"/>
  <c r="Y24" i="6" l="1"/>
  <c r="Z24" i="6" l="1"/>
  <c r="AA24" i="6" l="1"/>
  <c r="AB24" i="6" l="1"/>
  <c r="L88" i="15" l="1"/>
  <c r="J88" i="15"/>
  <c r="H88" i="15"/>
  <c r="F88" i="15"/>
  <c r="L87" i="15"/>
  <c r="J87" i="15"/>
  <c r="H87" i="15"/>
  <c r="F87" i="15"/>
  <c r="L86" i="15"/>
  <c r="J86" i="15"/>
  <c r="H86" i="15"/>
  <c r="F86" i="15"/>
  <c r="L84" i="15"/>
  <c r="J84" i="15"/>
  <c r="H84" i="15"/>
  <c r="F84" i="15"/>
  <c r="L83" i="15"/>
  <c r="J83" i="15"/>
  <c r="H83" i="15"/>
  <c r="F83" i="15"/>
  <c r="L82" i="15"/>
  <c r="J82" i="15"/>
  <c r="H82" i="15"/>
  <c r="F82" i="15"/>
  <c r="L81" i="15"/>
  <c r="J81" i="15"/>
  <c r="H81" i="15"/>
  <c r="F81" i="15"/>
  <c r="L80" i="15"/>
  <c r="J80" i="15"/>
  <c r="H80" i="15"/>
  <c r="F80" i="15"/>
  <c r="L79" i="15"/>
  <c r="J79" i="15"/>
  <c r="H79" i="15"/>
  <c r="F79" i="15"/>
  <c r="L78" i="15"/>
  <c r="J78" i="15"/>
  <c r="H78" i="15"/>
  <c r="F78" i="15"/>
  <c r="L77" i="15"/>
  <c r="J77" i="15"/>
  <c r="H77" i="15"/>
  <c r="F77" i="15"/>
  <c r="L76" i="15"/>
  <c r="J76" i="15"/>
  <c r="H76" i="15"/>
  <c r="F76" i="15"/>
  <c r="L75" i="15"/>
  <c r="J75" i="15"/>
  <c r="H75" i="15"/>
  <c r="F75" i="15"/>
  <c r="L74" i="15"/>
  <c r="J74" i="15"/>
  <c r="H74" i="15"/>
  <c r="F74" i="15"/>
  <c r="L70" i="15"/>
  <c r="J70" i="15"/>
  <c r="H70" i="15"/>
  <c r="F70" i="15"/>
  <c r="L69" i="15"/>
  <c r="J69" i="15"/>
  <c r="H69" i="15"/>
  <c r="F69" i="15"/>
  <c r="L68" i="15"/>
  <c r="J68" i="15"/>
  <c r="H68" i="15"/>
  <c r="F68" i="15"/>
  <c r="L66" i="15"/>
  <c r="J66" i="15"/>
  <c r="H66" i="15"/>
  <c r="F66" i="15"/>
  <c r="L65" i="15"/>
  <c r="J65" i="15"/>
  <c r="H65" i="15"/>
  <c r="F65" i="15"/>
  <c r="L64" i="15"/>
  <c r="J64" i="15"/>
  <c r="H64" i="15"/>
  <c r="F64" i="15"/>
  <c r="L63" i="15"/>
  <c r="J63" i="15"/>
  <c r="H63" i="15"/>
  <c r="F63" i="15"/>
  <c r="L62" i="15"/>
  <c r="J62" i="15"/>
  <c r="H62" i="15"/>
  <c r="F62" i="15"/>
  <c r="L61" i="15"/>
  <c r="J61" i="15"/>
  <c r="H61" i="15"/>
  <c r="F61" i="15"/>
  <c r="L60" i="15"/>
  <c r="J60" i="15"/>
  <c r="H60" i="15"/>
  <c r="F60" i="15"/>
  <c r="L59" i="15"/>
  <c r="J59" i="15"/>
  <c r="H59" i="15"/>
  <c r="F59" i="15"/>
  <c r="L58" i="15"/>
  <c r="J58" i="15"/>
  <c r="H58" i="15"/>
  <c r="F58" i="15"/>
  <c r="L57" i="15"/>
  <c r="J57" i="15"/>
  <c r="H57" i="15"/>
  <c r="F57" i="15"/>
  <c r="L56" i="15"/>
  <c r="J56" i="15"/>
  <c r="H56" i="15"/>
  <c r="F56" i="15"/>
  <c r="L52" i="15"/>
  <c r="J52" i="15"/>
  <c r="H52" i="15"/>
  <c r="F52" i="15"/>
  <c r="L51" i="15"/>
  <c r="J51" i="15"/>
  <c r="H51" i="15"/>
  <c r="F51" i="15"/>
  <c r="L50" i="15"/>
  <c r="J50" i="15"/>
  <c r="H50" i="15"/>
  <c r="F50" i="15"/>
  <c r="L49" i="15"/>
  <c r="J49" i="15"/>
  <c r="H49" i="15"/>
  <c r="F49" i="15"/>
  <c r="L48" i="15"/>
  <c r="J48" i="15"/>
  <c r="H48" i="15"/>
  <c r="F48" i="15"/>
  <c r="L47" i="15"/>
  <c r="J47" i="15"/>
  <c r="H47" i="15"/>
  <c r="F47" i="15"/>
  <c r="L46" i="15"/>
  <c r="J46" i="15"/>
  <c r="H46" i="15"/>
  <c r="F46" i="15"/>
  <c r="L45" i="15"/>
  <c r="J45" i="15"/>
  <c r="H45" i="15"/>
  <c r="F45" i="15"/>
  <c r="L44" i="15"/>
  <c r="J44" i="15"/>
  <c r="H44" i="15"/>
  <c r="F44" i="15"/>
  <c r="L43" i="15"/>
  <c r="J43" i="15"/>
  <c r="H43" i="15"/>
  <c r="F43" i="15"/>
  <c r="L42" i="15"/>
  <c r="J42" i="15"/>
  <c r="H42" i="15"/>
  <c r="F42" i="15"/>
  <c r="L41" i="15"/>
  <c r="J41" i="15"/>
  <c r="H41" i="15"/>
  <c r="F41" i="15"/>
  <c r="L40" i="15"/>
  <c r="J40" i="15"/>
  <c r="H40" i="15"/>
  <c r="F40" i="15"/>
  <c r="L39" i="15"/>
  <c r="J39" i="15"/>
  <c r="H39" i="15"/>
  <c r="F39" i="15"/>
  <c r="L35" i="15"/>
  <c r="J35" i="15"/>
  <c r="H35" i="15"/>
  <c r="F35" i="15"/>
  <c r="L34" i="15"/>
  <c r="J34" i="15"/>
  <c r="H34" i="15"/>
  <c r="F34" i="15"/>
  <c r="L33" i="15"/>
  <c r="J33" i="15"/>
  <c r="H33" i="15"/>
  <c r="F33" i="15"/>
  <c r="L32" i="15"/>
  <c r="J32" i="15"/>
  <c r="H32" i="15"/>
  <c r="F32" i="15"/>
  <c r="L31" i="15"/>
  <c r="J31" i="15"/>
  <c r="H31" i="15"/>
  <c r="F31" i="15"/>
  <c r="L30" i="15"/>
  <c r="J30" i="15"/>
  <c r="H30" i="15"/>
  <c r="F30" i="15"/>
  <c r="L29" i="15"/>
  <c r="J29" i="15"/>
  <c r="H29" i="15"/>
  <c r="F29" i="15"/>
  <c r="L28" i="15"/>
  <c r="J28" i="15"/>
  <c r="H28" i="15"/>
  <c r="F28" i="15"/>
  <c r="L27" i="15"/>
  <c r="J27" i="15"/>
  <c r="H27" i="15"/>
  <c r="F27" i="15"/>
  <c r="L26" i="15"/>
  <c r="J26" i="15"/>
  <c r="H26" i="15"/>
  <c r="F26" i="15"/>
  <c r="L25" i="15"/>
  <c r="J25" i="15"/>
  <c r="H25" i="15"/>
  <c r="F25" i="15"/>
  <c r="L24" i="15"/>
  <c r="J24" i="15"/>
  <c r="H24" i="15"/>
  <c r="F24" i="15"/>
  <c r="L23" i="15"/>
  <c r="J23" i="15"/>
  <c r="H23" i="15"/>
  <c r="F23" i="15"/>
  <c r="L22" i="15"/>
  <c r="J22" i="15"/>
  <c r="H22" i="15"/>
  <c r="F22" i="15"/>
  <c r="AD18" i="15"/>
  <c r="AC18" i="15"/>
  <c r="AB18" i="15"/>
  <c r="AA18" i="15"/>
  <c r="Z18" i="15"/>
  <c r="Y18" i="15"/>
  <c r="X18" i="15"/>
  <c r="W18" i="15"/>
  <c r="V18" i="15"/>
  <c r="U18" i="15"/>
  <c r="T18" i="15"/>
  <c r="S18" i="15"/>
  <c r="R18" i="15"/>
  <c r="Q18" i="15"/>
  <c r="P18" i="15"/>
  <c r="O18" i="15"/>
  <c r="N18" i="15"/>
  <c r="L18" i="15"/>
  <c r="I18" i="15"/>
  <c r="J18" i="15" s="1"/>
  <c r="G18" i="15"/>
  <c r="E18" i="15"/>
  <c r="AD17" i="15"/>
  <c r="AC17" i="15"/>
  <c r="AB17" i="15"/>
  <c r="AA17" i="15"/>
  <c r="Z17" i="15"/>
  <c r="Y17" i="15"/>
  <c r="X17" i="15"/>
  <c r="W17" i="15"/>
  <c r="V17" i="15"/>
  <c r="U17" i="15"/>
  <c r="T17" i="15"/>
  <c r="S17" i="15"/>
  <c r="R17" i="15"/>
  <c r="Q17" i="15"/>
  <c r="P17" i="15"/>
  <c r="O17" i="15"/>
  <c r="N17" i="15"/>
  <c r="L17" i="15"/>
  <c r="I17" i="15"/>
  <c r="J17" i="15" s="1"/>
  <c r="G17" i="15"/>
  <c r="E17" i="15"/>
  <c r="L16" i="15"/>
  <c r="J16" i="15"/>
  <c r="H16" i="15"/>
  <c r="F16" i="15"/>
  <c r="Q13" i="15"/>
  <c r="P13" i="15"/>
  <c r="O13" i="15"/>
  <c r="N13" i="15"/>
  <c r="L13" i="15"/>
  <c r="I13" i="15"/>
  <c r="J13" i="15" s="1"/>
  <c r="G13" i="15"/>
  <c r="E13" i="15"/>
  <c r="Q12" i="15"/>
  <c r="P12" i="15"/>
  <c r="O12" i="15"/>
  <c r="N12" i="15"/>
  <c r="L12" i="15"/>
  <c r="J12" i="15"/>
  <c r="H12" i="15"/>
  <c r="F12" i="15"/>
  <c r="Q11" i="15"/>
  <c r="P11" i="15"/>
  <c r="O11" i="15"/>
  <c r="N11" i="15"/>
  <c r="L11" i="15"/>
  <c r="J11" i="15"/>
  <c r="H11" i="15"/>
  <c r="F11" i="15"/>
  <c r="Q10" i="15"/>
  <c r="P10" i="15"/>
  <c r="O10" i="15"/>
  <c r="N10" i="15"/>
  <c r="L10" i="15"/>
  <c r="J10" i="15"/>
  <c r="H10" i="15"/>
  <c r="F10" i="15"/>
  <c r="Q9" i="15"/>
  <c r="P9" i="15"/>
  <c r="O9" i="15"/>
  <c r="N9" i="15"/>
  <c r="L9" i="15"/>
  <c r="J9" i="15"/>
  <c r="H9" i="15"/>
  <c r="F9" i="15"/>
  <c r="Q8" i="15"/>
  <c r="P8" i="15"/>
  <c r="O8" i="15"/>
  <c r="N8" i="15"/>
  <c r="L8" i="15"/>
  <c r="J8" i="15"/>
  <c r="H8" i="15"/>
  <c r="F8" i="15"/>
  <c r="Q7" i="15"/>
  <c r="P7" i="15"/>
  <c r="O7" i="15"/>
  <c r="N7" i="15"/>
  <c r="L7" i="15"/>
  <c r="J7" i="15"/>
  <c r="H7" i="15"/>
  <c r="F7" i="15"/>
  <c r="Q6" i="15"/>
  <c r="P6" i="15"/>
  <c r="O6" i="15"/>
  <c r="N6" i="15"/>
  <c r="L6" i="15"/>
  <c r="J6" i="15"/>
  <c r="H6" i="15"/>
  <c r="F6" i="15"/>
  <c r="P5" i="15"/>
  <c r="O5" i="15"/>
  <c r="N5" i="15"/>
  <c r="L5" i="15"/>
  <c r="J5" i="15"/>
  <c r="H5" i="15"/>
  <c r="F5" i="15"/>
  <c r="P4" i="15"/>
  <c r="O4" i="15"/>
  <c r="N4" i="15"/>
  <c r="L4" i="15"/>
  <c r="J4" i="15"/>
  <c r="H4" i="15"/>
  <c r="F4" i="15"/>
  <c r="B6" i="15" l="1"/>
  <c r="B21" i="15"/>
  <c r="B5" i="15"/>
  <c r="B3" i="15"/>
  <c r="B38" i="15"/>
  <c r="B55" i="15"/>
  <c r="B73" i="15"/>
  <c r="B4" i="15"/>
  <c r="B7" i="15"/>
  <c r="B8" i="15"/>
  <c r="B9" i="15"/>
  <c r="B10" i="15"/>
  <c r="B11" i="15"/>
  <c r="B12" i="15"/>
  <c r="B13" i="15"/>
  <c r="F13" i="15"/>
  <c r="F18" i="15"/>
  <c r="F17" i="15"/>
  <c r="H18" i="15"/>
  <c r="H13" i="15"/>
  <c r="H17" i="15"/>
  <c r="N24" i="6" l="1"/>
  <c r="D7" i="6"/>
  <c r="F7" i="6"/>
  <c r="H7" i="6"/>
  <c r="J7" i="6"/>
  <c r="D8" i="6"/>
  <c r="F8" i="6"/>
  <c r="H8" i="6"/>
  <c r="J8" i="6"/>
  <c r="D9" i="6"/>
  <c r="F9" i="6"/>
  <c r="H9" i="6"/>
  <c r="J9" i="6"/>
  <c r="D10" i="6"/>
  <c r="F10" i="6"/>
  <c r="H10" i="6"/>
  <c r="J10" i="6"/>
  <c r="D11" i="6"/>
  <c r="F11" i="6"/>
  <c r="H11" i="6"/>
  <c r="J11" i="6"/>
  <c r="D12" i="6"/>
  <c r="F12" i="6"/>
  <c r="H12" i="6"/>
  <c r="J12" i="6"/>
  <c r="D13" i="6"/>
  <c r="F13" i="6"/>
  <c r="H13" i="6"/>
  <c r="J13" i="6"/>
  <c r="D14" i="6"/>
  <c r="F14" i="6"/>
  <c r="H14" i="6"/>
  <c r="J14" i="6"/>
  <c r="D15" i="6"/>
  <c r="F15" i="6"/>
  <c r="H15" i="6"/>
  <c r="J15" i="6"/>
  <c r="D16" i="6"/>
  <c r="F16" i="6"/>
  <c r="H16" i="6"/>
  <c r="J16" i="6"/>
  <c r="N27" i="6" l="1"/>
  <c r="D17" i="6"/>
  <c r="H17" i="6"/>
  <c r="F17" i="6"/>
  <c r="J17" i="6"/>
  <c r="D24" i="6" l="1"/>
  <c r="E24" i="6"/>
  <c r="G24" i="6"/>
  <c r="H24" i="6"/>
  <c r="I24" i="6"/>
  <c r="J24" i="6"/>
  <c r="K24" i="6"/>
  <c r="L24" i="6"/>
  <c r="M24" i="6"/>
  <c r="N36" i="6"/>
  <c r="C24" i="6"/>
  <c r="Q8" i="6" l="1"/>
  <c r="P8" i="6"/>
  <c r="W50" i="3"/>
  <c r="S37" i="3"/>
  <c r="AA37" i="3"/>
  <c r="W24" i="3"/>
  <c r="U11" i="3"/>
  <c r="P11" i="3"/>
  <c r="P50" i="3"/>
  <c r="X50" i="3"/>
  <c r="T37" i="3"/>
  <c r="AB37" i="3"/>
  <c r="P24" i="3"/>
  <c r="X24" i="3"/>
  <c r="V11" i="3"/>
  <c r="Q50" i="3"/>
  <c r="Y50" i="3"/>
  <c r="U37" i="3"/>
  <c r="O37" i="3"/>
  <c r="Q24" i="3"/>
  <c r="Y24" i="3"/>
  <c r="W11" i="3"/>
  <c r="R50" i="3"/>
  <c r="Z50" i="3"/>
  <c r="V37" i="3"/>
  <c r="R24" i="3"/>
  <c r="Z24" i="3"/>
  <c r="X11" i="3"/>
  <c r="S50" i="3"/>
  <c r="AA50" i="3"/>
  <c r="W37" i="3"/>
  <c r="S24" i="3"/>
  <c r="AA24" i="3"/>
  <c r="Q11" i="3"/>
  <c r="Y11" i="3"/>
  <c r="T50" i="3"/>
  <c r="AB50" i="3"/>
  <c r="P37" i="3"/>
  <c r="X37" i="3"/>
  <c r="T24" i="3"/>
  <c r="AB24" i="3"/>
  <c r="R11" i="3"/>
  <c r="Z11" i="3"/>
  <c r="U50" i="3"/>
  <c r="O50" i="3"/>
  <c r="Q37" i="3"/>
  <c r="Y37" i="3"/>
  <c r="U24" i="3"/>
  <c r="O24" i="3"/>
  <c r="S11" i="3"/>
  <c r="AA11" i="3"/>
  <c r="V50" i="3"/>
  <c r="V24" i="3"/>
  <c r="AB11" i="3"/>
  <c r="R37" i="3"/>
  <c r="Z37" i="3"/>
  <c r="T11" i="3"/>
  <c r="J27" i="6"/>
  <c r="C27" i="6"/>
  <c r="I27" i="6"/>
  <c r="G27" i="6"/>
  <c r="K27" i="6"/>
  <c r="F27" i="6"/>
  <c r="L27" i="6"/>
  <c r="H27" i="6"/>
  <c r="E27" i="6"/>
  <c r="D27" i="6"/>
  <c r="M35" i="6"/>
  <c r="M27" i="6"/>
  <c r="T8" i="6"/>
  <c r="X8" i="6"/>
  <c r="AB8" i="6"/>
  <c r="R8" i="6"/>
  <c r="Z8" i="6"/>
  <c r="S8" i="6"/>
  <c r="AA8" i="6"/>
  <c r="U8" i="6"/>
  <c r="Y8" i="6"/>
  <c r="V8" i="6"/>
  <c r="W8" i="6"/>
  <c r="L36" i="6"/>
  <c r="D36" i="6"/>
  <c r="K35" i="6"/>
  <c r="F36" i="6"/>
  <c r="C40" i="6"/>
  <c r="H35" i="6"/>
  <c r="G36" i="6"/>
  <c r="J35" i="6"/>
  <c r="I35" i="6"/>
  <c r="E35" i="6"/>
  <c r="L43" i="6"/>
  <c r="K42" i="6"/>
  <c r="K36" i="6"/>
  <c r="K50" i="3" s="1"/>
  <c r="D43" i="6"/>
  <c r="G43" i="6"/>
  <c r="L35" i="6"/>
  <c r="C44" i="6"/>
  <c r="D41" i="6"/>
  <c r="C39" i="6"/>
  <c r="D39" i="6"/>
  <c r="H38" i="6"/>
  <c r="G41" i="6"/>
  <c r="C36" i="6"/>
  <c r="C50" i="3" s="1"/>
  <c r="K38" i="6"/>
  <c r="K26" i="3" s="1"/>
  <c r="C19" i="3"/>
  <c r="C37" i="6"/>
  <c r="K40" i="6"/>
  <c r="I38" i="6"/>
  <c r="H36" i="6"/>
  <c r="I36" i="6"/>
  <c r="I44" i="6"/>
  <c r="L37" i="6"/>
  <c r="L25" i="3" s="1"/>
  <c r="G35" i="6"/>
  <c r="I40" i="6"/>
  <c r="K44" i="6"/>
  <c r="I42" i="6"/>
  <c r="H40" i="6"/>
  <c r="H42" i="6"/>
  <c r="H44" i="6"/>
  <c r="L39" i="6"/>
  <c r="L53" i="3" s="1"/>
  <c r="G37" i="6"/>
  <c r="D35" i="6"/>
  <c r="C35" i="6"/>
  <c r="L41" i="6"/>
  <c r="G39" i="6"/>
  <c r="D37" i="6"/>
  <c r="N50" i="3"/>
  <c r="N24" i="3"/>
  <c r="N11" i="3"/>
  <c r="N37" i="3"/>
  <c r="O11" i="3"/>
  <c r="M49" i="3"/>
  <c r="C38" i="6"/>
  <c r="J44" i="6"/>
  <c r="N43" i="6"/>
  <c r="F43" i="6"/>
  <c r="J42" i="6"/>
  <c r="N41" i="6"/>
  <c r="F41" i="6"/>
  <c r="J40" i="6"/>
  <c r="N39" i="6"/>
  <c r="F39" i="6"/>
  <c r="J38" i="6"/>
  <c r="N37" i="6"/>
  <c r="F37" i="6"/>
  <c r="J36" i="6"/>
  <c r="N35" i="6"/>
  <c r="F35" i="6"/>
  <c r="C43" i="6"/>
  <c r="G44" i="6"/>
  <c r="K43" i="6"/>
  <c r="G42" i="6"/>
  <c r="K41" i="6"/>
  <c r="G40" i="6"/>
  <c r="K39" i="6"/>
  <c r="G38" i="6"/>
  <c r="K37" i="6"/>
  <c r="E43" i="6"/>
  <c r="E41" i="6"/>
  <c r="M39" i="6"/>
  <c r="C42" i="6"/>
  <c r="N44" i="6"/>
  <c r="F44" i="6"/>
  <c r="J43" i="6"/>
  <c r="N42" i="6"/>
  <c r="F42" i="6"/>
  <c r="J41" i="6"/>
  <c r="N40" i="6"/>
  <c r="F40" i="6"/>
  <c r="J39" i="6"/>
  <c r="N38" i="6"/>
  <c r="F38" i="6"/>
  <c r="J37" i="6"/>
  <c r="C41" i="6"/>
  <c r="M44" i="6"/>
  <c r="E44" i="6"/>
  <c r="I43" i="6"/>
  <c r="M42" i="6"/>
  <c r="E42" i="6"/>
  <c r="I41" i="6"/>
  <c r="M40" i="6"/>
  <c r="E40" i="6"/>
  <c r="I39" i="6"/>
  <c r="M38" i="6"/>
  <c r="E38" i="6"/>
  <c r="I37" i="6"/>
  <c r="M36" i="6"/>
  <c r="E36" i="6"/>
  <c r="M43" i="6"/>
  <c r="M41" i="6"/>
  <c r="E39" i="6"/>
  <c r="M37" i="6"/>
  <c r="E37" i="6"/>
  <c r="L44" i="6"/>
  <c r="D44" i="6"/>
  <c r="H43" i="6"/>
  <c r="L42" i="6"/>
  <c r="D42" i="6"/>
  <c r="H41" i="6"/>
  <c r="L40" i="6"/>
  <c r="D40" i="6"/>
  <c r="H39" i="6"/>
  <c r="L38" i="6"/>
  <c r="D38" i="6"/>
  <c r="H37" i="6"/>
  <c r="J6" i="3"/>
  <c r="J5" i="3"/>
  <c r="J4" i="3"/>
  <c r="J3" i="3"/>
  <c r="J2" i="3"/>
  <c r="H6" i="3"/>
  <c r="H5" i="3"/>
  <c r="H4" i="3"/>
  <c r="H3" i="3"/>
  <c r="H2" i="3"/>
  <c r="F6" i="3"/>
  <c r="F5" i="3"/>
  <c r="F4" i="3"/>
  <c r="F3" i="3"/>
  <c r="F2" i="3"/>
  <c r="D3" i="3"/>
  <c r="D4" i="3"/>
  <c r="D5" i="3"/>
  <c r="D6" i="3"/>
  <c r="D2" i="3"/>
  <c r="M10" i="3" l="1"/>
  <c r="M23" i="3"/>
  <c r="M36" i="3"/>
  <c r="K23" i="3"/>
  <c r="P16" i="3"/>
  <c r="V55" i="3"/>
  <c r="R42" i="3"/>
  <c r="Z42" i="3"/>
  <c r="V29" i="3"/>
  <c r="Q16" i="3"/>
  <c r="Y16" i="3"/>
  <c r="W55" i="3"/>
  <c r="S42" i="3"/>
  <c r="AA42" i="3"/>
  <c r="W29" i="3"/>
  <c r="R16" i="3"/>
  <c r="Z16" i="3"/>
  <c r="P55" i="3"/>
  <c r="X55" i="3"/>
  <c r="T42" i="3"/>
  <c r="AB42" i="3"/>
  <c r="P29" i="3"/>
  <c r="X29" i="3"/>
  <c r="S16" i="3"/>
  <c r="AA16" i="3"/>
  <c r="Q55" i="3"/>
  <c r="Y55" i="3"/>
  <c r="O55" i="3"/>
  <c r="U42" i="3"/>
  <c r="Q29" i="3"/>
  <c r="Y29" i="3"/>
  <c r="O29" i="3"/>
  <c r="T16" i="3"/>
  <c r="AB16" i="3"/>
  <c r="R55" i="3"/>
  <c r="Z55" i="3"/>
  <c r="V42" i="3"/>
  <c r="R29" i="3"/>
  <c r="Z29" i="3"/>
  <c r="U16" i="3"/>
  <c r="S55" i="3"/>
  <c r="AA55" i="3"/>
  <c r="W42" i="3"/>
  <c r="S29" i="3"/>
  <c r="AA29" i="3"/>
  <c r="V16" i="3"/>
  <c r="T55" i="3"/>
  <c r="AB55" i="3"/>
  <c r="P42" i="3"/>
  <c r="X42" i="3"/>
  <c r="T29" i="3"/>
  <c r="AB29" i="3"/>
  <c r="W16" i="3"/>
  <c r="U55" i="3"/>
  <c r="O42" i="3"/>
  <c r="Q42" i="3"/>
  <c r="U29" i="3"/>
  <c r="Y42" i="3"/>
  <c r="X16" i="3"/>
  <c r="P11" i="6"/>
  <c r="P53" i="3"/>
  <c r="X53" i="3"/>
  <c r="T40" i="3"/>
  <c r="AB40" i="3"/>
  <c r="P27" i="3"/>
  <c r="X27" i="3"/>
  <c r="Q14" i="3"/>
  <c r="Y14" i="3"/>
  <c r="Q53" i="3"/>
  <c r="Y53" i="3"/>
  <c r="O53" i="3"/>
  <c r="U40" i="3"/>
  <c r="Q27" i="3"/>
  <c r="Y27" i="3"/>
  <c r="O27" i="3"/>
  <c r="R14" i="3"/>
  <c r="Z14" i="3"/>
  <c r="R53" i="3"/>
  <c r="Z53" i="3"/>
  <c r="V40" i="3"/>
  <c r="R27" i="3"/>
  <c r="Z27" i="3"/>
  <c r="S14" i="3"/>
  <c r="AA14" i="3"/>
  <c r="P14" i="3"/>
  <c r="S53" i="3"/>
  <c r="AA53" i="3"/>
  <c r="W40" i="3"/>
  <c r="S27" i="3"/>
  <c r="AA27" i="3"/>
  <c r="T14" i="3"/>
  <c r="AB14" i="3"/>
  <c r="T53" i="3"/>
  <c r="AB53" i="3"/>
  <c r="P40" i="3"/>
  <c r="X40" i="3"/>
  <c r="T27" i="3"/>
  <c r="AB27" i="3"/>
  <c r="U14" i="3"/>
  <c r="U53" i="3"/>
  <c r="Q40" i="3"/>
  <c r="Y40" i="3"/>
  <c r="O40" i="3"/>
  <c r="U27" i="3"/>
  <c r="V14" i="3"/>
  <c r="V53" i="3"/>
  <c r="R40" i="3"/>
  <c r="Z40" i="3"/>
  <c r="V27" i="3"/>
  <c r="W14" i="3"/>
  <c r="S40" i="3"/>
  <c r="AA40" i="3"/>
  <c r="W27" i="3"/>
  <c r="X14" i="3"/>
  <c r="W53" i="3"/>
  <c r="C14" i="3"/>
  <c r="P14" i="6"/>
  <c r="Q56" i="3"/>
  <c r="Y56" i="3"/>
  <c r="U43" i="3"/>
  <c r="O43" i="3"/>
  <c r="Q30" i="3"/>
  <c r="Y30" i="3"/>
  <c r="U17" i="3"/>
  <c r="R56" i="3"/>
  <c r="Z56" i="3"/>
  <c r="V43" i="3"/>
  <c r="R30" i="3"/>
  <c r="Z30" i="3"/>
  <c r="V17" i="3"/>
  <c r="S56" i="3"/>
  <c r="AA56" i="3"/>
  <c r="W43" i="3"/>
  <c r="S30" i="3"/>
  <c r="AA30" i="3"/>
  <c r="W17" i="3"/>
  <c r="T56" i="3"/>
  <c r="AB56" i="3"/>
  <c r="P43" i="3"/>
  <c r="X43" i="3"/>
  <c r="T30" i="3"/>
  <c r="AB30" i="3"/>
  <c r="X17" i="3"/>
  <c r="U56" i="3"/>
  <c r="O56" i="3"/>
  <c r="Q43" i="3"/>
  <c r="Y43" i="3"/>
  <c r="U30" i="3"/>
  <c r="O30" i="3"/>
  <c r="Q17" i="3"/>
  <c r="Y17" i="3"/>
  <c r="V56" i="3"/>
  <c r="R43" i="3"/>
  <c r="Z43" i="3"/>
  <c r="V30" i="3"/>
  <c r="R17" i="3"/>
  <c r="Z17" i="3"/>
  <c r="W56" i="3"/>
  <c r="S43" i="3"/>
  <c r="AA43" i="3"/>
  <c r="W30" i="3"/>
  <c r="S17" i="3"/>
  <c r="AA17" i="3"/>
  <c r="AB17" i="3"/>
  <c r="P17" i="3"/>
  <c r="P56" i="3"/>
  <c r="X56" i="3"/>
  <c r="T43" i="3"/>
  <c r="X30" i="3"/>
  <c r="AB43" i="3"/>
  <c r="P30" i="3"/>
  <c r="T17" i="3"/>
  <c r="W58" i="3"/>
  <c r="S45" i="3"/>
  <c r="AA45" i="3"/>
  <c r="W32" i="3"/>
  <c r="U19" i="3"/>
  <c r="P58" i="3"/>
  <c r="X58" i="3"/>
  <c r="T45" i="3"/>
  <c r="AB45" i="3"/>
  <c r="P32" i="3"/>
  <c r="X32" i="3"/>
  <c r="V19" i="3"/>
  <c r="Q58" i="3"/>
  <c r="Y58" i="3"/>
  <c r="U45" i="3"/>
  <c r="O45" i="3"/>
  <c r="Q32" i="3"/>
  <c r="Y32" i="3"/>
  <c r="W19" i="3"/>
  <c r="R58" i="3"/>
  <c r="Z58" i="3"/>
  <c r="V45" i="3"/>
  <c r="R32" i="3"/>
  <c r="Z32" i="3"/>
  <c r="X19" i="3"/>
  <c r="S58" i="3"/>
  <c r="AA58" i="3"/>
  <c r="W45" i="3"/>
  <c r="S32" i="3"/>
  <c r="AA32" i="3"/>
  <c r="Q19" i="3"/>
  <c r="T58" i="3"/>
  <c r="AB58" i="3"/>
  <c r="P45" i="3"/>
  <c r="X45" i="3"/>
  <c r="T32" i="3"/>
  <c r="AB32" i="3"/>
  <c r="R19" i="3"/>
  <c r="Z19" i="3"/>
  <c r="U58" i="3"/>
  <c r="O58" i="3"/>
  <c r="Q45" i="3"/>
  <c r="Y45" i="3"/>
  <c r="U32" i="3"/>
  <c r="O32" i="3"/>
  <c r="S19" i="3"/>
  <c r="AA19" i="3"/>
  <c r="P19" i="3"/>
  <c r="R45" i="3"/>
  <c r="Z45" i="3"/>
  <c r="V58" i="3"/>
  <c r="V32" i="3"/>
  <c r="T19" i="3"/>
  <c r="Y19" i="3"/>
  <c r="AB19" i="3"/>
  <c r="S54" i="3"/>
  <c r="AA54" i="3"/>
  <c r="W41" i="3"/>
  <c r="S28" i="3"/>
  <c r="AA28" i="3"/>
  <c r="U15" i="3"/>
  <c r="T54" i="3"/>
  <c r="AB54" i="3"/>
  <c r="P41" i="3"/>
  <c r="X41" i="3"/>
  <c r="T28" i="3"/>
  <c r="AB28" i="3"/>
  <c r="V15" i="3"/>
  <c r="U54" i="3"/>
  <c r="O54" i="3"/>
  <c r="Q41" i="3"/>
  <c r="Y41" i="3"/>
  <c r="U28" i="3"/>
  <c r="O28" i="3"/>
  <c r="W15" i="3"/>
  <c r="V54" i="3"/>
  <c r="R41" i="3"/>
  <c r="Z41" i="3"/>
  <c r="V28" i="3"/>
  <c r="X15" i="3"/>
  <c r="P15" i="3"/>
  <c r="W54" i="3"/>
  <c r="S41" i="3"/>
  <c r="AA41" i="3"/>
  <c r="W28" i="3"/>
  <c r="Q15" i="3"/>
  <c r="Y15" i="3"/>
  <c r="P54" i="3"/>
  <c r="X54" i="3"/>
  <c r="T41" i="3"/>
  <c r="AB41" i="3"/>
  <c r="P28" i="3"/>
  <c r="X28" i="3"/>
  <c r="R15" i="3"/>
  <c r="Z15" i="3"/>
  <c r="Q54" i="3"/>
  <c r="Y54" i="3"/>
  <c r="U41" i="3"/>
  <c r="O41" i="3"/>
  <c r="Q28" i="3"/>
  <c r="Y28" i="3"/>
  <c r="S15" i="3"/>
  <c r="AA15" i="3"/>
  <c r="R54" i="3"/>
  <c r="Z28" i="3"/>
  <c r="AB15" i="3"/>
  <c r="Z54" i="3"/>
  <c r="V41" i="3"/>
  <c r="R28" i="3"/>
  <c r="T15" i="3"/>
  <c r="T57" i="3"/>
  <c r="AB57" i="3"/>
  <c r="P44" i="3"/>
  <c r="X44" i="3"/>
  <c r="T31" i="3"/>
  <c r="AB31" i="3"/>
  <c r="Q18" i="3"/>
  <c r="Y18" i="3"/>
  <c r="U57" i="3"/>
  <c r="Q44" i="3"/>
  <c r="Y44" i="3"/>
  <c r="O44" i="3"/>
  <c r="U31" i="3"/>
  <c r="R18" i="3"/>
  <c r="Z18" i="3"/>
  <c r="V57" i="3"/>
  <c r="R44" i="3"/>
  <c r="Z44" i="3"/>
  <c r="V31" i="3"/>
  <c r="S18" i="3"/>
  <c r="AA18" i="3"/>
  <c r="W57" i="3"/>
  <c r="S44" i="3"/>
  <c r="AA44" i="3"/>
  <c r="W31" i="3"/>
  <c r="T18" i="3"/>
  <c r="AB18" i="3"/>
  <c r="P57" i="3"/>
  <c r="X57" i="3"/>
  <c r="T44" i="3"/>
  <c r="AB44" i="3"/>
  <c r="P31" i="3"/>
  <c r="X31" i="3"/>
  <c r="U18" i="3"/>
  <c r="Q57" i="3"/>
  <c r="Y57" i="3"/>
  <c r="O57" i="3"/>
  <c r="U44" i="3"/>
  <c r="Q31" i="3"/>
  <c r="Y31" i="3"/>
  <c r="O31" i="3"/>
  <c r="V18" i="3"/>
  <c r="P18" i="3"/>
  <c r="R57" i="3"/>
  <c r="Z57" i="3"/>
  <c r="V44" i="3"/>
  <c r="R31" i="3"/>
  <c r="Z31" i="3"/>
  <c r="W18" i="3"/>
  <c r="S31" i="3"/>
  <c r="W44" i="3"/>
  <c r="AA31" i="3"/>
  <c r="X18" i="3"/>
  <c r="S57" i="3"/>
  <c r="AA57" i="3"/>
  <c r="C10" i="3"/>
  <c r="P12" i="3"/>
  <c r="R51" i="3"/>
  <c r="Z51" i="3"/>
  <c r="V38" i="3"/>
  <c r="R25" i="3"/>
  <c r="Z25" i="3"/>
  <c r="Q12" i="3"/>
  <c r="Y12" i="3"/>
  <c r="S51" i="3"/>
  <c r="AA51" i="3"/>
  <c r="W38" i="3"/>
  <c r="S25" i="3"/>
  <c r="AA25" i="3"/>
  <c r="R12" i="3"/>
  <c r="Z12" i="3"/>
  <c r="P9" i="6"/>
  <c r="T51" i="3"/>
  <c r="AB51" i="3"/>
  <c r="P38" i="3"/>
  <c r="X38" i="3"/>
  <c r="T25" i="3"/>
  <c r="AB25" i="3"/>
  <c r="S12" i="3"/>
  <c r="AA12" i="3"/>
  <c r="U51" i="3"/>
  <c r="Q38" i="3"/>
  <c r="Y38" i="3"/>
  <c r="O38" i="3"/>
  <c r="U25" i="3"/>
  <c r="T12" i="3"/>
  <c r="AB12" i="3"/>
  <c r="V51" i="3"/>
  <c r="R38" i="3"/>
  <c r="Z38" i="3"/>
  <c r="V25" i="3"/>
  <c r="U12" i="3"/>
  <c r="W51" i="3"/>
  <c r="S38" i="3"/>
  <c r="AA38" i="3"/>
  <c r="W25" i="3"/>
  <c r="V12" i="3"/>
  <c r="P51" i="3"/>
  <c r="X51" i="3"/>
  <c r="T38" i="3"/>
  <c r="AB38" i="3"/>
  <c r="P25" i="3"/>
  <c r="X25" i="3"/>
  <c r="W12" i="3"/>
  <c r="O51" i="3"/>
  <c r="X12" i="3"/>
  <c r="U38" i="3"/>
  <c r="Q51" i="3"/>
  <c r="O25" i="3"/>
  <c r="Y25" i="3"/>
  <c r="Y51" i="3"/>
  <c r="Q25" i="3"/>
  <c r="P10" i="6"/>
  <c r="U52" i="3"/>
  <c r="O52" i="3"/>
  <c r="Q39" i="3"/>
  <c r="Y39" i="3"/>
  <c r="U26" i="3"/>
  <c r="O26" i="3"/>
  <c r="U13" i="3"/>
  <c r="V52" i="3"/>
  <c r="R39" i="3"/>
  <c r="Z39" i="3"/>
  <c r="V26" i="3"/>
  <c r="V13" i="3"/>
  <c r="P13" i="3"/>
  <c r="W52" i="3"/>
  <c r="S39" i="3"/>
  <c r="AA39" i="3"/>
  <c r="W26" i="3"/>
  <c r="W13" i="3"/>
  <c r="P52" i="3"/>
  <c r="X52" i="3"/>
  <c r="T39" i="3"/>
  <c r="AB39" i="3"/>
  <c r="P26" i="3"/>
  <c r="X26" i="3"/>
  <c r="X13" i="3"/>
  <c r="Q52" i="3"/>
  <c r="Y52" i="3"/>
  <c r="U39" i="3"/>
  <c r="O39" i="3"/>
  <c r="Q26" i="3"/>
  <c r="Y26" i="3"/>
  <c r="Q13" i="3"/>
  <c r="Y13" i="3"/>
  <c r="R52" i="3"/>
  <c r="Z52" i="3"/>
  <c r="V39" i="3"/>
  <c r="R26" i="3"/>
  <c r="Z26" i="3"/>
  <c r="R13" i="3"/>
  <c r="Z13" i="3"/>
  <c r="S52" i="3"/>
  <c r="AA52" i="3"/>
  <c r="W39" i="3"/>
  <c r="S26" i="3"/>
  <c r="AA26" i="3"/>
  <c r="S13" i="3"/>
  <c r="AA13" i="3"/>
  <c r="T26" i="3"/>
  <c r="AB26" i="3"/>
  <c r="T13" i="3"/>
  <c r="AB13" i="3"/>
  <c r="T52" i="3"/>
  <c r="AB52" i="3"/>
  <c r="P39" i="3"/>
  <c r="X39" i="3"/>
  <c r="P7" i="6"/>
  <c r="T49" i="3"/>
  <c r="AB49" i="3"/>
  <c r="P36" i="3"/>
  <c r="X36" i="3"/>
  <c r="T23" i="3"/>
  <c r="AB23" i="3"/>
  <c r="Q10" i="3"/>
  <c r="Y10" i="3"/>
  <c r="U49" i="3"/>
  <c r="Q36" i="3"/>
  <c r="Y36" i="3"/>
  <c r="U23" i="3"/>
  <c r="R10" i="3"/>
  <c r="Z10" i="3"/>
  <c r="V49" i="3"/>
  <c r="R36" i="3"/>
  <c r="Z36" i="3"/>
  <c r="V23" i="3"/>
  <c r="S10" i="3"/>
  <c r="AA10" i="3"/>
  <c r="W49" i="3"/>
  <c r="S36" i="3"/>
  <c r="AA36" i="3"/>
  <c r="O36" i="3"/>
  <c r="W23" i="3"/>
  <c r="T10" i="3"/>
  <c r="AB10" i="3"/>
  <c r="P49" i="3"/>
  <c r="X49" i="3"/>
  <c r="T36" i="3"/>
  <c r="AB36" i="3"/>
  <c r="P23" i="3"/>
  <c r="X23" i="3"/>
  <c r="U10" i="3"/>
  <c r="Q49" i="3"/>
  <c r="Y49" i="3"/>
  <c r="U36" i="3"/>
  <c r="Q23" i="3"/>
  <c r="Y23" i="3"/>
  <c r="V10" i="3"/>
  <c r="R49" i="3"/>
  <c r="Z49" i="3"/>
  <c r="V36" i="3"/>
  <c r="R23" i="3"/>
  <c r="Z23" i="3"/>
  <c r="W10" i="3"/>
  <c r="S49" i="3"/>
  <c r="AA49" i="3"/>
  <c r="O49" i="3"/>
  <c r="W36" i="3"/>
  <c r="O23" i="3"/>
  <c r="S23" i="3"/>
  <c r="AA23" i="3"/>
  <c r="X10" i="3"/>
  <c r="D18" i="3"/>
  <c r="D27" i="3"/>
  <c r="F24" i="3"/>
  <c r="H32" i="3"/>
  <c r="K10" i="3"/>
  <c r="Q9" i="6"/>
  <c r="G25" i="3"/>
  <c r="G50" i="3"/>
  <c r="G11" i="3"/>
  <c r="C45" i="3"/>
  <c r="K36" i="3"/>
  <c r="C51" i="3"/>
  <c r="G14" i="3"/>
  <c r="D29" i="3"/>
  <c r="L27" i="3"/>
  <c r="K11" i="3"/>
  <c r="I30" i="3"/>
  <c r="K24" i="3"/>
  <c r="H50" i="3"/>
  <c r="G27" i="3"/>
  <c r="G16" i="3"/>
  <c r="K37" i="3"/>
  <c r="C15" i="3"/>
  <c r="I37" i="3"/>
  <c r="G40" i="3"/>
  <c r="H52" i="3"/>
  <c r="C41" i="3"/>
  <c r="I43" i="3"/>
  <c r="I56" i="3"/>
  <c r="K43" i="3"/>
  <c r="L11" i="3"/>
  <c r="I36" i="3"/>
  <c r="C12" i="3"/>
  <c r="L50" i="3"/>
  <c r="I23" i="3"/>
  <c r="C28" i="3"/>
  <c r="D40" i="3"/>
  <c r="L24" i="3"/>
  <c r="H28" i="3"/>
  <c r="I10" i="3"/>
  <c r="G37" i="3"/>
  <c r="I24" i="3"/>
  <c r="I58" i="3"/>
  <c r="G29" i="3"/>
  <c r="G51" i="3"/>
  <c r="D44" i="3"/>
  <c r="E36" i="3"/>
  <c r="E10" i="3"/>
  <c r="J36" i="3"/>
  <c r="J23" i="3"/>
  <c r="H10" i="3"/>
  <c r="H36" i="3"/>
  <c r="F11" i="3"/>
  <c r="F37" i="3"/>
  <c r="D24" i="3"/>
  <c r="D50" i="3"/>
  <c r="D11" i="3"/>
  <c r="F50" i="3"/>
  <c r="H23" i="3"/>
  <c r="J10" i="3"/>
  <c r="E23" i="3"/>
  <c r="J49" i="3"/>
  <c r="D31" i="3"/>
  <c r="D37" i="3"/>
  <c r="E49" i="3"/>
  <c r="H49" i="3"/>
  <c r="I17" i="3"/>
  <c r="C32" i="3"/>
  <c r="I45" i="3"/>
  <c r="K17" i="3"/>
  <c r="K30" i="3"/>
  <c r="H58" i="3"/>
  <c r="K49" i="3"/>
  <c r="L37" i="3"/>
  <c r="I49" i="3"/>
  <c r="C54" i="3"/>
  <c r="G24" i="3"/>
  <c r="T7" i="6"/>
  <c r="X7" i="6"/>
  <c r="AB7" i="6"/>
  <c r="V7" i="6"/>
  <c r="S7" i="6"/>
  <c r="Q7" i="6"/>
  <c r="U7" i="6"/>
  <c r="Y7" i="6"/>
  <c r="R7" i="6"/>
  <c r="Z7" i="6"/>
  <c r="W7" i="6"/>
  <c r="AA7" i="6"/>
  <c r="Q16" i="6"/>
  <c r="U16" i="6"/>
  <c r="Y16" i="6"/>
  <c r="P16" i="6"/>
  <c r="W16" i="6"/>
  <c r="X16" i="6"/>
  <c r="R16" i="6"/>
  <c r="V16" i="6"/>
  <c r="Z16" i="6"/>
  <c r="S16" i="6"/>
  <c r="AA16" i="6"/>
  <c r="T16" i="6"/>
  <c r="AB16" i="6"/>
  <c r="Q14" i="6"/>
  <c r="U14" i="6"/>
  <c r="Y14" i="6"/>
  <c r="W14" i="6"/>
  <c r="T14" i="6"/>
  <c r="AB14" i="6"/>
  <c r="R14" i="6"/>
  <c r="V14" i="6"/>
  <c r="Z14" i="6"/>
  <c r="S14" i="6"/>
  <c r="AA14" i="6"/>
  <c r="X14" i="6"/>
  <c r="Q13" i="6"/>
  <c r="U13" i="6"/>
  <c r="Y13" i="6"/>
  <c r="W13" i="6"/>
  <c r="X13" i="6"/>
  <c r="R13" i="6"/>
  <c r="V13" i="6"/>
  <c r="Z13" i="6"/>
  <c r="P13" i="6"/>
  <c r="S13" i="6"/>
  <c r="T13" i="6"/>
  <c r="AB13" i="6"/>
  <c r="AA13" i="6"/>
  <c r="O10" i="3"/>
  <c r="Q12" i="6"/>
  <c r="U12" i="6"/>
  <c r="Y12" i="6"/>
  <c r="P12" i="6"/>
  <c r="S12" i="6"/>
  <c r="AA12" i="6"/>
  <c r="T12" i="6"/>
  <c r="AB12" i="6"/>
  <c r="R12" i="6"/>
  <c r="V12" i="6"/>
  <c r="Z12" i="6"/>
  <c r="W12" i="6"/>
  <c r="X12" i="6"/>
  <c r="Q15" i="6"/>
  <c r="U15" i="6"/>
  <c r="Y15" i="6"/>
  <c r="S15" i="6"/>
  <c r="AA15" i="6"/>
  <c r="X15" i="6"/>
  <c r="P15" i="6"/>
  <c r="R15" i="6"/>
  <c r="V15" i="6"/>
  <c r="Z15" i="6"/>
  <c r="W15" i="6"/>
  <c r="T15" i="6"/>
  <c r="AB15" i="6"/>
  <c r="U9" i="6"/>
  <c r="Y9" i="6"/>
  <c r="W9" i="6"/>
  <c r="X9" i="6"/>
  <c r="V9" i="6"/>
  <c r="Z9" i="6"/>
  <c r="R9" i="6"/>
  <c r="S9" i="6"/>
  <c r="AA9" i="6"/>
  <c r="T9" i="6"/>
  <c r="AB9" i="6"/>
  <c r="Q11" i="6"/>
  <c r="U11" i="6"/>
  <c r="Y11" i="6"/>
  <c r="W11" i="6"/>
  <c r="X11" i="6"/>
  <c r="R11" i="6"/>
  <c r="V11" i="6"/>
  <c r="Z11" i="6"/>
  <c r="S11" i="6"/>
  <c r="AA11" i="6"/>
  <c r="T11" i="6"/>
  <c r="AB11" i="6"/>
  <c r="Q10" i="6"/>
  <c r="U10" i="6"/>
  <c r="Y10" i="6"/>
  <c r="S10" i="6"/>
  <c r="AA10" i="6"/>
  <c r="T10" i="6"/>
  <c r="AB10" i="6"/>
  <c r="R10" i="6"/>
  <c r="V10" i="6"/>
  <c r="Z10" i="6"/>
  <c r="W10" i="6"/>
  <c r="X10" i="6"/>
  <c r="G12" i="3"/>
  <c r="C49" i="3"/>
  <c r="C53" i="3"/>
  <c r="G10" i="3"/>
  <c r="D25" i="3"/>
  <c r="C27" i="3"/>
  <c r="G36" i="3"/>
  <c r="C40" i="3"/>
  <c r="K54" i="3"/>
  <c r="O14" i="3"/>
  <c r="C37" i="3"/>
  <c r="L31" i="3"/>
  <c r="I50" i="3"/>
  <c r="D55" i="3"/>
  <c r="G57" i="3"/>
  <c r="C24" i="3"/>
  <c r="G31" i="3"/>
  <c r="L44" i="3"/>
  <c r="K28" i="3"/>
  <c r="I41" i="3"/>
  <c r="G18" i="3"/>
  <c r="K15" i="3"/>
  <c r="O18" i="3"/>
  <c r="I54" i="3"/>
  <c r="I28" i="3"/>
  <c r="L57" i="3"/>
  <c r="K58" i="3"/>
  <c r="K41" i="3"/>
  <c r="G44" i="3"/>
  <c r="L18" i="3"/>
  <c r="I15" i="3"/>
  <c r="I11" i="3"/>
  <c r="G55" i="3"/>
  <c r="D57" i="3"/>
  <c r="C36" i="3"/>
  <c r="G38" i="3"/>
  <c r="I32" i="3"/>
  <c r="H24" i="3"/>
  <c r="H39" i="3"/>
  <c r="C58" i="3"/>
  <c r="G53" i="3"/>
  <c r="I52" i="3"/>
  <c r="K52" i="3"/>
  <c r="D53" i="3"/>
  <c r="L10" i="3"/>
  <c r="K56" i="3"/>
  <c r="K39" i="3"/>
  <c r="L36" i="3"/>
  <c r="O16" i="3"/>
  <c r="L29" i="3"/>
  <c r="K45" i="3"/>
  <c r="K13" i="3"/>
  <c r="L55" i="3"/>
  <c r="K19" i="3"/>
  <c r="H45" i="6"/>
  <c r="L23" i="3"/>
  <c r="L49" i="3"/>
  <c r="K32" i="3"/>
  <c r="J45" i="6"/>
  <c r="L45" i="6"/>
  <c r="D23" i="3"/>
  <c r="I26" i="3"/>
  <c r="E45" i="6"/>
  <c r="M45" i="6"/>
  <c r="I13" i="3"/>
  <c r="H13" i="3"/>
  <c r="D16" i="3"/>
  <c r="D42" i="3"/>
  <c r="I39" i="3"/>
  <c r="O12" i="3"/>
  <c r="H26" i="3"/>
  <c r="G42" i="3"/>
  <c r="D49" i="3"/>
  <c r="K45" i="6"/>
  <c r="D14" i="3"/>
  <c r="C11" i="3"/>
  <c r="H56" i="3"/>
  <c r="H43" i="3"/>
  <c r="H17" i="3"/>
  <c r="G49" i="3"/>
  <c r="G45" i="6"/>
  <c r="D51" i="3"/>
  <c r="C45" i="6"/>
  <c r="I19" i="3"/>
  <c r="L51" i="3"/>
  <c r="L38" i="3"/>
  <c r="L12" i="3"/>
  <c r="H11" i="3"/>
  <c r="H37" i="3"/>
  <c r="D45" i="6"/>
  <c r="D10" i="3"/>
  <c r="D36" i="3"/>
  <c r="I45" i="6"/>
  <c r="D38" i="3"/>
  <c r="D12" i="3"/>
  <c r="H54" i="3"/>
  <c r="H15" i="3"/>
  <c r="H41" i="3"/>
  <c r="L14" i="3"/>
  <c r="L40" i="3"/>
  <c r="C38" i="3"/>
  <c r="C25" i="3"/>
  <c r="G23" i="3"/>
  <c r="L16" i="3"/>
  <c r="L42" i="3"/>
  <c r="H30" i="3"/>
  <c r="C23" i="3"/>
  <c r="H45" i="3"/>
  <c r="H19" i="3"/>
  <c r="C44" i="3"/>
  <c r="C18" i="3"/>
  <c r="C57" i="3"/>
  <c r="C31" i="3"/>
  <c r="J37" i="3"/>
  <c r="J11" i="3"/>
  <c r="J50" i="3"/>
  <c r="J24" i="3"/>
  <c r="H29" i="3"/>
  <c r="H16" i="3"/>
  <c r="H42" i="3"/>
  <c r="H55" i="3"/>
  <c r="E40" i="3"/>
  <c r="E53" i="3"/>
  <c r="E27" i="3"/>
  <c r="E14" i="3"/>
  <c r="M50" i="3"/>
  <c r="M37" i="3"/>
  <c r="M24" i="3"/>
  <c r="M11" i="3"/>
  <c r="E56" i="3"/>
  <c r="E30" i="3"/>
  <c r="E43" i="3"/>
  <c r="E17" i="3"/>
  <c r="F52" i="3"/>
  <c r="F26" i="3"/>
  <c r="F39" i="3"/>
  <c r="F13" i="3"/>
  <c r="J57" i="3"/>
  <c r="J31" i="3"/>
  <c r="J18" i="3"/>
  <c r="J44" i="3"/>
  <c r="E44" i="3"/>
  <c r="E31" i="3"/>
  <c r="E57" i="3"/>
  <c r="E18" i="3"/>
  <c r="O15" i="3"/>
  <c r="F12" i="3"/>
  <c r="F38" i="3"/>
  <c r="F51" i="3"/>
  <c r="F25" i="3"/>
  <c r="J56" i="3"/>
  <c r="J43" i="3"/>
  <c r="J17" i="3"/>
  <c r="J30" i="3"/>
  <c r="K16" i="3"/>
  <c r="K55" i="3"/>
  <c r="K29" i="3"/>
  <c r="K42" i="3"/>
  <c r="H25" i="3"/>
  <c r="H12" i="3"/>
  <c r="H38" i="3"/>
  <c r="H51" i="3"/>
  <c r="M44" i="3"/>
  <c r="M31" i="3"/>
  <c r="M57" i="3"/>
  <c r="M18" i="3"/>
  <c r="E52" i="3"/>
  <c r="E39" i="3"/>
  <c r="E26" i="3"/>
  <c r="E13" i="3"/>
  <c r="I57" i="3"/>
  <c r="I44" i="3"/>
  <c r="I31" i="3"/>
  <c r="I18" i="3"/>
  <c r="N58" i="3"/>
  <c r="N32" i="3"/>
  <c r="N45" i="3"/>
  <c r="N19" i="3"/>
  <c r="G56" i="3"/>
  <c r="G30" i="3"/>
  <c r="G17" i="3"/>
  <c r="G43" i="3"/>
  <c r="J39" i="3"/>
  <c r="J13" i="3"/>
  <c r="J52" i="3"/>
  <c r="J26" i="3"/>
  <c r="N44" i="3"/>
  <c r="N57" i="3"/>
  <c r="N18" i="3"/>
  <c r="N31" i="3"/>
  <c r="L28" i="3"/>
  <c r="L15" i="3"/>
  <c r="L41" i="3"/>
  <c r="L54" i="3"/>
  <c r="E50" i="3"/>
  <c r="E24" i="3"/>
  <c r="E11" i="3"/>
  <c r="E37" i="3"/>
  <c r="D30" i="3"/>
  <c r="D17" i="3"/>
  <c r="D43" i="3"/>
  <c r="D56" i="3"/>
  <c r="I51" i="3"/>
  <c r="I25" i="3"/>
  <c r="I12" i="3"/>
  <c r="I38" i="3"/>
  <c r="N52" i="3"/>
  <c r="N26" i="3"/>
  <c r="N13" i="3"/>
  <c r="N39" i="3"/>
  <c r="L30" i="3"/>
  <c r="L17" i="3"/>
  <c r="L43" i="3"/>
  <c r="L56" i="3"/>
  <c r="J40" i="3"/>
  <c r="J53" i="3"/>
  <c r="J27" i="3"/>
  <c r="J14" i="3"/>
  <c r="D26" i="3"/>
  <c r="D13" i="3"/>
  <c r="D39" i="3"/>
  <c r="D52" i="3"/>
  <c r="H31" i="3"/>
  <c r="H18" i="3"/>
  <c r="H44" i="3"/>
  <c r="H57" i="3"/>
  <c r="M52" i="3"/>
  <c r="M26" i="3"/>
  <c r="M13" i="3"/>
  <c r="M39" i="3"/>
  <c r="E58" i="3"/>
  <c r="E32" i="3"/>
  <c r="E19" i="3"/>
  <c r="E45" i="3"/>
  <c r="F54" i="3"/>
  <c r="F28" i="3"/>
  <c r="F15" i="3"/>
  <c r="F41" i="3"/>
  <c r="C30" i="3"/>
  <c r="C56" i="3"/>
  <c r="C17" i="3"/>
  <c r="C43" i="3"/>
  <c r="K51" i="3"/>
  <c r="K25" i="3"/>
  <c r="K12" i="3"/>
  <c r="K38" i="3"/>
  <c r="O17" i="3"/>
  <c r="F40" i="3"/>
  <c r="F14" i="3"/>
  <c r="F53" i="3"/>
  <c r="F27" i="3"/>
  <c r="J45" i="3"/>
  <c r="J58" i="3"/>
  <c r="J19" i="3"/>
  <c r="J32" i="3"/>
  <c r="G54" i="3"/>
  <c r="G28" i="3"/>
  <c r="G15" i="3"/>
  <c r="G41" i="3"/>
  <c r="L26" i="3"/>
  <c r="L13" i="3"/>
  <c r="L39" i="3"/>
  <c r="L52" i="3"/>
  <c r="I53" i="3"/>
  <c r="I27" i="3"/>
  <c r="I40" i="3"/>
  <c r="I14" i="3"/>
  <c r="N54" i="3"/>
  <c r="N28" i="3"/>
  <c r="N41" i="3"/>
  <c r="N15" i="3"/>
  <c r="G52" i="3"/>
  <c r="G13" i="3"/>
  <c r="G26" i="3"/>
  <c r="G39" i="3"/>
  <c r="K57" i="3"/>
  <c r="K18" i="3"/>
  <c r="K31" i="3"/>
  <c r="K44" i="3"/>
  <c r="N40" i="3"/>
  <c r="N53" i="3"/>
  <c r="N14" i="3"/>
  <c r="N27" i="3"/>
  <c r="C26" i="3"/>
  <c r="C13" i="3"/>
  <c r="C39" i="3"/>
  <c r="C52" i="3"/>
  <c r="N16" i="3"/>
  <c r="N42" i="3"/>
  <c r="N55" i="3"/>
  <c r="N29" i="3"/>
  <c r="M56" i="3"/>
  <c r="M30" i="3"/>
  <c r="M17" i="3"/>
  <c r="M43" i="3"/>
  <c r="F45" i="3"/>
  <c r="F58" i="3"/>
  <c r="F32" i="3"/>
  <c r="F19" i="3"/>
  <c r="F44" i="3"/>
  <c r="F57" i="3"/>
  <c r="F18" i="3"/>
  <c r="F31" i="3"/>
  <c r="D32" i="3"/>
  <c r="D19" i="3"/>
  <c r="D45" i="3"/>
  <c r="D58" i="3"/>
  <c r="M58" i="3"/>
  <c r="M32" i="3"/>
  <c r="M45" i="3"/>
  <c r="M19" i="3"/>
  <c r="H27" i="3"/>
  <c r="H14" i="3"/>
  <c r="H40" i="3"/>
  <c r="H53" i="3"/>
  <c r="L32" i="3"/>
  <c r="L19" i="3"/>
  <c r="L45" i="3"/>
  <c r="L58" i="3"/>
  <c r="E38" i="3"/>
  <c r="E25" i="3"/>
  <c r="E51" i="3"/>
  <c r="E12" i="3"/>
  <c r="E54" i="3"/>
  <c r="E28" i="3"/>
  <c r="E15" i="3"/>
  <c r="E41" i="3"/>
  <c r="C55" i="3"/>
  <c r="C16" i="3"/>
  <c r="C29" i="3"/>
  <c r="C42" i="3"/>
  <c r="J55" i="3"/>
  <c r="J29" i="3"/>
  <c r="J16" i="3"/>
  <c r="J42" i="3"/>
  <c r="O13" i="3"/>
  <c r="G19" i="3"/>
  <c r="G58" i="3"/>
  <c r="G32" i="3"/>
  <c r="G45" i="3"/>
  <c r="F45" i="6"/>
  <c r="F36" i="3"/>
  <c r="F49" i="3"/>
  <c r="F10" i="3"/>
  <c r="F23" i="3"/>
  <c r="J41" i="3"/>
  <c r="J54" i="3"/>
  <c r="J15" i="3"/>
  <c r="J28" i="3"/>
  <c r="I55" i="3"/>
  <c r="I42" i="3"/>
  <c r="I29" i="3"/>
  <c r="I16" i="3"/>
  <c r="J38" i="3"/>
  <c r="J51" i="3"/>
  <c r="J25" i="3"/>
  <c r="J12" i="3"/>
  <c r="N56" i="3"/>
  <c r="N43" i="3"/>
  <c r="N30" i="3"/>
  <c r="N17" i="3"/>
  <c r="E42" i="3"/>
  <c r="E29" i="3"/>
  <c r="E55" i="3"/>
  <c r="E16" i="3"/>
  <c r="M42" i="3"/>
  <c r="M55" i="3"/>
  <c r="M29" i="3"/>
  <c r="M16" i="3"/>
  <c r="N38" i="3"/>
  <c r="N12" i="3"/>
  <c r="N51" i="3"/>
  <c r="N25" i="3"/>
  <c r="D28" i="3"/>
  <c r="D15" i="3"/>
  <c r="D41" i="3"/>
  <c r="D54" i="3"/>
  <c r="M38" i="3"/>
  <c r="M25" i="3"/>
  <c r="M51" i="3"/>
  <c r="M12" i="3"/>
  <c r="M54" i="3"/>
  <c r="M28" i="3"/>
  <c r="M15" i="3"/>
  <c r="M41" i="3"/>
  <c r="F43" i="3"/>
  <c r="F56" i="3"/>
  <c r="F30" i="3"/>
  <c r="F17" i="3"/>
  <c r="M40" i="3"/>
  <c r="M53" i="3"/>
  <c r="M27" i="3"/>
  <c r="M14" i="3"/>
  <c r="K14" i="3"/>
  <c r="K53" i="3"/>
  <c r="K27" i="3"/>
  <c r="K40" i="3"/>
  <c r="O19" i="3"/>
  <c r="N45" i="6"/>
  <c r="N49" i="3"/>
  <c r="N10" i="3"/>
  <c r="N36" i="3"/>
  <c r="N23" i="3"/>
  <c r="F42" i="3"/>
  <c r="F55" i="3"/>
  <c r="F29" i="3"/>
  <c r="F16" i="3"/>
  <c r="W46" i="3" l="1"/>
  <c r="Z59" i="3"/>
  <c r="U20" i="3"/>
  <c r="T20" i="3"/>
  <c r="V33" i="3"/>
  <c r="Q46" i="3"/>
  <c r="AB59" i="3"/>
  <c r="R59" i="3"/>
  <c r="X33" i="3"/>
  <c r="W33" i="3"/>
  <c r="Z46" i="3"/>
  <c r="U59" i="3"/>
  <c r="T59" i="3"/>
  <c r="AA59" i="3"/>
  <c r="V20" i="3"/>
  <c r="P33" i="3"/>
  <c r="R46" i="3"/>
  <c r="Y20" i="3"/>
  <c r="P17" i="6"/>
  <c r="P20" i="3"/>
  <c r="S59" i="3"/>
  <c r="Y33" i="3"/>
  <c r="AB46" i="3"/>
  <c r="AA46" i="3"/>
  <c r="V59" i="3"/>
  <c r="Q20" i="3"/>
  <c r="X20" i="3"/>
  <c r="W20" i="3"/>
  <c r="Q33" i="3"/>
  <c r="T46" i="3"/>
  <c r="S46" i="3"/>
  <c r="Z20" i="3"/>
  <c r="AB33" i="3"/>
  <c r="AA33" i="3"/>
  <c r="Z33" i="3"/>
  <c r="U46" i="3"/>
  <c r="X59" i="3"/>
  <c r="W59" i="3"/>
  <c r="R20" i="3"/>
  <c r="T33" i="3"/>
  <c r="S33" i="3"/>
  <c r="R33" i="3"/>
  <c r="Y59" i="3"/>
  <c r="P59" i="3"/>
  <c r="AA20" i="3"/>
  <c r="U33" i="3"/>
  <c r="X46" i="3"/>
  <c r="V46" i="3"/>
  <c r="Q59" i="3"/>
  <c r="AB20" i="3"/>
  <c r="S20" i="3"/>
  <c r="Y46" i="3"/>
  <c r="P46" i="3"/>
  <c r="Z17" i="6"/>
  <c r="AB17" i="6"/>
  <c r="R17" i="6"/>
  <c r="X17" i="6"/>
  <c r="T17" i="6"/>
  <c r="Y17" i="6"/>
  <c r="U17" i="6"/>
  <c r="Q17" i="6"/>
  <c r="AA17" i="6"/>
  <c r="S17" i="6"/>
  <c r="W17" i="6"/>
  <c r="V17" i="6"/>
  <c r="H59" i="3"/>
  <c r="H33" i="3"/>
  <c r="I59" i="3"/>
  <c r="I20" i="3"/>
  <c r="K33" i="3"/>
  <c r="H20" i="3"/>
  <c r="O20" i="3"/>
  <c r="G46" i="3"/>
  <c r="E33" i="3"/>
  <c r="L20" i="3"/>
  <c r="F33" i="3"/>
  <c r="K46" i="3"/>
  <c r="G59" i="3"/>
  <c r="G33" i="3"/>
  <c r="J46" i="3"/>
  <c r="K20" i="3"/>
  <c r="C33" i="3"/>
  <c r="J59" i="3"/>
  <c r="D59" i="3"/>
  <c r="G20" i="3"/>
  <c r="D46" i="3"/>
  <c r="E46" i="3"/>
  <c r="L33" i="3"/>
  <c r="I46" i="3"/>
  <c r="D20" i="3"/>
  <c r="O59" i="3"/>
  <c r="I33" i="3"/>
  <c r="L59" i="3"/>
  <c r="E20" i="3"/>
  <c r="O46" i="3"/>
  <c r="O33" i="3"/>
  <c r="M46" i="3"/>
  <c r="C59" i="3"/>
  <c r="K59" i="3"/>
  <c r="C20" i="3"/>
  <c r="M20" i="3"/>
  <c r="D33" i="3"/>
  <c r="J33" i="3"/>
  <c r="J20" i="3"/>
  <c r="L46" i="3"/>
  <c r="H46" i="3"/>
  <c r="C46" i="3"/>
  <c r="F20" i="3"/>
  <c r="E59" i="3"/>
  <c r="M59" i="3"/>
  <c r="F59" i="3"/>
  <c r="N33" i="3"/>
  <c r="N46" i="3"/>
  <c r="N20" i="3"/>
  <c r="F46" i="3"/>
  <c r="N59" i="3"/>
  <c r="M33" i="3"/>
  <c r="P27" i="6" l="1"/>
  <c r="Q25" i="6" s="1"/>
  <c r="P28" i="6" l="1"/>
  <c r="R3" i="15"/>
  <c r="P29" i="6"/>
  <c r="Q26" i="6"/>
  <c r="R39" i="15" l="1"/>
  <c r="R57" i="15"/>
  <c r="R13" i="15"/>
  <c r="R56" i="15"/>
  <c r="R80" i="15"/>
  <c r="R65" i="15"/>
  <c r="R60" i="15"/>
  <c r="R61" i="15"/>
  <c r="R45" i="15"/>
  <c r="R4" i="15"/>
  <c r="R83" i="15"/>
  <c r="R40" i="15"/>
  <c r="R8" i="15"/>
  <c r="R10" i="15"/>
  <c r="R9" i="15"/>
  <c r="R78" i="15"/>
  <c r="R58" i="15"/>
  <c r="R59" i="15"/>
  <c r="R48" i="15"/>
  <c r="R47" i="15"/>
  <c r="R7" i="15"/>
  <c r="R6" i="15"/>
  <c r="R5" i="15"/>
  <c r="R43" i="15"/>
  <c r="R79" i="15"/>
  <c r="R81" i="15"/>
  <c r="R82" i="15"/>
  <c r="R75" i="15"/>
  <c r="R63" i="15"/>
  <c r="R64" i="15"/>
  <c r="R62" i="15"/>
  <c r="R42" i="15"/>
  <c r="R11" i="15"/>
  <c r="R12" i="15"/>
  <c r="R74" i="15"/>
  <c r="R76" i="15"/>
  <c r="R77" i="15"/>
  <c r="R46" i="15"/>
  <c r="R44" i="15"/>
  <c r="R41" i="15"/>
  <c r="Q27" i="6"/>
  <c r="R25" i="6" s="1"/>
  <c r="Q28" i="6" l="1"/>
  <c r="R26" i="6"/>
  <c r="R27" i="6" s="1"/>
  <c r="S25" i="6" s="1"/>
  <c r="Q29" i="6" l="1"/>
  <c r="S3" i="15"/>
  <c r="R28" i="6"/>
  <c r="S26" i="6"/>
  <c r="R29" i="6" l="1"/>
  <c r="T3" i="15"/>
  <c r="S82" i="15"/>
  <c r="S83" i="15"/>
  <c r="S44" i="15"/>
  <c r="S5" i="15"/>
  <c r="S75" i="15"/>
  <c r="S56" i="15"/>
  <c r="S61" i="15"/>
  <c r="S43" i="15"/>
  <c r="S42" i="15"/>
  <c r="S6" i="15"/>
  <c r="S80" i="15"/>
  <c r="S62" i="15"/>
  <c r="S11" i="15"/>
  <c r="S8" i="15"/>
  <c r="S79" i="15"/>
  <c r="S57" i="15"/>
  <c r="S48" i="15"/>
  <c r="S81" i="15"/>
  <c r="S58" i="15"/>
  <c r="S63" i="15"/>
  <c r="S45" i="15"/>
  <c r="S40" i="15"/>
  <c r="S7" i="15"/>
  <c r="S10" i="15"/>
  <c r="S60" i="15"/>
  <c r="S47" i="15"/>
  <c r="S78" i="15"/>
  <c r="S77" i="15"/>
  <c r="S64" i="15"/>
  <c r="S46" i="15"/>
  <c r="S13" i="15"/>
  <c r="S74" i="15"/>
  <c r="S59" i="15"/>
  <c r="S41" i="15"/>
  <c r="S12" i="15"/>
  <c r="S4" i="15"/>
  <c r="S76" i="15"/>
  <c r="S65" i="15"/>
  <c r="S39" i="15"/>
  <c r="S9" i="15"/>
  <c r="S27" i="6"/>
  <c r="T25" i="6" s="1"/>
  <c r="T80" i="15" l="1"/>
  <c r="T64" i="15"/>
  <c r="T63" i="15"/>
  <c r="T45" i="15"/>
  <c r="T39" i="15"/>
  <c r="T79" i="15"/>
  <c r="T44" i="15"/>
  <c r="T13" i="15"/>
  <c r="T12" i="15"/>
  <c r="T76" i="15"/>
  <c r="T60" i="15"/>
  <c r="T59" i="15"/>
  <c r="T41" i="15"/>
  <c r="T11" i="15"/>
  <c r="T82" i="15"/>
  <c r="T75" i="15"/>
  <c r="T65" i="15"/>
  <c r="T40" i="15"/>
  <c r="T47" i="15"/>
  <c r="T5" i="15"/>
  <c r="T8" i="15"/>
  <c r="T10" i="15"/>
  <c r="T81" i="15"/>
  <c r="T56" i="15"/>
  <c r="T46" i="15"/>
  <c r="T83" i="15"/>
  <c r="T58" i="15"/>
  <c r="T57" i="15"/>
  <c r="T48" i="15"/>
  <c r="T78" i="15"/>
  <c r="T62" i="15"/>
  <c r="T61" i="15"/>
  <c r="T43" i="15"/>
  <c r="T4" i="15"/>
  <c r="T7" i="15"/>
  <c r="T77" i="15"/>
  <c r="T42" i="15"/>
  <c r="T9" i="15"/>
  <c r="T74" i="15"/>
  <c r="T6" i="15"/>
  <c r="S28" i="6"/>
  <c r="T26" i="6"/>
  <c r="S29" i="6" l="1"/>
  <c r="U3" i="15"/>
  <c r="T27" i="6"/>
  <c r="U25" i="6" s="1"/>
  <c r="U80" i="15" l="1"/>
  <c r="U81" i="15"/>
  <c r="U64" i="15"/>
  <c r="U12" i="15"/>
  <c r="U11" i="15"/>
  <c r="U59" i="15"/>
  <c r="U40" i="15"/>
  <c r="U41" i="15"/>
  <c r="U76" i="15"/>
  <c r="U77" i="15"/>
  <c r="U60" i="15"/>
  <c r="U57" i="15"/>
  <c r="U46" i="15"/>
  <c r="U47" i="15"/>
  <c r="U8" i="15"/>
  <c r="U7" i="15"/>
  <c r="U45" i="15"/>
  <c r="U82" i="15"/>
  <c r="U83" i="15"/>
  <c r="U63" i="15"/>
  <c r="U13" i="15"/>
  <c r="U58" i="15"/>
  <c r="U5" i="15"/>
  <c r="U56" i="15"/>
  <c r="U65" i="15"/>
  <c r="U61" i="15"/>
  <c r="U48" i="15"/>
  <c r="U42" i="15"/>
  <c r="U43" i="15"/>
  <c r="U4" i="15"/>
  <c r="U75" i="15"/>
  <c r="U6" i="15"/>
  <c r="U78" i="15"/>
  <c r="U79" i="15"/>
  <c r="U62" i="15"/>
  <c r="U10" i="15"/>
  <c r="U9" i="15"/>
  <c r="U44" i="15"/>
  <c r="U74" i="15"/>
  <c r="U39" i="15"/>
  <c r="T28" i="6"/>
  <c r="U26" i="6"/>
  <c r="T29" i="6" l="1"/>
  <c r="V3" i="15"/>
  <c r="U27" i="6"/>
  <c r="V25" i="6" s="1"/>
  <c r="V82" i="15" l="1"/>
  <c r="V59" i="15"/>
  <c r="V42" i="15"/>
  <c r="V43" i="15"/>
  <c r="V11" i="15"/>
  <c r="V12" i="15"/>
  <c r="V79" i="15"/>
  <c r="V48" i="15"/>
  <c r="V41" i="15"/>
  <c r="V74" i="15"/>
  <c r="V75" i="15"/>
  <c r="V60" i="15"/>
  <c r="V8" i="15"/>
  <c r="V7" i="15"/>
  <c r="V76" i="15"/>
  <c r="V44" i="15"/>
  <c r="V47" i="15"/>
  <c r="V13" i="15"/>
  <c r="V77" i="15"/>
  <c r="V83" i="15"/>
  <c r="V56" i="15"/>
  <c r="V62" i="15"/>
  <c r="V65" i="15"/>
  <c r="V45" i="15"/>
  <c r="V4" i="15"/>
  <c r="V6" i="15"/>
  <c r="V78" i="15"/>
  <c r="V61" i="15"/>
  <c r="V40" i="15"/>
  <c r="V10" i="15"/>
  <c r="V9" i="15"/>
  <c r="V64" i="15"/>
  <c r="V63" i="15"/>
  <c r="V80" i="15"/>
  <c r="V57" i="15"/>
  <c r="V46" i="15"/>
  <c r="V39" i="15"/>
  <c r="V81" i="15"/>
  <c r="V58" i="15"/>
  <c r="V5" i="15"/>
  <c r="U28" i="6"/>
  <c r="V26" i="6"/>
  <c r="U29" i="6" l="1"/>
  <c r="W3" i="15"/>
  <c r="V27" i="6"/>
  <c r="W25" i="6" s="1"/>
  <c r="W77" i="15" l="1"/>
  <c r="W60" i="15"/>
  <c r="W42" i="15"/>
  <c r="W4" i="15"/>
  <c r="W9" i="15"/>
  <c r="W5" i="15"/>
  <c r="W74" i="15"/>
  <c r="W82" i="15"/>
  <c r="W83" i="15"/>
  <c r="W61" i="15"/>
  <c r="W48" i="15"/>
  <c r="W45" i="15"/>
  <c r="W10" i="15"/>
  <c r="W76" i="15"/>
  <c r="W56" i="15"/>
  <c r="W43" i="15"/>
  <c r="W47" i="15"/>
  <c r="W75" i="15"/>
  <c r="W81" i="15"/>
  <c r="W57" i="15"/>
  <c r="W62" i="15"/>
  <c r="W44" i="15"/>
  <c r="W7" i="15"/>
  <c r="W6" i="15"/>
  <c r="W63" i="15"/>
  <c r="W13" i="15"/>
  <c r="W12" i="15"/>
  <c r="W58" i="15"/>
  <c r="W40" i="15"/>
  <c r="W39" i="15"/>
  <c r="W11" i="15"/>
  <c r="W79" i="15"/>
  <c r="W78" i="15"/>
  <c r="W59" i="15"/>
  <c r="W64" i="15"/>
  <c r="W46" i="15"/>
  <c r="W41" i="15"/>
  <c r="W8" i="15"/>
  <c r="W80" i="15"/>
  <c r="W65" i="15"/>
  <c r="V28" i="6"/>
  <c r="W26" i="6"/>
  <c r="V29" i="6" l="1"/>
  <c r="X3" i="15"/>
  <c r="W27" i="6"/>
  <c r="X25" i="6" s="1"/>
  <c r="X78" i="15" l="1"/>
  <c r="X43" i="15"/>
  <c r="X8" i="15"/>
  <c r="X75" i="15"/>
  <c r="X59" i="15"/>
  <c r="X58" i="15"/>
  <c r="X40" i="15"/>
  <c r="X9" i="15"/>
  <c r="X5" i="15"/>
  <c r="X81" i="15"/>
  <c r="X74" i="15"/>
  <c r="X65" i="15"/>
  <c r="X64" i="15"/>
  <c r="X39" i="15"/>
  <c r="X46" i="15"/>
  <c r="X11" i="15"/>
  <c r="X7" i="15"/>
  <c r="X79" i="15"/>
  <c r="X10" i="15"/>
  <c r="X80" i="15"/>
  <c r="X45" i="15"/>
  <c r="X12" i="15"/>
  <c r="X77" i="15"/>
  <c r="X61" i="15"/>
  <c r="X60" i="15"/>
  <c r="X42" i="15"/>
  <c r="X6" i="15"/>
  <c r="X83" i="15"/>
  <c r="X76" i="15"/>
  <c r="X41" i="15"/>
  <c r="X48" i="15"/>
  <c r="X4" i="15"/>
  <c r="X13" i="15"/>
  <c r="X44" i="15"/>
  <c r="X82" i="15"/>
  <c r="X57" i="15"/>
  <c r="X56" i="15"/>
  <c r="X47" i="15"/>
  <c r="X63" i="15"/>
  <c r="X62" i="15"/>
  <c r="W28" i="6"/>
  <c r="X26" i="6"/>
  <c r="W29" i="6" l="1"/>
  <c r="Y3" i="15"/>
  <c r="X27" i="6"/>
  <c r="Y25" i="6" s="1"/>
  <c r="Y58" i="15" l="1"/>
  <c r="Y64" i="15"/>
  <c r="Y39" i="15"/>
  <c r="Y40" i="15"/>
  <c r="Y75" i="15"/>
  <c r="Y76" i="15"/>
  <c r="Y59" i="15"/>
  <c r="Y45" i="15"/>
  <c r="Y46" i="15"/>
  <c r="Y7" i="15"/>
  <c r="Y6" i="15"/>
  <c r="Y81" i="15"/>
  <c r="Y82" i="15"/>
  <c r="Y65" i="15"/>
  <c r="Y13" i="15"/>
  <c r="Y12" i="15"/>
  <c r="Y60" i="15"/>
  <c r="Y47" i="15"/>
  <c r="Y41" i="15"/>
  <c r="Y42" i="15"/>
  <c r="Y11" i="15"/>
  <c r="Y77" i="15"/>
  <c r="Y78" i="15"/>
  <c r="Y61" i="15"/>
  <c r="Y48" i="15"/>
  <c r="Y9" i="15"/>
  <c r="Y8" i="15"/>
  <c r="Y79" i="15"/>
  <c r="Y63" i="15"/>
  <c r="Y10" i="15"/>
  <c r="Y83" i="15"/>
  <c r="Y74" i="15"/>
  <c r="Y57" i="15"/>
  <c r="Y56" i="15"/>
  <c r="Y62" i="15"/>
  <c r="Y43" i="15"/>
  <c r="Y44" i="15"/>
  <c r="Y5" i="15"/>
  <c r="Y4" i="15"/>
  <c r="Y80" i="15"/>
  <c r="X28" i="6"/>
  <c r="Y26" i="6"/>
  <c r="X29" i="6" l="1"/>
  <c r="Z3" i="15"/>
  <c r="Y27" i="6"/>
  <c r="Z25" i="6" s="1"/>
  <c r="Z79" i="15" l="1"/>
  <c r="Z82" i="15"/>
  <c r="Z83" i="15"/>
  <c r="Z64" i="15"/>
  <c r="Z47" i="15"/>
  <c r="Z40" i="15"/>
  <c r="Z13" i="15"/>
  <c r="Z59" i="15"/>
  <c r="Z60" i="15"/>
  <c r="Z44" i="15"/>
  <c r="Z7" i="15"/>
  <c r="Z6" i="15"/>
  <c r="Z10" i="15"/>
  <c r="Z80" i="15"/>
  <c r="Z61" i="15"/>
  <c r="Z56" i="15"/>
  <c r="Z43" i="15"/>
  <c r="Z42" i="15"/>
  <c r="Z12" i="15"/>
  <c r="Z65" i="15"/>
  <c r="Z58" i="15"/>
  <c r="Z75" i="15"/>
  <c r="Z41" i="15"/>
  <c r="Z39" i="15"/>
  <c r="Z48" i="15"/>
  <c r="Z11" i="15"/>
  <c r="Z9" i="15"/>
  <c r="Z8" i="15"/>
  <c r="Z76" i="15"/>
  <c r="Z77" i="15"/>
  <c r="Z78" i="15"/>
  <c r="Z45" i="15"/>
  <c r="Z46" i="15"/>
  <c r="Z74" i="15"/>
  <c r="Z57" i="15"/>
  <c r="Z63" i="15"/>
  <c r="Z62" i="15"/>
  <c r="Z5" i="15"/>
  <c r="Z4" i="15"/>
  <c r="Z81" i="15"/>
  <c r="Y28" i="6"/>
  <c r="Z26" i="6"/>
  <c r="Y29" i="6" l="1"/>
  <c r="AA3" i="15"/>
  <c r="Z27" i="6"/>
  <c r="AA25" i="6" s="1"/>
  <c r="AA60" i="15" l="1"/>
  <c r="AA65" i="15"/>
  <c r="AA47" i="15"/>
  <c r="AA40" i="15"/>
  <c r="AA9" i="15"/>
  <c r="AA42" i="15"/>
  <c r="AA4" i="15"/>
  <c r="AA78" i="15"/>
  <c r="AA74" i="15"/>
  <c r="AA77" i="15"/>
  <c r="AA56" i="15"/>
  <c r="AA61" i="15"/>
  <c r="AA43" i="15"/>
  <c r="AA5" i="15"/>
  <c r="AA6" i="15"/>
  <c r="AA11" i="15"/>
  <c r="AA12" i="15"/>
  <c r="AA79" i="15"/>
  <c r="AA62" i="15"/>
  <c r="AA44" i="15"/>
  <c r="AA76" i="15"/>
  <c r="AA81" i="15"/>
  <c r="AA82" i="15"/>
  <c r="AA75" i="15"/>
  <c r="AA57" i="15"/>
  <c r="AA39" i="15"/>
  <c r="AA46" i="15"/>
  <c r="AA80" i="15"/>
  <c r="AA59" i="15"/>
  <c r="AA83" i="15"/>
  <c r="AA58" i="15"/>
  <c r="AA63" i="15"/>
  <c r="AA45" i="15"/>
  <c r="AA48" i="15"/>
  <c r="AA8" i="15"/>
  <c r="AA7" i="15"/>
  <c r="AA10" i="15"/>
  <c r="AA64" i="15"/>
  <c r="AA13" i="15"/>
  <c r="AA41" i="15"/>
  <c r="Z28" i="6"/>
  <c r="AA26" i="6"/>
  <c r="Z29" i="6" l="1"/>
  <c r="AB3" i="15"/>
  <c r="AA27" i="6"/>
  <c r="AB25" i="6" s="1"/>
  <c r="AB74" i="15" l="1"/>
  <c r="AB83" i="15"/>
  <c r="AB58" i="15"/>
  <c r="AB57" i="15"/>
  <c r="AB48" i="15"/>
  <c r="AB39" i="15"/>
  <c r="AB6" i="15"/>
  <c r="AB11" i="15"/>
  <c r="AB77" i="15"/>
  <c r="AB80" i="15"/>
  <c r="AB64" i="15"/>
  <c r="AB63" i="15"/>
  <c r="AB45" i="15"/>
  <c r="AB9" i="15"/>
  <c r="AB79" i="15"/>
  <c r="AB44" i="15"/>
  <c r="AB4" i="15"/>
  <c r="AB42" i="15"/>
  <c r="AB76" i="15"/>
  <c r="AB60" i="15"/>
  <c r="AB59" i="15"/>
  <c r="AB41" i="15"/>
  <c r="AB82" i="15"/>
  <c r="AB75" i="15"/>
  <c r="AB65" i="15"/>
  <c r="AB40" i="15"/>
  <c r="AB47" i="15"/>
  <c r="AB13" i="15"/>
  <c r="AB10" i="15"/>
  <c r="AB12" i="15"/>
  <c r="AB81" i="15"/>
  <c r="AB56" i="15"/>
  <c r="AB46" i="15"/>
  <c r="AB7" i="15"/>
  <c r="AB78" i="15"/>
  <c r="AB62" i="15"/>
  <c r="AB61" i="15"/>
  <c r="AB43" i="15"/>
  <c r="AB5" i="15"/>
  <c r="AB8" i="15"/>
  <c r="AA28" i="6"/>
  <c r="AB26" i="6"/>
  <c r="AA29" i="6" l="1"/>
  <c r="AC3" i="15"/>
  <c r="AB27" i="6"/>
  <c r="AB28" i="6" s="1"/>
  <c r="AC74" i="15" l="1"/>
  <c r="AC75" i="15"/>
  <c r="AC58" i="15"/>
  <c r="AC44" i="15"/>
  <c r="AC45" i="15"/>
  <c r="AC6" i="15"/>
  <c r="AC5" i="15"/>
  <c r="AC57" i="15"/>
  <c r="AC80" i="15"/>
  <c r="AC81" i="15"/>
  <c r="AC64" i="15"/>
  <c r="AC65" i="15"/>
  <c r="AC12" i="15"/>
  <c r="AC11" i="15"/>
  <c r="AC59" i="15"/>
  <c r="AC46" i="15"/>
  <c r="AC40" i="15"/>
  <c r="AC41" i="15"/>
  <c r="AC7" i="15"/>
  <c r="AC76" i="15"/>
  <c r="AC77" i="15"/>
  <c r="AC60" i="15"/>
  <c r="AC47" i="15"/>
  <c r="AC8" i="15"/>
  <c r="AC63" i="15"/>
  <c r="AC82" i="15"/>
  <c r="AC83" i="15"/>
  <c r="AC13" i="15"/>
  <c r="AC56" i="15"/>
  <c r="AC61" i="15"/>
  <c r="AC48" i="15"/>
  <c r="AC42" i="15"/>
  <c r="AC43" i="15"/>
  <c r="AC4" i="15"/>
  <c r="AC78" i="15"/>
  <c r="AC79" i="15"/>
  <c r="AC62" i="15"/>
  <c r="AC10" i="15"/>
  <c r="AC9" i="15"/>
  <c r="AC39" i="15"/>
  <c r="AB29" i="6"/>
  <c r="AD3" i="15"/>
  <c r="AD77" i="15" l="1"/>
  <c r="AD78" i="15"/>
  <c r="AD58" i="15"/>
  <c r="AD64" i="15"/>
  <c r="AD6" i="15"/>
  <c r="AD12" i="15"/>
  <c r="AD5" i="15"/>
  <c r="AD83" i="15"/>
  <c r="AD80" i="15"/>
  <c r="AD65" i="15"/>
  <c r="AD42" i="15"/>
  <c r="AD11" i="15"/>
  <c r="AD57" i="15"/>
  <c r="AD46" i="15"/>
  <c r="AD41" i="15"/>
  <c r="AD82" i="15"/>
  <c r="AD61" i="15"/>
  <c r="AD48" i="15"/>
  <c r="AD45" i="15"/>
  <c r="AD8" i="15"/>
  <c r="AD7" i="15"/>
  <c r="AD75" i="15"/>
  <c r="AD81" i="15"/>
  <c r="AD60" i="15"/>
  <c r="AD63" i="15"/>
  <c r="AD43" i="15"/>
  <c r="AD39" i="15"/>
  <c r="AD76" i="15"/>
  <c r="AD59" i="15"/>
  <c r="AD44" i="15"/>
  <c r="AD13" i="15"/>
  <c r="AD56" i="15"/>
  <c r="AD62" i="15"/>
  <c r="AD4" i="15"/>
  <c r="AD9" i="15"/>
  <c r="AD79" i="15"/>
  <c r="AD74" i="15"/>
  <c r="AD40" i="15"/>
  <c r="AD47" i="15"/>
  <c r="AD10" i="15"/>
  <c r="F43" i="17"/>
  <c r="E40" i="17"/>
  <c r="K44" i="17"/>
  <c r="H40" i="17"/>
  <c r="F41" i="17"/>
  <c r="G43" i="17"/>
  <c r="D43" i="17"/>
  <c r="H41" i="17"/>
  <c r="C40" i="17"/>
  <c r="L39" i="17"/>
  <c r="D39" i="17"/>
  <c r="E44" i="17"/>
  <c r="H44" i="17"/>
  <c r="D42" i="17"/>
  <c r="C43" i="17"/>
  <c r="I44" i="17"/>
  <c r="J40" i="17"/>
  <c r="H43" i="17"/>
  <c r="D44" i="17"/>
  <c r="C42" i="17"/>
  <c r="I42" i="17"/>
  <c r="E42" i="17"/>
  <c r="I39" i="17"/>
  <c r="H42" i="17"/>
  <c r="J44" i="17"/>
  <c r="J41" i="17"/>
  <c r="L41" i="17"/>
  <c r="K42" i="17"/>
  <c r="D41" i="17"/>
  <c r="L43" i="17"/>
  <c r="C39" i="17"/>
  <c r="C6" i="17"/>
  <c r="E6" i="17" s="1"/>
  <c r="D40" i="17"/>
  <c r="F44" i="17"/>
  <c r="K40" i="17"/>
  <c r="C44" i="17"/>
  <c r="E39" i="17"/>
  <c r="F42" i="17"/>
  <c r="G40" i="17"/>
  <c r="H39" i="17"/>
  <c r="C41" i="17"/>
  <c r="E43" i="17"/>
  <c r="F40" i="17"/>
  <c r="I40" i="17"/>
  <c r="G42" i="17"/>
  <c r="J42" i="17"/>
  <c r="L44" i="17"/>
  <c r="G44" i="17"/>
  <c r="J39" i="17"/>
  <c r="K43" i="17"/>
  <c r="G39" i="17"/>
  <c r="G41" i="17"/>
  <c r="L42" i="17"/>
  <c r="J43" i="17"/>
  <c r="K41" i="17"/>
  <c r="I41" i="17"/>
  <c r="I43" i="17"/>
  <c r="K39" i="17"/>
  <c r="E41" i="17"/>
  <c r="F39" i="17"/>
  <c r="L40" i="17"/>
  <c r="AD30" i="15" l="1"/>
  <c r="AD29" i="15"/>
  <c r="AD31" i="15"/>
  <c r="AC22" i="15"/>
  <c r="AD25" i="15"/>
  <c r="AD27" i="15"/>
  <c r="AD24" i="15"/>
  <c r="AD22" i="15"/>
  <c r="AD26" i="15"/>
  <c r="AD28" i="15"/>
  <c r="AB22" i="15"/>
  <c r="AC31" i="15"/>
  <c r="AC27" i="15"/>
  <c r="AC25" i="15"/>
  <c r="AC28" i="15"/>
  <c r="AC24" i="15"/>
  <c r="AC29" i="15"/>
  <c r="AC30" i="15"/>
  <c r="AC26" i="15"/>
  <c r="AD23" i="15"/>
  <c r="AB25" i="15"/>
  <c r="AB30" i="15"/>
  <c r="AB26" i="15"/>
  <c r="AB27" i="15"/>
  <c r="AB31" i="15"/>
  <c r="AC23" i="15"/>
  <c r="AB29" i="15"/>
  <c r="AA22" i="15"/>
  <c r="AB24" i="15"/>
  <c r="AB28" i="15"/>
  <c r="AA29" i="15"/>
  <c r="AA26" i="15"/>
  <c r="AA25" i="15"/>
  <c r="Z22" i="15"/>
  <c r="AB23" i="15"/>
  <c r="AA24" i="15"/>
  <c r="AA31" i="15"/>
  <c r="AA27" i="15"/>
  <c r="AA30" i="15"/>
  <c r="AA28" i="15"/>
  <c r="Y22" i="15"/>
  <c r="AA23" i="15"/>
  <c r="Z26" i="15"/>
  <c r="Z25" i="15"/>
  <c r="Z24" i="15"/>
  <c r="Z29" i="15"/>
  <c r="Z30" i="15"/>
  <c r="Z28" i="15"/>
  <c r="Z27" i="15"/>
  <c r="Z31" i="15"/>
  <c r="Y25" i="15"/>
  <c r="Z23" i="15"/>
  <c r="Y27" i="15"/>
  <c r="X22" i="15"/>
  <c r="Y30" i="15"/>
  <c r="Y26" i="15"/>
  <c r="Y28" i="15"/>
  <c r="Y31" i="15"/>
  <c r="Y29" i="15"/>
  <c r="Y24" i="15"/>
  <c r="X25" i="15"/>
  <c r="X31" i="15"/>
  <c r="X24" i="15"/>
  <c r="X28" i="15"/>
  <c r="X27" i="15"/>
  <c r="Y23" i="15"/>
  <c r="X26" i="15"/>
  <c r="X29" i="15"/>
  <c r="W22" i="15"/>
  <c r="X30" i="15"/>
  <c r="W30" i="15"/>
  <c r="W25" i="15"/>
  <c r="W29" i="15"/>
  <c r="W28" i="15"/>
  <c r="X23" i="15"/>
  <c r="W27" i="15"/>
  <c r="W24" i="15"/>
  <c r="W26" i="15"/>
  <c r="W31" i="15"/>
  <c r="V22" i="15"/>
  <c r="V27" i="15"/>
  <c r="V30" i="15"/>
  <c r="V25" i="15"/>
  <c r="V29" i="15"/>
  <c r="W23" i="15"/>
  <c r="V28" i="15"/>
  <c r="U22" i="15"/>
  <c r="V26" i="15"/>
  <c r="V31" i="15"/>
  <c r="V24" i="15"/>
  <c r="U30" i="15"/>
  <c r="V23" i="15"/>
  <c r="U31" i="15"/>
  <c r="U29" i="15"/>
  <c r="U28" i="15"/>
  <c r="U27" i="15"/>
  <c r="U26" i="15"/>
  <c r="T22" i="15"/>
  <c r="U25" i="15"/>
  <c r="U24" i="15"/>
  <c r="T29" i="15"/>
  <c r="T24" i="15"/>
  <c r="T27" i="15"/>
  <c r="S22" i="15"/>
  <c r="T26" i="15"/>
  <c r="T31" i="15"/>
  <c r="U23" i="15"/>
  <c r="T28" i="15"/>
  <c r="T25" i="15"/>
  <c r="T30" i="15"/>
  <c r="S30" i="15"/>
  <c r="S27" i="15"/>
  <c r="S29" i="15"/>
  <c r="S25" i="15"/>
  <c r="S26" i="15"/>
  <c r="S31" i="15"/>
  <c r="T23" i="15"/>
  <c r="S28" i="15"/>
  <c r="S24" i="15"/>
  <c r="R30" i="15"/>
  <c r="R27" i="15"/>
  <c r="S23" i="15"/>
  <c r="R28" i="15"/>
  <c r="R26" i="15"/>
  <c r="R31" i="15"/>
  <c r="R29" i="15"/>
  <c r="R24" i="15"/>
  <c r="R25" i="15"/>
  <c r="R22" i="15"/>
  <c r="R2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Victor</author>
  </authors>
  <commentList>
    <comment ref="B26" authorId="0" shapeId="0" xr:uid="{10268AD0-3D2E-4A1D-909F-22A5FFF656F5}">
      <text>
        <r>
          <rPr>
            <b/>
            <sz val="9"/>
            <color indexed="81"/>
            <rFont val="Tahoma"/>
            <family val="2"/>
          </rPr>
          <t>del INGEI, hoja "FL-Biomass1 of 4":</t>
        </r>
        <r>
          <rPr>
            <sz val="9"/>
            <color indexed="81"/>
            <rFont val="Tahoma"/>
            <family val="2"/>
          </rPr>
          <t xml:space="preserve">
*Superficie de Bosque Nativo que no se encuentra bajo un sitema de protección legal. Las pérdidas y ganancias de carbono son cero (supuesto)</t>
        </r>
      </text>
    </comment>
  </commentList>
</comments>
</file>

<file path=xl/sharedStrings.xml><?xml version="1.0" encoding="utf-8"?>
<sst xmlns="http://schemas.openxmlformats.org/spreadsheetml/2006/main" count="683" uniqueCount="223">
  <si>
    <t>Uso del suelo inicial</t>
  </si>
  <si>
    <t>Uso del suelo en el año del inventario</t>
  </si>
  <si>
    <t>B. Seco Andino</t>
  </si>
  <si>
    <t>Tierras de cultivo</t>
  </si>
  <si>
    <t>B. Seco Pluvioestacional</t>
  </si>
  <si>
    <t>B. Siempre verde andino Montano</t>
  </si>
  <si>
    <t>B. Siempre verde andino Pie montano</t>
  </si>
  <si>
    <t>B. Siempre verde andino de Ceja Andina</t>
  </si>
  <si>
    <t>B. Siempre verde de tierras bajas de la Amazonía</t>
  </si>
  <si>
    <t>B. Siempre verde de tierras bajas del Chocó</t>
  </si>
  <si>
    <t>Manglar</t>
  </si>
  <si>
    <t>Moretal</t>
  </si>
  <si>
    <t xml:space="preserve">Plantación forestal </t>
  </si>
  <si>
    <t>Asentamientos</t>
  </si>
  <si>
    <t>Otras tierras</t>
  </si>
  <si>
    <t>Pastizales</t>
  </si>
  <si>
    <t>Humedales</t>
  </si>
  <si>
    <t>Total</t>
  </si>
  <si>
    <t>Tierras forestales</t>
  </si>
  <si>
    <t>Total bosque protegido</t>
  </si>
  <si>
    <t>Área de bosque total</t>
  </si>
  <si>
    <t>Pérdida de área</t>
  </si>
  <si>
    <t>Tasa de deforestación total [%]</t>
  </si>
  <si>
    <t>Tasa de deforestación del bosque protegido [%]</t>
  </si>
  <si>
    <t>Tasa de deforestación del bosque sin proteger [%]</t>
  </si>
  <si>
    <t>Ecuador</t>
  </si>
  <si>
    <t>DATOS PARA CALCULAR PROYECCIONES</t>
  </si>
  <si>
    <t>Cobertura bosque (Ha)</t>
  </si>
  <si>
    <t>Referencia</t>
  </si>
  <si>
    <t>Datos 2010-2022
5ta Comunicación</t>
  </si>
  <si>
    <t>Datos para proyecciones</t>
  </si>
  <si>
    <t xml:space="preserve">% por tipo de bosque </t>
  </si>
  <si>
    <t>Uso del suelo inicial (Ha)</t>
  </si>
  <si>
    <t>% de cambio según tipo de cambio</t>
  </si>
  <si>
    <t>Medida</t>
  </si>
  <si>
    <t>Medida 3: Taita Imbaura</t>
  </si>
  <si>
    <t>Efecto: Absorción de carbono</t>
  </si>
  <si>
    <t>Coberturas (miles de hectáreas)</t>
  </si>
  <si>
    <t>Bosque Siempre Verde Andino de Ceja Andina</t>
  </si>
  <si>
    <t>Bosque Siempre Verde Andino Montano</t>
  </si>
  <si>
    <t>Factores de emisión (miles de TonCO2 eq / miles de hectáreas)</t>
  </si>
  <si>
    <t>Emisiones (miles de Ton CO2eq)</t>
  </si>
  <si>
    <t>Efecto: Deforestación evitada</t>
  </si>
  <si>
    <t>Taita Imbaura</t>
  </si>
  <si>
    <t>WWF Proyecto Selva</t>
  </si>
  <si>
    <t>Medida 6: WWF Proyecto Selva</t>
  </si>
  <si>
    <t>Bosque Siempre Verde de Tierras Bajas de la Amazonía</t>
  </si>
  <si>
    <t>PRNP</t>
  </si>
  <si>
    <t>DMCO</t>
  </si>
  <si>
    <t>Bosques protectores</t>
  </si>
  <si>
    <t>Socio bosque</t>
  </si>
  <si>
    <t>Medida 1. PRNP</t>
  </si>
  <si>
    <t>Medida 2. DMCO</t>
  </si>
  <si>
    <t xml:space="preserve">Bosque Siempre Verde Andino Pie 
Montano </t>
  </si>
  <si>
    <t xml:space="preserve">Bosque Siempre Verde de Tierras 
Bajas del Chocó </t>
  </si>
  <si>
    <t>Moretales</t>
  </si>
  <si>
    <t xml:space="preserve">Bosque Siempre Verde Andino Montano </t>
  </si>
  <si>
    <t>Medida 4. Bosques protectores</t>
  </si>
  <si>
    <t>Medida 5. Socio Bosque</t>
  </si>
  <si>
    <t>Por tipo de bosque (hectáreas)</t>
  </si>
  <si>
    <t>Otras tierras a tierras forestales (hectáreas)</t>
  </si>
  <si>
    <t>Humedales a tierras forestales (hectáreas)</t>
  </si>
  <si>
    <t>Tieras de culvito a tierras forestales (hectáreas)</t>
  </si>
  <si>
    <t>Pastizales a tierras forestales (hectáreas)</t>
  </si>
  <si>
    <t>Información iniciativas</t>
  </si>
  <si>
    <t>Total bosque sin proteger</t>
  </si>
  <si>
    <t>PLANMICC</t>
  </si>
  <si>
    <t>Potencial de mitigación total (miles de Ton CO2eq)</t>
  </si>
  <si>
    <t>Emisiones acumuladas por deforestación evitada (miles de Ton CO2eq)</t>
  </si>
  <si>
    <t>Emisiones acumuladas por absorción de carbono (miles de Ton CO2eq)</t>
  </si>
  <si>
    <t xml:space="preserve">Tasa de deforestación </t>
  </si>
  <si>
    <t>Tasa de deforestación Bosque Siempre Verde Andino de Ceja Andina</t>
  </si>
  <si>
    <t>Tasa de deforestación Siempre Verde Andino Montano</t>
  </si>
  <si>
    <t>Deforestación evitada en 10 años 173 ha según información de iniciativas</t>
  </si>
  <si>
    <t>Deforestación evitada en 10 años 80 ha según información de iniciativas</t>
  </si>
  <si>
    <t>Deforestación evitada en 10 años 102 ha según información de iniciativas</t>
  </si>
  <si>
    <t>Información de iniciativas</t>
  </si>
  <si>
    <t>Efecto: Absorción de carbono por restau}ración de manglares</t>
  </si>
  <si>
    <t>Efecto: Absorción de carbono por restauración forestal</t>
  </si>
  <si>
    <t>Tasa de deforestación Bosque Siempre Verde de Tierras Bajas de la Amazonía</t>
  </si>
  <si>
    <t>Tasa de deforestación Moretales</t>
  </si>
  <si>
    <t>Tasa de deforestación Bosque Siempre Verde Andino Pie Montano</t>
  </si>
  <si>
    <t>Tasa de deforestación Bosque Siempre Verde de Tierras Bajas del Chocó</t>
  </si>
  <si>
    <t>Tasa de deforestación Bosque Siempre Verde Andino Montano</t>
  </si>
  <si>
    <t>Tasa de deforestación</t>
  </si>
  <si>
    <t>Área deforestada (miles de hectáreas)</t>
  </si>
  <si>
    <t>Tasas de deforestación</t>
  </si>
  <si>
    <t>Coberturas (hectáreas)</t>
  </si>
  <si>
    <r>
      <rPr>
        <b/>
        <sz val="11"/>
        <color theme="1"/>
        <rFont val="Aptos Narrow"/>
        <family val="2"/>
        <scheme val="minor"/>
      </rPr>
      <t>Nota importante</t>
    </r>
    <r>
      <rPr>
        <sz val="11"/>
        <color theme="1"/>
        <rFont val="Aptos Narrow"/>
        <family val="2"/>
        <scheme val="minor"/>
      </rPr>
      <t xml:space="preserve"> 
Se calcula una tasa de deforestación en base al promedio ponderado de deforestación alta, media y baja aplicado a los tipos de bosque según método de cálculo de la información de iniciativas</t>
    </r>
  </si>
  <si>
    <r>
      <rPr>
        <b/>
        <sz val="11"/>
        <color theme="1"/>
        <rFont val="Aptos Narrow"/>
        <family val="2"/>
        <scheme val="minor"/>
      </rPr>
      <t xml:space="preserve">Nota importante </t>
    </r>
    <r>
      <rPr>
        <sz val="11"/>
        <color theme="1"/>
        <rFont val="Aptos Narrow"/>
        <family val="2"/>
        <scheme val="minor"/>
      </rPr>
      <t xml:space="preserve">
El área deforestada es constante ya que en este caso no se aplica la fórmula de deforestación acumulada que sí se aplica en otras medidas siguiendo el método de cálculo de la información de iniciativas</t>
    </r>
  </si>
  <si>
    <t>Brindado en iniciativas</t>
  </si>
  <si>
    <t>OPCION</t>
  </si>
  <si>
    <t>CONSTANTE</t>
  </si>
  <si>
    <t>FUTURE YEARS</t>
  </si>
  <si>
    <t>INGEI</t>
  </si>
  <si>
    <t>Hoja</t>
  </si>
  <si>
    <t>Contenido</t>
  </si>
  <si>
    <t>COBERTURA_CAMBIOS_TF</t>
  </si>
  <si>
    <t>MEDIDAS_INCOND</t>
  </si>
  <si>
    <t>MEDIDAS_COND</t>
  </si>
  <si>
    <t>FACTORES_EMISION</t>
  </si>
  <si>
    <t>Coberturas de bosque históricas y proyecciones en base a tasa de deforestación</t>
  </si>
  <si>
    <t>COBERTURA_BOSQUE</t>
  </si>
  <si>
    <t>COBERTURA_HACIA_TF</t>
  </si>
  <si>
    <t>Cambios uso de suelo a tierras forestales</t>
  </si>
  <si>
    <t>Cambio de tierras forestales a otros usos de suelo</t>
  </si>
  <si>
    <t>Medidas de mitigación de escenario incondicional</t>
  </si>
  <si>
    <t>Medidas de mitigación de escenario condicional</t>
  </si>
  <si>
    <t>Factores de emisión</t>
  </si>
  <si>
    <t>T5NPRAND</t>
  </si>
  <si>
    <t>T5NPRPLU</t>
  </si>
  <si>
    <t>T5NPRMON</t>
  </si>
  <si>
    <t>T5NPRPIE</t>
  </si>
  <si>
    <t>T5NPRCEJ</t>
  </si>
  <si>
    <t>T5NPRAMA</t>
  </si>
  <si>
    <t>T5NPRCHO</t>
  </si>
  <si>
    <t>T5NPRMAN</t>
  </si>
  <si>
    <t>T5NPRMOR</t>
  </si>
  <si>
    <t>T5NPRPFO</t>
  </si>
  <si>
    <t>SUPCAMCROAND</t>
  </si>
  <si>
    <t>SUPCAMCROPLU</t>
  </si>
  <si>
    <t>SUPCAMCROMON</t>
  </si>
  <si>
    <t>SUPCAMCROPIE</t>
  </si>
  <si>
    <t>SUPCAMCROCEJ</t>
  </si>
  <si>
    <t>SUPCAMCROAMA</t>
  </si>
  <si>
    <t>SUPCAMCROCHO</t>
  </si>
  <si>
    <t>SUPCAMCROMAN</t>
  </si>
  <si>
    <t>SUPCAMCROMOR</t>
  </si>
  <si>
    <t>SUPCAMCROPFO</t>
  </si>
  <si>
    <t>SUPCAMGRAAND</t>
  </si>
  <si>
    <t>SUPCAMGRAPLU</t>
  </si>
  <si>
    <t>SUPCAMGRAMON</t>
  </si>
  <si>
    <t>SUPCAMGRAPIE</t>
  </si>
  <si>
    <t>SUPCAMGRACEJ</t>
  </si>
  <si>
    <t>SUPCAMGRAAMA</t>
  </si>
  <si>
    <t>SUPCAMGRACHO</t>
  </si>
  <si>
    <t>SUPCAMGRAMAN</t>
  </si>
  <si>
    <t>SUPCAMGRAMOR</t>
  </si>
  <si>
    <t>SUPCAMGRAPFO</t>
  </si>
  <si>
    <t>SUPCAMHUMAND</t>
  </si>
  <si>
    <t>SUPCAMHUMPLU</t>
  </si>
  <si>
    <t>SUPCAMHUMMON</t>
  </si>
  <si>
    <t>SUPCAMHUMPIE</t>
  </si>
  <si>
    <t>SUPCAMHUMCEJ</t>
  </si>
  <si>
    <t>SUPCAMHUMAMA</t>
  </si>
  <si>
    <t>SUPCAMHUMCHO</t>
  </si>
  <si>
    <t>SUPCAMHUMMAN</t>
  </si>
  <si>
    <t>SUPCAMHUMMOR</t>
  </si>
  <si>
    <t>SUPCAMHUMPFO</t>
  </si>
  <si>
    <t>SUPCAMOTIAND</t>
  </si>
  <si>
    <t>SUPCAMOTIPLU</t>
  </si>
  <si>
    <t>SUPCAMOTIMON</t>
  </si>
  <si>
    <t>SUPCAMOTIPIE</t>
  </si>
  <si>
    <t>SUPCAMOTICEJ</t>
  </si>
  <si>
    <t>SUPCAMOTIAMA</t>
  </si>
  <si>
    <t>SUPCAMOTICHO</t>
  </si>
  <si>
    <t>SUPCAMOTIMAN</t>
  </si>
  <si>
    <t>SUPCAMOTIMOR</t>
  </si>
  <si>
    <t>SUPCAMOTIPFO</t>
  </si>
  <si>
    <t>SUPCAMANDCRO</t>
  </si>
  <si>
    <t>SUPCAMPLUCRO</t>
  </si>
  <si>
    <t>SUPCAMMONCRO</t>
  </si>
  <si>
    <t>SUPCAMPIECRO</t>
  </si>
  <si>
    <t>SUPCAMCEJCRO</t>
  </si>
  <si>
    <t>SUPCAMAMACRO</t>
  </si>
  <si>
    <t>SUPCAMCHOCRO</t>
  </si>
  <si>
    <t>SUPCAMMANCRO</t>
  </si>
  <si>
    <t>SUPCAMMORCRO</t>
  </si>
  <si>
    <t>SUPCAMPFOCRO</t>
  </si>
  <si>
    <t>SUPCAMGRACRO</t>
  </si>
  <si>
    <t>SUPCAMHUMCRO</t>
  </si>
  <si>
    <t>SUPCAMASECRO</t>
  </si>
  <si>
    <t>SUPCAMOTICRO</t>
  </si>
  <si>
    <t>SUPCAMANDGRA</t>
  </si>
  <si>
    <t>SUPCAMPLUGRA</t>
  </si>
  <si>
    <t>SUPCAMMONGRA</t>
  </si>
  <si>
    <t>SUPCAMPIEGRA</t>
  </si>
  <si>
    <t>SUPCAMCEJGRA</t>
  </si>
  <si>
    <t>SUPCAMAMAGRA</t>
  </si>
  <si>
    <t>SUPCAMCHOGRA</t>
  </si>
  <si>
    <t>SUPCAMMANGRA</t>
  </si>
  <si>
    <t>SUPCAMMORGRA</t>
  </si>
  <si>
    <t>SUPCAMPFOGRA</t>
  </si>
  <si>
    <t>SUPCAMCROGRA</t>
  </si>
  <si>
    <t>SUPCAMHUMGRA</t>
  </si>
  <si>
    <t>SUPCAMOTIGRA</t>
  </si>
  <si>
    <t>SUPCAMANDHUM</t>
  </si>
  <si>
    <t>SUPCAMPLUHUM</t>
  </si>
  <si>
    <t>SUPCAMMONHUM</t>
  </si>
  <si>
    <t>SUPCAMPIEHUM</t>
  </si>
  <si>
    <t>SUPCAMCEJHUM</t>
  </si>
  <si>
    <t>SUPCAMAMAHUM</t>
  </si>
  <si>
    <t>SUPCAMCHOHUM</t>
  </si>
  <si>
    <t>SUPCAMMANHUM</t>
  </si>
  <si>
    <t>SUPCAMMORHUM</t>
  </si>
  <si>
    <t>SUPCAMPFOHUM</t>
  </si>
  <si>
    <t>SUPCAMCROHUM</t>
  </si>
  <si>
    <t>SUPCAMGRAHUM</t>
  </si>
  <si>
    <t>SUPCAMANDASE</t>
  </si>
  <si>
    <t>SUPCAMPLUASE</t>
  </si>
  <si>
    <t>SUPCAMMONASE</t>
  </si>
  <si>
    <t>SUPCAMPIEASE</t>
  </si>
  <si>
    <t>SUPCAMCEJASE</t>
  </si>
  <si>
    <t>SUPCAMAMAASE</t>
  </si>
  <si>
    <t>SUPCAMCHOASE</t>
  </si>
  <si>
    <t>SUPCAMMANASE</t>
  </si>
  <si>
    <t>SUPCAMMORASE</t>
  </si>
  <si>
    <t>SUPCAMPFOASE</t>
  </si>
  <si>
    <t>SUPCAMCROASE</t>
  </si>
  <si>
    <t>SUPCAMGRAASE</t>
  </si>
  <si>
    <t>SUPCAMANDOTI</t>
  </si>
  <si>
    <t>SUPCAMPLUOTI</t>
  </si>
  <si>
    <t>SUPCAMMONOTI</t>
  </si>
  <si>
    <t>SUPCAMPIEOTI</t>
  </si>
  <si>
    <t>SUPCAMCEJOTI</t>
  </si>
  <si>
    <t>SUPCAMAMAOTI</t>
  </si>
  <si>
    <t>SUPCAMCHOOTI</t>
  </si>
  <si>
    <t>SUPCAMMANOTI</t>
  </si>
  <si>
    <t>SUPCAMMOROTI</t>
  </si>
  <si>
    <t>SUPCAMPFOOTI</t>
  </si>
  <si>
    <t>SUPCAMCROOTI</t>
  </si>
  <si>
    <t>SUPCAMGRAOTI</t>
  </si>
  <si>
    <t>TECNOLOGÍA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</si>
</sst>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0.000"/>
    <numFmt numFmtId="166" formatCode="0.0%"/>
    <numFmt numFmtId="167" formatCode="#,##0.000"/>
    <numFmt numFmtId="168" formatCode="0.000%"/>
    <numFmt numFmtId="169" formatCode="0.0000%"/>
    <numFmt numFmtId="170" formatCode="0.0000"/>
    <numFmt numFmtId="171" formatCode="0.000000"/>
    <numFmt numFmtId="172" formatCode="0.0000000"/>
    <numFmt numFmtId="173" formatCode="0.0"/>
    <numFmt numFmtId="174" formatCode="0.00000000"/>
    <numFmt numFmtId="175" formatCode="0.00000%"/>
  </numFmts>
  <fonts count="40" x14ac:knownFonts="1">
    <font>
      <sz val="11"/>
      <color theme="1"/>
      <name val="Aptos Narrow"/>
      <family val="2"/>
      <scheme val="minor"/>
    </font>
    <font>
      <sz val="11"/>
      <color theme="1"/>
      <name val="Aptos Narrow"/>
      <family val="2"/>
      <scheme val="minor"/>
    </font>
    <font>
      <b/>
      <sz val="11"/>
      <color theme="1"/>
      <name val="Aptos Narrow"/>
      <family val="2"/>
      <scheme val="minor"/>
    </font>
    <font>
      <b/>
      <sz val="8"/>
      <color theme="0"/>
      <name val="Calibri"/>
      <family val="2"/>
    </font>
    <font>
      <sz val="10"/>
      <name val="Arial"/>
      <family val="2"/>
    </font>
    <font>
      <sz val="8"/>
      <name val="Calibri"/>
      <family val="2"/>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1"/>
      <color theme="1"/>
      <name val="Arial"/>
      <family val="2"/>
    </font>
    <font>
      <u/>
      <sz val="11"/>
      <color theme="10"/>
      <name val="Arial"/>
      <family val="2"/>
    </font>
    <font>
      <sz val="10"/>
      <color rgb="FF000000"/>
      <name val="Aptos Narrow"/>
      <family val="2"/>
      <scheme val="minor"/>
    </font>
    <font>
      <u/>
      <sz val="10"/>
      <color theme="10"/>
      <name val="Arial"/>
      <family val="2"/>
    </font>
    <font>
      <sz val="8"/>
      <name val="Calibri"/>
      <family val="2"/>
    </font>
    <font>
      <b/>
      <u/>
      <sz val="11"/>
      <color theme="1"/>
      <name val="Aptos Narrow"/>
      <family val="2"/>
      <scheme val="minor"/>
    </font>
    <font>
      <sz val="11"/>
      <name val="Aptos Narrow"/>
      <family val="2"/>
    </font>
    <font>
      <sz val="11"/>
      <color theme="1"/>
      <name val="Aptos Narrow"/>
      <family val="2"/>
    </font>
    <font>
      <b/>
      <sz val="11"/>
      <color theme="1"/>
      <name val="Aptos Narrow"/>
      <family val="2"/>
    </font>
    <font>
      <b/>
      <sz val="11"/>
      <name val="Aptos Narrow"/>
      <family val="2"/>
    </font>
    <font>
      <sz val="11"/>
      <name val="Aptos Narrow"/>
      <family val="2"/>
      <scheme val="minor"/>
    </font>
    <font>
      <b/>
      <sz val="11"/>
      <name val="Aptos Narrow"/>
      <family val="2"/>
      <scheme val="minor"/>
    </font>
    <font>
      <sz val="11"/>
      <color rgb="FF000000"/>
      <name val="Calibri"/>
      <family val="2"/>
    </font>
    <font>
      <b/>
      <sz val="11"/>
      <color rgb="FFFF0000"/>
      <name val="Aptos Narrow"/>
      <family val="2"/>
      <scheme val="minor"/>
    </font>
    <font>
      <b/>
      <sz val="11"/>
      <color rgb="FFFF0000"/>
      <name val="Calibri"/>
      <family val="2"/>
    </font>
    <font>
      <b/>
      <sz val="11"/>
      <name val="Calibri"/>
      <family val="2"/>
    </font>
    <font>
      <sz val="8"/>
      <color theme="0"/>
      <name val="Calibri"/>
      <family val="2"/>
    </font>
    <font>
      <sz val="9"/>
      <color indexed="81"/>
      <name val="Tahoma"/>
      <family val="2"/>
    </font>
    <font>
      <b/>
      <sz val="9"/>
      <color indexed="81"/>
      <name val="Tahoma"/>
      <family val="2"/>
    </font>
  </fonts>
  <fills count="42">
    <fill>
      <patternFill patternType="none"/>
    </fill>
    <fill>
      <patternFill patternType="gray125"/>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EFEC81"/>
        <bgColor indexed="64"/>
      </patternFill>
    </fill>
    <fill>
      <patternFill patternType="solid">
        <fgColor theme="5" tint="0.79998168889431442"/>
        <bgColor indexed="64"/>
      </patternFill>
    </fill>
    <fill>
      <patternFill patternType="solid">
        <fgColor theme="9" tint="-0.499984740745262"/>
        <bgColor indexed="64"/>
      </patternFill>
    </fill>
    <fill>
      <patternFill patternType="solid">
        <fgColor theme="0" tint="-0.14999847407452621"/>
        <bgColor indexed="64"/>
      </patternFill>
    </fill>
    <fill>
      <patternFill patternType="solid">
        <fgColor theme="4" tint="0.79998168889431442"/>
        <bgColor indexed="64"/>
      </patternFill>
    </fill>
  </fills>
  <borders count="49">
    <border>
      <left/>
      <right/>
      <top/>
      <bottom/>
      <diagonal/>
    </border>
    <border>
      <left style="thin">
        <color theme="2" tint="-0.249977111117893"/>
      </left>
      <right style="thin">
        <color theme="2" tint="-0.249977111117893"/>
      </right>
      <top style="thin">
        <color theme="2" tint="-0.249977111117893"/>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thin">
        <color theme="2" tint="-0.249977111117893"/>
      </top>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72">
    <xf numFmtId="0" fontId="0" fillId="0" borderId="0"/>
    <xf numFmtId="0" fontId="1" fillId="0" borderId="0"/>
    <xf numFmtId="0" fontId="4" fillId="0" borderId="0"/>
    <xf numFmtId="0" fontId="1" fillId="0" borderId="0"/>
    <xf numFmtId="9" fontId="1" fillId="0" borderId="0" applyFont="0" applyFill="0" applyBorder="0" applyAlignment="0" applyProtection="0"/>
    <xf numFmtId="0" fontId="6" fillId="0" borderId="0" applyNumberFormat="0" applyFill="0" applyBorder="0" applyAlignment="0" applyProtection="0"/>
    <xf numFmtId="0" fontId="7" fillId="0" borderId="22" applyNumberFormat="0" applyFill="0" applyAlignment="0" applyProtection="0"/>
    <xf numFmtId="0" fontId="8" fillId="0" borderId="23" applyNumberFormat="0" applyFill="0" applyAlignment="0" applyProtection="0"/>
    <xf numFmtId="0" fontId="9" fillId="0" borderId="24"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25" applyNumberFormat="0" applyAlignment="0" applyProtection="0"/>
    <xf numFmtId="0" fontId="14" fillId="7" borderId="26" applyNumberFormat="0" applyAlignment="0" applyProtection="0"/>
    <xf numFmtId="0" fontId="15" fillId="7" borderId="25" applyNumberFormat="0" applyAlignment="0" applyProtection="0"/>
    <xf numFmtId="0" fontId="16" fillId="0" borderId="27" applyNumberFormat="0" applyFill="0" applyAlignment="0" applyProtection="0"/>
    <xf numFmtId="0" fontId="17" fillId="8" borderId="28" applyNumberFormat="0" applyAlignment="0" applyProtection="0"/>
    <xf numFmtId="0" fontId="18" fillId="0" borderId="0" applyNumberFormat="0" applyFill="0" applyBorder="0" applyAlignment="0" applyProtection="0"/>
    <xf numFmtId="0" fontId="1" fillId="9" borderId="29" applyNumberFormat="0" applyFont="0" applyAlignment="0" applyProtection="0"/>
    <xf numFmtId="0" fontId="19" fillId="0" borderId="0" applyNumberFormat="0" applyFill="0" applyBorder="0" applyAlignment="0" applyProtection="0"/>
    <xf numFmtId="0" fontId="2" fillId="0" borderId="30" applyNumberFormat="0" applyFill="0" applyAlignment="0" applyProtection="0"/>
    <xf numFmtId="0" fontId="20"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0"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0"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164" fontId="1" fillId="0" borderId="0" applyFont="0" applyFill="0" applyBorder="0" applyAlignment="0" applyProtection="0"/>
    <xf numFmtId="0" fontId="21" fillId="0" borderId="0"/>
    <xf numFmtId="164" fontId="1" fillId="0" borderId="0" applyFont="0" applyFill="0" applyBorder="0" applyAlignment="0" applyProtection="0"/>
    <xf numFmtId="0" fontId="1" fillId="0" borderId="0"/>
    <xf numFmtId="0" fontId="22" fillId="0" borderId="0" applyNumberFormat="0" applyFill="0" applyBorder="0" applyAlignment="0" applyProtection="0"/>
    <xf numFmtId="9" fontId="21" fillId="0" borderId="0" applyFont="0" applyFill="0" applyBorder="0" applyAlignment="0" applyProtection="0"/>
    <xf numFmtId="0" fontId="1" fillId="0" borderId="0"/>
    <xf numFmtId="0" fontId="24" fillId="0" borderId="0" applyNumberFormat="0" applyFill="0" applyBorder="0" applyAlignment="0" applyProtection="0"/>
    <xf numFmtId="0" fontId="4" fillId="0" borderId="0"/>
    <xf numFmtId="0" fontId="4" fillId="0" borderId="0"/>
    <xf numFmtId="164" fontId="4" fillId="0" borderId="0" applyFont="0" applyFill="0" applyBorder="0" applyAlignment="0" applyProtection="0"/>
    <xf numFmtId="0" fontId="24" fillId="0" borderId="0" applyNumberFormat="0" applyFill="0" applyBorder="0" applyAlignment="0" applyProtection="0"/>
    <xf numFmtId="0" fontId="23" fillId="0" borderId="0"/>
    <xf numFmtId="0" fontId="21" fillId="0" borderId="0"/>
    <xf numFmtId="0" fontId="1" fillId="0" borderId="0"/>
    <xf numFmtId="0" fontId="22" fillId="0" borderId="0" applyNumberFormat="0" applyFill="0" applyBorder="0" applyAlignment="0" applyProtection="0"/>
    <xf numFmtId="0" fontId="21" fillId="0" borderId="0"/>
    <xf numFmtId="0" fontId="1" fillId="0" borderId="0"/>
    <xf numFmtId="0" fontId="22" fillId="0" borderId="0" applyNumberFormat="0" applyFill="0" applyBorder="0" applyAlignment="0" applyProtection="0"/>
    <xf numFmtId="0" fontId="21" fillId="0" borderId="0"/>
    <xf numFmtId="0" fontId="4" fillId="0" borderId="0"/>
    <xf numFmtId="0" fontId="23" fillId="0" borderId="0"/>
    <xf numFmtId="0" fontId="1" fillId="0" borderId="0"/>
    <xf numFmtId="0" fontId="22" fillId="0" borderId="0" applyNumberFormat="0" applyFill="0" applyBorder="0" applyAlignment="0" applyProtection="0"/>
    <xf numFmtId="0" fontId="21" fillId="0" borderId="0"/>
    <xf numFmtId="0" fontId="4" fillId="0" borderId="0"/>
  </cellStyleXfs>
  <cellXfs count="323">
    <xf numFmtId="0" fontId="0" fillId="0" borderId="0" xfId="0"/>
    <xf numFmtId="0" fontId="5" fillId="2" borderId="4" xfId="1" applyFont="1" applyFill="1" applyBorder="1" applyAlignment="1">
      <alignment horizontal="center" vertical="center" wrapText="1"/>
    </xf>
    <xf numFmtId="164" fontId="5" fillId="2" borderId="4" xfId="1" applyNumberFormat="1" applyFont="1" applyFill="1" applyBorder="1" applyAlignment="1">
      <alignment vertical="center" wrapText="1"/>
    </xf>
    <xf numFmtId="0" fontId="5" fillId="2" borderId="2" xfId="1" applyFont="1" applyFill="1" applyBorder="1" applyAlignment="1">
      <alignment horizontal="center" vertical="center" wrapText="1"/>
    </xf>
    <xf numFmtId="164" fontId="5" fillId="2" borderId="2" xfId="1" applyNumberFormat="1" applyFont="1" applyFill="1" applyBorder="1" applyAlignment="1">
      <alignment vertical="center" wrapText="1"/>
    </xf>
    <xf numFmtId="0" fontId="5" fillId="2" borderId="6" xfId="1" applyFont="1" applyFill="1" applyBorder="1" applyAlignment="1">
      <alignment horizontal="left" vertical="center"/>
    </xf>
    <xf numFmtId="0" fontId="5" fillId="2" borderId="6" xfId="2" applyFont="1" applyFill="1" applyBorder="1" applyAlignment="1">
      <alignment horizontal="left" vertical="center" wrapText="1"/>
    </xf>
    <xf numFmtId="0" fontId="2" fillId="0" borderId="0" xfId="0" applyFont="1" applyAlignment="1">
      <alignment horizontal="center"/>
    </xf>
    <xf numFmtId="164" fontId="25" fillId="2" borderId="4" xfId="1" applyNumberFormat="1" applyFont="1" applyFill="1" applyBorder="1" applyAlignment="1">
      <alignment vertical="center" wrapText="1"/>
    </xf>
    <xf numFmtId="164" fontId="25" fillId="2" borderId="2" xfId="1" applyNumberFormat="1" applyFont="1" applyFill="1" applyBorder="1" applyAlignment="1">
      <alignment vertical="center" wrapText="1"/>
    </xf>
    <xf numFmtId="168" fontId="0" fillId="0" borderId="0" xfId="4" applyNumberFormat="1" applyFont="1"/>
    <xf numFmtId="168" fontId="0" fillId="0" borderId="0" xfId="0" applyNumberFormat="1"/>
    <xf numFmtId="169" fontId="0" fillId="0" borderId="0" xfId="0" applyNumberFormat="1"/>
    <xf numFmtId="0" fontId="0" fillId="2" borderId="0" xfId="0" applyFill="1"/>
    <xf numFmtId="0" fontId="0" fillId="0" borderId="0" xfId="0" applyAlignment="1">
      <alignment wrapText="1"/>
    </xf>
    <xf numFmtId="165" fontId="0" fillId="0" borderId="0" xfId="0" applyNumberFormat="1" applyAlignment="1">
      <alignment horizontal="center" vertical="center"/>
    </xf>
    <xf numFmtId="3" fontId="2" fillId="2" borderId="20" xfId="0" applyNumberFormat="1" applyFont="1" applyFill="1" applyBorder="1" applyAlignment="1">
      <alignment horizontal="center"/>
    </xf>
    <xf numFmtId="3" fontId="2" fillId="2" borderId="21" xfId="0" applyNumberFormat="1" applyFont="1" applyFill="1" applyBorder="1" applyAlignment="1">
      <alignment horizontal="center"/>
    </xf>
    <xf numFmtId="0" fontId="2" fillId="2" borderId="0" xfId="0" applyFont="1" applyFill="1" applyAlignment="1">
      <alignment horizontal="center"/>
    </xf>
    <xf numFmtId="0" fontId="0" fillId="0" borderId="0" xfId="0" applyAlignment="1">
      <alignment horizontal="center" vertical="center" wrapText="1"/>
    </xf>
    <xf numFmtId="0" fontId="0" fillId="2" borderId="18" xfId="0" applyFill="1" applyBorder="1"/>
    <xf numFmtId="0" fontId="0" fillId="2" borderId="19" xfId="0" applyFill="1" applyBorder="1"/>
    <xf numFmtId="0" fontId="0" fillId="2" borderId="6" xfId="0" applyFill="1" applyBorder="1" applyAlignment="1">
      <alignment horizontal="center" vertical="center" wrapText="1"/>
    </xf>
    <xf numFmtId="3" fontId="0" fillId="2" borderId="2" xfId="0" applyNumberFormat="1" applyFill="1" applyBorder="1" applyAlignment="1">
      <alignment horizontal="center"/>
    </xf>
    <xf numFmtId="3" fontId="0" fillId="2" borderId="7" xfId="0" applyNumberFormat="1" applyFill="1" applyBorder="1" applyAlignment="1">
      <alignment horizontal="center"/>
    </xf>
    <xf numFmtId="0" fontId="0" fillId="2" borderId="38" xfId="0" applyFill="1" applyBorder="1"/>
    <xf numFmtId="0" fontId="0" fillId="35" borderId="17" xfId="0" applyFill="1" applyBorder="1"/>
    <xf numFmtId="0" fontId="0" fillId="35" borderId="18" xfId="0" applyFill="1" applyBorder="1"/>
    <xf numFmtId="0" fontId="0" fillId="35" borderId="19" xfId="0" applyFill="1" applyBorder="1"/>
    <xf numFmtId="0" fontId="0" fillId="35" borderId="31" xfId="0" applyFill="1" applyBorder="1"/>
    <xf numFmtId="0" fontId="0" fillId="35" borderId="39" xfId="0" applyFill="1" applyBorder="1"/>
    <xf numFmtId="0" fontId="0" fillId="35" borderId="40" xfId="0" applyFill="1" applyBorder="1"/>
    <xf numFmtId="0" fontId="2" fillId="2" borderId="37" xfId="0" applyFont="1" applyFill="1" applyBorder="1" applyAlignment="1">
      <alignment horizontal="center"/>
    </xf>
    <xf numFmtId="0" fontId="0" fillId="2" borderId="3" xfId="0" applyFill="1" applyBorder="1" applyAlignment="1">
      <alignment horizontal="center" vertical="center" wrapText="1"/>
    </xf>
    <xf numFmtId="3" fontId="0" fillId="2" borderId="4" xfId="0" applyNumberFormat="1" applyFill="1" applyBorder="1" applyAlignment="1">
      <alignment horizontal="center"/>
    </xf>
    <xf numFmtId="0" fontId="2" fillId="2" borderId="8" xfId="0" applyFont="1" applyFill="1" applyBorder="1" applyAlignment="1">
      <alignment horizontal="center" vertical="center" wrapText="1"/>
    </xf>
    <xf numFmtId="0" fontId="0" fillId="2" borderId="11" xfId="0" applyFill="1" applyBorder="1" applyAlignment="1">
      <alignment horizontal="center" vertical="center" wrapText="1"/>
    </xf>
    <xf numFmtId="3" fontId="0" fillId="2" borderId="12" xfId="0" applyNumberFormat="1" applyFill="1" applyBorder="1" applyAlignment="1">
      <alignment horizontal="center"/>
    </xf>
    <xf numFmtId="0" fontId="2" fillId="2" borderId="33" xfId="0" applyFont="1" applyFill="1" applyBorder="1" applyAlignment="1">
      <alignment horizontal="center" vertical="center" wrapText="1"/>
    </xf>
    <xf numFmtId="0" fontId="0" fillId="2" borderId="8" xfId="0" applyFill="1" applyBorder="1" applyAlignment="1">
      <alignment horizontal="center" vertical="center" wrapText="1"/>
    </xf>
    <xf numFmtId="3" fontId="0" fillId="2" borderId="9" xfId="0" applyNumberFormat="1" applyFill="1" applyBorder="1" applyAlignment="1">
      <alignment horizontal="center"/>
    </xf>
    <xf numFmtId="167" fontId="0" fillId="2" borderId="2" xfId="0" applyNumberFormat="1" applyFill="1" applyBorder="1" applyAlignment="1">
      <alignment horizontal="center"/>
    </xf>
    <xf numFmtId="0" fontId="17" fillId="36" borderId="33" xfId="0" applyFont="1" applyFill="1" applyBorder="1" applyAlignment="1">
      <alignment horizontal="center"/>
    </xf>
    <xf numFmtId="0" fontId="17" fillId="36" borderId="20" xfId="0" applyFont="1" applyFill="1" applyBorder="1" applyAlignment="1">
      <alignment horizontal="center"/>
    </xf>
    <xf numFmtId="0" fontId="17" fillId="36" borderId="21" xfId="0" applyFont="1" applyFill="1" applyBorder="1" applyAlignment="1">
      <alignment horizontal="center"/>
    </xf>
    <xf numFmtId="0" fontId="0" fillId="35" borderId="0" xfId="0" applyFill="1"/>
    <xf numFmtId="164" fontId="5" fillId="2" borderId="4" xfId="3" applyNumberFormat="1" applyFont="1" applyFill="1" applyBorder="1" applyAlignment="1">
      <alignment vertical="center" wrapText="1"/>
    </xf>
    <xf numFmtId="164" fontId="5" fillId="2" borderId="2" xfId="3" applyNumberFormat="1" applyFont="1" applyFill="1" applyBorder="1" applyAlignment="1">
      <alignment vertical="center" wrapText="1"/>
    </xf>
    <xf numFmtId="164" fontId="25" fillId="2" borderId="2" xfId="3" applyNumberFormat="1" applyFont="1" applyFill="1" applyBorder="1" applyAlignment="1">
      <alignment vertical="center" wrapText="1"/>
    </xf>
    <xf numFmtId="0" fontId="5" fillId="2" borderId="8" xfId="1" applyFont="1" applyFill="1" applyBorder="1" applyAlignment="1">
      <alignment horizontal="left" vertical="center"/>
    </xf>
    <xf numFmtId="0" fontId="5" fillId="2" borderId="9" xfId="1" applyFont="1" applyFill="1" applyBorder="1" applyAlignment="1">
      <alignment horizontal="center" vertical="center" wrapText="1"/>
    </xf>
    <xf numFmtId="164" fontId="5" fillId="2" borderId="9" xfId="1" applyNumberFormat="1" applyFont="1" applyFill="1" applyBorder="1" applyAlignment="1">
      <alignment vertical="center" wrapText="1"/>
    </xf>
    <xf numFmtId="164" fontId="5" fillId="2" borderId="9" xfId="3" applyNumberFormat="1" applyFont="1" applyFill="1" applyBorder="1" applyAlignment="1">
      <alignment vertical="center" wrapText="1"/>
    </xf>
    <xf numFmtId="164" fontId="25" fillId="2" borderId="9" xfId="1" applyNumberFormat="1" applyFont="1" applyFill="1" applyBorder="1" applyAlignment="1">
      <alignment vertical="center" wrapText="1"/>
    </xf>
    <xf numFmtId="164" fontId="3" fillId="36" borderId="0" xfId="1" applyNumberFormat="1" applyFont="1" applyFill="1" applyAlignment="1">
      <alignment horizontal="center" vertical="center"/>
    </xf>
    <xf numFmtId="164" fontId="3" fillId="36" borderId="39" xfId="1" applyNumberFormat="1" applyFont="1" applyFill="1" applyBorder="1" applyAlignment="1">
      <alignment vertical="center"/>
    </xf>
    <xf numFmtId="0" fontId="3" fillId="36" borderId="39" xfId="1" applyFont="1" applyFill="1" applyBorder="1" applyAlignment="1">
      <alignment vertical="center"/>
    </xf>
    <xf numFmtId="164" fontId="3" fillId="36" borderId="0" xfId="1" applyNumberFormat="1" applyFont="1" applyFill="1" applyAlignment="1">
      <alignment vertical="center"/>
    </xf>
    <xf numFmtId="0" fontId="3" fillId="36" borderId="0" xfId="1" applyFont="1" applyFill="1" applyAlignment="1">
      <alignment vertical="center"/>
    </xf>
    <xf numFmtId="0" fontId="3" fillId="36" borderId="0" xfId="1" applyFont="1" applyFill="1" applyAlignment="1">
      <alignment horizontal="center" vertical="center"/>
    </xf>
    <xf numFmtId="10" fontId="3" fillId="36" borderId="0" xfId="4" applyNumberFormat="1" applyFont="1" applyFill="1" applyAlignment="1">
      <alignment horizontal="center"/>
    </xf>
    <xf numFmtId="164" fontId="3" fillId="36" borderId="1" xfId="1" applyNumberFormat="1" applyFont="1" applyFill="1" applyBorder="1" applyAlignment="1">
      <alignment horizontal="center" vertical="center" wrapText="1"/>
    </xf>
    <xf numFmtId="164" fontId="3" fillId="36" borderId="41" xfId="1" applyNumberFormat="1" applyFont="1" applyFill="1" applyBorder="1" applyAlignment="1">
      <alignment horizontal="center" vertical="center" wrapText="1"/>
    </xf>
    <xf numFmtId="0" fontId="3" fillId="36" borderId="41" xfId="1" applyFont="1" applyFill="1" applyBorder="1" applyAlignment="1">
      <alignment horizontal="center" vertical="center" wrapText="1"/>
    </xf>
    <xf numFmtId="0" fontId="3" fillId="36" borderId="1" xfId="1" applyFont="1" applyFill="1" applyBorder="1" applyAlignment="1">
      <alignment horizontal="center" vertical="center" wrapText="1"/>
    </xf>
    <xf numFmtId="0" fontId="5" fillId="2" borderId="2" xfId="2" applyFont="1" applyFill="1" applyBorder="1" applyAlignment="1">
      <alignment horizontal="left" vertical="center" wrapText="1"/>
    </xf>
    <xf numFmtId="0" fontId="5" fillId="2" borderId="2" xfId="1" applyFont="1" applyFill="1" applyBorder="1" applyAlignment="1">
      <alignment horizontal="left" vertical="center"/>
    </xf>
    <xf numFmtId="166" fontId="25" fillId="2" borderId="3" xfId="4" applyNumberFormat="1" applyFont="1" applyFill="1" applyBorder="1" applyAlignment="1">
      <alignment horizontal="center" vertical="center" wrapText="1"/>
    </xf>
    <xf numFmtId="0" fontId="5" fillId="2" borderId="4" xfId="2" applyFont="1" applyFill="1" applyBorder="1" applyAlignment="1">
      <alignment horizontal="left" vertical="center" wrapText="1"/>
    </xf>
    <xf numFmtId="166" fontId="25" fillId="2" borderId="6" xfId="4" applyNumberFormat="1" applyFont="1" applyFill="1" applyBorder="1" applyAlignment="1">
      <alignment horizontal="center" vertical="center" wrapText="1"/>
    </xf>
    <xf numFmtId="0" fontId="25" fillId="2" borderId="6" xfId="2" applyFont="1" applyFill="1" applyBorder="1" applyAlignment="1">
      <alignment horizontal="left" vertical="center" wrapText="1"/>
    </xf>
    <xf numFmtId="0" fontId="5" fillId="2" borderId="9" xfId="1" applyFont="1" applyFill="1" applyBorder="1" applyAlignment="1">
      <alignment horizontal="left" vertical="center"/>
    </xf>
    <xf numFmtId="166" fontId="25" fillId="2" borderId="8" xfId="4" applyNumberFormat="1" applyFont="1" applyFill="1" applyBorder="1" applyAlignment="1">
      <alignment horizontal="center" vertical="center" wrapText="1"/>
    </xf>
    <xf numFmtId="0" fontId="5" fillId="2" borderId="9" xfId="2" applyFont="1" applyFill="1" applyBorder="1" applyAlignment="1">
      <alignment horizontal="left" vertical="center" wrapText="1"/>
    </xf>
    <xf numFmtId="0" fontId="0" fillId="0" borderId="0" xfId="0" applyAlignment="1">
      <alignment vertical="center" wrapText="1"/>
    </xf>
    <xf numFmtId="0" fontId="2" fillId="2" borderId="37" xfId="0" applyFont="1" applyFill="1" applyBorder="1"/>
    <xf numFmtId="0" fontId="0" fillId="2" borderId="37" xfId="0" applyFill="1" applyBorder="1" applyAlignment="1">
      <alignment vertical="center" wrapText="1"/>
    </xf>
    <xf numFmtId="170" fontId="0" fillId="2" borderId="0" xfId="0" applyNumberFormat="1" applyFill="1" applyAlignment="1">
      <alignment horizontal="center" vertical="center"/>
    </xf>
    <xf numFmtId="170" fontId="0" fillId="2" borderId="38" xfId="0" applyNumberFormat="1" applyFill="1" applyBorder="1" applyAlignment="1">
      <alignment horizontal="center" vertical="center"/>
    </xf>
    <xf numFmtId="0" fontId="2" fillId="2" borderId="37" xfId="0" applyFont="1" applyFill="1" applyBorder="1" applyAlignment="1">
      <alignment vertical="center" wrapText="1"/>
    </xf>
    <xf numFmtId="165" fontId="0" fillId="2" borderId="0" xfId="0" applyNumberFormat="1" applyFill="1" applyAlignment="1">
      <alignment horizontal="center" vertical="center"/>
    </xf>
    <xf numFmtId="165" fontId="0" fillId="2" borderId="38" xfId="0" applyNumberFormat="1" applyFill="1" applyBorder="1" applyAlignment="1">
      <alignment horizontal="center" vertical="center"/>
    </xf>
    <xf numFmtId="0" fontId="0" fillId="2" borderId="31" xfId="0" applyFill="1" applyBorder="1" applyAlignment="1">
      <alignment vertical="center" wrapText="1"/>
    </xf>
    <xf numFmtId="165" fontId="0" fillId="2" borderId="39" xfId="0" applyNumberFormat="1" applyFill="1" applyBorder="1" applyAlignment="1">
      <alignment horizontal="center" vertical="center"/>
    </xf>
    <xf numFmtId="165" fontId="0" fillId="2" borderId="40" xfId="0" applyNumberFormat="1" applyFill="1" applyBorder="1" applyAlignment="1">
      <alignment horizontal="center" vertical="center"/>
    </xf>
    <xf numFmtId="0" fontId="2" fillId="2" borderId="17" xfId="0" applyFont="1" applyFill="1" applyBorder="1"/>
    <xf numFmtId="0" fontId="2" fillId="2" borderId="17" xfId="0" applyFont="1" applyFill="1" applyBorder="1" applyAlignment="1">
      <alignment vertical="center" wrapText="1"/>
    </xf>
    <xf numFmtId="0" fontId="0" fillId="2" borderId="18" xfId="0" applyFill="1" applyBorder="1" applyAlignment="1">
      <alignment vertical="center"/>
    </xf>
    <xf numFmtId="0" fontId="2" fillId="35" borderId="17" xfId="0" applyFont="1" applyFill="1" applyBorder="1"/>
    <xf numFmtId="0" fontId="2" fillId="35" borderId="37" xfId="0" applyFont="1" applyFill="1" applyBorder="1"/>
    <xf numFmtId="0" fontId="0" fillId="35" borderId="38" xfId="0" applyFill="1" applyBorder="1"/>
    <xf numFmtId="165" fontId="0" fillId="2" borderId="0" xfId="0" applyNumberFormat="1" applyFill="1" applyAlignment="1">
      <alignment horizontal="center"/>
    </xf>
    <xf numFmtId="0" fontId="17" fillId="36" borderId="20" xfId="0" applyFont="1" applyFill="1" applyBorder="1" applyAlignment="1">
      <alignment horizontal="center" wrapText="1"/>
    </xf>
    <xf numFmtId="0" fontId="17" fillId="36" borderId="21" xfId="0" applyFont="1" applyFill="1" applyBorder="1" applyAlignment="1">
      <alignment horizontal="center" wrapText="1"/>
    </xf>
    <xf numFmtId="0" fontId="0" fillId="2" borderId="18" xfId="0" applyFill="1" applyBorder="1" applyAlignment="1">
      <alignment horizontal="center" vertical="center"/>
    </xf>
    <xf numFmtId="0" fontId="0" fillId="2" borderId="19" xfId="0" applyFill="1" applyBorder="1" applyAlignment="1">
      <alignment horizontal="center"/>
    </xf>
    <xf numFmtId="0" fontId="0" fillId="2" borderId="37" xfId="0" applyFill="1" applyBorder="1"/>
    <xf numFmtId="0" fontId="0" fillId="2" borderId="37" xfId="0" applyFill="1" applyBorder="1" applyAlignment="1">
      <alignment wrapText="1"/>
    </xf>
    <xf numFmtId="165" fontId="0" fillId="2" borderId="38" xfId="0" applyNumberFormat="1" applyFill="1" applyBorder="1" applyAlignment="1">
      <alignment horizontal="center"/>
    </xf>
    <xf numFmtId="0" fontId="2" fillId="35" borderId="14" xfId="0" applyFont="1" applyFill="1" applyBorder="1" applyAlignment="1">
      <alignment horizontal="center" vertical="center" wrapText="1"/>
    </xf>
    <xf numFmtId="0" fontId="2" fillId="35" borderId="16" xfId="0" applyFont="1" applyFill="1" applyBorder="1" applyAlignment="1">
      <alignment horizontal="center" vertical="center" wrapText="1"/>
    </xf>
    <xf numFmtId="0" fontId="27" fillId="2" borderId="3" xfId="1" applyFont="1" applyFill="1" applyBorder="1" applyAlignment="1">
      <alignment horizontal="center" vertical="center"/>
    </xf>
    <xf numFmtId="0" fontId="27" fillId="2" borderId="4" xfId="2" applyFont="1" applyFill="1" applyBorder="1" applyAlignment="1">
      <alignment horizontal="center" vertical="center" wrapText="1"/>
    </xf>
    <xf numFmtId="170" fontId="28" fillId="2" borderId="4" xfId="0" applyNumberFormat="1" applyFont="1" applyFill="1" applyBorder="1" applyAlignment="1">
      <alignment horizontal="center" vertical="center"/>
    </xf>
    <xf numFmtId="0" fontId="27" fillId="2" borderId="6" xfId="1" applyFont="1" applyFill="1" applyBorder="1" applyAlignment="1">
      <alignment horizontal="center" vertical="center"/>
    </xf>
    <xf numFmtId="0" fontId="27" fillId="2" borderId="2" xfId="2" applyFont="1" applyFill="1" applyBorder="1" applyAlignment="1">
      <alignment horizontal="center" vertical="center" wrapText="1"/>
    </xf>
    <xf numFmtId="170" fontId="28" fillId="2" borderId="2" xfId="0" applyNumberFormat="1" applyFont="1" applyFill="1" applyBorder="1" applyAlignment="1">
      <alignment horizontal="center" vertical="center"/>
    </xf>
    <xf numFmtId="0" fontId="27" fillId="2" borderId="11" xfId="1" applyFont="1" applyFill="1" applyBorder="1" applyAlignment="1">
      <alignment horizontal="center" vertical="center"/>
    </xf>
    <xf numFmtId="0" fontId="27" fillId="2" borderId="12" xfId="2" applyFont="1" applyFill="1" applyBorder="1" applyAlignment="1">
      <alignment horizontal="center" vertical="center" wrapText="1"/>
    </xf>
    <xf numFmtId="170" fontId="28" fillId="2" borderId="12" xfId="0" applyNumberFormat="1" applyFont="1" applyFill="1" applyBorder="1" applyAlignment="1">
      <alignment horizontal="center" vertical="center"/>
    </xf>
    <xf numFmtId="164" fontId="29" fillId="2" borderId="20" xfId="0" applyNumberFormat="1" applyFont="1" applyFill="1" applyBorder="1" applyAlignment="1">
      <alignment horizontal="center"/>
    </xf>
    <xf numFmtId="164" fontId="17" fillId="36" borderId="1" xfId="1" applyNumberFormat="1" applyFont="1" applyFill="1" applyBorder="1" applyAlignment="1">
      <alignment vertical="center"/>
    </xf>
    <xf numFmtId="0" fontId="17" fillId="36" borderId="1" xfId="1" applyFont="1" applyFill="1" applyBorder="1" applyAlignment="1">
      <alignment horizontal="center" vertical="center" wrapText="1"/>
    </xf>
    <xf numFmtId="0" fontId="17" fillId="36" borderId="1" xfId="1" applyFont="1" applyFill="1" applyBorder="1" applyAlignment="1">
      <alignment horizontal="center" vertical="center"/>
    </xf>
    <xf numFmtId="0" fontId="31" fillId="2" borderId="6" xfId="1" applyFont="1" applyFill="1" applyBorder="1" applyAlignment="1">
      <alignment horizontal="left" vertical="center"/>
    </xf>
    <xf numFmtId="0" fontId="31" fillId="2" borderId="2" xfId="1" applyFont="1" applyFill="1" applyBorder="1" applyAlignment="1">
      <alignment horizontal="center" vertical="center" wrapText="1"/>
    </xf>
    <xf numFmtId="164" fontId="31" fillId="2" borderId="2" xfId="1" applyNumberFormat="1" applyFont="1" applyFill="1" applyBorder="1" applyAlignment="1">
      <alignment vertical="center" wrapText="1"/>
    </xf>
    <xf numFmtId="0" fontId="31" fillId="2" borderId="6" xfId="1" applyFont="1" applyFill="1" applyBorder="1" applyAlignment="1">
      <alignment vertical="center"/>
    </xf>
    <xf numFmtId="0" fontId="31" fillId="2" borderId="8" xfId="1" applyFont="1" applyFill="1" applyBorder="1" applyAlignment="1">
      <alignment vertical="center"/>
    </xf>
    <xf numFmtId="0" fontId="31" fillId="2" borderId="9" xfId="1" applyFont="1" applyFill="1" applyBorder="1" applyAlignment="1">
      <alignment horizontal="center" vertical="center" wrapText="1"/>
    </xf>
    <xf numFmtId="164" fontId="31" fillId="2" borderId="9" xfId="1" applyNumberFormat="1" applyFont="1" applyFill="1" applyBorder="1" applyAlignment="1">
      <alignment vertical="center" wrapText="1"/>
    </xf>
    <xf numFmtId="164" fontId="17" fillId="36" borderId="3" xfId="1" applyNumberFormat="1" applyFont="1" applyFill="1" applyBorder="1" applyAlignment="1">
      <alignment vertical="center"/>
    </xf>
    <xf numFmtId="0" fontId="17" fillId="36" borderId="4" xfId="1" applyFont="1" applyFill="1" applyBorder="1" applyAlignment="1">
      <alignment horizontal="center" vertical="center" wrapText="1"/>
    </xf>
    <xf numFmtId="0" fontId="17" fillId="36" borderId="4" xfId="1" applyFont="1" applyFill="1" applyBorder="1" applyAlignment="1">
      <alignment horizontal="center" vertical="center"/>
    </xf>
    <xf numFmtId="0" fontId="17" fillId="36" borderId="0" xfId="0" applyFont="1" applyFill="1"/>
    <xf numFmtId="165" fontId="0" fillId="37" borderId="0" xfId="0" applyNumberFormat="1" applyFill="1" applyAlignment="1">
      <alignment horizontal="center" vertical="center"/>
    </xf>
    <xf numFmtId="165" fontId="0" fillId="37" borderId="38" xfId="0" applyNumberFormat="1" applyFill="1" applyBorder="1" applyAlignment="1">
      <alignment horizontal="center" vertical="center"/>
    </xf>
    <xf numFmtId="165" fontId="0" fillId="37" borderId="39" xfId="0" applyNumberFormat="1" applyFill="1" applyBorder="1" applyAlignment="1">
      <alignment horizontal="center" vertical="center"/>
    </xf>
    <xf numFmtId="165" fontId="0" fillId="37" borderId="40" xfId="0" applyNumberFormat="1" applyFill="1" applyBorder="1" applyAlignment="1">
      <alignment horizontal="center" vertical="center"/>
    </xf>
    <xf numFmtId="0" fontId="2" fillId="37" borderId="17" xfId="0" applyFont="1" applyFill="1" applyBorder="1" applyAlignment="1">
      <alignment vertical="center" wrapText="1"/>
    </xf>
    <xf numFmtId="0" fontId="0" fillId="37" borderId="18" xfId="0" applyFill="1" applyBorder="1" applyAlignment="1">
      <alignment vertical="center"/>
    </xf>
    <xf numFmtId="0" fontId="0" fillId="37" borderId="19" xfId="0" applyFill="1" applyBorder="1"/>
    <xf numFmtId="0" fontId="0" fillId="37" borderId="37" xfId="0" applyFill="1" applyBorder="1" applyAlignment="1">
      <alignment vertical="center" wrapText="1"/>
    </xf>
    <xf numFmtId="0" fontId="0" fillId="37" borderId="31" xfId="0" applyFill="1" applyBorder="1" applyAlignment="1">
      <alignment vertical="center" wrapText="1"/>
    </xf>
    <xf numFmtId="10" fontId="0" fillId="2" borderId="0" xfId="4" applyNumberFormat="1" applyFont="1" applyFill="1" applyBorder="1" applyAlignment="1">
      <alignment horizontal="center" vertical="center"/>
    </xf>
    <xf numFmtId="10" fontId="0" fillId="2" borderId="38" xfId="4" applyNumberFormat="1" applyFont="1" applyFill="1" applyBorder="1" applyAlignment="1">
      <alignment horizontal="center" vertical="center"/>
    </xf>
    <xf numFmtId="170" fontId="0" fillId="37" borderId="0" xfId="0" applyNumberFormat="1" applyFill="1" applyAlignment="1">
      <alignment horizontal="center" vertical="center"/>
    </xf>
    <xf numFmtId="170" fontId="0" fillId="37" borderId="38" xfId="0" applyNumberFormat="1" applyFill="1" applyBorder="1" applyAlignment="1">
      <alignment horizontal="center" vertical="center"/>
    </xf>
    <xf numFmtId="170" fontId="0" fillId="37" borderId="39" xfId="0" applyNumberFormat="1" applyFill="1" applyBorder="1" applyAlignment="1">
      <alignment horizontal="center" vertical="center"/>
    </xf>
    <xf numFmtId="170" fontId="0" fillId="37" borderId="40" xfId="0" applyNumberFormat="1" applyFill="1" applyBorder="1" applyAlignment="1">
      <alignment horizontal="center" vertical="center"/>
    </xf>
    <xf numFmtId="0" fontId="2" fillId="37" borderId="37" xfId="0" applyFont="1" applyFill="1" applyBorder="1" applyAlignment="1">
      <alignment vertical="center" wrapText="1"/>
    </xf>
    <xf numFmtId="0" fontId="0" fillId="2" borderId="14" xfId="0" applyFill="1" applyBorder="1" applyAlignment="1">
      <alignment vertical="center" wrapText="1"/>
    </xf>
    <xf numFmtId="170" fontId="0" fillId="2" borderId="15" xfId="0" applyNumberFormat="1" applyFill="1" applyBorder="1" applyAlignment="1">
      <alignment horizontal="center" vertical="center"/>
    </xf>
    <xf numFmtId="170" fontId="0" fillId="2" borderId="16" xfId="0" applyNumberFormat="1" applyFill="1" applyBorder="1" applyAlignment="1">
      <alignment horizontal="center" vertical="center"/>
    </xf>
    <xf numFmtId="10" fontId="0" fillId="2" borderId="15" xfId="4" applyNumberFormat="1" applyFont="1" applyFill="1" applyBorder="1" applyAlignment="1">
      <alignment horizontal="center" vertical="center"/>
    </xf>
    <xf numFmtId="0" fontId="2" fillId="37" borderId="17" xfId="0" applyFont="1" applyFill="1" applyBorder="1"/>
    <xf numFmtId="0" fontId="0" fillId="37" borderId="18" xfId="0" applyFill="1" applyBorder="1"/>
    <xf numFmtId="0" fontId="2" fillId="35" borderId="17" xfId="0" applyFont="1" applyFill="1" applyBorder="1" applyAlignment="1">
      <alignment horizontal="center" vertical="center" wrapText="1"/>
    </xf>
    <xf numFmtId="0" fontId="2" fillId="35" borderId="18" xfId="0" applyFont="1" applyFill="1" applyBorder="1" applyAlignment="1">
      <alignment horizontal="center" vertical="center" wrapText="1"/>
    </xf>
    <xf numFmtId="0" fontId="2" fillId="35" borderId="19" xfId="0" applyFont="1" applyFill="1" applyBorder="1" applyAlignment="1">
      <alignment horizontal="center" vertical="center" wrapText="1"/>
    </xf>
    <xf numFmtId="0" fontId="2" fillId="2" borderId="31" xfId="0" applyFont="1" applyFill="1" applyBorder="1"/>
    <xf numFmtId="165" fontId="0" fillId="2" borderId="39" xfId="0" applyNumberFormat="1" applyFill="1" applyBorder="1" applyAlignment="1">
      <alignment horizontal="center"/>
    </xf>
    <xf numFmtId="0" fontId="17" fillId="36" borderId="33" xfId="0" applyFont="1" applyFill="1" applyBorder="1" applyAlignment="1">
      <alignment horizontal="center" wrapText="1"/>
    </xf>
    <xf numFmtId="0" fontId="0" fillId="0" borderId="0" xfId="0" applyAlignment="1">
      <alignment horizontal="center" wrapText="1"/>
    </xf>
    <xf numFmtId="10" fontId="0" fillId="2" borderId="38" xfId="4" applyNumberFormat="1" applyFont="1" applyFill="1" applyBorder="1" applyAlignment="1">
      <alignment horizontal="center" wrapText="1"/>
    </xf>
    <xf numFmtId="10" fontId="0" fillId="2" borderId="38" xfId="4" applyNumberFormat="1" applyFont="1" applyFill="1" applyBorder="1" applyAlignment="1">
      <alignment horizontal="center" vertical="center" wrapText="1"/>
    </xf>
    <xf numFmtId="10" fontId="0" fillId="2" borderId="39" xfId="4" applyNumberFormat="1" applyFont="1" applyFill="1" applyBorder="1" applyAlignment="1">
      <alignment horizontal="center" vertical="center" wrapText="1"/>
    </xf>
    <xf numFmtId="10" fontId="0" fillId="2" borderId="40" xfId="4" applyNumberFormat="1" applyFont="1" applyFill="1" applyBorder="1" applyAlignment="1">
      <alignment horizontal="center" vertical="center" wrapText="1"/>
    </xf>
    <xf numFmtId="0" fontId="0" fillId="2" borderId="17" xfId="0" applyFill="1" applyBorder="1" applyAlignment="1">
      <alignment wrapText="1"/>
    </xf>
    <xf numFmtId="10" fontId="0" fillId="2" borderId="18" xfId="4" applyNumberFormat="1" applyFont="1" applyFill="1" applyBorder="1" applyAlignment="1">
      <alignment horizontal="center" vertical="center"/>
    </xf>
    <xf numFmtId="10" fontId="0" fillId="2" borderId="19" xfId="4" applyNumberFormat="1" applyFont="1" applyFill="1" applyBorder="1" applyAlignment="1">
      <alignment horizontal="center" vertical="center"/>
    </xf>
    <xf numFmtId="10" fontId="0" fillId="2" borderId="0" xfId="4" applyNumberFormat="1" applyFont="1" applyFill="1" applyBorder="1" applyAlignment="1">
      <alignment horizontal="center" wrapText="1"/>
    </xf>
    <xf numFmtId="10" fontId="0" fillId="2" borderId="0" xfId="4" applyNumberFormat="1" applyFont="1" applyFill="1" applyBorder="1" applyAlignment="1">
      <alignment horizontal="center" vertical="center" wrapText="1"/>
    </xf>
    <xf numFmtId="0" fontId="0" fillId="37" borderId="37" xfId="0" applyFill="1" applyBorder="1"/>
    <xf numFmtId="165" fontId="0" fillId="37" borderId="38" xfId="0" applyNumberFormat="1" applyFill="1" applyBorder="1" applyAlignment="1">
      <alignment horizontal="center"/>
    </xf>
    <xf numFmtId="0" fontId="0" fillId="37" borderId="37" xfId="0" applyFill="1" applyBorder="1" applyAlignment="1">
      <alignment wrapText="1"/>
    </xf>
    <xf numFmtId="165" fontId="0" fillId="0" borderId="0" xfId="0" applyNumberFormat="1"/>
    <xf numFmtId="165" fontId="18" fillId="0" borderId="0" xfId="0" applyNumberFormat="1" applyFont="1"/>
    <xf numFmtId="0" fontId="32" fillId="35" borderId="37" xfId="0" applyFont="1" applyFill="1" applyBorder="1"/>
    <xf numFmtId="165" fontId="31" fillId="0" borderId="0" xfId="0" applyNumberFormat="1" applyFont="1"/>
    <xf numFmtId="0" fontId="32" fillId="35" borderId="15" xfId="0" applyFont="1" applyFill="1" applyBorder="1" applyAlignment="1">
      <alignment horizontal="center" vertical="center" wrapText="1"/>
    </xf>
    <xf numFmtId="0" fontId="0" fillId="37" borderId="38" xfId="0" applyFill="1" applyBorder="1"/>
    <xf numFmtId="170" fontId="0" fillId="2" borderId="0" xfId="0" applyNumberFormat="1" applyFill="1" applyAlignment="1">
      <alignment horizontal="center"/>
    </xf>
    <xf numFmtId="170" fontId="0" fillId="2" borderId="38" xfId="0" applyNumberFormat="1" applyFill="1" applyBorder="1" applyAlignment="1">
      <alignment horizontal="center"/>
    </xf>
    <xf numFmtId="0" fontId="0" fillId="37" borderId="0" xfId="0" applyFill="1" applyAlignment="1">
      <alignment vertical="center"/>
    </xf>
    <xf numFmtId="168" fontId="0" fillId="2" borderId="0" xfId="4" applyNumberFormat="1" applyFont="1" applyFill="1" applyBorder="1" applyAlignment="1">
      <alignment horizontal="center" vertical="center"/>
    </xf>
    <xf numFmtId="168" fontId="0" fillId="2" borderId="38" xfId="4" applyNumberFormat="1" applyFont="1" applyFill="1" applyBorder="1" applyAlignment="1">
      <alignment horizontal="center" vertical="center"/>
    </xf>
    <xf numFmtId="168" fontId="0" fillId="2" borderId="39" xfId="4" applyNumberFormat="1" applyFont="1" applyFill="1" applyBorder="1" applyAlignment="1">
      <alignment horizontal="center" vertical="center"/>
    </xf>
    <xf numFmtId="168" fontId="0" fillId="2" borderId="40" xfId="4" applyNumberFormat="1" applyFont="1" applyFill="1" applyBorder="1" applyAlignment="1">
      <alignment horizontal="center" vertical="center"/>
    </xf>
    <xf numFmtId="170" fontId="0" fillId="0" borderId="0" xfId="0" applyNumberFormat="1"/>
    <xf numFmtId="2" fontId="0" fillId="0" borderId="0" xfId="0" applyNumberFormat="1"/>
    <xf numFmtId="170" fontId="0" fillId="2" borderId="39" xfId="0" applyNumberFormat="1" applyFill="1" applyBorder="1" applyAlignment="1">
      <alignment horizontal="center"/>
    </xf>
    <xf numFmtId="170" fontId="0" fillId="2" borderId="40" xfId="0" applyNumberFormat="1" applyFill="1" applyBorder="1" applyAlignment="1">
      <alignment horizontal="center"/>
    </xf>
    <xf numFmtId="0" fontId="0" fillId="37" borderId="19" xfId="0" applyFill="1" applyBorder="1" applyAlignment="1">
      <alignment vertical="center"/>
    </xf>
    <xf numFmtId="172" fontId="0" fillId="2" borderId="0" xfId="0" applyNumberFormat="1" applyFill="1" applyAlignment="1">
      <alignment horizontal="center" vertical="center"/>
    </xf>
    <xf numFmtId="172" fontId="0" fillId="2" borderId="38" xfId="0" applyNumberFormat="1" applyFill="1" applyBorder="1" applyAlignment="1">
      <alignment horizontal="center" vertical="center"/>
    </xf>
    <xf numFmtId="172" fontId="0" fillId="2" borderId="39" xfId="0" applyNumberFormat="1" applyFill="1" applyBorder="1" applyAlignment="1">
      <alignment horizontal="center" vertical="center"/>
    </xf>
    <xf numFmtId="172" fontId="0" fillId="2" borderId="40" xfId="0" applyNumberFormat="1" applyFill="1" applyBorder="1" applyAlignment="1">
      <alignment horizontal="center" vertical="center"/>
    </xf>
    <xf numFmtId="2" fontId="0" fillId="0" borderId="0" xfId="0" applyNumberFormat="1" applyAlignment="1">
      <alignment wrapText="1"/>
    </xf>
    <xf numFmtId="171" fontId="0" fillId="0" borderId="0" xfId="0" applyNumberFormat="1"/>
    <xf numFmtId="0" fontId="33" fillId="0" borderId="2" xfId="0" applyFont="1" applyBorder="1" applyAlignment="1">
      <alignment horizontal="center" vertical="center"/>
    </xf>
    <xf numFmtId="4" fontId="33" fillId="0" borderId="2" xfId="0" applyNumberFormat="1" applyFont="1" applyBorder="1" applyAlignment="1">
      <alignment horizontal="center" vertical="center"/>
    </xf>
    <xf numFmtId="174" fontId="0" fillId="37" borderId="39" xfId="0" applyNumberFormat="1" applyFill="1" applyBorder="1" applyAlignment="1">
      <alignment horizontal="center" vertical="center"/>
    </xf>
    <xf numFmtId="170" fontId="2" fillId="0" borderId="0" xfId="0" applyNumberFormat="1" applyFont="1"/>
    <xf numFmtId="170" fontId="34" fillId="0" borderId="0" xfId="0" applyNumberFormat="1" applyFont="1"/>
    <xf numFmtId="170" fontId="18" fillId="0" borderId="0" xfId="0" applyNumberFormat="1" applyFont="1"/>
    <xf numFmtId="0" fontId="18" fillId="0" borderId="0" xfId="0" applyFont="1"/>
    <xf numFmtId="0" fontId="35" fillId="0" borderId="2" xfId="0" applyFont="1" applyBorder="1" applyAlignment="1">
      <alignment horizontal="center"/>
    </xf>
    <xf numFmtId="173" fontId="0" fillId="2" borderId="18" xfId="0" applyNumberFormat="1" applyFill="1" applyBorder="1" applyAlignment="1">
      <alignment horizontal="center" wrapText="1"/>
    </xf>
    <xf numFmtId="173" fontId="0" fillId="2" borderId="19" xfId="0" applyNumberFormat="1" applyFill="1" applyBorder="1" applyAlignment="1">
      <alignment horizontal="center" wrapText="1"/>
    </xf>
    <xf numFmtId="173" fontId="0" fillId="2" borderId="0" xfId="0" applyNumberFormat="1" applyFill="1" applyAlignment="1">
      <alignment horizontal="center" wrapText="1"/>
    </xf>
    <xf numFmtId="173" fontId="0" fillId="2" borderId="38" xfId="0" applyNumberFormat="1" applyFill="1" applyBorder="1" applyAlignment="1">
      <alignment horizontal="center" wrapText="1"/>
    </xf>
    <xf numFmtId="173" fontId="31" fillId="2" borderId="38" xfId="0" applyNumberFormat="1" applyFont="1" applyFill="1" applyBorder="1" applyAlignment="1">
      <alignment horizontal="center" wrapText="1"/>
    </xf>
    <xf numFmtId="173" fontId="0" fillId="2" borderId="39" xfId="0" applyNumberFormat="1" applyFill="1" applyBorder="1" applyAlignment="1">
      <alignment horizontal="center" wrapText="1"/>
    </xf>
    <xf numFmtId="173" fontId="0" fillId="2" borderId="40" xfId="0" applyNumberFormat="1" applyFill="1" applyBorder="1" applyAlignment="1">
      <alignment horizontal="center" wrapText="1"/>
    </xf>
    <xf numFmtId="165" fontId="31" fillId="2" borderId="39" xfId="0" applyNumberFormat="1" applyFont="1" applyFill="1" applyBorder="1" applyAlignment="1">
      <alignment horizontal="center" vertical="center"/>
    </xf>
    <xf numFmtId="2" fontId="31" fillId="2" borderId="39" xfId="0" applyNumberFormat="1" applyFont="1" applyFill="1" applyBorder="1" applyAlignment="1">
      <alignment horizontal="center" vertical="center"/>
    </xf>
    <xf numFmtId="2" fontId="31" fillId="2" borderId="18" xfId="0" applyNumberFormat="1" applyFont="1" applyFill="1" applyBorder="1"/>
    <xf numFmtId="165" fontId="0" fillId="2" borderId="19" xfId="0" applyNumberFormat="1" applyFill="1" applyBorder="1" applyAlignment="1">
      <alignment horizontal="center" vertical="center"/>
    </xf>
    <xf numFmtId="165" fontId="0" fillId="2" borderId="40" xfId="0" applyNumberFormat="1" applyFill="1" applyBorder="1" applyAlignment="1">
      <alignment horizontal="center"/>
    </xf>
    <xf numFmtId="2" fontId="31" fillId="2" borderId="0" xfId="0" applyNumberFormat="1" applyFont="1" applyFill="1" applyAlignment="1">
      <alignment horizontal="center" vertical="center"/>
    </xf>
    <xf numFmtId="2" fontId="31" fillId="2" borderId="0" xfId="0" applyNumberFormat="1" applyFont="1" applyFill="1" applyAlignment="1">
      <alignment horizontal="center"/>
    </xf>
    <xf numFmtId="0" fontId="36" fillId="0" borderId="0" xfId="0" applyFont="1" applyAlignment="1">
      <alignment horizontal="center"/>
    </xf>
    <xf numFmtId="0" fontId="36" fillId="0" borderId="2" xfId="0" applyFont="1" applyBorder="1" applyAlignment="1">
      <alignment horizontal="center"/>
    </xf>
    <xf numFmtId="165" fontId="31" fillId="2" borderId="0" xfId="0" applyNumberFormat="1" applyFont="1" applyFill="1" applyAlignment="1">
      <alignment horizontal="center"/>
    </xf>
    <xf numFmtId="165" fontId="31" fillId="2" borderId="0" xfId="0" applyNumberFormat="1" applyFont="1" applyFill="1" applyAlignment="1">
      <alignment horizontal="center" vertical="center"/>
    </xf>
    <xf numFmtId="173" fontId="0" fillId="2" borderId="18" xfId="0" applyNumberFormat="1" applyFill="1" applyBorder="1" applyAlignment="1">
      <alignment horizontal="center"/>
    </xf>
    <xf numFmtId="173" fontId="0" fillId="2" borderId="19" xfId="0" applyNumberFormat="1" applyFill="1" applyBorder="1" applyAlignment="1">
      <alignment horizontal="center"/>
    </xf>
    <xf numFmtId="173" fontId="0" fillId="2" borderId="39" xfId="0" applyNumberFormat="1" applyFill="1" applyBorder="1" applyAlignment="1">
      <alignment horizontal="center"/>
    </xf>
    <xf numFmtId="173" fontId="0" fillId="2" borderId="40" xfId="0" applyNumberFormat="1" applyFill="1" applyBorder="1" applyAlignment="1">
      <alignment horizontal="center"/>
    </xf>
    <xf numFmtId="174" fontId="0" fillId="37" borderId="0" xfId="0" applyNumberFormat="1" applyFill="1" applyAlignment="1">
      <alignment horizontal="center"/>
    </xf>
    <xf numFmtId="174" fontId="0" fillId="37" borderId="38" xfId="0" applyNumberFormat="1" applyFill="1" applyBorder="1" applyAlignment="1">
      <alignment horizontal="center"/>
    </xf>
    <xf numFmtId="174" fontId="0" fillId="37" borderId="0" xfId="0" applyNumberFormat="1" applyFill="1" applyAlignment="1">
      <alignment horizontal="center" vertical="center"/>
    </xf>
    <xf numFmtId="174" fontId="0" fillId="37" borderId="38" xfId="0" applyNumberFormat="1" applyFill="1" applyBorder="1" applyAlignment="1">
      <alignment horizontal="center" vertical="center"/>
    </xf>
    <xf numFmtId="174" fontId="0" fillId="37" borderId="40" xfId="0" applyNumberFormat="1" applyFill="1" applyBorder="1" applyAlignment="1">
      <alignment horizontal="center" vertical="center"/>
    </xf>
    <xf numFmtId="0" fontId="0" fillId="0" borderId="38" xfId="0" applyBorder="1" applyAlignment="1">
      <alignment vertical="center"/>
    </xf>
    <xf numFmtId="165" fontId="0" fillId="0" borderId="0" xfId="0" applyNumberFormat="1" applyAlignment="1">
      <alignment wrapText="1"/>
    </xf>
    <xf numFmtId="164" fontId="37" fillId="39" borderId="4" xfId="1" applyNumberFormat="1" applyFont="1" applyFill="1" applyBorder="1" applyAlignment="1">
      <alignment vertical="center" wrapText="1"/>
    </xf>
    <xf numFmtId="164" fontId="37" fillId="39" borderId="2" xfId="3" applyNumberFormat="1" applyFont="1" applyFill="1" applyBorder="1" applyAlignment="1">
      <alignment vertical="center" wrapText="1"/>
    </xf>
    <xf numFmtId="164" fontId="25" fillId="34" borderId="2" xfId="1" applyNumberFormat="1" applyFont="1" applyFill="1" applyBorder="1" applyAlignment="1">
      <alignment vertical="center" wrapText="1"/>
    </xf>
    <xf numFmtId="164" fontId="25" fillId="34" borderId="7" xfId="1" applyNumberFormat="1" applyFont="1" applyFill="1" applyBorder="1" applyAlignment="1">
      <alignment vertical="center" wrapText="1"/>
    </xf>
    <xf numFmtId="164" fontId="25" fillId="34" borderId="9" xfId="1" applyNumberFormat="1" applyFont="1" applyFill="1" applyBorder="1" applyAlignment="1">
      <alignment vertical="center" wrapText="1"/>
    </xf>
    <xf numFmtId="164" fontId="25" fillId="34" borderId="10" xfId="1" applyNumberFormat="1" applyFont="1" applyFill="1" applyBorder="1" applyAlignment="1">
      <alignment vertical="center" wrapText="1"/>
    </xf>
    <xf numFmtId="170" fontId="28" fillId="34" borderId="4" xfId="0" applyNumberFormat="1" applyFont="1" applyFill="1" applyBorder="1" applyAlignment="1">
      <alignment horizontal="center" vertical="center"/>
    </xf>
    <xf numFmtId="170" fontId="28" fillId="34" borderId="5" xfId="0" applyNumberFormat="1" applyFont="1" applyFill="1" applyBorder="1" applyAlignment="1">
      <alignment horizontal="center" vertical="center"/>
    </xf>
    <xf numFmtId="170" fontId="28" fillId="34" borderId="2" xfId="0" applyNumberFormat="1" applyFont="1" applyFill="1" applyBorder="1" applyAlignment="1">
      <alignment horizontal="center" vertical="center"/>
    </xf>
    <xf numFmtId="170" fontId="28" fillId="34" borderId="7" xfId="0" applyNumberFormat="1" applyFont="1" applyFill="1" applyBorder="1" applyAlignment="1">
      <alignment horizontal="center" vertical="center"/>
    </xf>
    <xf numFmtId="170" fontId="28" fillId="34" borderId="12" xfId="0" applyNumberFormat="1" applyFont="1" applyFill="1" applyBorder="1" applyAlignment="1">
      <alignment horizontal="center" vertical="center"/>
    </xf>
    <xf numFmtId="170" fontId="28" fillId="34" borderId="13" xfId="0" applyNumberFormat="1" applyFont="1" applyFill="1" applyBorder="1" applyAlignment="1">
      <alignment horizontal="center" vertical="center"/>
    </xf>
    <xf numFmtId="164" fontId="29" fillId="34" borderId="20" xfId="0" applyNumberFormat="1" applyFont="1" applyFill="1" applyBorder="1" applyAlignment="1">
      <alignment horizontal="center"/>
    </xf>
    <xf numFmtId="164" fontId="29" fillId="34" borderId="21" xfId="0" applyNumberFormat="1" applyFont="1" applyFill="1" applyBorder="1" applyAlignment="1">
      <alignment horizontal="center"/>
    </xf>
    <xf numFmtId="164" fontId="31" fillId="34" borderId="2" xfId="1" applyNumberFormat="1" applyFont="1" applyFill="1" applyBorder="1" applyAlignment="1">
      <alignment vertical="center" wrapText="1"/>
    </xf>
    <xf numFmtId="164" fontId="31" fillId="34" borderId="7" xfId="1" applyNumberFormat="1" applyFont="1" applyFill="1" applyBorder="1" applyAlignment="1">
      <alignment vertical="center" wrapText="1"/>
    </xf>
    <xf numFmtId="164" fontId="31" fillId="34" borderId="9" xfId="1" applyNumberFormat="1" applyFont="1" applyFill="1" applyBorder="1" applyAlignment="1">
      <alignment vertical="center" wrapText="1"/>
    </xf>
    <xf numFmtId="164" fontId="31" fillId="34" borderId="10" xfId="1" applyNumberFormat="1" applyFont="1" applyFill="1" applyBorder="1" applyAlignment="1">
      <alignment vertical="center" wrapText="1"/>
    </xf>
    <xf numFmtId="164" fontId="37" fillId="39" borderId="5" xfId="1" applyNumberFormat="1" applyFont="1" applyFill="1" applyBorder="1" applyAlignment="1">
      <alignment vertical="center" wrapText="1"/>
    </xf>
    <xf numFmtId="164" fontId="37" fillId="39" borderId="7" xfId="3" applyNumberFormat="1" applyFont="1" applyFill="1" applyBorder="1" applyAlignment="1">
      <alignment vertical="center" wrapText="1"/>
    </xf>
    <xf numFmtId="3" fontId="20" fillId="39" borderId="4" xfId="0" applyNumberFormat="1" applyFont="1" applyFill="1" applyBorder="1" applyAlignment="1">
      <alignment horizontal="center"/>
    </xf>
    <xf numFmtId="3" fontId="20" fillId="39" borderId="5" xfId="0" applyNumberFormat="1" applyFont="1" applyFill="1" applyBorder="1" applyAlignment="1">
      <alignment horizontal="center"/>
    </xf>
    <xf numFmtId="3" fontId="20" fillId="39" borderId="2" xfId="0" applyNumberFormat="1" applyFont="1" applyFill="1" applyBorder="1" applyAlignment="1">
      <alignment horizontal="center"/>
    </xf>
    <xf numFmtId="3" fontId="20" fillId="39" borderId="7" xfId="0" applyNumberFormat="1" applyFont="1" applyFill="1" applyBorder="1" applyAlignment="1">
      <alignment horizontal="center"/>
    </xf>
    <xf numFmtId="3" fontId="20" fillId="39" borderId="12" xfId="0" applyNumberFormat="1" applyFont="1" applyFill="1" applyBorder="1" applyAlignment="1">
      <alignment horizontal="center"/>
    </xf>
    <xf numFmtId="3" fontId="20" fillId="39" borderId="13" xfId="0" applyNumberFormat="1" applyFont="1" applyFill="1" applyBorder="1" applyAlignment="1">
      <alignment horizontal="center"/>
    </xf>
    <xf numFmtId="0" fontId="5" fillId="2" borderId="42" xfId="2" applyFont="1" applyFill="1" applyBorder="1" applyAlignment="1">
      <alignment horizontal="left" vertical="center" wrapText="1"/>
    </xf>
    <xf numFmtId="0" fontId="5" fillId="2" borderId="42" xfId="1" applyFont="1" applyFill="1" applyBorder="1" applyAlignment="1">
      <alignment horizontal="center" vertical="center" wrapText="1"/>
    </xf>
    <xf numFmtId="164" fontId="5" fillId="2" borderId="42" xfId="1" applyNumberFormat="1" applyFont="1" applyFill="1" applyBorder="1" applyAlignment="1">
      <alignment vertical="center" wrapText="1"/>
    </xf>
    <xf numFmtId="164" fontId="25" fillId="2" borderId="9" xfId="3" applyNumberFormat="1" applyFont="1" applyFill="1" applyBorder="1" applyAlignment="1">
      <alignment vertical="center" wrapText="1"/>
    </xf>
    <xf numFmtId="166" fontId="5" fillId="2" borderId="8" xfId="4" applyNumberFormat="1" applyFont="1" applyFill="1" applyBorder="1" applyAlignment="1">
      <alignment horizontal="center" vertical="center" wrapText="1"/>
    </xf>
    <xf numFmtId="0" fontId="5" fillId="2" borderId="32" xfId="2" applyFont="1" applyFill="1" applyBorder="1" applyAlignment="1">
      <alignment horizontal="left" vertical="center" wrapText="1"/>
    </xf>
    <xf numFmtId="0" fontId="26" fillId="40" borderId="34" xfId="0" applyFont="1" applyFill="1" applyBorder="1"/>
    <xf numFmtId="0" fontId="0" fillId="40" borderId="35" xfId="0" applyFill="1" applyBorder="1"/>
    <xf numFmtId="0" fontId="0" fillId="40" borderId="36" xfId="0" applyFill="1" applyBorder="1"/>
    <xf numFmtId="0" fontId="0" fillId="35" borderId="34" xfId="0" applyFill="1" applyBorder="1"/>
    <xf numFmtId="0" fontId="17" fillId="39" borderId="35" xfId="0" applyFont="1" applyFill="1" applyBorder="1" applyAlignment="1">
      <alignment horizontal="center"/>
    </xf>
    <xf numFmtId="10" fontId="0" fillId="2" borderId="4" xfId="4" applyNumberFormat="1" applyFont="1" applyFill="1" applyBorder="1" applyAlignment="1">
      <alignment horizontal="center" vertical="center" wrapText="1"/>
    </xf>
    <xf numFmtId="10" fontId="0" fillId="2" borderId="43" xfId="4" applyNumberFormat="1" applyFont="1" applyFill="1" applyBorder="1" applyAlignment="1">
      <alignment horizontal="center" vertical="center" wrapText="1"/>
    </xf>
    <xf numFmtId="10" fontId="20" fillId="39" borderId="46" xfId="4" applyNumberFormat="1" applyFont="1" applyFill="1" applyBorder="1" applyAlignment="1">
      <alignment horizontal="center" vertical="center" wrapText="1"/>
    </xf>
    <xf numFmtId="10" fontId="0" fillId="2" borderId="2" xfId="4" applyNumberFormat="1" applyFont="1" applyFill="1" applyBorder="1" applyAlignment="1">
      <alignment horizontal="center" vertical="center" wrapText="1"/>
    </xf>
    <xf numFmtId="10" fontId="0" fillId="2" borderId="44" xfId="4" applyNumberFormat="1" applyFont="1" applyFill="1" applyBorder="1" applyAlignment="1">
      <alignment horizontal="center" vertical="center" wrapText="1"/>
    </xf>
    <xf numFmtId="10" fontId="20" fillId="39" borderId="47" xfId="4" applyNumberFormat="1" applyFont="1" applyFill="1" applyBorder="1" applyAlignment="1">
      <alignment horizontal="center" vertical="center" wrapText="1"/>
    </xf>
    <xf numFmtId="10" fontId="2" fillId="2" borderId="9" xfId="4" applyNumberFormat="1" applyFont="1" applyFill="1" applyBorder="1" applyAlignment="1">
      <alignment horizontal="center" vertical="center" wrapText="1"/>
    </xf>
    <xf numFmtId="10" fontId="2" fillId="2" borderId="45" xfId="4" applyNumberFormat="1" applyFont="1" applyFill="1" applyBorder="1" applyAlignment="1">
      <alignment horizontal="center" vertical="center" wrapText="1"/>
    </xf>
    <xf numFmtId="10" fontId="17" fillId="39" borderId="48" xfId="4" applyNumberFormat="1" applyFont="1" applyFill="1" applyBorder="1" applyAlignment="1">
      <alignment horizontal="center" vertical="center" wrapText="1"/>
    </xf>
    <xf numFmtId="168" fontId="2" fillId="2" borderId="4" xfId="4" applyNumberFormat="1" applyFont="1" applyFill="1" applyBorder="1" applyAlignment="1">
      <alignment horizontal="center"/>
    </xf>
    <xf numFmtId="168" fontId="2" fillId="2" borderId="5" xfId="4" applyNumberFormat="1" applyFont="1" applyFill="1" applyBorder="1" applyAlignment="1">
      <alignment horizontal="center"/>
    </xf>
    <xf numFmtId="10" fontId="17" fillId="39" borderId="2" xfId="4" applyNumberFormat="1" applyFont="1" applyFill="1" applyBorder="1" applyAlignment="1">
      <alignment horizontal="center"/>
    </xf>
    <xf numFmtId="10" fontId="17" fillId="39" borderId="7" xfId="4" applyNumberFormat="1" applyFont="1" applyFill="1" applyBorder="1" applyAlignment="1">
      <alignment horizontal="center"/>
    </xf>
    <xf numFmtId="175" fontId="17" fillId="39" borderId="9" xfId="4" applyNumberFormat="1" applyFont="1" applyFill="1" applyBorder="1" applyAlignment="1">
      <alignment horizontal="center"/>
    </xf>
    <xf numFmtId="175" fontId="17" fillId="39" borderId="10" xfId="4" applyNumberFormat="1" applyFont="1" applyFill="1" applyBorder="1" applyAlignment="1">
      <alignment horizontal="center"/>
    </xf>
    <xf numFmtId="3" fontId="0" fillId="40" borderId="4" xfId="0" applyNumberFormat="1" applyFill="1" applyBorder="1" applyAlignment="1">
      <alignment horizontal="center"/>
    </xf>
    <xf numFmtId="3" fontId="0" fillId="40" borderId="2" xfId="0" applyNumberFormat="1" applyFill="1" applyBorder="1" applyAlignment="1">
      <alignment horizontal="center"/>
    </xf>
    <xf numFmtId="3" fontId="0" fillId="40" borderId="12" xfId="0" applyNumberFormat="1" applyFill="1" applyBorder="1" applyAlignment="1">
      <alignment horizontal="center"/>
    </xf>
    <xf numFmtId="3" fontId="2" fillId="40" borderId="20" xfId="0" applyNumberFormat="1" applyFont="1" applyFill="1" applyBorder="1" applyAlignment="1">
      <alignment horizontal="center"/>
    </xf>
    <xf numFmtId="0" fontId="2" fillId="0" borderId="33" xfId="0" applyFont="1" applyBorder="1" applyAlignment="1">
      <alignment horizontal="center" vertical="center" wrapText="1"/>
    </xf>
    <xf numFmtId="0" fontId="2" fillId="0" borderId="21" xfId="0" applyFont="1" applyBorder="1" applyAlignment="1">
      <alignment horizontal="center"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10" xfId="0" applyBorder="1" applyAlignment="1">
      <alignment vertical="center" wrapText="1"/>
    </xf>
    <xf numFmtId="0" fontId="31" fillId="41" borderId="2" xfId="0" applyFont="1" applyFill="1" applyBorder="1" applyAlignment="1">
      <alignment horizontal="center"/>
    </xf>
    <xf numFmtId="2" fontId="31" fillId="41" borderId="2" xfId="0" applyNumberFormat="1" applyFont="1" applyFill="1" applyBorder="1" applyAlignment="1">
      <alignment horizontal="center" vertical="center"/>
    </xf>
    <xf numFmtId="2" fontId="31" fillId="41" borderId="2" xfId="0" applyNumberFormat="1" applyFont="1" applyFill="1" applyBorder="1" applyAlignment="1">
      <alignment horizontal="center"/>
    </xf>
    <xf numFmtId="0" fontId="31" fillId="2" borderId="2" xfId="0" applyFont="1" applyFill="1" applyBorder="1" applyAlignment="1">
      <alignment horizontal="center" vertical="center"/>
    </xf>
    <xf numFmtId="2" fontId="31" fillId="2" borderId="2" xfId="0" applyNumberFormat="1" applyFont="1" applyFill="1" applyBorder="1" applyAlignment="1">
      <alignment horizontal="center" vertical="center"/>
    </xf>
    <xf numFmtId="0" fontId="31" fillId="41" borderId="3" xfId="0" applyFont="1" applyFill="1" applyBorder="1" applyAlignment="1">
      <alignment horizontal="center"/>
    </xf>
    <xf numFmtId="2" fontId="31" fillId="41" borderId="4" xfId="0" applyNumberFormat="1" applyFont="1" applyFill="1" applyBorder="1" applyAlignment="1">
      <alignment horizontal="center" vertical="center"/>
    </xf>
    <xf numFmtId="0" fontId="31" fillId="41" borderId="6" xfId="0" applyFont="1" applyFill="1" applyBorder="1" applyAlignment="1">
      <alignment horizontal="center"/>
    </xf>
    <xf numFmtId="0" fontId="31" fillId="41" borderId="8" xfId="0" applyFont="1" applyFill="1" applyBorder="1" applyAlignment="1">
      <alignment horizontal="center"/>
    </xf>
    <xf numFmtId="2" fontId="31" fillId="41" borderId="9" xfId="0" applyNumberFormat="1" applyFont="1" applyFill="1" applyBorder="1" applyAlignment="1">
      <alignment horizontal="center" vertical="center"/>
    </xf>
    <xf numFmtId="2" fontId="31" fillId="41" borderId="10" xfId="0" applyNumberFormat="1" applyFont="1" applyFill="1" applyBorder="1" applyAlignment="1">
      <alignment horizontal="center" vertical="center"/>
    </xf>
    <xf numFmtId="0" fontId="31" fillId="2" borderId="3" xfId="0" applyFont="1" applyFill="1" applyBorder="1" applyAlignment="1">
      <alignment horizontal="center" vertical="center"/>
    </xf>
    <xf numFmtId="2" fontId="31" fillId="2" borderId="4" xfId="0" applyNumberFormat="1" applyFont="1" applyFill="1" applyBorder="1" applyAlignment="1">
      <alignment horizontal="center" vertical="center"/>
    </xf>
    <xf numFmtId="2" fontId="31" fillId="2" borderId="5" xfId="0" applyNumberFormat="1" applyFont="1" applyFill="1" applyBorder="1" applyAlignment="1">
      <alignment horizontal="center" vertical="center"/>
    </xf>
    <xf numFmtId="0" fontId="31" fillId="2" borderId="6" xfId="0" applyFont="1" applyFill="1" applyBorder="1" applyAlignment="1">
      <alignment horizontal="center" vertical="center"/>
    </xf>
    <xf numFmtId="2" fontId="31" fillId="2" borderId="7" xfId="0" applyNumberFormat="1" applyFont="1" applyFill="1" applyBorder="1" applyAlignment="1">
      <alignment horizontal="center" vertical="center"/>
    </xf>
    <xf numFmtId="0" fontId="31" fillId="2" borderId="8" xfId="0" applyFont="1" applyFill="1" applyBorder="1" applyAlignment="1">
      <alignment horizontal="center" vertical="center"/>
    </xf>
    <xf numFmtId="2" fontId="31" fillId="2" borderId="9" xfId="0" applyNumberFormat="1" applyFont="1" applyFill="1" applyBorder="1" applyAlignment="1">
      <alignment horizontal="center" vertical="center"/>
    </xf>
    <xf numFmtId="2" fontId="31" fillId="2" borderId="10" xfId="0" applyNumberFormat="1" applyFont="1" applyFill="1" applyBorder="1" applyAlignment="1">
      <alignment horizontal="center" vertical="center"/>
    </xf>
    <xf numFmtId="2" fontId="31" fillId="41" borderId="5" xfId="0" applyNumberFormat="1" applyFont="1" applyFill="1" applyBorder="1" applyAlignment="1">
      <alignment horizontal="center" vertical="center"/>
    </xf>
    <xf numFmtId="2" fontId="31" fillId="41" borderId="7" xfId="0" applyNumberFormat="1" applyFont="1" applyFill="1" applyBorder="1" applyAlignment="1">
      <alignment horizontal="center" vertical="center"/>
    </xf>
    <xf numFmtId="0" fontId="2" fillId="0" borderId="14" xfId="0" applyFont="1" applyBorder="1" applyAlignment="1">
      <alignment horizontal="center" vertical="center" wrapText="1"/>
    </xf>
    <xf numFmtId="0" fontId="2" fillId="0" borderId="20" xfId="0" applyFont="1" applyBorder="1" applyAlignment="1">
      <alignment horizontal="center" vertical="center"/>
    </xf>
    <xf numFmtId="0" fontId="2" fillId="34" borderId="20" xfId="0" applyFont="1" applyFill="1" applyBorder="1" applyAlignment="1">
      <alignment horizontal="center" vertical="center"/>
    </xf>
    <xf numFmtId="0" fontId="2" fillId="0" borderId="21" xfId="0" applyFont="1" applyBorder="1" applyAlignment="1">
      <alignment horizontal="center" vertical="center"/>
    </xf>
    <xf numFmtId="0" fontId="0" fillId="0" borderId="0" xfId="0" applyAlignment="1">
      <alignment horizontal="center" vertical="center" wrapText="1"/>
    </xf>
    <xf numFmtId="0" fontId="30" fillId="2" borderId="33" xfId="1" applyFont="1" applyFill="1" applyBorder="1" applyAlignment="1">
      <alignment horizontal="center" vertical="center"/>
    </xf>
    <xf numFmtId="0" fontId="30" fillId="2" borderId="20" xfId="1" applyFont="1" applyFill="1" applyBorder="1" applyAlignment="1">
      <alignment horizontal="center" vertical="center"/>
    </xf>
    <xf numFmtId="0" fontId="0" fillId="0" borderId="38" xfId="0" applyBorder="1" applyAlignment="1">
      <alignment horizontal="center" vertical="center" wrapText="1"/>
    </xf>
    <xf numFmtId="0" fontId="0" fillId="38" borderId="38" xfId="0" applyFill="1" applyBorder="1" applyAlignment="1">
      <alignment horizontal="center" vertical="center" wrapText="1"/>
    </xf>
    <xf numFmtId="0" fontId="31" fillId="41" borderId="11" xfId="0" applyFont="1" applyFill="1" applyBorder="1" applyAlignment="1">
      <alignment horizontal="center"/>
    </xf>
    <xf numFmtId="2" fontId="31" fillId="41" borderId="12" xfId="0" applyNumberFormat="1" applyFont="1" applyFill="1" applyBorder="1" applyAlignment="1">
      <alignment horizontal="center" vertical="center"/>
    </xf>
  </cellXfs>
  <cellStyles count="72">
    <cellStyle name="20% - Énfasis1" xfId="23" builtinId="30" customBuiltin="1"/>
    <cellStyle name="20% - Énfasis2" xfId="27" builtinId="34" customBuiltin="1"/>
    <cellStyle name="20% - Énfasis3" xfId="31" builtinId="38" customBuiltin="1"/>
    <cellStyle name="20% - Énfasis4" xfId="35" builtinId="42" customBuiltin="1"/>
    <cellStyle name="20% - Énfasis5" xfId="39" builtinId="46" customBuiltin="1"/>
    <cellStyle name="20% - Énfasis6" xfId="43" builtinId="50" customBuiltin="1"/>
    <cellStyle name="40% - Énfasis1" xfId="24" builtinId="31" customBuiltin="1"/>
    <cellStyle name="40% - Énfasis2" xfId="28" builtinId="35" customBuiltin="1"/>
    <cellStyle name="40% - Énfasis3" xfId="32" builtinId="39" customBuiltin="1"/>
    <cellStyle name="40% - Énfasis4" xfId="36" builtinId="43" customBuiltin="1"/>
    <cellStyle name="40% - Énfasis5" xfId="40" builtinId="47" customBuiltin="1"/>
    <cellStyle name="40% - Énfasis6" xfId="44" builtinId="51" customBuiltin="1"/>
    <cellStyle name="60% - Énfasis1" xfId="25" builtinId="32" customBuiltin="1"/>
    <cellStyle name="60% - Énfasis2" xfId="29" builtinId="36" customBuiltin="1"/>
    <cellStyle name="60% - Énfasis3" xfId="33" builtinId="40" customBuiltin="1"/>
    <cellStyle name="60% - Énfasis4" xfId="37" builtinId="44" customBuiltin="1"/>
    <cellStyle name="60% - Énfasis5" xfId="41" builtinId="48" customBuiltin="1"/>
    <cellStyle name="60% - Énfasis6" xfId="45" builtinId="52" customBuiltin="1"/>
    <cellStyle name="Bueno" xfId="10" builtinId="26" customBuiltin="1"/>
    <cellStyle name="Cálculo" xfId="15" builtinId="22" customBuiltin="1"/>
    <cellStyle name="Celda de comprobación" xfId="17" builtinId="23" customBuiltin="1"/>
    <cellStyle name="Celda vinculada" xfId="16" builtinId="24" customBuiltin="1"/>
    <cellStyle name="Comma 2" xfId="48" xr:uid="{C44A0867-0A2D-477B-8E46-2895FD97FB11}"/>
    <cellStyle name="Encabezado 1" xfId="6" builtinId="16" customBuiltin="1"/>
    <cellStyle name="Encabezado 4" xfId="9" builtinId="19" customBuiltin="1"/>
    <cellStyle name="Énfasis1" xfId="22" builtinId="29" customBuiltin="1"/>
    <cellStyle name="Énfasis2" xfId="26" builtinId="33" customBuiltin="1"/>
    <cellStyle name="Énfasis3" xfId="30" builtinId="37" customBuiltin="1"/>
    <cellStyle name="Énfasis4" xfId="34" builtinId="41" customBuiltin="1"/>
    <cellStyle name="Énfasis5" xfId="38" builtinId="45" customBuiltin="1"/>
    <cellStyle name="Énfasis6" xfId="42" builtinId="49" customBuiltin="1"/>
    <cellStyle name="Entrada" xfId="13" builtinId="20" customBuiltin="1"/>
    <cellStyle name="Hipervínculo 2" xfId="50" xr:uid="{ECAE4C7E-BE7E-4B05-AAE6-4F3B53ACBEA2}"/>
    <cellStyle name="Hipervínculo 2 2" xfId="53" xr:uid="{5910E8D7-E183-4D9A-9328-FF2FF0528C2E}"/>
    <cellStyle name="Hipervínculo 2 3" xfId="61" xr:uid="{8968846B-2FEE-4D0A-B70D-0F24199E9534}"/>
    <cellStyle name="Hipervínculo 2 4" xfId="64" xr:uid="{E4933F73-5616-4462-A4BF-A4FE5A4462DB}"/>
    <cellStyle name="Hipervínculo 2 5" xfId="69" xr:uid="{4F8AE29B-2068-4B0D-9615-592F8A28E793}"/>
    <cellStyle name="Hyperlink 2" xfId="57" xr:uid="{4F3667D3-36B2-4575-B51B-EFE0C730EA9A}"/>
    <cellStyle name="Incorrecto" xfId="11" builtinId="27" customBuiltin="1"/>
    <cellStyle name="Millares 2" xfId="56" xr:uid="{B979FEE0-99DA-40EA-925F-09E3A53A780C}"/>
    <cellStyle name="Millares 2 2" xfId="46" xr:uid="{9548CD18-D3CE-48D2-8DBB-620B8F7370BC}"/>
    <cellStyle name="Neutral" xfId="12" builtinId="28" customBuiltin="1"/>
    <cellStyle name="Normal" xfId="0" builtinId="0"/>
    <cellStyle name="Normal 2" xfId="49" xr:uid="{716089BE-4FE7-4F03-A6DB-48A75D5A1211}"/>
    <cellStyle name="Normal 2 2" xfId="55" xr:uid="{FFC6A610-39C0-4F58-B3B0-FEBE67C2129B}"/>
    <cellStyle name="Normal 2 3" xfId="60" xr:uid="{7C151EC9-3F95-4E2A-9AE0-4921C56F9F9A}"/>
    <cellStyle name="Normal 2 4" xfId="63" xr:uid="{4B1A6FE4-E7F4-4A46-8039-1C39FB2477C2}"/>
    <cellStyle name="Normal 2 5" xfId="68" xr:uid="{0DB76455-DCEE-45D6-914D-722134D01367}"/>
    <cellStyle name="Normal 3" xfId="1" xr:uid="{B4D7C20E-82DD-4050-A869-76DE324FB6F5}"/>
    <cellStyle name="Normal 3 2" xfId="3" xr:uid="{273A3F2E-99D4-4EB6-B0C6-BBF060E24E54}"/>
    <cellStyle name="Normal 3 3" xfId="58" xr:uid="{B766C58F-9F0E-45CC-94EB-C4C0246A82B2}"/>
    <cellStyle name="Normal 3 3 2" xfId="67" xr:uid="{43328FE4-8631-4ACF-9197-9287238584ED}"/>
    <cellStyle name="Normal 3 3 3" xfId="66" xr:uid="{C87DDBF7-FC34-4ACA-9BB4-58FD60B08E63}"/>
    <cellStyle name="Normal 3 4" xfId="54" xr:uid="{E2BE89A3-34DE-4F7C-A774-89E9F94CA410}"/>
    <cellStyle name="Normal 3 4 2" xfId="71" xr:uid="{60D2A3AB-0FC2-4720-8331-B0B11F8A025D}"/>
    <cellStyle name="Normal 3 4 3" xfId="70" xr:uid="{347A4932-6679-4134-B0B1-B4600DB60171}"/>
    <cellStyle name="Normal 3 5" xfId="59" xr:uid="{02B89B87-F3D1-46A2-9793-33059178CFDF}"/>
    <cellStyle name="Normal 3 6" xfId="62" xr:uid="{98CD7BB6-BD11-4FF6-BF74-3DEA7AA67CCE}"/>
    <cellStyle name="Normal 3 7" xfId="65" xr:uid="{E2F7D4F5-AB0A-4ACA-90B6-43BC1D926908}"/>
    <cellStyle name="Normal 3 8" xfId="47" xr:uid="{0C647E45-BBF1-44A4-BEAF-AFCB37421125}"/>
    <cellStyle name="Normal 4" xfId="52" xr:uid="{BB4D4C32-A21D-48DC-AE70-42D68B57331D}"/>
    <cellStyle name="Normal_all-ws" xfId="2" xr:uid="{CCA292BA-DDCE-43FB-B8C7-FB926012E805}"/>
    <cellStyle name="Notas" xfId="19" builtinId="10" customBuiltin="1"/>
    <cellStyle name="Porcentaje" xfId="4" builtinId="5"/>
    <cellStyle name="Porcentaje 2" xfId="51" xr:uid="{EF387915-BFC7-42CB-9506-DFB41CB73C5E}"/>
    <cellStyle name="Salida" xfId="14" builtinId="21" customBuiltin="1"/>
    <cellStyle name="Texto de advertencia" xfId="18" builtinId="11" customBuiltin="1"/>
    <cellStyle name="Texto explicativo" xfId="20" builtinId="53" customBuiltin="1"/>
    <cellStyle name="Título" xfId="5" builtinId="15" customBuiltin="1"/>
    <cellStyle name="Título 2" xfId="7" builtinId="17" customBuiltin="1"/>
    <cellStyle name="Título 3" xfId="8" builtinId="18" customBuiltin="1"/>
    <cellStyle name="Total" xfId="2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109E8-CBE3-4D6E-BFB0-D6BBB290FF83}">
  <sheetPr>
    <tabColor theme="4" tint="-0.249977111117893"/>
  </sheetPr>
  <dimension ref="B1:C8"/>
  <sheetViews>
    <sheetView workbookViewId="0">
      <selection activeCell="C9" sqref="C9"/>
    </sheetView>
  </sheetViews>
  <sheetFormatPr baseColWidth="10" defaultRowHeight="14.4" x14ac:dyDescent="0.3"/>
  <cols>
    <col min="2" max="2" width="29.109375" customWidth="1"/>
    <col min="3" max="3" width="64.5546875" customWidth="1"/>
  </cols>
  <sheetData>
    <row r="1" spans="2:3" ht="15" thickBot="1" x14ac:dyDescent="0.35"/>
    <row r="2" spans="2:3" ht="15" thickBot="1" x14ac:dyDescent="0.35">
      <c r="B2" s="283" t="s">
        <v>95</v>
      </c>
      <c r="C2" s="284" t="s">
        <v>96</v>
      </c>
    </row>
    <row r="3" spans="2:3" ht="28.8" x14ac:dyDescent="0.3">
      <c r="B3" s="285" t="s">
        <v>102</v>
      </c>
      <c r="C3" s="286" t="s">
        <v>101</v>
      </c>
    </row>
    <row r="4" spans="2:3" x14ac:dyDescent="0.3">
      <c r="B4" s="287" t="s">
        <v>103</v>
      </c>
      <c r="C4" s="288" t="s">
        <v>104</v>
      </c>
    </row>
    <row r="5" spans="2:3" x14ac:dyDescent="0.3">
      <c r="B5" s="287" t="s">
        <v>97</v>
      </c>
      <c r="C5" s="288" t="s">
        <v>105</v>
      </c>
    </row>
    <row r="6" spans="2:3" x14ac:dyDescent="0.3">
      <c r="B6" s="287" t="s">
        <v>98</v>
      </c>
      <c r="C6" s="288" t="s">
        <v>106</v>
      </c>
    </row>
    <row r="7" spans="2:3" x14ac:dyDescent="0.3">
      <c r="B7" s="287" t="s">
        <v>99</v>
      </c>
      <c r="C7" s="288" t="s">
        <v>107</v>
      </c>
    </row>
    <row r="8" spans="2:3" ht="15" thickBot="1" x14ac:dyDescent="0.35">
      <c r="B8" s="289" t="s">
        <v>100</v>
      </c>
      <c r="C8" s="290"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D1C97-5B07-470C-B564-7A728D998E0C}">
  <sheetPr>
    <tabColor theme="6"/>
  </sheetPr>
  <dimension ref="A1:AC46"/>
  <sheetViews>
    <sheetView zoomScaleNormal="100" workbookViewId="0">
      <pane ySplit="1" topLeftCell="A2" activePane="bottomLeft" state="frozen"/>
      <selection pane="bottomLeft" activeCell="B33" sqref="B33"/>
    </sheetView>
  </sheetViews>
  <sheetFormatPr baseColWidth="10" defaultColWidth="11.44140625" defaultRowHeight="14.4" x14ac:dyDescent="0.3"/>
  <cols>
    <col min="1" max="1" width="19.109375" customWidth="1"/>
    <col min="2" max="2" width="49.21875" customWidth="1"/>
    <col min="3" max="3" width="15.6640625" customWidth="1"/>
    <col min="4" max="14" width="12.5546875" bestFit="1" customWidth="1"/>
    <col min="15" max="15" width="12.5546875" customWidth="1"/>
    <col min="16" max="16" width="15.77734375" customWidth="1"/>
    <col min="17" max="17" width="13.6640625" bestFit="1" customWidth="1"/>
    <col min="18" max="28" width="15.21875" bestFit="1" customWidth="1"/>
    <col min="29" max="29" width="15.109375" bestFit="1" customWidth="1"/>
  </cols>
  <sheetData>
    <row r="1" spans="1:28" ht="15" thickBot="1" x14ac:dyDescent="0.35">
      <c r="A1" s="42" t="s">
        <v>28</v>
      </c>
      <c r="B1" s="43" t="s">
        <v>25</v>
      </c>
      <c r="C1" s="43">
        <v>2010</v>
      </c>
      <c r="D1" s="43">
        <v>2011</v>
      </c>
      <c r="E1" s="43">
        <v>2012</v>
      </c>
      <c r="F1" s="43">
        <v>2013</v>
      </c>
      <c r="G1" s="43">
        <v>2014</v>
      </c>
      <c r="H1" s="43">
        <v>2015</v>
      </c>
      <c r="I1" s="43">
        <v>2016</v>
      </c>
      <c r="J1" s="43">
        <v>2017</v>
      </c>
      <c r="K1" s="43">
        <v>2018</v>
      </c>
      <c r="L1" s="43">
        <v>2019</v>
      </c>
      <c r="M1" s="43">
        <v>2020</v>
      </c>
      <c r="N1" s="43">
        <v>2021</v>
      </c>
      <c r="O1" s="43">
        <v>2022</v>
      </c>
      <c r="P1" s="43">
        <v>2023</v>
      </c>
      <c r="Q1" s="43">
        <v>2024</v>
      </c>
      <c r="R1" s="43">
        <v>2025</v>
      </c>
      <c r="S1" s="43">
        <v>2026</v>
      </c>
      <c r="T1" s="43">
        <v>2027</v>
      </c>
      <c r="U1" s="43">
        <v>2028</v>
      </c>
      <c r="V1" s="43">
        <v>2029</v>
      </c>
      <c r="W1" s="43">
        <v>2030</v>
      </c>
      <c r="X1" s="43">
        <v>2031</v>
      </c>
      <c r="Y1" s="43">
        <v>2032</v>
      </c>
      <c r="Z1" s="43">
        <v>2033</v>
      </c>
      <c r="AA1" s="43">
        <v>2034</v>
      </c>
      <c r="AB1" s="44">
        <v>2035</v>
      </c>
    </row>
    <row r="3" spans="1:28" x14ac:dyDescent="0.3">
      <c r="B3" s="7" t="s">
        <v>26</v>
      </c>
    </row>
    <row r="4" spans="1:28" ht="15" thickBot="1" x14ac:dyDescent="0.35"/>
    <row r="5" spans="1:28" x14ac:dyDescent="0.3">
      <c r="B5" s="26"/>
      <c r="C5" s="27"/>
      <c r="D5" s="27"/>
      <c r="E5" s="27"/>
      <c r="F5" s="27"/>
      <c r="G5" s="27"/>
      <c r="H5" s="27"/>
      <c r="I5" s="27"/>
      <c r="J5" s="27"/>
      <c r="K5" s="27"/>
      <c r="L5" s="27"/>
      <c r="M5" s="27"/>
      <c r="N5" s="27"/>
      <c r="O5" s="27"/>
      <c r="P5" s="27"/>
      <c r="Q5" s="27"/>
      <c r="R5" s="27"/>
      <c r="S5" s="27"/>
      <c r="T5" s="27"/>
      <c r="U5" s="27"/>
      <c r="V5" s="27"/>
      <c r="W5" s="27"/>
      <c r="X5" s="27"/>
      <c r="Y5" s="27"/>
      <c r="Z5" s="27"/>
      <c r="AA5" s="27"/>
      <c r="AB5" s="28"/>
    </row>
    <row r="6" spans="1:28" ht="15" thickBot="1" x14ac:dyDescent="0.35">
      <c r="B6" s="32" t="s">
        <v>27</v>
      </c>
      <c r="C6" s="13"/>
      <c r="D6" s="13"/>
      <c r="E6" s="13"/>
      <c r="F6" s="13"/>
      <c r="G6" s="13"/>
      <c r="H6" s="13"/>
      <c r="I6" s="13"/>
      <c r="J6" s="13"/>
      <c r="K6" s="13"/>
      <c r="L6" s="13"/>
      <c r="M6" s="13"/>
      <c r="N6" s="13"/>
      <c r="O6" s="13"/>
      <c r="P6" s="13"/>
      <c r="Q6" s="13"/>
      <c r="R6" s="13"/>
      <c r="S6" s="13"/>
      <c r="T6" s="13"/>
      <c r="U6" s="13"/>
      <c r="V6" s="13"/>
      <c r="W6" s="13"/>
      <c r="X6" s="13"/>
      <c r="Y6" s="13"/>
      <c r="Z6" s="13"/>
      <c r="AA6" s="13"/>
      <c r="AB6" s="25"/>
    </row>
    <row r="7" spans="1:28" ht="14.4" customHeight="1" x14ac:dyDescent="0.3">
      <c r="A7" s="316" t="s">
        <v>29</v>
      </c>
      <c r="B7" s="33" t="s">
        <v>2</v>
      </c>
      <c r="C7" s="34">
        <v>12348.32</v>
      </c>
      <c r="D7" s="279">
        <f>+(C7+E7)/2</f>
        <v>13402.625</v>
      </c>
      <c r="E7" s="34">
        <v>14456.93</v>
      </c>
      <c r="F7" s="279">
        <f>+(E7+G7)/2</f>
        <v>14584.46</v>
      </c>
      <c r="G7" s="34">
        <v>14711.99</v>
      </c>
      <c r="H7" s="279">
        <f>+(G7+I7)/2</f>
        <v>14755.529999999999</v>
      </c>
      <c r="I7" s="34">
        <v>14799.07</v>
      </c>
      <c r="J7" s="279">
        <f>+(I7+K7)/2</f>
        <v>14779.865</v>
      </c>
      <c r="K7" s="34">
        <v>14760.66</v>
      </c>
      <c r="L7" s="34">
        <v>14760.66</v>
      </c>
      <c r="M7" s="34">
        <v>14760.66</v>
      </c>
      <c r="N7" s="34">
        <v>13635</v>
      </c>
      <c r="O7" s="34">
        <v>13635</v>
      </c>
      <c r="P7" s="247">
        <f t="shared" ref="P7:AB7" si="0">+$P35*P$24</f>
        <v>13628.31885</v>
      </c>
      <c r="Q7" s="247">
        <f t="shared" si="0"/>
        <v>13621.640973763499</v>
      </c>
      <c r="R7" s="247">
        <f t="shared" si="0"/>
        <v>13614.966369686355</v>
      </c>
      <c r="S7" s="247">
        <f t="shared" si="0"/>
        <v>13608.295036165209</v>
      </c>
      <c r="T7" s="247">
        <f t="shared" si="0"/>
        <v>13601.626971597489</v>
      </c>
      <c r="U7" s="247">
        <f t="shared" si="0"/>
        <v>13594.962174381406</v>
      </c>
      <c r="V7" s="247">
        <f t="shared" si="0"/>
        <v>13588.300642915958</v>
      </c>
      <c r="W7" s="247">
        <f t="shared" si="0"/>
        <v>13581.64237560093</v>
      </c>
      <c r="X7" s="247">
        <f t="shared" si="0"/>
        <v>13574.987370836885</v>
      </c>
      <c r="Y7" s="247">
        <f t="shared" si="0"/>
        <v>13568.335627025175</v>
      </c>
      <c r="Z7" s="247">
        <f t="shared" si="0"/>
        <v>13561.687142567933</v>
      </c>
      <c r="AA7" s="247">
        <f t="shared" si="0"/>
        <v>13555.041915868074</v>
      </c>
      <c r="AB7" s="248">
        <f t="shared" si="0"/>
        <v>13548.3999453293</v>
      </c>
    </row>
    <row r="8" spans="1:28" x14ac:dyDescent="0.3">
      <c r="A8" s="316"/>
      <c r="B8" s="22" t="s">
        <v>4</v>
      </c>
      <c r="C8" s="23">
        <v>120583.64</v>
      </c>
      <c r="D8" s="280">
        <f t="shared" ref="D8:F16" si="1">+(C8+E8)/2</f>
        <v>126215.03</v>
      </c>
      <c r="E8" s="23">
        <v>131846.42000000001</v>
      </c>
      <c r="F8" s="280">
        <f t="shared" si="1"/>
        <v>136010.5</v>
      </c>
      <c r="G8" s="23">
        <v>140174.57999999999</v>
      </c>
      <c r="H8" s="280">
        <f t="shared" ref="H8" si="2">+(G8+I8)/2</f>
        <v>140004.625</v>
      </c>
      <c r="I8" s="23">
        <v>139834.67000000001</v>
      </c>
      <c r="J8" s="280">
        <f t="shared" ref="J8" si="3">+(I8+K8)/2</f>
        <v>139853.84000000003</v>
      </c>
      <c r="K8" s="23">
        <v>139873.01</v>
      </c>
      <c r="L8" s="23">
        <v>139873.01</v>
      </c>
      <c r="M8" s="23">
        <v>139873.01</v>
      </c>
      <c r="N8" s="23">
        <v>139386</v>
      </c>
      <c r="O8" s="23">
        <v>139386</v>
      </c>
      <c r="P8" s="249">
        <f t="shared" ref="P8:AB8" si="4">+$P36*P$24</f>
        <v>139317.70085999998</v>
      </c>
      <c r="Q8" s="249">
        <f t="shared" si="4"/>
        <v>139249.4351865786</v>
      </c>
      <c r="R8" s="249">
        <f t="shared" si="4"/>
        <v>139181.20296333719</v>
      </c>
      <c r="S8" s="249">
        <f t="shared" si="4"/>
        <v>139113.00417388513</v>
      </c>
      <c r="T8" s="249">
        <f t="shared" si="4"/>
        <v>139044.83880183994</v>
      </c>
      <c r="U8" s="249">
        <f t="shared" si="4"/>
        <v>138976.70683082702</v>
      </c>
      <c r="V8" s="249">
        <f t="shared" si="4"/>
        <v>138908.60824447992</v>
      </c>
      <c r="W8" s="249">
        <f t="shared" si="4"/>
        <v>138840.54302644014</v>
      </c>
      <c r="X8" s="249">
        <f t="shared" si="4"/>
        <v>138772.51116035719</v>
      </c>
      <c r="Y8" s="249">
        <f t="shared" si="4"/>
        <v>138704.5126298886</v>
      </c>
      <c r="Z8" s="249">
        <f t="shared" si="4"/>
        <v>138636.54741869995</v>
      </c>
      <c r="AA8" s="249">
        <f t="shared" si="4"/>
        <v>138568.61551046479</v>
      </c>
      <c r="AB8" s="250">
        <f t="shared" si="4"/>
        <v>138500.71688886467</v>
      </c>
    </row>
    <row r="9" spans="1:28" x14ac:dyDescent="0.3">
      <c r="A9" s="316"/>
      <c r="B9" s="22" t="s">
        <v>5</v>
      </c>
      <c r="C9" s="23">
        <v>1153032.56</v>
      </c>
      <c r="D9" s="280">
        <f t="shared" si="1"/>
        <v>1158742.5649999999</v>
      </c>
      <c r="E9" s="23">
        <v>1164452.57</v>
      </c>
      <c r="F9" s="280">
        <f t="shared" si="1"/>
        <v>1198650.2450000001</v>
      </c>
      <c r="G9" s="23">
        <v>1232847.92</v>
      </c>
      <c r="H9" s="280">
        <f t="shared" ref="H9" si="5">+(G9+I9)/2</f>
        <v>1233796.5150000001</v>
      </c>
      <c r="I9" s="23">
        <v>1234745.1100000001</v>
      </c>
      <c r="J9" s="280">
        <f t="shared" ref="J9" si="6">+(I9+K9)/2</f>
        <v>1245530.5</v>
      </c>
      <c r="K9" s="23">
        <v>1256315.8899999999</v>
      </c>
      <c r="L9" s="23">
        <v>1256315.8899999999</v>
      </c>
      <c r="M9" s="23">
        <v>1256315.8899999999</v>
      </c>
      <c r="N9" s="23">
        <v>1257518</v>
      </c>
      <c r="O9" s="23">
        <v>1257518</v>
      </c>
      <c r="P9" s="249">
        <f t="shared" ref="P9:AB9" si="7">+$P37*P$24</f>
        <v>1256901.8161799998</v>
      </c>
      <c r="Q9" s="249">
        <f t="shared" si="7"/>
        <v>1256285.9342900717</v>
      </c>
      <c r="R9" s="249">
        <f t="shared" si="7"/>
        <v>1255670.3541822697</v>
      </c>
      <c r="S9" s="249">
        <f t="shared" si="7"/>
        <v>1255055.0757087204</v>
      </c>
      <c r="T9" s="249">
        <f t="shared" si="7"/>
        <v>1254440.098721623</v>
      </c>
      <c r="U9" s="249">
        <f t="shared" si="7"/>
        <v>1253825.4230732494</v>
      </c>
      <c r="V9" s="249">
        <f t="shared" si="7"/>
        <v>1253211.0486159436</v>
      </c>
      <c r="W9" s="249">
        <f t="shared" si="7"/>
        <v>1252596.9752021218</v>
      </c>
      <c r="X9" s="249">
        <f t="shared" si="7"/>
        <v>1251983.2026842728</v>
      </c>
      <c r="Y9" s="249">
        <f t="shared" si="7"/>
        <v>1251369.7309149574</v>
      </c>
      <c r="Z9" s="249">
        <f t="shared" si="7"/>
        <v>1250756.5597468091</v>
      </c>
      <c r="AA9" s="249">
        <f t="shared" si="7"/>
        <v>1250143.6890325332</v>
      </c>
      <c r="AB9" s="250">
        <f t="shared" si="7"/>
        <v>1249531.1186249072</v>
      </c>
    </row>
    <row r="10" spans="1:28" x14ac:dyDescent="0.3">
      <c r="A10" s="316"/>
      <c r="B10" s="22" t="s">
        <v>6</v>
      </c>
      <c r="C10" s="23">
        <v>468700.3</v>
      </c>
      <c r="D10" s="280">
        <f t="shared" si="1"/>
        <v>469707.92499999999</v>
      </c>
      <c r="E10" s="23">
        <v>470715.55</v>
      </c>
      <c r="F10" s="280">
        <f t="shared" si="1"/>
        <v>488975.63</v>
      </c>
      <c r="G10" s="23">
        <v>507235.71</v>
      </c>
      <c r="H10" s="280">
        <f t="shared" ref="H10" si="8">+(G10+I10)/2</f>
        <v>506690.36499999999</v>
      </c>
      <c r="I10" s="23">
        <v>506145.02</v>
      </c>
      <c r="J10" s="280">
        <f t="shared" ref="J10" si="9">+(I10+K10)/2</f>
        <v>514642.33500000002</v>
      </c>
      <c r="K10" s="23">
        <v>523139.65</v>
      </c>
      <c r="L10" s="23">
        <v>523139.65</v>
      </c>
      <c r="M10" s="23">
        <v>523139.65</v>
      </c>
      <c r="N10" s="23">
        <v>515144</v>
      </c>
      <c r="O10" s="23">
        <v>515144</v>
      </c>
      <c r="P10" s="249">
        <f t="shared" ref="P10:AB10" si="10">+$P38*P$24</f>
        <v>514891.57943999994</v>
      </c>
      <c r="Q10" s="249">
        <f t="shared" si="10"/>
        <v>514639.28256607434</v>
      </c>
      <c r="R10" s="249">
        <f t="shared" si="10"/>
        <v>514387.10931761697</v>
      </c>
      <c r="S10" s="249">
        <f t="shared" si="10"/>
        <v>514135.05963405134</v>
      </c>
      <c r="T10" s="249">
        <f t="shared" si="10"/>
        <v>513883.13345483068</v>
      </c>
      <c r="U10" s="249">
        <f t="shared" si="10"/>
        <v>513631.3307194378</v>
      </c>
      <c r="V10" s="249">
        <f t="shared" si="10"/>
        <v>513379.65136738529</v>
      </c>
      <c r="W10" s="249">
        <f t="shared" si="10"/>
        <v>513128.09533821524</v>
      </c>
      <c r="X10" s="249">
        <f t="shared" si="10"/>
        <v>512876.66257149953</v>
      </c>
      <c r="Y10" s="249">
        <f t="shared" si="10"/>
        <v>512625.35300683946</v>
      </c>
      <c r="Z10" s="249">
        <f t="shared" si="10"/>
        <v>512374.16658386617</v>
      </c>
      <c r="AA10" s="249">
        <f t="shared" si="10"/>
        <v>512123.10324224009</v>
      </c>
      <c r="AB10" s="250">
        <f t="shared" si="10"/>
        <v>511872.16292165138</v>
      </c>
    </row>
    <row r="11" spans="1:28" x14ac:dyDescent="0.3">
      <c r="A11" s="316"/>
      <c r="B11" s="22" t="s">
        <v>7</v>
      </c>
      <c r="C11" s="23">
        <v>322781.76</v>
      </c>
      <c r="D11" s="280">
        <f t="shared" si="1"/>
        <v>325370.89</v>
      </c>
      <c r="E11" s="23">
        <v>327960.02</v>
      </c>
      <c r="F11" s="280">
        <f t="shared" si="1"/>
        <v>333557.76000000001</v>
      </c>
      <c r="G11" s="23">
        <v>339155.5</v>
      </c>
      <c r="H11" s="280">
        <f t="shared" ref="H11" si="11">+(G11+I11)/2</f>
        <v>340207.31</v>
      </c>
      <c r="I11" s="23">
        <v>341259.12</v>
      </c>
      <c r="J11" s="280">
        <f t="shared" ref="J11" si="12">+(I11+K11)/2</f>
        <v>357944.89</v>
      </c>
      <c r="K11" s="23">
        <v>374630.66</v>
      </c>
      <c r="L11" s="23">
        <v>374630.66</v>
      </c>
      <c r="M11" s="23">
        <v>374630.66</v>
      </c>
      <c r="N11" s="23">
        <v>375109</v>
      </c>
      <c r="O11" s="23">
        <v>375109</v>
      </c>
      <c r="P11" s="249">
        <f t="shared" ref="P11:AB11" si="13">+$P39*P$24</f>
        <v>374925.19659000001</v>
      </c>
      <c r="Q11" s="249">
        <f t="shared" si="13"/>
        <v>374741.4832436709</v>
      </c>
      <c r="R11" s="249">
        <f t="shared" si="13"/>
        <v>374557.85991688148</v>
      </c>
      <c r="S11" s="249">
        <f t="shared" si="13"/>
        <v>374374.32656552223</v>
      </c>
      <c r="T11" s="249">
        <f t="shared" si="13"/>
        <v>374190.88314550515</v>
      </c>
      <c r="U11" s="249">
        <f t="shared" si="13"/>
        <v>374007.52961276384</v>
      </c>
      <c r="V11" s="249">
        <f t="shared" si="13"/>
        <v>373824.26592325361</v>
      </c>
      <c r="W11" s="249">
        <f t="shared" si="13"/>
        <v>373641.09203295119</v>
      </c>
      <c r="X11" s="249">
        <f t="shared" si="13"/>
        <v>373458.00789785502</v>
      </c>
      <c r="Y11" s="249">
        <f t="shared" si="13"/>
        <v>373275.01347398508</v>
      </c>
      <c r="Z11" s="249">
        <f t="shared" si="13"/>
        <v>373092.10871738283</v>
      </c>
      <c r="AA11" s="249">
        <f t="shared" si="13"/>
        <v>372909.29358411132</v>
      </c>
      <c r="AB11" s="250">
        <f t="shared" si="13"/>
        <v>372726.56803025509</v>
      </c>
    </row>
    <row r="12" spans="1:28" x14ac:dyDescent="0.3">
      <c r="A12" s="316"/>
      <c r="B12" s="22" t="s">
        <v>8</v>
      </c>
      <c r="C12" s="23">
        <v>2361954.61</v>
      </c>
      <c r="D12" s="280">
        <f t="shared" si="1"/>
        <v>2536303.79</v>
      </c>
      <c r="E12" s="23">
        <v>2710652.97</v>
      </c>
      <c r="F12" s="280">
        <f t="shared" si="1"/>
        <v>2768583.37</v>
      </c>
      <c r="G12" s="23">
        <v>2826513.77</v>
      </c>
      <c r="H12" s="280">
        <f t="shared" ref="H12" si="14">+(G12+I12)/2</f>
        <v>2858758.21</v>
      </c>
      <c r="I12" s="23">
        <v>2891002.65</v>
      </c>
      <c r="J12" s="280">
        <f t="shared" ref="J12" si="15">+(I12+K12)/2</f>
        <v>2955726.3049999997</v>
      </c>
      <c r="K12" s="23">
        <v>3020449.96</v>
      </c>
      <c r="L12" s="23">
        <v>3020449.96</v>
      </c>
      <c r="M12" s="23">
        <v>3020449.96</v>
      </c>
      <c r="N12" s="23">
        <v>2928882</v>
      </c>
      <c r="O12" s="23">
        <v>2928882</v>
      </c>
      <c r="P12" s="249">
        <f t="shared" ref="P12:AB12" si="16">+$P40*P$24</f>
        <v>2927446.8478199998</v>
      </c>
      <c r="Q12" s="249">
        <f t="shared" si="16"/>
        <v>2926012.3988645677</v>
      </c>
      <c r="R12" s="249">
        <f t="shared" si="16"/>
        <v>2924578.6527891243</v>
      </c>
      <c r="S12" s="249">
        <f t="shared" si="16"/>
        <v>2923145.6092492575</v>
      </c>
      <c r="T12" s="249">
        <f t="shared" si="16"/>
        <v>2921713.2679007254</v>
      </c>
      <c r="U12" s="249">
        <f t="shared" si="16"/>
        <v>2920281.6283994541</v>
      </c>
      <c r="V12" s="249">
        <f t="shared" si="16"/>
        <v>2918850.6904015387</v>
      </c>
      <c r="W12" s="249">
        <f t="shared" si="16"/>
        <v>2917420.4535632418</v>
      </c>
      <c r="X12" s="249">
        <f t="shared" si="16"/>
        <v>2915990.9175409959</v>
      </c>
      <c r="Y12" s="249">
        <f t="shared" si="16"/>
        <v>2914562.0819914006</v>
      </c>
      <c r="Z12" s="249">
        <f t="shared" si="16"/>
        <v>2913133.9465712248</v>
      </c>
      <c r="AA12" s="249">
        <f t="shared" si="16"/>
        <v>2911706.5109374053</v>
      </c>
      <c r="AB12" s="250">
        <f t="shared" si="16"/>
        <v>2910279.7747470457</v>
      </c>
    </row>
    <row r="13" spans="1:28" x14ac:dyDescent="0.3">
      <c r="A13" s="316"/>
      <c r="B13" s="22" t="s">
        <v>9</v>
      </c>
      <c r="C13" s="23">
        <v>261686.1</v>
      </c>
      <c r="D13" s="280">
        <f t="shared" si="1"/>
        <v>263622.40000000002</v>
      </c>
      <c r="E13" s="23">
        <v>265558.7</v>
      </c>
      <c r="F13" s="280">
        <f t="shared" si="1"/>
        <v>269700.02</v>
      </c>
      <c r="G13" s="23">
        <v>273841.34000000003</v>
      </c>
      <c r="H13" s="280">
        <f t="shared" ref="H13" si="17">+(G13+I13)/2</f>
        <v>268738.07500000001</v>
      </c>
      <c r="I13" s="23">
        <v>263634.81</v>
      </c>
      <c r="J13" s="280">
        <f t="shared" ref="J13" si="18">+(I13+K13)/2</f>
        <v>262908.70499999996</v>
      </c>
      <c r="K13" s="23">
        <v>262182.59999999998</v>
      </c>
      <c r="L13" s="23">
        <v>262182.59999999998</v>
      </c>
      <c r="M13" s="23">
        <v>262182.59999999998</v>
      </c>
      <c r="N13" s="23">
        <v>240487</v>
      </c>
      <c r="O13" s="23">
        <v>240487</v>
      </c>
      <c r="P13" s="249">
        <f t="shared" ref="P13:AB13" si="19">+$P41*P$24</f>
        <v>240369.16136999999</v>
      </c>
      <c r="Q13" s="249">
        <f t="shared" si="19"/>
        <v>240251.3804809287</v>
      </c>
      <c r="R13" s="249">
        <f t="shared" si="19"/>
        <v>240133.65730449304</v>
      </c>
      <c r="S13" s="249">
        <f t="shared" si="19"/>
        <v>240015.99181241385</v>
      </c>
      <c r="T13" s="249">
        <f t="shared" si="19"/>
        <v>239898.38397642577</v>
      </c>
      <c r="U13" s="249">
        <f t="shared" si="19"/>
        <v>239780.83376827731</v>
      </c>
      <c r="V13" s="249">
        <f t="shared" si="19"/>
        <v>239663.34115973086</v>
      </c>
      <c r="W13" s="249">
        <f t="shared" si="19"/>
        <v>239545.90612256259</v>
      </c>
      <c r="X13" s="249">
        <f t="shared" si="19"/>
        <v>239428.52862856255</v>
      </c>
      <c r="Y13" s="249">
        <f t="shared" si="19"/>
        <v>239311.20864953453</v>
      </c>
      <c r="Z13" s="249">
        <f t="shared" si="19"/>
        <v>239193.94615729628</v>
      </c>
      <c r="AA13" s="249">
        <f t="shared" si="19"/>
        <v>239076.74112367921</v>
      </c>
      <c r="AB13" s="250">
        <f t="shared" si="19"/>
        <v>238959.59352052858</v>
      </c>
    </row>
    <row r="14" spans="1:28" x14ac:dyDescent="0.3">
      <c r="A14" s="316"/>
      <c r="B14" s="22" t="s">
        <v>10</v>
      </c>
      <c r="C14" s="23">
        <v>64990.3</v>
      </c>
      <c r="D14" s="280">
        <f t="shared" si="1"/>
        <v>65335.185000000005</v>
      </c>
      <c r="E14" s="23">
        <v>65680.070000000007</v>
      </c>
      <c r="F14" s="280">
        <f t="shared" si="1"/>
        <v>64106.675000000003</v>
      </c>
      <c r="G14" s="23">
        <v>62533.279999999999</v>
      </c>
      <c r="H14" s="280">
        <f t="shared" ref="H14" si="20">+(G14+I14)/2</f>
        <v>65738.850000000006</v>
      </c>
      <c r="I14" s="23">
        <v>68944.42</v>
      </c>
      <c r="J14" s="280">
        <f t="shared" ref="J14" si="21">+(I14+K14)/2</f>
        <v>68628.94</v>
      </c>
      <c r="K14" s="23">
        <v>68313.460000000006</v>
      </c>
      <c r="L14" s="23">
        <v>68313.460000000006</v>
      </c>
      <c r="M14" s="23">
        <v>68313.460000000006</v>
      </c>
      <c r="N14" s="23">
        <v>98087</v>
      </c>
      <c r="O14" s="23">
        <v>98087</v>
      </c>
      <c r="P14" s="249">
        <f t="shared" ref="P14:AB14" si="22">+$P42*P$24</f>
        <v>98038.937369999985</v>
      </c>
      <c r="Q14" s="249">
        <f t="shared" si="22"/>
        <v>97990.898290688681</v>
      </c>
      <c r="R14" s="249">
        <f t="shared" si="22"/>
        <v>97942.88275052626</v>
      </c>
      <c r="S14" s="249">
        <f t="shared" si="22"/>
        <v>97894.890737978494</v>
      </c>
      <c r="T14" s="249">
        <f t="shared" si="22"/>
        <v>97846.922241516892</v>
      </c>
      <c r="U14" s="249">
        <f t="shared" si="22"/>
        <v>97798.977249618547</v>
      </c>
      <c r="V14" s="249">
        <f t="shared" si="22"/>
        <v>97751.055750766231</v>
      </c>
      <c r="W14" s="249">
        <f t="shared" si="22"/>
        <v>97703.157733448359</v>
      </c>
      <c r="X14" s="249">
        <f t="shared" si="22"/>
        <v>97655.283186158966</v>
      </c>
      <c r="Y14" s="249">
        <f t="shared" si="22"/>
        <v>97607.432097397745</v>
      </c>
      <c r="Z14" s="249">
        <f t="shared" si="22"/>
        <v>97559.604455670022</v>
      </c>
      <c r="AA14" s="249">
        <f t="shared" si="22"/>
        <v>97511.800249486754</v>
      </c>
      <c r="AB14" s="250">
        <f t="shared" si="22"/>
        <v>97464.019467364502</v>
      </c>
    </row>
    <row r="15" spans="1:28" x14ac:dyDescent="0.3">
      <c r="A15" s="316"/>
      <c r="B15" s="22" t="s">
        <v>11</v>
      </c>
      <c r="C15" s="23">
        <v>271778.31</v>
      </c>
      <c r="D15" s="280">
        <f t="shared" si="1"/>
        <v>272685.14</v>
      </c>
      <c r="E15" s="23">
        <v>273591.96999999997</v>
      </c>
      <c r="F15" s="280">
        <f t="shared" si="1"/>
        <v>278163.17499999999</v>
      </c>
      <c r="G15" s="23">
        <v>282734.38</v>
      </c>
      <c r="H15" s="280">
        <f t="shared" ref="H15" si="23">+(G15+I15)/2</f>
        <v>289391.54000000004</v>
      </c>
      <c r="I15" s="23">
        <v>296048.7</v>
      </c>
      <c r="J15" s="280">
        <f t="shared" ref="J15" si="24">+(I15+K15)/2</f>
        <v>298137.71499999997</v>
      </c>
      <c r="K15" s="23">
        <v>300226.73</v>
      </c>
      <c r="L15" s="23">
        <v>300226.73</v>
      </c>
      <c r="M15" s="23">
        <v>300226.73</v>
      </c>
      <c r="N15" s="23">
        <v>272847</v>
      </c>
      <c r="O15" s="23">
        <v>272847</v>
      </c>
      <c r="P15" s="249">
        <f t="shared" ref="P15:AB15" si="25">+$P43*P$24</f>
        <v>272713.30497</v>
      </c>
      <c r="Q15" s="249">
        <f t="shared" si="25"/>
        <v>272579.67545056465</v>
      </c>
      <c r="R15" s="249">
        <f t="shared" si="25"/>
        <v>272446.1114095939</v>
      </c>
      <c r="S15" s="249">
        <f t="shared" si="25"/>
        <v>272312.6128150032</v>
      </c>
      <c r="T15" s="249">
        <f t="shared" si="25"/>
        <v>272179.17963472387</v>
      </c>
      <c r="U15" s="249">
        <f t="shared" si="25"/>
        <v>272045.81183670287</v>
      </c>
      <c r="V15" s="249">
        <f t="shared" si="25"/>
        <v>271912.50938890286</v>
      </c>
      <c r="W15" s="249">
        <f t="shared" si="25"/>
        <v>271779.27225930232</v>
      </c>
      <c r="X15" s="249">
        <f t="shared" si="25"/>
        <v>271646.10041589523</v>
      </c>
      <c r="Y15" s="249">
        <f t="shared" si="25"/>
        <v>271512.99382669141</v>
      </c>
      <c r="Z15" s="249">
        <f t="shared" si="25"/>
        <v>271379.95245971635</v>
      </c>
      <c r="AA15" s="249">
        <f t="shared" si="25"/>
        <v>271246.97628301114</v>
      </c>
      <c r="AB15" s="250">
        <f t="shared" si="25"/>
        <v>271114.06526463246</v>
      </c>
    </row>
    <row r="16" spans="1:28" ht="15" thickBot="1" x14ac:dyDescent="0.35">
      <c r="A16" s="316"/>
      <c r="B16" s="36" t="s">
        <v>12</v>
      </c>
      <c r="C16" s="37">
        <v>38277.9</v>
      </c>
      <c r="D16" s="281">
        <f t="shared" si="1"/>
        <v>38277.9</v>
      </c>
      <c r="E16" s="37">
        <v>38277.9</v>
      </c>
      <c r="F16" s="281">
        <f t="shared" si="1"/>
        <v>38277.9</v>
      </c>
      <c r="G16" s="37">
        <v>38277.9</v>
      </c>
      <c r="H16" s="281">
        <f t="shared" ref="H16" si="26">+(G16+I16)/2</f>
        <v>72574.065000000002</v>
      </c>
      <c r="I16" s="37">
        <v>106870.23</v>
      </c>
      <c r="J16" s="281">
        <f t="shared" ref="J16" si="27">+(I16+K16)/2</f>
        <v>101943.18</v>
      </c>
      <c r="K16" s="37">
        <v>97016.13</v>
      </c>
      <c r="L16" s="37">
        <v>97016.13</v>
      </c>
      <c r="M16" s="37">
        <v>97016.13</v>
      </c>
      <c r="N16" s="37">
        <v>115150</v>
      </c>
      <c r="O16" s="37">
        <v>115150</v>
      </c>
      <c r="P16" s="251">
        <f t="shared" ref="P16:AB16" si="28">+$P44*P$24</f>
        <v>115093.57649999998</v>
      </c>
      <c r="Q16" s="251">
        <f t="shared" si="28"/>
        <v>115037.18064751498</v>
      </c>
      <c r="R16" s="251">
        <f t="shared" si="28"/>
        <v>114980.8124289977</v>
      </c>
      <c r="S16" s="251">
        <f t="shared" si="28"/>
        <v>114924.4718309075</v>
      </c>
      <c r="T16" s="251">
        <f t="shared" si="28"/>
        <v>114868.15883971035</v>
      </c>
      <c r="U16" s="251">
        <f t="shared" si="28"/>
        <v>114811.8734418789</v>
      </c>
      <c r="V16" s="251">
        <f t="shared" si="28"/>
        <v>114755.61562389237</v>
      </c>
      <c r="W16" s="251">
        <f t="shared" si="28"/>
        <v>114699.38537223666</v>
      </c>
      <c r="X16" s="251">
        <f t="shared" si="28"/>
        <v>114643.18267340427</v>
      </c>
      <c r="Y16" s="251">
        <f t="shared" si="28"/>
        <v>114587.00751389429</v>
      </c>
      <c r="Z16" s="251">
        <f t="shared" si="28"/>
        <v>114530.85988021249</v>
      </c>
      <c r="AA16" s="251">
        <f t="shared" si="28"/>
        <v>114474.73975887119</v>
      </c>
      <c r="AB16" s="252">
        <f t="shared" si="28"/>
        <v>114418.64713638934</v>
      </c>
    </row>
    <row r="17" spans="1:28" ht="15" thickBot="1" x14ac:dyDescent="0.35">
      <c r="A17" s="316"/>
      <c r="B17" s="38" t="s">
        <v>19</v>
      </c>
      <c r="C17" s="16">
        <f>+SUM(C7:C16)</f>
        <v>5076133.7999999989</v>
      </c>
      <c r="D17" s="282">
        <f t="shared" ref="D17:N17" si="29">+SUM(D7:D16)</f>
        <v>5269663.45</v>
      </c>
      <c r="E17" s="16">
        <f t="shared" si="29"/>
        <v>5463193.1000000015</v>
      </c>
      <c r="F17" s="282">
        <f t="shared" si="29"/>
        <v>5590609.7349999994</v>
      </c>
      <c r="G17" s="16">
        <f t="shared" si="29"/>
        <v>5718026.370000001</v>
      </c>
      <c r="H17" s="282">
        <f t="shared" si="29"/>
        <v>5790655.085</v>
      </c>
      <c r="I17" s="16">
        <f t="shared" si="29"/>
        <v>5863283.8000000007</v>
      </c>
      <c r="J17" s="282">
        <f t="shared" si="29"/>
        <v>5960096.2749999994</v>
      </c>
      <c r="K17" s="16">
        <f t="shared" si="29"/>
        <v>6056908.7499999991</v>
      </c>
      <c r="L17" s="16">
        <f t="shared" si="29"/>
        <v>6056908.7499999991</v>
      </c>
      <c r="M17" s="16">
        <f t="shared" si="29"/>
        <v>6056908.7499999991</v>
      </c>
      <c r="N17" s="16">
        <f t="shared" si="29"/>
        <v>5956245</v>
      </c>
      <c r="O17" s="16">
        <f t="shared" ref="O17:AB17" si="30">+SUM(O7:O16)</f>
        <v>5956245</v>
      </c>
      <c r="P17" s="16">
        <f t="shared" si="30"/>
        <v>5953326.4399500005</v>
      </c>
      <c r="Q17" s="16">
        <f t="shared" si="30"/>
        <v>5950409.3099944238</v>
      </c>
      <c r="R17" s="16">
        <f t="shared" si="30"/>
        <v>5947493.6094325269</v>
      </c>
      <c r="S17" s="16">
        <f t="shared" si="30"/>
        <v>5944579.337563904</v>
      </c>
      <c r="T17" s="16">
        <f t="shared" si="30"/>
        <v>5941666.4936884986</v>
      </c>
      <c r="U17" s="16">
        <f t="shared" si="30"/>
        <v>5938755.0771065904</v>
      </c>
      <c r="V17" s="16">
        <f t="shared" si="30"/>
        <v>5935845.08711881</v>
      </c>
      <c r="W17" s="16">
        <f t="shared" si="30"/>
        <v>5932936.5230261218</v>
      </c>
      <c r="X17" s="16">
        <f t="shared" si="30"/>
        <v>5930029.3841298372</v>
      </c>
      <c r="Y17" s="16">
        <f t="shared" si="30"/>
        <v>5927123.6697316142</v>
      </c>
      <c r="Z17" s="16">
        <f t="shared" si="30"/>
        <v>5924219.3791334461</v>
      </c>
      <c r="AA17" s="16">
        <f t="shared" si="30"/>
        <v>5921316.5116376709</v>
      </c>
      <c r="AB17" s="17">
        <f t="shared" si="30"/>
        <v>5918415.0665469682</v>
      </c>
    </row>
    <row r="18" spans="1:28" ht="15" thickBot="1" x14ac:dyDescent="0.35">
      <c r="B18" s="29"/>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1"/>
    </row>
    <row r="19" spans="1:28" ht="13.8" customHeight="1" x14ac:dyDescent="0.3"/>
    <row r="20" spans="1:28" ht="13.8" customHeight="1" thickBot="1" x14ac:dyDescent="0.35"/>
    <row r="21" spans="1:28" ht="13.8" customHeight="1" x14ac:dyDescent="0.3">
      <c r="B21" s="26"/>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8"/>
    </row>
    <row r="22" spans="1:28" ht="13.8" customHeight="1" thickBot="1" x14ac:dyDescent="0.35">
      <c r="B22" s="32" t="s">
        <v>30</v>
      </c>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25"/>
    </row>
    <row r="23" spans="1:28" ht="13.8" customHeight="1" x14ac:dyDescent="0.3">
      <c r="A23" s="225" t="s">
        <v>90</v>
      </c>
      <c r="B23" s="33" t="s">
        <v>23</v>
      </c>
      <c r="C23" s="34"/>
      <c r="D23" s="34"/>
      <c r="E23" s="34"/>
      <c r="F23" s="34"/>
      <c r="G23" s="34"/>
      <c r="H23" s="34"/>
      <c r="I23" s="34"/>
      <c r="J23" s="34"/>
      <c r="K23" s="34"/>
      <c r="L23" s="34"/>
      <c r="M23" s="34"/>
      <c r="N23" s="34"/>
      <c r="O23" s="34"/>
      <c r="P23" s="273">
        <f>0.049/100</f>
        <v>4.8999999999999998E-4</v>
      </c>
      <c r="Q23" s="273">
        <f t="shared" ref="Q23:AB23" si="31">0.049/100</f>
        <v>4.8999999999999998E-4</v>
      </c>
      <c r="R23" s="273">
        <f t="shared" si="31"/>
        <v>4.8999999999999998E-4</v>
      </c>
      <c r="S23" s="273">
        <f t="shared" si="31"/>
        <v>4.8999999999999998E-4</v>
      </c>
      <c r="T23" s="273">
        <f t="shared" si="31"/>
        <v>4.8999999999999998E-4</v>
      </c>
      <c r="U23" s="273">
        <f t="shared" si="31"/>
        <v>4.8999999999999998E-4</v>
      </c>
      <c r="V23" s="273">
        <f t="shared" si="31"/>
        <v>4.8999999999999998E-4</v>
      </c>
      <c r="W23" s="273">
        <f t="shared" si="31"/>
        <v>4.8999999999999998E-4</v>
      </c>
      <c r="X23" s="273">
        <f t="shared" si="31"/>
        <v>4.8999999999999998E-4</v>
      </c>
      <c r="Y23" s="273">
        <f t="shared" si="31"/>
        <v>4.8999999999999998E-4</v>
      </c>
      <c r="Z23" s="273">
        <f t="shared" si="31"/>
        <v>4.8999999999999998E-4</v>
      </c>
      <c r="AA23" s="273">
        <f t="shared" si="31"/>
        <v>4.8999999999999998E-4</v>
      </c>
      <c r="AB23" s="274">
        <f t="shared" si="31"/>
        <v>4.8999999999999998E-4</v>
      </c>
    </row>
    <row r="24" spans="1:28" ht="13.8" customHeight="1" x14ac:dyDescent="0.3">
      <c r="A24" s="225"/>
      <c r="B24" s="22" t="s">
        <v>19</v>
      </c>
      <c r="C24" s="23">
        <f t="shared" ref="C24:N24" si="32">+SUM(C7:C16)</f>
        <v>5076133.7999999989</v>
      </c>
      <c r="D24" s="23">
        <f t="shared" si="32"/>
        <v>5269663.45</v>
      </c>
      <c r="E24" s="23">
        <f t="shared" si="32"/>
        <v>5463193.1000000015</v>
      </c>
      <c r="F24" s="23">
        <f>+SUM(F7:F16)</f>
        <v>5590609.7349999994</v>
      </c>
      <c r="G24" s="23">
        <f t="shared" si="32"/>
        <v>5718026.370000001</v>
      </c>
      <c r="H24" s="23">
        <f t="shared" si="32"/>
        <v>5790655.085</v>
      </c>
      <c r="I24" s="23">
        <f t="shared" si="32"/>
        <v>5863283.8000000007</v>
      </c>
      <c r="J24" s="23">
        <f t="shared" si="32"/>
        <v>5960096.2749999994</v>
      </c>
      <c r="K24" s="23">
        <f t="shared" si="32"/>
        <v>6056908.7499999991</v>
      </c>
      <c r="L24" s="23">
        <f t="shared" si="32"/>
        <v>6056908.7499999991</v>
      </c>
      <c r="M24" s="23">
        <f t="shared" si="32"/>
        <v>6056908.7499999991</v>
      </c>
      <c r="N24" s="23">
        <f t="shared" si="32"/>
        <v>5956245</v>
      </c>
      <c r="O24" s="23">
        <f>+SUM(O7:O16)</f>
        <v>5956245</v>
      </c>
      <c r="P24" s="23">
        <f>+O24-O24*P23</f>
        <v>5953326.4399499996</v>
      </c>
      <c r="Q24" s="23">
        <f t="shared" ref="Q24:AA24" si="33">+P24-P24*Q23</f>
        <v>5950409.3099944238</v>
      </c>
      <c r="R24" s="23">
        <f t="shared" si="33"/>
        <v>5947493.6094325269</v>
      </c>
      <c r="S24" s="23">
        <f t="shared" si="33"/>
        <v>5944579.3375639049</v>
      </c>
      <c r="T24" s="23">
        <f t="shared" si="33"/>
        <v>5941666.4936884986</v>
      </c>
      <c r="U24" s="23">
        <f t="shared" si="33"/>
        <v>5938755.0771065913</v>
      </c>
      <c r="V24" s="23">
        <f t="shared" si="33"/>
        <v>5935845.0871188091</v>
      </c>
      <c r="W24" s="23">
        <f t="shared" si="33"/>
        <v>5932936.5230261208</v>
      </c>
      <c r="X24" s="23">
        <f t="shared" si="33"/>
        <v>5930029.3841298381</v>
      </c>
      <c r="Y24" s="23">
        <f t="shared" si="33"/>
        <v>5927123.6697316142</v>
      </c>
      <c r="Z24" s="23">
        <f t="shared" si="33"/>
        <v>5924219.3791334461</v>
      </c>
      <c r="AA24" s="23">
        <f t="shared" si="33"/>
        <v>5921316.5116376709</v>
      </c>
      <c r="AB24" s="24">
        <f>+AA24-AA24*AB23</f>
        <v>5918415.0665469682</v>
      </c>
    </row>
    <row r="25" spans="1:28" ht="13.8" customHeight="1" x14ac:dyDescent="0.3">
      <c r="A25" s="225"/>
      <c r="B25" s="22" t="s">
        <v>24</v>
      </c>
      <c r="C25" s="23"/>
      <c r="D25" s="23"/>
      <c r="E25" s="23"/>
      <c r="F25" s="23"/>
      <c r="G25" s="23"/>
      <c r="H25" s="23"/>
      <c r="I25" s="23"/>
      <c r="J25" s="23"/>
      <c r="K25" s="23"/>
      <c r="L25" s="23"/>
      <c r="M25" s="23"/>
      <c r="N25" s="41"/>
      <c r="O25" s="41"/>
      <c r="P25" s="275">
        <f>(((0.76/100)*O27-((0.049/100)*O24))/O26)*(0.992212)</f>
        <v>1.4358671613857546E-2</v>
      </c>
      <c r="Q25" s="276">
        <f>(((0.76/100)*P27-((0.049/100)*P24))/P26)*(0.99221)</f>
        <v>1.4454574602807982E-2</v>
      </c>
      <c r="R25" s="276">
        <f>(((0.76/100)*Q27-((0.049/100)*Q24))/Q26)*(0.992208)</f>
        <v>1.4552509274328542E-2</v>
      </c>
      <c r="S25" s="276">
        <f>(((0.76/100)*R27-((0.049/100)*R24))/R26)*(0.992206)</f>
        <v>1.4652538339463686E-2</v>
      </c>
      <c r="T25" s="276">
        <f>(((0.76/100)*S27-((0.049/100)*S24))/S26)*(0.992204)</f>
        <v>1.4754727112937339E-2</v>
      </c>
      <c r="U25" s="276">
        <f>(((0.76/100)*T27-((0.049/100)*T24))/T26)*(0.992203)</f>
        <v>1.4859158625658444E-2</v>
      </c>
      <c r="V25" s="276">
        <f>(((0.76/100)*U27-((0.049/100)*U24))/U26)*(0.9922)</f>
        <v>1.496585900323536E-2</v>
      </c>
      <c r="W25" s="276">
        <f t="shared" ref="W25" si="34">(((0.76/100)*V27-((0.049/100)*V24))/V26)*(0.992197)</f>
        <v>1.5074931737377076E-2</v>
      </c>
      <c r="X25" s="276">
        <f>(((0.76/100)*W27-((0.049/100)*W24))/W26)*(0.992197)</f>
        <v>1.5186499916482179E-2</v>
      </c>
      <c r="Y25" s="276">
        <f>(((0.76/100)*X27-((0.049/100)*X24))/X26)*(0.992195)</f>
        <v>1.5300568382742137E-2</v>
      </c>
      <c r="Z25" s="276">
        <f>(((0.76/100)*Y27-((0.049/100)*Y24))/Y26)*(0.992193)</f>
        <v>1.5417251425912873E-2</v>
      </c>
      <c r="AA25" s="276">
        <f>(((0.76/100)*Z27-((0.049/100)*Z24))/Z26)*(0.992191)</f>
        <v>1.5536636946590321E-2</v>
      </c>
      <c r="AB25" s="276">
        <f>(((0.76/100)*AA27-((0.049/100)*AA24))/AA26)*(0.99219)</f>
        <v>1.5658832607866293E-2</v>
      </c>
    </row>
    <row r="26" spans="1:28" ht="13.8" customHeight="1" x14ac:dyDescent="0.3">
      <c r="A26" s="225" t="s">
        <v>94</v>
      </c>
      <c r="B26" s="22" t="s">
        <v>65</v>
      </c>
      <c r="C26" s="23">
        <v>6163090.2000000011</v>
      </c>
      <c r="D26" s="23">
        <f>+AVERAGE(C26,E26)</f>
        <v>6163090.2000000011</v>
      </c>
      <c r="E26" s="23">
        <v>6163090.2000000011</v>
      </c>
      <c r="F26" s="23">
        <f>+AVERAGE(E26,G26)</f>
        <v>6163090.2000000011</v>
      </c>
      <c r="G26" s="23">
        <v>6163090.2000000011</v>
      </c>
      <c r="H26" s="23">
        <f>+AVERAGE(G26,I26)</f>
        <v>6163090.2000000011</v>
      </c>
      <c r="I26" s="23">
        <v>6163090.2000000011</v>
      </c>
      <c r="J26" s="23">
        <f>+AVERAGE(I26,K26)</f>
        <v>6163090.2000000011</v>
      </c>
      <c r="K26" s="23">
        <v>6163090.2000000011</v>
      </c>
      <c r="L26" s="23">
        <v>6163090.2000000011</v>
      </c>
      <c r="M26" s="23">
        <v>6163090.2000000011</v>
      </c>
      <c r="N26" s="23">
        <v>6163090.2000000011</v>
      </c>
      <c r="O26" s="23">
        <v>6163090.2000000011</v>
      </c>
      <c r="P26" s="249">
        <f>+O26-O26*P25</f>
        <v>6074596.4116916172</v>
      </c>
      <c r="Q26" s="249">
        <f>+P26-P26*Q25</f>
        <v>5986790.7046768712</v>
      </c>
      <c r="R26" s="249">
        <f t="shared" ref="R26:AB26" si="35">+Q26-Q26*R25</f>
        <v>5899667.8774235975</v>
      </c>
      <c r="S26" s="249">
        <f t="shared" si="35"/>
        <v>5813222.7676595459</v>
      </c>
      <c r="T26" s="249">
        <f t="shared" si="35"/>
        <v>5727450.2520760149</v>
      </c>
      <c r="U26" s="249">
        <f t="shared" si="35"/>
        <v>5642345.1602598503</v>
      </c>
      <c r="V26" s="249">
        <f t="shared" si="35"/>
        <v>5557902.6181438137</v>
      </c>
      <c r="W26" s="249">
        <f t="shared" si="35"/>
        <v>5474117.6155723063</v>
      </c>
      <c r="X26" s="249">
        <f t="shared" si="35"/>
        <v>5390984.9288606038</v>
      </c>
      <c r="Y26" s="249">
        <f t="shared" si="35"/>
        <v>5308499.7953062402</v>
      </c>
      <c r="Z26" s="249">
        <f t="shared" si="35"/>
        <v>5226657.319267597</v>
      </c>
      <c r="AA26" s="249">
        <f t="shared" si="35"/>
        <v>5145452.6420538975</v>
      </c>
      <c r="AB26" s="250">
        <f t="shared" si="35"/>
        <v>5064880.8604402719</v>
      </c>
    </row>
    <row r="27" spans="1:28" ht="13.8" customHeight="1" x14ac:dyDescent="0.3">
      <c r="A27" s="225"/>
      <c r="B27" s="22" t="s">
        <v>20</v>
      </c>
      <c r="C27" s="23">
        <f>+C24+C26</f>
        <v>11239224</v>
      </c>
      <c r="D27" s="23">
        <f t="shared" ref="D27:N27" si="36">+D24+D26</f>
        <v>11432753.650000002</v>
      </c>
      <c r="E27" s="23">
        <f t="shared" si="36"/>
        <v>11626283.300000003</v>
      </c>
      <c r="F27" s="23">
        <f t="shared" si="36"/>
        <v>11753699.935000001</v>
      </c>
      <c r="G27" s="23">
        <f t="shared" si="36"/>
        <v>11881116.570000002</v>
      </c>
      <c r="H27" s="23">
        <f t="shared" si="36"/>
        <v>11953745.285</v>
      </c>
      <c r="I27" s="23">
        <f t="shared" si="36"/>
        <v>12026374.000000002</v>
      </c>
      <c r="J27" s="23">
        <f t="shared" si="36"/>
        <v>12123186.475000001</v>
      </c>
      <c r="K27" s="23">
        <f t="shared" si="36"/>
        <v>12219998.949999999</v>
      </c>
      <c r="L27" s="23">
        <f t="shared" si="36"/>
        <v>12219998.949999999</v>
      </c>
      <c r="M27" s="23">
        <f t="shared" si="36"/>
        <v>12219998.949999999</v>
      </c>
      <c r="N27" s="23">
        <f t="shared" si="36"/>
        <v>12119335.200000001</v>
      </c>
      <c r="O27" s="23">
        <f t="shared" ref="O27:AB27" si="37">+O24+O26</f>
        <v>12119335.200000001</v>
      </c>
      <c r="P27" s="23">
        <f t="shared" si="37"/>
        <v>12027922.851641618</v>
      </c>
      <c r="Q27" s="23">
        <f t="shared" si="37"/>
        <v>11937200.014671296</v>
      </c>
      <c r="R27" s="23">
        <f t="shared" si="37"/>
        <v>11847161.486856125</v>
      </c>
      <c r="S27" s="23">
        <f t="shared" si="37"/>
        <v>11757802.105223451</v>
      </c>
      <c r="T27" s="23">
        <f t="shared" si="37"/>
        <v>11669116.745764513</v>
      </c>
      <c r="U27" s="23">
        <f t="shared" si="37"/>
        <v>11581100.237366442</v>
      </c>
      <c r="V27" s="23">
        <f t="shared" si="37"/>
        <v>11493747.705262624</v>
      </c>
      <c r="W27" s="23">
        <f t="shared" si="37"/>
        <v>11407054.138598427</v>
      </c>
      <c r="X27" s="23">
        <f t="shared" si="37"/>
        <v>11321014.312990442</v>
      </c>
      <c r="Y27" s="23">
        <f t="shared" si="37"/>
        <v>11235623.465037854</v>
      </c>
      <c r="Z27" s="23">
        <f t="shared" si="37"/>
        <v>11150876.698401043</v>
      </c>
      <c r="AA27" s="23">
        <f t="shared" si="37"/>
        <v>11066769.153691567</v>
      </c>
      <c r="AB27" s="24">
        <f t="shared" si="37"/>
        <v>10983295.92698724</v>
      </c>
    </row>
    <row r="28" spans="1:28" ht="13.8" customHeight="1" x14ac:dyDescent="0.3">
      <c r="A28" s="225"/>
      <c r="B28" s="22" t="s">
        <v>21</v>
      </c>
      <c r="C28" s="23"/>
      <c r="D28" s="23"/>
      <c r="E28" s="23"/>
      <c r="F28" s="23"/>
      <c r="G28" s="23"/>
      <c r="H28" s="23"/>
      <c r="I28" s="23"/>
      <c r="J28" s="23"/>
      <c r="K28" s="23"/>
      <c r="L28" s="23"/>
      <c r="M28" s="23"/>
      <c r="N28" s="23"/>
      <c r="O28" s="23"/>
      <c r="P28" s="249">
        <f>+P27-O27</f>
        <v>-91412.348358383402</v>
      </c>
      <c r="Q28" s="249">
        <f t="shared" ref="Q28" si="38">+Q27-P27</f>
        <v>-90722.836970321834</v>
      </c>
      <c r="R28" s="249">
        <f t="shared" ref="R28" si="39">+R27-Q27</f>
        <v>-90038.527815170586</v>
      </c>
      <c r="S28" s="249">
        <f t="shared" ref="S28" si="40">+S27-R27</f>
        <v>-89359.381632674485</v>
      </c>
      <c r="T28" s="249">
        <f t="shared" ref="T28" si="41">+T27-S27</f>
        <v>-88685.359458938241</v>
      </c>
      <c r="U28" s="249">
        <f t="shared" ref="U28" si="42">+U27-T27</f>
        <v>-88016.508398070931</v>
      </c>
      <c r="V28" s="249">
        <f t="shared" ref="V28" si="43">+V27-U27</f>
        <v>-87352.53210381791</v>
      </c>
      <c r="W28" s="249">
        <f t="shared" ref="W28" si="44">+W27-V27</f>
        <v>-86693.566664196551</v>
      </c>
      <c r="X28" s="249">
        <f t="shared" ref="X28" si="45">+X27-W27</f>
        <v>-86039.825607985258</v>
      </c>
      <c r="Y28" s="249">
        <f t="shared" ref="Y28" si="46">+Y27-X27</f>
        <v>-85390.84795258753</v>
      </c>
      <c r="Z28" s="249">
        <f t="shared" ref="Z28" si="47">+Z27-Y27</f>
        <v>-84746.766636811197</v>
      </c>
      <c r="AA28" s="249">
        <f t="shared" ref="AA28" si="48">+AA27-Z27</f>
        <v>-84107.544709475711</v>
      </c>
      <c r="AB28" s="250">
        <f t="shared" ref="AB28" si="49">+AB27-AA27</f>
        <v>-83473.22670432739</v>
      </c>
    </row>
    <row r="29" spans="1:28" ht="13.8" customHeight="1" thickBot="1" x14ac:dyDescent="0.35">
      <c r="A29" s="225" t="s">
        <v>66</v>
      </c>
      <c r="B29" s="39" t="s">
        <v>22</v>
      </c>
      <c r="C29" s="40"/>
      <c r="D29" s="40"/>
      <c r="E29" s="40"/>
      <c r="F29" s="40"/>
      <c r="G29" s="40"/>
      <c r="H29" s="40"/>
      <c r="I29" s="40"/>
      <c r="J29" s="40"/>
      <c r="K29" s="40"/>
      <c r="L29" s="40"/>
      <c r="M29" s="40"/>
      <c r="N29" s="40"/>
      <c r="O29" s="40"/>
      <c r="P29" s="277">
        <f>P28/P27</f>
        <v>-7.6000111977694547E-3</v>
      </c>
      <c r="Q29" s="277">
        <f t="shared" ref="Q29:AA29" si="50">Q28/Q27</f>
        <v>-7.6000097894665282E-3</v>
      </c>
      <c r="R29" s="277">
        <f t="shared" si="50"/>
        <v>-7.6000084843161923E-3</v>
      </c>
      <c r="S29" s="277">
        <f t="shared" si="50"/>
        <v>-7.6000072830768447E-3</v>
      </c>
      <c r="T29" s="277">
        <f t="shared" si="50"/>
        <v>-7.6000061865117577E-3</v>
      </c>
      <c r="U29" s="277">
        <f t="shared" si="50"/>
        <v>-7.6000126580448293E-3</v>
      </c>
      <c r="V29" s="277">
        <f t="shared" si="50"/>
        <v>-7.6000043105019562E-3</v>
      </c>
      <c r="W29" s="277">
        <f t="shared" si="50"/>
        <v>-7.5999960735566828E-3</v>
      </c>
      <c r="X29" s="277">
        <f t="shared" si="50"/>
        <v>-7.6000103196811409E-3</v>
      </c>
      <c r="Y29" s="277">
        <f t="shared" si="50"/>
        <v>-7.6000097563166105E-3</v>
      </c>
      <c r="Z29" s="277">
        <f t="shared" si="50"/>
        <v>-7.6000093023146139E-3</v>
      </c>
      <c r="AA29" s="277">
        <f t="shared" si="50"/>
        <v>-7.6000089584790662E-3</v>
      </c>
      <c r="AB29" s="278">
        <f>AB28/AB27</f>
        <v>-7.6000161754017689E-3</v>
      </c>
    </row>
    <row r="30" spans="1:28" ht="13.8" customHeight="1" thickBot="1" x14ac:dyDescent="0.35">
      <c r="B30" s="29"/>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1"/>
    </row>
    <row r="31" spans="1:28" ht="13.8" customHeight="1" x14ac:dyDescent="0.3"/>
    <row r="32" spans="1:28" ht="13.8" customHeight="1" thickBot="1" x14ac:dyDescent="0.35"/>
    <row r="33" spans="2:29" ht="15" thickBot="1" x14ac:dyDescent="0.35">
      <c r="B33" s="26"/>
      <c r="C33" s="27"/>
      <c r="D33" s="27"/>
      <c r="E33" s="27"/>
      <c r="F33" s="27"/>
      <c r="G33" s="27"/>
      <c r="H33" s="27"/>
      <c r="I33" s="27"/>
      <c r="J33" s="27"/>
      <c r="K33" s="27"/>
      <c r="L33" s="27"/>
      <c r="M33" s="27"/>
      <c r="N33" s="27"/>
      <c r="O33" s="27"/>
      <c r="P33" s="262"/>
      <c r="R33" s="10"/>
      <c r="S33" s="10"/>
      <c r="T33" s="10"/>
      <c r="U33" s="10"/>
      <c r="V33" s="10"/>
      <c r="W33" s="10"/>
      <c r="X33" s="10"/>
      <c r="Y33" s="10"/>
      <c r="Z33" s="10"/>
      <c r="AA33" s="10"/>
      <c r="AB33" s="10"/>
      <c r="AC33" s="10"/>
    </row>
    <row r="34" spans="2:29" ht="15" thickBot="1" x14ac:dyDescent="0.35">
      <c r="B34" s="32" t="s">
        <v>31</v>
      </c>
      <c r="C34" s="18"/>
      <c r="D34" s="18"/>
      <c r="E34" s="18"/>
      <c r="F34" s="18"/>
      <c r="G34" s="18"/>
      <c r="H34" s="18"/>
      <c r="I34" s="18"/>
      <c r="J34" s="18"/>
      <c r="K34" s="18"/>
      <c r="L34" s="18"/>
      <c r="M34" s="18"/>
      <c r="N34" s="18"/>
      <c r="O34" s="18"/>
      <c r="P34" s="263" t="s">
        <v>93</v>
      </c>
      <c r="R34" s="259" t="s">
        <v>91</v>
      </c>
    </row>
    <row r="35" spans="2:29" x14ac:dyDescent="0.3">
      <c r="B35" s="33" t="s">
        <v>2</v>
      </c>
      <c r="C35" s="264">
        <f t="shared" ref="C35:N35" si="51">+C7/C$24</f>
        <v>2.4326230329074468E-3</v>
      </c>
      <c r="D35" s="264">
        <f t="shared" si="51"/>
        <v>2.543355022036559E-3</v>
      </c>
      <c r="E35" s="264">
        <f t="shared" si="51"/>
        <v>2.6462418104899123E-3</v>
      </c>
      <c r="F35" s="264">
        <f t="shared" si="51"/>
        <v>2.6087422823836228E-3</v>
      </c>
      <c r="G35" s="264">
        <f t="shared" si="51"/>
        <v>2.5729139825565366E-3</v>
      </c>
      <c r="H35" s="264">
        <f t="shared" si="51"/>
        <v>2.5481624761630917E-3</v>
      </c>
      <c r="I35" s="264">
        <f t="shared" si="51"/>
        <v>2.5240241654343933E-3</v>
      </c>
      <c r="J35" s="264">
        <f t="shared" si="51"/>
        <v>2.4798030632483367E-3</v>
      </c>
      <c r="K35" s="264">
        <f t="shared" si="51"/>
        <v>2.4369956043996869E-3</v>
      </c>
      <c r="L35" s="264">
        <f t="shared" si="51"/>
        <v>2.4369956043996869E-3</v>
      </c>
      <c r="M35" s="264">
        <f t="shared" si="51"/>
        <v>2.4369956043996869E-3</v>
      </c>
      <c r="N35" s="264">
        <f t="shared" si="51"/>
        <v>2.289193946857458E-3</v>
      </c>
      <c r="O35" s="265">
        <f>+O7/O$24</f>
        <v>2.289193946857458E-3</v>
      </c>
      <c r="P35" s="266">
        <f>IF(R35="CONSTANTE",O35,SUM(C7:O7)/SUM($C$17:$O$17))</f>
        <v>2.289193946857458E-3</v>
      </c>
      <c r="R35" s="260" t="s">
        <v>92</v>
      </c>
      <c r="S35" s="10"/>
      <c r="T35" s="10"/>
      <c r="U35" s="10"/>
      <c r="V35" s="10"/>
      <c r="W35" s="10"/>
      <c r="X35" s="10"/>
      <c r="Y35" s="10"/>
      <c r="Z35" s="10"/>
      <c r="AA35" s="10"/>
      <c r="AB35" s="10"/>
      <c r="AC35" s="10"/>
    </row>
    <row r="36" spans="2:29" x14ac:dyDescent="0.3">
      <c r="B36" s="22" t="s">
        <v>4</v>
      </c>
      <c r="C36" s="267">
        <f t="shared" ref="C36:O36" si="52">+C8/C$24</f>
        <v>2.3755016071483386E-2</v>
      </c>
      <c r="D36" s="267">
        <f t="shared" si="52"/>
        <v>2.3951250624933172E-2</v>
      </c>
      <c r="E36" s="267">
        <f t="shared" si="52"/>
        <v>2.4133582245152562E-2</v>
      </c>
      <c r="F36" s="267">
        <f t="shared" si="52"/>
        <v>2.4328383923582893E-2</v>
      </c>
      <c r="G36" s="267">
        <f t="shared" si="52"/>
        <v>2.4514503944129233E-2</v>
      </c>
      <c r="H36" s="267">
        <f t="shared" si="52"/>
        <v>2.4177683344094394E-2</v>
      </c>
      <c r="I36" s="267">
        <f t="shared" si="52"/>
        <v>2.3849207162716563E-2</v>
      </c>
      <c r="J36" s="267">
        <f t="shared" si="52"/>
        <v>2.346503035305416E-2</v>
      </c>
      <c r="K36" s="267">
        <f t="shared" si="52"/>
        <v>2.3093134761193162E-2</v>
      </c>
      <c r="L36" s="267">
        <f t="shared" si="52"/>
        <v>2.3093134761193162E-2</v>
      </c>
      <c r="M36" s="267">
        <f t="shared" si="52"/>
        <v>2.3093134761193162E-2</v>
      </c>
      <c r="N36" s="267">
        <f t="shared" si="52"/>
        <v>2.340165658061413E-2</v>
      </c>
      <c r="O36" s="268">
        <f t="shared" si="52"/>
        <v>2.340165658061413E-2</v>
      </c>
      <c r="P36" s="269">
        <f t="shared" ref="P36:P44" si="53">IF(R36="CONSTANTE",O36,SUM(C8:O8)/SUM($C$17:$O$17))</f>
        <v>2.340165658061413E-2</v>
      </c>
      <c r="R36" s="260" t="s">
        <v>92</v>
      </c>
      <c r="S36" s="11"/>
      <c r="T36" s="11"/>
      <c r="U36" s="11"/>
      <c r="V36" s="11"/>
      <c r="W36" s="11"/>
      <c r="X36" s="11"/>
      <c r="Y36" s="11"/>
      <c r="Z36" s="11"/>
      <c r="AA36" s="11"/>
      <c r="AB36" s="11"/>
      <c r="AC36" s="11"/>
    </row>
    <row r="37" spans="2:29" x14ac:dyDescent="0.3">
      <c r="B37" s="22" t="s">
        <v>5</v>
      </c>
      <c r="C37" s="267">
        <f t="shared" ref="C37:O37" si="54">+C9/C$24</f>
        <v>0.2271477871603779</v>
      </c>
      <c r="D37" s="267">
        <f t="shared" si="54"/>
        <v>0.21988929198125545</v>
      </c>
      <c r="E37" s="267">
        <f t="shared" si="54"/>
        <v>0.21314505064812733</v>
      </c>
      <c r="F37" s="267">
        <f t="shared" si="54"/>
        <v>0.214404206663873</v>
      </c>
      <c r="G37" s="267">
        <f t="shared" si="54"/>
        <v>0.21560724631635439</v>
      </c>
      <c r="H37" s="267">
        <f t="shared" si="54"/>
        <v>0.21306682869024657</v>
      </c>
      <c r="I37" s="267">
        <f t="shared" si="54"/>
        <v>0.2105893475598094</v>
      </c>
      <c r="J37" s="267">
        <f t="shared" si="54"/>
        <v>0.2089782517816795</v>
      </c>
      <c r="K37" s="267">
        <f t="shared" si="54"/>
        <v>0.20741865889922811</v>
      </c>
      <c r="L37" s="267">
        <f t="shared" si="54"/>
        <v>0.20741865889922811</v>
      </c>
      <c r="M37" s="267">
        <f t="shared" si="54"/>
        <v>0.20741865889922811</v>
      </c>
      <c r="N37" s="267">
        <f t="shared" si="54"/>
        <v>0.21112596946566167</v>
      </c>
      <c r="O37" s="268">
        <f t="shared" si="54"/>
        <v>0.21112596946566167</v>
      </c>
      <c r="P37" s="269">
        <f t="shared" si="53"/>
        <v>0.21112596946566167</v>
      </c>
      <c r="R37" s="260" t="s">
        <v>92</v>
      </c>
      <c r="S37" s="12"/>
      <c r="T37" s="12"/>
      <c r="U37" s="12"/>
      <c r="V37" s="12"/>
      <c r="W37" s="12"/>
      <c r="X37" s="12"/>
      <c r="Y37" s="12"/>
      <c r="Z37" s="12"/>
      <c r="AA37" s="12"/>
      <c r="AB37" s="12"/>
      <c r="AC37" s="12"/>
    </row>
    <row r="38" spans="2:29" x14ac:dyDescent="0.3">
      <c r="B38" s="22" t="s">
        <v>6</v>
      </c>
      <c r="C38" s="267">
        <f t="shared" ref="C38:O38" si="55">+C10/C$24</f>
        <v>9.2334110657209256E-2</v>
      </c>
      <c r="D38" s="267">
        <f t="shared" si="55"/>
        <v>8.9134330770212655E-2</v>
      </c>
      <c r="E38" s="267">
        <f t="shared" si="55"/>
        <v>8.6161250642961873E-2</v>
      </c>
      <c r="F38" s="267">
        <f t="shared" si="55"/>
        <v>8.7463738872482766E-2</v>
      </c>
      <c r="G38" s="267">
        <f t="shared" si="55"/>
        <v>8.8708179567209638E-2</v>
      </c>
      <c r="H38" s="267">
        <f t="shared" si="55"/>
        <v>8.7501389318200076E-2</v>
      </c>
      <c r="I38" s="267">
        <f t="shared" si="55"/>
        <v>8.6324496180792062E-2</v>
      </c>
      <c r="J38" s="267">
        <f t="shared" si="55"/>
        <v>8.6347990242825412E-2</v>
      </c>
      <c r="K38" s="267">
        <f t="shared" si="55"/>
        <v>8.6370733255639709E-2</v>
      </c>
      <c r="L38" s="267">
        <f t="shared" si="55"/>
        <v>8.6370733255639709E-2</v>
      </c>
      <c r="M38" s="267">
        <f t="shared" si="55"/>
        <v>8.6370733255639709E-2</v>
      </c>
      <c r="N38" s="267">
        <f t="shared" si="55"/>
        <v>8.648804741913739E-2</v>
      </c>
      <c r="O38" s="268">
        <f t="shared" si="55"/>
        <v>8.648804741913739E-2</v>
      </c>
      <c r="P38" s="269">
        <f t="shared" si="53"/>
        <v>8.648804741913739E-2</v>
      </c>
      <c r="R38" s="260" t="s">
        <v>92</v>
      </c>
    </row>
    <row r="39" spans="2:29" x14ac:dyDescent="0.3">
      <c r="B39" s="22" t="s">
        <v>7</v>
      </c>
      <c r="C39" s="267">
        <f t="shared" ref="C39:O39" si="56">+C11/C$24</f>
        <v>6.3588111093525565E-2</v>
      </c>
      <c r="D39" s="267">
        <f t="shared" si="56"/>
        <v>6.1744149903918438E-2</v>
      </c>
      <c r="E39" s="267">
        <f t="shared" si="56"/>
        <v>6.0030830687643082E-2</v>
      </c>
      <c r="F39" s="267">
        <f t="shared" si="56"/>
        <v>5.9663932166783604E-2</v>
      </c>
      <c r="G39" s="267">
        <f t="shared" si="56"/>
        <v>5.9313385083252061E-2</v>
      </c>
      <c r="H39" s="267">
        <f t="shared" si="56"/>
        <v>5.8751092062324067E-2</v>
      </c>
      <c r="I39" s="267">
        <f t="shared" si="56"/>
        <v>5.8202729330618444E-2</v>
      </c>
      <c r="J39" s="267">
        <f t="shared" si="56"/>
        <v>6.0056897319162861E-2</v>
      </c>
      <c r="K39" s="267">
        <f t="shared" si="56"/>
        <v>6.1851791972266389E-2</v>
      </c>
      <c r="L39" s="267">
        <f t="shared" si="56"/>
        <v>6.1851791972266389E-2</v>
      </c>
      <c r="M39" s="267">
        <f t="shared" si="56"/>
        <v>6.1851791972266389E-2</v>
      </c>
      <c r="N39" s="267">
        <f t="shared" si="56"/>
        <v>6.2977429571819163E-2</v>
      </c>
      <c r="O39" s="268">
        <f t="shared" si="56"/>
        <v>6.2977429571819163E-2</v>
      </c>
      <c r="P39" s="269">
        <f t="shared" si="53"/>
        <v>6.2977429571819163E-2</v>
      </c>
      <c r="R39" s="260" t="s">
        <v>92</v>
      </c>
    </row>
    <row r="40" spans="2:29" x14ac:dyDescent="0.3">
      <c r="B40" s="22" t="s">
        <v>8</v>
      </c>
      <c r="C40" s="267">
        <f t="shared" ref="C40:O40" si="57">+C12/C$24</f>
        <v>0.4653058219229762</v>
      </c>
      <c r="D40" s="267">
        <f t="shared" si="57"/>
        <v>0.48130280312303436</v>
      </c>
      <c r="E40" s="267">
        <f t="shared" si="57"/>
        <v>0.49616642142852307</v>
      </c>
      <c r="F40" s="267">
        <f t="shared" si="57"/>
        <v>0.49522028924095529</v>
      </c>
      <c r="G40" s="267">
        <f t="shared" si="57"/>
        <v>0.4943163229938024</v>
      </c>
      <c r="H40" s="267">
        <f t="shared" si="57"/>
        <v>0.49368476761899899</v>
      </c>
      <c r="I40" s="267">
        <f t="shared" si="57"/>
        <v>0.49306885844413662</v>
      </c>
      <c r="J40" s="267">
        <f t="shared" si="57"/>
        <v>0.49591922153975609</v>
      </c>
      <c r="K40" s="267">
        <f t="shared" si="57"/>
        <v>0.4986784653145056</v>
      </c>
      <c r="L40" s="267">
        <f t="shared" si="57"/>
        <v>0.4986784653145056</v>
      </c>
      <c r="M40" s="267">
        <f t="shared" si="57"/>
        <v>0.4986784653145056</v>
      </c>
      <c r="N40" s="267">
        <f t="shared" si="57"/>
        <v>0.49173296262997912</v>
      </c>
      <c r="O40" s="268">
        <f t="shared" si="57"/>
        <v>0.49173296262997912</v>
      </c>
      <c r="P40" s="269">
        <f t="shared" si="53"/>
        <v>0.49173296262997912</v>
      </c>
      <c r="R40" s="260" t="s">
        <v>92</v>
      </c>
    </row>
    <row r="41" spans="2:29" x14ac:dyDescent="0.3">
      <c r="B41" s="22" t="s">
        <v>9</v>
      </c>
      <c r="C41" s="267">
        <f t="shared" ref="C41:O41" si="58">+C13/C$24</f>
        <v>5.1552246317857119E-2</v>
      </c>
      <c r="D41" s="267">
        <f t="shared" si="58"/>
        <v>5.002642056771197E-2</v>
      </c>
      <c r="E41" s="267">
        <f t="shared" si="58"/>
        <v>4.8608697356862587E-2</v>
      </c>
      <c r="F41" s="267">
        <f t="shared" si="58"/>
        <v>4.8241610984137144E-2</v>
      </c>
      <c r="G41" s="267">
        <f t="shared" si="58"/>
        <v>4.7890884420667683E-2</v>
      </c>
      <c r="H41" s="267">
        <f t="shared" si="58"/>
        <v>4.6408924561252819E-2</v>
      </c>
      <c r="I41" s="267">
        <f t="shared" si="58"/>
        <v>4.496367888588302E-2</v>
      </c>
      <c r="J41" s="267">
        <f t="shared" si="58"/>
        <v>4.4111486269573723E-2</v>
      </c>
      <c r="K41" s="267">
        <f t="shared" si="58"/>
        <v>4.328653622196306E-2</v>
      </c>
      <c r="L41" s="267">
        <f t="shared" si="58"/>
        <v>4.328653622196306E-2</v>
      </c>
      <c r="M41" s="267">
        <f t="shared" si="58"/>
        <v>4.328653622196306E-2</v>
      </c>
      <c r="N41" s="267">
        <f t="shared" si="58"/>
        <v>4.0375605771757209E-2</v>
      </c>
      <c r="O41" s="268">
        <f t="shared" si="58"/>
        <v>4.0375605771757209E-2</v>
      </c>
      <c r="P41" s="269">
        <f t="shared" si="53"/>
        <v>4.0375605771757209E-2</v>
      </c>
      <c r="R41" s="260" t="s">
        <v>92</v>
      </c>
    </row>
    <row r="42" spans="2:29" x14ac:dyDescent="0.3">
      <c r="B42" s="22" t="s">
        <v>10</v>
      </c>
      <c r="C42" s="267">
        <f t="shared" ref="C42:O42" si="59">+C14/C$24</f>
        <v>1.2803110115024946E-2</v>
      </c>
      <c r="D42" s="267">
        <f t="shared" si="59"/>
        <v>1.2398360088821232E-2</v>
      </c>
      <c r="E42" s="267">
        <f t="shared" si="59"/>
        <v>1.202228601438232E-2</v>
      </c>
      <c r="F42" s="267">
        <f t="shared" si="59"/>
        <v>1.1466848526138449E-2</v>
      </c>
      <c r="G42" s="267">
        <f t="shared" si="59"/>
        <v>1.0936165025066155E-2</v>
      </c>
      <c r="H42" s="267">
        <f t="shared" si="59"/>
        <v>1.135257566458908E-2</v>
      </c>
      <c r="I42" s="267">
        <f t="shared" si="59"/>
        <v>1.1758670115882842E-2</v>
      </c>
      <c r="J42" s="267">
        <f t="shared" si="59"/>
        <v>1.1514736815220323E-2</v>
      </c>
      <c r="K42" s="267">
        <f t="shared" si="59"/>
        <v>1.1278601481324944E-2</v>
      </c>
      <c r="L42" s="267">
        <f t="shared" si="59"/>
        <v>1.1278601481324944E-2</v>
      </c>
      <c r="M42" s="267">
        <f t="shared" si="59"/>
        <v>1.1278601481324944E-2</v>
      </c>
      <c r="N42" s="267">
        <f t="shared" si="59"/>
        <v>1.6467925681364685E-2</v>
      </c>
      <c r="O42" s="268">
        <f t="shared" si="59"/>
        <v>1.6467925681364685E-2</v>
      </c>
      <c r="P42" s="269">
        <f t="shared" si="53"/>
        <v>1.6467925681364685E-2</v>
      </c>
      <c r="R42" s="260" t="s">
        <v>92</v>
      </c>
    </row>
    <row r="43" spans="2:29" x14ac:dyDescent="0.3">
      <c r="B43" s="22" t="s">
        <v>11</v>
      </c>
      <c r="C43" s="267">
        <f t="shared" ref="C43:O43" si="60">+C15/C$24</f>
        <v>5.3540414951237111E-2</v>
      </c>
      <c r="D43" s="267">
        <f t="shared" si="60"/>
        <v>5.1746215405843426E-2</v>
      </c>
      <c r="E43" s="267">
        <f t="shared" si="60"/>
        <v>5.0079132293529935E-2</v>
      </c>
      <c r="F43" s="267">
        <f t="shared" si="60"/>
        <v>4.9755427079547346E-2</v>
      </c>
      <c r="G43" s="267">
        <f t="shared" si="60"/>
        <v>4.9446148321977738E-2</v>
      </c>
      <c r="H43" s="267">
        <f t="shared" si="60"/>
        <v>4.9975613424055293E-2</v>
      </c>
      <c r="I43" s="267">
        <f t="shared" si="60"/>
        <v>5.0491961518219532E-2</v>
      </c>
      <c r="J43" s="267">
        <f t="shared" si="60"/>
        <v>5.00222985072502E-2</v>
      </c>
      <c r="K43" s="267">
        <f t="shared" si="60"/>
        <v>4.9567649504377961E-2</v>
      </c>
      <c r="L43" s="267">
        <f t="shared" si="60"/>
        <v>4.9567649504377961E-2</v>
      </c>
      <c r="M43" s="267">
        <f t="shared" si="60"/>
        <v>4.9567649504377961E-2</v>
      </c>
      <c r="N43" s="267">
        <f t="shared" si="60"/>
        <v>4.5808558915894158E-2</v>
      </c>
      <c r="O43" s="268">
        <f t="shared" si="60"/>
        <v>4.5808558915894158E-2</v>
      </c>
      <c r="P43" s="269">
        <f t="shared" si="53"/>
        <v>4.5808558915894158E-2</v>
      </c>
      <c r="R43" s="260" t="s">
        <v>92</v>
      </c>
    </row>
    <row r="44" spans="2:29" ht="15" thickBot="1" x14ac:dyDescent="0.35">
      <c r="B44" s="22" t="s">
        <v>12</v>
      </c>
      <c r="C44" s="267">
        <f t="shared" ref="C44:O44" si="61">+C16/C$24</f>
        <v>7.5407586774012946E-3</v>
      </c>
      <c r="D44" s="267">
        <f t="shared" si="61"/>
        <v>7.2638225122327307E-3</v>
      </c>
      <c r="E44" s="267">
        <f t="shared" si="61"/>
        <v>7.0065068723270995E-3</v>
      </c>
      <c r="F44" s="267">
        <f t="shared" si="61"/>
        <v>6.8468202601160467E-3</v>
      </c>
      <c r="G44" s="267">
        <f t="shared" si="61"/>
        <v>6.6942503449839803E-3</v>
      </c>
      <c r="H44" s="267">
        <f t="shared" si="61"/>
        <v>1.2532962840075632E-2</v>
      </c>
      <c r="I44" s="267">
        <f t="shared" si="61"/>
        <v>1.8227026636507E-2</v>
      </c>
      <c r="J44" s="267">
        <f t="shared" si="61"/>
        <v>1.7104284108229444E-2</v>
      </c>
      <c r="K44" s="267">
        <f t="shared" si="61"/>
        <v>1.6017432985101519E-2</v>
      </c>
      <c r="L44" s="267">
        <f t="shared" si="61"/>
        <v>1.6017432985101519E-2</v>
      </c>
      <c r="M44" s="267">
        <f t="shared" si="61"/>
        <v>1.6017432985101519E-2</v>
      </c>
      <c r="N44" s="267">
        <f t="shared" si="61"/>
        <v>1.9332650016915018E-2</v>
      </c>
      <c r="O44" s="268">
        <f t="shared" si="61"/>
        <v>1.9332650016915018E-2</v>
      </c>
      <c r="P44" s="269">
        <f t="shared" si="53"/>
        <v>1.9332650016915018E-2</v>
      </c>
      <c r="R44" s="261" t="s">
        <v>92</v>
      </c>
    </row>
    <row r="45" spans="2:29" ht="15" thickBot="1" x14ac:dyDescent="0.35">
      <c r="B45" s="35" t="s">
        <v>17</v>
      </c>
      <c r="C45" s="270">
        <f>+SUM(C35:C44)</f>
        <v>1.0000000000000002</v>
      </c>
      <c r="D45" s="270">
        <f t="shared" ref="D45" si="62">+SUM(D35:D44)</f>
        <v>0.99999999999999989</v>
      </c>
      <c r="E45" s="270">
        <f t="shared" ref="E45" si="63">+SUM(E35:E44)</f>
        <v>0.99999999999999956</v>
      </c>
      <c r="F45" s="270">
        <f t="shared" ref="F45" si="64">+SUM(F35:F44)</f>
        <v>1.0000000000000002</v>
      </c>
      <c r="G45" s="270">
        <f t="shared" ref="G45" si="65">+SUM(G35:G44)</f>
        <v>0.99999999999999967</v>
      </c>
      <c r="H45" s="270">
        <f t="shared" ref="H45" si="66">+SUM(H35:H44)</f>
        <v>0.99999999999999989</v>
      </c>
      <c r="I45" s="270">
        <f t="shared" ref="I45" si="67">+SUM(I35:I44)</f>
        <v>0.99999999999999989</v>
      </c>
      <c r="J45" s="270">
        <f t="shared" ref="J45" si="68">+SUM(J35:J44)</f>
        <v>1</v>
      </c>
      <c r="K45" s="270">
        <f t="shared" ref="K45" si="69">+SUM(K35:K44)</f>
        <v>1.0000000000000002</v>
      </c>
      <c r="L45" s="270">
        <f t="shared" ref="L45" si="70">+SUM(L35:L44)</f>
        <v>1.0000000000000002</v>
      </c>
      <c r="M45" s="270">
        <f t="shared" ref="M45" si="71">+SUM(M35:M44)</f>
        <v>1.0000000000000002</v>
      </c>
      <c r="N45" s="270">
        <f t="shared" ref="N45" si="72">+SUM(N35:N44)</f>
        <v>1</v>
      </c>
      <c r="O45" s="271">
        <f t="shared" ref="O45:P45" si="73">+SUM(O35:O44)</f>
        <v>1</v>
      </c>
      <c r="P45" s="272">
        <f t="shared" si="73"/>
        <v>1</v>
      </c>
    </row>
    <row r="46" spans="2:29" ht="15" thickBot="1" x14ac:dyDescent="0.35">
      <c r="B46" s="29"/>
      <c r="C46" s="30"/>
      <c r="D46" s="30"/>
      <c r="E46" s="30"/>
      <c r="F46" s="30"/>
      <c r="G46" s="30"/>
      <c r="H46" s="30"/>
      <c r="I46" s="30"/>
      <c r="J46" s="30"/>
      <c r="K46" s="30"/>
      <c r="L46" s="30"/>
      <c r="M46" s="30"/>
      <c r="N46" s="30"/>
      <c r="O46" s="30"/>
      <c r="P46" s="31"/>
    </row>
  </sheetData>
  <mergeCells count="1">
    <mergeCell ref="A7:A17"/>
  </mergeCells>
  <dataValidations count="1">
    <dataValidation type="list" allowBlank="1" showInputMessage="1" showErrorMessage="1" sqref="R35:R44" xr:uid="{410D2328-342D-409E-AAD2-833FDFD8CAA9}">
      <formula1>"CONSTANTE, PROMEDIO"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1F55-1F2E-46D2-9381-D0ED3A144BD5}">
  <sheetPr>
    <tabColor theme="6"/>
  </sheetPr>
  <dimension ref="A1:AD59"/>
  <sheetViews>
    <sheetView topLeftCell="C1" zoomScaleNormal="100" workbookViewId="0">
      <pane ySplit="1" topLeftCell="A2" activePane="bottomLeft" state="frozen"/>
      <selection pane="bottomLeft" activeCell="P1" sqref="P1"/>
    </sheetView>
  </sheetViews>
  <sheetFormatPr baseColWidth="10" defaultColWidth="11.44140625" defaultRowHeight="14.4" x14ac:dyDescent="0.3"/>
  <cols>
    <col min="1" max="1" width="29.6640625" customWidth="1"/>
    <col min="2" max="2" width="32.21875" customWidth="1"/>
  </cols>
  <sheetData>
    <row r="1" spans="1:30" x14ac:dyDescent="0.3">
      <c r="A1" s="121" t="s">
        <v>0</v>
      </c>
      <c r="B1" s="122" t="s">
        <v>1</v>
      </c>
      <c r="C1" s="123">
        <v>2010</v>
      </c>
      <c r="D1" s="123">
        <v>2011</v>
      </c>
      <c r="E1" s="123">
        <v>2012</v>
      </c>
      <c r="F1" s="123">
        <v>2013</v>
      </c>
      <c r="G1" s="123">
        <v>2014</v>
      </c>
      <c r="H1" s="123">
        <v>2015</v>
      </c>
      <c r="I1" s="123">
        <v>2016</v>
      </c>
      <c r="J1" s="123">
        <v>2017</v>
      </c>
      <c r="K1" s="123">
        <v>2018</v>
      </c>
      <c r="L1" s="123">
        <v>2019</v>
      </c>
      <c r="M1" s="123">
        <v>2020</v>
      </c>
      <c r="N1" s="123">
        <v>2021</v>
      </c>
      <c r="O1" s="123">
        <v>2022</v>
      </c>
      <c r="P1" s="123">
        <v>2023</v>
      </c>
      <c r="Q1" s="123">
        <v>2024</v>
      </c>
      <c r="R1" s="123">
        <v>2025</v>
      </c>
      <c r="S1" s="123">
        <v>2026</v>
      </c>
      <c r="T1" s="123">
        <v>2027</v>
      </c>
      <c r="U1" s="123">
        <v>2028</v>
      </c>
      <c r="V1" s="123">
        <v>2029</v>
      </c>
      <c r="W1" s="123">
        <v>2030</v>
      </c>
      <c r="X1" s="123">
        <v>2031</v>
      </c>
      <c r="Y1" s="123">
        <v>2032</v>
      </c>
      <c r="Z1" s="123">
        <v>2033</v>
      </c>
      <c r="AA1" s="123">
        <v>2034</v>
      </c>
      <c r="AB1" s="123">
        <v>2035</v>
      </c>
      <c r="AD1" s="259" t="s">
        <v>91</v>
      </c>
    </row>
    <row r="2" spans="1:30" x14ac:dyDescent="0.3">
      <c r="A2" s="114" t="s">
        <v>3</v>
      </c>
      <c r="B2" s="115" t="s">
        <v>18</v>
      </c>
      <c r="C2" s="116">
        <v>12650.5</v>
      </c>
      <c r="D2" s="116">
        <f>+(C2+E2)/2</f>
        <v>12650.5</v>
      </c>
      <c r="E2" s="116">
        <v>12650.5</v>
      </c>
      <c r="F2" s="116">
        <f>+(E2+G2)/2</f>
        <v>12650.5</v>
      </c>
      <c r="G2" s="116">
        <v>12650.5</v>
      </c>
      <c r="H2" s="116">
        <f>+(G2+I2)/2</f>
        <v>8941.5</v>
      </c>
      <c r="I2" s="116">
        <v>5232.5</v>
      </c>
      <c r="J2" s="116">
        <f>+(I2+K2)/2</f>
        <v>7404.86</v>
      </c>
      <c r="K2" s="116">
        <v>9577.2199999999993</v>
      </c>
      <c r="L2" s="116">
        <v>367.7</v>
      </c>
      <c r="M2" s="116">
        <v>367.7</v>
      </c>
      <c r="N2" s="116">
        <v>2315.79</v>
      </c>
      <c r="O2" s="116">
        <v>2315.79</v>
      </c>
      <c r="P2" s="241">
        <f>IF(AD2="CONSTANTE",O2,AVERAGE(C2:O2))</f>
        <v>2315.79</v>
      </c>
      <c r="Q2" s="241">
        <f>+P2</f>
        <v>2315.79</v>
      </c>
      <c r="R2" s="241">
        <f t="shared" ref="R2:AB2" si="0">+Q2</f>
        <v>2315.79</v>
      </c>
      <c r="S2" s="241">
        <f t="shared" si="0"/>
        <v>2315.79</v>
      </c>
      <c r="T2" s="241">
        <f t="shared" si="0"/>
        <v>2315.79</v>
      </c>
      <c r="U2" s="241">
        <f t="shared" si="0"/>
        <v>2315.79</v>
      </c>
      <c r="V2" s="241">
        <f t="shared" si="0"/>
        <v>2315.79</v>
      </c>
      <c r="W2" s="241">
        <f t="shared" si="0"/>
        <v>2315.79</v>
      </c>
      <c r="X2" s="241">
        <f t="shared" si="0"/>
        <v>2315.79</v>
      </c>
      <c r="Y2" s="241">
        <f t="shared" si="0"/>
        <v>2315.79</v>
      </c>
      <c r="Z2" s="241">
        <f t="shared" si="0"/>
        <v>2315.79</v>
      </c>
      <c r="AA2" s="241">
        <f t="shared" si="0"/>
        <v>2315.79</v>
      </c>
      <c r="AB2" s="242">
        <f t="shared" si="0"/>
        <v>2315.79</v>
      </c>
      <c r="AD2" s="260" t="s">
        <v>92</v>
      </c>
    </row>
    <row r="3" spans="1:30" x14ac:dyDescent="0.3">
      <c r="A3" s="114" t="s">
        <v>15</v>
      </c>
      <c r="B3" s="115" t="s">
        <v>18</v>
      </c>
      <c r="C3" s="116">
        <v>1811.66</v>
      </c>
      <c r="D3" s="116">
        <f t="shared" ref="D3:F6" si="1">+(C3+E3)/2</f>
        <v>1811.66</v>
      </c>
      <c r="E3" s="116">
        <v>1811.66</v>
      </c>
      <c r="F3" s="116">
        <f t="shared" si="1"/>
        <v>1811.66</v>
      </c>
      <c r="G3" s="116">
        <v>1811.66</v>
      </c>
      <c r="H3" s="116">
        <f t="shared" ref="H3" si="2">+(G3+I3)/2</f>
        <v>2469.83</v>
      </c>
      <c r="I3" s="116">
        <v>3128</v>
      </c>
      <c r="J3" s="116">
        <f t="shared" ref="J3" si="3">+(I3+K3)/2</f>
        <v>2948.5150000000003</v>
      </c>
      <c r="K3" s="116">
        <v>2769.03</v>
      </c>
      <c r="L3" s="116">
        <v>70.83</v>
      </c>
      <c r="M3" s="116">
        <v>70.83</v>
      </c>
      <c r="N3" s="116">
        <v>56.52</v>
      </c>
      <c r="O3" s="116">
        <v>56.52</v>
      </c>
      <c r="P3" s="241">
        <f t="shared" ref="P3:P6" si="4">IF(AD3="CONSTANTE",O3,AVERAGE(C3:O3))</f>
        <v>56.52</v>
      </c>
      <c r="Q3" s="241">
        <f t="shared" ref="Q3:Q6" si="5">+P3</f>
        <v>56.52</v>
      </c>
      <c r="R3" s="241">
        <f t="shared" ref="R3:AB3" si="6">+Q3</f>
        <v>56.52</v>
      </c>
      <c r="S3" s="241">
        <f t="shared" si="6"/>
        <v>56.52</v>
      </c>
      <c r="T3" s="241">
        <f t="shared" si="6"/>
        <v>56.52</v>
      </c>
      <c r="U3" s="241">
        <f t="shared" si="6"/>
        <v>56.52</v>
      </c>
      <c r="V3" s="241">
        <f t="shared" si="6"/>
        <v>56.52</v>
      </c>
      <c r="W3" s="241">
        <f t="shared" si="6"/>
        <v>56.52</v>
      </c>
      <c r="X3" s="241">
        <f t="shared" si="6"/>
        <v>56.52</v>
      </c>
      <c r="Y3" s="241">
        <f t="shared" si="6"/>
        <v>56.52</v>
      </c>
      <c r="Z3" s="241">
        <f t="shared" si="6"/>
        <v>56.52</v>
      </c>
      <c r="AA3" s="241">
        <f t="shared" si="6"/>
        <v>56.52</v>
      </c>
      <c r="AB3" s="242">
        <f t="shared" si="6"/>
        <v>56.52</v>
      </c>
      <c r="AD3" s="260" t="s">
        <v>92</v>
      </c>
    </row>
    <row r="4" spans="1:30" x14ac:dyDescent="0.3">
      <c r="A4" s="114" t="s">
        <v>16</v>
      </c>
      <c r="B4" s="115" t="s">
        <v>18</v>
      </c>
      <c r="C4" s="116">
        <v>37.159999999999997</v>
      </c>
      <c r="D4" s="116">
        <f t="shared" si="1"/>
        <v>37.159999999999997</v>
      </c>
      <c r="E4" s="116">
        <v>37.159999999999997</v>
      </c>
      <c r="F4" s="116">
        <f t="shared" si="1"/>
        <v>37.159999999999997</v>
      </c>
      <c r="G4" s="116">
        <v>37.159999999999997</v>
      </c>
      <c r="H4" s="116">
        <f t="shared" ref="H4" si="7">+(G4+I4)/2</f>
        <v>39.33</v>
      </c>
      <c r="I4" s="116">
        <v>41.5</v>
      </c>
      <c r="J4" s="116">
        <f t="shared" ref="J4" si="8">+(I4+K4)/2</f>
        <v>41.16</v>
      </c>
      <c r="K4" s="116">
        <v>40.82</v>
      </c>
      <c r="L4" s="116">
        <v>0.99</v>
      </c>
      <c r="M4" s="116">
        <v>0.99</v>
      </c>
      <c r="N4" s="116">
        <v>12.15</v>
      </c>
      <c r="O4" s="116">
        <v>12.15</v>
      </c>
      <c r="P4" s="241">
        <f t="shared" si="4"/>
        <v>12.15</v>
      </c>
      <c r="Q4" s="241">
        <f t="shared" si="5"/>
        <v>12.15</v>
      </c>
      <c r="R4" s="241">
        <f t="shared" ref="R4:AB4" si="9">+Q4</f>
        <v>12.15</v>
      </c>
      <c r="S4" s="241">
        <f t="shared" si="9"/>
        <v>12.15</v>
      </c>
      <c r="T4" s="241">
        <f t="shared" si="9"/>
        <v>12.15</v>
      </c>
      <c r="U4" s="241">
        <f t="shared" si="9"/>
        <v>12.15</v>
      </c>
      <c r="V4" s="241">
        <f t="shared" si="9"/>
        <v>12.15</v>
      </c>
      <c r="W4" s="241">
        <f t="shared" si="9"/>
        <v>12.15</v>
      </c>
      <c r="X4" s="241">
        <f t="shared" si="9"/>
        <v>12.15</v>
      </c>
      <c r="Y4" s="241">
        <f t="shared" si="9"/>
        <v>12.15</v>
      </c>
      <c r="Z4" s="241">
        <f t="shared" si="9"/>
        <v>12.15</v>
      </c>
      <c r="AA4" s="241">
        <f t="shared" si="9"/>
        <v>12.15</v>
      </c>
      <c r="AB4" s="242">
        <f t="shared" si="9"/>
        <v>12.15</v>
      </c>
      <c r="AD4" s="260" t="s">
        <v>92</v>
      </c>
    </row>
    <row r="5" spans="1:30" x14ac:dyDescent="0.3">
      <c r="A5" s="117" t="s">
        <v>13</v>
      </c>
      <c r="B5" s="115" t="s">
        <v>18</v>
      </c>
      <c r="C5" s="116">
        <v>0</v>
      </c>
      <c r="D5" s="116">
        <f t="shared" si="1"/>
        <v>0</v>
      </c>
      <c r="E5" s="116">
        <v>0</v>
      </c>
      <c r="F5" s="116">
        <f t="shared" si="1"/>
        <v>0</v>
      </c>
      <c r="G5" s="116">
        <v>0</v>
      </c>
      <c r="H5" s="116">
        <f t="shared" ref="H5" si="10">+(G5+I5)/2</f>
        <v>0</v>
      </c>
      <c r="I5" s="116">
        <v>0</v>
      </c>
      <c r="J5" s="116">
        <f t="shared" ref="J5" si="11">+(I5+K5)/2</f>
        <v>0</v>
      </c>
      <c r="K5" s="116">
        <v>0</v>
      </c>
      <c r="L5" s="116">
        <v>0</v>
      </c>
      <c r="M5" s="116">
        <v>0</v>
      </c>
      <c r="N5" s="116">
        <v>0</v>
      </c>
      <c r="O5" s="116">
        <v>0</v>
      </c>
      <c r="P5" s="241">
        <f t="shared" si="4"/>
        <v>0</v>
      </c>
      <c r="Q5" s="241">
        <f t="shared" si="5"/>
        <v>0</v>
      </c>
      <c r="R5" s="241">
        <f t="shared" ref="R5:AB5" si="12">+Q5</f>
        <v>0</v>
      </c>
      <c r="S5" s="241">
        <f t="shared" si="12"/>
        <v>0</v>
      </c>
      <c r="T5" s="241">
        <f t="shared" si="12"/>
        <v>0</v>
      </c>
      <c r="U5" s="241">
        <f t="shared" si="12"/>
        <v>0</v>
      </c>
      <c r="V5" s="241">
        <f t="shared" si="12"/>
        <v>0</v>
      </c>
      <c r="W5" s="241">
        <f t="shared" si="12"/>
        <v>0</v>
      </c>
      <c r="X5" s="241">
        <f t="shared" si="12"/>
        <v>0</v>
      </c>
      <c r="Y5" s="241">
        <f t="shared" si="12"/>
        <v>0</v>
      </c>
      <c r="Z5" s="241">
        <f t="shared" si="12"/>
        <v>0</v>
      </c>
      <c r="AA5" s="241">
        <f t="shared" si="12"/>
        <v>0</v>
      </c>
      <c r="AB5" s="242">
        <f t="shared" si="12"/>
        <v>0</v>
      </c>
      <c r="AD5" s="260" t="s">
        <v>92</v>
      </c>
    </row>
    <row r="6" spans="1:30" ht="15" thickBot="1" x14ac:dyDescent="0.35">
      <c r="A6" s="118" t="s">
        <v>14</v>
      </c>
      <c r="B6" s="119" t="s">
        <v>18</v>
      </c>
      <c r="C6" s="120">
        <v>7.83</v>
      </c>
      <c r="D6" s="120">
        <f t="shared" si="1"/>
        <v>7.83</v>
      </c>
      <c r="E6" s="120">
        <v>7.83</v>
      </c>
      <c r="F6" s="120">
        <f t="shared" si="1"/>
        <v>7.83</v>
      </c>
      <c r="G6" s="120">
        <v>7.83</v>
      </c>
      <c r="H6" s="120">
        <f t="shared" ref="H6" si="13">+(G6+I6)/2</f>
        <v>15.414999999999999</v>
      </c>
      <c r="I6" s="120">
        <v>23</v>
      </c>
      <c r="J6" s="120">
        <f t="shared" ref="J6" si="14">+(I6+K6)/2</f>
        <v>62.755000000000003</v>
      </c>
      <c r="K6" s="120">
        <v>102.51</v>
      </c>
      <c r="L6" s="120">
        <v>2.34</v>
      </c>
      <c r="M6" s="120">
        <v>2.34</v>
      </c>
      <c r="N6" s="120">
        <v>38.21</v>
      </c>
      <c r="O6" s="120">
        <v>38.21</v>
      </c>
      <c r="P6" s="243">
        <f t="shared" si="4"/>
        <v>38.21</v>
      </c>
      <c r="Q6" s="243">
        <f t="shared" si="5"/>
        <v>38.21</v>
      </c>
      <c r="R6" s="243">
        <f t="shared" ref="R6:AB6" si="15">+Q6</f>
        <v>38.21</v>
      </c>
      <c r="S6" s="243">
        <f t="shared" si="15"/>
        <v>38.21</v>
      </c>
      <c r="T6" s="243">
        <f t="shared" si="15"/>
        <v>38.21</v>
      </c>
      <c r="U6" s="243">
        <f t="shared" si="15"/>
        <v>38.21</v>
      </c>
      <c r="V6" s="243">
        <f t="shared" si="15"/>
        <v>38.21</v>
      </c>
      <c r="W6" s="243">
        <f t="shared" si="15"/>
        <v>38.21</v>
      </c>
      <c r="X6" s="243">
        <f t="shared" si="15"/>
        <v>38.21</v>
      </c>
      <c r="Y6" s="243">
        <f t="shared" si="15"/>
        <v>38.21</v>
      </c>
      <c r="Z6" s="243">
        <f t="shared" si="15"/>
        <v>38.21</v>
      </c>
      <c r="AA6" s="243">
        <f t="shared" si="15"/>
        <v>38.21</v>
      </c>
      <c r="AB6" s="244">
        <f t="shared" si="15"/>
        <v>38.21</v>
      </c>
      <c r="AD6" s="261" t="s">
        <v>92</v>
      </c>
    </row>
    <row r="8" spans="1:30" x14ac:dyDescent="0.3">
      <c r="A8" s="124" t="s">
        <v>59</v>
      </c>
    </row>
    <row r="9" spans="1:30" ht="15" thickBot="1" x14ac:dyDescent="0.35">
      <c r="A9" s="111" t="s">
        <v>62</v>
      </c>
      <c r="B9" s="112"/>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row>
    <row r="10" spans="1:30" x14ac:dyDescent="0.3">
      <c r="A10" s="101" t="s">
        <v>3</v>
      </c>
      <c r="B10" s="102" t="s">
        <v>2</v>
      </c>
      <c r="C10" s="103">
        <f>+C$2*COBERTURA_BOSQUE!C35</f>
        <v>30.773897677795656</v>
      </c>
      <c r="D10" s="103">
        <f>+D$2*COBERTURA_BOSQUE!D35</f>
        <v>32.174712706273489</v>
      </c>
      <c r="E10" s="103">
        <f>+E$2*COBERTURA_BOSQUE!E35</f>
        <v>33.476282023602636</v>
      </c>
      <c r="F10" s="103">
        <f>+F$2*COBERTURA_BOSQUE!F35</f>
        <v>33.001894243294018</v>
      </c>
      <c r="G10" s="103">
        <f>+G$2*COBERTURA_BOSQUE!G35</f>
        <v>32.548648336331468</v>
      </c>
      <c r="H10" s="103">
        <f>+H$2*COBERTURA_BOSQUE!H35</f>
        <v>22.784394780612285</v>
      </c>
      <c r="I10" s="103">
        <f>+I$2*COBERTURA_BOSQUE!I35</f>
        <v>13.206956445635463</v>
      </c>
      <c r="J10" s="103">
        <f>+J$2*COBERTURA_BOSQUE!J35</f>
        <v>18.362594510925078</v>
      </c>
      <c r="K10" s="103">
        <f>+K$2*COBERTURA_BOSQUE!K35</f>
        <v>23.339643042368767</v>
      </c>
      <c r="L10" s="103">
        <f>+L$2*COBERTURA_BOSQUE!L35</f>
        <v>0.89608328373776491</v>
      </c>
      <c r="M10" s="103">
        <f>+M$2*COBERTURA_BOSQUE!M35</f>
        <v>0.89608328373776491</v>
      </c>
      <c r="N10" s="103">
        <f>+N$2*COBERTURA_BOSQUE!N35</f>
        <v>5.3012924501930323</v>
      </c>
      <c r="O10" s="103">
        <f>+O$2*COBERTURA_BOSQUE!P35</f>
        <v>5.3012924501930323</v>
      </c>
      <c r="P10" s="233">
        <f>+P$2*COBERTURA_BOSQUE!$P35</f>
        <v>5.3012924501930323</v>
      </c>
      <c r="Q10" s="233">
        <f>+Q$2*COBERTURA_BOSQUE!$P35</f>
        <v>5.3012924501930323</v>
      </c>
      <c r="R10" s="233">
        <f>+R$2*COBERTURA_BOSQUE!$P35</f>
        <v>5.3012924501930323</v>
      </c>
      <c r="S10" s="233">
        <f>+S$2*COBERTURA_BOSQUE!$P35</f>
        <v>5.3012924501930323</v>
      </c>
      <c r="T10" s="233">
        <f>+T$2*COBERTURA_BOSQUE!$P35</f>
        <v>5.3012924501930323</v>
      </c>
      <c r="U10" s="233">
        <f>+U$2*COBERTURA_BOSQUE!$P35</f>
        <v>5.3012924501930323</v>
      </c>
      <c r="V10" s="233">
        <f>+V$2*COBERTURA_BOSQUE!$P35</f>
        <v>5.3012924501930323</v>
      </c>
      <c r="W10" s="233">
        <f>+W$2*COBERTURA_BOSQUE!$P35</f>
        <v>5.3012924501930323</v>
      </c>
      <c r="X10" s="233">
        <f>+X$2*COBERTURA_BOSQUE!$P35</f>
        <v>5.3012924501930323</v>
      </c>
      <c r="Y10" s="233">
        <f>+Y$2*COBERTURA_BOSQUE!$P35</f>
        <v>5.3012924501930323</v>
      </c>
      <c r="Z10" s="233">
        <f>+Z$2*COBERTURA_BOSQUE!$P35</f>
        <v>5.3012924501930323</v>
      </c>
      <c r="AA10" s="233">
        <f>+AA$2*COBERTURA_BOSQUE!$P35</f>
        <v>5.3012924501930323</v>
      </c>
      <c r="AB10" s="234">
        <f>+AB$2*COBERTURA_BOSQUE!$P35</f>
        <v>5.3012924501930323</v>
      </c>
    </row>
    <row r="11" spans="1:30" x14ac:dyDescent="0.3">
      <c r="A11" s="104" t="s">
        <v>3</v>
      </c>
      <c r="B11" s="105" t="s">
        <v>4</v>
      </c>
      <c r="C11" s="106">
        <f>+C$2*COBERTURA_BOSQUE!C36</f>
        <v>300.51283081230059</v>
      </c>
      <c r="D11" s="106">
        <f>+D$2*COBERTURA_BOSQUE!D36</f>
        <v>302.9952960307171</v>
      </c>
      <c r="E11" s="106">
        <f>+E$2*COBERTURA_BOSQUE!E36</f>
        <v>305.30188219230251</v>
      </c>
      <c r="F11" s="106">
        <f>+F$2*COBERTURA_BOSQUE!F36</f>
        <v>307.76622082528536</v>
      </c>
      <c r="G11" s="106">
        <f>+G$2*COBERTURA_BOSQUE!G36</f>
        <v>310.12073214520689</v>
      </c>
      <c r="H11" s="106">
        <f>+H$2*COBERTURA_BOSQUE!H36</f>
        <v>216.18475562122003</v>
      </c>
      <c r="I11" s="106">
        <f>+I$2*COBERTURA_BOSQUE!I36</f>
        <v>124.79097647891442</v>
      </c>
      <c r="J11" s="106">
        <f>+J$2*COBERTURA_BOSQUE!J36</f>
        <v>173.75526466011661</v>
      </c>
      <c r="K11" s="106">
        <f>+K$2*COBERTURA_BOSQUE!K36</f>
        <v>221.16803209759436</v>
      </c>
      <c r="L11" s="106">
        <f>+L$2*COBERTURA_BOSQUE!L36</f>
        <v>8.4913456516907253</v>
      </c>
      <c r="M11" s="106">
        <f>+M$2*COBERTURA_BOSQUE!M36</f>
        <v>8.4913456516907253</v>
      </c>
      <c r="N11" s="106">
        <f>+N$2*COBERTURA_BOSQUE!N36</f>
        <v>54.193322292820397</v>
      </c>
      <c r="O11" s="106">
        <f>+O$2*COBERTURA_BOSQUE!P36</f>
        <v>54.193322292820397</v>
      </c>
      <c r="P11" s="235">
        <f>+P$2*COBERTURA_BOSQUE!$P36</f>
        <v>54.193322292820397</v>
      </c>
      <c r="Q11" s="235">
        <f>+Q$2*COBERTURA_BOSQUE!$P36</f>
        <v>54.193322292820397</v>
      </c>
      <c r="R11" s="235">
        <f>+R$2*COBERTURA_BOSQUE!$P36</f>
        <v>54.193322292820397</v>
      </c>
      <c r="S11" s="235">
        <f>+S$2*COBERTURA_BOSQUE!$P36</f>
        <v>54.193322292820397</v>
      </c>
      <c r="T11" s="235">
        <f>+T$2*COBERTURA_BOSQUE!$P36</f>
        <v>54.193322292820397</v>
      </c>
      <c r="U11" s="235">
        <f>+U$2*COBERTURA_BOSQUE!$P36</f>
        <v>54.193322292820397</v>
      </c>
      <c r="V11" s="235">
        <f>+V$2*COBERTURA_BOSQUE!$P36</f>
        <v>54.193322292820397</v>
      </c>
      <c r="W11" s="235">
        <f>+W$2*COBERTURA_BOSQUE!$P36</f>
        <v>54.193322292820397</v>
      </c>
      <c r="X11" s="235">
        <f>+X$2*COBERTURA_BOSQUE!$P36</f>
        <v>54.193322292820397</v>
      </c>
      <c r="Y11" s="235">
        <f>+Y$2*COBERTURA_BOSQUE!$P36</f>
        <v>54.193322292820397</v>
      </c>
      <c r="Z11" s="235">
        <f>+Z$2*COBERTURA_BOSQUE!$P36</f>
        <v>54.193322292820397</v>
      </c>
      <c r="AA11" s="235">
        <f>+AA$2*COBERTURA_BOSQUE!$P36</f>
        <v>54.193322292820397</v>
      </c>
      <c r="AB11" s="236">
        <f>+AB$2*COBERTURA_BOSQUE!$P36</f>
        <v>54.193322292820397</v>
      </c>
    </row>
    <row r="12" spans="1:30" x14ac:dyDescent="0.3">
      <c r="A12" s="104" t="s">
        <v>3</v>
      </c>
      <c r="B12" s="105" t="s">
        <v>5</v>
      </c>
      <c r="C12" s="106">
        <f>+C$2*COBERTURA_BOSQUE!C37</f>
        <v>2873.5330814723607</v>
      </c>
      <c r="D12" s="106">
        <f>+D$2*COBERTURA_BOSQUE!D37</f>
        <v>2781.7094882088722</v>
      </c>
      <c r="E12" s="106">
        <f>+E$2*COBERTURA_BOSQUE!E37</f>
        <v>2696.3914632241349</v>
      </c>
      <c r="F12" s="106">
        <f>+F$2*COBERTURA_BOSQUE!F37</f>
        <v>2712.3204164013255</v>
      </c>
      <c r="G12" s="106">
        <f>+G$2*COBERTURA_BOSQUE!G37</f>
        <v>2727.5394695250411</v>
      </c>
      <c r="H12" s="106">
        <f>+H$2*COBERTURA_BOSQUE!H37</f>
        <v>1905.1370487338397</v>
      </c>
      <c r="I12" s="106">
        <f>+I$2*COBERTURA_BOSQUE!I37</f>
        <v>1101.9087611067027</v>
      </c>
      <c r="J12" s="106">
        <f>+J$2*COBERTURA_BOSQUE!J37</f>
        <v>1547.4546974880873</v>
      </c>
      <c r="K12" s="106">
        <f>+K$2*COBERTURA_BOSQUE!K37</f>
        <v>1986.4941283828653</v>
      </c>
      <c r="L12" s="106">
        <f>+L$2*COBERTURA_BOSQUE!L37</f>
        <v>76.267840877246172</v>
      </c>
      <c r="M12" s="106">
        <f>+M$2*COBERTURA_BOSQUE!M37</f>
        <v>76.267840877246172</v>
      </c>
      <c r="N12" s="106">
        <f>+N$2*COBERTURA_BOSQUE!N37</f>
        <v>488.92340882888465</v>
      </c>
      <c r="O12" s="106">
        <f>+O$2*COBERTURA_BOSQUE!P37</f>
        <v>488.92340882888465</v>
      </c>
      <c r="P12" s="235">
        <f>+P$2*COBERTURA_BOSQUE!$P37</f>
        <v>488.92340882888465</v>
      </c>
      <c r="Q12" s="235">
        <f>+Q$2*COBERTURA_BOSQUE!$P37</f>
        <v>488.92340882888465</v>
      </c>
      <c r="R12" s="235">
        <f>+R$2*COBERTURA_BOSQUE!$P37</f>
        <v>488.92340882888465</v>
      </c>
      <c r="S12" s="235">
        <f>+S$2*COBERTURA_BOSQUE!$P37</f>
        <v>488.92340882888465</v>
      </c>
      <c r="T12" s="235">
        <f>+T$2*COBERTURA_BOSQUE!$P37</f>
        <v>488.92340882888465</v>
      </c>
      <c r="U12" s="235">
        <f>+U$2*COBERTURA_BOSQUE!$P37</f>
        <v>488.92340882888465</v>
      </c>
      <c r="V12" s="235">
        <f>+V$2*COBERTURA_BOSQUE!$P37</f>
        <v>488.92340882888465</v>
      </c>
      <c r="W12" s="235">
        <f>+W$2*COBERTURA_BOSQUE!$P37</f>
        <v>488.92340882888465</v>
      </c>
      <c r="X12" s="235">
        <f>+X$2*COBERTURA_BOSQUE!$P37</f>
        <v>488.92340882888465</v>
      </c>
      <c r="Y12" s="235">
        <f>+Y$2*COBERTURA_BOSQUE!$P37</f>
        <v>488.92340882888465</v>
      </c>
      <c r="Z12" s="235">
        <f>+Z$2*COBERTURA_BOSQUE!$P37</f>
        <v>488.92340882888465</v>
      </c>
      <c r="AA12" s="235">
        <f>+AA$2*COBERTURA_BOSQUE!$P37</f>
        <v>488.92340882888465</v>
      </c>
      <c r="AB12" s="236">
        <f>+AB$2*COBERTURA_BOSQUE!$P37</f>
        <v>488.92340882888465</v>
      </c>
    </row>
    <row r="13" spans="1:30" x14ac:dyDescent="0.3">
      <c r="A13" s="104" t="s">
        <v>3</v>
      </c>
      <c r="B13" s="105" t="s">
        <v>6</v>
      </c>
      <c r="C13" s="106">
        <f>+C$2*COBERTURA_BOSQUE!C38</f>
        <v>1168.0726668690256</v>
      </c>
      <c r="D13" s="106">
        <f>+D$2*COBERTURA_BOSQUE!D38</f>
        <v>1127.5938514085751</v>
      </c>
      <c r="E13" s="106">
        <f>+E$2*COBERTURA_BOSQUE!E38</f>
        <v>1089.9829012587891</v>
      </c>
      <c r="F13" s="106">
        <f>+F$2*COBERTURA_BOSQUE!F38</f>
        <v>1106.4600286063433</v>
      </c>
      <c r="G13" s="106">
        <f>+G$2*COBERTURA_BOSQUE!G38</f>
        <v>1122.2028256149856</v>
      </c>
      <c r="H13" s="106">
        <f>+H$2*COBERTURA_BOSQUE!H38</f>
        <v>782.39367258868594</v>
      </c>
      <c r="I13" s="106">
        <f>+I$2*COBERTURA_BOSQUE!I38</f>
        <v>451.69292626599446</v>
      </c>
      <c r="J13" s="106">
        <f>+J$2*COBERTURA_BOSQUE!J38</f>
        <v>639.39477902948818</v>
      </c>
      <c r="K13" s="106">
        <f>+K$2*COBERTURA_BOSQUE!K38</f>
        <v>827.1915139505777</v>
      </c>
      <c r="L13" s="106">
        <f>+L$2*COBERTURA_BOSQUE!L38</f>
        <v>31.758518618098719</v>
      </c>
      <c r="M13" s="106">
        <f>+M$2*COBERTURA_BOSQUE!M38</f>
        <v>31.758518618098719</v>
      </c>
      <c r="N13" s="106">
        <f>+N$2*COBERTURA_BOSQUE!N38</f>
        <v>200.28815533276418</v>
      </c>
      <c r="O13" s="106">
        <f>+O$2*COBERTURA_BOSQUE!P38</f>
        <v>200.28815533276418</v>
      </c>
      <c r="P13" s="235">
        <f>+P$2*COBERTURA_BOSQUE!$P38</f>
        <v>200.28815533276418</v>
      </c>
      <c r="Q13" s="235">
        <f>+Q$2*COBERTURA_BOSQUE!$P38</f>
        <v>200.28815533276418</v>
      </c>
      <c r="R13" s="235">
        <f>+R$2*COBERTURA_BOSQUE!$P38</f>
        <v>200.28815533276418</v>
      </c>
      <c r="S13" s="235">
        <f>+S$2*COBERTURA_BOSQUE!$P38</f>
        <v>200.28815533276418</v>
      </c>
      <c r="T13" s="235">
        <f>+T$2*COBERTURA_BOSQUE!$P38</f>
        <v>200.28815533276418</v>
      </c>
      <c r="U13" s="235">
        <f>+U$2*COBERTURA_BOSQUE!$P38</f>
        <v>200.28815533276418</v>
      </c>
      <c r="V13" s="235">
        <f>+V$2*COBERTURA_BOSQUE!$P38</f>
        <v>200.28815533276418</v>
      </c>
      <c r="W13" s="235">
        <f>+W$2*COBERTURA_BOSQUE!$P38</f>
        <v>200.28815533276418</v>
      </c>
      <c r="X13" s="235">
        <f>+X$2*COBERTURA_BOSQUE!$P38</f>
        <v>200.28815533276418</v>
      </c>
      <c r="Y13" s="235">
        <f>+Y$2*COBERTURA_BOSQUE!$P38</f>
        <v>200.28815533276418</v>
      </c>
      <c r="Z13" s="235">
        <f>+Z$2*COBERTURA_BOSQUE!$P38</f>
        <v>200.28815533276418</v>
      </c>
      <c r="AA13" s="235">
        <f>+AA$2*COBERTURA_BOSQUE!$P38</f>
        <v>200.28815533276418</v>
      </c>
      <c r="AB13" s="236">
        <f>+AB$2*COBERTURA_BOSQUE!$P38</f>
        <v>200.28815533276418</v>
      </c>
    </row>
    <row r="14" spans="1:30" ht="28.8" x14ac:dyDescent="0.3">
      <c r="A14" s="104" t="s">
        <v>3</v>
      </c>
      <c r="B14" s="105" t="s">
        <v>7</v>
      </c>
      <c r="C14" s="106">
        <f>+C$2*COBERTURA_BOSQUE!C39</f>
        <v>804.42139938864511</v>
      </c>
      <c r="D14" s="106">
        <f>+D$2*COBERTURA_BOSQUE!D39</f>
        <v>781.09436835952022</v>
      </c>
      <c r="E14" s="106">
        <f>+E$2*COBERTURA_BOSQUE!E39</f>
        <v>759.42002361402876</v>
      </c>
      <c r="F14" s="106">
        <f>+F$2*COBERTURA_BOSQUE!F39</f>
        <v>754.77857387589597</v>
      </c>
      <c r="G14" s="106">
        <f>+G$2*COBERTURA_BOSQUE!G39</f>
        <v>750.34397799568023</v>
      </c>
      <c r="H14" s="106">
        <f>+H$2*COBERTURA_BOSQUE!H39</f>
        <v>525.32288967527063</v>
      </c>
      <c r="I14" s="106">
        <f>+I$2*COBERTURA_BOSQUE!I39</f>
        <v>304.54578122246102</v>
      </c>
      <c r="J14" s="106">
        <f>+J$2*COBERTURA_BOSQUE!J39</f>
        <v>444.71291668277627</v>
      </c>
      <c r="K14" s="106">
        <f>+K$2*COBERTURA_BOSQUE!K39</f>
        <v>592.36821911262905</v>
      </c>
      <c r="L14" s="106">
        <f>+L$2*COBERTURA_BOSQUE!L39</f>
        <v>22.742903908202351</v>
      </c>
      <c r="M14" s="106">
        <f>+M$2*COBERTURA_BOSQUE!M39</f>
        <v>22.742903908202351</v>
      </c>
      <c r="N14" s="106">
        <f>+N$2*COBERTURA_BOSQUE!N39</f>
        <v>145.8425016281231</v>
      </c>
      <c r="O14" s="106">
        <f>+O$2*COBERTURA_BOSQUE!P39</f>
        <v>145.8425016281231</v>
      </c>
      <c r="P14" s="235">
        <f>+P$2*COBERTURA_BOSQUE!$P39</f>
        <v>145.8425016281231</v>
      </c>
      <c r="Q14" s="235">
        <f>+Q$2*COBERTURA_BOSQUE!$P39</f>
        <v>145.8425016281231</v>
      </c>
      <c r="R14" s="235">
        <f>+R$2*COBERTURA_BOSQUE!$P39</f>
        <v>145.8425016281231</v>
      </c>
      <c r="S14" s="235">
        <f>+S$2*COBERTURA_BOSQUE!$P39</f>
        <v>145.8425016281231</v>
      </c>
      <c r="T14" s="235">
        <f>+T$2*COBERTURA_BOSQUE!$P39</f>
        <v>145.8425016281231</v>
      </c>
      <c r="U14" s="235">
        <f>+U$2*COBERTURA_BOSQUE!$P39</f>
        <v>145.8425016281231</v>
      </c>
      <c r="V14" s="235">
        <f>+V$2*COBERTURA_BOSQUE!$P39</f>
        <v>145.8425016281231</v>
      </c>
      <c r="W14" s="235">
        <f>+W$2*COBERTURA_BOSQUE!$P39</f>
        <v>145.8425016281231</v>
      </c>
      <c r="X14" s="235">
        <f>+X$2*COBERTURA_BOSQUE!$P39</f>
        <v>145.8425016281231</v>
      </c>
      <c r="Y14" s="235">
        <f>+Y$2*COBERTURA_BOSQUE!$P39</f>
        <v>145.8425016281231</v>
      </c>
      <c r="Z14" s="235">
        <f>+Z$2*COBERTURA_BOSQUE!$P39</f>
        <v>145.8425016281231</v>
      </c>
      <c r="AA14" s="235">
        <f>+AA$2*COBERTURA_BOSQUE!$P39</f>
        <v>145.8425016281231</v>
      </c>
      <c r="AB14" s="236">
        <f>+AB$2*COBERTURA_BOSQUE!$P39</f>
        <v>145.8425016281231</v>
      </c>
    </row>
    <row r="15" spans="1:30" ht="28.8" x14ac:dyDescent="0.3">
      <c r="A15" s="104" t="s">
        <v>3</v>
      </c>
      <c r="B15" s="105" t="s">
        <v>8</v>
      </c>
      <c r="C15" s="106">
        <f>+C$2*COBERTURA_BOSQUE!C40</f>
        <v>5886.3513002366108</v>
      </c>
      <c r="D15" s="106">
        <f>+D$2*COBERTURA_BOSQUE!D40</f>
        <v>6088.7211109079462</v>
      </c>
      <c r="E15" s="106">
        <f>+E$2*COBERTURA_BOSQUE!E40</f>
        <v>6276.7533142815309</v>
      </c>
      <c r="F15" s="106">
        <f>+F$2*COBERTURA_BOSQUE!F40</f>
        <v>6264.7842690427051</v>
      </c>
      <c r="G15" s="106">
        <f>+G$2*COBERTURA_BOSQUE!G40</f>
        <v>6253.3486440330971</v>
      </c>
      <c r="H15" s="106">
        <f>+H$2*COBERTURA_BOSQUE!H40</f>
        <v>4414.2823496652791</v>
      </c>
      <c r="I15" s="106">
        <f>+I$2*COBERTURA_BOSQUE!I40</f>
        <v>2579.9828018089447</v>
      </c>
      <c r="J15" s="106">
        <f>+J$2*COBERTURA_BOSQUE!J40</f>
        <v>3672.2124068108783</v>
      </c>
      <c r="K15" s="106">
        <f>+K$2*COBERTURA_BOSQUE!K40</f>
        <v>4775.9533715793887</v>
      </c>
      <c r="L15" s="106">
        <f>+L$2*COBERTURA_BOSQUE!L40</f>
        <v>183.3640716961437</v>
      </c>
      <c r="M15" s="106">
        <f>+M$2*COBERTURA_BOSQUE!M40</f>
        <v>183.3640716961437</v>
      </c>
      <c r="N15" s="106">
        <f>+N$2*COBERTURA_BOSQUE!N40</f>
        <v>1138.7502775288792</v>
      </c>
      <c r="O15" s="106">
        <f>+O$2*COBERTURA_BOSQUE!P40</f>
        <v>1138.7502775288792</v>
      </c>
      <c r="P15" s="235">
        <f>+P$2*COBERTURA_BOSQUE!$P40</f>
        <v>1138.7502775288792</v>
      </c>
      <c r="Q15" s="235">
        <f>+Q$2*COBERTURA_BOSQUE!$P40</f>
        <v>1138.7502775288792</v>
      </c>
      <c r="R15" s="235">
        <f>+R$2*COBERTURA_BOSQUE!$P40</f>
        <v>1138.7502775288792</v>
      </c>
      <c r="S15" s="235">
        <f>+S$2*COBERTURA_BOSQUE!$P40</f>
        <v>1138.7502775288792</v>
      </c>
      <c r="T15" s="235">
        <f>+T$2*COBERTURA_BOSQUE!$P40</f>
        <v>1138.7502775288792</v>
      </c>
      <c r="U15" s="235">
        <f>+U$2*COBERTURA_BOSQUE!$P40</f>
        <v>1138.7502775288792</v>
      </c>
      <c r="V15" s="235">
        <f>+V$2*COBERTURA_BOSQUE!$P40</f>
        <v>1138.7502775288792</v>
      </c>
      <c r="W15" s="235">
        <f>+W$2*COBERTURA_BOSQUE!$P40</f>
        <v>1138.7502775288792</v>
      </c>
      <c r="X15" s="235">
        <f>+X$2*COBERTURA_BOSQUE!$P40</f>
        <v>1138.7502775288792</v>
      </c>
      <c r="Y15" s="235">
        <f>+Y$2*COBERTURA_BOSQUE!$P40</f>
        <v>1138.7502775288792</v>
      </c>
      <c r="Z15" s="235">
        <f>+Z$2*COBERTURA_BOSQUE!$P40</f>
        <v>1138.7502775288792</v>
      </c>
      <c r="AA15" s="235">
        <f>+AA$2*COBERTURA_BOSQUE!$P40</f>
        <v>1138.7502775288792</v>
      </c>
      <c r="AB15" s="236">
        <f>+AB$2*COBERTURA_BOSQUE!$P40</f>
        <v>1138.7502775288792</v>
      </c>
    </row>
    <row r="16" spans="1:30" ht="28.8" x14ac:dyDescent="0.3">
      <c r="A16" s="104" t="s">
        <v>3</v>
      </c>
      <c r="B16" s="105" t="s">
        <v>9</v>
      </c>
      <c r="C16" s="106">
        <f>+C$2*COBERTURA_BOSQUE!C41</f>
        <v>652.16169204405151</v>
      </c>
      <c r="D16" s="106">
        <f>+D$2*COBERTURA_BOSQUE!D41</f>
        <v>632.85923339184023</v>
      </c>
      <c r="E16" s="106">
        <f>+E$2*COBERTURA_BOSQUE!E41</f>
        <v>614.92432591299018</v>
      </c>
      <c r="F16" s="106">
        <f>+F$2*COBERTURA_BOSQUE!F41</f>
        <v>610.28049975482691</v>
      </c>
      <c r="G16" s="106">
        <f>+G$2*COBERTURA_BOSQUE!G41</f>
        <v>605.84363336365652</v>
      </c>
      <c r="H16" s="106">
        <f>+H$2*COBERTURA_BOSQUE!H41</f>
        <v>414.9653989644421</v>
      </c>
      <c r="I16" s="106">
        <f>+I$2*COBERTURA_BOSQUE!I41</f>
        <v>235.27244977038291</v>
      </c>
      <c r="J16" s="106">
        <f>+J$2*COBERTURA_BOSQUE!J41</f>
        <v>326.63938021811566</v>
      </c>
      <c r="K16" s="106">
        <f>+K$2*COBERTURA_BOSQUE!K41</f>
        <v>414.56468043570902</v>
      </c>
      <c r="L16" s="106">
        <f>+L$2*COBERTURA_BOSQUE!L41</f>
        <v>15.916459368815817</v>
      </c>
      <c r="M16" s="106">
        <f>+M$2*COBERTURA_BOSQUE!M41</f>
        <v>15.916459368815817</v>
      </c>
      <c r="N16" s="106">
        <f>+N$2*COBERTURA_BOSQUE!N41</f>
        <v>93.501424090177622</v>
      </c>
      <c r="O16" s="106">
        <f>+O$2*COBERTURA_BOSQUE!P41</f>
        <v>93.501424090177622</v>
      </c>
      <c r="P16" s="235">
        <f>+P$2*COBERTURA_BOSQUE!$P41</f>
        <v>93.501424090177622</v>
      </c>
      <c r="Q16" s="235">
        <f>+Q$2*COBERTURA_BOSQUE!$P41</f>
        <v>93.501424090177622</v>
      </c>
      <c r="R16" s="235">
        <f>+R$2*COBERTURA_BOSQUE!$P41</f>
        <v>93.501424090177622</v>
      </c>
      <c r="S16" s="235">
        <f>+S$2*COBERTURA_BOSQUE!$P41</f>
        <v>93.501424090177622</v>
      </c>
      <c r="T16" s="235">
        <f>+T$2*COBERTURA_BOSQUE!$P41</f>
        <v>93.501424090177622</v>
      </c>
      <c r="U16" s="235">
        <f>+U$2*COBERTURA_BOSQUE!$P41</f>
        <v>93.501424090177622</v>
      </c>
      <c r="V16" s="235">
        <f>+V$2*COBERTURA_BOSQUE!$P41</f>
        <v>93.501424090177622</v>
      </c>
      <c r="W16" s="235">
        <f>+W$2*COBERTURA_BOSQUE!$P41</f>
        <v>93.501424090177622</v>
      </c>
      <c r="X16" s="235">
        <f>+X$2*COBERTURA_BOSQUE!$P41</f>
        <v>93.501424090177622</v>
      </c>
      <c r="Y16" s="235">
        <f>+Y$2*COBERTURA_BOSQUE!$P41</f>
        <v>93.501424090177622</v>
      </c>
      <c r="Z16" s="235">
        <f>+Z$2*COBERTURA_BOSQUE!$P41</f>
        <v>93.501424090177622</v>
      </c>
      <c r="AA16" s="235">
        <f>+AA$2*COBERTURA_BOSQUE!$P41</f>
        <v>93.501424090177622</v>
      </c>
      <c r="AB16" s="236">
        <f>+AB$2*COBERTURA_BOSQUE!$P41</f>
        <v>93.501424090177622</v>
      </c>
    </row>
    <row r="17" spans="1:28" x14ac:dyDescent="0.3">
      <c r="A17" s="104" t="s">
        <v>3</v>
      </c>
      <c r="B17" s="105" t="s">
        <v>10</v>
      </c>
      <c r="C17" s="106">
        <f>+C$2*COBERTURA_BOSQUE!C42</f>
        <v>161.96574451012307</v>
      </c>
      <c r="D17" s="106">
        <f>+D$2*COBERTURA_BOSQUE!D42</f>
        <v>156.84545430363301</v>
      </c>
      <c r="E17" s="106">
        <f>+E$2*COBERTURA_BOSQUE!E42</f>
        <v>152.08792922494354</v>
      </c>
      <c r="F17" s="106">
        <f>+F$2*COBERTURA_BOSQUE!F42</f>
        <v>145.06136727991444</v>
      </c>
      <c r="G17" s="106">
        <f>+G$2*COBERTURA_BOSQUE!G42</f>
        <v>138.34795564959938</v>
      </c>
      <c r="H17" s="106">
        <f>+H$2*COBERTURA_BOSQUE!H42</f>
        <v>101.50905530492327</v>
      </c>
      <c r="I17" s="106">
        <f>+I$2*COBERTURA_BOSQUE!I42</f>
        <v>61.527241381356973</v>
      </c>
      <c r="J17" s="106">
        <f>+J$2*COBERTURA_BOSQUE!J42</f>
        <v>85.265014053552363</v>
      </c>
      <c r="K17" s="106">
        <f>+K$2*COBERTURA_BOSQUE!K42</f>
        <v>108.01764767897488</v>
      </c>
      <c r="L17" s="106">
        <f>+L$2*COBERTURA_BOSQUE!L42</f>
        <v>4.1471417646831821</v>
      </c>
      <c r="M17" s="106">
        <f>+M$2*COBERTURA_BOSQUE!M42</f>
        <v>4.1471417646831821</v>
      </c>
      <c r="N17" s="106">
        <f>+N$2*COBERTURA_BOSQUE!N42</f>
        <v>38.136257613647523</v>
      </c>
      <c r="O17" s="106">
        <f>+O$2*COBERTURA_BOSQUE!P42</f>
        <v>38.136257613647523</v>
      </c>
      <c r="P17" s="235">
        <f>+P$2*COBERTURA_BOSQUE!$P42</f>
        <v>38.136257613647523</v>
      </c>
      <c r="Q17" s="235">
        <f>+Q$2*COBERTURA_BOSQUE!$P42</f>
        <v>38.136257613647523</v>
      </c>
      <c r="R17" s="235">
        <f>+R$2*COBERTURA_BOSQUE!$P42</f>
        <v>38.136257613647523</v>
      </c>
      <c r="S17" s="235">
        <f>+S$2*COBERTURA_BOSQUE!$P42</f>
        <v>38.136257613647523</v>
      </c>
      <c r="T17" s="235">
        <f>+T$2*COBERTURA_BOSQUE!$P42</f>
        <v>38.136257613647523</v>
      </c>
      <c r="U17" s="235">
        <f>+U$2*COBERTURA_BOSQUE!$P42</f>
        <v>38.136257613647523</v>
      </c>
      <c r="V17" s="235">
        <f>+V$2*COBERTURA_BOSQUE!$P42</f>
        <v>38.136257613647523</v>
      </c>
      <c r="W17" s="235">
        <f>+W$2*COBERTURA_BOSQUE!$P42</f>
        <v>38.136257613647523</v>
      </c>
      <c r="X17" s="235">
        <f>+X$2*COBERTURA_BOSQUE!$P42</f>
        <v>38.136257613647523</v>
      </c>
      <c r="Y17" s="235">
        <f>+Y$2*COBERTURA_BOSQUE!$P42</f>
        <v>38.136257613647523</v>
      </c>
      <c r="Z17" s="235">
        <f>+Z$2*COBERTURA_BOSQUE!$P42</f>
        <v>38.136257613647523</v>
      </c>
      <c r="AA17" s="235">
        <f>+AA$2*COBERTURA_BOSQUE!$P42</f>
        <v>38.136257613647523</v>
      </c>
      <c r="AB17" s="236">
        <f>+AB$2*COBERTURA_BOSQUE!$P42</f>
        <v>38.136257613647523</v>
      </c>
    </row>
    <row r="18" spans="1:28" x14ac:dyDescent="0.3">
      <c r="A18" s="104" t="s">
        <v>3</v>
      </c>
      <c r="B18" s="105" t="s">
        <v>11</v>
      </c>
      <c r="C18" s="106">
        <f>+C$2*COBERTURA_BOSQUE!C43</f>
        <v>677.31301934062503</v>
      </c>
      <c r="D18" s="106">
        <f>+D$2*COBERTURA_BOSQUE!D43</f>
        <v>654.61549799162231</v>
      </c>
      <c r="E18" s="106">
        <f>+E$2*COBERTURA_BOSQUE!E43</f>
        <v>633.52606307930046</v>
      </c>
      <c r="F18" s="106">
        <f>+F$2*COBERTURA_BOSQUE!F43</f>
        <v>629.43103026981373</v>
      </c>
      <c r="G18" s="106">
        <f>+G$2*COBERTURA_BOSQUE!G43</f>
        <v>625.51849934717939</v>
      </c>
      <c r="H18" s="106">
        <f>+H$2*COBERTURA_BOSQUE!H43</f>
        <v>446.85694743119041</v>
      </c>
      <c r="I18" s="106">
        <f>+I$2*COBERTURA_BOSQUE!I43</f>
        <v>264.19918864408368</v>
      </c>
      <c r="J18" s="106">
        <f>+J$2*COBERTURA_BOSQUE!J43</f>
        <v>370.4081173243967</v>
      </c>
      <c r="K18" s="106">
        <f>+K$2*COBERTURA_BOSQUE!K43</f>
        <v>474.72028418631868</v>
      </c>
      <c r="L18" s="106">
        <f>+L$2*COBERTURA_BOSQUE!L43</f>
        <v>18.226024722759774</v>
      </c>
      <c r="M18" s="106">
        <f>+M$2*COBERTURA_BOSQUE!M43</f>
        <v>18.226024722759774</v>
      </c>
      <c r="N18" s="106">
        <f>+N$2*COBERTURA_BOSQUE!N43</f>
        <v>106.08300265183853</v>
      </c>
      <c r="O18" s="106">
        <f>+O$2*COBERTURA_BOSQUE!P43</f>
        <v>106.08300265183853</v>
      </c>
      <c r="P18" s="235">
        <f>+P$2*COBERTURA_BOSQUE!$P43</f>
        <v>106.08300265183853</v>
      </c>
      <c r="Q18" s="235">
        <f>+Q$2*COBERTURA_BOSQUE!$P43</f>
        <v>106.08300265183853</v>
      </c>
      <c r="R18" s="235">
        <f>+R$2*COBERTURA_BOSQUE!$P43</f>
        <v>106.08300265183853</v>
      </c>
      <c r="S18" s="235">
        <f>+S$2*COBERTURA_BOSQUE!$P43</f>
        <v>106.08300265183853</v>
      </c>
      <c r="T18" s="235">
        <f>+T$2*COBERTURA_BOSQUE!$P43</f>
        <v>106.08300265183853</v>
      </c>
      <c r="U18" s="235">
        <f>+U$2*COBERTURA_BOSQUE!$P43</f>
        <v>106.08300265183853</v>
      </c>
      <c r="V18" s="235">
        <f>+V$2*COBERTURA_BOSQUE!$P43</f>
        <v>106.08300265183853</v>
      </c>
      <c r="W18" s="235">
        <f>+W$2*COBERTURA_BOSQUE!$P43</f>
        <v>106.08300265183853</v>
      </c>
      <c r="X18" s="235">
        <f>+X$2*COBERTURA_BOSQUE!$P43</f>
        <v>106.08300265183853</v>
      </c>
      <c r="Y18" s="235">
        <f>+Y$2*COBERTURA_BOSQUE!$P43</f>
        <v>106.08300265183853</v>
      </c>
      <c r="Z18" s="235">
        <f>+Z$2*COBERTURA_BOSQUE!$P43</f>
        <v>106.08300265183853</v>
      </c>
      <c r="AA18" s="235">
        <f>+AA$2*COBERTURA_BOSQUE!$P43</f>
        <v>106.08300265183853</v>
      </c>
      <c r="AB18" s="236">
        <f>+AB$2*COBERTURA_BOSQUE!$P43</f>
        <v>106.08300265183853</v>
      </c>
    </row>
    <row r="19" spans="1:28" ht="15" thickBot="1" x14ac:dyDescent="0.35">
      <c r="A19" s="107" t="s">
        <v>3</v>
      </c>
      <c r="B19" s="108" t="s">
        <v>12</v>
      </c>
      <c r="C19" s="109">
        <f>+C$2*COBERTURA_BOSQUE!C44</f>
        <v>95.394367648465078</v>
      </c>
      <c r="D19" s="109">
        <f>+D$2*COBERTURA_BOSQUE!D44</f>
        <v>91.890986691000165</v>
      </c>
      <c r="E19" s="109">
        <f>+E$2*COBERTURA_BOSQUE!E44</f>
        <v>88.635815188373968</v>
      </c>
      <c r="F19" s="109">
        <f>+F$2*COBERTURA_BOSQUE!F44</f>
        <v>86.615699700598043</v>
      </c>
      <c r="G19" s="109">
        <f>+G$2*COBERTURA_BOSQUE!G44</f>
        <v>84.685613989219846</v>
      </c>
      <c r="H19" s="109">
        <f>+H$2*COBERTURA_BOSQUE!H44</f>
        <v>112.06348723453627</v>
      </c>
      <c r="I19" s="109">
        <f>+I$2*COBERTURA_BOSQUE!I44</f>
        <v>95.372916875522876</v>
      </c>
      <c r="J19" s="109">
        <f>+J$2*COBERTURA_BOSQUE!J44</f>
        <v>126.65482922166387</v>
      </c>
      <c r="K19" s="109">
        <f>+K$2*COBERTURA_BOSQUE!K44</f>
        <v>153.40247953357397</v>
      </c>
      <c r="L19" s="109">
        <f>+L$2*COBERTURA_BOSQUE!L44</f>
        <v>5.8896101086218282</v>
      </c>
      <c r="M19" s="109">
        <f>+M$2*COBERTURA_BOSQUE!M44</f>
        <v>5.8896101086218282</v>
      </c>
      <c r="N19" s="109">
        <f>+N$2*COBERTURA_BOSQUE!N44</f>
        <v>44.770357582671629</v>
      </c>
      <c r="O19" s="109">
        <f>+O$2*COBERTURA_BOSQUE!P44</f>
        <v>44.770357582671629</v>
      </c>
      <c r="P19" s="237">
        <f>+P$2*COBERTURA_BOSQUE!$P44</f>
        <v>44.770357582671629</v>
      </c>
      <c r="Q19" s="237">
        <f>+Q$2*COBERTURA_BOSQUE!$P44</f>
        <v>44.770357582671629</v>
      </c>
      <c r="R19" s="237">
        <f>+R$2*COBERTURA_BOSQUE!$P44</f>
        <v>44.770357582671629</v>
      </c>
      <c r="S19" s="237">
        <f>+S$2*COBERTURA_BOSQUE!$P44</f>
        <v>44.770357582671629</v>
      </c>
      <c r="T19" s="237">
        <f>+T$2*COBERTURA_BOSQUE!$P44</f>
        <v>44.770357582671629</v>
      </c>
      <c r="U19" s="237">
        <f>+U$2*COBERTURA_BOSQUE!$P44</f>
        <v>44.770357582671629</v>
      </c>
      <c r="V19" s="237">
        <f>+V$2*COBERTURA_BOSQUE!$P44</f>
        <v>44.770357582671629</v>
      </c>
      <c r="W19" s="237">
        <f>+W$2*COBERTURA_BOSQUE!$P44</f>
        <v>44.770357582671629</v>
      </c>
      <c r="X19" s="237">
        <f>+X$2*COBERTURA_BOSQUE!$P44</f>
        <v>44.770357582671629</v>
      </c>
      <c r="Y19" s="237">
        <f>+Y$2*COBERTURA_BOSQUE!$P44</f>
        <v>44.770357582671629</v>
      </c>
      <c r="Z19" s="237">
        <f>+Z$2*COBERTURA_BOSQUE!$P44</f>
        <v>44.770357582671629</v>
      </c>
      <c r="AA19" s="237">
        <f>+AA$2*COBERTURA_BOSQUE!$P44</f>
        <v>44.770357582671629</v>
      </c>
      <c r="AB19" s="238">
        <f>+AB$2*COBERTURA_BOSQUE!$P44</f>
        <v>44.770357582671629</v>
      </c>
    </row>
    <row r="20" spans="1:28" ht="15" thickBot="1" x14ac:dyDescent="0.35">
      <c r="A20" s="317" t="s">
        <v>17</v>
      </c>
      <c r="B20" s="318"/>
      <c r="C20" s="110">
        <f>+SUM(C10:C19)</f>
        <v>12650.500000000005</v>
      </c>
      <c r="D20" s="110">
        <f t="shared" ref="D20:O20" si="16">+SUM(D10:D19)</f>
        <v>12650.500000000002</v>
      </c>
      <c r="E20" s="110">
        <f t="shared" si="16"/>
        <v>12650.499999999996</v>
      </c>
      <c r="F20" s="110">
        <f t="shared" si="16"/>
        <v>12650.5</v>
      </c>
      <c r="G20" s="110">
        <f t="shared" si="16"/>
        <v>12650.499999999996</v>
      </c>
      <c r="H20" s="110">
        <f t="shared" si="16"/>
        <v>8941.4999999999982</v>
      </c>
      <c r="I20" s="110">
        <f t="shared" si="16"/>
        <v>5232.4999999999991</v>
      </c>
      <c r="J20" s="110">
        <f t="shared" si="16"/>
        <v>7404.8600000000006</v>
      </c>
      <c r="K20" s="110">
        <f t="shared" si="16"/>
        <v>9577.2199999999993</v>
      </c>
      <c r="L20" s="110">
        <f t="shared" si="16"/>
        <v>367.70000000000005</v>
      </c>
      <c r="M20" s="110">
        <f t="shared" si="16"/>
        <v>367.70000000000005</v>
      </c>
      <c r="N20" s="110">
        <f t="shared" si="16"/>
        <v>2315.79</v>
      </c>
      <c r="O20" s="110">
        <f t="shared" si="16"/>
        <v>2315.79</v>
      </c>
      <c r="P20" s="239">
        <f t="shared" ref="P20:AB20" si="17">+SUM(P10:P19)</f>
        <v>2315.79</v>
      </c>
      <c r="Q20" s="239">
        <f t="shared" si="17"/>
        <v>2315.79</v>
      </c>
      <c r="R20" s="239">
        <f t="shared" si="17"/>
        <v>2315.79</v>
      </c>
      <c r="S20" s="239">
        <f t="shared" si="17"/>
        <v>2315.79</v>
      </c>
      <c r="T20" s="239">
        <f t="shared" si="17"/>
        <v>2315.79</v>
      </c>
      <c r="U20" s="239">
        <f t="shared" si="17"/>
        <v>2315.79</v>
      </c>
      <c r="V20" s="239">
        <f t="shared" si="17"/>
        <v>2315.79</v>
      </c>
      <c r="W20" s="239">
        <f t="shared" si="17"/>
        <v>2315.79</v>
      </c>
      <c r="X20" s="239">
        <f t="shared" si="17"/>
        <v>2315.79</v>
      </c>
      <c r="Y20" s="239">
        <f t="shared" si="17"/>
        <v>2315.79</v>
      </c>
      <c r="Z20" s="239">
        <f t="shared" si="17"/>
        <v>2315.79</v>
      </c>
      <c r="AA20" s="239">
        <f t="shared" si="17"/>
        <v>2315.79</v>
      </c>
      <c r="AB20" s="240">
        <f t="shared" si="17"/>
        <v>2315.79</v>
      </c>
    </row>
    <row r="22" spans="1:28" ht="15" thickBot="1" x14ac:dyDescent="0.35">
      <c r="A22" s="111" t="s">
        <v>63</v>
      </c>
      <c r="B22" s="112"/>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row>
    <row r="23" spans="1:28" x14ac:dyDescent="0.3">
      <c r="A23" s="101" t="s">
        <v>15</v>
      </c>
      <c r="B23" s="102" t="s">
        <v>2</v>
      </c>
      <c r="C23" s="103">
        <f>+C$3*COBERTURA_BOSQUE!C35</f>
        <v>4.4070858437971054</v>
      </c>
      <c r="D23" s="103">
        <f>+D$3*COBERTURA_BOSQUE!D35</f>
        <v>4.607694559222753</v>
      </c>
      <c r="E23" s="103">
        <f>+E$3*COBERTURA_BOSQUE!E35</f>
        <v>4.7940904383921543</v>
      </c>
      <c r="F23" s="103">
        <f>+F$3*COBERTURA_BOSQUE!F35</f>
        <v>4.7261540433031142</v>
      </c>
      <c r="G23" s="103">
        <f>+G$3*COBERTURA_BOSQUE!G35</f>
        <v>4.6612453456383749</v>
      </c>
      <c r="H23" s="103">
        <f>+H$3*COBERTURA_BOSQUE!H35</f>
        <v>6.2935281285018885</v>
      </c>
      <c r="I23" s="103">
        <f>+I$3*COBERTURA_BOSQUE!I35</f>
        <v>7.8951475894787819</v>
      </c>
      <c r="J23" s="103">
        <f>+J$3*COBERTURA_BOSQUE!J35</f>
        <v>7.31173652903367</v>
      </c>
      <c r="K23" s="103">
        <f>+K$3*COBERTURA_BOSQUE!K35</f>
        <v>6.7481139384508655</v>
      </c>
      <c r="L23" s="103">
        <f>+L$3*COBERTURA_BOSQUE!L35</f>
        <v>0.17261239865962982</v>
      </c>
      <c r="M23" s="103">
        <f>+M$3*COBERTURA_BOSQUE!M35</f>
        <v>0.17261239865962982</v>
      </c>
      <c r="N23" s="103">
        <f>+N$3*COBERTURA_BOSQUE!N35</f>
        <v>0.12938524187638353</v>
      </c>
      <c r="O23" s="103">
        <f>+O$3*COBERTURA_BOSQUE!$P35</f>
        <v>0.12938524187638353</v>
      </c>
      <c r="P23" s="233">
        <f>+P$3*COBERTURA_BOSQUE!$P35</f>
        <v>0.12938524187638353</v>
      </c>
      <c r="Q23" s="233">
        <f>+Q$3*COBERTURA_BOSQUE!$P35</f>
        <v>0.12938524187638353</v>
      </c>
      <c r="R23" s="233">
        <f>+R$3*COBERTURA_BOSQUE!$P35</f>
        <v>0.12938524187638353</v>
      </c>
      <c r="S23" s="233">
        <f>+S$3*COBERTURA_BOSQUE!$P35</f>
        <v>0.12938524187638353</v>
      </c>
      <c r="T23" s="233">
        <f>+T$3*COBERTURA_BOSQUE!$P35</f>
        <v>0.12938524187638353</v>
      </c>
      <c r="U23" s="233">
        <f>+U$3*COBERTURA_BOSQUE!$P35</f>
        <v>0.12938524187638353</v>
      </c>
      <c r="V23" s="233">
        <f>+V$3*COBERTURA_BOSQUE!$P35</f>
        <v>0.12938524187638353</v>
      </c>
      <c r="W23" s="233">
        <f>+W$3*COBERTURA_BOSQUE!$P35</f>
        <v>0.12938524187638353</v>
      </c>
      <c r="X23" s="233">
        <f>+X$3*COBERTURA_BOSQUE!$P35</f>
        <v>0.12938524187638353</v>
      </c>
      <c r="Y23" s="233">
        <f>+Y$3*COBERTURA_BOSQUE!$P35</f>
        <v>0.12938524187638353</v>
      </c>
      <c r="Z23" s="233">
        <f>+Z$3*COBERTURA_BOSQUE!$P35</f>
        <v>0.12938524187638353</v>
      </c>
      <c r="AA23" s="233">
        <f>+AA$3*COBERTURA_BOSQUE!$P35</f>
        <v>0.12938524187638353</v>
      </c>
      <c r="AB23" s="234">
        <f>+AB$3*COBERTURA_BOSQUE!$P35</f>
        <v>0.12938524187638353</v>
      </c>
    </row>
    <row r="24" spans="1:28" x14ac:dyDescent="0.3">
      <c r="A24" s="104" t="s">
        <v>15</v>
      </c>
      <c r="B24" s="105" t="s">
        <v>4</v>
      </c>
      <c r="C24" s="106">
        <f>+C$3*COBERTURA_BOSQUE!C36</f>
        <v>43.036012416063592</v>
      </c>
      <c r="D24" s="106">
        <f>+D$3*COBERTURA_BOSQUE!D36</f>
        <v>43.39152270716643</v>
      </c>
      <c r="E24" s="106">
        <f>+E$3*COBERTURA_BOSQUE!E36</f>
        <v>43.721845610253091</v>
      </c>
      <c r="F24" s="106">
        <f>+F$3*COBERTURA_BOSQUE!F36</f>
        <v>44.074760018998184</v>
      </c>
      <c r="G24" s="106">
        <f>+G$3*COBERTURA_BOSQUE!G36</f>
        <v>44.411946215421167</v>
      </c>
      <c r="H24" s="106">
        <f>+H$3*COBERTURA_BOSQUE!H36</f>
        <v>59.714767653744651</v>
      </c>
      <c r="I24" s="106">
        <f>+I$3*COBERTURA_BOSQUE!I36</f>
        <v>74.600320004977405</v>
      </c>
      <c r="J24" s="106">
        <f>+J$3*COBERTURA_BOSQUE!J36</f>
        <v>69.186993971435498</v>
      </c>
      <c r="K24" s="106">
        <f>+K$3*COBERTURA_BOSQUE!K36</f>
        <v>63.945582947786704</v>
      </c>
      <c r="L24" s="106">
        <f>+L$3*COBERTURA_BOSQUE!L36</f>
        <v>1.6356867351353117</v>
      </c>
      <c r="M24" s="106">
        <f>+M$3*COBERTURA_BOSQUE!M36</f>
        <v>1.6356867351353117</v>
      </c>
      <c r="N24" s="106">
        <f>+N$3*COBERTURA_BOSQUE!N36</f>
        <v>1.3226616299363108</v>
      </c>
      <c r="O24" s="106">
        <f>+O$3*COBERTURA_BOSQUE!$P36</f>
        <v>1.3226616299363108</v>
      </c>
      <c r="P24" s="235">
        <f>+P$3*COBERTURA_BOSQUE!$P36</f>
        <v>1.3226616299363108</v>
      </c>
      <c r="Q24" s="235">
        <f>+Q$3*COBERTURA_BOSQUE!$P36</f>
        <v>1.3226616299363108</v>
      </c>
      <c r="R24" s="235">
        <f>+R$3*COBERTURA_BOSQUE!$P36</f>
        <v>1.3226616299363108</v>
      </c>
      <c r="S24" s="235">
        <f>+S$3*COBERTURA_BOSQUE!$P36</f>
        <v>1.3226616299363108</v>
      </c>
      <c r="T24" s="235">
        <f>+T$3*COBERTURA_BOSQUE!$P36</f>
        <v>1.3226616299363108</v>
      </c>
      <c r="U24" s="235">
        <f>+U$3*COBERTURA_BOSQUE!$P36</f>
        <v>1.3226616299363108</v>
      </c>
      <c r="V24" s="235">
        <f>+V$3*COBERTURA_BOSQUE!$P36</f>
        <v>1.3226616299363108</v>
      </c>
      <c r="W24" s="235">
        <f>+W$3*COBERTURA_BOSQUE!$P36</f>
        <v>1.3226616299363108</v>
      </c>
      <c r="X24" s="235">
        <f>+X$3*COBERTURA_BOSQUE!$P36</f>
        <v>1.3226616299363108</v>
      </c>
      <c r="Y24" s="235">
        <f>+Y$3*COBERTURA_BOSQUE!$P36</f>
        <v>1.3226616299363108</v>
      </c>
      <c r="Z24" s="235">
        <f>+Z$3*COBERTURA_BOSQUE!$P36</f>
        <v>1.3226616299363108</v>
      </c>
      <c r="AA24" s="235">
        <f>+AA$3*COBERTURA_BOSQUE!$P36</f>
        <v>1.3226616299363108</v>
      </c>
      <c r="AB24" s="236">
        <f>+AB$3*COBERTURA_BOSQUE!$P36</f>
        <v>1.3226616299363108</v>
      </c>
    </row>
    <row r="25" spans="1:28" x14ac:dyDescent="0.3">
      <c r="A25" s="104" t="s">
        <v>15</v>
      </c>
      <c r="B25" s="105" t="s">
        <v>5</v>
      </c>
      <c r="C25" s="106">
        <f>+C$3*COBERTURA_BOSQUE!C37</f>
        <v>411.51456008697022</v>
      </c>
      <c r="D25" s="106">
        <f>+D$3*COBERTURA_BOSQUE!D37</f>
        <v>398.36463471076127</v>
      </c>
      <c r="E25" s="106">
        <f>+E$3*COBERTURA_BOSQUE!E37</f>
        <v>386.1463624571864</v>
      </c>
      <c r="F25" s="106">
        <f>+F$3*COBERTURA_BOSQUE!F37</f>
        <v>388.42752504467217</v>
      </c>
      <c r="G25" s="106">
        <f>+G$3*COBERTURA_BOSQUE!G37</f>
        <v>390.6070238614866</v>
      </c>
      <c r="H25" s="106">
        <f>+H$3*COBERTURA_BOSQUE!H37</f>
        <v>526.2388455040317</v>
      </c>
      <c r="I25" s="106">
        <f>+I$3*COBERTURA_BOSQUE!I37</f>
        <v>658.72347916708384</v>
      </c>
      <c r="J25" s="106">
        <f>+J$3*COBERTURA_BOSQUE!J37</f>
        <v>616.17551005205883</v>
      </c>
      <c r="K25" s="106">
        <f>+K$3*COBERTURA_BOSQUE!K37</f>
        <v>574.34848905172964</v>
      </c>
      <c r="L25" s="106">
        <f>+L$3*COBERTURA_BOSQUE!L37</f>
        <v>14.691463609832327</v>
      </c>
      <c r="M25" s="106">
        <f>+M$3*COBERTURA_BOSQUE!M37</f>
        <v>14.691463609832327</v>
      </c>
      <c r="N25" s="106">
        <f>+N$3*COBERTURA_BOSQUE!N37</f>
        <v>11.932839794199198</v>
      </c>
      <c r="O25" s="106">
        <f>+O$3*COBERTURA_BOSQUE!$P37</f>
        <v>11.932839794199198</v>
      </c>
      <c r="P25" s="235">
        <f>+P$3*COBERTURA_BOSQUE!$P37</f>
        <v>11.932839794199198</v>
      </c>
      <c r="Q25" s="235">
        <f>+Q$3*COBERTURA_BOSQUE!$P37</f>
        <v>11.932839794199198</v>
      </c>
      <c r="R25" s="235">
        <f>+R$3*COBERTURA_BOSQUE!$P37</f>
        <v>11.932839794199198</v>
      </c>
      <c r="S25" s="235">
        <f>+S$3*COBERTURA_BOSQUE!$P37</f>
        <v>11.932839794199198</v>
      </c>
      <c r="T25" s="235">
        <f>+T$3*COBERTURA_BOSQUE!$P37</f>
        <v>11.932839794199198</v>
      </c>
      <c r="U25" s="235">
        <f>+U$3*COBERTURA_BOSQUE!$P37</f>
        <v>11.932839794199198</v>
      </c>
      <c r="V25" s="235">
        <f>+V$3*COBERTURA_BOSQUE!$P37</f>
        <v>11.932839794199198</v>
      </c>
      <c r="W25" s="235">
        <f>+W$3*COBERTURA_BOSQUE!$P37</f>
        <v>11.932839794199198</v>
      </c>
      <c r="X25" s="235">
        <f>+X$3*COBERTURA_BOSQUE!$P37</f>
        <v>11.932839794199198</v>
      </c>
      <c r="Y25" s="235">
        <f>+Y$3*COBERTURA_BOSQUE!$P37</f>
        <v>11.932839794199198</v>
      </c>
      <c r="Z25" s="235">
        <f>+Z$3*COBERTURA_BOSQUE!$P37</f>
        <v>11.932839794199198</v>
      </c>
      <c r="AA25" s="235">
        <f>+AA$3*COBERTURA_BOSQUE!$P37</f>
        <v>11.932839794199198</v>
      </c>
      <c r="AB25" s="236">
        <f>+AB$3*COBERTURA_BOSQUE!$P37</f>
        <v>11.932839794199198</v>
      </c>
    </row>
    <row r="26" spans="1:28" x14ac:dyDescent="0.3">
      <c r="A26" s="104" t="s">
        <v>15</v>
      </c>
      <c r="B26" s="105" t="s">
        <v>6</v>
      </c>
      <c r="C26" s="106">
        <f>+C$3*COBERTURA_BOSQUE!C38</f>
        <v>167.27801491323973</v>
      </c>
      <c r="D26" s="106">
        <f>+D$3*COBERTURA_BOSQUE!D38</f>
        <v>161.48110168316347</v>
      </c>
      <c r="E26" s="106">
        <f>+E$3*COBERTURA_BOSQUE!E38</f>
        <v>156.09489133982831</v>
      </c>
      <c r="F26" s="106">
        <f>+F$3*COBERTURA_BOSQUE!F38</f>
        <v>158.45455716572212</v>
      </c>
      <c r="G26" s="106">
        <f>+G$3*COBERTURA_BOSQUE!G38</f>
        <v>160.70906059473103</v>
      </c>
      <c r="H26" s="106">
        <f>+H$3*COBERTURA_BOSQUE!H38</f>
        <v>216.11355637977007</v>
      </c>
      <c r="I26" s="106">
        <f>+I$3*COBERTURA_BOSQUE!I38</f>
        <v>270.02302405351759</v>
      </c>
      <c r="J26" s="106">
        <f>+J$3*COBERTURA_BOSQUE!J38</f>
        <v>254.59834445082438</v>
      </c>
      <c r="K26" s="106">
        <f>+K$3*COBERTURA_BOSQUE!K38</f>
        <v>239.16315150686404</v>
      </c>
      <c r="L26" s="106">
        <f>+L$3*COBERTURA_BOSQUE!L38</f>
        <v>6.1176390364969606</v>
      </c>
      <c r="M26" s="106">
        <f>+M$3*COBERTURA_BOSQUE!M38</f>
        <v>6.1176390364969606</v>
      </c>
      <c r="N26" s="106">
        <f>+N$3*COBERTURA_BOSQUE!N38</f>
        <v>4.8883044401296454</v>
      </c>
      <c r="O26" s="106">
        <f>+O$3*COBERTURA_BOSQUE!$P38</f>
        <v>4.8883044401296454</v>
      </c>
      <c r="P26" s="235">
        <f>+P$3*COBERTURA_BOSQUE!$P38</f>
        <v>4.8883044401296454</v>
      </c>
      <c r="Q26" s="235">
        <f>+Q$3*COBERTURA_BOSQUE!$P38</f>
        <v>4.8883044401296454</v>
      </c>
      <c r="R26" s="235">
        <f>+R$3*COBERTURA_BOSQUE!$P38</f>
        <v>4.8883044401296454</v>
      </c>
      <c r="S26" s="235">
        <f>+S$3*COBERTURA_BOSQUE!$P38</f>
        <v>4.8883044401296454</v>
      </c>
      <c r="T26" s="235">
        <f>+T$3*COBERTURA_BOSQUE!$P38</f>
        <v>4.8883044401296454</v>
      </c>
      <c r="U26" s="235">
        <f>+U$3*COBERTURA_BOSQUE!$P38</f>
        <v>4.8883044401296454</v>
      </c>
      <c r="V26" s="235">
        <f>+V$3*COBERTURA_BOSQUE!$P38</f>
        <v>4.8883044401296454</v>
      </c>
      <c r="W26" s="235">
        <f>+W$3*COBERTURA_BOSQUE!$P38</f>
        <v>4.8883044401296454</v>
      </c>
      <c r="X26" s="235">
        <f>+X$3*COBERTURA_BOSQUE!$P38</f>
        <v>4.8883044401296454</v>
      </c>
      <c r="Y26" s="235">
        <f>+Y$3*COBERTURA_BOSQUE!$P38</f>
        <v>4.8883044401296454</v>
      </c>
      <c r="Z26" s="235">
        <f>+Z$3*COBERTURA_BOSQUE!$P38</f>
        <v>4.8883044401296454</v>
      </c>
      <c r="AA26" s="235">
        <f>+AA$3*COBERTURA_BOSQUE!$P38</f>
        <v>4.8883044401296454</v>
      </c>
      <c r="AB26" s="236">
        <f>+AB$3*COBERTURA_BOSQUE!$P38</f>
        <v>4.8883044401296454</v>
      </c>
    </row>
    <row r="27" spans="1:28" ht="28.8" x14ac:dyDescent="0.3">
      <c r="A27" s="104" t="s">
        <v>15</v>
      </c>
      <c r="B27" s="105" t="s">
        <v>7</v>
      </c>
      <c r="C27" s="106">
        <f>+C$3*COBERTURA_BOSQUE!C39</f>
        <v>115.20003734369654</v>
      </c>
      <c r="D27" s="106">
        <f>+D$3*COBERTURA_BOSQUE!D39</f>
        <v>111.85940661493288</v>
      </c>
      <c r="E27" s="106">
        <f>+E$3*COBERTURA_BOSQUE!E39</f>
        <v>108.75545472357547</v>
      </c>
      <c r="F27" s="106">
        <f>+F$3*COBERTURA_BOSQUE!F39</f>
        <v>108.09075934927519</v>
      </c>
      <c r="G27" s="106">
        <f>+G$3*COBERTURA_BOSQUE!G39</f>
        <v>107.45568721992443</v>
      </c>
      <c r="H27" s="106">
        <f>+H$3*COBERTURA_BOSQUE!H39</f>
        <v>145.10520970828983</v>
      </c>
      <c r="I27" s="106">
        <f>+I$3*COBERTURA_BOSQUE!I39</f>
        <v>182.0581373461745</v>
      </c>
      <c r="J27" s="106">
        <f>+J$3*COBERTURA_BOSQUE!J39</f>
        <v>177.07866259901149</v>
      </c>
      <c r="K27" s="106">
        <f>+K$3*COBERTURA_BOSQUE!K39</f>
        <v>171.26946752496482</v>
      </c>
      <c r="L27" s="106">
        <f>+L$3*COBERTURA_BOSQUE!L39</f>
        <v>4.3809624253956283</v>
      </c>
      <c r="M27" s="106">
        <f>+M$3*COBERTURA_BOSQUE!M39</f>
        <v>4.3809624253956283</v>
      </c>
      <c r="N27" s="106">
        <f>+N$3*COBERTURA_BOSQUE!N39</f>
        <v>3.5594843193992194</v>
      </c>
      <c r="O27" s="106">
        <f>+O$3*COBERTURA_BOSQUE!$P39</f>
        <v>3.5594843193992194</v>
      </c>
      <c r="P27" s="235">
        <f>+P$3*COBERTURA_BOSQUE!$P39</f>
        <v>3.5594843193992194</v>
      </c>
      <c r="Q27" s="235">
        <f>+Q$3*COBERTURA_BOSQUE!$P39</f>
        <v>3.5594843193992194</v>
      </c>
      <c r="R27" s="235">
        <f>+R$3*COBERTURA_BOSQUE!$P39</f>
        <v>3.5594843193992194</v>
      </c>
      <c r="S27" s="235">
        <f>+S$3*COBERTURA_BOSQUE!$P39</f>
        <v>3.5594843193992194</v>
      </c>
      <c r="T27" s="235">
        <f>+T$3*COBERTURA_BOSQUE!$P39</f>
        <v>3.5594843193992194</v>
      </c>
      <c r="U27" s="235">
        <f>+U$3*COBERTURA_BOSQUE!$P39</f>
        <v>3.5594843193992194</v>
      </c>
      <c r="V27" s="235">
        <f>+V$3*COBERTURA_BOSQUE!$P39</f>
        <v>3.5594843193992194</v>
      </c>
      <c r="W27" s="235">
        <f>+W$3*COBERTURA_BOSQUE!$P39</f>
        <v>3.5594843193992194</v>
      </c>
      <c r="X27" s="235">
        <f>+X$3*COBERTURA_BOSQUE!$P39</f>
        <v>3.5594843193992194</v>
      </c>
      <c r="Y27" s="235">
        <f>+Y$3*COBERTURA_BOSQUE!$P39</f>
        <v>3.5594843193992194</v>
      </c>
      <c r="Z27" s="235">
        <f>+Z$3*COBERTURA_BOSQUE!$P39</f>
        <v>3.5594843193992194</v>
      </c>
      <c r="AA27" s="235">
        <f>+AA$3*COBERTURA_BOSQUE!$P39</f>
        <v>3.5594843193992194</v>
      </c>
      <c r="AB27" s="236">
        <f>+AB$3*COBERTURA_BOSQUE!$P39</f>
        <v>3.5594843193992194</v>
      </c>
    </row>
    <row r="28" spans="1:28" ht="28.8" x14ac:dyDescent="0.3">
      <c r="A28" s="104" t="s">
        <v>15</v>
      </c>
      <c r="B28" s="105" t="s">
        <v>8</v>
      </c>
      <c r="C28" s="106">
        <f>+C$3*COBERTURA_BOSQUE!C40</f>
        <v>842.9759453449791</v>
      </c>
      <c r="D28" s="106">
        <f>+D$3*COBERTURA_BOSQUE!D40</f>
        <v>871.9570363058765</v>
      </c>
      <c r="E28" s="106">
        <f>+E$3*COBERTURA_BOSQUE!E40</f>
        <v>898.88485904519814</v>
      </c>
      <c r="F28" s="106">
        <f>+F$3*COBERTURA_BOSQUE!F40</f>
        <v>897.17078920626909</v>
      </c>
      <c r="G28" s="106">
        <f>+G$3*COBERTURA_BOSQUE!G40</f>
        <v>895.53310971495205</v>
      </c>
      <c r="H28" s="106">
        <f>+H$3*COBERTURA_BOSQUE!H40</f>
        <v>1219.3174496084323</v>
      </c>
      <c r="I28" s="106">
        <f>+I$3*COBERTURA_BOSQUE!I40</f>
        <v>1542.3193892132592</v>
      </c>
      <c r="J28" s="106">
        <f>+J$3*COBERTURA_BOSQUE!J40</f>
        <v>1462.225263498294</v>
      </c>
      <c r="K28" s="106">
        <f>+K$3*COBERTURA_BOSQUE!K40</f>
        <v>1380.8556308098255</v>
      </c>
      <c r="L28" s="106">
        <f>+L$3*COBERTURA_BOSQUE!L40</f>
        <v>35.321395698226432</v>
      </c>
      <c r="M28" s="106">
        <f>+M$3*COBERTURA_BOSQUE!M40</f>
        <v>35.321395698226432</v>
      </c>
      <c r="N28" s="106">
        <f>+N$3*COBERTURA_BOSQUE!N40</f>
        <v>27.792747047846422</v>
      </c>
      <c r="O28" s="106">
        <f>+O$3*COBERTURA_BOSQUE!$P40</f>
        <v>27.792747047846422</v>
      </c>
      <c r="P28" s="235">
        <f>+P$3*COBERTURA_BOSQUE!$P40</f>
        <v>27.792747047846422</v>
      </c>
      <c r="Q28" s="235">
        <f>+Q$3*COBERTURA_BOSQUE!$P40</f>
        <v>27.792747047846422</v>
      </c>
      <c r="R28" s="235">
        <f>+R$3*COBERTURA_BOSQUE!$P40</f>
        <v>27.792747047846422</v>
      </c>
      <c r="S28" s="235">
        <f>+S$3*COBERTURA_BOSQUE!$P40</f>
        <v>27.792747047846422</v>
      </c>
      <c r="T28" s="235">
        <f>+T$3*COBERTURA_BOSQUE!$P40</f>
        <v>27.792747047846422</v>
      </c>
      <c r="U28" s="235">
        <f>+U$3*COBERTURA_BOSQUE!$P40</f>
        <v>27.792747047846422</v>
      </c>
      <c r="V28" s="235">
        <f>+V$3*COBERTURA_BOSQUE!$P40</f>
        <v>27.792747047846422</v>
      </c>
      <c r="W28" s="235">
        <f>+W$3*COBERTURA_BOSQUE!$P40</f>
        <v>27.792747047846422</v>
      </c>
      <c r="X28" s="235">
        <f>+X$3*COBERTURA_BOSQUE!$P40</f>
        <v>27.792747047846422</v>
      </c>
      <c r="Y28" s="235">
        <f>+Y$3*COBERTURA_BOSQUE!$P40</f>
        <v>27.792747047846422</v>
      </c>
      <c r="Z28" s="235">
        <f>+Z$3*COBERTURA_BOSQUE!$P40</f>
        <v>27.792747047846422</v>
      </c>
      <c r="AA28" s="235">
        <f>+AA$3*COBERTURA_BOSQUE!$P40</f>
        <v>27.792747047846422</v>
      </c>
      <c r="AB28" s="236">
        <f>+AB$3*COBERTURA_BOSQUE!$P40</f>
        <v>27.792747047846422</v>
      </c>
    </row>
    <row r="29" spans="1:28" ht="28.8" x14ac:dyDescent="0.3">
      <c r="A29" s="104" t="s">
        <v>15</v>
      </c>
      <c r="B29" s="105" t="s">
        <v>9</v>
      </c>
      <c r="C29" s="106">
        <f>+C$3*COBERTURA_BOSQUE!C41</f>
        <v>93.395142564209038</v>
      </c>
      <c r="D29" s="106">
        <f>+D$3*COBERTURA_BOSQUE!D41</f>
        <v>90.630865085701075</v>
      </c>
      <c r="E29" s="106">
        <f>+E$3*COBERTURA_BOSQUE!E41</f>
        <v>88.062432653533676</v>
      </c>
      <c r="F29" s="106">
        <f>+F$3*COBERTURA_BOSQUE!F41</f>
        <v>87.397396955521899</v>
      </c>
      <c r="G29" s="106">
        <f>+G$3*COBERTURA_BOSQUE!G41</f>
        <v>86.761999669546825</v>
      </c>
      <c r="H29" s="106">
        <f>+H$3*COBERTURA_BOSQUE!H41</f>
        <v>114.62215414911904</v>
      </c>
      <c r="I29" s="106">
        <f>+I$3*COBERTURA_BOSQUE!I41</f>
        <v>140.64638755504208</v>
      </c>
      <c r="J29" s="106">
        <f>+J$3*COBERTURA_BOSQUE!J41</f>
        <v>130.06337893813219</v>
      </c>
      <c r="K29" s="106">
        <f>+K$3*COBERTURA_BOSQUE!K41</f>
        <v>119.86171739470238</v>
      </c>
      <c r="L29" s="106">
        <f>+L$3*COBERTURA_BOSQUE!L41</f>
        <v>3.0659853606016436</v>
      </c>
      <c r="M29" s="106">
        <f>+M$3*COBERTURA_BOSQUE!M41</f>
        <v>3.0659853606016436</v>
      </c>
      <c r="N29" s="106">
        <f>+N$3*COBERTURA_BOSQUE!N41</f>
        <v>2.2820292382197174</v>
      </c>
      <c r="O29" s="106">
        <f>+O$3*COBERTURA_BOSQUE!$P41</f>
        <v>2.2820292382197174</v>
      </c>
      <c r="P29" s="235">
        <f>+P$3*COBERTURA_BOSQUE!$P41</f>
        <v>2.2820292382197174</v>
      </c>
      <c r="Q29" s="235">
        <f>+Q$3*COBERTURA_BOSQUE!$P41</f>
        <v>2.2820292382197174</v>
      </c>
      <c r="R29" s="235">
        <f>+R$3*COBERTURA_BOSQUE!$P41</f>
        <v>2.2820292382197174</v>
      </c>
      <c r="S29" s="235">
        <f>+S$3*COBERTURA_BOSQUE!$P41</f>
        <v>2.2820292382197174</v>
      </c>
      <c r="T29" s="235">
        <f>+T$3*COBERTURA_BOSQUE!$P41</f>
        <v>2.2820292382197174</v>
      </c>
      <c r="U29" s="235">
        <f>+U$3*COBERTURA_BOSQUE!$P41</f>
        <v>2.2820292382197174</v>
      </c>
      <c r="V29" s="235">
        <f>+V$3*COBERTURA_BOSQUE!$P41</f>
        <v>2.2820292382197174</v>
      </c>
      <c r="W29" s="235">
        <f>+W$3*COBERTURA_BOSQUE!$P41</f>
        <v>2.2820292382197174</v>
      </c>
      <c r="X29" s="235">
        <f>+X$3*COBERTURA_BOSQUE!$P41</f>
        <v>2.2820292382197174</v>
      </c>
      <c r="Y29" s="235">
        <f>+Y$3*COBERTURA_BOSQUE!$P41</f>
        <v>2.2820292382197174</v>
      </c>
      <c r="Z29" s="235">
        <f>+Z$3*COBERTURA_BOSQUE!$P41</f>
        <v>2.2820292382197174</v>
      </c>
      <c r="AA29" s="235">
        <f>+AA$3*COBERTURA_BOSQUE!$P41</f>
        <v>2.2820292382197174</v>
      </c>
      <c r="AB29" s="236">
        <f>+AB$3*COBERTURA_BOSQUE!$P41</f>
        <v>2.2820292382197174</v>
      </c>
    </row>
    <row r="30" spans="1:28" x14ac:dyDescent="0.3">
      <c r="A30" s="104" t="s">
        <v>15</v>
      </c>
      <c r="B30" s="105" t="s">
        <v>10</v>
      </c>
      <c r="C30" s="106">
        <f>+C$3*COBERTURA_BOSQUE!C42</f>
        <v>23.194882470986094</v>
      </c>
      <c r="D30" s="106">
        <f>+D$3*COBERTURA_BOSQUE!D42</f>
        <v>22.461613038513875</v>
      </c>
      <c r="E30" s="106">
        <f>+E$3*COBERTURA_BOSQUE!E42</f>
        <v>21.780294680815874</v>
      </c>
      <c r="F30" s="106">
        <f>+F$3*COBERTURA_BOSQUE!F42</f>
        <v>20.774030800863983</v>
      </c>
      <c r="G30" s="106">
        <f>+G$3*COBERTURA_BOSQUE!G42</f>
        <v>19.812612729311351</v>
      </c>
      <c r="H30" s="106">
        <f>+H$3*COBERTURA_BOSQUE!H42</f>
        <v>28.038931953672048</v>
      </c>
      <c r="I30" s="106">
        <f>+I$3*COBERTURA_BOSQUE!I42</f>
        <v>36.781120122481532</v>
      </c>
      <c r="J30" s="106">
        <f>+J$3*COBERTURA_BOSQUE!J42</f>
        <v>33.951374220729356</v>
      </c>
      <c r="K30" s="106">
        <f>+K$3*COBERTURA_BOSQUE!K42</f>
        <v>31.230785859833212</v>
      </c>
      <c r="L30" s="106">
        <f>+L$3*COBERTURA_BOSQUE!L42</f>
        <v>0.79886334292224581</v>
      </c>
      <c r="M30" s="106">
        <f>+M$3*COBERTURA_BOSQUE!M42</f>
        <v>0.79886334292224581</v>
      </c>
      <c r="N30" s="106">
        <f>+N$3*COBERTURA_BOSQUE!N42</f>
        <v>0.93076715951073208</v>
      </c>
      <c r="O30" s="106">
        <f>+O$3*COBERTURA_BOSQUE!$P42</f>
        <v>0.93076715951073208</v>
      </c>
      <c r="P30" s="235">
        <f>+P$3*COBERTURA_BOSQUE!$P42</f>
        <v>0.93076715951073208</v>
      </c>
      <c r="Q30" s="235">
        <f>+Q$3*COBERTURA_BOSQUE!$P42</f>
        <v>0.93076715951073208</v>
      </c>
      <c r="R30" s="235">
        <f>+R$3*COBERTURA_BOSQUE!$P42</f>
        <v>0.93076715951073208</v>
      </c>
      <c r="S30" s="235">
        <f>+S$3*COBERTURA_BOSQUE!$P42</f>
        <v>0.93076715951073208</v>
      </c>
      <c r="T30" s="235">
        <f>+T$3*COBERTURA_BOSQUE!$P42</f>
        <v>0.93076715951073208</v>
      </c>
      <c r="U30" s="235">
        <f>+U$3*COBERTURA_BOSQUE!$P42</f>
        <v>0.93076715951073208</v>
      </c>
      <c r="V30" s="235">
        <f>+V$3*COBERTURA_BOSQUE!$P42</f>
        <v>0.93076715951073208</v>
      </c>
      <c r="W30" s="235">
        <f>+W$3*COBERTURA_BOSQUE!$P42</f>
        <v>0.93076715951073208</v>
      </c>
      <c r="X30" s="235">
        <f>+X$3*COBERTURA_BOSQUE!$P42</f>
        <v>0.93076715951073208</v>
      </c>
      <c r="Y30" s="235">
        <f>+Y$3*COBERTURA_BOSQUE!$P42</f>
        <v>0.93076715951073208</v>
      </c>
      <c r="Z30" s="235">
        <f>+Z$3*COBERTURA_BOSQUE!$P42</f>
        <v>0.93076715951073208</v>
      </c>
      <c r="AA30" s="235">
        <f>+AA$3*COBERTURA_BOSQUE!$P42</f>
        <v>0.93076715951073208</v>
      </c>
      <c r="AB30" s="236">
        <f>+AB$3*COBERTURA_BOSQUE!$P42</f>
        <v>0.93076715951073208</v>
      </c>
    </row>
    <row r="31" spans="1:28" x14ac:dyDescent="0.3">
      <c r="A31" s="104" t="s">
        <v>15</v>
      </c>
      <c r="B31" s="105" t="s">
        <v>11</v>
      </c>
      <c r="C31" s="106">
        <f>+C$3*COBERTURA_BOSQUE!C43</f>
        <v>96.997028150558236</v>
      </c>
      <c r="D31" s="106">
        <f>+D$3*COBERTURA_BOSQUE!D43</f>
        <v>93.746548602150312</v>
      </c>
      <c r="E31" s="106">
        <f>+E$3*COBERTURA_BOSQUE!E43</f>
        <v>90.726360810896452</v>
      </c>
      <c r="F31" s="106">
        <f>+F$3*COBERTURA_BOSQUE!F43</f>
        <v>90.13991702293275</v>
      </c>
      <c r="G31" s="106">
        <f>+G$3*COBERTURA_BOSQUE!G43</f>
        <v>89.579609068994188</v>
      </c>
      <c r="H31" s="106">
        <f>+H$3*COBERTURA_BOSQUE!H43</f>
        <v>123.43126930313448</v>
      </c>
      <c r="I31" s="106">
        <f>+I$3*COBERTURA_BOSQUE!I43</f>
        <v>157.93885562899069</v>
      </c>
      <c r="J31" s="106">
        <f>+J$3*COBERTURA_BOSQUE!J43</f>
        <v>147.49149748310484</v>
      </c>
      <c r="K31" s="106">
        <f>+K$3*COBERTURA_BOSQUE!K43</f>
        <v>137.25430850710771</v>
      </c>
      <c r="L31" s="106">
        <f>+L$3*COBERTURA_BOSQUE!L43</f>
        <v>3.5108766143950909</v>
      </c>
      <c r="M31" s="106">
        <f>+M$3*COBERTURA_BOSQUE!M43</f>
        <v>3.5108766143950909</v>
      </c>
      <c r="N31" s="106">
        <f>+N$3*COBERTURA_BOSQUE!N43</f>
        <v>2.589099749926338</v>
      </c>
      <c r="O31" s="106">
        <f>+O$3*COBERTURA_BOSQUE!$P43</f>
        <v>2.589099749926338</v>
      </c>
      <c r="P31" s="235">
        <f>+P$3*COBERTURA_BOSQUE!$P43</f>
        <v>2.589099749926338</v>
      </c>
      <c r="Q31" s="235">
        <f>+Q$3*COBERTURA_BOSQUE!$P43</f>
        <v>2.589099749926338</v>
      </c>
      <c r="R31" s="235">
        <f>+R$3*COBERTURA_BOSQUE!$P43</f>
        <v>2.589099749926338</v>
      </c>
      <c r="S31" s="235">
        <f>+S$3*COBERTURA_BOSQUE!$P43</f>
        <v>2.589099749926338</v>
      </c>
      <c r="T31" s="235">
        <f>+T$3*COBERTURA_BOSQUE!$P43</f>
        <v>2.589099749926338</v>
      </c>
      <c r="U31" s="235">
        <f>+U$3*COBERTURA_BOSQUE!$P43</f>
        <v>2.589099749926338</v>
      </c>
      <c r="V31" s="235">
        <f>+V$3*COBERTURA_BOSQUE!$P43</f>
        <v>2.589099749926338</v>
      </c>
      <c r="W31" s="235">
        <f>+W$3*COBERTURA_BOSQUE!$P43</f>
        <v>2.589099749926338</v>
      </c>
      <c r="X31" s="235">
        <f>+X$3*COBERTURA_BOSQUE!$P43</f>
        <v>2.589099749926338</v>
      </c>
      <c r="Y31" s="235">
        <f>+Y$3*COBERTURA_BOSQUE!$P43</f>
        <v>2.589099749926338</v>
      </c>
      <c r="Z31" s="235">
        <f>+Z$3*COBERTURA_BOSQUE!$P43</f>
        <v>2.589099749926338</v>
      </c>
      <c r="AA31" s="235">
        <f>+AA$3*COBERTURA_BOSQUE!$P43</f>
        <v>2.589099749926338</v>
      </c>
      <c r="AB31" s="236">
        <f>+AB$3*COBERTURA_BOSQUE!$P43</f>
        <v>2.589099749926338</v>
      </c>
    </row>
    <row r="32" spans="1:28" ht="15" thickBot="1" x14ac:dyDescent="0.35">
      <c r="A32" s="107" t="s">
        <v>15</v>
      </c>
      <c r="B32" s="108" t="s">
        <v>12</v>
      </c>
      <c r="C32" s="109">
        <f>+C$3*COBERTURA_BOSQUE!C44</f>
        <v>13.661290865500829</v>
      </c>
      <c r="D32" s="109">
        <f>+D$3*COBERTURA_BOSQUE!D44</f>
        <v>13.15957669251155</v>
      </c>
      <c r="E32" s="109">
        <f>+E$3*COBERTURA_BOSQUE!E44</f>
        <v>12.693408240320114</v>
      </c>
      <c r="F32" s="109">
        <f>+F$3*COBERTURA_BOSQUE!F44</f>
        <v>12.404110392441838</v>
      </c>
      <c r="G32" s="109">
        <f>+G$3*COBERTURA_BOSQUE!G44</f>
        <v>12.127705579993679</v>
      </c>
      <c r="H32" s="109">
        <f>+H$3*COBERTURA_BOSQUE!H44</f>
        <v>30.954287611303997</v>
      </c>
      <c r="I32" s="109">
        <f>+I$3*COBERTURA_BOSQUE!I44</f>
        <v>57.014139318993898</v>
      </c>
      <c r="J32" s="109">
        <f>+J$3*COBERTURA_BOSQUE!J44</f>
        <v>50.432238257376142</v>
      </c>
      <c r="K32" s="109">
        <f>+K$3*COBERTURA_BOSQUE!K44</f>
        <v>44.352752458735665</v>
      </c>
      <c r="L32" s="109">
        <f>+L$3*COBERTURA_BOSQUE!L44</f>
        <v>1.1345147783347407</v>
      </c>
      <c r="M32" s="109">
        <f>+M$3*COBERTURA_BOSQUE!M44</f>
        <v>1.1345147783347407</v>
      </c>
      <c r="N32" s="109">
        <f>+N$3*COBERTURA_BOSQUE!N44</f>
        <v>1.0926813789560368</v>
      </c>
      <c r="O32" s="109">
        <f>+O$3*COBERTURA_BOSQUE!$P44</f>
        <v>1.0926813789560368</v>
      </c>
      <c r="P32" s="237">
        <f>+P$3*COBERTURA_BOSQUE!$P44</f>
        <v>1.0926813789560368</v>
      </c>
      <c r="Q32" s="237">
        <f>+Q$3*COBERTURA_BOSQUE!$P44</f>
        <v>1.0926813789560368</v>
      </c>
      <c r="R32" s="237">
        <f>+R$3*COBERTURA_BOSQUE!$P44</f>
        <v>1.0926813789560368</v>
      </c>
      <c r="S32" s="237">
        <f>+S$3*COBERTURA_BOSQUE!$P44</f>
        <v>1.0926813789560368</v>
      </c>
      <c r="T32" s="237">
        <f>+T$3*COBERTURA_BOSQUE!$P44</f>
        <v>1.0926813789560368</v>
      </c>
      <c r="U32" s="237">
        <f>+U$3*COBERTURA_BOSQUE!$P44</f>
        <v>1.0926813789560368</v>
      </c>
      <c r="V32" s="237">
        <f>+V$3*COBERTURA_BOSQUE!$P44</f>
        <v>1.0926813789560368</v>
      </c>
      <c r="W32" s="237">
        <f>+W$3*COBERTURA_BOSQUE!$P44</f>
        <v>1.0926813789560368</v>
      </c>
      <c r="X32" s="237">
        <f>+X$3*COBERTURA_BOSQUE!$P44</f>
        <v>1.0926813789560368</v>
      </c>
      <c r="Y32" s="237">
        <f>+Y$3*COBERTURA_BOSQUE!$P44</f>
        <v>1.0926813789560368</v>
      </c>
      <c r="Z32" s="237">
        <f>+Z$3*COBERTURA_BOSQUE!$P44</f>
        <v>1.0926813789560368</v>
      </c>
      <c r="AA32" s="237">
        <f>+AA$3*COBERTURA_BOSQUE!$P44</f>
        <v>1.0926813789560368</v>
      </c>
      <c r="AB32" s="238">
        <f>+AB$3*COBERTURA_BOSQUE!$P44</f>
        <v>1.0926813789560368</v>
      </c>
    </row>
    <row r="33" spans="1:28" ht="15" thickBot="1" x14ac:dyDescent="0.35">
      <c r="A33" s="317" t="s">
        <v>17</v>
      </c>
      <c r="B33" s="318"/>
      <c r="C33" s="110">
        <f>+SUM(C23:C32)</f>
        <v>1811.6600000000003</v>
      </c>
      <c r="D33" s="110">
        <f t="shared" ref="D33" si="18">+SUM(D23:D32)</f>
        <v>1811.66</v>
      </c>
      <c r="E33" s="110">
        <f t="shared" ref="E33" si="19">+SUM(E23:E32)</f>
        <v>1811.6599999999996</v>
      </c>
      <c r="F33" s="110">
        <f t="shared" ref="F33" si="20">+SUM(F23:F32)</f>
        <v>1811.6600000000003</v>
      </c>
      <c r="G33" s="110">
        <f t="shared" ref="G33" si="21">+SUM(G23:G32)</f>
        <v>1811.6599999999996</v>
      </c>
      <c r="H33" s="110">
        <f t="shared" ref="H33" si="22">+SUM(H23:H32)</f>
        <v>2469.8300000000004</v>
      </c>
      <c r="I33" s="110">
        <f t="shared" ref="I33" si="23">+SUM(I23:I32)</f>
        <v>3127.9999999999995</v>
      </c>
      <c r="J33" s="110">
        <f t="shared" ref="J33" si="24">+SUM(J23:J32)</f>
        <v>2948.5150000000003</v>
      </c>
      <c r="K33" s="110">
        <f t="shared" ref="K33" si="25">+SUM(K23:K32)</f>
        <v>2769.0300000000007</v>
      </c>
      <c r="L33" s="110">
        <f t="shared" ref="L33" si="26">+SUM(L23:L32)</f>
        <v>70.830000000000013</v>
      </c>
      <c r="M33" s="110">
        <f t="shared" ref="M33" si="27">+SUM(M23:M32)</f>
        <v>70.830000000000013</v>
      </c>
      <c r="N33" s="110">
        <f t="shared" ref="N33" si="28">+SUM(N23:N32)</f>
        <v>56.52</v>
      </c>
      <c r="O33" s="110">
        <f t="shared" ref="O33:AA33" si="29">+SUM(O23:O32)</f>
        <v>56.52</v>
      </c>
      <c r="P33" s="239">
        <f t="shared" si="29"/>
        <v>56.52</v>
      </c>
      <c r="Q33" s="239">
        <f t="shared" si="29"/>
        <v>56.52</v>
      </c>
      <c r="R33" s="239">
        <f t="shared" si="29"/>
        <v>56.52</v>
      </c>
      <c r="S33" s="239">
        <f t="shared" si="29"/>
        <v>56.52</v>
      </c>
      <c r="T33" s="239">
        <f t="shared" si="29"/>
        <v>56.52</v>
      </c>
      <c r="U33" s="239">
        <f t="shared" si="29"/>
        <v>56.52</v>
      </c>
      <c r="V33" s="239">
        <f t="shared" si="29"/>
        <v>56.52</v>
      </c>
      <c r="W33" s="239">
        <f t="shared" si="29"/>
        <v>56.52</v>
      </c>
      <c r="X33" s="239">
        <f t="shared" si="29"/>
        <v>56.52</v>
      </c>
      <c r="Y33" s="239">
        <f t="shared" si="29"/>
        <v>56.52</v>
      </c>
      <c r="Z33" s="239">
        <f t="shared" si="29"/>
        <v>56.52</v>
      </c>
      <c r="AA33" s="239">
        <f t="shared" si="29"/>
        <v>56.52</v>
      </c>
      <c r="AB33" s="240">
        <f t="shared" ref="AB33" si="30">+SUM(AB23:AB32)</f>
        <v>56.52</v>
      </c>
    </row>
    <row r="35" spans="1:28" ht="15" thickBot="1" x14ac:dyDescent="0.35">
      <c r="A35" s="111" t="s">
        <v>61</v>
      </c>
      <c r="B35" s="112"/>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row>
    <row r="36" spans="1:28" x14ac:dyDescent="0.3">
      <c r="A36" s="101" t="s">
        <v>16</v>
      </c>
      <c r="B36" s="102" t="s">
        <v>2</v>
      </c>
      <c r="C36" s="103">
        <f>+C$4*COBERTURA_BOSQUE!C35</f>
        <v>9.0396271902840719E-2</v>
      </c>
      <c r="D36" s="103">
        <f>+D$4*COBERTURA_BOSQUE!D35</f>
        <v>9.4511072618878519E-2</v>
      </c>
      <c r="E36" s="103">
        <f>+E$4*COBERTURA_BOSQUE!E35</f>
        <v>9.8334345677805135E-2</v>
      </c>
      <c r="F36" s="103">
        <f>+F$4*COBERTURA_BOSQUE!F35</f>
        <v>9.6940863213375417E-2</v>
      </c>
      <c r="G36" s="103">
        <f>+G$4*COBERTURA_BOSQUE!G35</f>
        <v>9.5609483591800895E-2</v>
      </c>
      <c r="H36" s="103">
        <f>+H$4*COBERTURA_BOSQUE!H35</f>
        <v>0.10021923018749439</v>
      </c>
      <c r="I36" s="103">
        <f>+I$4*COBERTURA_BOSQUE!I35</f>
        <v>0.10474700286552732</v>
      </c>
      <c r="J36" s="103">
        <f>+J$4*COBERTURA_BOSQUE!J35</f>
        <v>0.10206869408330153</v>
      </c>
      <c r="K36" s="103">
        <f>+K$4*COBERTURA_BOSQUE!K35</f>
        <v>9.9478160571595226E-2</v>
      </c>
      <c r="L36" s="103">
        <f>+L$4*COBERTURA_BOSQUE!L35</f>
        <v>2.4126256483556902E-3</v>
      </c>
      <c r="M36" s="103">
        <f>+M$4*COBERTURA_BOSQUE!M35</f>
        <v>2.4126256483556902E-3</v>
      </c>
      <c r="N36" s="103">
        <f>+N$4*COBERTURA_BOSQUE!N35</f>
        <v>2.7813706454318115E-2</v>
      </c>
      <c r="O36" s="103">
        <f>+O$4*COBERTURA_BOSQUE!$P35</f>
        <v>2.7813706454318115E-2</v>
      </c>
      <c r="P36" s="233">
        <f>+P$4*COBERTURA_BOSQUE!$P35</f>
        <v>2.7813706454318115E-2</v>
      </c>
      <c r="Q36" s="233">
        <f>+Q$4*COBERTURA_BOSQUE!$P35</f>
        <v>2.7813706454318115E-2</v>
      </c>
      <c r="R36" s="233">
        <f>+R$4*COBERTURA_BOSQUE!$P35</f>
        <v>2.7813706454318115E-2</v>
      </c>
      <c r="S36" s="233">
        <f>+S$4*COBERTURA_BOSQUE!$P35</f>
        <v>2.7813706454318115E-2</v>
      </c>
      <c r="T36" s="233">
        <f>+T$4*COBERTURA_BOSQUE!$P35</f>
        <v>2.7813706454318115E-2</v>
      </c>
      <c r="U36" s="233">
        <f>+U$4*COBERTURA_BOSQUE!$P35</f>
        <v>2.7813706454318115E-2</v>
      </c>
      <c r="V36" s="233">
        <f>+V$4*COBERTURA_BOSQUE!$P35</f>
        <v>2.7813706454318115E-2</v>
      </c>
      <c r="W36" s="233">
        <f>+W$4*COBERTURA_BOSQUE!$P35</f>
        <v>2.7813706454318115E-2</v>
      </c>
      <c r="X36" s="233">
        <f>+X$4*COBERTURA_BOSQUE!$P35</f>
        <v>2.7813706454318115E-2</v>
      </c>
      <c r="Y36" s="233">
        <f>+Y$4*COBERTURA_BOSQUE!$P35</f>
        <v>2.7813706454318115E-2</v>
      </c>
      <c r="Z36" s="233">
        <f>+Z$4*COBERTURA_BOSQUE!$P35</f>
        <v>2.7813706454318115E-2</v>
      </c>
      <c r="AA36" s="233">
        <f>+AA$4*COBERTURA_BOSQUE!$P35</f>
        <v>2.7813706454318115E-2</v>
      </c>
      <c r="AB36" s="234">
        <f>+AB$4*COBERTURA_BOSQUE!$P35</f>
        <v>2.7813706454318115E-2</v>
      </c>
    </row>
    <row r="37" spans="1:28" x14ac:dyDescent="0.3">
      <c r="A37" s="104" t="s">
        <v>16</v>
      </c>
      <c r="B37" s="105" t="s">
        <v>4</v>
      </c>
      <c r="C37" s="106">
        <f>+C$4*COBERTURA_BOSQUE!C36</f>
        <v>0.88273639721632258</v>
      </c>
      <c r="D37" s="106">
        <f>+D$4*COBERTURA_BOSQUE!D36</f>
        <v>0.89002847322251655</v>
      </c>
      <c r="E37" s="106">
        <f>+E$4*COBERTURA_BOSQUE!E36</f>
        <v>0.8968039162298691</v>
      </c>
      <c r="F37" s="106">
        <f>+F$4*COBERTURA_BOSQUE!F36</f>
        <v>0.90404274660034023</v>
      </c>
      <c r="G37" s="106">
        <f>+G$4*COBERTURA_BOSQUE!G36</f>
        <v>0.91095896656384223</v>
      </c>
      <c r="H37" s="106">
        <f>+H$4*COBERTURA_BOSQUE!H36</f>
        <v>0.95090828592323251</v>
      </c>
      <c r="I37" s="106">
        <f>+I$4*COBERTURA_BOSQUE!I36</f>
        <v>0.98974209725273732</v>
      </c>
      <c r="J37" s="106">
        <f>+J$4*COBERTURA_BOSQUE!J36</f>
        <v>0.96582064933170919</v>
      </c>
      <c r="K37" s="106">
        <f>+K$4*COBERTURA_BOSQUE!K36</f>
        <v>0.9426617609519049</v>
      </c>
      <c r="L37" s="106">
        <f>+L$4*COBERTURA_BOSQUE!L36</f>
        <v>2.2862203413581229E-2</v>
      </c>
      <c r="M37" s="106">
        <f>+M$4*COBERTURA_BOSQUE!M36</f>
        <v>2.2862203413581229E-2</v>
      </c>
      <c r="N37" s="106">
        <f>+N$4*COBERTURA_BOSQUE!N36</f>
        <v>0.28433012745446168</v>
      </c>
      <c r="O37" s="106">
        <f>+O$4*COBERTURA_BOSQUE!$P36</f>
        <v>0.28433012745446168</v>
      </c>
      <c r="P37" s="235">
        <f>+P$4*COBERTURA_BOSQUE!$P36</f>
        <v>0.28433012745446168</v>
      </c>
      <c r="Q37" s="235">
        <f>+Q$4*COBERTURA_BOSQUE!$P36</f>
        <v>0.28433012745446168</v>
      </c>
      <c r="R37" s="235">
        <f>+R$4*COBERTURA_BOSQUE!$P36</f>
        <v>0.28433012745446168</v>
      </c>
      <c r="S37" s="235">
        <f>+S$4*COBERTURA_BOSQUE!$P36</f>
        <v>0.28433012745446168</v>
      </c>
      <c r="T37" s="235">
        <f>+T$4*COBERTURA_BOSQUE!$P36</f>
        <v>0.28433012745446168</v>
      </c>
      <c r="U37" s="235">
        <f>+U$4*COBERTURA_BOSQUE!$P36</f>
        <v>0.28433012745446168</v>
      </c>
      <c r="V37" s="235">
        <f>+V$4*COBERTURA_BOSQUE!$P36</f>
        <v>0.28433012745446168</v>
      </c>
      <c r="W37" s="235">
        <f>+W$4*COBERTURA_BOSQUE!$P36</f>
        <v>0.28433012745446168</v>
      </c>
      <c r="X37" s="235">
        <f>+X$4*COBERTURA_BOSQUE!$P36</f>
        <v>0.28433012745446168</v>
      </c>
      <c r="Y37" s="235">
        <f>+Y$4*COBERTURA_BOSQUE!$P36</f>
        <v>0.28433012745446168</v>
      </c>
      <c r="Z37" s="235">
        <f>+Z$4*COBERTURA_BOSQUE!$P36</f>
        <v>0.28433012745446168</v>
      </c>
      <c r="AA37" s="235">
        <f>+AA$4*COBERTURA_BOSQUE!$P36</f>
        <v>0.28433012745446168</v>
      </c>
      <c r="AB37" s="236">
        <f>+AB$4*COBERTURA_BOSQUE!$P36</f>
        <v>0.28433012745446168</v>
      </c>
    </row>
    <row r="38" spans="1:28" x14ac:dyDescent="0.3">
      <c r="A38" s="104" t="s">
        <v>16</v>
      </c>
      <c r="B38" s="105" t="s">
        <v>5</v>
      </c>
      <c r="C38" s="106">
        <f>+C$4*COBERTURA_BOSQUE!C37</f>
        <v>8.4408117708796411</v>
      </c>
      <c r="D38" s="106">
        <f>+D$4*COBERTURA_BOSQUE!D37</f>
        <v>8.1710860900234525</v>
      </c>
      <c r="E38" s="106">
        <f>+E$4*COBERTURA_BOSQUE!E37</f>
        <v>7.9204700820844112</v>
      </c>
      <c r="F38" s="106">
        <f>+F$4*COBERTURA_BOSQUE!F37</f>
        <v>7.9672603196295197</v>
      </c>
      <c r="G38" s="106">
        <f>+G$4*COBERTURA_BOSQUE!G37</f>
        <v>8.0119652731157291</v>
      </c>
      <c r="H38" s="106">
        <f>+H$4*COBERTURA_BOSQUE!H37</f>
        <v>8.3799183723873973</v>
      </c>
      <c r="I38" s="106">
        <f>+I$4*COBERTURA_BOSQUE!I37</f>
        <v>8.7394579237320897</v>
      </c>
      <c r="J38" s="106">
        <f>+J$4*COBERTURA_BOSQUE!J37</f>
        <v>8.6015448433339277</v>
      </c>
      <c r="K38" s="106">
        <f>+K$4*COBERTURA_BOSQUE!K37</f>
        <v>8.4668296562664924</v>
      </c>
      <c r="L38" s="106">
        <f>+L$4*COBERTURA_BOSQUE!L37</f>
        <v>0.20534447231023584</v>
      </c>
      <c r="M38" s="106">
        <f>+M$4*COBERTURA_BOSQUE!M37</f>
        <v>0.20534447231023584</v>
      </c>
      <c r="N38" s="106">
        <f>+N$4*COBERTURA_BOSQUE!N37</f>
        <v>2.5651805290077894</v>
      </c>
      <c r="O38" s="106">
        <f>+O$4*COBERTURA_BOSQUE!$P37</f>
        <v>2.5651805290077894</v>
      </c>
      <c r="P38" s="235">
        <f>+P$4*COBERTURA_BOSQUE!$P37</f>
        <v>2.5651805290077894</v>
      </c>
      <c r="Q38" s="235">
        <f>+Q$4*COBERTURA_BOSQUE!$P37</f>
        <v>2.5651805290077894</v>
      </c>
      <c r="R38" s="235">
        <f>+R$4*COBERTURA_BOSQUE!$P37</f>
        <v>2.5651805290077894</v>
      </c>
      <c r="S38" s="235">
        <f>+S$4*COBERTURA_BOSQUE!$P37</f>
        <v>2.5651805290077894</v>
      </c>
      <c r="T38" s="235">
        <f>+T$4*COBERTURA_BOSQUE!$P37</f>
        <v>2.5651805290077894</v>
      </c>
      <c r="U38" s="235">
        <f>+U$4*COBERTURA_BOSQUE!$P37</f>
        <v>2.5651805290077894</v>
      </c>
      <c r="V38" s="235">
        <f>+V$4*COBERTURA_BOSQUE!$P37</f>
        <v>2.5651805290077894</v>
      </c>
      <c r="W38" s="235">
        <f>+W$4*COBERTURA_BOSQUE!$P37</f>
        <v>2.5651805290077894</v>
      </c>
      <c r="X38" s="235">
        <f>+X$4*COBERTURA_BOSQUE!$P37</f>
        <v>2.5651805290077894</v>
      </c>
      <c r="Y38" s="235">
        <f>+Y$4*COBERTURA_BOSQUE!$P37</f>
        <v>2.5651805290077894</v>
      </c>
      <c r="Z38" s="235">
        <f>+Z$4*COBERTURA_BOSQUE!$P37</f>
        <v>2.5651805290077894</v>
      </c>
      <c r="AA38" s="235">
        <f>+AA$4*COBERTURA_BOSQUE!$P37</f>
        <v>2.5651805290077894</v>
      </c>
      <c r="AB38" s="236">
        <f>+AB$4*COBERTURA_BOSQUE!$P37</f>
        <v>2.5651805290077894</v>
      </c>
    </row>
    <row r="39" spans="1:28" x14ac:dyDescent="0.3">
      <c r="A39" s="104" t="s">
        <v>16</v>
      </c>
      <c r="B39" s="105" t="s">
        <v>6</v>
      </c>
      <c r="C39" s="106">
        <f>+C$4*COBERTURA_BOSQUE!C38</f>
        <v>3.4311355520218956</v>
      </c>
      <c r="D39" s="106">
        <f>+D$4*COBERTURA_BOSQUE!D38</f>
        <v>3.3122317314211021</v>
      </c>
      <c r="E39" s="106">
        <f>+E$4*COBERTURA_BOSQUE!E38</f>
        <v>3.2017520738924627</v>
      </c>
      <c r="F39" s="106">
        <f>+F$4*COBERTURA_BOSQUE!F38</f>
        <v>3.2501525365014592</v>
      </c>
      <c r="G39" s="106">
        <f>+G$4*COBERTURA_BOSQUE!G38</f>
        <v>3.2963959527175097</v>
      </c>
      <c r="H39" s="106">
        <f>+H$4*COBERTURA_BOSQUE!H38</f>
        <v>3.4414296418848087</v>
      </c>
      <c r="I39" s="106">
        <f>+I$4*COBERTURA_BOSQUE!I38</f>
        <v>3.5824665915028704</v>
      </c>
      <c r="J39" s="106">
        <f>+J$4*COBERTURA_BOSQUE!J38</f>
        <v>3.5540832783946938</v>
      </c>
      <c r="K39" s="106">
        <f>+K$4*COBERTURA_BOSQUE!K38</f>
        <v>3.5256533314952128</v>
      </c>
      <c r="L39" s="106">
        <f>+L$4*COBERTURA_BOSQUE!L38</f>
        <v>8.5507025923083305E-2</v>
      </c>
      <c r="M39" s="106">
        <f>+M$4*COBERTURA_BOSQUE!M38</f>
        <v>8.5507025923083305E-2</v>
      </c>
      <c r="N39" s="106">
        <f>+N$4*COBERTURA_BOSQUE!N38</f>
        <v>1.0508297761425194</v>
      </c>
      <c r="O39" s="106">
        <f>+O$4*COBERTURA_BOSQUE!$P38</f>
        <v>1.0508297761425194</v>
      </c>
      <c r="P39" s="235">
        <f>+P$4*COBERTURA_BOSQUE!$P38</f>
        <v>1.0508297761425194</v>
      </c>
      <c r="Q39" s="235">
        <f>+Q$4*COBERTURA_BOSQUE!$P38</f>
        <v>1.0508297761425194</v>
      </c>
      <c r="R39" s="235">
        <f>+R$4*COBERTURA_BOSQUE!$P38</f>
        <v>1.0508297761425194</v>
      </c>
      <c r="S39" s="235">
        <f>+S$4*COBERTURA_BOSQUE!$P38</f>
        <v>1.0508297761425194</v>
      </c>
      <c r="T39" s="235">
        <f>+T$4*COBERTURA_BOSQUE!$P38</f>
        <v>1.0508297761425194</v>
      </c>
      <c r="U39" s="235">
        <f>+U$4*COBERTURA_BOSQUE!$P38</f>
        <v>1.0508297761425194</v>
      </c>
      <c r="V39" s="235">
        <f>+V$4*COBERTURA_BOSQUE!$P38</f>
        <v>1.0508297761425194</v>
      </c>
      <c r="W39" s="235">
        <f>+W$4*COBERTURA_BOSQUE!$P38</f>
        <v>1.0508297761425194</v>
      </c>
      <c r="X39" s="235">
        <f>+X$4*COBERTURA_BOSQUE!$P38</f>
        <v>1.0508297761425194</v>
      </c>
      <c r="Y39" s="235">
        <f>+Y$4*COBERTURA_BOSQUE!$P38</f>
        <v>1.0508297761425194</v>
      </c>
      <c r="Z39" s="235">
        <f>+Z$4*COBERTURA_BOSQUE!$P38</f>
        <v>1.0508297761425194</v>
      </c>
      <c r="AA39" s="235">
        <f>+AA$4*COBERTURA_BOSQUE!$P38</f>
        <v>1.0508297761425194</v>
      </c>
      <c r="AB39" s="236">
        <f>+AB$4*COBERTURA_BOSQUE!$P38</f>
        <v>1.0508297761425194</v>
      </c>
    </row>
    <row r="40" spans="1:28" ht="28.8" x14ac:dyDescent="0.3">
      <c r="A40" s="104" t="s">
        <v>16</v>
      </c>
      <c r="B40" s="105" t="s">
        <v>7</v>
      </c>
      <c r="C40" s="106">
        <f>+C$4*COBERTURA_BOSQUE!C39</f>
        <v>2.3629342082354099</v>
      </c>
      <c r="D40" s="106">
        <f>+D$4*COBERTURA_BOSQUE!D39</f>
        <v>2.294412610429609</v>
      </c>
      <c r="E40" s="106">
        <f>+E$4*COBERTURA_BOSQUE!E39</f>
        <v>2.2307456683528168</v>
      </c>
      <c r="F40" s="106">
        <f>+F$4*COBERTURA_BOSQUE!F39</f>
        <v>2.2171117193176784</v>
      </c>
      <c r="G40" s="106">
        <f>+G$4*COBERTURA_BOSQUE!G39</f>
        <v>2.2040853896936463</v>
      </c>
      <c r="H40" s="106">
        <f>+H$4*COBERTURA_BOSQUE!H39</f>
        <v>2.3106804508112053</v>
      </c>
      <c r="I40" s="106">
        <f>+I$4*COBERTURA_BOSQUE!I39</f>
        <v>2.4154132672206656</v>
      </c>
      <c r="J40" s="106">
        <f>+J$4*COBERTURA_BOSQUE!J39</f>
        <v>2.471941893656743</v>
      </c>
      <c r="K40" s="106">
        <f>+K$4*COBERTURA_BOSQUE!K39</f>
        <v>2.5247901483079138</v>
      </c>
      <c r="L40" s="106">
        <f>+L$4*COBERTURA_BOSQUE!L39</f>
        <v>6.1233274052543724E-2</v>
      </c>
      <c r="M40" s="106">
        <f>+M$4*COBERTURA_BOSQUE!M39</f>
        <v>6.1233274052543724E-2</v>
      </c>
      <c r="N40" s="106">
        <f>+N$4*COBERTURA_BOSQUE!N39</f>
        <v>0.76517576929760289</v>
      </c>
      <c r="O40" s="106">
        <f>+O$4*COBERTURA_BOSQUE!$P39</f>
        <v>0.76517576929760289</v>
      </c>
      <c r="P40" s="235">
        <f>+P$4*COBERTURA_BOSQUE!$P39</f>
        <v>0.76517576929760289</v>
      </c>
      <c r="Q40" s="235">
        <f>+Q$4*COBERTURA_BOSQUE!$P39</f>
        <v>0.76517576929760289</v>
      </c>
      <c r="R40" s="235">
        <f>+R$4*COBERTURA_BOSQUE!$P39</f>
        <v>0.76517576929760289</v>
      </c>
      <c r="S40" s="235">
        <f>+S$4*COBERTURA_BOSQUE!$P39</f>
        <v>0.76517576929760289</v>
      </c>
      <c r="T40" s="235">
        <f>+T$4*COBERTURA_BOSQUE!$P39</f>
        <v>0.76517576929760289</v>
      </c>
      <c r="U40" s="235">
        <f>+U$4*COBERTURA_BOSQUE!$P39</f>
        <v>0.76517576929760289</v>
      </c>
      <c r="V40" s="235">
        <f>+V$4*COBERTURA_BOSQUE!$P39</f>
        <v>0.76517576929760289</v>
      </c>
      <c r="W40" s="235">
        <f>+W$4*COBERTURA_BOSQUE!$P39</f>
        <v>0.76517576929760289</v>
      </c>
      <c r="X40" s="235">
        <f>+X$4*COBERTURA_BOSQUE!$P39</f>
        <v>0.76517576929760289</v>
      </c>
      <c r="Y40" s="235">
        <f>+Y$4*COBERTURA_BOSQUE!$P39</f>
        <v>0.76517576929760289</v>
      </c>
      <c r="Z40" s="235">
        <f>+Z$4*COBERTURA_BOSQUE!$P39</f>
        <v>0.76517576929760289</v>
      </c>
      <c r="AA40" s="235">
        <f>+AA$4*COBERTURA_BOSQUE!$P39</f>
        <v>0.76517576929760289</v>
      </c>
      <c r="AB40" s="236">
        <f>+AB$4*COBERTURA_BOSQUE!$P39</f>
        <v>0.76517576929760289</v>
      </c>
    </row>
    <row r="41" spans="1:28" ht="28.8" x14ac:dyDescent="0.3">
      <c r="A41" s="104" t="s">
        <v>16</v>
      </c>
      <c r="B41" s="105" t="s">
        <v>8</v>
      </c>
      <c r="C41" s="106">
        <f>+C$4*COBERTURA_BOSQUE!C40</f>
        <v>17.290764342657795</v>
      </c>
      <c r="D41" s="106">
        <f>+D$4*COBERTURA_BOSQUE!D40</f>
        <v>17.885212164051957</v>
      </c>
      <c r="E41" s="106">
        <f>+E$4*COBERTURA_BOSQUE!E40</f>
        <v>18.437544220283915</v>
      </c>
      <c r="F41" s="106">
        <f>+F$4*COBERTURA_BOSQUE!F40</f>
        <v>18.402385948193896</v>
      </c>
      <c r="G41" s="106">
        <f>+G$4*COBERTURA_BOSQUE!G40</f>
        <v>18.368794562449697</v>
      </c>
      <c r="H41" s="106">
        <f>+H$4*COBERTURA_BOSQUE!H40</f>
        <v>19.41662191045523</v>
      </c>
      <c r="I41" s="106">
        <f>+I$4*COBERTURA_BOSQUE!I40</f>
        <v>20.462357625431668</v>
      </c>
      <c r="J41" s="106">
        <f>+J$4*COBERTURA_BOSQUE!J40</f>
        <v>20.412035158576359</v>
      </c>
      <c r="K41" s="106">
        <f>+K$4*COBERTURA_BOSQUE!K40</f>
        <v>20.35605495413812</v>
      </c>
      <c r="L41" s="106">
        <f>+L$4*COBERTURA_BOSQUE!L40</f>
        <v>0.49369168066136054</v>
      </c>
      <c r="M41" s="106">
        <f>+M$4*COBERTURA_BOSQUE!M40</f>
        <v>0.49369168066136054</v>
      </c>
      <c r="N41" s="106">
        <f>+N$4*COBERTURA_BOSQUE!N40</f>
        <v>5.9745554959542462</v>
      </c>
      <c r="O41" s="106">
        <f>+O$4*COBERTURA_BOSQUE!$P40</f>
        <v>5.9745554959542462</v>
      </c>
      <c r="P41" s="235">
        <f>+P$4*COBERTURA_BOSQUE!$P40</f>
        <v>5.9745554959542462</v>
      </c>
      <c r="Q41" s="235">
        <f>+Q$4*COBERTURA_BOSQUE!$P40</f>
        <v>5.9745554959542462</v>
      </c>
      <c r="R41" s="235">
        <f>+R$4*COBERTURA_BOSQUE!$P40</f>
        <v>5.9745554959542462</v>
      </c>
      <c r="S41" s="235">
        <f>+S$4*COBERTURA_BOSQUE!$P40</f>
        <v>5.9745554959542462</v>
      </c>
      <c r="T41" s="235">
        <f>+T$4*COBERTURA_BOSQUE!$P40</f>
        <v>5.9745554959542462</v>
      </c>
      <c r="U41" s="235">
        <f>+U$4*COBERTURA_BOSQUE!$P40</f>
        <v>5.9745554959542462</v>
      </c>
      <c r="V41" s="235">
        <f>+V$4*COBERTURA_BOSQUE!$P40</f>
        <v>5.9745554959542462</v>
      </c>
      <c r="W41" s="235">
        <f>+W$4*COBERTURA_BOSQUE!$P40</f>
        <v>5.9745554959542462</v>
      </c>
      <c r="X41" s="235">
        <f>+X$4*COBERTURA_BOSQUE!$P40</f>
        <v>5.9745554959542462</v>
      </c>
      <c r="Y41" s="235">
        <f>+Y$4*COBERTURA_BOSQUE!$P40</f>
        <v>5.9745554959542462</v>
      </c>
      <c r="Z41" s="235">
        <f>+Z$4*COBERTURA_BOSQUE!$P40</f>
        <v>5.9745554959542462</v>
      </c>
      <c r="AA41" s="235">
        <f>+AA$4*COBERTURA_BOSQUE!$P40</f>
        <v>5.9745554959542462</v>
      </c>
      <c r="AB41" s="236">
        <f>+AB$4*COBERTURA_BOSQUE!$P40</f>
        <v>5.9745554959542462</v>
      </c>
    </row>
    <row r="42" spans="1:28" ht="28.8" x14ac:dyDescent="0.3">
      <c r="A42" s="104" t="s">
        <v>16</v>
      </c>
      <c r="B42" s="105" t="s">
        <v>9</v>
      </c>
      <c r="C42" s="106">
        <f>+C$4*COBERTURA_BOSQUE!C41</f>
        <v>1.9156814731715703</v>
      </c>
      <c r="D42" s="106">
        <f>+D$4*COBERTURA_BOSQUE!D41</f>
        <v>1.8589817882961766</v>
      </c>
      <c r="E42" s="106">
        <f>+E$4*COBERTURA_BOSQUE!E41</f>
        <v>1.8062991937810136</v>
      </c>
      <c r="F42" s="106">
        <f>+F$4*COBERTURA_BOSQUE!F41</f>
        <v>1.7926582641705362</v>
      </c>
      <c r="G42" s="106">
        <f>+G$4*COBERTURA_BOSQUE!G41</f>
        <v>1.779625265072011</v>
      </c>
      <c r="H42" s="106">
        <f>+H$4*COBERTURA_BOSQUE!H41</f>
        <v>1.8252630029940733</v>
      </c>
      <c r="I42" s="106">
        <f>+I$4*COBERTURA_BOSQUE!I41</f>
        <v>1.8659926737641452</v>
      </c>
      <c r="J42" s="106">
        <f>+J$4*COBERTURA_BOSQUE!J41</f>
        <v>1.8156287748556543</v>
      </c>
      <c r="K42" s="106">
        <f>+K$4*COBERTURA_BOSQUE!K41</f>
        <v>1.766956408580532</v>
      </c>
      <c r="L42" s="106">
        <f>+L$4*COBERTURA_BOSQUE!L41</f>
        <v>4.2853670859743426E-2</v>
      </c>
      <c r="M42" s="106">
        <f>+M$4*COBERTURA_BOSQUE!M41</f>
        <v>4.2853670859743426E-2</v>
      </c>
      <c r="N42" s="106">
        <f>+N$4*COBERTURA_BOSQUE!N41</f>
        <v>0.49056361012685012</v>
      </c>
      <c r="O42" s="106">
        <f>+O$4*COBERTURA_BOSQUE!$P41</f>
        <v>0.49056361012685012</v>
      </c>
      <c r="P42" s="235">
        <f>+P$4*COBERTURA_BOSQUE!$P41</f>
        <v>0.49056361012685012</v>
      </c>
      <c r="Q42" s="235">
        <f>+Q$4*COBERTURA_BOSQUE!$P41</f>
        <v>0.49056361012685012</v>
      </c>
      <c r="R42" s="235">
        <f>+R$4*COBERTURA_BOSQUE!$P41</f>
        <v>0.49056361012685012</v>
      </c>
      <c r="S42" s="235">
        <f>+S$4*COBERTURA_BOSQUE!$P41</f>
        <v>0.49056361012685012</v>
      </c>
      <c r="T42" s="235">
        <f>+T$4*COBERTURA_BOSQUE!$P41</f>
        <v>0.49056361012685012</v>
      </c>
      <c r="U42" s="235">
        <f>+U$4*COBERTURA_BOSQUE!$P41</f>
        <v>0.49056361012685012</v>
      </c>
      <c r="V42" s="235">
        <f>+V$4*COBERTURA_BOSQUE!$P41</f>
        <v>0.49056361012685012</v>
      </c>
      <c r="W42" s="235">
        <f>+W$4*COBERTURA_BOSQUE!$P41</f>
        <v>0.49056361012685012</v>
      </c>
      <c r="X42" s="235">
        <f>+X$4*COBERTURA_BOSQUE!$P41</f>
        <v>0.49056361012685012</v>
      </c>
      <c r="Y42" s="235">
        <f>+Y$4*COBERTURA_BOSQUE!$P41</f>
        <v>0.49056361012685012</v>
      </c>
      <c r="Z42" s="235">
        <f>+Z$4*COBERTURA_BOSQUE!$P41</f>
        <v>0.49056361012685012</v>
      </c>
      <c r="AA42" s="235">
        <f>+AA$4*COBERTURA_BOSQUE!$P41</f>
        <v>0.49056361012685012</v>
      </c>
      <c r="AB42" s="236">
        <f>+AB$4*COBERTURA_BOSQUE!$P41</f>
        <v>0.49056361012685012</v>
      </c>
    </row>
    <row r="43" spans="1:28" x14ac:dyDescent="0.3">
      <c r="A43" s="104" t="s">
        <v>16</v>
      </c>
      <c r="B43" s="105" t="s">
        <v>10</v>
      </c>
      <c r="C43" s="106">
        <f>+C$4*COBERTURA_BOSQUE!C42</f>
        <v>0.47576357187432694</v>
      </c>
      <c r="D43" s="106">
        <f>+D$4*COBERTURA_BOSQUE!D42</f>
        <v>0.46072306090059695</v>
      </c>
      <c r="E43" s="106">
        <f>+E$4*COBERTURA_BOSQUE!E42</f>
        <v>0.44674814829444698</v>
      </c>
      <c r="F43" s="106">
        <f>+F$4*COBERTURA_BOSQUE!F42</f>
        <v>0.42610809123130472</v>
      </c>
      <c r="G43" s="106">
        <f>+G$4*COBERTURA_BOSQUE!G42</f>
        <v>0.40638789233145828</v>
      </c>
      <c r="H43" s="106">
        <f>+H$4*COBERTURA_BOSQUE!H42</f>
        <v>0.44649680088828853</v>
      </c>
      <c r="I43" s="106">
        <f>+I$4*COBERTURA_BOSQUE!I42</f>
        <v>0.48798480980913794</v>
      </c>
      <c r="J43" s="106">
        <f>+J$4*COBERTURA_BOSQUE!J42</f>
        <v>0.47394656731446844</v>
      </c>
      <c r="K43" s="106">
        <f>+K$4*COBERTURA_BOSQUE!K42</f>
        <v>0.46039251246768426</v>
      </c>
      <c r="L43" s="106">
        <f>+L$4*COBERTURA_BOSQUE!L42</f>
        <v>1.1165815466511695E-2</v>
      </c>
      <c r="M43" s="106">
        <f>+M$4*COBERTURA_BOSQUE!M42</f>
        <v>1.1165815466511695E-2</v>
      </c>
      <c r="N43" s="106">
        <f>+N$4*COBERTURA_BOSQUE!N42</f>
        <v>0.20008529702858094</v>
      </c>
      <c r="O43" s="106">
        <f>+O$4*COBERTURA_BOSQUE!$P42</f>
        <v>0.20008529702858094</v>
      </c>
      <c r="P43" s="235">
        <f>+P$4*COBERTURA_BOSQUE!$P42</f>
        <v>0.20008529702858094</v>
      </c>
      <c r="Q43" s="235">
        <f>+Q$4*COBERTURA_BOSQUE!$P42</f>
        <v>0.20008529702858094</v>
      </c>
      <c r="R43" s="235">
        <f>+R$4*COBERTURA_BOSQUE!$P42</f>
        <v>0.20008529702858094</v>
      </c>
      <c r="S43" s="235">
        <f>+S$4*COBERTURA_BOSQUE!$P42</f>
        <v>0.20008529702858094</v>
      </c>
      <c r="T43" s="235">
        <f>+T$4*COBERTURA_BOSQUE!$P42</f>
        <v>0.20008529702858094</v>
      </c>
      <c r="U43" s="235">
        <f>+U$4*COBERTURA_BOSQUE!$P42</f>
        <v>0.20008529702858094</v>
      </c>
      <c r="V43" s="235">
        <f>+V$4*COBERTURA_BOSQUE!$P42</f>
        <v>0.20008529702858094</v>
      </c>
      <c r="W43" s="235">
        <f>+W$4*COBERTURA_BOSQUE!$P42</f>
        <v>0.20008529702858094</v>
      </c>
      <c r="X43" s="235">
        <f>+X$4*COBERTURA_BOSQUE!$P42</f>
        <v>0.20008529702858094</v>
      </c>
      <c r="Y43" s="235">
        <f>+Y$4*COBERTURA_BOSQUE!$P42</f>
        <v>0.20008529702858094</v>
      </c>
      <c r="Z43" s="235">
        <f>+Z$4*COBERTURA_BOSQUE!$P42</f>
        <v>0.20008529702858094</v>
      </c>
      <c r="AA43" s="235">
        <f>+AA$4*COBERTURA_BOSQUE!$P42</f>
        <v>0.20008529702858094</v>
      </c>
      <c r="AB43" s="236">
        <f>+AB$4*COBERTURA_BOSQUE!$P42</f>
        <v>0.20008529702858094</v>
      </c>
    </row>
    <row r="44" spans="1:28" x14ac:dyDescent="0.3">
      <c r="A44" s="104" t="s">
        <v>16</v>
      </c>
      <c r="B44" s="105" t="s">
        <v>11</v>
      </c>
      <c r="C44" s="106">
        <f>+C$4*COBERTURA_BOSQUE!C43</f>
        <v>1.989561819587971</v>
      </c>
      <c r="D44" s="106">
        <f>+D$4*COBERTURA_BOSQUE!D43</f>
        <v>1.9228893644811416</v>
      </c>
      <c r="E44" s="106">
        <f>+E$4*COBERTURA_BOSQUE!E43</f>
        <v>1.8609405560275722</v>
      </c>
      <c r="F44" s="106">
        <f>+F$4*COBERTURA_BOSQUE!F43</f>
        <v>1.8489116702759791</v>
      </c>
      <c r="G44" s="106">
        <f>+G$4*COBERTURA_BOSQUE!G43</f>
        <v>1.8374188716446926</v>
      </c>
      <c r="H44" s="106">
        <f>+H$4*COBERTURA_BOSQUE!H43</f>
        <v>1.9655408759680946</v>
      </c>
      <c r="I44" s="106">
        <f>+I$4*COBERTURA_BOSQUE!I43</f>
        <v>2.0954164030061104</v>
      </c>
      <c r="J44" s="106">
        <f>+J$4*COBERTURA_BOSQUE!J43</f>
        <v>2.0589178065584179</v>
      </c>
      <c r="K44" s="106">
        <f>+K$4*COBERTURA_BOSQUE!K43</f>
        <v>2.0233514527687082</v>
      </c>
      <c r="L44" s="106">
        <f>+L$4*COBERTURA_BOSQUE!L43</f>
        <v>4.9071973009334184E-2</v>
      </c>
      <c r="M44" s="106">
        <f>+M$4*COBERTURA_BOSQUE!M43</f>
        <v>4.9071973009334184E-2</v>
      </c>
      <c r="N44" s="106">
        <f>+N$4*COBERTURA_BOSQUE!N43</f>
        <v>0.55657399082811398</v>
      </c>
      <c r="O44" s="106">
        <f>+O$4*COBERTURA_BOSQUE!$P43</f>
        <v>0.55657399082811398</v>
      </c>
      <c r="P44" s="235">
        <f>+P$4*COBERTURA_BOSQUE!$P43</f>
        <v>0.55657399082811398</v>
      </c>
      <c r="Q44" s="235">
        <f>+Q$4*COBERTURA_BOSQUE!$P43</f>
        <v>0.55657399082811398</v>
      </c>
      <c r="R44" s="235">
        <f>+R$4*COBERTURA_BOSQUE!$P43</f>
        <v>0.55657399082811398</v>
      </c>
      <c r="S44" s="235">
        <f>+S$4*COBERTURA_BOSQUE!$P43</f>
        <v>0.55657399082811398</v>
      </c>
      <c r="T44" s="235">
        <f>+T$4*COBERTURA_BOSQUE!$P43</f>
        <v>0.55657399082811398</v>
      </c>
      <c r="U44" s="235">
        <f>+U$4*COBERTURA_BOSQUE!$P43</f>
        <v>0.55657399082811398</v>
      </c>
      <c r="V44" s="235">
        <f>+V$4*COBERTURA_BOSQUE!$P43</f>
        <v>0.55657399082811398</v>
      </c>
      <c r="W44" s="235">
        <f>+W$4*COBERTURA_BOSQUE!$P43</f>
        <v>0.55657399082811398</v>
      </c>
      <c r="X44" s="235">
        <f>+X$4*COBERTURA_BOSQUE!$P43</f>
        <v>0.55657399082811398</v>
      </c>
      <c r="Y44" s="235">
        <f>+Y$4*COBERTURA_BOSQUE!$P43</f>
        <v>0.55657399082811398</v>
      </c>
      <c r="Z44" s="235">
        <f>+Z$4*COBERTURA_BOSQUE!$P43</f>
        <v>0.55657399082811398</v>
      </c>
      <c r="AA44" s="235">
        <f>+AA$4*COBERTURA_BOSQUE!$P43</f>
        <v>0.55657399082811398</v>
      </c>
      <c r="AB44" s="236">
        <f>+AB$4*COBERTURA_BOSQUE!$P43</f>
        <v>0.55657399082811398</v>
      </c>
    </row>
    <row r="45" spans="1:28" ht="15" thickBot="1" x14ac:dyDescent="0.35">
      <c r="A45" s="107" t="s">
        <v>16</v>
      </c>
      <c r="B45" s="108" t="s">
        <v>12</v>
      </c>
      <c r="C45" s="109">
        <f>+C$4*COBERTURA_BOSQUE!C44</f>
        <v>0.28021459245223207</v>
      </c>
      <c r="D45" s="109">
        <f>+D$4*COBERTURA_BOSQUE!D44</f>
        <v>0.26992364455456824</v>
      </c>
      <c r="E45" s="109">
        <f>+E$4*COBERTURA_BOSQUE!E44</f>
        <v>0.260361795375675</v>
      </c>
      <c r="F45" s="109">
        <f>+F$4*COBERTURA_BOSQUE!F44</f>
        <v>0.25442784086591225</v>
      </c>
      <c r="G45" s="109">
        <f>+G$4*COBERTURA_BOSQUE!G44</f>
        <v>0.24875834281960468</v>
      </c>
      <c r="H45" s="109">
        <f>+H$4*COBERTURA_BOSQUE!H44</f>
        <v>0.49292142850017462</v>
      </c>
      <c r="I45" s="109">
        <f>+I$4*COBERTURA_BOSQUE!I44</f>
        <v>0.75642160541504055</v>
      </c>
      <c r="J45" s="109">
        <f>+J$4*COBERTURA_BOSQUE!J44</f>
        <v>0.70401233389472384</v>
      </c>
      <c r="K45" s="109">
        <f>+K$4*COBERTURA_BOSQUE!K44</f>
        <v>0.65383161445184401</v>
      </c>
      <c r="L45" s="109">
        <f>+L$4*COBERTURA_BOSQUE!L44</f>
        <v>1.5857258655250502E-2</v>
      </c>
      <c r="M45" s="109">
        <f>+M$4*COBERTURA_BOSQUE!M44</f>
        <v>1.5857258655250502E-2</v>
      </c>
      <c r="N45" s="109">
        <f>+N$4*COBERTURA_BOSQUE!N44</f>
        <v>0.23489169770551746</v>
      </c>
      <c r="O45" s="109">
        <f>+O$4*COBERTURA_BOSQUE!$P44</f>
        <v>0.23489169770551746</v>
      </c>
      <c r="P45" s="237">
        <f>+P$4*COBERTURA_BOSQUE!$P44</f>
        <v>0.23489169770551746</v>
      </c>
      <c r="Q45" s="237">
        <f>+Q$4*COBERTURA_BOSQUE!$P44</f>
        <v>0.23489169770551746</v>
      </c>
      <c r="R45" s="237">
        <f>+R$4*COBERTURA_BOSQUE!$P44</f>
        <v>0.23489169770551746</v>
      </c>
      <c r="S45" s="237">
        <f>+S$4*COBERTURA_BOSQUE!$P44</f>
        <v>0.23489169770551746</v>
      </c>
      <c r="T45" s="237">
        <f>+T$4*COBERTURA_BOSQUE!$P44</f>
        <v>0.23489169770551746</v>
      </c>
      <c r="U45" s="237">
        <f>+U$4*COBERTURA_BOSQUE!$P44</f>
        <v>0.23489169770551746</v>
      </c>
      <c r="V45" s="237">
        <f>+V$4*COBERTURA_BOSQUE!$P44</f>
        <v>0.23489169770551746</v>
      </c>
      <c r="W45" s="237">
        <f>+W$4*COBERTURA_BOSQUE!$P44</f>
        <v>0.23489169770551746</v>
      </c>
      <c r="X45" s="237">
        <f>+X$4*COBERTURA_BOSQUE!$P44</f>
        <v>0.23489169770551746</v>
      </c>
      <c r="Y45" s="237">
        <f>+Y$4*COBERTURA_BOSQUE!$P44</f>
        <v>0.23489169770551746</v>
      </c>
      <c r="Z45" s="237">
        <f>+Z$4*COBERTURA_BOSQUE!$P44</f>
        <v>0.23489169770551746</v>
      </c>
      <c r="AA45" s="237">
        <f>+AA$4*COBERTURA_BOSQUE!$P44</f>
        <v>0.23489169770551746</v>
      </c>
      <c r="AB45" s="238">
        <f>+AB$4*COBERTURA_BOSQUE!$P44</f>
        <v>0.23489169770551746</v>
      </c>
    </row>
    <row r="46" spans="1:28" ht="15" thickBot="1" x14ac:dyDescent="0.35">
      <c r="A46" s="317" t="s">
        <v>17</v>
      </c>
      <c r="B46" s="318"/>
      <c r="C46" s="110">
        <f>+SUM(C36:C45)</f>
        <v>37.159999999999997</v>
      </c>
      <c r="D46" s="110">
        <f t="shared" ref="D46" si="31">+SUM(D36:D45)</f>
        <v>37.159999999999997</v>
      </c>
      <c r="E46" s="110">
        <f t="shared" ref="E46" si="32">+SUM(E36:E45)</f>
        <v>37.159999999999982</v>
      </c>
      <c r="F46" s="110">
        <f t="shared" ref="F46" si="33">+SUM(F36:F45)</f>
        <v>37.160000000000011</v>
      </c>
      <c r="G46" s="110">
        <f t="shared" ref="G46" si="34">+SUM(G36:G45)</f>
        <v>37.159999999999997</v>
      </c>
      <c r="H46" s="110">
        <f t="shared" ref="H46" si="35">+SUM(H36:H45)</f>
        <v>39.33</v>
      </c>
      <c r="I46" s="110">
        <f t="shared" ref="I46" si="36">+SUM(I36:I45)</f>
        <v>41.5</v>
      </c>
      <c r="J46" s="110">
        <f t="shared" ref="J46" si="37">+SUM(J36:J45)</f>
        <v>41.160000000000004</v>
      </c>
      <c r="K46" s="110">
        <f t="shared" ref="K46" si="38">+SUM(K36:K45)</f>
        <v>40.820000000000007</v>
      </c>
      <c r="L46" s="110">
        <f t="shared" ref="L46" si="39">+SUM(L36:L45)</f>
        <v>0.9900000000000001</v>
      </c>
      <c r="M46" s="110">
        <f t="shared" ref="M46" si="40">+SUM(M36:M45)</f>
        <v>0.9900000000000001</v>
      </c>
      <c r="N46" s="110">
        <f t="shared" ref="N46" si="41">+SUM(N36:N45)</f>
        <v>12.149999999999999</v>
      </c>
      <c r="O46" s="110">
        <f t="shared" ref="O46:AA46" si="42">+SUM(O36:O45)</f>
        <v>12.149999999999999</v>
      </c>
      <c r="P46" s="239">
        <f t="shared" si="42"/>
        <v>12.149999999999999</v>
      </c>
      <c r="Q46" s="239">
        <f t="shared" si="42"/>
        <v>12.149999999999999</v>
      </c>
      <c r="R46" s="239">
        <f t="shared" si="42"/>
        <v>12.149999999999999</v>
      </c>
      <c r="S46" s="239">
        <f t="shared" si="42"/>
        <v>12.149999999999999</v>
      </c>
      <c r="T46" s="239">
        <f t="shared" si="42"/>
        <v>12.149999999999999</v>
      </c>
      <c r="U46" s="239">
        <f t="shared" si="42"/>
        <v>12.149999999999999</v>
      </c>
      <c r="V46" s="239">
        <f t="shared" si="42"/>
        <v>12.149999999999999</v>
      </c>
      <c r="W46" s="239">
        <f t="shared" si="42"/>
        <v>12.149999999999999</v>
      </c>
      <c r="X46" s="239">
        <f t="shared" si="42"/>
        <v>12.149999999999999</v>
      </c>
      <c r="Y46" s="239">
        <f t="shared" si="42"/>
        <v>12.149999999999999</v>
      </c>
      <c r="Z46" s="239">
        <f t="shared" si="42"/>
        <v>12.149999999999999</v>
      </c>
      <c r="AA46" s="239">
        <f t="shared" si="42"/>
        <v>12.149999999999999</v>
      </c>
      <c r="AB46" s="240">
        <f t="shared" ref="AB46" si="43">+SUM(AB36:AB45)</f>
        <v>12.149999999999999</v>
      </c>
    </row>
    <row r="48" spans="1:28" ht="15" thickBot="1" x14ac:dyDescent="0.35">
      <c r="A48" s="111" t="s">
        <v>60</v>
      </c>
      <c r="B48" s="112"/>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row>
    <row r="49" spans="1:28" x14ac:dyDescent="0.3">
      <c r="A49" s="101" t="s">
        <v>14</v>
      </c>
      <c r="B49" s="102" t="s">
        <v>2</v>
      </c>
      <c r="C49" s="103">
        <f>+C$6*COBERTURA_BOSQUE!C35</f>
        <v>1.904743834766531E-2</v>
      </c>
      <c r="D49" s="103">
        <f>+D$6*COBERTURA_BOSQUE!D35</f>
        <v>1.9914469822546257E-2</v>
      </c>
      <c r="E49" s="103">
        <f>+E$6*COBERTURA_BOSQUE!E35</f>
        <v>2.0720073376136013E-2</v>
      </c>
      <c r="F49" s="103">
        <f>+F$6*COBERTURA_BOSQUE!F35</f>
        <v>2.0426452071063767E-2</v>
      </c>
      <c r="G49" s="103">
        <f>+G$6*COBERTURA_BOSQUE!G35</f>
        <v>2.0145916483417681E-2</v>
      </c>
      <c r="H49" s="103">
        <f>+H$6*COBERTURA_BOSQUE!H35</f>
        <v>3.9279924570054053E-2</v>
      </c>
      <c r="I49" s="103">
        <f>+I$6*COBERTURA_BOSQUE!I35</f>
        <v>5.8052555804991045E-2</v>
      </c>
      <c r="J49" s="103">
        <f>+J$6*COBERTURA_BOSQUE!J35</f>
        <v>0.15562004123414938</v>
      </c>
      <c r="K49" s="103">
        <f>+K$6*COBERTURA_BOSQUE!K35</f>
        <v>0.24981641940701191</v>
      </c>
      <c r="L49" s="103">
        <f>+L$6*COBERTURA_BOSQUE!L35</f>
        <v>5.7025697142952672E-3</v>
      </c>
      <c r="M49" s="103">
        <f>+M$6*COBERTURA_BOSQUE!M35</f>
        <v>5.7025697142952672E-3</v>
      </c>
      <c r="N49" s="103">
        <f>+N$6*COBERTURA_BOSQUE!N35</f>
        <v>8.7470100709423473E-2</v>
      </c>
      <c r="O49" s="103">
        <f>+O$6*COBERTURA_BOSQUE!$P35</f>
        <v>8.7470100709423473E-2</v>
      </c>
      <c r="P49" s="233">
        <f>+P$6*COBERTURA_BOSQUE!$P35</f>
        <v>8.7470100709423473E-2</v>
      </c>
      <c r="Q49" s="233">
        <f>+Q$6*COBERTURA_BOSQUE!$P35</f>
        <v>8.7470100709423473E-2</v>
      </c>
      <c r="R49" s="233">
        <f>+R$6*COBERTURA_BOSQUE!$P35</f>
        <v>8.7470100709423473E-2</v>
      </c>
      <c r="S49" s="233">
        <f>+S$6*COBERTURA_BOSQUE!$P35</f>
        <v>8.7470100709423473E-2</v>
      </c>
      <c r="T49" s="233">
        <f>+T$6*COBERTURA_BOSQUE!$P35</f>
        <v>8.7470100709423473E-2</v>
      </c>
      <c r="U49" s="233">
        <f>+U$6*COBERTURA_BOSQUE!$P35</f>
        <v>8.7470100709423473E-2</v>
      </c>
      <c r="V49" s="233">
        <f>+V$6*COBERTURA_BOSQUE!$P35</f>
        <v>8.7470100709423473E-2</v>
      </c>
      <c r="W49" s="233">
        <f>+W$6*COBERTURA_BOSQUE!$P35</f>
        <v>8.7470100709423473E-2</v>
      </c>
      <c r="X49" s="233">
        <f>+X$6*COBERTURA_BOSQUE!$P35</f>
        <v>8.7470100709423473E-2</v>
      </c>
      <c r="Y49" s="233">
        <f>+Y$6*COBERTURA_BOSQUE!$P35</f>
        <v>8.7470100709423473E-2</v>
      </c>
      <c r="Z49" s="233">
        <f>+Z$6*COBERTURA_BOSQUE!$P35</f>
        <v>8.7470100709423473E-2</v>
      </c>
      <c r="AA49" s="233">
        <f>+AA$6*COBERTURA_BOSQUE!$P35</f>
        <v>8.7470100709423473E-2</v>
      </c>
      <c r="AB49" s="234">
        <f>+AB$6*COBERTURA_BOSQUE!$P35</f>
        <v>8.7470100709423473E-2</v>
      </c>
    </row>
    <row r="50" spans="1:28" x14ac:dyDescent="0.3">
      <c r="A50" s="104" t="s">
        <v>14</v>
      </c>
      <c r="B50" s="105" t="s">
        <v>4</v>
      </c>
      <c r="C50" s="106">
        <f>+C$6*COBERTURA_BOSQUE!C36</f>
        <v>0.18600177583971492</v>
      </c>
      <c r="D50" s="106">
        <f>+D$6*COBERTURA_BOSQUE!D36</f>
        <v>0.18753829239322672</v>
      </c>
      <c r="E50" s="106">
        <f>+E$6*COBERTURA_BOSQUE!E36</f>
        <v>0.18896594897954455</v>
      </c>
      <c r="F50" s="106">
        <f>+F$6*COBERTURA_BOSQUE!F36</f>
        <v>0.19049124612165405</v>
      </c>
      <c r="G50" s="106">
        <f>+G$6*COBERTURA_BOSQUE!G36</f>
        <v>0.1919485658825319</v>
      </c>
      <c r="H50" s="106">
        <f>+H$6*COBERTURA_BOSQUE!H36</f>
        <v>0.37269898874921503</v>
      </c>
      <c r="I50" s="106">
        <f>+I$6*COBERTURA_BOSQUE!I36</f>
        <v>0.548531764742481</v>
      </c>
      <c r="J50" s="106">
        <f>+J$6*COBERTURA_BOSQUE!J36</f>
        <v>1.4725479798059138</v>
      </c>
      <c r="K50" s="106">
        <f>+K$6*COBERTURA_BOSQUE!K36</f>
        <v>2.367277244369911</v>
      </c>
      <c r="L50" s="106">
        <f>+L$6*COBERTURA_BOSQUE!L36</f>
        <v>5.4037935341191994E-2</v>
      </c>
      <c r="M50" s="106">
        <f>+M$6*COBERTURA_BOSQUE!M36</f>
        <v>5.4037935341191994E-2</v>
      </c>
      <c r="N50" s="106">
        <f>+N$6*COBERTURA_BOSQUE!N36</f>
        <v>0.8941772979452659</v>
      </c>
      <c r="O50" s="106">
        <f>+O$6*COBERTURA_BOSQUE!$P36</f>
        <v>0.8941772979452659</v>
      </c>
      <c r="P50" s="235">
        <f>+P$6*COBERTURA_BOSQUE!$P36</f>
        <v>0.8941772979452659</v>
      </c>
      <c r="Q50" s="235">
        <f>+Q$6*COBERTURA_BOSQUE!$P36</f>
        <v>0.8941772979452659</v>
      </c>
      <c r="R50" s="235">
        <f>+R$6*COBERTURA_BOSQUE!$P36</f>
        <v>0.8941772979452659</v>
      </c>
      <c r="S50" s="235">
        <f>+S$6*COBERTURA_BOSQUE!$P36</f>
        <v>0.8941772979452659</v>
      </c>
      <c r="T50" s="235">
        <f>+T$6*COBERTURA_BOSQUE!$P36</f>
        <v>0.8941772979452659</v>
      </c>
      <c r="U50" s="235">
        <f>+U$6*COBERTURA_BOSQUE!$P36</f>
        <v>0.8941772979452659</v>
      </c>
      <c r="V50" s="235">
        <f>+V$6*COBERTURA_BOSQUE!$P36</f>
        <v>0.8941772979452659</v>
      </c>
      <c r="W50" s="235">
        <f>+W$6*COBERTURA_BOSQUE!$P36</f>
        <v>0.8941772979452659</v>
      </c>
      <c r="X50" s="235">
        <f>+X$6*COBERTURA_BOSQUE!$P36</f>
        <v>0.8941772979452659</v>
      </c>
      <c r="Y50" s="235">
        <f>+Y$6*COBERTURA_BOSQUE!$P36</f>
        <v>0.8941772979452659</v>
      </c>
      <c r="Z50" s="235">
        <f>+Z$6*COBERTURA_BOSQUE!$P36</f>
        <v>0.8941772979452659</v>
      </c>
      <c r="AA50" s="235">
        <f>+AA$6*COBERTURA_BOSQUE!$P36</f>
        <v>0.8941772979452659</v>
      </c>
      <c r="AB50" s="236">
        <f>+AB$6*COBERTURA_BOSQUE!$P36</f>
        <v>0.8941772979452659</v>
      </c>
    </row>
    <row r="51" spans="1:28" x14ac:dyDescent="0.3">
      <c r="A51" s="104" t="s">
        <v>14</v>
      </c>
      <c r="B51" s="105" t="s">
        <v>5</v>
      </c>
      <c r="C51" s="106">
        <f>+C$6*COBERTURA_BOSQUE!C37</f>
        <v>1.7785671734657589</v>
      </c>
      <c r="D51" s="106">
        <f>+D$6*COBERTURA_BOSQUE!D37</f>
        <v>1.7217331562132303</v>
      </c>
      <c r="E51" s="106">
        <f>+E$6*COBERTURA_BOSQUE!E37</f>
        <v>1.6689257465748371</v>
      </c>
      <c r="F51" s="106">
        <f>+F$6*COBERTURA_BOSQUE!F37</f>
        <v>1.6787849381781257</v>
      </c>
      <c r="G51" s="106">
        <f>+G$6*COBERTURA_BOSQUE!G37</f>
        <v>1.6882047386570549</v>
      </c>
      <c r="H51" s="106">
        <f>+H$6*COBERTURA_BOSQUE!H37</f>
        <v>3.2844251642601505</v>
      </c>
      <c r="I51" s="106">
        <f>+I$6*COBERTURA_BOSQUE!I37</f>
        <v>4.8435549938756166</v>
      </c>
      <c r="J51" s="106">
        <f>+J$6*COBERTURA_BOSQUE!J37</f>
        <v>13.114430190559299</v>
      </c>
      <c r="K51" s="106">
        <f>+K$6*COBERTURA_BOSQUE!K37</f>
        <v>21.262486723759874</v>
      </c>
      <c r="L51" s="106">
        <f>+L$6*COBERTURA_BOSQUE!L37</f>
        <v>0.48535966182419377</v>
      </c>
      <c r="M51" s="106">
        <f>+M$6*COBERTURA_BOSQUE!M37</f>
        <v>0.48535966182419377</v>
      </c>
      <c r="N51" s="106">
        <f>+N$6*COBERTURA_BOSQUE!N37</f>
        <v>8.0671232932829327</v>
      </c>
      <c r="O51" s="106">
        <f>+O$6*COBERTURA_BOSQUE!$P37</f>
        <v>8.0671232932829327</v>
      </c>
      <c r="P51" s="235">
        <f>+P$6*COBERTURA_BOSQUE!$P37</f>
        <v>8.0671232932829327</v>
      </c>
      <c r="Q51" s="235">
        <f>+Q$6*COBERTURA_BOSQUE!$P37</f>
        <v>8.0671232932829327</v>
      </c>
      <c r="R51" s="235">
        <f>+R$6*COBERTURA_BOSQUE!$P37</f>
        <v>8.0671232932829327</v>
      </c>
      <c r="S51" s="235">
        <f>+S$6*COBERTURA_BOSQUE!$P37</f>
        <v>8.0671232932829327</v>
      </c>
      <c r="T51" s="235">
        <f>+T$6*COBERTURA_BOSQUE!$P37</f>
        <v>8.0671232932829327</v>
      </c>
      <c r="U51" s="235">
        <f>+U$6*COBERTURA_BOSQUE!$P37</f>
        <v>8.0671232932829327</v>
      </c>
      <c r="V51" s="235">
        <f>+V$6*COBERTURA_BOSQUE!$P37</f>
        <v>8.0671232932829327</v>
      </c>
      <c r="W51" s="235">
        <f>+W$6*COBERTURA_BOSQUE!$P37</f>
        <v>8.0671232932829327</v>
      </c>
      <c r="X51" s="235">
        <f>+X$6*COBERTURA_BOSQUE!$P37</f>
        <v>8.0671232932829327</v>
      </c>
      <c r="Y51" s="235">
        <f>+Y$6*COBERTURA_BOSQUE!$P37</f>
        <v>8.0671232932829327</v>
      </c>
      <c r="Z51" s="235">
        <f>+Z$6*COBERTURA_BOSQUE!$P37</f>
        <v>8.0671232932829327</v>
      </c>
      <c r="AA51" s="235">
        <f>+AA$6*COBERTURA_BOSQUE!$P37</f>
        <v>8.0671232932829327</v>
      </c>
      <c r="AB51" s="236">
        <f>+AB$6*COBERTURA_BOSQUE!$P37</f>
        <v>8.0671232932829327</v>
      </c>
    </row>
    <row r="52" spans="1:28" x14ac:dyDescent="0.3">
      <c r="A52" s="104" t="s">
        <v>14</v>
      </c>
      <c r="B52" s="105" t="s">
        <v>6</v>
      </c>
      <c r="C52" s="106">
        <f>+C$6*COBERTURA_BOSQUE!C38</f>
        <v>0.72297608644594846</v>
      </c>
      <c r="D52" s="106">
        <f>+D$6*COBERTURA_BOSQUE!D38</f>
        <v>0.69792180993076514</v>
      </c>
      <c r="E52" s="106">
        <f>+E$6*COBERTURA_BOSQUE!E38</f>
        <v>0.67464259253439152</v>
      </c>
      <c r="F52" s="106">
        <f>+F$6*COBERTURA_BOSQUE!F38</f>
        <v>0.68484107537154004</v>
      </c>
      <c r="G52" s="106">
        <f>+G$6*COBERTURA_BOSQUE!G38</f>
        <v>0.69458504601125148</v>
      </c>
      <c r="H52" s="106">
        <f>+H$6*COBERTURA_BOSQUE!H38</f>
        <v>1.348833916340054</v>
      </c>
      <c r="I52" s="106">
        <f>+I$6*COBERTURA_BOSQUE!I38</f>
        <v>1.9854634121582175</v>
      </c>
      <c r="J52" s="106">
        <f>+J$6*COBERTURA_BOSQUE!J38</f>
        <v>5.4187681276885087</v>
      </c>
      <c r="K52" s="106">
        <f>+K$6*COBERTURA_BOSQUE!K38</f>
        <v>8.8538638660356277</v>
      </c>
      <c r="L52" s="106">
        <f>+L$6*COBERTURA_BOSQUE!L38</f>
        <v>0.20210751581819691</v>
      </c>
      <c r="M52" s="106">
        <f>+M$6*COBERTURA_BOSQUE!M38</f>
        <v>0.20210751581819691</v>
      </c>
      <c r="N52" s="106">
        <f>+N$6*COBERTURA_BOSQUE!N38</f>
        <v>3.3047082918852397</v>
      </c>
      <c r="O52" s="106">
        <f>+O$6*COBERTURA_BOSQUE!$P38</f>
        <v>3.3047082918852397</v>
      </c>
      <c r="P52" s="235">
        <f>+P$6*COBERTURA_BOSQUE!$P38</f>
        <v>3.3047082918852397</v>
      </c>
      <c r="Q52" s="235">
        <f>+Q$6*COBERTURA_BOSQUE!$P38</f>
        <v>3.3047082918852397</v>
      </c>
      <c r="R52" s="235">
        <f>+R$6*COBERTURA_BOSQUE!$P38</f>
        <v>3.3047082918852397</v>
      </c>
      <c r="S52" s="235">
        <f>+S$6*COBERTURA_BOSQUE!$P38</f>
        <v>3.3047082918852397</v>
      </c>
      <c r="T52" s="235">
        <f>+T$6*COBERTURA_BOSQUE!$P38</f>
        <v>3.3047082918852397</v>
      </c>
      <c r="U52" s="235">
        <f>+U$6*COBERTURA_BOSQUE!$P38</f>
        <v>3.3047082918852397</v>
      </c>
      <c r="V52" s="235">
        <f>+V$6*COBERTURA_BOSQUE!$P38</f>
        <v>3.3047082918852397</v>
      </c>
      <c r="W52" s="235">
        <f>+W$6*COBERTURA_BOSQUE!$P38</f>
        <v>3.3047082918852397</v>
      </c>
      <c r="X52" s="235">
        <f>+X$6*COBERTURA_BOSQUE!$P38</f>
        <v>3.3047082918852397</v>
      </c>
      <c r="Y52" s="235">
        <f>+Y$6*COBERTURA_BOSQUE!$P38</f>
        <v>3.3047082918852397</v>
      </c>
      <c r="Z52" s="235">
        <f>+Z$6*COBERTURA_BOSQUE!$P38</f>
        <v>3.3047082918852397</v>
      </c>
      <c r="AA52" s="235">
        <f>+AA$6*COBERTURA_BOSQUE!$P38</f>
        <v>3.3047082918852397</v>
      </c>
      <c r="AB52" s="236">
        <f>+AB$6*COBERTURA_BOSQUE!$P38</f>
        <v>3.3047082918852397</v>
      </c>
    </row>
    <row r="53" spans="1:28" ht="28.8" x14ac:dyDescent="0.3">
      <c r="A53" s="104" t="s">
        <v>14</v>
      </c>
      <c r="B53" s="105" t="s">
        <v>7</v>
      </c>
      <c r="C53" s="106">
        <f>+C$6*COBERTURA_BOSQUE!C39</f>
        <v>0.49789490986230517</v>
      </c>
      <c r="D53" s="106">
        <f>+D$6*COBERTURA_BOSQUE!D39</f>
        <v>0.48345669374768135</v>
      </c>
      <c r="E53" s="106">
        <f>+E$6*COBERTURA_BOSQUE!E39</f>
        <v>0.47004140428424535</v>
      </c>
      <c r="F53" s="106">
        <f>+F$6*COBERTURA_BOSQUE!F39</f>
        <v>0.46716858886591561</v>
      </c>
      <c r="G53" s="106">
        <f>+G$6*COBERTURA_BOSQUE!G39</f>
        <v>0.46442380520186366</v>
      </c>
      <c r="H53" s="106">
        <f>+H$6*COBERTURA_BOSQUE!H39</f>
        <v>0.9056480841407254</v>
      </c>
      <c r="I53" s="106">
        <f>+I$6*COBERTURA_BOSQUE!I39</f>
        <v>1.3386627746042241</v>
      </c>
      <c r="J53" s="106">
        <f>+J$6*COBERTURA_BOSQUE!J39</f>
        <v>3.7688705912640654</v>
      </c>
      <c r="K53" s="106">
        <f>+K$6*COBERTURA_BOSQUE!K39</f>
        <v>6.3404271950770275</v>
      </c>
      <c r="L53" s="106">
        <f>+L$6*COBERTURA_BOSQUE!L39</f>
        <v>0.14473319321510333</v>
      </c>
      <c r="M53" s="106">
        <f>+M$6*COBERTURA_BOSQUE!M39</f>
        <v>0.14473319321510333</v>
      </c>
      <c r="N53" s="106">
        <f>+N$6*COBERTURA_BOSQUE!N39</f>
        <v>2.4063675839392102</v>
      </c>
      <c r="O53" s="106">
        <f>+O$6*COBERTURA_BOSQUE!$P39</f>
        <v>2.4063675839392102</v>
      </c>
      <c r="P53" s="235">
        <f>+P$6*COBERTURA_BOSQUE!$P39</f>
        <v>2.4063675839392102</v>
      </c>
      <c r="Q53" s="235">
        <f>+Q$6*COBERTURA_BOSQUE!$P39</f>
        <v>2.4063675839392102</v>
      </c>
      <c r="R53" s="235">
        <f>+R$6*COBERTURA_BOSQUE!$P39</f>
        <v>2.4063675839392102</v>
      </c>
      <c r="S53" s="235">
        <f>+S$6*COBERTURA_BOSQUE!$P39</f>
        <v>2.4063675839392102</v>
      </c>
      <c r="T53" s="235">
        <f>+T$6*COBERTURA_BOSQUE!$P39</f>
        <v>2.4063675839392102</v>
      </c>
      <c r="U53" s="235">
        <f>+U$6*COBERTURA_BOSQUE!$P39</f>
        <v>2.4063675839392102</v>
      </c>
      <c r="V53" s="235">
        <f>+V$6*COBERTURA_BOSQUE!$P39</f>
        <v>2.4063675839392102</v>
      </c>
      <c r="W53" s="235">
        <f>+W$6*COBERTURA_BOSQUE!$P39</f>
        <v>2.4063675839392102</v>
      </c>
      <c r="X53" s="235">
        <f>+X$6*COBERTURA_BOSQUE!$P39</f>
        <v>2.4063675839392102</v>
      </c>
      <c r="Y53" s="235">
        <f>+Y$6*COBERTURA_BOSQUE!$P39</f>
        <v>2.4063675839392102</v>
      </c>
      <c r="Z53" s="235">
        <f>+Z$6*COBERTURA_BOSQUE!$P39</f>
        <v>2.4063675839392102</v>
      </c>
      <c r="AA53" s="235">
        <f>+AA$6*COBERTURA_BOSQUE!$P39</f>
        <v>2.4063675839392102</v>
      </c>
      <c r="AB53" s="236">
        <f>+AB$6*COBERTURA_BOSQUE!$P39</f>
        <v>2.4063675839392102</v>
      </c>
    </row>
    <row r="54" spans="1:28" ht="28.8" x14ac:dyDescent="0.3">
      <c r="A54" s="104" t="s">
        <v>14</v>
      </c>
      <c r="B54" s="105" t="s">
        <v>8</v>
      </c>
      <c r="C54" s="106">
        <f>+C$6*COBERTURA_BOSQUE!C40</f>
        <v>3.6433445856569038</v>
      </c>
      <c r="D54" s="106">
        <f>+D$6*COBERTURA_BOSQUE!D40</f>
        <v>3.7686009484533591</v>
      </c>
      <c r="E54" s="106">
        <f>+E$6*COBERTURA_BOSQUE!E40</f>
        <v>3.8849830797853357</v>
      </c>
      <c r="F54" s="106">
        <f>+F$6*COBERTURA_BOSQUE!F40</f>
        <v>3.8775748647566801</v>
      </c>
      <c r="G54" s="106">
        <f>+G$6*COBERTURA_BOSQUE!G40</f>
        <v>3.8704968090414726</v>
      </c>
      <c r="H54" s="106">
        <f>+H$6*COBERTURA_BOSQUE!H40</f>
        <v>7.6101506928468687</v>
      </c>
      <c r="I54" s="106">
        <f>+I$6*COBERTURA_BOSQUE!I40</f>
        <v>11.340583744215142</v>
      </c>
      <c r="J54" s="106">
        <f>+J$6*COBERTURA_BOSQUE!J40</f>
        <v>31.121410747727396</v>
      </c>
      <c r="K54" s="106">
        <f>+K$6*COBERTURA_BOSQUE!K40</f>
        <v>51.119529479389975</v>
      </c>
      <c r="L54" s="106">
        <f>+L$6*COBERTURA_BOSQUE!L40</f>
        <v>1.1669076088359431</v>
      </c>
      <c r="M54" s="106">
        <f>+M$6*COBERTURA_BOSQUE!M40</f>
        <v>1.1669076088359431</v>
      </c>
      <c r="N54" s="106">
        <f>+N$6*COBERTURA_BOSQUE!N40</f>
        <v>18.789116502091503</v>
      </c>
      <c r="O54" s="106">
        <f>+O$6*COBERTURA_BOSQUE!$P40</f>
        <v>18.789116502091503</v>
      </c>
      <c r="P54" s="235">
        <f>+P$6*COBERTURA_BOSQUE!$P40</f>
        <v>18.789116502091503</v>
      </c>
      <c r="Q54" s="235">
        <f>+Q$6*COBERTURA_BOSQUE!$P40</f>
        <v>18.789116502091503</v>
      </c>
      <c r="R54" s="235">
        <f>+R$6*COBERTURA_BOSQUE!$P40</f>
        <v>18.789116502091503</v>
      </c>
      <c r="S54" s="235">
        <f>+S$6*COBERTURA_BOSQUE!$P40</f>
        <v>18.789116502091503</v>
      </c>
      <c r="T54" s="235">
        <f>+T$6*COBERTURA_BOSQUE!$P40</f>
        <v>18.789116502091503</v>
      </c>
      <c r="U54" s="235">
        <f>+U$6*COBERTURA_BOSQUE!$P40</f>
        <v>18.789116502091503</v>
      </c>
      <c r="V54" s="235">
        <f>+V$6*COBERTURA_BOSQUE!$P40</f>
        <v>18.789116502091503</v>
      </c>
      <c r="W54" s="235">
        <f>+W$6*COBERTURA_BOSQUE!$P40</f>
        <v>18.789116502091503</v>
      </c>
      <c r="X54" s="235">
        <f>+X$6*COBERTURA_BOSQUE!$P40</f>
        <v>18.789116502091503</v>
      </c>
      <c r="Y54" s="235">
        <f>+Y$6*COBERTURA_BOSQUE!$P40</f>
        <v>18.789116502091503</v>
      </c>
      <c r="Z54" s="235">
        <f>+Z$6*COBERTURA_BOSQUE!$P40</f>
        <v>18.789116502091503</v>
      </c>
      <c r="AA54" s="235">
        <f>+AA$6*COBERTURA_BOSQUE!$P40</f>
        <v>18.789116502091503</v>
      </c>
      <c r="AB54" s="236">
        <f>+AB$6*COBERTURA_BOSQUE!$P40</f>
        <v>18.789116502091503</v>
      </c>
    </row>
    <row r="55" spans="1:28" ht="28.8" x14ac:dyDescent="0.3">
      <c r="A55" s="104" t="s">
        <v>14</v>
      </c>
      <c r="B55" s="105" t="s">
        <v>9</v>
      </c>
      <c r="C55" s="106">
        <f>+C$6*COBERTURA_BOSQUE!C41</f>
        <v>0.40365408866882124</v>
      </c>
      <c r="D55" s="106">
        <f>+D$6*COBERTURA_BOSQUE!D41</f>
        <v>0.3917068730451847</v>
      </c>
      <c r="E55" s="106">
        <f>+E$6*COBERTURA_BOSQUE!E41</f>
        <v>0.38060610030423409</v>
      </c>
      <c r="F55" s="106">
        <f>+F$6*COBERTURA_BOSQUE!F41</f>
        <v>0.37773181400579386</v>
      </c>
      <c r="G55" s="106">
        <f>+G$6*COBERTURA_BOSQUE!G41</f>
        <v>0.37498562501382798</v>
      </c>
      <c r="H55" s="106">
        <f>+H$6*COBERTURA_BOSQUE!H41</f>
        <v>0.71539357211171217</v>
      </c>
      <c r="I55" s="106">
        <f>+I$6*COBERTURA_BOSQUE!I41</f>
        <v>1.0341646143753094</v>
      </c>
      <c r="J55" s="106">
        <f>+J$6*COBERTURA_BOSQUE!J41</f>
        <v>2.7682163208470989</v>
      </c>
      <c r="K55" s="106">
        <f>+K$6*COBERTURA_BOSQUE!K41</f>
        <v>4.4373028281134337</v>
      </c>
      <c r="L55" s="106">
        <f>+L$6*COBERTURA_BOSQUE!L41</f>
        <v>0.10129049475939356</v>
      </c>
      <c r="M55" s="106">
        <f>+M$6*COBERTURA_BOSQUE!M41</f>
        <v>0.10129049475939356</v>
      </c>
      <c r="N55" s="106">
        <f>+N$6*COBERTURA_BOSQUE!N41</f>
        <v>1.5427518965388429</v>
      </c>
      <c r="O55" s="106">
        <f>+O$6*COBERTURA_BOSQUE!$P41</f>
        <v>1.5427518965388429</v>
      </c>
      <c r="P55" s="235">
        <f>+P$6*COBERTURA_BOSQUE!$P41</f>
        <v>1.5427518965388429</v>
      </c>
      <c r="Q55" s="235">
        <f>+Q$6*COBERTURA_BOSQUE!$P41</f>
        <v>1.5427518965388429</v>
      </c>
      <c r="R55" s="235">
        <f>+R$6*COBERTURA_BOSQUE!$P41</f>
        <v>1.5427518965388429</v>
      </c>
      <c r="S55" s="235">
        <f>+S$6*COBERTURA_BOSQUE!$P41</f>
        <v>1.5427518965388429</v>
      </c>
      <c r="T55" s="235">
        <f>+T$6*COBERTURA_BOSQUE!$P41</f>
        <v>1.5427518965388429</v>
      </c>
      <c r="U55" s="235">
        <f>+U$6*COBERTURA_BOSQUE!$P41</f>
        <v>1.5427518965388429</v>
      </c>
      <c r="V55" s="235">
        <f>+V$6*COBERTURA_BOSQUE!$P41</f>
        <v>1.5427518965388429</v>
      </c>
      <c r="W55" s="235">
        <f>+W$6*COBERTURA_BOSQUE!$P41</f>
        <v>1.5427518965388429</v>
      </c>
      <c r="X55" s="235">
        <f>+X$6*COBERTURA_BOSQUE!$P41</f>
        <v>1.5427518965388429</v>
      </c>
      <c r="Y55" s="235">
        <f>+Y$6*COBERTURA_BOSQUE!$P41</f>
        <v>1.5427518965388429</v>
      </c>
      <c r="Z55" s="235">
        <f>+Z$6*COBERTURA_BOSQUE!$P41</f>
        <v>1.5427518965388429</v>
      </c>
      <c r="AA55" s="235">
        <f>+AA$6*COBERTURA_BOSQUE!$P41</f>
        <v>1.5427518965388429</v>
      </c>
      <c r="AB55" s="236">
        <f>+AB$6*COBERTURA_BOSQUE!$P41</f>
        <v>1.5427518965388429</v>
      </c>
    </row>
    <row r="56" spans="1:28" x14ac:dyDescent="0.3">
      <c r="A56" s="104" t="s">
        <v>14</v>
      </c>
      <c r="B56" s="105" t="s">
        <v>10</v>
      </c>
      <c r="C56" s="106">
        <f>+C$6*COBERTURA_BOSQUE!C42</f>
        <v>0.10024835220064532</v>
      </c>
      <c r="D56" s="106">
        <f>+D$6*COBERTURA_BOSQUE!D42</f>
        <v>9.7079159495470246E-2</v>
      </c>
      <c r="E56" s="106">
        <f>+E$6*COBERTURA_BOSQUE!E42</f>
        <v>9.4134499492613571E-2</v>
      </c>
      <c r="F56" s="106">
        <f>+F$6*COBERTURA_BOSQUE!F42</f>
        <v>8.978542395966406E-2</v>
      </c>
      <c r="G56" s="106">
        <f>+G$6*COBERTURA_BOSQUE!G42</f>
        <v>8.5630172146268002E-2</v>
      </c>
      <c r="H56" s="106">
        <f>+H$6*COBERTURA_BOSQUE!H42</f>
        <v>0.17499995386964065</v>
      </c>
      <c r="I56" s="106">
        <f>+I$6*COBERTURA_BOSQUE!I42</f>
        <v>0.27044941266530537</v>
      </c>
      <c r="J56" s="106">
        <f>+J$6*COBERTURA_BOSQUE!J42</f>
        <v>0.72260730883915136</v>
      </c>
      <c r="K56" s="106">
        <f>+K$6*COBERTURA_BOSQUE!K42</f>
        <v>1.1561694378506202</v>
      </c>
      <c r="L56" s="106">
        <f>+L$6*COBERTURA_BOSQUE!L42</f>
        <v>2.6391927466300369E-2</v>
      </c>
      <c r="M56" s="106">
        <f>+M$6*COBERTURA_BOSQUE!M42</f>
        <v>2.6391927466300369E-2</v>
      </c>
      <c r="N56" s="106">
        <f>+N$6*COBERTURA_BOSQUE!N42</f>
        <v>0.62923944028494461</v>
      </c>
      <c r="O56" s="106">
        <f>+O$6*COBERTURA_BOSQUE!$P42</f>
        <v>0.62923944028494461</v>
      </c>
      <c r="P56" s="235">
        <f>+P$6*COBERTURA_BOSQUE!$P42</f>
        <v>0.62923944028494461</v>
      </c>
      <c r="Q56" s="235">
        <f>+Q$6*COBERTURA_BOSQUE!$P42</f>
        <v>0.62923944028494461</v>
      </c>
      <c r="R56" s="235">
        <f>+R$6*COBERTURA_BOSQUE!$P42</f>
        <v>0.62923944028494461</v>
      </c>
      <c r="S56" s="235">
        <f>+S$6*COBERTURA_BOSQUE!$P42</f>
        <v>0.62923944028494461</v>
      </c>
      <c r="T56" s="235">
        <f>+T$6*COBERTURA_BOSQUE!$P42</f>
        <v>0.62923944028494461</v>
      </c>
      <c r="U56" s="235">
        <f>+U$6*COBERTURA_BOSQUE!$P42</f>
        <v>0.62923944028494461</v>
      </c>
      <c r="V56" s="235">
        <f>+V$6*COBERTURA_BOSQUE!$P42</f>
        <v>0.62923944028494461</v>
      </c>
      <c r="W56" s="235">
        <f>+W$6*COBERTURA_BOSQUE!$P42</f>
        <v>0.62923944028494461</v>
      </c>
      <c r="X56" s="235">
        <f>+X$6*COBERTURA_BOSQUE!$P42</f>
        <v>0.62923944028494461</v>
      </c>
      <c r="Y56" s="235">
        <f>+Y$6*COBERTURA_BOSQUE!$P42</f>
        <v>0.62923944028494461</v>
      </c>
      <c r="Z56" s="235">
        <f>+Z$6*COBERTURA_BOSQUE!$P42</f>
        <v>0.62923944028494461</v>
      </c>
      <c r="AA56" s="235">
        <f>+AA$6*COBERTURA_BOSQUE!$P42</f>
        <v>0.62923944028494461</v>
      </c>
      <c r="AB56" s="236">
        <f>+AB$6*COBERTURA_BOSQUE!$P42</f>
        <v>0.62923944028494461</v>
      </c>
    </row>
    <row r="57" spans="1:28" x14ac:dyDescent="0.3">
      <c r="A57" s="104" t="s">
        <v>14</v>
      </c>
      <c r="B57" s="105" t="s">
        <v>11</v>
      </c>
      <c r="C57" s="106">
        <f>+C$6*COBERTURA_BOSQUE!C43</f>
        <v>0.41922144906818659</v>
      </c>
      <c r="D57" s="106">
        <f>+D$6*COBERTURA_BOSQUE!D43</f>
        <v>0.40517286662775404</v>
      </c>
      <c r="E57" s="106">
        <f>+E$6*COBERTURA_BOSQUE!E43</f>
        <v>0.39211960585833938</v>
      </c>
      <c r="F57" s="106">
        <f>+F$6*COBERTURA_BOSQUE!F43</f>
        <v>0.38958499403285574</v>
      </c>
      <c r="G57" s="106">
        <f>+G$6*COBERTURA_BOSQUE!G43</f>
        <v>0.38716334136108571</v>
      </c>
      <c r="H57" s="106">
        <f>+H$6*COBERTURA_BOSQUE!H43</f>
        <v>0.77037408093181226</v>
      </c>
      <c r="I57" s="106">
        <f>+I$6*COBERTURA_BOSQUE!I43</f>
        <v>1.1613151149190493</v>
      </c>
      <c r="J57" s="106">
        <f>+J$6*COBERTURA_BOSQUE!J43</f>
        <v>3.1391493428224866</v>
      </c>
      <c r="K57" s="106">
        <f>+K$6*COBERTURA_BOSQUE!K43</f>
        <v>5.081179750693785</v>
      </c>
      <c r="L57" s="106">
        <f>+L$6*COBERTURA_BOSQUE!L43</f>
        <v>0.11598829984024442</v>
      </c>
      <c r="M57" s="106">
        <f>+M$6*COBERTURA_BOSQUE!M43</f>
        <v>0.11598829984024442</v>
      </c>
      <c r="N57" s="106">
        <f>+N$6*COBERTURA_BOSQUE!N43</f>
        <v>1.7503450361763158</v>
      </c>
      <c r="O57" s="106">
        <f>+O$6*COBERTURA_BOSQUE!$P43</f>
        <v>1.7503450361763158</v>
      </c>
      <c r="P57" s="235">
        <f>+P$6*COBERTURA_BOSQUE!$P43</f>
        <v>1.7503450361763158</v>
      </c>
      <c r="Q57" s="235">
        <f>+Q$6*COBERTURA_BOSQUE!$P43</f>
        <v>1.7503450361763158</v>
      </c>
      <c r="R57" s="235">
        <f>+R$6*COBERTURA_BOSQUE!$P43</f>
        <v>1.7503450361763158</v>
      </c>
      <c r="S57" s="235">
        <f>+S$6*COBERTURA_BOSQUE!$P43</f>
        <v>1.7503450361763158</v>
      </c>
      <c r="T57" s="235">
        <f>+T$6*COBERTURA_BOSQUE!$P43</f>
        <v>1.7503450361763158</v>
      </c>
      <c r="U57" s="235">
        <f>+U$6*COBERTURA_BOSQUE!$P43</f>
        <v>1.7503450361763158</v>
      </c>
      <c r="V57" s="235">
        <f>+V$6*COBERTURA_BOSQUE!$P43</f>
        <v>1.7503450361763158</v>
      </c>
      <c r="W57" s="235">
        <f>+W$6*COBERTURA_BOSQUE!$P43</f>
        <v>1.7503450361763158</v>
      </c>
      <c r="X57" s="235">
        <f>+X$6*COBERTURA_BOSQUE!$P43</f>
        <v>1.7503450361763158</v>
      </c>
      <c r="Y57" s="235">
        <f>+Y$6*COBERTURA_BOSQUE!$P43</f>
        <v>1.7503450361763158</v>
      </c>
      <c r="Z57" s="235">
        <f>+Z$6*COBERTURA_BOSQUE!$P43</f>
        <v>1.7503450361763158</v>
      </c>
      <c r="AA57" s="235">
        <f>+AA$6*COBERTURA_BOSQUE!$P43</f>
        <v>1.7503450361763158</v>
      </c>
      <c r="AB57" s="236">
        <f>+AB$6*COBERTURA_BOSQUE!$P43</f>
        <v>1.7503450361763158</v>
      </c>
    </row>
    <row r="58" spans="1:28" ht="15" thickBot="1" x14ac:dyDescent="0.35">
      <c r="A58" s="107" t="s">
        <v>14</v>
      </c>
      <c r="B58" s="108" t="s">
        <v>12</v>
      </c>
      <c r="C58" s="109">
        <f>+C$6*COBERTURA_BOSQUE!C44</f>
        <v>5.9044140444052137E-2</v>
      </c>
      <c r="D58" s="109">
        <f>+D$6*COBERTURA_BOSQUE!D44</f>
        <v>5.6875730270782285E-2</v>
      </c>
      <c r="E58" s="109">
        <f>+E$6*COBERTURA_BOSQUE!E44</f>
        <v>5.4860948810321192E-2</v>
      </c>
      <c r="F58" s="109">
        <f>+F$6*COBERTURA_BOSQUE!F44</f>
        <v>5.3610602636708644E-2</v>
      </c>
      <c r="G58" s="109">
        <f>+G$6*COBERTURA_BOSQUE!G44</f>
        <v>5.2415980201224566E-2</v>
      </c>
      <c r="H58" s="109">
        <f>+H$6*COBERTURA_BOSQUE!H44</f>
        <v>0.19319562217976585</v>
      </c>
      <c r="I58" s="109">
        <f>+I$6*COBERTURA_BOSQUE!I44</f>
        <v>0.41922161263966101</v>
      </c>
      <c r="J58" s="109">
        <f>+J$6*COBERTURA_BOSQUE!J44</f>
        <v>1.0733793492119388</v>
      </c>
      <c r="K58" s="109">
        <f>+K$6*COBERTURA_BOSQUE!K44</f>
        <v>1.6419470553027569</v>
      </c>
      <c r="L58" s="109">
        <f>+L$6*COBERTURA_BOSQUE!L44</f>
        <v>3.7480793185137549E-2</v>
      </c>
      <c r="M58" s="109">
        <f>+M$6*COBERTURA_BOSQUE!M44</f>
        <v>3.7480793185137549E-2</v>
      </c>
      <c r="N58" s="109">
        <f>+N$6*COBERTURA_BOSQUE!N44</f>
        <v>0.73870055714632288</v>
      </c>
      <c r="O58" s="109">
        <f>+O$6*COBERTURA_BOSQUE!$P44</f>
        <v>0.73870055714632288</v>
      </c>
      <c r="P58" s="237">
        <f>+P$6*COBERTURA_BOSQUE!$P44</f>
        <v>0.73870055714632288</v>
      </c>
      <c r="Q58" s="237">
        <f>+Q$6*COBERTURA_BOSQUE!$P44</f>
        <v>0.73870055714632288</v>
      </c>
      <c r="R58" s="237">
        <f>+R$6*COBERTURA_BOSQUE!$P44</f>
        <v>0.73870055714632288</v>
      </c>
      <c r="S58" s="237">
        <f>+S$6*COBERTURA_BOSQUE!$P44</f>
        <v>0.73870055714632288</v>
      </c>
      <c r="T58" s="237">
        <f>+T$6*COBERTURA_BOSQUE!$P44</f>
        <v>0.73870055714632288</v>
      </c>
      <c r="U58" s="237">
        <f>+U$6*COBERTURA_BOSQUE!$P44</f>
        <v>0.73870055714632288</v>
      </c>
      <c r="V58" s="237">
        <f>+V$6*COBERTURA_BOSQUE!$P44</f>
        <v>0.73870055714632288</v>
      </c>
      <c r="W58" s="237">
        <f>+W$6*COBERTURA_BOSQUE!$P44</f>
        <v>0.73870055714632288</v>
      </c>
      <c r="X58" s="237">
        <f>+X$6*COBERTURA_BOSQUE!$P44</f>
        <v>0.73870055714632288</v>
      </c>
      <c r="Y58" s="237">
        <f>+Y$6*COBERTURA_BOSQUE!$P44</f>
        <v>0.73870055714632288</v>
      </c>
      <c r="Z58" s="237">
        <f>+Z$6*COBERTURA_BOSQUE!$P44</f>
        <v>0.73870055714632288</v>
      </c>
      <c r="AA58" s="237">
        <f>+AA$6*COBERTURA_BOSQUE!$P44</f>
        <v>0.73870055714632288</v>
      </c>
      <c r="AB58" s="238">
        <f>+AB$6*COBERTURA_BOSQUE!$P44</f>
        <v>0.73870055714632288</v>
      </c>
    </row>
    <row r="59" spans="1:28" ht="15" thickBot="1" x14ac:dyDescent="0.35">
      <c r="A59" s="317" t="s">
        <v>17</v>
      </c>
      <c r="B59" s="318"/>
      <c r="C59" s="110">
        <f>+SUM(C49:C58)</f>
        <v>7.830000000000001</v>
      </c>
      <c r="D59" s="110">
        <f t="shared" ref="D59" si="44">+SUM(D49:D58)</f>
        <v>7.83</v>
      </c>
      <c r="E59" s="110">
        <f t="shared" ref="E59" si="45">+SUM(E49:E58)</f>
        <v>7.83</v>
      </c>
      <c r="F59" s="110">
        <f t="shared" ref="F59" si="46">+SUM(F49:F58)</f>
        <v>7.830000000000001</v>
      </c>
      <c r="G59" s="110">
        <f t="shared" ref="G59" si="47">+SUM(G49:G58)</f>
        <v>7.8299999999999983</v>
      </c>
      <c r="H59" s="110">
        <f t="shared" ref="H59" si="48">+SUM(H49:H58)</f>
        <v>15.414999999999999</v>
      </c>
      <c r="I59" s="110">
        <f t="shared" ref="I59" si="49">+SUM(I49:I58)</f>
        <v>22.999999999999993</v>
      </c>
      <c r="J59" s="110">
        <f t="shared" ref="J59" si="50">+SUM(J49:J58)</f>
        <v>62.755000000000003</v>
      </c>
      <c r="K59" s="110">
        <f t="shared" ref="K59" si="51">+SUM(K49:K58)</f>
        <v>102.51000000000002</v>
      </c>
      <c r="L59" s="110">
        <f t="shared" ref="L59" si="52">+SUM(L49:L58)</f>
        <v>2.3400000000000003</v>
      </c>
      <c r="M59" s="110">
        <f t="shared" ref="M59" si="53">+SUM(M49:M58)</f>
        <v>2.3400000000000003</v>
      </c>
      <c r="N59" s="110">
        <f t="shared" ref="N59" si="54">+SUM(N49:N58)</f>
        <v>38.21</v>
      </c>
      <c r="O59" s="110">
        <f t="shared" ref="O59:AA59" si="55">+SUM(O49:O58)</f>
        <v>38.21</v>
      </c>
      <c r="P59" s="239">
        <f t="shared" si="55"/>
        <v>38.21</v>
      </c>
      <c r="Q59" s="239">
        <f t="shared" si="55"/>
        <v>38.21</v>
      </c>
      <c r="R59" s="239">
        <f t="shared" si="55"/>
        <v>38.21</v>
      </c>
      <c r="S59" s="239">
        <f t="shared" si="55"/>
        <v>38.21</v>
      </c>
      <c r="T59" s="239">
        <f t="shared" si="55"/>
        <v>38.21</v>
      </c>
      <c r="U59" s="239">
        <f t="shared" si="55"/>
        <v>38.21</v>
      </c>
      <c r="V59" s="239">
        <f t="shared" si="55"/>
        <v>38.21</v>
      </c>
      <c r="W59" s="239">
        <f t="shared" si="55"/>
        <v>38.21</v>
      </c>
      <c r="X59" s="239">
        <f t="shared" si="55"/>
        <v>38.21</v>
      </c>
      <c r="Y59" s="239">
        <f t="shared" si="55"/>
        <v>38.21</v>
      </c>
      <c r="Z59" s="239">
        <f t="shared" si="55"/>
        <v>38.21</v>
      </c>
      <c r="AA59" s="239">
        <f t="shared" si="55"/>
        <v>38.21</v>
      </c>
      <c r="AB59" s="240">
        <f t="shared" ref="AB59" si="56">+SUM(AB49:AB58)</f>
        <v>38.21</v>
      </c>
    </row>
  </sheetData>
  <mergeCells count="4">
    <mergeCell ref="A20:B20"/>
    <mergeCell ref="A33:B33"/>
    <mergeCell ref="A46:B46"/>
    <mergeCell ref="A59:B59"/>
  </mergeCells>
  <dataValidations count="1">
    <dataValidation type="list" allowBlank="1" showInputMessage="1" showErrorMessage="1" sqref="AD2:AD6" xr:uid="{3ED71EF9-DAA6-4437-B9F7-30653BB06FEC}">
      <formula1>"CONSTANTE, PROMEDIO"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22E7-3425-4D89-83CF-E50505F2180D}">
  <sheetPr>
    <tabColor theme="6"/>
  </sheetPr>
  <dimension ref="A1:AD88"/>
  <sheetViews>
    <sheetView zoomScale="115" zoomScaleNormal="115" zoomScaleSheetLayoutView="50" workbookViewId="0">
      <pane ySplit="1" topLeftCell="A29" activePane="bottomLeft" state="frozen"/>
      <selection pane="bottomLeft" activeCell="B87" sqref="B87"/>
    </sheetView>
  </sheetViews>
  <sheetFormatPr baseColWidth="10" defaultColWidth="11.44140625" defaultRowHeight="14.4" x14ac:dyDescent="0.3"/>
  <cols>
    <col min="2" max="2" width="30" customWidth="1"/>
    <col min="3" max="3" width="40.33203125" customWidth="1"/>
    <col min="4" max="4" width="20.109375" customWidth="1"/>
    <col min="5" max="7" width="12.44140625" customWidth="1"/>
    <col min="8" max="8" width="13" customWidth="1"/>
    <col min="9" max="10" width="13.33203125" customWidth="1"/>
    <col min="11" max="11" width="14.44140625" customWidth="1"/>
    <col min="12" max="12" width="12.6640625" customWidth="1"/>
    <col min="13" max="13" width="12.44140625" bestFit="1" customWidth="1"/>
    <col min="14" max="15" width="12" bestFit="1" customWidth="1"/>
    <col min="16" max="16" width="13" customWidth="1"/>
    <col min="17" max="17" width="14.21875" customWidth="1"/>
    <col min="18" max="18" width="12.44140625" bestFit="1" customWidth="1"/>
    <col min="19" max="19" width="12" bestFit="1" customWidth="1"/>
    <col min="20" max="22" width="12.44140625" bestFit="1" customWidth="1"/>
    <col min="24" max="24" width="12" bestFit="1" customWidth="1"/>
    <col min="25" max="25" width="12.44140625" bestFit="1" customWidth="1"/>
    <col min="26" max="27" width="12" bestFit="1" customWidth="1"/>
    <col min="28" max="29" width="12.44140625" bestFit="1" customWidth="1"/>
    <col min="30" max="30" width="15.33203125" bestFit="1" customWidth="1"/>
  </cols>
  <sheetData>
    <row r="1" spans="1:30" s="19" customFormat="1" ht="20.399999999999999" x14ac:dyDescent="0.3">
      <c r="A1"/>
      <c r="B1" s="61" t="s">
        <v>33</v>
      </c>
      <c r="C1" s="62" t="s">
        <v>32</v>
      </c>
      <c r="D1" s="63" t="s">
        <v>1</v>
      </c>
      <c r="E1" s="64">
        <v>2010</v>
      </c>
      <c r="F1" s="64">
        <v>2011</v>
      </c>
      <c r="G1" s="64">
        <v>2012</v>
      </c>
      <c r="H1" s="64">
        <v>2013</v>
      </c>
      <c r="I1" s="64">
        <v>2014</v>
      </c>
      <c r="J1" s="64">
        <v>2015</v>
      </c>
      <c r="K1" s="64">
        <v>2016</v>
      </c>
      <c r="L1" s="64">
        <v>2017</v>
      </c>
      <c r="M1" s="64">
        <v>2018</v>
      </c>
      <c r="N1" s="64">
        <v>2019</v>
      </c>
      <c r="O1" s="64">
        <v>2020</v>
      </c>
      <c r="P1" s="64">
        <v>2021</v>
      </c>
      <c r="Q1" s="64">
        <v>2022</v>
      </c>
      <c r="R1" s="64">
        <v>2023</v>
      </c>
      <c r="S1" s="64">
        <v>2024</v>
      </c>
      <c r="T1" s="64">
        <v>2025</v>
      </c>
      <c r="U1" s="64">
        <v>2026</v>
      </c>
      <c r="V1" s="64">
        <v>2027</v>
      </c>
      <c r="W1" s="64">
        <v>2028</v>
      </c>
      <c r="X1" s="64">
        <v>2029</v>
      </c>
      <c r="Y1" s="64">
        <v>2030</v>
      </c>
      <c r="Z1" s="64">
        <v>2031</v>
      </c>
      <c r="AA1" s="64">
        <v>2032</v>
      </c>
      <c r="AB1" s="64">
        <v>2033</v>
      </c>
      <c r="AC1" s="64">
        <v>2034</v>
      </c>
      <c r="AD1" s="64">
        <v>2035</v>
      </c>
    </row>
    <row r="2" spans="1:30" x14ac:dyDescent="0.3">
      <c r="B2" s="54" t="s">
        <v>3</v>
      </c>
      <c r="C2" s="57"/>
      <c r="D2" s="58"/>
      <c r="E2" s="59"/>
      <c r="F2" s="59"/>
      <c r="G2" s="59"/>
      <c r="H2" s="59"/>
      <c r="I2" s="59"/>
      <c r="J2" s="59"/>
      <c r="K2" s="59"/>
      <c r="L2" s="59"/>
      <c r="M2" s="59"/>
      <c r="N2" s="59"/>
      <c r="O2" s="59"/>
      <c r="P2" s="59"/>
      <c r="Q2" s="59"/>
      <c r="R2" s="59"/>
      <c r="S2" s="59"/>
      <c r="T2" s="59"/>
      <c r="U2" s="59"/>
      <c r="V2" s="59"/>
      <c r="W2" s="59"/>
      <c r="X2" s="59"/>
      <c r="Y2" s="59"/>
      <c r="Z2" s="59"/>
      <c r="AA2" s="59"/>
      <c r="AB2" s="59"/>
      <c r="AC2" s="59"/>
      <c r="AD2" s="59"/>
    </row>
    <row r="3" spans="1:30" ht="15" thickBot="1" x14ac:dyDescent="0.35">
      <c r="B3" s="60">
        <f>+SUM(Q4:Q13)/(SUM(Q4:Q13)+SUM(Q22:Q31)+SUM(Q39:Q48)+SUM(Q56:Q65)+SUM(Q74:Q83))</f>
        <v>0.89929395617090979</v>
      </c>
      <c r="C3" s="57"/>
      <c r="D3" s="58"/>
      <c r="E3" s="54"/>
      <c r="F3" s="54">
        <f>+SUM(F4:F13,F22:F31,F39:F48,F56:F65,F74:F83)</f>
        <v>101112.44</v>
      </c>
      <c r="G3" s="54">
        <f t="shared" ref="G3:P3" si="0">+SUM(G4:G13,G22:G31,G39:G48,G56:G65,G74:G83)</f>
        <v>101112.44</v>
      </c>
      <c r="H3" s="54">
        <f t="shared" si="0"/>
        <v>101112.44</v>
      </c>
      <c r="I3" s="54">
        <f t="shared" si="0"/>
        <v>101112.44</v>
      </c>
      <c r="J3" s="54">
        <f t="shared" si="0"/>
        <v>103530.9425</v>
      </c>
      <c r="K3" s="54">
        <f t="shared" si="0"/>
        <v>105949.44499999995</v>
      </c>
      <c r="L3" s="54">
        <f t="shared" si="0"/>
        <v>100894.39999999997</v>
      </c>
      <c r="M3" s="54">
        <f t="shared" si="0"/>
        <v>95839.35500000001</v>
      </c>
      <c r="N3" s="54">
        <f t="shared" si="0"/>
        <v>98027.744999999995</v>
      </c>
      <c r="O3" s="54">
        <f t="shared" si="0"/>
        <v>98027.744999999995</v>
      </c>
      <c r="P3" s="54">
        <f t="shared" si="0"/>
        <v>107333.28000000003</v>
      </c>
      <c r="Q3" s="54">
        <f>+SUM(Q4:Q13,Q22:Q31,Q39:Q48,Q56:Q65,Q74:Q83)</f>
        <v>107333.28000000003</v>
      </c>
      <c r="R3" s="54">
        <f>-COBERTURA_BOSQUE!P28</f>
        <v>91412.348358383402</v>
      </c>
      <c r="S3" s="54">
        <f>-COBERTURA_BOSQUE!Q28</f>
        <v>90722.836970321834</v>
      </c>
      <c r="T3" s="54">
        <f>-COBERTURA_BOSQUE!R28</f>
        <v>90038.527815170586</v>
      </c>
      <c r="U3" s="54">
        <f>-COBERTURA_BOSQUE!S28</f>
        <v>89359.381632674485</v>
      </c>
      <c r="V3" s="54">
        <f>-COBERTURA_BOSQUE!T28</f>
        <v>88685.359458938241</v>
      </c>
      <c r="W3" s="54">
        <f>-COBERTURA_BOSQUE!U28</f>
        <v>88016.508398070931</v>
      </c>
      <c r="X3" s="54">
        <f>-COBERTURA_BOSQUE!V28</f>
        <v>87352.53210381791</v>
      </c>
      <c r="Y3" s="54">
        <f>-COBERTURA_BOSQUE!W28</f>
        <v>86693.566664196551</v>
      </c>
      <c r="Z3" s="54">
        <f>-COBERTURA_BOSQUE!X28</f>
        <v>86039.825607985258</v>
      </c>
      <c r="AA3" s="54">
        <f>-COBERTURA_BOSQUE!Y28</f>
        <v>85390.84795258753</v>
      </c>
      <c r="AB3" s="54">
        <f>-COBERTURA_BOSQUE!Z28</f>
        <v>84746.766636811197</v>
      </c>
      <c r="AC3" s="54">
        <f>-COBERTURA_BOSQUE!AA28</f>
        <v>84107.544709475711</v>
      </c>
      <c r="AD3" s="54">
        <f>-COBERTURA_BOSQUE!AB28</f>
        <v>83473.22670432739</v>
      </c>
    </row>
    <row r="4" spans="1:30" x14ac:dyDescent="0.3">
      <c r="B4" s="67">
        <f>+Q4/SUM(Q$4:Q$13)</f>
        <v>2.4790940963284117E-2</v>
      </c>
      <c r="C4" s="68" t="s">
        <v>2</v>
      </c>
      <c r="D4" s="1" t="s">
        <v>3</v>
      </c>
      <c r="E4" s="2">
        <v>2921.6550000000002</v>
      </c>
      <c r="F4" s="2">
        <f>+(E4+G4)/2</f>
        <v>2921.6550000000002</v>
      </c>
      <c r="G4" s="2">
        <v>2921.6550000000002</v>
      </c>
      <c r="H4" s="2">
        <f>+(G4+I4)/2</f>
        <v>2921.6550000000002</v>
      </c>
      <c r="I4" s="2">
        <v>2921.6550000000002</v>
      </c>
      <c r="J4" s="2">
        <f>+(I4+K4)/2</f>
        <v>2044.4325000000001</v>
      </c>
      <c r="K4" s="2">
        <v>1167.21</v>
      </c>
      <c r="L4" s="2">
        <f>+(K4+M4)/2</f>
        <v>1052.55</v>
      </c>
      <c r="M4" s="2">
        <v>937.89</v>
      </c>
      <c r="N4" s="46">
        <f>1988.64+1394.28</f>
        <v>3382.92</v>
      </c>
      <c r="O4" s="46">
        <f>1988.64+1394.28</f>
        <v>3382.92</v>
      </c>
      <c r="P4" s="2">
        <f>865.755+1527.17</f>
        <v>2392.9250000000002</v>
      </c>
      <c r="Q4" s="8">
        <f>865.755+1527.17</f>
        <v>2392.9250000000002</v>
      </c>
      <c r="R4" s="227">
        <f t="shared" ref="R4:R13" si="1">$B$3*R$3*$B4</f>
        <v>2037.9782831148416</v>
      </c>
      <c r="S4" s="227">
        <f t="shared" ref="S4:AD4" si="2">$B$3*S$3*$B4</f>
        <v>2022.6060794676857</v>
      </c>
      <c r="T4" s="227">
        <f t="shared" si="2"/>
        <v>2007.3498561873544</v>
      </c>
      <c r="U4" s="227">
        <f t="shared" si="2"/>
        <v>1992.2087379922384</v>
      </c>
      <c r="V4" s="227">
        <f t="shared" si="2"/>
        <v>1977.1818562078765</v>
      </c>
      <c r="W4" s="227">
        <f t="shared" si="2"/>
        <v>1962.2702609894513</v>
      </c>
      <c r="X4" s="227">
        <f t="shared" si="2"/>
        <v>1947.4673454918029</v>
      </c>
      <c r="Y4" s="227">
        <f t="shared" si="2"/>
        <v>1932.7761437079209</v>
      </c>
      <c r="Z4" s="227">
        <f t="shared" si="2"/>
        <v>1918.2014161217107</v>
      </c>
      <c r="AA4" s="227">
        <f t="shared" si="2"/>
        <v>1903.732885428876</v>
      </c>
      <c r="AB4" s="227">
        <f t="shared" si="2"/>
        <v>1889.3735154128469</v>
      </c>
      <c r="AC4" s="227">
        <f t="shared" si="2"/>
        <v>1875.1224822713154</v>
      </c>
      <c r="AD4" s="245">
        <f t="shared" si="2"/>
        <v>1860.980778854914</v>
      </c>
    </row>
    <row r="5" spans="1:30" x14ac:dyDescent="0.3">
      <c r="B5" s="69">
        <f t="shared" ref="B5:B13" si="3">+Q5/SUM(Q$4:Q$13)</f>
        <v>0.14961434011812791</v>
      </c>
      <c r="C5" s="65" t="s">
        <v>4</v>
      </c>
      <c r="D5" s="3" t="s">
        <v>3</v>
      </c>
      <c r="E5" s="4">
        <v>14129.010000000007</v>
      </c>
      <c r="F5" s="4">
        <f t="shared" ref="F5:H18" si="4">+(E5+G5)/2</f>
        <v>14129.010000000007</v>
      </c>
      <c r="G5" s="4">
        <v>14129.010000000007</v>
      </c>
      <c r="H5" s="4">
        <f t="shared" si="4"/>
        <v>14129.010000000007</v>
      </c>
      <c r="I5" s="4">
        <v>14129.010000000007</v>
      </c>
      <c r="J5" s="4">
        <f t="shared" ref="J5:J13" si="5">+(I5+K5)/2</f>
        <v>13915.642500000002</v>
      </c>
      <c r="K5" s="4">
        <v>13702.274999999998</v>
      </c>
      <c r="L5" s="4">
        <f t="shared" ref="L5:L13" si="6">+(K5+M5)/2</f>
        <v>11872.0075</v>
      </c>
      <c r="M5" s="4">
        <v>10041.74</v>
      </c>
      <c r="N5" s="47">
        <f>7752.825+3440.39</f>
        <v>11193.215</v>
      </c>
      <c r="O5" s="47">
        <f>7752.825+3440.39</f>
        <v>11193.215</v>
      </c>
      <c r="P5" s="47">
        <f>9551.7+4889.7</f>
        <v>14441.400000000001</v>
      </c>
      <c r="Q5" s="48">
        <f>9551.7+4889.7</f>
        <v>14441.400000000001</v>
      </c>
      <c r="R5" s="228">
        <f t="shared" si="1"/>
        <v>12299.282082712443</v>
      </c>
      <c r="S5" s="228">
        <f t="shared" ref="S5:AD13" si="7">$B$3*S$3*$B5</f>
        <v>12206.510206556675</v>
      </c>
      <c r="T5" s="228">
        <f t="shared" si="7"/>
        <v>12114.438276646388</v>
      </c>
      <c r="U5" s="228">
        <f t="shared" si="7"/>
        <v>12023.061010621357</v>
      </c>
      <c r="V5" s="228">
        <f t="shared" si="7"/>
        <v>11932.37316599577</v>
      </c>
      <c r="W5" s="228">
        <f t="shared" si="7"/>
        <v>11842.381080498995</v>
      </c>
      <c r="X5" s="228">
        <f t="shared" si="7"/>
        <v>11753.044881550957</v>
      </c>
      <c r="Y5" s="228">
        <f t="shared" si="7"/>
        <v>11664.382879423119</v>
      </c>
      <c r="Z5" s="228">
        <f t="shared" si="7"/>
        <v>11576.423803830072</v>
      </c>
      <c r="AA5" s="228">
        <f t="shared" si="7"/>
        <v>11489.105630821095</v>
      </c>
      <c r="AB5" s="228">
        <f t="shared" si="7"/>
        <v>11402.446246950107</v>
      </c>
      <c r="AC5" s="228">
        <f t="shared" si="7"/>
        <v>11316.440680536571</v>
      </c>
      <c r="AD5" s="246">
        <f t="shared" si="7"/>
        <v>11231.094923474557</v>
      </c>
    </row>
    <row r="6" spans="1:30" x14ac:dyDescent="0.3">
      <c r="B6" s="69">
        <f t="shared" si="3"/>
        <v>9.0691688931383713E-2</v>
      </c>
      <c r="C6" s="65" t="s">
        <v>5</v>
      </c>
      <c r="D6" s="3" t="s">
        <v>3</v>
      </c>
      <c r="E6" s="4">
        <v>13631.910000000002</v>
      </c>
      <c r="F6" s="4">
        <f t="shared" si="4"/>
        <v>13631.910000000002</v>
      </c>
      <c r="G6" s="4">
        <v>13631.910000000002</v>
      </c>
      <c r="H6" s="4">
        <f t="shared" si="4"/>
        <v>13631.910000000002</v>
      </c>
      <c r="I6" s="4">
        <v>13631.910000000002</v>
      </c>
      <c r="J6" s="4">
        <f t="shared" si="5"/>
        <v>13444.094999999999</v>
      </c>
      <c r="K6" s="4">
        <v>13256.279999999997</v>
      </c>
      <c r="L6" s="4">
        <f t="shared" si="6"/>
        <v>12232.394999999999</v>
      </c>
      <c r="M6" s="4">
        <v>11208.51</v>
      </c>
      <c r="N6" s="47">
        <f>7882.965+3207.69</f>
        <v>11090.655000000001</v>
      </c>
      <c r="O6" s="47">
        <f>7882.965+3207.69</f>
        <v>11090.655000000001</v>
      </c>
      <c r="P6" s="47">
        <f>5354.01+3399.93</f>
        <v>8753.94</v>
      </c>
      <c r="Q6" s="48">
        <f>5354.01+3399.93</f>
        <v>8753.94</v>
      </c>
      <c r="R6" s="228">
        <f t="shared" si="1"/>
        <v>7455.4528920423072</v>
      </c>
      <c r="S6" s="228">
        <f t="shared" si="7"/>
        <v>7399.2173859587547</v>
      </c>
      <c r="T6" s="228">
        <f t="shared" si="7"/>
        <v>7343.4061661241903</v>
      </c>
      <c r="U6" s="228">
        <f t="shared" si="7"/>
        <v>7288.0160305315776</v>
      </c>
      <c r="V6" s="228">
        <f t="shared" si="7"/>
        <v>7233.0438013445391</v>
      </c>
      <c r="W6" s="228">
        <f t="shared" si="7"/>
        <v>7178.4933203029759</v>
      </c>
      <c r="X6" s="228">
        <f t="shared" si="7"/>
        <v>7124.3404178545152</v>
      </c>
      <c r="Y6" s="228">
        <f t="shared" si="7"/>
        <v>7070.5961931320526</v>
      </c>
      <c r="Z6" s="228">
        <f t="shared" si="7"/>
        <v>7017.2780612198421</v>
      </c>
      <c r="AA6" s="228">
        <f t="shared" si="7"/>
        <v>6964.3484250744405</v>
      </c>
      <c r="AB6" s="228">
        <f t="shared" si="7"/>
        <v>6911.8181269839788</v>
      </c>
      <c r="AC6" s="228">
        <f t="shared" si="7"/>
        <v>6859.6841532660492</v>
      </c>
      <c r="AD6" s="246">
        <f t="shared" si="7"/>
        <v>6807.9501360256536</v>
      </c>
    </row>
    <row r="7" spans="1:30" x14ac:dyDescent="0.3">
      <c r="B7" s="69">
        <f t="shared" si="3"/>
        <v>0.11556323146834621</v>
      </c>
      <c r="C7" s="65" t="s">
        <v>6</v>
      </c>
      <c r="D7" s="3" t="s">
        <v>3</v>
      </c>
      <c r="E7" s="4">
        <v>19148.415000000001</v>
      </c>
      <c r="F7" s="4">
        <f t="shared" si="4"/>
        <v>19148.415000000001</v>
      </c>
      <c r="G7" s="4">
        <v>19148.415000000001</v>
      </c>
      <c r="H7" s="4">
        <f t="shared" si="4"/>
        <v>19148.415000000001</v>
      </c>
      <c r="I7" s="4">
        <v>19148.415000000001</v>
      </c>
      <c r="J7" s="4">
        <f t="shared" si="5"/>
        <v>15017.677500000002</v>
      </c>
      <c r="K7" s="4">
        <v>10886.94</v>
      </c>
      <c r="L7" s="4">
        <f t="shared" si="6"/>
        <v>10514.34</v>
      </c>
      <c r="M7" s="4">
        <v>10141.74</v>
      </c>
      <c r="N7" s="47">
        <f>6491.565+2369.97</f>
        <v>8861.5349999999999</v>
      </c>
      <c r="O7" s="47">
        <f>6491.565+2369.97</f>
        <v>8861.5349999999999</v>
      </c>
      <c r="P7" s="47">
        <f>5004.225+6150.42</f>
        <v>11154.645</v>
      </c>
      <c r="Q7" s="48">
        <f>5004.225+6150.42</f>
        <v>11154.645</v>
      </c>
      <c r="R7" s="228">
        <f t="shared" si="1"/>
        <v>9500.0571542591406</v>
      </c>
      <c r="S7" s="228">
        <f t="shared" si="7"/>
        <v>9428.3994656346622</v>
      </c>
      <c r="T7" s="228">
        <f t="shared" si="7"/>
        <v>9357.2824207072899</v>
      </c>
      <c r="U7" s="228">
        <f t="shared" si="7"/>
        <v>9286.7019393426181</v>
      </c>
      <c r="V7" s="228">
        <f t="shared" si="7"/>
        <v>9216.6539722055259</v>
      </c>
      <c r="W7" s="228">
        <f t="shared" si="7"/>
        <v>9147.1434146054216</v>
      </c>
      <c r="X7" s="228">
        <f t="shared" si="7"/>
        <v>9078.1394686642561</v>
      </c>
      <c r="Y7" s="228">
        <f t="shared" si="7"/>
        <v>9009.6562773721871</v>
      </c>
      <c r="Z7" s="228">
        <f t="shared" si="7"/>
        <v>8941.716031774904</v>
      </c>
      <c r="AA7" s="228">
        <f t="shared" si="7"/>
        <v>8874.2708241105702</v>
      </c>
      <c r="AB7" s="228">
        <f t="shared" si="7"/>
        <v>8807.3344700867492</v>
      </c>
      <c r="AC7" s="228">
        <f t="shared" si="7"/>
        <v>8740.9031295403402</v>
      </c>
      <c r="AD7" s="246">
        <f t="shared" si="7"/>
        <v>8674.9814306549815</v>
      </c>
    </row>
    <row r="8" spans="1:30" x14ac:dyDescent="0.3">
      <c r="B8" s="69">
        <f t="shared" si="3"/>
        <v>1.4061659375056008E-2</v>
      </c>
      <c r="C8" s="65" t="s">
        <v>7</v>
      </c>
      <c r="D8" s="3" t="s">
        <v>3</v>
      </c>
      <c r="E8" s="4">
        <v>2543.9550000000004</v>
      </c>
      <c r="F8" s="4">
        <f t="shared" si="4"/>
        <v>2543.9550000000004</v>
      </c>
      <c r="G8" s="4">
        <v>2543.9550000000004</v>
      </c>
      <c r="H8" s="4">
        <f t="shared" si="4"/>
        <v>2543.9550000000004</v>
      </c>
      <c r="I8" s="4">
        <v>2543.9550000000004</v>
      </c>
      <c r="J8" s="4">
        <f t="shared" si="5"/>
        <v>2740.3950000000004</v>
      </c>
      <c r="K8" s="4">
        <v>2936.835</v>
      </c>
      <c r="L8" s="4">
        <f t="shared" si="6"/>
        <v>2619.4974999999999</v>
      </c>
      <c r="M8" s="4">
        <v>2302.16</v>
      </c>
      <c r="N8" s="47">
        <f>1523.34+1645.79</f>
        <v>3169.13</v>
      </c>
      <c r="O8" s="47">
        <f>1523.34+1645.79</f>
        <v>3169.13</v>
      </c>
      <c r="P8" s="47">
        <f>974.61+382.68</f>
        <v>1357.29</v>
      </c>
      <c r="Q8" s="48">
        <f>974.61+382.68</f>
        <v>1357.29</v>
      </c>
      <c r="R8" s="228">
        <f t="shared" si="1"/>
        <v>1155.9608194527382</v>
      </c>
      <c r="S8" s="228">
        <f t="shared" si="7"/>
        <v>1147.2415581769988</v>
      </c>
      <c r="T8" s="228">
        <f t="shared" si="7"/>
        <v>1138.5880820771793</v>
      </c>
      <c r="U8" s="228">
        <f t="shared" si="7"/>
        <v>1129.9998946851595</v>
      </c>
      <c r="V8" s="228">
        <f t="shared" si="7"/>
        <v>1121.4765032804576</v>
      </c>
      <c r="W8" s="228">
        <f t="shared" si="7"/>
        <v>1113.0185035211603</v>
      </c>
      <c r="X8" s="228">
        <f t="shared" si="7"/>
        <v>1104.6221479413559</v>
      </c>
      <c r="Y8" s="228">
        <f t="shared" si="7"/>
        <v>1096.2891574509538</v>
      </c>
      <c r="Z8" s="228">
        <f t="shared" si="7"/>
        <v>1088.0222322420623</v>
      </c>
      <c r="AA8" s="228">
        <f t="shared" si="7"/>
        <v>1079.8155429291596</v>
      </c>
      <c r="AB8" s="228">
        <f t="shared" si="7"/>
        <v>1071.67077059862</v>
      </c>
      <c r="AC8" s="228">
        <f t="shared" si="7"/>
        <v>1063.5874479818772</v>
      </c>
      <c r="AD8" s="246">
        <f t="shared" si="7"/>
        <v>1055.5661382333278</v>
      </c>
    </row>
    <row r="9" spans="1:30" x14ac:dyDescent="0.3">
      <c r="B9" s="69">
        <f t="shared" si="3"/>
        <v>0.29989773545838311</v>
      </c>
      <c r="C9" s="65" t="s">
        <v>8</v>
      </c>
      <c r="D9" s="3" t="s">
        <v>3</v>
      </c>
      <c r="E9" s="4">
        <v>22227.494999999999</v>
      </c>
      <c r="F9" s="4">
        <f t="shared" si="4"/>
        <v>22227.494999999999</v>
      </c>
      <c r="G9" s="4">
        <v>22227.494999999999</v>
      </c>
      <c r="H9" s="4">
        <f t="shared" si="4"/>
        <v>22227.494999999999</v>
      </c>
      <c r="I9" s="4">
        <v>22227.494999999999</v>
      </c>
      <c r="J9" s="4">
        <f t="shared" si="5"/>
        <v>24651.502500000002</v>
      </c>
      <c r="K9" s="4">
        <v>27075.510000000002</v>
      </c>
      <c r="L9" s="4">
        <f t="shared" si="6"/>
        <v>25636.365000000002</v>
      </c>
      <c r="M9" s="4">
        <v>24197.22</v>
      </c>
      <c r="N9" s="47">
        <f>20167.74+6831</f>
        <v>26998.74</v>
      </c>
      <c r="O9" s="47">
        <f>20167.74+6831</f>
        <v>26998.74</v>
      </c>
      <c r="P9" s="47">
        <f>5325.3+23622.08</f>
        <v>28947.38</v>
      </c>
      <c r="Q9" s="48">
        <f>5325.3+23622.08</f>
        <v>28947.38</v>
      </c>
      <c r="R9" s="228">
        <f t="shared" si="1"/>
        <v>24653.564901981008</v>
      </c>
      <c r="S9" s="228">
        <f t="shared" si="7"/>
        <v>24467.606286307051</v>
      </c>
      <c r="T9" s="228">
        <f t="shared" si="7"/>
        <v>24283.050693189591</v>
      </c>
      <c r="U9" s="228">
        <f t="shared" si="7"/>
        <v>24099.887534286183</v>
      </c>
      <c r="V9" s="228">
        <f t="shared" si="7"/>
        <v>23918.106301181509</v>
      </c>
      <c r="W9" s="228">
        <f t="shared" si="7"/>
        <v>23737.719697675784</v>
      </c>
      <c r="X9" s="228">
        <f t="shared" si="7"/>
        <v>23558.647800304025</v>
      </c>
      <c r="Y9" s="228">
        <f t="shared" si="7"/>
        <v>23380.927311490246</v>
      </c>
      <c r="Z9" s="228">
        <f t="shared" si="7"/>
        <v>23204.615819139042</v>
      </c>
      <c r="AA9" s="228">
        <f t="shared" si="7"/>
        <v>23029.588997986204</v>
      </c>
      <c r="AB9" s="228">
        <f t="shared" si="7"/>
        <v>22855.882701125833</v>
      </c>
      <c r="AC9" s="228">
        <f t="shared" si="7"/>
        <v>22683.486962964169</v>
      </c>
      <c r="AD9" s="246">
        <f t="shared" si="7"/>
        <v>22512.413794084296</v>
      </c>
    </row>
    <row r="10" spans="1:30" x14ac:dyDescent="0.3">
      <c r="B10" s="69">
        <f t="shared" si="3"/>
        <v>0.24163890764354667</v>
      </c>
      <c r="C10" s="65" t="s">
        <v>9</v>
      </c>
      <c r="D10" s="3" t="s">
        <v>3</v>
      </c>
      <c r="E10" s="4">
        <v>19344.36</v>
      </c>
      <c r="F10" s="4">
        <f t="shared" si="4"/>
        <v>19344.36</v>
      </c>
      <c r="G10" s="4">
        <v>19344.36</v>
      </c>
      <c r="H10" s="4">
        <f t="shared" si="4"/>
        <v>19344.36</v>
      </c>
      <c r="I10" s="4">
        <v>19344.36</v>
      </c>
      <c r="J10" s="4">
        <f t="shared" si="5"/>
        <v>19871.79</v>
      </c>
      <c r="K10" s="4">
        <v>20399.220000000005</v>
      </c>
      <c r="L10" s="4">
        <f t="shared" si="6"/>
        <v>19175.940000000002</v>
      </c>
      <c r="M10" s="4">
        <v>17952.66</v>
      </c>
      <c r="N10" s="47">
        <f>8753.31+7859.07</f>
        <v>16612.379999999997</v>
      </c>
      <c r="O10" s="47">
        <f>8753.31+7859.07</f>
        <v>16612.379999999997</v>
      </c>
      <c r="P10" s="47">
        <f>15645.735+7678.26</f>
        <v>23323.995000000003</v>
      </c>
      <c r="Q10" s="48">
        <f>15645.735+7678.26</f>
        <v>23323.995000000003</v>
      </c>
      <c r="R10" s="228">
        <f t="shared" si="1"/>
        <v>19864.30635539315</v>
      </c>
      <c r="S10" s="228">
        <f t="shared" si="7"/>
        <v>19714.472490560256</v>
      </c>
      <c r="T10" s="228">
        <f t="shared" si="7"/>
        <v>19565.769093876563</v>
      </c>
      <c r="U10" s="228">
        <f t="shared" si="7"/>
        <v>19418.187633915513</v>
      </c>
      <c r="V10" s="228">
        <f t="shared" si="7"/>
        <v>19271.71964365086</v>
      </c>
      <c r="W10" s="228">
        <f t="shared" si="7"/>
        <v>19126.375359013196</v>
      </c>
      <c r="X10" s="228">
        <f t="shared" si="7"/>
        <v>18982.090382654736</v>
      </c>
      <c r="Y10" s="228">
        <f t="shared" si="7"/>
        <v>18838.894287101695</v>
      </c>
      <c r="Z10" s="228">
        <f t="shared" si="7"/>
        <v>18696.833473099116</v>
      </c>
      <c r="AA10" s="228">
        <f t="shared" si="7"/>
        <v>18555.807767096201</v>
      </c>
      <c r="AB10" s="228">
        <f t="shared" si="7"/>
        <v>18415.846057282055</v>
      </c>
      <c r="AC10" s="228">
        <f t="shared" si="7"/>
        <v>18276.940314002215</v>
      </c>
      <c r="AD10" s="246">
        <f t="shared" si="7"/>
        <v>18139.100214636113</v>
      </c>
    </row>
    <row r="11" spans="1:30" x14ac:dyDescent="0.3">
      <c r="B11" s="69">
        <f t="shared" si="3"/>
        <v>3.4144815749257407E-3</v>
      </c>
      <c r="C11" s="65" t="s">
        <v>10</v>
      </c>
      <c r="D11" s="3" t="s">
        <v>3</v>
      </c>
      <c r="E11" s="4">
        <v>363.52500000000009</v>
      </c>
      <c r="F11" s="4">
        <f t="shared" si="4"/>
        <v>363.52500000000009</v>
      </c>
      <c r="G11" s="4">
        <v>363.52500000000009</v>
      </c>
      <c r="H11" s="4">
        <f t="shared" si="4"/>
        <v>363.52500000000009</v>
      </c>
      <c r="I11" s="4">
        <v>363.52500000000009</v>
      </c>
      <c r="J11" s="4">
        <f t="shared" si="5"/>
        <v>561.31500000000028</v>
      </c>
      <c r="K11" s="4">
        <v>759.10500000000059</v>
      </c>
      <c r="L11" s="4">
        <f t="shared" si="6"/>
        <v>538.24750000000029</v>
      </c>
      <c r="M11" s="4">
        <v>317.39</v>
      </c>
      <c r="N11" s="47">
        <f>117.495+20.48</f>
        <v>137.97499999999999</v>
      </c>
      <c r="O11" s="47">
        <f>117.495+20.48</f>
        <v>137.97499999999999</v>
      </c>
      <c r="P11" s="47">
        <f>301.14+28.44</f>
        <v>329.58</v>
      </c>
      <c r="Q11" s="48">
        <f>301.14+28.44</f>
        <v>329.58</v>
      </c>
      <c r="R11" s="228">
        <f t="shared" si="1"/>
        <v>280.69282679105675</v>
      </c>
      <c r="S11" s="228">
        <f t="shared" si="7"/>
        <v>278.57559750972541</v>
      </c>
      <c r="T11" s="228">
        <f t="shared" si="7"/>
        <v>276.47434232256677</v>
      </c>
      <c r="U11" s="228">
        <f t="shared" si="7"/>
        <v>274.38894067615234</v>
      </c>
      <c r="V11" s="228">
        <f t="shared" si="7"/>
        <v>272.31927292706285</v>
      </c>
      <c r="W11" s="228">
        <f t="shared" si="7"/>
        <v>270.26548371424229</v>
      </c>
      <c r="X11" s="228">
        <f t="shared" si="7"/>
        <v>268.22666307017073</v>
      </c>
      <c r="Y11" s="228">
        <f t="shared" si="7"/>
        <v>266.20322886979596</v>
      </c>
      <c r="Z11" s="228">
        <f t="shared" si="7"/>
        <v>264.19583677941989</v>
      </c>
      <c r="AA11" s="228">
        <f t="shared" si="7"/>
        <v>262.20307129544341</v>
      </c>
      <c r="AB11" s="228">
        <f t="shared" si="7"/>
        <v>260.22534062278004</v>
      </c>
      <c r="AC11" s="228">
        <f t="shared" si="7"/>
        <v>258.26253129829814</v>
      </c>
      <c r="AD11" s="246">
        <f t="shared" si="7"/>
        <v>256.31478006832748</v>
      </c>
    </row>
    <row r="12" spans="1:30" x14ac:dyDescent="0.3">
      <c r="B12" s="69">
        <f t="shared" si="3"/>
        <v>6.9194586184993861E-3</v>
      </c>
      <c r="C12" s="65" t="s">
        <v>11</v>
      </c>
      <c r="D12" s="3" t="s">
        <v>3</v>
      </c>
      <c r="E12" s="4">
        <v>423.67500000000001</v>
      </c>
      <c r="F12" s="4">
        <f t="shared" si="4"/>
        <v>423.67500000000001</v>
      </c>
      <c r="G12" s="4">
        <v>423.67500000000001</v>
      </c>
      <c r="H12" s="4">
        <f t="shared" si="4"/>
        <v>423.67500000000001</v>
      </c>
      <c r="I12" s="4">
        <v>423.67500000000001</v>
      </c>
      <c r="J12" s="4">
        <f t="shared" si="5"/>
        <v>506.65499999999997</v>
      </c>
      <c r="K12" s="4">
        <v>589.63499999999999</v>
      </c>
      <c r="L12" s="4">
        <f t="shared" si="6"/>
        <v>463.27499999999998</v>
      </c>
      <c r="M12" s="4">
        <v>336.91500000000002</v>
      </c>
      <c r="N12" s="47">
        <f>501.12+119.93</f>
        <v>621.04999999999995</v>
      </c>
      <c r="O12" s="47">
        <f>501.12+119.93</f>
        <v>621.04999999999995</v>
      </c>
      <c r="P12" s="47">
        <f>131.445+536.45</f>
        <v>667.89499999999998</v>
      </c>
      <c r="Q12" s="48">
        <f>131.445+536.45</f>
        <v>667.89499999999998</v>
      </c>
      <c r="R12" s="228">
        <f t="shared" si="1"/>
        <v>568.82497587721593</v>
      </c>
      <c r="S12" s="228">
        <f t="shared" si="7"/>
        <v>564.53440347945286</v>
      </c>
      <c r="T12" s="228">
        <f t="shared" si="7"/>
        <v>560.27620263829954</v>
      </c>
      <c r="U12" s="228">
        <f t="shared" si="7"/>
        <v>556.05012905181979</v>
      </c>
      <c r="V12" s="228">
        <f t="shared" si="7"/>
        <v>551.85594026221452</v>
      </c>
      <c r="W12" s="228">
        <f t="shared" si="7"/>
        <v>547.69392938079943</v>
      </c>
      <c r="X12" s="228">
        <f t="shared" si="7"/>
        <v>543.56225235527552</v>
      </c>
      <c r="Y12" s="228">
        <f t="shared" si="7"/>
        <v>539.46175601065715</v>
      </c>
      <c r="Z12" s="228">
        <f t="shared" si="7"/>
        <v>535.39376905695326</v>
      </c>
      <c r="AA12" s="228">
        <f t="shared" si="7"/>
        <v>531.35542297126699</v>
      </c>
      <c r="AB12" s="228">
        <f t="shared" si="7"/>
        <v>527.34754498225527</v>
      </c>
      <c r="AC12" s="228">
        <f t="shared" si="7"/>
        <v>523.36990515649268</v>
      </c>
      <c r="AD12" s="246">
        <f t="shared" si="7"/>
        <v>519.4227806108853</v>
      </c>
    </row>
    <row r="13" spans="1:30" ht="15" thickBot="1" x14ac:dyDescent="0.35">
      <c r="B13" s="257">
        <f t="shared" si="3"/>
        <v>5.3407555848447079E-2</v>
      </c>
      <c r="C13" s="73" t="s">
        <v>12</v>
      </c>
      <c r="D13" s="50" t="s">
        <v>3</v>
      </c>
      <c r="E13" s="51">
        <f>794.7+1506.29</f>
        <v>2300.9899999999998</v>
      </c>
      <c r="F13" s="51">
        <f t="shared" si="4"/>
        <v>2300.9899999999998</v>
      </c>
      <c r="G13" s="51">
        <f>794.7+1506.29</f>
        <v>2300.9899999999998</v>
      </c>
      <c r="H13" s="51">
        <f t="shared" si="4"/>
        <v>2300.9899999999998</v>
      </c>
      <c r="I13" s="51">
        <f>794.7+1506.29</f>
        <v>2300.9899999999998</v>
      </c>
      <c r="J13" s="51">
        <f t="shared" si="5"/>
        <v>6718.84</v>
      </c>
      <c r="K13" s="51">
        <v>11136.69</v>
      </c>
      <c r="L13" s="51">
        <f t="shared" si="6"/>
        <v>9869.0625</v>
      </c>
      <c r="M13" s="51">
        <v>8601.4349999999995</v>
      </c>
      <c r="N13" s="52">
        <f>1787.94+115.79</f>
        <v>1903.73</v>
      </c>
      <c r="O13" s="52">
        <f>1787.94+115.79</f>
        <v>1903.73</v>
      </c>
      <c r="P13" s="52">
        <f>4917.56+237.56</f>
        <v>5155.1200000000008</v>
      </c>
      <c r="Q13" s="256">
        <f>4917.56+237.56</f>
        <v>5155.1200000000008</v>
      </c>
      <c r="R13" s="228">
        <f t="shared" si="1"/>
        <v>4390.4521064600785</v>
      </c>
      <c r="S13" s="228">
        <f t="shared" si="7"/>
        <v>4357.3355004379391</v>
      </c>
      <c r="T13" s="228">
        <f t="shared" si="7"/>
        <v>4324.4687529398352</v>
      </c>
      <c r="U13" s="228">
        <f t="shared" si="7"/>
        <v>4291.8499783313509</v>
      </c>
      <c r="V13" s="228">
        <f t="shared" si="7"/>
        <v>4259.4773052119681</v>
      </c>
      <c r="W13" s="228">
        <f t="shared" si="7"/>
        <v>4227.3529959492844</v>
      </c>
      <c r="X13" s="228">
        <f t="shared" si="7"/>
        <v>4195.4628173017145</v>
      </c>
      <c r="Y13" s="228">
        <f t="shared" si="7"/>
        <v>4163.8133054531909</v>
      </c>
      <c r="Z13" s="228">
        <f t="shared" si="7"/>
        <v>4132.4147159970971</v>
      </c>
      <c r="AA13" s="228">
        <f t="shared" si="7"/>
        <v>4101.2449083578085</v>
      </c>
      <c r="AB13" s="228">
        <f t="shared" si="7"/>
        <v>4070.3102674655811</v>
      </c>
      <c r="AC13" s="228">
        <f t="shared" si="7"/>
        <v>4039.6090185887583</v>
      </c>
      <c r="AD13" s="246">
        <f t="shared" si="7"/>
        <v>4009.1433006427469</v>
      </c>
    </row>
    <row r="14" spans="1:30" ht="13.95" customHeight="1" x14ac:dyDescent="0.3">
      <c r="B14" s="258"/>
      <c r="C14" s="253" t="s">
        <v>15</v>
      </c>
      <c r="D14" s="254" t="s">
        <v>3</v>
      </c>
      <c r="E14" s="255">
        <v>24386</v>
      </c>
      <c r="F14" s="255">
        <v>24386</v>
      </c>
      <c r="G14" s="255">
        <v>24386</v>
      </c>
      <c r="H14" s="255">
        <v>24386</v>
      </c>
      <c r="I14" s="255">
        <v>24386</v>
      </c>
      <c r="J14" s="255">
        <v>38966.81</v>
      </c>
      <c r="K14" s="255">
        <v>53547.619999999995</v>
      </c>
      <c r="L14" s="255">
        <v>34203.54</v>
      </c>
      <c r="M14" s="255">
        <v>14859.46</v>
      </c>
      <c r="N14" s="255">
        <v>32440.420000000002</v>
      </c>
      <c r="O14" s="255">
        <v>32440.420000000002</v>
      </c>
      <c r="P14" s="255">
        <v>23216.04</v>
      </c>
      <c r="Q14" s="255">
        <v>23216.04</v>
      </c>
      <c r="R14" s="229">
        <v>23216.04</v>
      </c>
      <c r="S14" s="229">
        <v>23216.04</v>
      </c>
      <c r="T14" s="229">
        <v>23216.04</v>
      </c>
      <c r="U14" s="229">
        <v>23216.04</v>
      </c>
      <c r="V14" s="229">
        <v>23216.04</v>
      </c>
      <c r="W14" s="229">
        <v>23216.04</v>
      </c>
      <c r="X14" s="229">
        <v>23216.04</v>
      </c>
      <c r="Y14" s="229">
        <v>23216.04</v>
      </c>
      <c r="Z14" s="229">
        <v>23216.04</v>
      </c>
      <c r="AA14" s="229">
        <v>23216.04</v>
      </c>
      <c r="AB14" s="229">
        <v>23216.04</v>
      </c>
      <c r="AC14" s="229">
        <v>23216.04</v>
      </c>
      <c r="AD14" s="230">
        <v>23216.04</v>
      </c>
    </row>
    <row r="15" spans="1:30" ht="13.95" customHeight="1" x14ac:dyDescent="0.3">
      <c r="B15" s="6"/>
      <c r="C15" s="65" t="s">
        <v>16</v>
      </c>
      <c r="D15" s="3" t="s">
        <v>3</v>
      </c>
      <c r="E15" s="4">
        <v>8320</v>
      </c>
      <c r="F15" s="4">
        <v>8320</v>
      </c>
      <c r="G15" s="4">
        <v>8320</v>
      </c>
      <c r="H15" s="4">
        <v>8320</v>
      </c>
      <c r="I15" s="4">
        <v>8320</v>
      </c>
      <c r="J15" s="4">
        <v>9268.2099999999991</v>
      </c>
      <c r="K15" s="4">
        <v>10216.419999999998</v>
      </c>
      <c r="L15" s="4">
        <v>8473.6299999999992</v>
      </c>
      <c r="M15" s="4">
        <v>6730.84</v>
      </c>
      <c r="N15" s="4">
        <v>795.38000000000011</v>
      </c>
      <c r="O15" s="4">
        <v>795.38000000000011</v>
      </c>
      <c r="P15" s="4">
        <v>2562.9749999999999</v>
      </c>
      <c r="Q15" s="4">
        <v>2562.9749999999999</v>
      </c>
      <c r="R15" s="229">
        <v>2562.9749999999999</v>
      </c>
      <c r="S15" s="229">
        <v>2562.9749999999999</v>
      </c>
      <c r="T15" s="229">
        <v>2562.9749999999999</v>
      </c>
      <c r="U15" s="229">
        <v>2562.9749999999999</v>
      </c>
      <c r="V15" s="229">
        <v>2562.9749999999999</v>
      </c>
      <c r="W15" s="229">
        <v>2562.9749999999999</v>
      </c>
      <c r="X15" s="229">
        <v>2562.9749999999999</v>
      </c>
      <c r="Y15" s="229">
        <v>2562.9749999999999</v>
      </c>
      <c r="Z15" s="229">
        <v>2562.9749999999999</v>
      </c>
      <c r="AA15" s="229">
        <v>2562.9749999999999</v>
      </c>
      <c r="AB15" s="229">
        <v>2562.9749999999999</v>
      </c>
      <c r="AC15" s="229">
        <v>2562.9749999999999</v>
      </c>
      <c r="AD15" s="230">
        <v>2562.9749999999999</v>
      </c>
    </row>
    <row r="16" spans="1:30" x14ac:dyDescent="0.3">
      <c r="B16" s="5"/>
      <c r="C16" s="66" t="s">
        <v>13</v>
      </c>
      <c r="D16" s="3" t="s">
        <v>3</v>
      </c>
      <c r="E16" s="4">
        <v>0</v>
      </c>
      <c r="F16" s="4">
        <f t="shared" si="4"/>
        <v>0</v>
      </c>
      <c r="G16" s="4">
        <v>0</v>
      </c>
      <c r="H16" s="4">
        <f t="shared" si="4"/>
        <v>0</v>
      </c>
      <c r="I16" s="4">
        <v>0</v>
      </c>
      <c r="J16" s="4">
        <f t="shared" ref="J16:J18" si="8">+(I16+K16)/2</f>
        <v>0</v>
      </c>
      <c r="K16" s="4">
        <v>0</v>
      </c>
      <c r="L16" s="4">
        <f t="shared" ref="L16:L18" si="9">+(K16+M16)/2</f>
        <v>0</v>
      </c>
      <c r="M16" s="4">
        <v>0</v>
      </c>
      <c r="N16" s="47">
        <v>0</v>
      </c>
      <c r="O16" s="47">
        <v>0</v>
      </c>
      <c r="P16" s="4">
        <v>262.35000000000002</v>
      </c>
      <c r="Q16" s="9">
        <v>262.35000000000002</v>
      </c>
      <c r="R16" s="229">
        <v>262.35000000000002</v>
      </c>
      <c r="S16" s="229">
        <v>262.35000000000002</v>
      </c>
      <c r="T16" s="229">
        <v>262.35000000000002</v>
      </c>
      <c r="U16" s="229">
        <v>262.35000000000002</v>
      </c>
      <c r="V16" s="229">
        <v>262.35000000000002</v>
      </c>
      <c r="W16" s="229">
        <v>262.35000000000002</v>
      </c>
      <c r="X16" s="229">
        <v>262.35000000000002</v>
      </c>
      <c r="Y16" s="229">
        <v>262.35000000000002</v>
      </c>
      <c r="Z16" s="229">
        <v>262.35000000000002</v>
      </c>
      <c r="AA16" s="229">
        <v>262.35000000000002</v>
      </c>
      <c r="AB16" s="229">
        <v>262.35000000000002</v>
      </c>
      <c r="AC16" s="229">
        <v>262.35000000000002</v>
      </c>
      <c r="AD16" s="230">
        <v>262.35000000000002</v>
      </c>
    </row>
    <row r="17" spans="2:30" x14ac:dyDescent="0.3">
      <c r="B17" s="5"/>
      <c r="C17" s="66" t="s">
        <v>14</v>
      </c>
      <c r="D17" s="3" t="s">
        <v>3</v>
      </c>
      <c r="E17" s="4">
        <f>467.79+812.73</f>
        <v>1280.52</v>
      </c>
      <c r="F17" s="4">
        <f t="shared" si="4"/>
        <v>1280.52</v>
      </c>
      <c r="G17" s="4">
        <f>467.79+812.73</f>
        <v>1280.52</v>
      </c>
      <c r="H17" s="4">
        <f t="shared" si="4"/>
        <v>1280.52</v>
      </c>
      <c r="I17" s="4">
        <f>467.79+812.73</f>
        <v>1280.52</v>
      </c>
      <c r="J17" s="4">
        <f t="shared" si="8"/>
        <v>5254.8525</v>
      </c>
      <c r="K17" s="4">
        <v>9229.1849999999995</v>
      </c>
      <c r="L17" s="4">
        <f t="shared" si="9"/>
        <v>5389.7874999999995</v>
      </c>
      <c r="M17" s="4">
        <v>1550.39</v>
      </c>
      <c r="N17" s="47">
        <f>533.61+75.11</f>
        <v>608.72</v>
      </c>
      <c r="O17" s="47">
        <f>533.61+75.11</f>
        <v>608.72</v>
      </c>
      <c r="P17" s="4">
        <f t="shared" ref="P17:AD17" si="10">1376.415+1986.75</f>
        <v>3363.165</v>
      </c>
      <c r="Q17" s="9">
        <f t="shared" si="10"/>
        <v>3363.165</v>
      </c>
      <c r="R17" s="229">
        <f t="shared" si="10"/>
        <v>3363.165</v>
      </c>
      <c r="S17" s="229">
        <f t="shared" si="10"/>
        <v>3363.165</v>
      </c>
      <c r="T17" s="229">
        <f t="shared" si="10"/>
        <v>3363.165</v>
      </c>
      <c r="U17" s="229">
        <f t="shared" si="10"/>
        <v>3363.165</v>
      </c>
      <c r="V17" s="229">
        <f t="shared" si="10"/>
        <v>3363.165</v>
      </c>
      <c r="W17" s="229">
        <f t="shared" si="10"/>
        <v>3363.165</v>
      </c>
      <c r="X17" s="229">
        <f t="shared" si="10"/>
        <v>3363.165</v>
      </c>
      <c r="Y17" s="229">
        <f t="shared" si="10"/>
        <v>3363.165</v>
      </c>
      <c r="Z17" s="229">
        <f t="shared" si="10"/>
        <v>3363.165</v>
      </c>
      <c r="AA17" s="229">
        <f t="shared" si="10"/>
        <v>3363.165</v>
      </c>
      <c r="AB17" s="229">
        <f t="shared" si="10"/>
        <v>3363.165</v>
      </c>
      <c r="AC17" s="229">
        <f t="shared" si="10"/>
        <v>3363.165</v>
      </c>
      <c r="AD17" s="230">
        <f t="shared" si="10"/>
        <v>3363.165</v>
      </c>
    </row>
    <row r="18" spans="2:30" ht="15" thickBot="1" x14ac:dyDescent="0.35">
      <c r="B18" s="49"/>
      <c r="C18" s="71" t="s">
        <v>3</v>
      </c>
      <c r="D18" s="50" t="s">
        <v>3</v>
      </c>
      <c r="E18" s="51">
        <f>583926.83+738244.33</f>
        <v>1322171.1599999999</v>
      </c>
      <c r="F18" s="51">
        <f t="shared" si="4"/>
        <v>1322171.1599999999</v>
      </c>
      <c r="G18" s="51">
        <f>583926.83+738244.33</f>
        <v>1322171.1599999999</v>
      </c>
      <c r="H18" s="51">
        <f t="shared" si="4"/>
        <v>1322171.1599999999</v>
      </c>
      <c r="I18" s="51">
        <f>583926.83+738244.33</f>
        <v>1322171.1599999999</v>
      </c>
      <c r="J18" s="51">
        <f t="shared" si="8"/>
        <v>2807097.83</v>
      </c>
      <c r="K18" s="51">
        <v>4292024.5</v>
      </c>
      <c r="L18" s="51">
        <f t="shared" si="9"/>
        <v>4341301.7</v>
      </c>
      <c r="M18" s="51">
        <v>4390578.9000000004</v>
      </c>
      <c r="N18" s="52">
        <f>4019308.83+459293.445</f>
        <v>4478602.2750000004</v>
      </c>
      <c r="O18" s="52">
        <f>4019308.83+459293.445</f>
        <v>4478602.2750000004</v>
      </c>
      <c r="P18" s="51">
        <f t="shared" ref="P18:AD18" si="11">3995904.69+571453.38</f>
        <v>4567358.07</v>
      </c>
      <c r="Q18" s="53">
        <f t="shared" si="11"/>
        <v>4567358.07</v>
      </c>
      <c r="R18" s="231">
        <f t="shared" si="11"/>
        <v>4567358.07</v>
      </c>
      <c r="S18" s="231">
        <f t="shared" si="11"/>
        <v>4567358.07</v>
      </c>
      <c r="T18" s="231">
        <f t="shared" si="11"/>
        <v>4567358.07</v>
      </c>
      <c r="U18" s="231">
        <f t="shared" si="11"/>
        <v>4567358.07</v>
      </c>
      <c r="V18" s="231">
        <f t="shared" si="11"/>
        <v>4567358.07</v>
      </c>
      <c r="W18" s="231">
        <f t="shared" si="11"/>
        <v>4567358.07</v>
      </c>
      <c r="X18" s="231">
        <f t="shared" si="11"/>
        <v>4567358.07</v>
      </c>
      <c r="Y18" s="231">
        <f t="shared" si="11"/>
        <v>4567358.07</v>
      </c>
      <c r="Z18" s="231">
        <f t="shared" si="11"/>
        <v>4567358.07</v>
      </c>
      <c r="AA18" s="231">
        <f t="shared" si="11"/>
        <v>4567358.07</v>
      </c>
      <c r="AB18" s="231">
        <f t="shared" si="11"/>
        <v>4567358.07</v>
      </c>
      <c r="AC18" s="231">
        <f t="shared" si="11"/>
        <v>4567358.07</v>
      </c>
      <c r="AD18" s="232">
        <f t="shared" si="11"/>
        <v>4567358.07</v>
      </c>
    </row>
    <row r="20" spans="2:30" x14ac:dyDescent="0.3">
      <c r="B20" s="54" t="s">
        <v>15</v>
      </c>
      <c r="C20" s="57"/>
      <c r="D20" s="58"/>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row>
    <row r="21" spans="2:30" ht="15" thickBot="1" x14ac:dyDescent="0.35">
      <c r="B21" s="60">
        <f>+SUM(Q22:Q31)/(SUM(Q22:Q31)+SUM(Q39:Q48)+SUM(Q56:Q65)+SUM(Q74:Q83)+SUM(Q4:Q13))</f>
        <v>1.1528251069938418E-2</v>
      </c>
      <c r="C21" s="55"/>
      <c r="D21" s="56"/>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row>
    <row r="22" spans="2:30" x14ac:dyDescent="0.3">
      <c r="B22" s="67">
        <f>+Q22/SUM(Q$22:Q$31)</f>
        <v>1.3092337345892279E-3</v>
      </c>
      <c r="C22" s="68" t="s">
        <v>2</v>
      </c>
      <c r="D22" s="1" t="s">
        <v>15</v>
      </c>
      <c r="E22" s="2">
        <v>0</v>
      </c>
      <c r="F22" s="2">
        <f>+(E22+G22)/2</f>
        <v>0</v>
      </c>
      <c r="G22" s="2">
        <v>0</v>
      </c>
      <c r="H22" s="2">
        <f>+(G22+I22)/2</f>
        <v>0</v>
      </c>
      <c r="I22" s="2">
        <v>0</v>
      </c>
      <c r="J22" s="2">
        <f>+(I22+K22)/2</f>
        <v>0</v>
      </c>
      <c r="K22" s="2">
        <v>0</v>
      </c>
      <c r="L22" s="2">
        <f>+(K22+M22)/2</f>
        <v>80.887500000000003</v>
      </c>
      <c r="M22" s="2">
        <v>161.77500000000001</v>
      </c>
      <c r="N22" s="46">
        <v>23.94</v>
      </c>
      <c r="O22" s="46">
        <v>23.94</v>
      </c>
      <c r="P22" s="2">
        <v>1.62</v>
      </c>
      <c r="Q22" s="8">
        <v>1.62</v>
      </c>
      <c r="R22" s="227">
        <f>$B$21*R$3*$B22</f>
        <v>1.3797025893607378</v>
      </c>
      <c r="S22" s="227">
        <f t="shared" ref="S22:AD22" si="12">$B$21*S$3*$B22</f>
        <v>1.3692956731772414</v>
      </c>
      <c r="T22" s="227">
        <f t="shared" si="12"/>
        <v>1.3589672752064998</v>
      </c>
      <c r="U22" s="227">
        <f t="shared" si="12"/>
        <v>1.3487168028866034</v>
      </c>
      <c r="V22" s="227">
        <f t="shared" si="12"/>
        <v>1.3385436681286542</v>
      </c>
      <c r="W22" s="227">
        <f t="shared" si="12"/>
        <v>1.3284485818832228</v>
      </c>
      <c r="X22" s="227">
        <f t="shared" si="12"/>
        <v>1.3184270713443678</v>
      </c>
      <c r="Y22" s="227">
        <f t="shared" si="12"/>
        <v>1.3084811905123777</v>
      </c>
      <c r="Z22" s="227">
        <f t="shared" si="12"/>
        <v>1.2986141622145162</v>
      </c>
      <c r="AA22" s="227">
        <f t="shared" si="12"/>
        <v>1.2888190287596892</v>
      </c>
      <c r="AB22" s="227">
        <f t="shared" si="12"/>
        <v>1.2790977966166144</v>
      </c>
      <c r="AC22" s="227">
        <f t="shared" si="12"/>
        <v>1.2694499080746495</v>
      </c>
      <c r="AD22" s="245">
        <f t="shared" si="12"/>
        <v>1.2598760352894307</v>
      </c>
    </row>
    <row r="23" spans="2:30" x14ac:dyDescent="0.3">
      <c r="B23" s="69">
        <f t="shared" ref="B23:B31" si="13">+Q23/SUM(Q$22:Q$31)</f>
        <v>0.37651380150561881</v>
      </c>
      <c r="C23" s="65" t="s">
        <v>4</v>
      </c>
      <c r="D23" s="3" t="s">
        <v>15</v>
      </c>
      <c r="E23" s="4">
        <v>0</v>
      </c>
      <c r="F23" s="4">
        <f t="shared" ref="F23:H35" si="14">+(E23+G23)/2</f>
        <v>0</v>
      </c>
      <c r="G23" s="4">
        <v>0</v>
      </c>
      <c r="H23" s="4">
        <f t="shared" si="14"/>
        <v>0</v>
      </c>
      <c r="I23" s="4">
        <v>0</v>
      </c>
      <c r="J23" s="4">
        <f t="shared" ref="J23:J35" si="15">+(I23+K23)/2</f>
        <v>0</v>
      </c>
      <c r="K23" s="4">
        <v>0</v>
      </c>
      <c r="L23" s="4">
        <f t="shared" ref="L23:L35" si="16">+(K23+M23)/2</f>
        <v>303.09750000000003</v>
      </c>
      <c r="M23" s="4">
        <v>606.19500000000005</v>
      </c>
      <c r="N23" s="47">
        <v>194.535</v>
      </c>
      <c r="O23" s="47">
        <v>194.535</v>
      </c>
      <c r="P23" s="47">
        <v>465.88499999999999</v>
      </c>
      <c r="Q23" s="48">
        <v>465.88499999999999</v>
      </c>
      <c r="R23" s="228">
        <f t="shared" ref="R23:AD31" si="17">$B$21*R$3*$B23</f>
        <v>396.77946965699221</v>
      </c>
      <c r="S23" s="228">
        <f t="shared" si="17"/>
        <v>393.78661401122167</v>
      </c>
      <c r="T23" s="228">
        <f t="shared" si="17"/>
        <v>390.81633889480264</v>
      </c>
      <c r="U23" s="228">
        <f t="shared" si="17"/>
        <v>387.86847389680577</v>
      </c>
      <c r="V23" s="228">
        <f t="shared" si="17"/>
        <v>384.94284989266549</v>
      </c>
      <c r="W23" s="228">
        <f t="shared" si="17"/>
        <v>382.03967133991682</v>
      </c>
      <c r="X23" s="228">
        <f t="shared" si="17"/>
        <v>379.15765193411778</v>
      </c>
      <c r="Y23" s="228">
        <f t="shared" si="17"/>
        <v>376.29738237151798</v>
      </c>
      <c r="Z23" s="228">
        <f t="shared" si="17"/>
        <v>373.45978948352462</v>
      </c>
      <c r="AA23" s="228">
        <f t="shared" si="17"/>
        <v>370.64287235414065</v>
      </c>
      <c r="AB23" s="228">
        <f t="shared" si="17"/>
        <v>367.84720801032802</v>
      </c>
      <c r="AC23" s="228">
        <f t="shared" si="17"/>
        <v>365.07263606380133</v>
      </c>
      <c r="AD23" s="246">
        <f t="shared" si="17"/>
        <v>362.31934981531879</v>
      </c>
    </row>
    <row r="24" spans="2:30" x14ac:dyDescent="0.3">
      <c r="B24" s="69">
        <f t="shared" si="13"/>
        <v>6.3934247372440633E-2</v>
      </c>
      <c r="C24" s="65" t="s">
        <v>5</v>
      </c>
      <c r="D24" s="3" t="s">
        <v>15</v>
      </c>
      <c r="E24" s="4">
        <v>0</v>
      </c>
      <c r="F24" s="4">
        <f t="shared" si="14"/>
        <v>0</v>
      </c>
      <c r="G24" s="4">
        <v>0</v>
      </c>
      <c r="H24" s="4">
        <f t="shared" si="14"/>
        <v>0</v>
      </c>
      <c r="I24" s="4">
        <v>0</v>
      </c>
      <c r="J24" s="4">
        <f t="shared" si="15"/>
        <v>0</v>
      </c>
      <c r="K24" s="4">
        <v>0</v>
      </c>
      <c r="L24" s="4">
        <f t="shared" si="16"/>
        <v>195.88499999999999</v>
      </c>
      <c r="M24" s="4">
        <v>391.77</v>
      </c>
      <c r="N24" s="47">
        <v>846.22500000000002</v>
      </c>
      <c r="O24" s="47">
        <v>846.22500000000002</v>
      </c>
      <c r="P24" s="47">
        <v>79.11</v>
      </c>
      <c r="Q24" s="48">
        <v>79.11</v>
      </c>
      <c r="R24" s="228">
        <f t="shared" si="17"/>
        <v>67.375476447116029</v>
      </c>
      <c r="S24" s="228">
        <f t="shared" si="17"/>
        <v>66.867272040155285</v>
      </c>
      <c r="T24" s="228">
        <f t="shared" si="17"/>
        <v>66.362901939250747</v>
      </c>
      <c r="U24" s="228">
        <f t="shared" si="17"/>
        <v>65.862337207629139</v>
      </c>
      <c r="V24" s="228">
        <f t="shared" si="17"/>
        <v>65.36554912694929</v>
      </c>
      <c r="W24" s="228">
        <f t="shared" si="17"/>
        <v>64.872572415297384</v>
      </c>
      <c r="X24" s="228">
        <f t="shared" si="17"/>
        <v>64.383188650649956</v>
      </c>
      <c r="Y24" s="228">
        <f t="shared" si="17"/>
        <v>63.897498136687787</v>
      </c>
      <c r="Z24" s="228">
        <f t="shared" si="17"/>
        <v>63.415658254808875</v>
      </c>
      <c r="AA24" s="228">
        <f t="shared" si="17"/>
        <v>62.937329237764828</v>
      </c>
      <c r="AB24" s="228">
        <f t="shared" si="17"/>
        <v>62.462609068111334</v>
      </c>
      <c r="AC24" s="228">
        <f t="shared" si="17"/>
        <v>61.991470510978729</v>
      </c>
      <c r="AD24" s="246">
        <f t="shared" si="17"/>
        <v>61.5239463899672</v>
      </c>
    </row>
    <row r="25" spans="2:30" x14ac:dyDescent="0.3">
      <c r="B25" s="69">
        <f t="shared" si="13"/>
        <v>1.6910935738444193E-2</v>
      </c>
      <c r="C25" s="65" t="s">
        <v>6</v>
      </c>
      <c r="D25" s="3" t="s">
        <v>15</v>
      </c>
      <c r="E25" s="4">
        <v>0</v>
      </c>
      <c r="F25" s="4">
        <f t="shared" si="14"/>
        <v>0</v>
      </c>
      <c r="G25" s="4">
        <v>0</v>
      </c>
      <c r="H25" s="4">
        <f t="shared" si="14"/>
        <v>0</v>
      </c>
      <c r="I25" s="4">
        <v>0</v>
      </c>
      <c r="J25" s="4">
        <f t="shared" si="15"/>
        <v>0</v>
      </c>
      <c r="K25" s="4">
        <v>0</v>
      </c>
      <c r="L25" s="4">
        <f t="shared" si="16"/>
        <v>34.042499999999997</v>
      </c>
      <c r="M25" s="4">
        <v>68.084999999999994</v>
      </c>
      <c r="N25" s="47">
        <v>149.94</v>
      </c>
      <c r="O25" s="47">
        <v>149.94</v>
      </c>
      <c r="P25" s="47">
        <v>20.925000000000001</v>
      </c>
      <c r="Q25" s="48">
        <v>20.925000000000001</v>
      </c>
      <c r="R25" s="228">
        <f t="shared" si="17"/>
        <v>17.821158445909528</v>
      </c>
      <c r="S25" s="228">
        <f t="shared" si="17"/>
        <v>17.686735778539365</v>
      </c>
      <c r="T25" s="228">
        <f t="shared" si="17"/>
        <v>17.553327304750624</v>
      </c>
      <c r="U25" s="228">
        <f t="shared" si="17"/>
        <v>17.42092537061863</v>
      </c>
      <c r="V25" s="228">
        <f t="shared" si="17"/>
        <v>17.289522379995116</v>
      </c>
      <c r="W25" s="228">
        <f t="shared" si="17"/>
        <v>17.159127515991628</v>
      </c>
      <c r="X25" s="228">
        <f t="shared" si="17"/>
        <v>17.029683004864747</v>
      </c>
      <c r="Y25" s="228">
        <f t="shared" si="17"/>
        <v>16.901215377451546</v>
      </c>
      <c r="Z25" s="228">
        <f t="shared" si="17"/>
        <v>16.773766261937499</v>
      </c>
      <c r="AA25" s="228">
        <f t="shared" si="17"/>
        <v>16.647245788145984</v>
      </c>
      <c r="AB25" s="228">
        <f t="shared" si="17"/>
        <v>16.521679872964601</v>
      </c>
      <c r="AC25" s="228">
        <f t="shared" si="17"/>
        <v>16.397061312630889</v>
      </c>
      <c r="AD25" s="246">
        <f t="shared" si="17"/>
        <v>16.273398789155145</v>
      </c>
    </row>
    <row r="26" spans="2:30" x14ac:dyDescent="0.3">
      <c r="B26" s="69">
        <f t="shared" si="13"/>
        <v>3.2694475760992103E-2</v>
      </c>
      <c r="C26" s="65" t="s">
        <v>7</v>
      </c>
      <c r="D26" s="3" t="s">
        <v>15</v>
      </c>
      <c r="E26" s="4">
        <v>0</v>
      </c>
      <c r="F26" s="4">
        <f t="shared" si="14"/>
        <v>0</v>
      </c>
      <c r="G26" s="4">
        <v>0</v>
      </c>
      <c r="H26" s="4">
        <f t="shared" si="14"/>
        <v>0</v>
      </c>
      <c r="I26" s="4">
        <v>0</v>
      </c>
      <c r="J26" s="4">
        <f t="shared" si="15"/>
        <v>0</v>
      </c>
      <c r="K26" s="4">
        <v>0</v>
      </c>
      <c r="L26" s="4">
        <f t="shared" si="16"/>
        <v>191.20500000000001</v>
      </c>
      <c r="M26" s="4">
        <v>382.41</v>
      </c>
      <c r="N26" s="47">
        <v>1335.2850000000001</v>
      </c>
      <c r="O26" s="47">
        <v>1335.2850000000001</v>
      </c>
      <c r="P26" s="47">
        <v>40.454999999999998</v>
      </c>
      <c r="Q26" s="48">
        <v>40.454999999999998</v>
      </c>
      <c r="R26" s="228">
        <f t="shared" si="17"/>
        <v>34.454239662091751</v>
      </c>
      <c r="S26" s="228">
        <f t="shared" si="17"/>
        <v>34.194355838509438</v>
      </c>
      <c r="T26" s="228">
        <f t="shared" si="17"/>
        <v>33.936432789184536</v>
      </c>
      <c r="U26" s="228">
        <f t="shared" si="17"/>
        <v>33.680455716529345</v>
      </c>
      <c r="V26" s="228">
        <f t="shared" si="17"/>
        <v>33.426409934657222</v>
      </c>
      <c r="W26" s="228">
        <f t="shared" si="17"/>
        <v>33.174313197583807</v>
      </c>
      <c r="X26" s="228">
        <f t="shared" si="17"/>
        <v>32.92405380940518</v>
      </c>
      <c r="Y26" s="228">
        <f t="shared" si="17"/>
        <v>32.675683063072981</v>
      </c>
      <c r="Z26" s="228">
        <f t="shared" si="17"/>
        <v>32.429281439745829</v>
      </c>
      <c r="AA26" s="228">
        <f t="shared" si="17"/>
        <v>32.184675190415568</v>
      </c>
      <c r="AB26" s="228">
        <f t="shared" si="17"/>
        <v>31.94191442106489</v>
      </c>
      <c r="AC26" s="228">
        <f t="shared" si="17"/>
        <v>31.700985204419716</v>
      </c>
      <c r="AD26" s="246">
        <f t="shared" si="17"/>
        <v>31.461904325699944</v>
      </c>
    </row>
    <row r="27" spans="2:30" x14ac:dyDescent="0.3">
      <c r="B27" s="69">
        <f t="shared" si="13"/>
        <v>1.596537804124086E-2</v>
      </c>
      <c r="C27" s="65" t="s">
        <v>8</v>
      </c>
      <c r="D27" s="3" t="s">
        <v>15</v>
      </c>
      <c r="E27" s="4">
        <v>0</v>
      </c>
      <c r="F27" s="4">
        <f t="shared" si="14"/>
        <v>0</v>
      </c>
      <c r="G27" s="4">
        <v>0</v>
      </c>
      <c r="H27" s="4">
        <f t="shared" si="14"/>
        <v>0</v>
      </c>
      <c r="I27" s="4">
        <v>0</v>
      </c>
      <c r="J27" s="4">
        <f t="shared" si="15"/>
        <v>0</v>
      </c>
      <c r="K27" s="4">
        <v>0</v>
      </c>
      <c r="L27" s="4">
        <f t="shared" si="16"/>
        <v>20.317499999999999</v>
      </c>
      <c r="M27" s="4">
        <v>40.634999999999998</v>
      </c>
      <c r="N27" s="47">
        <v>342.85500000000002</v>
      </c>
      <c r="O27" s="47">
        <v>342.85500000000002</v>
      </c>
      <c r="P27" s="47">
        <v>19.754999999999999</v>
      </c>
      <c r="Q27" s="48">
        <v>19.754999999999999</v>
      </c>
      <c r="R27" s="228">
        <f t="shared" si="17"/>
        <v>16.824706575815661</v>
      </c>
      <c r="S27" s="228">
        <f t="shared" si="17"/>
        <v>16.697800014578025</v>
      </c>
      <c r="T27" s="228">
        <f t="shared" si="17"/>
        <v>16.571850939323706</v>
      </c>
      <c r="U27" s="228">
        <f t="shared" si="17"/>
        <v>16.446852124089414</v>
      </c>
      <c r="V27" s="228">
        <f t="shared" si="17"/>
        <v>16.322796397457754</v>
      </c>
      <c r="W27" s="228">
        <f t="shared" si="17"/>
        <v>16.199692429075963</v>
      </c>
      <c r="X27" s="228">
        <f t="shared" si="17"/>
        <v>16.077485675560482</v>
      </c>
      <c r="Y27" s="228">
        <f t="shared" si="17"/>
        <v>15.956201184303715</v>
      </c>
      <c r="Z27" s="228">
        <f t="shared" si="17"/>
        <v>15.835878255893681</v>
      </c>
      <c r="AA27" s="228">
        <f t="shared" si="17"/>
        <v>15.716432045152875</v>
      </c>
      <c r="AB27" s="228">
        <f t="shared" si="17"/>
        <v>15.5978870198526</v>
      </c>
      <c r="AC27" s="228">
        <f t="shared" si="17"/>
        <v>15.48023637902142</v>
      </c>
      <c r="AD27" s="246">
        <f t="shared" si="17"/>
        <v>15.363488319223888</v>
      </c>
    </row>
    <row r="28" spans="2:30" x14ac:dyDescent="0.3">
      <c r="B28" s="69">
        <f t="shared" si="13"/>
        <v>3.0221478706768012E-2</v>
      </c>
      <c r="C28" s="65" t="s">
        <v>9</v>
      </c>
      <c r="D28" s="3" t="s">
        <v>15</v>
      </c>
      <c r="E28" s="4">
        <v>0</v>
      </c>
      <c r="F28" s="4">
        <f t="shared" si="14"/>
        <v>0</v>
      </c>
      <c r="G28" s="4">
        <v>0</v>
      </c>
      <c r="H28" s="4">
        <f t="shared" si="14"/>
        <v>0</v>
      </c>
      <c r="I28" s="4">
        <v>0</v>
      </c>
      <c r="J28" s="4">
        <f t="shared" si="15"/>
        <v>0</v>
      </c>
      <c r="K28" s="4">
        <v>0</v>
      </c>
      <c r="L28" s="4">
        <f t="shared" si="16"/>
        <v>65.227500000000006</v>
      </c>
      <c r="M28" s="4">
        <v>130.45500000000001</v>
      </c>
      <c r="N28" s="47">
        <v>582.12</v>
      </c>
      <c r="O28" s="47">
        <v>582.12</v>
      </c>
      <c r="P28" s="47">
        <v>37.395000000000003</v>
      </c>
      <c r="Q28" s="48">
        <v>37.395000000000003</v>
      </c>
      <c r="R28" s="228">
        <f t="shared" si="17"/>
        <v>31.848134771077032</v>
      </c>
      <c r="S28" s="228">
        <f t="shared" si="17"/>
        <v>31.607908455841322</v>
      </c>
      <c r="T28" s="228">
        <f t="shared" si="17"/>
        <v>31.369494602683375</v>
      </c>
      <c r="U28" s="228">
        <f t="shared" si="17"/>
        <v>31.1328795332991</v>
      </c>
      <c r="V28" s="228">
        <f t="shared" si="17"/>
        <v>30.898049672636436</v>
      </c>
      <c r="W28" s="228">
        <f t="shared" si="17"/>
        <v>30.665021431804394</v>
      </c>
      <c r="X28" s="228">
        <f t="shared" si="17"/>
        <v>30.433691563532488</v>
      </c>
      <c r="Y28" s="228">
        <f t="shared" si="17"/>
        <v>30.204107480994054</v>
      </c>
      <c r="Z28" s="228">
        <f t="shared" si="17"/>
        <v>29.976343577785084</v>
      </c>
      <c r="AA28" s="228">
        <f t="shared" si="17"/>
        <v>29.750239247202828</v>
      </c>
      <c r="AB28" s="228">
        <f t="shared" si="17"/>
        <v>29.525840805233514</v>
      </c>
      <c r="AC28" s="228">
        <f t="shared" si="17"/>
        <v>29.303135378056496</v>
      </c>
      <c r="AD28" s="246">
        <f t="shared" si="17"/>
        <v>29.082138481264359</v>
      </c>
    </row>
    <row r="29" spans="2:30" x14ac:dyDescent="0.3">
      <c r="B29" s="69">
        <f t="shared" si="13"/>
        <v>0.11375786449430846</v>
      </c>
      <c r="C29" s="65" t="s">
        <v>10</v>
      </c>
      <c r="D29" s="3" t="s">
        <v>15</v>
      </c>
      <c r="E29" s="4">
        <v>0</v>
      </c>
      <c r="F29" s="4">
        <f t="shared" si="14"/>
        <v>0</v>
      </c>
      <c r="G29" s="4">
        <v>0</v>
      </c>
      <c r="H29" s="4">
        <f t="shared" si="14"/>
        <v>0</v>
      </c>
      <c r="I29" s="4">
        <v>0</v>
      </c>
      <c r="J29" s="4">
        <f t="shared" si="15"/>
        <v>0</v>
      </c>
      <c r="K29" s="4">
        <v>0</v>
      </c>
      <c r="L29" s="4">
        <f t="shared" si="16"/>
        <v>8.7524999999999995</v>
      </c>
      <c r="M29" s="4">
        <v>17.504999999999999</v>
      </c>
      <c r="N29" s="47">
        <v>102.69</v>
      </c>
      <c r="O29" s="47">
        <v>102.69</v>
      </c>
      <c r="P29" s="47">
        <v>140.76</v>
      </c>
      <c r="Q29" s="48">
        <v>140.76</v>
      </c>
      <c r="R29" s="228">
        <f t="shared" si="17"/>
        <v>119.88082498667742</v>
      </c>
      <c r="S29" s="228">
        <f t="shared" si="17"/>
        <v>118.97657960273362</v>
      </c>
      <c r="T29" s="228">
        <f t="shared" si="17"/>
        <v>118.07915657905365</v>
      </c>
      <c r="U29" s="228">
        <f t="shared" si="17"/>
        <v>117.18850442859153</v>
      </c>
      <c r="V29" s="228">
        <f t="shared" si="17"/>
        <v>116.30457205295639</v>
      </c>
      <c r="W29" s="228">
        <f t="shared" si="17"/>
        <v>115.42742122585334</v>
      </c>
      <c r="X29" s="228">
        <f t="shared" si="17"/>
        <v>114.55666331014393</v>
      </c>
      <c r="Y29" s="228">
        <f t="shared" si="17"/>
        <v>113.69247677563104</v>
      </c>
      <c r="Z29" s="228">
        <f t="shared" si="17"/>
        <v>112.83514165019461</v>
      </c>
      <c r="AA29" s="228">
        <f t="shared" si="17"/>
        <v>111.98405338778632</v>
      </c>
      <c r="AB29" s="228">
        <f t="shared" si="17"/>
        <v>111.13938632824359</v>
      </c>
      <c r="AC29" s="228">
        <f t="shared" si="17"/>
        <v>110.30109201270844</v>
      </c>
      <c r="AD29" s="246">
        <f t="shared" si="17"/>
        <v>109.46922884403719</v>
      </c>
    </row>
    <row r="30" spans="2:30" x14ac:dyDescent="0.3">
      <c r="B30" s="69">
        <f t="shared" si="13"/>
        <v>2.9094082990871733E-4</v>
      </c>
      <c r="C30" s="65" t="s">
        <v>11</v>
      </c>
      <c r="D30" s="3" t="s">
        <v>15</v>
      </c>
      <c r="E30" s="4">
        <v>0</v>
      </c>
      <c r="F30" s="4">
        <f t="shared" si="14"/>
        <v>0</v>
      </c>
      <c r="G30" s="4">
        <v>0</v>
      </c>
      <c r="H30" s="4">
        <f t="shared" si="14"/>
        <v>0</v>
      </c>
      <c r="I30" s="4">
        <v>0</v>
      </c>
      <c r="J30" s="4">
        <f t="shared" si="15"/>
        <v>0</v>
      </c>
      <c r="K30" s="4">
        <v>0</v>
      </c>
      <c r="L30" s="4">
        <f t="shared" si="16"/>
        <v>0.87749999999999995</v>
      </c>
      <c r="M30" s="4">
        <v>1.7549999999999999</v>
      </c>
      <c r="N30" s="47">
        <v>23.535</v>
      </c>
      <c r="O30" s="47">
        <v>23.535</v>
      </c>
      <c r="P30" s="47">
        <v>0.36</v>
      </c>
      <c r="Q30" s="48">
        <v>0.36</v>
      </c>
      <c r="R30" s="228">
        <f t="shared" si="17"/>
        <v>0.30660057541349728</v>
      </c>
      <c r="S30" s="228">
        <f t="shared" si="17"/>
        <v>0.30428792737272031</v>
      </c>
      <c r="T30" s="228">
        <f t="shared" si="17"/>
        <v>0.30199272782366665</v>
      </c>
      <c r="U30" s="228">
        <f t="shared" si="17"/>
        <v>0.2997148450859119</v>
      </c>
      <c r="V30" s="228">
        <f t="shared" si="17"/>
        <v>0.29745414847303425</v>
      </c>
      <c r="W30" s="228">
        <f t="shared" si="17"/>
        <v>0.29521079597404953</v>
      </c>
      <c r="X30" s="228">
        <f t="shared" si="17"/>
        <v>0.29298379363208171</v>
      </c>
      <c r="Y30" s="228">
        <f t="shared" si="17"/>
        <v>0.29077359789163953</v>
      </c>
      <c r="Z30" s="228">
        <f t="shared" si="17"/>
        <v>0.28858092493655918</v>
      </c>
      <c r="AA30" s="228">
        <f t="shared" si="17"/>
        <v>0.28640422861326431</v>
      </c>
      <c r="AB30" s="228">
        <f t="shared" si="17"/>
        <v>0.28424395480369208</v>
      </c>
      <c r="AC30" s="228">
        <f t="shared" si="17"/>
        <v>0.28209997957214439</v>
      </c>
      <c r="AD30" s="246">
        <f t="shared" si="17"/>
        <v>0.27997245228654016</v>
      </c>
    </row>
    <row r="31" spans="2:30" x14ac:dyDescent="0.3">
      <c r="B31" s="69">
        <f t="shared" si="13"/>
        <v>0.348401643815689</v>
      </c>
      <c r="C31" s="65" t="s">
        <v>12</v>
      </c>
      <c r="D31" s="3" t="s">
        <v>15</v>
      </c>
      <c r="E31" s="4">
        <v>1629.9900000000002</v>
      </c>
      <c r="F31" s="4">
        <f t="shared" si="14"/>
        <v>1629.9900000000002</v>
      </c>
      <c r="G31" s="4">
        <v>1629.9900000000002</v>
      </c>
      <c r="H31" s="4">
        <f t="shared" si="14"/>
        <v>1629.9900000000002</v>
      </c>
      <c r="I31" s="4">
        <v>1629.9900000000002</v>
      </c>
      <c r="J31" s="4">
        <f t="shared" si="15"/>
        <v>869.7600000000001</v>
      </c>
      <c r="K31" s="4">
        <v>109.53</v>
      </c>
      <c r="L31" s="4">
        <f t="shared" si="16"/>
        <v>2240.5749999999998</v>
      </c>
      <c r="M31" s="4">
        <v>4371.62</v>
      </c>
      <c r="N31" s="47">
        <v>257</v>
      </c>
      <c r="O31" s="47">
        <v>257</v>
      </c>
      <c r="P31" s="47">
        <v>431.1</v>
      </c>
      <c r="Q31" s="48">
        <v>431.1</v>
      </c>
      <c r="R31" s="228">
        <f t="shared" si="17"/>
        <v>367.15418905766302</v>
      </c>
      <c r="S31" s="228">
        <f t="shared" si="17"/>
        <v>364.38479302883258</v>
      </c>
      <c r="T31" s="228">
        <f t="shared" si="17"/>
        <v>361.63629156884082</v>
      </c>
      <c r="U31" s="228">
        <f t="shared" si="17"/>
        <v>358.90852699037953</v>
      </c>
      <c r="V31" s="228">
        <f t="shared" si="17"/>
        <v>356.20134279645856</v>
      </c>
      <c r="W31" s="228">
        <f t="shared" si="17"/>
        <v>353.51492817892432</v>
      </c>
      <c r="X31" s="228">
        <f t="shared" si="17"/>
        <v>350.84809287441789</v>
      </c>
      <c r="Y31" s="228">
        <f t="shared" si="17"/>
        <v>348.20138347523834</v>
      </c>
      <c r="Z31" s="228">
        <f t="shared" si="17"/>
        <v>345.57565761152961</v>
      </c>
      <c r="AA31" s="228">
        <f t="shared" si="17"/>
        <v>342.96906376438398</v>
      </c>
      <c r="AB31" s="228">
        <f t="shared" si="17"/>
        <v>340.38213587742126</v>
      </c>
      <c r="AC31" s="228">
        <f t="shared" si="17"/>
        <v>337.81472553764291</v>
      </c>
      <c r="AD31" s="246">
        <f t="shared" si="17"/>
        <v>335.26701161313184</v>
      </c>
    </row>
    <row r="32" spans="2:30" x14ac:dyDescent="0.3">
      <c r="B32" s="70"/>
      <c r="C32" s="65" t="s">
        <v>3</v>
      </c>
      <c r="D32" s="3" t="s">
        <v>15</v>
      </c>
      <c r="E32" s="4">
        <v>66529.460000000006</v>
      </c>
      <c r="F32" s="4">
        <f t="shared" si="14"/>
        <v>66529.460000000006</v>
      </c>
      <c r="G32" s="4">
        <v>66529.460000000006</v>
      </c>
      <c r="H32" s="4">
        <f t="shared" si="14"/>
        <v>66529.460000000006</v>
      </c>
      <c r="I32" s="4">
        <v>66529.460000000006</v>
      </c>
      <c r="J32" s="4">
        <f t="shared" si="15"/>
        <v>44241.83</v>
      </c>
      <c r="K32" s="4">
        <v>21954.2</v>
      </c>
      <c r="L32" s="4">
        <f t="shared" si="16"/>
        <v>19003.055</v>
      </c>
      <c r="M32" s="4">
        <v>16051.91</v>
      </c>
      <c r="N32" s="4">
        <v>7562.6099999999988</v>
      </c>
      <c r="O32" s="4">
        <v>7562.6099999999988</v>
      </c>
      <c r="P32" s="4">
        <v>10864.710000000001</v>
      </c>
      <c r="Q32" s="4">
        <v>10864.710000000001</v>
      </c>
      <c r="R32" s="229">
        <v>10864.710000000001</v>
      </c>
      <c r="S32" s="229">
        <v>10864.710000000001</v>
      </c>
      <c r="T32" s="229">
        <v>10864.710000000001</v>
      </c>
      <c r="U32" s="229">
        <v>10864.710000000001</v>
      </c>
      <c r="V32" s="229">
        <v>10864.710000000001</v>
      </c>
      <c r="W32" s="229">
        <v>10864.710000000001</v>
      </c>
      <c r="X32" s="229">
        <v>10864.710000000001</v>
      </c>
      <c r="Y32" s="229">
        <v>10864.710000000001</v>
      </c>
      <c r="Z32" s="229">
        <v>10864.710000000001</v>
      </c>
      <c r="AA32" s="229">
        <v>10864.710000000001</v>
      </c>
      <c r="AB32" s="229">
        <v>10864.710000000001</v>
      </c>
      <c r="AC32" s="229">
        <v>10864.710000000001</v>
      </c>
      <c r="AD32" s="230">
        <v>10864.710000000001</v>
      </c>
    </row>
    <row r="33" spans="2:30" x14ac:dyDescent="0.3">
      <c r="B33" s="6"/>
      <c r="C33" s="65" t="s">
        <v>16</v>
      </c>
      <c r="D33" s="3" t="s">
        <v>15</v>
      </c>
      <c r="E33" s="4">
        <v>12.48</v>
      </c>
      <c r="F33" s="4">
        <f t="shared" si="14"/>
        <v>12.48</v>
      </c>
      <c r="G33" s="4">
        <v>12.48</v>
      </c>
      <c r="H33" s="4">
        <f t="shared" si="14"/>
        <v>12.48</v>
      </c>
      <c r="I33" s="4">
        <v>12.48</v>
      </c>
      <c r="J33" s="4">
        <f t="shared" si="15"/>
        <v>1375.46</v>
      </c>
      <c r="K33" s="4">
        <v>2738.44</v>
      </c>
      <c r="L33" s="4">
        <f t="shared" si="16"/>
        <v>1722.3600000000001</v>
      </c>
      <c r="M33" s="4">
        <v>706.28</v>
      </c>
      <c r="N33" s="4">
        <v>104.13</v>
      </c>
      <c r="O33" s="4">
        <v>104.13</v>
      </c>
      <c r="P33" s="4">
        <v>2137.0049999999997</v>
      </c>
      <c r="Q33" s="4">
        <v>2137.0049999999997</v>
      </c>
      <c r="R33" s="229">
        <v>2137.0049999999997</v>
      </c>
      <c r="S33" s="229">
        <v>2137.0049999999997</v>
      </c>
      <c r="T33" s="229">
        <v>2137.0049999999997</v>
      </c>
      <c r="U33" s="229">
        <v>2137.0049999999997</v>
      </c>
      <c r="V33" s="229">
        <v>2137.0049999999997</v>
      </c>
      <c r="W33" s="229">
        <v>2137.0049999999997</v>
      </c>
      <c r="X33" s="229">
        <v>2137.0049999999997</v>
      </c>
      <c r="Y33" s="229">
        <v>2137.0049999999997</v>
      </c>
      <c r="Z33" s="229">
        <v>2137.0049999999997</v>
      </c>
      <c r="AA33" s="229">
        <v>2137.0049999999997</v>
      </c>
      <c r="AB33" s="229">
        <v>2137.0049999999997</v>
      </c>
      <c r="AC33" s="229">
        <v>2137.0049999999997</v>
      </c>
      <c r="AD33" s="230">
        <v>2137.0049999999997</v>
      </c>
    </row>
    <row r="34" spans="2:30" x14ac:dyDescent="0.3">
      <c r="B34" s="5"/>
      <c r="C34" s="66" t="s">
        <v>14</v>
      </c>
      <c r="D34" s="3" t="s">
        <v>15</v>
      </c>
      <c r="E34" s="4">
        <v>3687.21</v>
      </c>
      <c r="F34" s="4">
        <f t="shared" si="14"/>
        <v>3687.21</v>
      </c>
      <c r="G34" s="4">
        <v>3687.21</v>
      </c>
      <c r="H34" s="4">
        <f t="shared" si="14"/>
        <v>3687.21</v>
      </c>
      <c r="I34" s="4">
        <v>3687.21</v>
      </c>
      <c r="J34" s="4">
        <f t="shared" si="15"/>
        <v>4063.3449999999998</v>
      </c>
      <c r="K34" s="4">
        <v>4439.4799999999996</v>
      </c>
      <c r="L34" s="4">
        <f t="shared" si="16"/>
        <v>3868.1124999999997</v>
      </c>
      <c r="M34" s="4">
        <v>3296.7449999999999</v>
      </c>
      <c r="N34" s="47">
        <v>322.43</v>
      </c>
      <c r="O34" s="47">
        <v>322.43</v>
      </c>
      <c r="P34" s="4">
        <v>2590.5199999999995</v>
      </c>
      <c r="Q34" s="9">
        <v>2590.5199999999995</v>
      </c>
      <c r="R34" s="229">
        <v>2590.5199999999995</v>
      </c>
      <c r="S34" s="229">
        <v>2590.5199999999995</v>
      </c>
      <c r="T34" s="229">
        <v>2590.5199999999995</v>
      </c>
      <c r="U34" s="229">
        <v>2590.5199999999995</v>
      </c>
      <c r="V34" s="229">
        <v>2590.5199999999995</v>
      </c>
      <c r="W34" s="229">
        <v>2590.5199999999995</v>
      </c>
      <c r="X34" s="229">
        <v>2590.5199999999995</v>
      </c>
      <c r="Y34" s="229">
        <v>2590.5199999999995</v>
      </c>
      <c r="Z34" s="229">
        <v>2590.5199999999995</v>
      </c>
      <c r="AA34" s="229">
        <v>2590.5199999999995</v>
      </c>
      <c r="AB34" s="229">
        <v>2590.5199999999995</v>
      </c>
      <c r="AC34" s="229">
        <v>2590.5199999999995</v>
      </c>
      <c r="AD34" s="230">
        <v>2590.5199999999995</v>
      </c>
    </row>
    <row r="35" spans="2:30" ht="15" thickBot="1" x14ac:dyDescent="0.35">
      <c r="B35" s="49"/>
      <c r="C35" s="71" t="s">
        <v>15</v>
      </c>
      <c r="D35" s="50" t="s">
        <v>15</v>
      </c>
      <c r="E35" s="51">
        <v>332101.5</v>
      </c>
      <c r="F35" s="51">
        <f t="shared" si="14"/>
        <v>332101.5</v>
      </c>
      <c r="G35" s="51">
        <v>332101.5</v>
      </c>
      <c r="H35" s="51">
        <f t="shared" si="14"/>
        <v>332101.5</v>
      </c>
      <c r="I35" s="51">
        <v>332101.5</v>
      </c>
      <c r="J35" s="51">
        <f t="shared" si="15"/>
        <v>741801.75</v>
      </c>
      <c r="K35" s="51">
        <v>1151502</v>
      </c>
      <c r="L35" s="51">
        <f t="shared" si="16"/>
        <v>1156595.5</v>
      </c>
      <c r="M35" s="51">
        <v>1161689</v>
      </c>
      <c r="N35" s="52">
        <v>1152286.92</v>
      </c>
      <c r="O35" s="52">
        <v>1152286.92</v>
      </c>
      <c r="P35" s="51">
        <v>1135752.7050000001</v>
      </c>
      <c r="Q35" s="53">
        <v>1135752.7050000001</v>
      </c>
      <c r="R35" s="231">
        <v>1135752.7050000001</v>
      </c>
      <c r="S35" s="231">
        <v>1135752.7050000001</v>
      </c>
      <c r="T35" s="231">
        <v>1135752.7050000001</v>
      </c>
      <c r="U35" s="231">
        <v>1135752.7050000001</v>
      </c>
      <c r="V35" s="231">
        <v>1135752.7050000001</v>
      </c>
      <c r="W35" s="231">
        <v>1135752.7050000001</v>
      </c>
      <c r="X35" s="231">
        <v>1135752.7050000001</v>
      </c>
      <c r="Y35" s="231">
        <v>1135752.7050000001</v>
      </c>
      <c r="Z35" s="231">
        <v>1135752.7050000001</v>
      </c>
      <c r="AA35" s="231">
        <v>1135752.7050000001</v>
      </c>
      <c r="AB35" s="231">
        <v>1135752.7050000001</v>
      </c>
      <c r="AC35" s="231">
        <v>1135752.7050000001</v>
      </c>
      <c r="AD35" s="232">
        <v>1135752.7050000001</v>
      </c>
    </row>
    <row r="37" spans="2:30" x14ac:dyDescent="0.3">
      <c r="B37" s="54" t="s">
        <v>16</v>
      </c>
      <c r="C37" s="57"/>
      <c r="D37" s="58"/>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row>
    <row r="38" spans="2:30" ht="15" thickBot="1" x14ac:dyDescent="0.35">
      <c r="B38" s="60">
        <f>+SUM(Q39:Q48)/(SUM(Q22:Q31)+SUM(Q39:Q48)+SUM(Q56:Q65)+SUM(Q74:Q83)+SUM(Q4:Q13))</f>
        <v>6.5262563484503586E-2</v>
      </c>
      <c r="C38" s="55"/>
      <c r="D38" s="56"/>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row>
    <row r="39" spans="2:30" x14ac:dyDescent="0.3">
      <c r="B39" s="67">
        <f>+Q39/SUM(Q$39:Q$48)</f>
        <v>1.3040973783145808E-3</v>
      </c>
      <c r="C39" s="68" t="s">
        <v>2</v>
      </c>
      <c r="D39" s="1" t="s">
        <v>16</v>
      </c>
      <c r="E39" s="2">
        <v>0</v>
      </c>
      <c r="F39" s="2">
        <f>+(E39+G39)/2</f>
        <v>0</v>
      </c>
      <c r="G39" s="2">
        <v>0</v>
      </c>
      <c r="H39" s="2">
        <f>+(G39+I39)/2</f>
        <v>0</v>
      </c>
      <c r="I39" s="2">
        <v>0</v>
      </c>
      <c r="J39" s="2">
        <f>+(I39+K39)/2</f>
        <v>0</v>
      </c>
      <c r="K39" s="2">
        <v>0</v>
      </c>
      <c r="L39" s="2">
        <f>+(K39+M39)/2</f>
        <v>0</v>
      </c>
      <c r="M39" s="2">
        <v>0</v>
      </c>
      <c r="N39" s="46">
        <v>57.06</v>
      </c>
      <c r="O39" s="46">
        <v>57.06</v>
      </c>
      <c r="P39" s="2">
        <v>9.1349999999999998</v>
      </c>
      <c r="Q39" s="8">
        <v>9.1349999999999998</v>
      </c>
      <c r="R39" s="227">
        <f>$B$38*R$3*$B39</f>
        <v>7.7799896011174932</v>
      </c>
      <c r="S39" s="227">
        <f t="shared" ref="S39:AD39" si="18">$B$38*S$3*$B39</f>
        <v>7.7213061570827781</v>
      </c>
      <c r="T39" s="227">
        <f t="shared" si="18"/>
        <v>7.6630654685255424</v>
      </c>
      <c r="U39" s="227">
        <f t="shared" si="18"/>
        <v>7.6052641940550147</v>
      </c>
      <c r="V39" s="227">
        <f t="shared" si="18"/>
        <v>7.5478990175032452</v>
      </c>
      <c r="W39" s="227">
        <f t="shared" si="18"/>
        <v>7.4909739478415069</v>
      </c>
      <c r="X39" s="227">
        <f t="shared" si="18"/>
        <v>7.4344637634140733</v>
      </c>
      <c r="Y39" s="227">
        <f t="shared" si="18"/>
        <v>7.378380046500352</v>
      </c>
      <c r="Z39" s="227">
        <f t="shared" si="18"/>
        <v>7.3227409702651887</v>
      </c>
      <c r="AA39" s="227">
        <f t="shared" si="18"/>
        <v>7.2675073010615803</v>
      </c>
      <c r="AB39" s="227">
        <f t="shared" si="18"/>
        <v>7.2126903531436861</v>
      </c>
      <c r="AC39" s="227">
        <f t="shared" si="18"/>
        <v>7.1582869816431627</v>
      </c>
      <c r="AD39" s="245">
        <f t="shared" si="18"/>
        <v>7.1043009767709568</v>
      </c>
    </row>
    <row r="40" spans="2:30" x14ac:dyDescent="0.3">
      <c r="B40" s="69">
        <f t="shared" ref="B40:B48" si="19">+Q40/SUM(Q$39:Q$48)</f>
        <v>2.9037045073802489E-3</v>
      </c>
      <c r="C40" s="65" t="s">
        <v>4</v>
      </c>
      <c r="D40" s="3" t="s">
        <v>16</v>
      </c>
      <c r="E40" s="4">
        <v>185.4</v>
      </c>
      <c r="F40" s="4">
        <f t="shared" ref="F40:H52" si="20">+(E40+G40)/2</f>
        <v>185.4</v>
      </c>
      <c r="G40" s="4">
        <v>185.4</v>
      </c>
      <c r="H40" s="4">
        <f t="shared" si="20"/>
        <v>185.4</v>
      </c>
      <c r="I40" s="4">
        <v>185.4</v>
      </c>
      <c r="J40" s="4">
        <f t="shared" ref="J40:J52" si="21">+(I40+K40)/2</f>
        <v>190.50749999999999</v>
      </c>
      <c r="K40" s="4">
        <v>195.61499999999998</v>
      </c>
      <c r="L40" s="4">
        <f>+(K40+M40)/2</f>
        <v>133.49250000000001</v>
      </c>
      <c r="M40" s="4">
        <v>71.37</v>
      </c>
      <c r="N40" s="47">
        <v>97.2</v>
      </c>
      <c r="O40" s="47">
        <v>97.2</v>
      </c>
      <c r="P40" s="47">
        <v>20.34</v>
      </c>
      <c r="Q40" s="48">
        <v>20.34</v>
      </c>
      <c r="R40" s="228">
        <f t="shared" ref="R40:AD48" si="22">$B$38*R$3*$B40</f>
        <v>17.322932510862596</v>
      </c>
      <c r="S40" s="228">
        <f t="shared" si="22"/>
        <v>17.1922678965587</v>
      </c>
      <c r="T40" s="228">
        <f t="shared" si="22"/>
        <v>17.062589122037167</v>
      </c>
      <c r="U40" s="228">
        <f t="shared" si="22"/>
        <v>16.933888747354025</v>
      </c>
      <c r="V40" s="228">
        <f t="shared" si="22"/>
        <v>16.806159388726439</v>
      </c>
      <c r="W40" s="228">
        <f t="shared" si="22"/>
        <v>16.679409972533801</v>
      </c>
      <c r="X40" s="228">
        <f t="shared" si="22"/>
        <v>16.553584340212616</v>
      </c>
      <c r="Y40" s="228">
        <f t="shared" si="22"/>
        <v>16.428708280877633</v>
      </c>
      <c r="Z40" s="228">
        <f t="shared" si="22"/>
        <v>16.304822258915593</v>
      </c>
      <c r="AA40" s="228">
        <f t="shared" si="22"/>
        <v>16.181838916649429</v>
      </c>
      <c r="AB40" s="228">
        <f t="shared" si="22"/>
        <v>16.059783446408602</v>
      </c>
      <c r="AC40" s="228">
        <f t="shared" si="22"/>
        <v>15.938648845826156</v>
      </c>
      <c r="AD40" s="246">
        <f t="shared" si="22"/>
        <v>15.818443554189521</v>
      </c>
    </row>
    <row r="41" spans="2:30" x14ac:dyDescent="0.3">
      <c r="B41" s="69">
        <f t="shared" si="19"/>
        <v>6.568667829195364E-2</v>
      </c>
      <c r="C41" s="65" t="s">
        <v>5</v>
      </c>
      <c r="D41" s="3" t="s">
        <v>16</v>
      </c>
      <c r="E41" s="4">
        <v>0</v>
      </c>
      <c r="F41" s="4">
        <f t="shared" si="20"/>
        <v>0</v>
      </c>
      <c r="G41" s="4">
        <v>0</v>
      </c>
      <c r="H41" s="4">
        <f t="shared" si="20"/>
        <v>0</v>
      </c>
      <c r="I41" s="4">
        <v>0</v>
      </c>
      <c r="J41" s="4">
        <f t="shared" si="21"/>
        <v>0</v>
      </c>
      <c r="K41" s="4">
        <v>0</v>
      </c>
      <c r="L41" s="4">
        <f t="shared" ref="L41:L52" si="23">+(K41+M41)/2</f>
        <v>0.5625</v>
      </c>
      <c r="M41" s="4">
        <v>1.125</v>
      </c>
      <c r="N41" s="47">
        <v>731.3</v>
      </c>
      <c r="O41" s="47">
        <v>731.3</v>
      </c>
      <c r="P41" s="47">
        <v>460.125</v>
      </c>
      <c r="Q41" s="48">
        <v>460.125</v>
      </c>
      <c r="R41" s="228">
        <f t="shared" si="22"/>
        <v>391.87386045037624</v>
      </c>
      <c r="S41" s="228">
        <f t="shared" si="22"/>
        <v>388.91800717325816</v>
      </c>
      <c r="T41" s="228">
        <f t="shared" si="22"/>
        <v>385.98445524962398</v>
      </c>
      <c r="U41" s="228">
        <f t="shared" si="22"/>
        <v>383.07303637543117</v>
      </c>
      <c r="V41" s="228">
        <f t="shared" si="22"/>
        <v>380.18358351709696</v>
      </c>
      <c r="W41" s="228">
        <f t="shared" si="22"/>
        <v>377.31629860433208</v>
      </c>
      <c r="X41" s="228">
        <f t="shared" si="22"/>
        <v>374.46991123600446</v>
      </c>
      <c r="Y41" s="228">
        <f t="shared" si="22"/>
        <v>371.64500480525174</v>
      </c>
      <c r="Z41" s="228">
        <f t="shared" si="22"/>
        <v>368.8424946845397</v>
      </c>
      <c r="AA41" s="228">
        <f t="shared" si="22"/>
        <v>366.06040469632836</v>
      </c>
      <c r="AB41" s="228">
        <f t="shared" si="22"/>
        <v>363.29930473346894</v>
      </c>
      <c r="AC41" s="228">
        <f t="shared" si="22"/>
        <v>360.55903639064701</v>
      </c>
      <c r="AD41" s="246">
        <f t="shared" si="22"/>
        <v>357.83979057873415</v>
      </c>
    </row>
    <row r="42" spans="2:30" x14ac:dyDescent="0.3">
      <c r="B42" s="69">
        <f t="shared" si="19"/>
        <v>0.13568394446986337</v>
      </c>
      <c r="C42" s="65" t="s">
        <v>6</v>
      </c>
      <c r="D42" s="3" t="s">
        <v>16</v>
      </c>
      <c r="E42" s="4">
        <v>0</v>
      </c>
      <c r="F42" s="4">
        <f t="shared" si="20"/>
        <v>0</v>
      </c>
      <c r="G42" s="4">
        <v>0</v>
      </c>
      <c r="H42" s="4">
        <f t="shared" si="20"/>
        <v>0</v>
      </c>
      <c r="I42" s="4">
        <v>0</v>
      </c>
      <c r="J42" s="4">
        <f t="shared" si="21"/>
        <v>0</v>
      </c>
      <c r="K42" s="4">
        <v>0</v>
      </c>
      <c r="L42" s="4">
        <f t="shared" si="23"/>
        <v>2.2949999999999999</v>
      </c>
      <c r="M42" s="4">
        <v>4.59</v>
      </c>
      <c r="N42" s="47">
        <v>237.2</v>
      </c>
      <c r="O42" s="47">
        <v>237.2</v>
      </c>
      <c r="P42" s="47">
        <v>950.44500000000005</v>
      </c>
      <c r="Q42" s="48">
        <v>950.44500000000005</v>
      </c>
      <c r="R42" s="228">
        <f t="shared" si="22"/>
        <v>809.46384416355954</v>
      </c>
      <c r="S42" s="228">
        <f t="shared" si="22"/>
        <v>803.35816425490339</v>
      </c>
      <c r="T42" s="228">
        <f t="shared" si="22"/>
        <v>797.29855054545817</v>
      </c>
      <c r="U42" s="228">
        <f t="shared" si="22"/>
        <v>791.28465538244336</v>
      </c>
      <c r="V42" s="228">
        <f t="shared" si="22"/>
        <v>785.3161337373698</v>
      </c>
      <c r="W42" s="228">
        <f t="shared" si="22"/>
        <v>779.39340272098764</v>
      </c>
      <c r="X42" s="228">
        <f t="shared" si="22"/>
        <v>773.51383816289979</v>
      </c>
      <c r="Y42" s="228">
        <f t="shared" si="22"/>
        <v>767.67864513366476</v>
      </c>
      <c r="Z42" s="228">
        <f t="shared" si="22"/>
        <v>761.8897144481333</v>
      </c>
      <c r="AA42" s="228">
        <f t="shared" si="22"/>
        <v>756.14296406759433</v>
      </c>
      <c r="AB42" s="228">
        <f t="shared" si="22"/>
        <v>750.43957117609762</v>
      </c>
      <c r="AC42" s="228">
        <f t="shared" si="22"/>
        <v>744.77920856790763</v>
      </c>
      <c r="AD42" s="246">
        <f t="shared" si="22"/>
        <v>739.16227059300195</v>
      </c>
    </row>
    <row r="43" spans="2:30" x14ac:dyDescent="0.3">
      <c r="B43" s="69">
        <f t="shared" si="19"/>
        <v>3.6489030092742947E-3</v>
      </c>
      <c r="C43" s="65" t="s">
        <v>7</v>
      </c>
      <c r="D43" s="3" t="s">
        <v>16</v>
      </c>
      <c r="E43" s="4">
        <v>0</v>
      </c>
      <c r="F43" s="4">
        <f t="shared" si="20"/>
        <v>0</v>
      </c>
      <c r="G43" s="4">
        <v>0</v>
      </c>
      <c r="H43" s="4">
        <f t="shared" si="20"/>
        <v>0</v>
      </c>
      <c r="I43" s="4">
        <v>0</v>
      </c>
      <c r="J43" s="4">
        <f t="shared" si="21"/>
        <v>0</v>
      </c>
      <c r="K43" s="4">
        <v>0</v>
      </c>
      <c r="L43" s="4">
        <f t="shared" si="23"/>
        <v>0</v>
      </c>
      <c r="M43" s="4">
        <v>0</v>
      </c>
      <c r="N43" s="47">
        <v>54.77</v>
      </c>
      <c r="O43" s="47">
        <v>54.77</v>
      </c>
      <c r="P43" s="47">
        <v>25.56</v>
      </c>
      <c r="Q43" s="48">
        <v>25.56</v>
      </c>
      <c r="R43" s="228">
        <f t="shared" si="22"/>
        <v>21.768640854358303</v>
      </c>
      <c r="S43" s="228">
        <f t="shared" si="22"/>
        <v>21.60444284346314</v>
      </c>
      <c r="T43" s="228">
        <f t="shared" si="22"/>
        <v>21.441483675480335</v>
      </c>
      <c r="U43" s="228">
        <f t="shared" si="22"/>
        <v>21.279754001099743</v>
      </c>
      <c r="V43" s="228">
        <f t="shared" si="22"/>
        <v>21.119244541585434</v>
      </c>
      <c r="W43" s="228">
        <f t="shared" si="22"/>
        <v>20.959966514157514</v>
      </c>
      <c r="X43" s="228">
        <f t="shared" si="22"/>
        <v>20.801849347877798</v>
      </c>
      <c r="Y43" s="228">
        <f t="shared" si="22"/>
        <v>20.644925450306403</v>
      </c>
      <c r="Z43" s="228">
        <f t="shared" si="22"/>
        <v>20.489245670495698</v>
      </c>
      <c r="AA43" s="228">
        <f t="shared" si="22"/>
        <v>20.33470023154176</v>
      </c>
      <c r="AB43" s="228">
        <f t="shared" si="22"/>
        <v>20.181320791062134</v>
      </c>
      <c r="AC43" s="228">
        <f t="shared" si="22"/>
        <v>20.029098549622248</v>
      </c>
      <c r="AD43" s="246">
        <f t="shared" si="22"/>
        <v>19.878044112344352</v>
      </c>
    </row>
    <row r="44" spans="2:30" x14ac:dyDescent="0.3">
      <c r="B44" s="69">
        <f t="shared" si="19"/>
        <v>0.73948245821285119</v>
      </c>
      <c r="C44" s="65" t="s">
        <v>8</v>
      </c>
      <c r="D44" s="3" t="s">
        <v>16</v>
      </c>
      <c r="E44" s="4">
        <v>0</v>
      </c>
      <c r="F44" s="4">
        <f t="shared" si="20"/>
        <v>0</v>
      </c>
      <c r="G44" s="4">
        <v>0</v>
      </c>
      <c r="H44" s="4">
        <f t="shared" si="20"/>
        <v>0</v>
      </c>
      <c r="I44" s="4">
        <v>0</v>
      </c>
      <c r="J44" s="4">
        <f t="shared" si="21"/>
        <v>0</v>
      </c>
      <c r="K44" s="4">
        <v>0</v>
      </c>
      <c r="L44" s="4">
        <f t="shared" si="23"/>
        <v>0</v>
      </c>
      <c r="M44" s="4">
        <v>0</v>
      </c>
      <c r="N44" s="47">
        <v>3041.91</v>
      </c>
      <c r="O44" s="47">
        <v>3041.91</v>
      </c>
      <c r="P44" s="47">
        <v>5179.96</v>
      </c>
      <c r="Q44" s="48">
        <v>5179.96</v>
      </c>
      <c r="R44" s="228">
        <f t="shared" si="22"/>
        <v>4411.6075461636092</v>
      </c>
      <c r="S44" s="228">
        <f t="shared" si="22"/>
        <v>4378.3313674266565</v>
      </c>
      <c r="T44" s="228">
        <f t="shared" si="22"/>
        <v>4345.3062511596681</v>
      </c>
      <c r="U44" s="228">
        <f t="shared" si="22"/>
        <v>4312.5303026422789</v>
      </c>
      <c r="V44" s="228">
        <f t="shared" si="22"/>
        <v>4280.0016414566071</v>
      </c>
      <c r="W44" s="228">
        <f t="shared" si="22"/>
        <v>4247.722540871493</v>
      </c>
      <c r="X44" s="228">
        <f t="shared" si="22"/>
        <v>4215.6786990623277</v>
      </c>
      <c r="Y44" s="228">
        <f t="shared" si="22"/>
        <v>4183.8766837077137</v>
      </c>
      <c r="Z44" s="228">
        <f t="shared" si="22"/>
        <v>4152.3267998177189</v>
      </c>
      <c r="AA44" s="228">
        <f t="shared" si="22"/>
        <v>4121.0068001321224</v>
      </c>
      <c r="AB44" s="228">
        <f t="shared" si="22"/>
        <v>4089.9231003470354</v>
      </c>
      <c r="AC44" s="228">
        <f t="shared" si="22"/>
        <v>4059.0739171792352</v>
      </c>
      <c r="AD44" s="246">
        <f t="shared" si="22"/>
        <v>4028.4613998505183</v>
      </c>
    </row>
    <row r="45" spans="2:30" x14ac:dyDescent="0.3">
      <c r="B45" s="69">
        <f t="shared" si="19"/>
        <v>9.8931525251450946E-3</v>
      </c>
      <c r="C45" s="65" t="s">
        <v>9</v>
      </c>
      <c r="D45" s="3" t="s">
        <v>16</v>
      </c>
      <c r="E45" s="4">
        <v>23.204999999999998</v>
      </c>
      <c r="F45" s="4">
        <f t="shared" si="20"/>
        <v>23.204999999999998</v>
      </c>
      <c r="G45" s="4">
        <v>23.204999999999998</v>
      </c>
      <c r="H45" s="4">
        <f t="shared" si="20"/>
        <v>23.204999999999998</v>
      </c>
      <c r="I45" s="4">
        <v>23.204999999999998</v>
      </c>
      <c r="J45" s="4">
        <f t="shared" si="21"/>
        <v>53.52000000000001</v>
      </c>
      <c r="K45" s="4">
        <v>83.835000000000022</v>
      </c>
      <c r="L45" s="4">
        <f t="shared" si="23"/>
        <v>61.627500000000012</v>
      </c>
      <c r="M45" s="4">
        <v>39.42</v>
      </c>
      <c r="N45" s="47">
        <v>17.149999999999999</v>
      </c>
      <c r="O45" s="47">
        <v>17.149999999999999</v>
      </c>
      <c r="P45" s="47">
        <v>69.3</v>
      </c>
      <c r="Q45" s="48">
        <v>69.3</v>
      </c>
      <c r="R45" s="228">
        <f t="shared" si="22"/>
        <v>59.020610767098219</v>
      </c>
      <c r="S45" s="228">
        <f t="shared" si="22"/>
        <v>58.57542601924866</v>
      </c>
      <c r="T45" s="228">
        <f t="shared" si="22"/>
        <v>58.13360010605583</v>
      </c>
      <c r="U45" s="228">
        <f t="shared" si="22"/>
        <v>57.695107679038038</v>
      </c>
      <c r="V45" s="228">
        <f t="shared" si="22"/>
        <v>57.259923581059098</v>
      </c>
      <c r="W45" s="228">
        <f t="shared" si="22"/>
        <v>56.828078225004532</v>
      </c>
      <c r="X45" s="228">
        <f t="shared" si="22"/>
        <v>56.399380274175726</v>
      </c>
      <c r="Y45" s="228">
        <f t="shared" si="22"/>
        <v>55.973917594140595</v>
      </c>
      <c r="Z45" s="228">
        <f t="shared" si="22"/>
        <v>55.551828050287632</v>
      </c>
      <c r="AA45" s="228">
        <f t="shared" si="22"/>
        <v>55.132814008053366</v>
      </c>
      <c r="AB45" s="228">
        <f t="shared" si="22"/>
        <v>54.716961299710718</v>
      </c>
      <c r="AC45" s="228">
        <f t="shared" si="22"/>
        <v>54.304246067637777</v>
      </c>
      <c r="AD45" s="246">
        <f t="shared" si="22"/>
        <v>53.894697065158979</v>
      </c>
    </row>
    <row r="46" spans="2:30" x14ac:dyDescent="0.3">
      <c r="B46" s="69">
        <f t="shared" si="19"/>
        <v>6.873813767470943E-3</v>
      </c>
      <c r="C46" s="65" t="s">
        <v>10</v>
      </c>
      <c r="D46" s="3" t="s">
        <v>16</v>
      </c>
      <c r="E46" s="4">
        <v>709.14</v>
      </c>
      <c r="F46" s="4">
        <f t="shared" si="20"/>
        <v>709.14</v>
      </c>
      <c r="G46" s="4">
        <v>709.14</v>
      </c>
      <c r="H46" s="4">
        <f t="shared" si="20"/>
        <v>709.14</v>
      </c>
      <c r="I46" s="4">
        <v>709.14</v>
      </c>
      <c r="J46" s="4">
        <f t="shared" si="21"/>
        <v>809.33999999999992</v>
      </c>
      <c r="K46" s="4">
        <v>909.54</v>
      </c>
      <c r="L46" s="4">
        <f t="shared" si="23"/>
        <v>947.43000000000006</v>
      </c>
      <c r="M46" s="4">
        <v>985.32</v>
      </c>
      <c r="N46" s="47">
        <v>719.15</v>
      </c>
      <c r="O46" s="47">
        <v>719.15</v>
      </c>
      <c r="P46" s="47">
        <v>48.15</v>
      </c>
      <c r="Q46" s="48">
        <v>48.15</v>
      </c>
      <c r="R46" s="228">
        <f t="shared" si="22"/>
        <v>41.00782696155526</v>
      </c>
      <c r="S46" s="228">
        <f t="shared" si="22"/>
        <v>40.698510286101346</v>
      </c>
      <c r="T46" s="228">
        <f t="shared" si="22"/>
        <v>40.391527346415423</v>
      </c>
      <c r="U46" s="228">
        <f t="shared" si="22"/>
        <v>40.08686053024072</v>
      </c>
      <c r="V46" s="228">
        <f t="shared" si="22"/>
        <v>39.784492358268338</v>
      </c>
      <c r="W46" s="228">
        <f t="shared" si="22"/>
        <v>39.484443961529124</v>
      </c>
      <c r="X46" s="228">
        <f t="shared" si="22"/>
        <v>39.18658239829093</v>
      </c>
      <c r="Y46" s="228">
        <f t="shared" si="22"/>
        <v>38.890968718006782</v>
      </c>
      <c r="Z46" s="228">
        <f t="shared" si="22"/>
        <v>38.597698710264787</v>
      </c>
      <c r="AA46" s="228">
        <f t="shared" si="22"/>
        <v>38.306565577024095</v>
      </c>
      <c r="AB46" s="228">
        <f t="shared" si="22"/>
        <v>38.017628954993818</v>
      </c>
      <c r="AC46" s="228">
        <f t="shared" si="22"/>
        <v>37.730872267774302</v>
      </c>
      <c r="AD46" s="246">
        <f t="shared" si="22"/>
        <v>37.446315493324747</v>
      </c>
    </row>
    <row r="47" spans="2:30" x14ac:dyDescent="0.3">
      <c r="B47" s="69">
        <f t="shared" si="19"/>
        <v>3.3495387835134109E-2</v>
      </c>
      <c r="C47" s="65" t="s">
        <v>11</v>
      </c>
      <c r="D47" s="3" t="s">
        <v>16</v>
      </c>
      <c r="E47" s="4">
        <v>0</v>
      </c>
      <c r="F47" s="4">
        <f t="shared" si="20"/>
        <v>0</v>
      </c>
      <c r="G47" s="4">
        <v>0</v>
      </c>
      <c r="H47" s="4">
        <f t="shared" si="20"/>
        <v>0</v>
      </c>
      <c r="I47" s="4">
        <v>0</v>
      </c>
      <c r="J47" s="4">
        <f t="shared" si="21"/>
        <v>0</v>
      </c>
      <c r="K47" s="4">
        <v>0</v>
      </c>
      <c r="L47" s="4">
        <f t="shared" si="23"/>
        <v>0</v>
      </c>
      <c r="M47" s="4">
        <v>0</v>
      </c>
      <c r="N47" s="47">
        <v>552.78</v>
      </c>
      <c r="O47" s="47">
        <v>552.78</v>
      </c>
      <c r="P47" s="47">
        <v>234.63</v>
      </c>
      <c r="Q47" s="48">
        <v>234.63</v>
      </c>
      <c r="R47" s="228">
        <f t="shared" si="22"/>
        <v>199.82692502574685</v>
      </c>
      <c r="S47" s="228">
        <f t="shared" si="22"/>
        <v>198.31965666517047</v>
      </c>
      <c r="T47" s="228">
        <f t="shared" si="22"/>
        <v>196.82376035907475</v>
      </c>
      <c r="U47" s="228">
        <f t="shared" si="22"/>
        <v>195.33915028474308</v>
      </c>
      <c r="V47" s="228">
        <f t="shared" si="22"/>
        <v>193.86574126730011</v>
      </c>
      <c r="W47" s="228">
        <f t="shared" si="22"/>
        <v>192.40363627608679</v>
      </c>
      <c r="X47" s="228">
        <f t="shared" si="22"/>
        <v>190.95218749970925</v>
      </c>
      <c r="Y47" s="228">
        <f t="shared" si="22"/>
        <v>189.51169242587605</v>
      </c>
      <c r="Z47" s="228">
        <f t="shared" si="22"/>
        <v>188.08261782740243</v>
      </c>
      <c r="AA47" s="228">
        <f t="shared" si="22"/>
        <v>186.66395599869497</v>
      </c>
      <c r="AB47" s="228">
        <f t="shared" si="22"/>
        <v>185.25599754330631</v>
      </c>
      <c r="AC47" s="228">
        <f t="shared" si="22"/>
        <v>183.85866168614507</v>
      </c>
      <c r="AD47" s="246">
        <f t="shared" si="22"/>
        <v>182.47204577775256</v>
      </c>
    </row>
    <row r="48" spans="2:30" x14ac:dyDescent="0.3">
      <c r="B48" s="69">
        <f t="shared" si="19"/>
        <v>1.0278600026124775E-3</v>
      </c>
      <c r="C48" s="65" t="s">
        <v>12</v>
      </c>
      <c r="D48" s="3" t="s">
        <v>16</v>
      </c>
      <c r="E48" s="4">
        <v>0</v>
      </c>
      <c r="F48" s="4">
        <f t="shared" si="20"/>
        <v>0</v>
      </c>
      <c r="G48" s="4">
        <v>0</v>
      </c>
      <c r="H48" s="4">
        <f t="shared" si="20"/>
        <v>0</v>
      </c>
      <c r="I48" s="4">
        <v>0</v>
      </c>
      <c r="J48" s="4">
        <f t="shared" si="21"/>
        <v>54.81</v>
      </c>
      <c r="K48" s="4">
        <v>109.62</v>
      </c>
      <c r="L48" s="4">
        <f t="shared" si="23"/>
        <v>63.77</v>
      </c>
      <c r="M48" s="4">
        <v>17.920000000000002</v>
      </c>
      <c r="N48" s="47">
        <v>18.989999999999998</v>
      </c>
      <c r="O48" s="47">
        <v>18.989999999999998</v>
      </c>
      <c r="P48" s="47">
        <v>7.2</v>
      </c>
      <c r="Q48" s="48">
        <v>7.2</v>
      </c>
      <c r="R48" s="228">
        <f>$B$38*R$3*$B48</f>
        <v>6.1320115082699456</v>
      </c>
      <c r="S48" s="228">
        <f t="shared" si="22"/>
        <v>6.0857585474544065</v>
      </c>
      <c r="T48" s="228">
        <f t="shared" si="22"/>
        <v>6.0398545564733341</v>
      </c>
      <c r="U48" s="228">
        <f t="shared" si="22"/>
        <v>5.994296901718239</v>
      </c>
      <c r="V48" s="228">
        <f t="shared" si="22"/>
        <v>5.9490829694606866</v>
      </c>
      <c r="W48" s="228">
        <f t="shared" si="22"/>
        <v>5.9042159194809907</v>
      </c>
      <c r="X48" s="228">
        <f t="shared" si="22"/>
        <v>5.8596758726416347</v>
      </c>
      <c r="Y48" s="228">
        <f t="shared" si="22"/>
        <v>5.8154719578327905</v>
      </c>
      <c r="Z48" s="228">
        <f t="shared" si="22"/>
        <v>5.7716184987311836</v>
      </c>
      <c r="AA48" s="228">
        <f t="shared" si="22"/>
        <v>5.7280845722652849</v>
      </c>
      <c r="AB48" s="228">
        <f t="shared" si="22"/>
        <v>5.6848790960738418</v>
      </c>
      <c r="AC48" s="228">
        <f t="shared" si="22"/>
        <v>5.6419995914428869</v>
      </c>
      <c r="AD48" s="246">
        <f t="shared" si="22"/>
        <v>5.5994490457308039</v>
      </c>
    </row>
    <row r="49" spans="2:30" x14ac:dyDescent="0.3">
      <c r="B49" s="70"/>
      <c r="C49" s="65" t="s">
        <v>3</v>
      </c>
      <c r="D49" s="3" t="s">
        <v>16</v>
      </c>
      <c r="E49" s="4">
        <v>7739.04</v>
      </c>
      <c r="F49" s="4">
        <f t="shared" si="20"/>
        <v>7739.04</v>
      </c>
      <c r="G49" s="4">
        <v>7739.04</v>
      </c>
      <c r="H49" s="4">
        <f t="shared" si="20"/>
        <v>7739.04</v>
      </c>
      <c r="I49" s="4">
        <v>7739.04</v>
      </c>
      <c r="J49" s="4">
        <f t="shared" si="21"/>
        <v>7635.7550000000001</v>
      </c>
      <c r="K49" s="4">
        <v>7532.47</v>
      </c>
      <c r="L49" s="4">
        <f t="shared" si="23"/>
        <v>7934.1350000000002</v>
      </c>
      <c r="M49" s="4">
        <v>8335.7999999999993</v>
      </c>
      <c r="N49" s="4">
        <v>7082.69</v>
      </c>
      <c r="O49" s="4">
        <v>7082.69</v>
      </c>
      <c r="P49" s="4">
        <v>1511.69</v>
      </c>
      <c r="Q49" s="4">
        <v>1511.69</v>
      </c>
      <c r="R49" s="229">
        <v>1511.69</v>
      </c>
      <c r="S49" s="229">
        <v>1511.69</v>
      </c>
      <c r="T49" s="229">
        <v>1511.69</v>
      </c>
      <c r="U49" s="229">
        <v>1511.69</v>
      </c>
      <c r="V49" s="229">
        <v>1511.69</v>
      </c>
      <c r="W49" s="229">
        <v>1511.69</v>
      </c>
      <c r="X49" s="229">
        <v>1511.69</v>
      </c>
      <c r="Y49" s="229">
        <v>1511.69</v>
      </c>
      <c r="Z49" s="229">
        <v>1511.69</v>
      </c>
      <c r="AA49" s="229">
        <v>1511.69</v>
      </c>
      <c r="AB49" s="229">
        <v>1511.69</v>
      </c>
      <c r="AC49" s="229">
        <v>1511.69</v>
      </c>
      <c r="AD49" s="230">
        <v>1511.69</v>
      </c>
    </row>
    <row r="50" spans="2:30" x14ac:dyDescent="0.3">
      <c r="B50" s="6"/>
      <c r="C50" s="65" t="s">
        <v>15</v>
      </c>
      <c r="D50" s="3" t="s">
        <v>16</v>
      </c>
      <c r="E50" s="4">
        <v>420.26</v>
      </c>
      <c r="F50" s="4">
        <f t="shared" si="20"/>
        <v>420.26</v>
      </c>
      <c r="G50" s="4">
        <v>420.26</v>
      </c>
      <c r="H50" s="4">
        <f t="shared" si="20"/>
        <v>420.26</v>
      </c>
      <c r="I50" s="4">
        <v>420.26</v>
      </c>
      <c r="J50" s="4">
        <f t="shared" si="21"/>
        <v>654.66499999999996</v>
      </c>
      <c r="K50" s="4">
        <v>889.06999999999994</v>
      </c>
      <c r="L50" s="4">
        <f t="shared" si="23"/>
        <v>530.34999999999991</v>
      </c>
      <c r="M50" s="4">
        <v>171.63</v>
      </c>
      <c r="N50" s="4">
        <v>1057.5999999999999</v>
      </c>
      <c r="O50" s="4">
        <v>1057.5999999999999</v>
      </c>
      <c r="P50" s="4">
        <v>137.48000000000002</v>
      </c>
      <c r="Q50" s="4">
        <v>137.48000000000002</v>
      </c>
      <c r="R50" s="229">
        <v>137.48000000000002</v>
      </c>
      <c r="S50" s="229">
        <v>137.48000000000002</v>
      </c>
      <c r="T50" s="229">
        <v>137.48000000000002</v>
      </c>
      <c r="U50" s="229">
        <v>137.48000000000002</v>
      </c>
      <c r="V50" s="229">
        <v>137.48000000000002</v>
      </c>
      <c r="W50" s="229">
        <v>137.48000000000002</v>
      </c>
      <c r="X50" s="229">
        <v>137.48000000000002</v>
      </c>
      <c r="Y50" s="229">
        <v>137.48000000000002</v>
      </c>
      <c r="Z50" s="229">
        <v>137.48000000000002</v>
      </c>
      <c r="AA50" s="229">
        <v>137.48000000000002</v>
      </c>
      <c r="AB50" s="229">
        <v>137.48000000000002</v>
      </c>
      <c r="AC50" s="229">
        <v>137.48000000000002</v>
      </c>
      <c r="AD50" s="230">
        <v>137.48000000000002</v>
      </c>
    </row>
    <row r="51" spans="2:30" x14ac:dyDescent="0.3">
      <c r="B51" s="5"/>
      <c r="C51" s="66" t="s">
        <v>14</v>
      </c>
      <c r="D51" s="3" t="s">
        <v>16</v>
      </c>
      <c r="E51" s="4">
        <v>1846.79</v>
      </c>
      <c r="F51" s="4">
        <f t="shared" si="20"/>
        <v>1846.79</v>
      </c>
      <c r="G51" s="4">
        <v>1846.79</v>
      </c>
      <c r="H51" s="4">
        <f t="shared" si="20"/>
        <v>1846.79</v>
      </c>
      <c r="I51" s="4">
        <v>1846.79</v>
      </c>
      <c r="J51" s="4">
        <f t="shared" si="21"/>
        <v>2744.69</v>
      </c>
      <c r="K51" s="4">
        <v>3642.59</v>
      </c>
      <c r="L51" s="4">
        <f t="shared" si="23"/>
        <v>2664.24</v>
      </c>
      <c r="M51" s="4">
        <v>1685.8899999999999</v>
      </c>
      <c r="N51" s="47">
        <v>3312.7200000000003</v>
      </c>
      <c r="O51" s="47">
        <v>3312.7200000000003</v>
      </c>
      <c r="P51" s="4">
        <v>218.03</v>
      </c>
      <c r="Q51" s="9">
        <v>218.03</v>
      </c>
      <c r="R51" s="229">
        <v>218.03</v>
      </c>
      <c r="S51" s="229">
        <v>218.03</v>
      </c>
      <c r="T51" s="229">
        <v>218.03</v>
      </c>
      <c r="U51" s="229">
        <v>218.03</v>
      </c>
      <c r="V51" s="229">
        <v>218.03</v>
      </c>
      <c r="W51" s="229">
        <v>218.03</v>
      </c>
      <c r="X51" s="229">
        <v>218.03</v>
      </c>
      <c r="Y51" s="229">
        <v>218.03</v>
      </c>
      <c r="Z51" s="229">
        <v>218.03</v>
      </c>
      <c r="AA51" s="229">
        <v>218.03</v>
      </c>
      <c r="AB51" s="229">
        <v>218.03</v>
      </c>
      <c r="AC51" s="229">
        <v>218.03</v>
      </c>
      <c r="AD51" s="230">
        <v>218.03</v>
      </c>
    </row>
    <row r="52" spans="2:30" ht="15" thickBot="1" x14ac:dyDescent="0.35">
      <c r="B52" s="49"/>
      <c r="C52" s="71" t="s">
        <v>16</v>
      </c>
      <c r="D52" s="50" t="s">
        <v>16</v>
      </c>
      <c r="E52" s="51">
        <v>73259.990000000005</v>
      </c>
      <c r="F52" s="51">
        <f t="shared" si="20"/>
        <v>73259.990000000005</v>
      </c>
      <c r="G52" s="51">
        <v>73259.990000000005</v>
      </c>
      <c r="H52" s="51">
        <f t="shared" si="20"/>
        <v>73259.990000000005</v>
      </c>
      <c r="I52" s="51">
        <v>73259.990000000005</v>
      </c>
      <c r="J52" s="51">
        <f t="shared" si="21"/>
        <v>153639.495</v>
      </c>
      <c r="K52" s="51">
        <v>234019</v>
      </c>
      <c r="L52" s="51">
        <f t="shared" si="23"/>
        <v>234342.25</v>
      </c>
      <c r="M52" s="51">
        <v>234665.5</v>
      </c>
      <c r="N52" s="52">
        <v>149613.57500000001</v>
      </c>
      <c r="O52" s="52">
        <v>149613.57500000001</v>
      </c>
      <c r="P52" s="51">
        <v>160534.13</v>
      </c>
      <c r="Q52" s="53">
        <v>160534.13</v>
      </c>
      <c r="R52" s="231">
        <v>160534.13</v>
      </c>
      <c r="S52" s="231">
        <v>160534.13</v>
      </c>
      <c r="T52" s="231">
        <v>160534.13</v>
      </c>
      <c r="U52" s="231">
        <v>160534.13</v>
      </c>
      <c r="V52" s="231">
        <v>160534.13</v>
      </c>
      <c r="W52" s="231">
        <v>160534.13</v>
      </c>
      <c r="X52" s="231">
        <v>160534.13</v>
      </c>
      <c r="Y52" s="231">
        <v>160534.13</v>
      </c>
      <c r="Z52" s="231">
        <v>160534.13</v>
      </c>
      <c r="AA52" s="231">
        <v>160534.13</v>
      </c>
      <c r="AB52" s="231">
        <v>160534.13</v>
      </c>
      <c r="AC52" s="231">
        <v>160534.13</v>
      </c>
      <c r="AD52" s="232">
        <v>160534.13</v>
      </c>
    </row>
    <row r="54" spans="2:30" x14ac:dyDescent="0.3">
      <c r="B54" s="54" t="s">
        <v>13</v>
      </c>
      <c r="C54" s="57"/>
      <c r="D54" s="58"/>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row>
    <row r="55" spans="2:30" ht="15" thickBot="1" x14ac:dyDescent="0.35">
      <c r="B55" s="60">
        <f>+SUM(Q56:Q65)/(SUM(Q56:Q65)+SUM(Q74:Q83)+SUM(Q39:Q48)+SUM(Q4:Q13)+SUM(Q22:Q31))</f>
        <v>2.0790289833684389E-2</v>
      </c>
      <c r="C55" s="55"/>
      <c r="D55" s="56"/>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row>
    <row r="56" spans="2:30" x14ac:dyDescent="0.3">
      <c r="B56" s="67">
        <f>+Q56/SUM(Q$56:Q$65)</f>
        <v>0</v>
      </c>
      <c r="C56" s="68" t="s">
        <v>2</v>
      </c>
      <c r="D56" s="1" t="s">
        <v>13</v>
      </c>
      <c r="E56" s="2">
        <v>0</v>
      </c>
      <c r="F56" s="2">
        <f t="shared" ref="F56:F66" si="24">+(E56+G56)/2</f>
        <v>0</v>
      </c>
      <c r="G56" s="2">
        <v>0</v>
      </c>
      <c r="H56" s="2">
        <f>+(G56+I56)/2</f>
        <v>0</v>
      </c>
      <c r="I56" s="2">
        <v>0</v>
      </c>
      <c r="J56" s="2">
        <f>+(I56+K56)/2</f>
        <v>0</v>
      </c>
      <c r="K56" s="2">
        <v>0</v>
      </c>
      <c r="L56" s="2">
        <f>+(K56+M56)/2</f>
        <v>5.1974999999999998</v>
      </c>
      <c r="M56" s="2">
        <v>10.395</v>
      </c>
      <c r="N56" s="46">
        <v>7.52</v>
      </c>
      <c r="O56" s="46">
        <v>7.52</v>
      </c>
      <c r="P56" s="2">
        <v>0</v>
      </c>
      <c r="Q56" s="8">
        <v>0</v>
      </c>
      <c r="R56" s="227">
        <f>$B$55*R$3*$B56</f>
        <v>0</v>
      </c>
      <c r="S56" s="227">
        <f t="shared" ref="S56:AD56" si="25">$B$55*S$3*$B56</f>
        <v>0</v>
      </c>
      <c r="T56" s="227">
        <f t="shared" si="25"/>
        <v>0</v>
      </c>
      <c r="U56" s="227">
        <f t="shared" si="25"/>
        <v>0</v>
      </c>
      <c r="V56" s="227">
        <f t="shared" si="25"/>
        <v>0</v>
      </c>
      <c r="W56" s="227">
        <f t="shared" si="25"/>
        <v>0</v>
      </c>
      <c r="X56" s="227">
        <f t="shared" si="25"/>
        <v>0</v>
      </c>
      <c r="Y56" s="227">
        <f t="shared" si="25"/>
        <v>0</v>
      </c>
      <c r="Z56" s="227">
        <f t="shared" si="25"/>
        <v>0</v>
      </c>
      <c r="AA56" s="227">
        <f t="shared" si="25"/>
        <v>0</v>
      </c>
      <c r="AB56" s="227">
        <f t="shared" si="25"/>
        <v>0</v>
      </c>
      <c r="AC56" s="227">
        <f t="shared" si="25"/>
        <v>0</v>
      </c>
      <c r="AD56" s="245">
        <f t="shared" si="25"/>
        <v>0</v>
      </c>
    </row>
    <row r="57" spans="2:30" x14ac:dyDescent="0.3">
      <c r="B57" s="69">
        <f t="shared" ref="B57:B65" si="26">+Q57/SUM(Q$56:Q$65)</f>
        <v>0.35962070186288081</v>
      </c>
      <c r="C57" s="65" t="s">
        <v>4</v>
      </c>
      <c r="D57" s="3" t="s">
        <v>13</v>
      </c>
      <c r="E57" s="4">
        <v>390</v>
      </c>
      <c r="F57" s="4">
        <f t="shared" si="24"/>
        <v>390</v>
      </c>
      <c r="G57" s="4">
        <v>390</v>
      </c>
      <c r="H57" s="4">
        <f t="shared" ref="H57:H66" si="27">+(G57+I57)/2</f>
        <v>390</v>
      </c>
      <c r="I57" s="4">
        <v>390</v>
      </c>
      <c r="J57" s="4">
        <f t="shared" ref="J57:J66" si="28">+(I57+K57)/2</f>
        <v>232.50749999999999</v>
      </c>
      <c r="K57" s="4">
        <v>75.015000000000001</v>
      </c>
      <c r="L57" s="4">
        <f t="shared" ref="L57:L66" si="29">+(K57+M57)/2</f>
        <v>75.240000000000009</v>
      </c>
      <c r="M57" s="4">
        <v>75.465000000000003</v>
      </c>
      <c r="N57" s="47">
        <v>527.66999999999996</v>
      </c>
      <c r="O57" s="47">
        <v>527.66999999999996</v>
      </c>
      <c r="P57" s="47">
        <v>802.49</v>
      </c>
      <c r="Q57" s="48">
        <v>802.49</v>
      </c>
      <c r="R57" s="228">
        <f t="shared" ref="R57:AD65" si="30">$B$55*R$3*$B57</f>
        <v>683.4552660099373</v>
      </c>
      <c r="S57" s="228">
        <f t="shared" si="30"/>
        <v>678.30005232592873</v>
      </c>
      <c r="T57" s="228">
        <f t="shared" si="30"/>
        <v>673.18373375337296</v>
      </c>
      <c r="U57" s="228">
        <f t="shared" si="30"/>
        <v>668.10601675831515</v>
      </c>
      <c r="V57" s="228">
        <f t="shared" si="30"/>
        <v>663.06661002257033</v>
      </c>
      <c r="W57" s="228">
        <f t="shared" si="30"/>
        <v>658.06586572559718</v>
      </c>
      <c r="X57" s="228">
        <f t="shared" si="30"/>
        <v>653.10156819947008</v>
      </c>
      <c r="Y57" s="228">
        <f t="shared" si="30"/>
        <v>648.1747349223939</v>
      </c>
      <c r="Z57" s="228">
        <f t="shared" si="30"/>
        <v>643.28696236760936</v>
      </c>
      <c r="AA57" s="228">
        <f t="shared" si="30"/>
        <v>638.43480394405128</v>
      </c>
      <c r="AB57" s="228">
        <f t="shared" si="30"/>
        <v>633.6192535844857</v>
      </c>
      <c r="AC57" s="228">
        <f t="shared" si="30"/>
        <v>628.84003501902816</v>
      </c>
      <c r="AD57" s="246">
        <f t="shared" si="30"/>
        <v>624.09748120951565</v>
      </c>
    </row>
    <row r="58" spans="2:30" x14ac:dyDescent="0.3">
      <c r="B58" s="69">
        <f t="shared" si="26"/>
        <v>5.531729920367108E-2</v>
      </c>
      <c r="C58" s="65" t="s">
        <v>5</v>
      </c>
      <c r="D58" s="3" t="s">
        <v>13</v>
      </c>
      <c r="E58" s="4">
        <v>42.464999999999996</v>
      </c>
      <c r="F58" s="4">
        <f t="shared" si="24"/>
        <v>42.464999999999996</v>
      </c>
      <c r="G58" s="4">
        <v>42.464999999999996</v>
      </c>
      <c r="H58" s="4">
        <f t="shared" si="27"/>
        <v>42.464999999999996</v>
      </c>
      <c r="I58" s="4">
        <v>42.464999999999996</v>
      </c>
      <c r="J58" s="4">
        <f t="shared" si="28"/>
        <v>54.825000000000003</v>
      </c>
      <c r="K58" s="4">
        <v>67.185000000000002</v>
      </c>
      <c r="L58" s="4">
        <f t="shared" si="29"/>
        <v>89.032499999999999</v>
      </c>
      <c r="M58" s="4">
        <v>110.88</v>
      </c>
      <c r="N58" s="47">
        <v>59.4</v>
      </c>
      <c r="O58" s="47">
        <v>59.4</v>
      </c>
      <c r="P58" s="47">
        <v>123.44</v>
      </c>
      <c r="Q58" s="48">
        <v>123.44</v>
      </c>
      <c r="R58" s="228">
        <f t="shared" si="30"/>
        <v>105.12993063622807</v>
      </c>
      <c r="S58" s="228">
        <f t="shared" si="30"/>
        <v>104.33694931913499</v>
      </c>
      <c r="T58" s="228">
        <f t="shared" si="30"/>
        <v>103.54995089598169</v>
      </c>
      <c r="U58" s="228">
        <f t="shared" si="30"/>
        <v>102.7688902150138</v>
      </c>
      <c r="V58" s="228">
        <f t="shared" si="30"/>
        <v>101.99372246530932</v>
      </c>
      <c r="W58" s="228">
        <f t="shared" si="30"/>
        <v>101.2245018195463</v>
      </c>
      <c r="X58" s="228">
        <f t="shared" si="30"/>
        <v>100.46088746095602</v>
      </c>
      <c r="Y58" s="228">
        <f t="shared" si="30"/>
        <v>99.703035899288835</v>
      </c>
      <c r="Z58" s="228">
        <f t="shared" si="30"/>
        <v>98.951192706024614</v>
      </c>
      <c r="AA58" s="228">
        <f t="shared" si="30"/>
        <v>98.204827722281493</v>
      </c>
      <c r="AB58" s="228">
        <f t="shared" si="30"/>
        <v>97.464093836021519</v>
      </c>
      <c r="AC58" s="228">
        <f t="shared" si="30"/>
        <v>96.728948551070829</v>
      </c>
      <c r="AD58" s="246">
        <f t="shared" si="30"/>
        <v>95.999443084029224</v>
      </c>
    </row>
    <row r="59" spans="2:30" x14ac:dyDescent="0.3">
      <c r="B59" s="69">
        <f t="shared" si="26"/>
        <v>6.2093040972623664E-2</v>
      </c>
      <c r="C59" s="65" t="s">
        <v>6</v>
      </c>
      <c r="D59" s="3" t="s">
        <v>13</v>
      </c>
      <c r="E59" s="4">
        <v>51.254999999999995</v>
      </c>
      <c r="F59" s="4">
        <f t="shared" si="24"/>
        <v>51.254999999999995</v>
      </c>
      <c r="G59" s="4">
        <v>51.254999999999995</v>
      </c>
      <c r="H59" s="4">
        <f t="shared" si="27"/>
        <v>51.254999999999995</v>
      </c>
      <c r="I59" s="4">
        <v>51.254999999999995</v>
      </c>
      <c r="J59" s="4">
        <f t="shared" si="28"/>
        <v>48.959999999999994</v>
      </c>
      <c r="K59" s="4">
        <v>46.664999999999992</v>
      </c>
      <c r="L59" s="4">
        <f t="shared" si="29"/>
        <v>61.717499999999994</v>
      </c>
      <c r="M59" s="4">
        <v>76.77</v>
      </c>
      <c r="N59" s="47">
        <v>99.45</v>
      </c>
      <c r="O59" s="47">
        <v>99.45</v>
      </c>
      <c r="P59" s="47">
        <v>138.56</v>
      </c>
      <c r="Q59" s="48">
        <v>138.56</v>
      </c>
      <c r="R59" s="228">
        <f t="shared" si="30"/>
        <v>118.00715480359496</v>
      </c>
      <c r="S59" s="228">
        <f t="shared" si="30"/>
        <v>117.11704226878923</v>
      </c>
      <c r="T59" s="228">
        <f t="shared" si="30"/>
        <v>116.2336454645757</v>
      </c>
      <c r="U59" s="228">
        <f t="shared" si="30"/>
        <v>115.3569137086221</v>
      </c>
      <c r="V59" s="228">
        <f t="shared" si="30"/>
        <v>114.48679670117676</v>
      </c>
      <c r="W59" s="228">
        <f t="shared" si="30"/>
        <v>113.6233552504564</v>
      </c>
      <c r="X59" s="228">
        <f t="shared" si="30"/>
        <v>112.76620679350344</v>
      </c>
      <c r="Y59" s="228">
        <f t="shared" si="30"/>
        <v>111.91552701073769</v>
      </c>
      <c r="Z59" s="228">
        <f t="shared" si="30"/>
        <v>111.07159155336011</v>
      </c>
      <c r="AA59" s="228">
        <f t="shared" si="30"/>
        <v>110.2338053240386</v>
      </c>
      <c r="AB59" s="228">
        <f t="shared" si="30"/>
        <v>109.40233993777659</v>
      </c>
      <c r="AC59" s="228">
        <f t="shared" si="30"/>
        <v>108.5771476931009</v>
      </c>
      <c r="AD59" s="246">
        <f t="shared" si="30"/>
        <v>107.75828608006391</v>
      </c>
    </row>
    <row r="60" spans="2:30" x14ac:dyDescent="0.3">
      <c r="B60" s="69">
        <f t="shared" si="26"/>
        <v>2.4199077746259225E-4</v>
      </c>
      <c r="C60" s="65" t="s">
        <v>7</v>
      </c>
      <c r="D60" s="3" t="s">
        <v>13</v>
      </c>
      <c r="E60" s="4">
        <v>18.059999999999999</v>
      </c>
      <c r="F60" s="4">
        <f t="shared" si="24"/>
        <v>18.059999999999999</v>
      </c>
      <c r="G60" s="4">
        <v>18.059999999999999</v>
      </c>
      <c r="H60" s="4">
        <f t="shared" si="27"/>
        <v>18.059999999999999</v>
      </c>
      <c r="I60" s="4">
        <v>18.059999999999999</v>
      </c>
      <c r="J60" s="4">
        <f t="shared" si="28"/>
        <v>21.2925</v>
      </c>
      <c r="K60" s="4">
        <v>24.525000000000002</v>
      </c>
      <c r="L60" s="4">
        <f t="shared" si="29"/>
        <v>28.17</v>
      </c>
      <c r="M60" s="4">
        <v>31.814999999999998</v>
      </c>
      <c r="N60" s="47">
        <v>39.65</v>
      </c>
      <c r="O60" s="47">
        <v>39.65</v>
      </c>
      <c r="P60" s="47">
        <v>0.54</v>
      </c>
      <c r="Q60" s="48">
        <v>0.54</v>
      </c>
      <c r="R60" s="228">
        <f t="shared" si="30"/>
        <v>0.45990086312024597</v>
      </c>
      <c r="S60" s="228">
        <f t="shared" si="30"/>
        <v>0.4564318910590805</v>
      </c>
      <c r="T60" s="228">
        <f t="shared" si="30"/>
        <v>0.45298909173550006</v>
      </c>
      <c r="U60" s="228">
        <f t="shared" si="30"/>
        <v>0.44957226762886793</v>
      </c>
      <c r="V60" s="228">
        <f t="shared" si="30"/>
        <v>0.44618122270955152</v>
      </c>
      <c r="W60" s="228">
        <f t="shared" si="30"/>
        <v>0.4428161939610743</v>
      </c>
      <c r="X60" s="228">
        <f t="shared" si="30"/>
        <v>0.43947569044812257</v>
      </c>
      <c r="Y60" s="228">
        <f t="shared" si="30"/>
        <v>0.43616039683745927</v>
      </c>
      <c r="Z60" s="228">
        <f t="shared" si="30"/>
        <v>0.43287138740483883</v>
      </c>
      <c r="AA60" s="228">
        <f t="shared" si="30"/>
        <v>0.42960634291989647</v>
      </c>
      <c r="AB60" s="228">
        <f t="shared" si="30"/>
        <v>0.42636593220553815</v>
      </c>
      <c r="AC60" s="228">
        <f t="shared" si="30"/>
        <v>0.42314996935821658</v>
      </c>
      <c r="AD60" s="246">
        <f t="shared" si="30"/>
        <v>0.41995867842981033</v>
      </c>
    </row>
    <row r="61" spans="2:30" x14ac:dyDescent="0.3">
      <c r="B61" s="69">
        <f t="shared" si="26"/>
        <v>0.38628001918000976</v>
      </c>
      <c r="C61" s="65" t="s">
        <v>8</v>
      </c>
      <c r="D61" s="3" t="s">
        <v>13</v>
      </c>
      <c r="E61" s="4">
        <v>102.55500000000001</v>
      </c>
      <c r="F61" s="4">
        <f t="shared" si="24"/>
        <v>102.55500000000001</v>
      </c>
      <c r="G61" s="4">
        <v>102.55500000000001</v>
      </c>
      <c r="H61" s="4">
        <f t="shared" si="27"/>
        <v>102.55500000000001</v>
      </c>
      <c r="I61" s="4">
        <v>102.55500000000001</v>
      </c>
      <c r="J61" s="4">
        <f t="shared" si="28"/>
        <v>107.23500000000001</v>
      </c>
      <c r="K61" s="4">
        <v>111.91500000000001</v>
      </c>
      <c r="L61" s="4">
        <f t="shared" si="29"/>
        <v>157.9725</v>
      </c>
      <c r="M61" s="4">
        <v>204.03</v>
      </c>
      <c r="N61" s="47">
        <v>300.74</v>
      </c>
      <c r="O61" s="47">
        <v>300.74</v>
      </c>
      <c r="P61" s="47">
        <v>861.98</v>
      </c>
      <c r="Q61" s="48">
        <v>861.98</v>
      </c>
      <c r="R61" s="228">
        <f t="shared" si="30"/>
        <v>734.1210110970178</v>
      </c>
      <c r="S61" s="228">
        <f t="shared" si="30"/>
        <v>728.58363232427075</v>
      </c>
      <c r="T61" s="228">
        <f t="shared" si="30"/>
        <v>723.08803202623392</v>
      </c>
      <c r="U61" s="228">
        <f t="shared" si="30"/>
        <v>717.63389490876216</v>
      </c>
      <c r="V61" s="228">
        <f t="shared" si="30"/>
        <v>712.22090805773928</v>
      </c>
      <c r="W61" s="228">
        <f t="shared" si="30"/>
        <v>706.84944976030897</v>
      </c>
      <c r="X61" s="228">
        <f t="shared" si="30"/>
        <v>701.5171400971717</v>
      </c>
      <c r="Y61" s="228">
        <f t="shared" si="30"/>
        <v>696.22507197398738</v>
      </c>
      <c r="Z61" s="228">
        <f t="shared" si="30"/>
        <v>690.97496021337588</v>
      </c>
      <c r="AA61" s="228">
        <f t="shared" si="30"/>
        <v>685.76310272239323</v>
      </c>
      <c r="AB61" s="228">
        <f t="shared" si="30"/>
        <v>680.59056711579592</v>
      </c>
      <c r="AC61" s="228">
        <f t="shared" si="30"/>
        <v>675.45705664332502</v>
      </c>
      <c r="AD61" s="246">
        <f t="shared" si="30"/>
        <v>670.3629289498665</v>
      </c>
    </row>
    <row r="62" spans="2:30" ht="24" customHeight="1" x14ac:dyDescent="0.3">
      <c r="B62" s="69">
        <f t="shared" si="26"/>
        <v>9.0325298343259433E-2</v>
      </c>
      <c r="C62" s="65" t="s">
        <v>9</v>
      </c>
      <c r="D62" s="3" t="s">
        <v>13</v>
      </c>
      <c r="E62" s="4">
        <v>30.825000000000003</v>
      </c>
      <c r="F62" s="4">
        <f t="shared" si="24"/>
        <v>30.825000000000003</v>
      </c>
      <c r="G62" s="4">
        <v>30.825000000000003</v>
      </c>
      <c r="H62" s="4">
        <f t="shared" si="27"/>
        <v>30.825000000000003</v>
      </c>
      <c r="I62" s="4">
        <v>30.825000000000003</v>
      </c>
      <c r="J62" s="4">
        <f t="shared" si="28"/>
        <v>22.770000000000003</v>
      </c>
      <c r="K62" s="4">
        <v>14.715</v>
      </c>
      <c r="L62" s="4">
        <f t="shared" si="29"/>
        <v>18.09</v>
      </c>
      <c r="M62" s="4">
        <v>21.465</v>
      </c>
      <c r="N62" s="47">
        <v>33.979999999999997</v>
      </c>
      <c r="O62" s="47">
        <v>33.979999999999997</v>
      </c>
      <c r="P62" s="47">
        <v>201.56</v>
      </c>
      <c r="Q62" s="48">
        <v>201.56</v>
      </c>
      <c r="R62" s="228">
        <f t="shared" si="30"/>
        <v>171.662255500957</v>
      </c>
      <c r="S62" s="228">
        <f t="shared" si="30"/>
        <v>170.36742955901531</v>
      </c>
      <c r="T62" s="228">
        <f t="shared" si="30"/>
        <v>169.08237283371739</v>
      </c>
      <c r="U62" s="228">
        <f t="shared" si="30"/>
        <v>167.80701159865671</v>
      </c>
      <c r="V62" s="228">
        <f t="shared" si="30"/>
        <v>166.54127268395777</v>
      </c>
      <c r="W62" s="228">
        <f t="shared" si="30"/>
        <v>165.28524454591508</v>
      </c>
      <c r="X62" s="228">
        <f t="shared" si="30"/>
        <v>164.03837067911775</v>
      </c>
      <c r="Y62" s="228">
        <f t="shared" si="30"/>
        <v>162.80090664177462</v>
      </c>
      <c r="Z62" s="228">
        <f t="shared" si="30"/>
        <v>161.57325341725797</v>
      </c>
      <c r="AA62" s="228">
        <f t="shared" si="30"/>
        <v>160.35454533135987</v>
      </c>
      <c r="AB62" s="228">
        <f t="shared" si="30"/>
        <v>159.14503202842272</v>
      </c>
      <c r="AC62" s="228">
        <f t="shared" si="30"/>
        <v>157.94464411822617</v>
      </c>
      <c r="AD62" s="246">
        <f t="shared" si="30"/>
        <v>156.75346523020846</v>
      </c>
    </row>
    <row r="63" spans="2:30" x14ac:dyDescent="0.3">
      <c r="B63" s="69">
        <f t="shared" si="26"/>
        <v>3.527239647051969E-2</v>
      </c>
      <c r="C63" s="65" t="s">
        <v>10</v>
      </c>
      <c r="D63" s="3" t="s">
        <v>13</v>
      </c>
      <c r="E63" s="4">
        <v>33.630000000000003</v>
      </c>
      <c r="F63" s="4">
        <f t="shared" si="24"/>
        <v>33.630000000000003</v>
      </c>
      <c r="G63" s="4">
        <v>33.630000000000003</v>
      </c>
      <c r="H63" s="4">
        <f t="shared" si="27"/>
        <v>33.630000000000003</v>
      </c>
      <c r="I63" s="4">
        <v>33.630000000000003</v>
      </c>
      <c r="J63" s="4">
        <f t="shared" si="28"/>
        <v>20.842500000000001</v>
      </c>
      <c r="K63" s="4">
        <v>8.0549999999999997</v>
      </c>
      <c r="L63" s="4">
        <f t="shared" si="29"/>
        <v>11.6775</v>
      </c>
      <c r="M63" s="4">
        <v>15.3</v>
      </c>
      <c r="N63" s="47">
        <v>2210.7199999999998</v>
      </c>
      <c r="O63" s="47">
        <v>2210.7199999999998</v>
      </c>
      <c r="P63" s="47">
        <v>78.709999999999994</v>
      </c>
      <c r="Q63" s="48">
        <v>78.709999999999994</v>
      </c>
      <c r="R63" s="228">
        <f t="shared" si="30"/>
        <v>67.034809141101022</v>
      </c>
      <c r="S63" s="228">
        <f t="shared" si="30"/>
        <v>66.529174343074487</v>
      </c>
      <c r="T63" s="228">
        <f t="shared" si="30"/>
        <v>66.027354463891115</v>
      </c>
      <c r="U63" s="228">
        <f t="shared" si="30"/>
        <v>65.529320713089234</v>
      </c>
      <c r="V63" s="228">
        <f t="shared" si="30"/>
        <v>65.0350445175348</v>
      </c>
      <c r="W63" s="228">
        <f t="shared" si="30"/>
        <v>64.544560419770661</v>
      </c>
      <c r="X63" s="228">
        <f t="shared" si="30"/>
        <v>64.057651102169856</v>
      </c>
      <c r="Y63" s="228">
        <f t="shared" si="30"/>
        <v>63.574416361252624</v>
      </c>
      <c r="Z63" s="228">
        <f t="shared" si="30"/>
        <v>63.095012782657143</v>
      </c>
      <c r="AA63" s="228">
        <f t="shared" si="30"/>
        <v>62.61910231708341</v>
      </c>
      <c r="AB63" s="228">
        <f t="shared" si="30"/>
        <v>62.14678245166278</v>
      </c>
      <c r="AC63" s="228">
        <f t="shared" si="30"/>
        <v>61.678026089231892</v>
      </c>
      <c r="AD63" s="246">
        <f t="shared" si="30"/>
        <v>61.212865887426602</v>
      </c>
    </row>
    <row r="64" spans="2:30" x14ac:dyDescent="0.3">
      <c r="B64" s="69">
        <f t="shared" si="26"/>
        <v>5.9287740478335101E-3</v>
      </c>
      <c r="C64" s="65" t="s">
        <v>11</v>
      </c>
      <c r="D64" s="3" t="s">
        <v>13</v>
      </c>
      <c r="E64" s="4">
        <v>1.83</v>
      </c>
      <c r="F64" s="4">
        <f t="shared" si="24"/>
        <v>1.83</v>
      </c>
      <c r="G64" s="4">
        <v>1.83</v>
      </c>
      <c r="H64" s="4">
        <f t="shared" si="27"/>
        <v>1.83</v>
      </c>
      <c r="I64" s="4">
        <v>1.83</v>
      </c>
      <c r="J64" s="4">
        <f t="shared" si="28"/>
        <v>2.58</v>
      </c>
      <c r="K64" s="4">
        <v>3.33</v>
      </c>
      <c r="L64" s="4">
        <f t="shared" si="29"/>
        <v>4.6575000000000006</v>
      </c>
      <c r="M64" s="4">
        <v>5.9850000000000003</v>
      </c>
      <c r="N64" s="47">
        <v>6.53</v>
      </c>
      <c r="O64" s="47">
        <v>6.53</v>
      </c>
      <c r="P64" s="47">
        <v>13.23</v>
      </c>
      <c r="Q64" s="48">
        <v>13.23</v>
      </c>
      <c r="R64" s="228">
        <f t="shared" si="30"/>
        <v>11.267571146446027</v>
      </c>
      <c r="S64" s="228">
        <f t="shared" si="30"/>
        <v>11.182581330947473</v>
      </c>
      <c r="T64" s="228">
        <f t="shared" si="30"/>
        <v>11.09823274751975</v>
      </c>
      <c r="U64" s="228">
        <f t="shared" si="30"/>
        <v>11.014520556907264</v>
      </c>
      <c r="V64" s="228">
        <f t="shared" si="30"/>
        <v>10.931439956384011</v>
      </c>
      <c r="W64" s="228">
        <f t="shared" si="30"/>
        <v>10.848996752046322</v>
      </c>
      <c r="X64" s="228">
        <f t="shared" si="30"/>
        <v>10.767154415979004</v>
      </c>
      <c r="Y64" s="228">
        <f t="shared" si="30"/>
        <v>10.685929722517752</v>
      </c>
      <c r="Z64" s="228">
        <f t="shared" si="30"/>
        <v>10.60534899141855</v>
      </c>
      <c r="AA64" s="228">
        <f t="shared" si="30"/>
        <v>10.525355401537462</v>
      </c>
      <c r="AB64" s="228">
        <f t="shared" si="30"/>
        <v>10.445965339035684</v>
      </c>
      <c r="AC64" s="228">
        <f t="shared" si="30"/>
        <v>10.367174249276307</v>
      </c>
      <c r="AD64" s="246">
        <f t="shared" si="30"/>
        <v>10.288987621530353</v>
      </c>
    </row>
    <row r="65" spans="2:30" x14ac:dyDescent="0.3">
      <c r="B65" s="69">
        <f t="shared" si="26"/>
        <v>4.9204791417393756E-3</v>
      </c>
      <c r="C65" s="65" t="s">
        <v>12</v>
      </c>
      <c r="D65" s="3" t="s">
        <v>13</v>
      </c>
      <c r="E65" s="4">
        <v>20.58</v>
      </c>
      <c r="F65" s="4">
        <f t="shared" si="24"/>
        <v>20.58</v>
      </c>
      <c r="G65" s="4">
        <v>20.58</v>
      </c>
      <c r="H65" s="4">
        <f t="shared" si="27"/>
        <v>20.58</v>
      </c>
      <c r="I65" s="4">
        <v>20.58</v>
      </c>
      <c r="J65" s="4">
        <f t="shared" si="28"/>
        <v>44.92</v>
      </c>
      <c r="K65" s="4">
        <v>69.260000000000005</v>
      </c>
      <c r="L65" s="4">
        <f t="shared" si="29"/>
        <v>122.875</v>
      </c>
      <c r="M65" s="4">
        <v>176.49</v>
      </c>
      <c r="N65" s="47">
        <v>53.46</v>
      </c>
      <c r="O65" s="47">
        <v>53.46</v>
      </c>
      <c r="P65" s="47">
        <v>10.98</v>
      </c>
      <c r="Q65" s="48">
        <v>10.98</v>
      </c>
      <c r="R65" s="228">
        <f t="shared" si="30"/>
        <v>9.3513175501116681</v>
      </c>
      <c r="S65" s="228">
        <f t="shared" si="30"/>
        <v>9.2807817848679708</v>
      </c>
      <c r="T65" s="228">
        <f t="shared" si="30"/>
        <v>9.2107781986218349</v>
      </c>
      <c r="U65" s="228">
        <f t="shared" si="30"/>
        <v>9.1413027751203142</v>
      </c>
      <c r="V65" s="228">
        <f t="shared" si="30"/>
        <v>9.0723515284275464</v>
      </c>
      <c r="W65" s="228">
        <f t="shared" si="30"/>
        <v>9.0039292772085116</v>
      </c>
      <c r="X65" s="228">
        <f t="shared" si="30"/>
        <v>8.9360057057784932</v>
      </c>
      <c r="Y65" s="228">
        <f t="shared" si="30"/>
        <v>8.8685947356950052</v>
      </c>
      <c r="Z65" s="228">
        <f t="shared" si="30"/>
        <v>8.8017182105650562</v>
      </c>
      <c r="AA65" s="228">
        <f t="shared" si="30"/>
        <v>8.7353289727045613</v>
      </c>
      <c r="AB65" s="228">
        <f t="shared" si="30"/>
        <v>8.6694406215126083</v>
      </c>
      <c r="AC65" s="228">
        <f t="shared" si="30"/>
        <v>8.6040493769504032</v>
      </c>
      <c r="AD65" s="246">
        <f t="shared" si="30"/>
        <v>8.5391597947394757</v>
      </c>
    </row>
    <row r="66" spans="2:30" x14ac:dyDescent="0.3">
      <c r="B66" s="70"/>
      <c r="C66" s="65" t="s">
        <v>3</v>
      </c>
      <c r="D66" s="3" t="s">
        <v>13</v>
      </c>
      <c r="E66" s="4">
        <v>9692.42</v>
      </c>
      <c r="F66" s="4">
        <f t="shared" si="24"/>
        <v>9692.42</v>
      </c>
      <c r="G66" s="4">
        <v>9692.42</v>
      </c>
      <c r="H66" s="4">
        <f t="shared" si="27"/>
        <v>9692.42</v>
      </c>
      <c r="I66" s="4">
        <v>9692.42</v>
      </c>
      <c r="J66" s="4">
        <f t="shared" si="28"/>
        <v>6006.2650000000003</v>
      </c>
      <c r="K66" s="4">
        <v>2320.11</v>
      </c>
      <c r="L66" s="4">
        <f t="shared" si="29"/>
        <v>8269.5550000000003</v>
      </c>
      <c r="M66" s="4">
        <v>14219</v>
      </c>
      <c r="N66" s="4">
        <v>3174.03</v>
      </c>
      <c r="O66" s="4">
        <v>3174.03</v>
      </c>
      <c r="P66" s="4">
        <v>11997.5</v>
      </c>
      <c r="Q66" s="4">
        <v>11997.5</v>
      </c>
      <c r="R66" s="229">
        <v>11997.5</v>
      </c>
      <c r="S66" s="229">
        <v>11997.5</v>
      </c>
      <c r="T66" s="229">
        <v>11997.5</v>
      </c>
      <c r="U66" s="229">
        <v>11997.5</v>
      </c>
      <c r="V66" s="229">
        <v>11997.5</v>
      </c>
      <c r="W66" s="229">
        <v>11997.5</v>
      </c>
      <c r="X66" s="229">
        <v>11997.5</v>
      </c>
      <c r="Y66" s="229">
        <v>11997.5</v>
      </c>
      <c r="Z66" s="229">
        <v>11997.5</v>
      </c>
      <c r="AA66" s="229">
        <v>11997.5</v>
      </c>
      <c r="AB66" s="229">
        <v>11997.5</v>
      </c>
      <c r="AC66" s="229">
        <v>11997.5</v>
      </c>
      <c r="AD66" s="230">
        <v>11997.5</v>
      </c>
    </row>
    <row r="67" spans="2:30" x14ac:dyDescent="0.3">
      <c r="B67" s="6"/>
      <c r="C67" s="65" t="s">
        <v>15</v>
      </c>
      <c r="D67" s="3" t="s">
        <v>13</v>
      </c>
      <c r="E67" s="4">
        <v>614.62</v>
      </c>
      <c r="F67" s="4">
        <v>614.62</v>
      </c>
      <c r="G67" s="4">
        <v>614.62</v>
      </c>
      <c r="H67" s="4">
        <v>614.62</v>
      </c>
      <c r="I67" s="4">
        <v>614.62</v>
      </c>
      <c r="J67" s="4">
        <v>481.89</v>
      </c>
      <c r="K67" s="4">
        <v>349.16</v>
      </c>
      <c r="L67" s="4">
        <v>314.82499999999999</v>
      </c>
      <c r="M67" s="4">
        <v>280.49</v>
      </c>
      <c r="N67" s="4">
        <v>230.99</v>
      </c>
      <c r="O67" s="4">
        <v>230.99</v>
      </c>
      <c r="P67" s="4">
        <v>1935.81</v>
      </c>
      <c r="Q67" s="4">
        <v>1935.81</v>
      </c>
      <c r="R67" s="229">
        <v>1935.81</v>
      </c>
      <c r="S67" s="229">
        <v>1935.81</v>
      </c>
      <c r="T67" s="229">
        <v>1935.81</v>
      </c>
      <c r="U67" s="229">
        <v>1935.81</v>
      </c>
      <c r="V67" s="229">
        <v>1935.81</v>
      </c>
      <c r="W67" s="229">
        <v>1935.81</v>
      </c>
      <c r="X67" s="229">
        <v>1935.81</v>
      </c>
      <c r="Y67" s="229">
        <v>1935.81</v>
      </c>
      <c r="Z67" s="229">
        <v>1935.81</v>
      </c>
      <c r="AA67" s="229">
        <v>1935.81</v>
      </c>
      <c r="AB67" s="229">
        <v>1935.81</v>
      </c>
      <c r="AC67" s="229">
        <v>1935.81</v>
      </c>
      <c r="AD67" s="230">
        <v>1935.81</v>
      </c>
    </row>
    <row r="68" spans="2:30" x14ac:dyDescent="0.3">
      <c r="B68" s="5"/>
      <c r="C68" s="66" t="s">
        <v>16</v>
      </c>
      <c r="D68" s="3" t="s">
        <v>13</v>
      </c>
      <c r="E68" s="4">
        <v>275.76</v>
      </c>
      <c r="F68" s="4">
        <f t="shared" ref="F68:F84" si="31">+(E68+G68)/2</f>
        <v>275.76</v>
      </c>
      <c r="G68" s="4">
        <v>275.76</v>
      </c>
      <c r="H68" s="4">
        <f t="shared" ref="H68:H70" si="32">+(G68+I68)/2</f>
        <v>275.76</v>
      </c>
      <c r="I68" s="4">
        <v>275.76</v>
      </c>
      <c r="J68" s="4">
        <f t="shared" ref="J68:J70" si="33">+(I68+K68)/2</f>
        <v>261.45</v>
      </c>
      <c r="K68" s="4">
        <v>247.14</v>
      </c>
      <c r="L68" s="4">
        <f t="shared" ref="L68:L70" si="34">+(K68+M68)/2</f>
        <v>345.35500000000002</v>
      </c>
      <c r="M68" s="4">
        <v>443.57</v>
      </c>
      <c r="N68" s="47">
        <v>95151.11</v>
      </c>
      <c r="O68" s="47">
        <v>95151.11</v>
      </c>
      <c r="P68" s="4">
        <v>494.06</v>
      </c>
      <c r="Q68" s="9">
        <v>494.06</v>
      </c>
      <c r="R68" s="229">
        <v>494.06</v>
      </c>
      <c r="S68" s="229">
        <v>494.06</v>
      </c>
      <c r="T68" s="229">
        <v>494.06</v>
      </c>
      <c r="U68" s="229">
        <v>494.06</v>
      </c>
      <c r="V68" s="229">
        <v>494.06</v>
      </c>
      <c r="W68" s="229">
        <v>494.06</v>
      </c>
      <c r="X68" s="229">
        <v>494.06</v>
      </c>
      <c r="Y68" s="229">
        <v>494.06</v>
      </c>
      <c r="Z68" s="229">
        <v>494.06</v>
      </c>
      <c r="AA68" s="229">
        <v>494.06</v>
      </c>
      <c r="AB68" s="229">
        <v>494.06</v>
      </c>
      <c r="AC68" s="229">
        <v>494.06</v>
      </c>
      <c r="AD68" s="230">
        <v>494.06</v>
      </c>
    </row>
    <row r="69" spans="2:30" x14ac:dyDescent="0.3">
      <c r="B69" s="5"/>
      <c r="C69" s="66" t="s">
        <v>14</v>
      </c>
      <c r="D69" s="3" t="s">
        <v>13</v>
      </c>
      <c r="E69" s="4">
        <v>223.995</v>
      </c>
      <c r="F69" s="4">
        <f t="shared" si="31"/>
        <v>223.995</v>
      </c>
      <c r="G69" s="4">
        <v>223.995</v>
      </c>
      <c r="H69" s="4">
        <f t="shared" si="32"/>
        <v>223.995</v>
      </c>
      <c r="I69" s="4">
        <v>223.995</v>
      </c>
      <c r="J69" s="4">
        <f t="shared" si="33"/>
        <v>174.42750000000001</v>
      </c>
      <c r="K69" s="4">
        <v>124.86</v>
      </c>
      <c r="L69" s="4">
        <f t="shared" si="34"/>
        <v>436.92</v>
      </c>
      <c r="M69" s="4">
        <v>748.98</v>
      </c>
      <c r="N69" s="47">
        <v>871.12</v>
      </c>
      <c r="O69" s="47">
        <v>871.12</v>
      </c>
      <c r="P69" s="4">
        <v>2832.75</v>
      </c>
      <c r="Q69" s="9">
        <v>2832.75</v>
      </c>
      <c r="R69" s="229">
        <v>2832.75</v>
      </c>
      <c r="S69" s="229">
        <v>2832.75</v>
      </c>
      <c r="T69" s="229">
        <v>2832.75</v>
      </c>
      <c r="U69" s="229">
        <v>2832.75</v>
      </c>
      <c r="V69" s="229">
        <v>2832.75</v>
      </c>
      <c r="W69" s="229">
        <v>2832.75</v>
      </c>
      <c r="X69" s="229">
        <v>2832.75</v>
      </c>
      <c r="Y69" s="229">
        <v>2832.75</v>
      </c>
      <c r="Z69" s="229">
        <v>2832.75</v>
      </c>
      <c r="AA69" s="229">
        <v>2832.75</v>
      </c>
      <c r="AB69" s="229">
        <v>2832.75</v>
      </c>
      <c r="AC69" s="229">
        <v>2832.75</v>
      </c>
      <c r="AD69" s="230">
        <v>2832.75</v>
      </c>
    </row>
    <row r="70" spans="2:30" ht="15" thickBot="1" x14ac:dyDescent="0.35">
      <c r="B70" s="72"/>
      <c r="C70" s="73" t="s">
        <v>13</v>
      </c>
      <c r="D70" s="50" t="s">
        <v>13</v>
      </c>
      <c r="E70" s="51">
        <v>29525.66</v>
      </c>
      <c r="F70" s="51">
        <f t="shared" si="31"/>
        <v>29525.66</v>
      </c>
      <c r="G70" s="51">
        <v>29525.66</v>
      </c>
      <c r="H70" s="51">
        <f t="shared" si="32"/>
        <v>29525.66</v>
      </c>
      <c r="I70" s="51">
        <v>29525.66</v>
      </c>
      <c r="J70" s="51">
        <f t="shared" si="33"/>
        <v>76298.58</v>
      </c>
      <c r="K70" s="51">
        <v>123071.5</v>
      </c>
      <c r="L70" s="51">
        <f t="shared" si="34"/>
        <v>124802.24000000001</v>
      </c>
      <c r="M70" s="51">
        <v>126532.98000000001</v>
      </c>
      <c r="N70" s="52">
        <v>142953.79499999998</v>
      </c>
      <c r="O70" s="52">
        <v>142953.79499999998</v>
      </c>
      <c r="P70" s="51">
        <v>245067.52500000002</v>
      </c>
      <c r="Q70" s="53">
        <v>245067.52500000002</v>
      </c>
      <c r="R70" s="231">
        <v>245067.52500000002</v>
      </c>
      <c r="S70" s="231">
        <v>245067.52500000002</v>
      </c>
      <c r="T70" s="231">
        <v>245067.52500000002</v>
      </c>
      <c r="U70" s="231">
        <v>245067.52500000002</v>
      </c>
      <c r="V70" s="231">
        <v>245067.52500000002</v>
      </c>
      <c r="W70" s="231">
        <v>245067.52500000002</v>
      </c>
      <c r="X70" s="231">
        <v>245067.52500000002</v>
      </c>
      <c r="Y70" s="231">
        <v>245067.52500000002</v>
      </c>
      <c r="Z70" s="231">
        <v>245067.52500000002</v>
      </c>
      <c r="AA70" s="231">
        <v>245067.52500000002</v>
      </c>
      <c r="AB70" s="231">
        <v>245067.52500000002</v>
      </c>
      <c r="AC70" s="231">
        <v>245067.52500000002</v>
      </c>
      <c r="AD70" s="232">
        <v>245067.52500000002</v>
      </c>
    </row>
    <row r="72" spans="2:30" x14ac:dyDescent="0.3">
      <c r="B72" s="54" t="s">
        <v>14</v>
      </c>
      <c r="C72" s="57"/>
      <c r="D72" s="58"/>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row>
    <row r="73" spans="2:30" ht="15" thickBot="1" x14ac:dyDescent="0.35">
      <c r="B73" s="60">
        <f>+SUM(Q74:Q83)/(SUM(Q74:Q83)+SUM(Q4:Q13)+SUM(Q22:Q31)+SUM(Q39:Q48)+SUM(Q56:Q65))</f>
        <v>3.1249394409636967E-3</v>
      </c>
      <c r="C73" s="57"/>
      <c r="D73" s="58"/>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row>
    <row r="74" spans="2:30" x14ac:dyDescent="0.3">
      <c r="B74" s="67">
        <f>+Q74/SUM(Q$74:Q$83)</f>
        <v>2.1466265168003339E-3</v>
      </c>
      <c r="C74" s="68" t="s">
        <v>2</v>
      </c>
      <c r="D74" s="1" t="s">
        <v>14</v>
      </c>
      <c r="E74" s="2">
        <v>0.42</v>
      </c>
      <c r="F74" s="2">
        <f t="shared" si="31"/>
        <v>0.42</v>
      </c>
      <c r="G74" s="2">
        <v>0.42</v>
      </c>
      <c r="H74" s="2">
        <f t="shared" ref="H74:H84" si="35">+(G74+I74)/2</f>
        <v>0.42</v>
      </c>
      <c r="I74" s="2">
        <v>0.42</v>
      </c>
      <c r="J74" s="2">
        <f t="shared" ref="J74:J84" si="36">+(I74+K74)/2</f>
        <v>18.772500000000001</v>
      </c>
      <c r="K74" s="2">
        <v>37.125</v>
      </c>
      <c r="L74" s="2">
        <f t="shared" ref="L74:L84" si="37">+(K74+M74)/2</f>
        <v>28.372500000000002</v>
      </c>
      <c r="M74" s="2">
        <v>19.62</v>
      </c>
      <c r="N74" s="46">
        <v>8.3699999999999992</v>
      </c>
      <c r="O74" s="46">
        <v>8.3699999999999992</v>
      </c>
      <c r="P74" s="2">
        <v>0.72</v>
      </c>
      <c r="Q74" s="8">
        <v>0.72</v>
      </c>
      <c r="R74" s="227">
        <f>$B$73*R$3*$B74</f>
        <v>0.61320115082699445</v>
      </c>
      <c r="S74" s="227">
        <f t="shared" ref="S74:AD74" si="38">$B$73*S$3*$B74</f>
        <v>0.60857585474544063</v>
      </c>
      <c r="T74" s="227">
        <f t="shared" si="38"/>
        <v>0.6039854556473333</v>
      </c>
      <c r="U74" s="227">
        <f t="shared" si="38"/>
        <v>0.59942969017182379</v>
      </c>
      <c r="V74" s="227">
        <f t="shared" si="38"/>
        <v>0.5949082969460685</v>
      </c>
      <c r="W74" s="227">
        <f t="shared" si="38"/>
        <v>0.59042159194809896</v>
      </c>
      <c r="X74" s="227">
        <f t="shared" si="38"/>
        <v>0.58596758726416331</v>
      </c>
      <c r="Y74" s="227">
        <f t="shared" si="38"/>
        <v>0.58154719578327907</v>
      </c>
      <c r="Z74" s="227">
        <f t="shared" si="38"/>
        <v>0.57716184987311836</v>
      </c>
      <c r="AA74" s="227">
        <f t="shared" si="38"/>
        <v>0.57280845722652851</v>
      </c>
      <c r="AB74" s="227">
        <f t="shared" si="38"/>
        <v>0.56848790960738405</v>
      </c>
      <c r="AC74" s="227">
        <f t="shared" si="38"/>
        <v>0.56419995914428867</v>
      </c>
      <c r="AD74" s="245">
        <f t="shared" si="38"/>
        <v>0.55994490457308022</v>
      </c>
    </row>
    <row r="75" spans="2:30" x14ac:dyDescent="0.3">
      <c r="B75" s="69">
        <f t="shared" ref="B75:B83" si="39">+Q75/SUM(Q$74:Q$83)</f>
        <v>3.9712590560806178E-2</v>
      </c>
      <c r="C75" s="65" t="s">
        <v>4</v>
      </c>
      <c r="D75" s="3" t="s">
        <v>14</v>
      </c>
      <c r="E75" s="4">
        <v>497.68499999999995</v>
      </c>
      <c r="F75" s="4">
        <f t="shared" si="31"/>
        <v>497.68499999999995</v>
      </c>
      <c r="G75" s="4">
        <v>497.68499999999995</v>
      </c>
      <c r="H75" s="4">
        <f t="shared" si="35"/>
        <v>497.68499999999995</v>
      </c>
      <c r="I75" s="4">
        <v>497.68499999999995</v>
      </c>
      <c r="J75" s="4">
        <f t="shared" si="36"/>
        <v>486.75749999999994</v>
      </c>
      <c r="K75" s="4">
        <v>475.83</v>
      </c>
      <c r="L75" s="4">
        <f t="shared" si="37"/>
        <v>299.45249999999999</v>
      </c>
      <c r="M75" s="4">
        <v>123.075</v>
      </c>
      <c r="N75" s="47">
        <v>87.35</v>
      </c>
      <c r="O75" s="47">
        <v>87.35</v>
      </c>
      <c r="P75" s="47">
        <v>13.32</v>
      </c>
      <c r="Q75" s="48">
        <v>13.32</v>
      </c>
      <c r="R75" s="228">
        <f t="shared" ref="R75:AD83" si="40">$B$73*R$3*$B75</f>
        <v>11.344221290299398</v>
      </c>
      <c r="S75" s="228">
        <f t="shared" si="40"/>
        <v>11.258653312790653</v>
      </c>
      <c r="T75" s="228">
        <f t="shared" si="40"/>
        <v>11.173730929475667</v>
      </c>
      <c r="U75" s="228">
        <f t="shared" si="40"/>
        <v>11.089449268178742</v>
      </c>
      <c r="V75" s="228">
        <f t="shared" si="40"/>
        <v>11.005803493502269</v>
      </c>
      <c r="W75" s="228">
        <f t="shared" si="40"/>
        <v>10.922799451039833</v>
      </c>
      <c r="X75" s="228">
        <f t="shared" si="40"/>
        <v>10.840400364387023</v>
      </c>
      <c r="Y75" s="228">
        <f t="shared" si="40"/>
        <v>10.758623121990663</v>
      </c>
      <c r="Z75" s="228">
        <f t="shared" si="40"/>
        <v>10.67749422265269</v>
      </c>
      <c r="AA75" s="228">
        <f t="shared" si="40"/>
        <v>10.596956458690778</v>
      </c>
      <c r="AB75" s="228">
        <f t="shared" si="40"/>
        <v>10.517026327736605</v>
      </c>
      <c r="AC75" s="228">
        <f t="shared" si="40"/>
        <v>10.437699244169341</v>
      </c>
      <c r="AD75" s="246">
        <f t="shared" si="40"/>
        <v>10.358980734601985</v>
      </c>
    </row>
    <row r="76" spans="2:30" x14ac:dyDescent="0.3">
      <c r="B76" s="69">
        <f t="shared" si="39"/>
        <v>0.11418860499090663</v>
      </c>
      <c r="C76" s="65" t="s">
        <v>5</v>
      </c>
      <c r="D76" s="3" t="s">
        <v>14</v>
      </c>
      <c r="E76" s="4">
        <v>52.04999999999999</v>
      </c>
      <c r="F76" s="4">
        <f t="shared" si="31"/>
        <v>52.04999999999999</v>
      </c>
      <c r="G76" s="4">
        <v>52.04999999999999</v>
      </c>
      <c r="H76" s="4">
        <f t="shared" si="35"/>
        <v>52.04999999999999</v>
      </c>
      <c r="I76" s="4">
        <v>52.04999999999999</v>
      </c>
      <c r="J76" s="4">
        <f t="shared" si="36"/>
        <v>244.83750000000001</v>
      </c>
      <c r="K76" s="4">
        <v>437.625</v>
      </c>
      <c r="L76" s="4">
        <f t="shared" si="37"/>
        <v>332.03250000000003</v>
      </c>
      <c r="M76" s="4">
        <v>226.44</v>
      </c>
      <c r="N76" s="47">
        <v>220.41</v>
      </c>
      <c r="O76" s="47">
        <v>220.41</v>
      </c>
      <c r="P76" s="47">
        <v>38.299999999999997</v>
      </c>
      <c r="Q76" s="48">
        <v>38.299999999999997</v>
      </c>
      <c r="R76" s="228">
        <f t="shared" si="40"/>
        <v>32.618894550935948</v>
      </c>
      <c r="S76" s="228">
        <f t="shared" si="40"/>
        <v>32.372854495486628</v>
      </c>
      <c r="T76" s="228">
        <f t="shared" si="40"/>
        <v>32.128670765684532</v>
      </c>
      <c r="U76" s="228">
        <f t="shared" si="40"/>
        <v>31.886329352195624</v>
      </c>
      <c r="V76" s="228">
        <f t="shared" si="40"/>
        <v>31.645816351436697</v>
      </c>
      <c r="W76" s="228">
        <f t="shared" si="40"/>
        <v>31.407148571683596</v>
      </c>
      <c r="X76" s="228">
        <f t="shared" si="40"/>
        <v>31.170220266968684</v>
      </c>
      <c r="Y76" s="228">
        <f t="shared" si="40"/>
        <v>30.935079997916088</v>
      </c>
      <c r="Z76" s="228">
        <f t="shared" si="40"/>
        <v>30.701803958528373</v>
      </c>
      <c r="AA76" s="228">
        <f t="shared" si="40"/>
        <v>30.4702276552445</v>
      </c>
      <c r="AB76" s="228">
        <f t="shared" si="40"/>
        <v>30.240398524948343</v>
      </c>
      <c r="AC76" s="228">
        <f t="shared" si="40"/>
        <v>30.012303382258686</v>
      </c>
      <c r="AD76" s="246">
        <f t="shared" si="40"/>
        <v>29.785958118262457</v>
      </c>
    </row>
    <row r="77" spans="2:30" x14ac:dyDescent="0.3">
      <c r="B77" s="69">
        <f t="shared" si="39"/>
        <v>0.18502728004531765</v>
      </c>
      <c r="C77" s="65" t="s">
        <v>6</v>
      </c>
      <c r="D77" s="3" t="s">
        <v>14</v>
      </c>
      <c r="E77" s="4">
        <v>22.185000000000002</v>
      </c>
      <c r="F77" s="4">
        <f t="shared" si="31"/>
        <v>22.185000000000002</v>
      </c>
      <c r="G77" s="4">
        <v>22.185000000000002</v>
      </c>
      <c r="H77" s="4">
        <f t="shared" si="35"/>
        <v>22.185000000000002</v>
      </c>
      <c r="I77" s="4">
        <v>22.185000000000002</v>
      </c>
      <c r="J77" s="4">
        <f t="shared" si="36"/>
        <v>63.247500000000002</v>
      </c>
      <c r="K77" s="4">
        <v>104.31</v>
      </c>
      <c r="L77" s="4">
        <f t="shared" si="37"/>
        <v>125.86499999999999</v>
      </c>
      <c r="M77" s="4">
        <v>147.41999999999999</v>
      </c>
      <c r="N77" s="47">
        <v>49.95</v>
      </c>
      <c r="O77" s="47">
        <v>49.95</v>
      </c>
      <c r="P77" s="47">
        <v>62.06</v>
      </c>
      <c r="Q77" s="48">
        <v>62.06</v>
      </c>
      <c r="R77" s="228">
        <f t="shared" si="40"/>
        <v>52.85453252822677</v>
      </c>
      <c r="S77" s="228">
        <f t="shared" si="40"/>
        <v>52.45585770208617</v>
      </c>
      <c r="T77" s="228">
        <f t="shared" si="40"/>
        <v>52.060190802046534</v>
      </c>
      <c r="U77" s="228">
        <f t="shared" si="40"/>
        <v>51.667509127865813</v>
      </c>
      <c r="V77" s="228">
        <f t="shared" si="40"/>
        <v>51.277790150656955</v>
      </c>
      <c r="W77" s="228">
        <f t="shared" si="40"/>
        <v>50.891061105970863</v>
      </c>
      <c r="X77" s="228">
        <f t="shared" si="40"/>
        <v>50.507150646686078</v>
      </c>
      <c r="Y77" s="228">
        <f t="shared" si="40"/>
        <v>50.126137458764298</v>
      </c>
      <c r="Z77" s="228">
        <f t="shared" si="40"/>
        <v>49.748145004341282</v>
      </c>
      <c r="AA77" s="228">
        <f t="shared" si="40"/>
        <v>49.372906743719938</v>
      </c>
      <c r="AB77" s="228">
        <f t="shared" si="40"/>
        <v>49.000499541992014</v>
      </c>
      <c r="AC77" s="228">
        <f t="shared" si="40"/>
        <v>48.63090203402021</v>
      </c>
      <c r="AD77" s="246">
        <f t="shared" si="40"/>
        <v>48.26413996917411</v>
      </c>
    </row>
    <row r="78" spans="2:30" x14ac:dyDescent="0.3">
      <c r="B78" s="69">
        <f t="shared" si="39"/>
        <v>2.1883664768492291E-2</v>
      </c>
      <c r="C78" s="65" t="s">
        <v>7</v>
      </c>
      <c r="D78" s="3" t="s">
        <v>14</v>
      </c>
      <c r="E78" s="4">
        <v>76.410000000000011</v>
      </c>
      <c r="F78" s="4">
        <f t="shared" si="31"/>
        <v>76.410000000000011</v>
      </c>
      <c r="G78" s="4">
        <v>76.410000000000011</v>
      </c>
      <c r="H78" s="4">
        <f t="shared" si="35"/>
        <v>76.410000000000011</v>
      </c>
      <c r="I78" s="4">
        <v>76.410000000000011</v>
      </c>
      <c r="J78" s="4">
        <f t="shared" si="36"/>
        <v>147.91500000000002</v>
      </c>
      <c r="K78" s="4">
        <v>219.42000000000002</v>
      </c>
      <c r="L78" s="4">
        <f t="shared" si="37"/>
        <v>177.32249999999999</v>
      </c>
      <c r="M78" s="4">
        <v>135.22499999999999</v>
      </c>
      <c r="N78" s="47">
        <v>102.15</v>
      </c>
      <c r="O78" s="47">
        <v>102.15</v>
      </c>
      <c r="P78" s="47">
        <v>7.34</v>
      </c>
      <c r="Q78" s="48">
        <v>7.34</v>
      </c>
      <c r="R78" s="228">
        <f t="shared" si="40"/>
        <v>6.2512450653751932</v>
      </c>
      <c r="S78" s="228">
        <f t="shared" si="40"/>
        <v>6.2040927414326861</v>
      </c>
      <c r="T78" s="228">
        <f t="shared" si="40"/>
        <v>6.1572961728492031</v>
      </c>
      <c r="U78" s="228">
        <f t="shared" si="40"/>
        <v>6.1108526748072034</v>
      </c>
      <c r="V78" s="228">
        <f t="shared" si="40"/>
        <v>6.0647595827557534</v>
      </c>
      <c r="W78" s="228">
        <f t="shared" si="40"/>
        <v>6.0190201179153426</v>
      </c>
      <c r="X78" s="228">
        <f t="shared" si="40"/>
        <v>5.973614014609665</v>
      </c>
      <c r="Y78" s="228">
        <f t="shared" si="40"/>
        <v>5.9285505792350941</v>
      </c>
      <c r="Z78" s="228">
        <f t="shared" si="40"/>
        <v>5.8838444139842894</v>
      </c>
      <c r="AA78" s="228">
        <f t="shared" si="40"/>
        <v>5.8394639945037765</v>
      </c>
      <c r="AB78" s="228">
        <f t="shared" si="40"/>
        <v>5.7954184118308314</v>
      </c>
      <c r="AC78" s="228">
        <f t="shared" si="40"/>
        <v>5.7517051390542759</v>
      </c>
      <c r="AD78" s="246">
        <f t="shared" si="40"/>
        <v>5.7083272216200118</v>
      </c>
    </row>
    <row r="79" spans="2:30" x14ac:dyDescent="0.3">
      <c r="B79" s="69">
        <f t="shared" si="39"/>
        <v>0.50794549953787904</v>
      </c>
      <c r="C79" s="65" t="s">
        <v>8</v>
      </c>
      <c r="D79" s="3" t="s">
        <v>14</v>
      </c>
      <c r="E79" s="4">
        <v>64.304999999999993</v>
      </c>
      <c r="F79" s="4">
        <f t="shared" si="31"/>
        <v>64.304999999999993</v>
      </c>
      <c r="G79" s="4">
        <v>64.304999999999993</v>
      </c>
      <c r="H79" s="4">
        <f t="shared" si="35"/>
        <v>64.304999999999993</v>
      </c>
      <c r="I79" s="4">
        <v>64.304999999999993</v>
      </c>
      <c r="J79" s="4">
        <f t="shared" si="36"/>
        <v>285.27749999999997</v>
      </c>
      <c r="K79" s="4">
        <v>506.25</v>
      </c>
      <c r="L79" s="4">
        <f t="shared" si="37"/>
        <v>589.18499999999995</v>
      </c>
      <c r="M79" s="4">
        <v>672.11999999999989</v>
      </c>
      <c r="N79" s="47">
        <v>582.98</v>
      </c>
      <c r="O79" s="47">
        <v>582.98</v>
      </c>
      <c r="P79" s="47">
        <v>170.37</v>
      </c>
      <c r="Q79" s="48">
        <v>170.37</v>
      </c>
      <c r="R79" s="228">
        <f t="shared" si="40"/>
        <v>145.09872231443757</v>
      </c>
      <c r="S79" s="228">
        <f t="shared" si="40"/>
        <v>144.0042616291399</v>
      </c>
      <c r="T79" s="228">
        <f t="shared" si="40"/>
        <v>142.91805844255026</v>
      </c>
      <c r="U79" s="228">
        <f t="shared" si="40"/>
        <v>141.84005043690783</v>
      </c>
      <c r="V79" s="228">
        <f t="shared" si="40"/>
        <v>140.77017576486347</v>
      </c>
      <c r="W79" s="228">
        <f t="shared" si="40"/>
        <v>139.70850919471894</v>
      </c>
      <c r="X79" s="228">
        <f t="shared" si="40"/>
        <v>138.65458033638265</v>
      </c>
      <c r="Y79" s="228">
        <f t="shared" si="40"/>
        <v>137.60860520221843</v>
      </c>
      <c r="Z79" s="228">
        <f t="shared" si="40"/>
        <v>136.57092272622663</v>
      </c>
      <c r="AA79" s="228">
        <f t="shared" si="40"/>
        <v>135.54080119122733</v>
      </c>
      <c r="AB79" s="228">
        <f t="shared" si="40"/>
        <v>134.51845161084725</v>
      </c>
      <c r="AC79" s="228">
        <f t="shared" si="40"/>
        <v>133.50381533251732</v>
      </c>
      <c r="AD79" s="246">
        <f t="shared" si="40"/>
        <v>132.49696304460511</v>
      </c>
    </row>
    <row r="80" spans="2:30" ht="24" customHeight="1" x14ac:dyDescent="0.3">
      <c r="B80" s="69">
        <f t="shared" si="39"/>
        <v>1.0077218926090455E-2</v>
      </c>
      <c r="C80" s="65" t="s">
        <v>9</v>
      </c>
      <c r="D80" s="3" t="s">
        <v>14</v>
      </c>
      <c r="E80" s="4">
        <v>17.655000000000001</v>
      </c>
      <c r="F80" s="4">
        <f t="shared" si="31"/>
        <v>17.655000000000001</v>
      </c>
      <c r="G80" s="4">
        <v>17.655000000000001</v>
      </c>
      <c r="H80" s="4">
        <f t="shared" si="35"/>
        <v>17.655000000000001</v>
      </c>
      <c r="I80" s="4">
        <v>17.655000000000001</v>
      </c>
      <c r="J80" s="4">
        <f t="shared" si="36"/>
        <v>32.362499999999997</v>
      </c>
      <c r="K80" s="4">
        <v>47.07</v>
      </c>
      <c r="L80" s="4">
        <f t="shared" si="37"/>
        <v>62.617499999999993</v>
      </c>
      <c r="M80" s="4">
        <v>78.164999999999978</v>
      </c>
      <c r="N80" s="47">
        <v>73.22</v>
      </c>
      <c r="O80" s="47">
        <v>73.22</v>
      </c>
      <c r="P80" s="47">
        <v>3.38</v>
      </c>
      <c r="Q80" s="48">
        <v>3.38</v>
      </c>
      <c r="R80" s="228">
        <f t="shared" si="40"/>
        <v>2.8786387358267236</v>
      </c>
      <c r="S80" s="228">
        <f t="shared" si="40"/>
        <v>2.8569255403327625</v>
      </c>
      <c r="T80" s="228">
        <f t="shared" si="40"/>
        <v>2.8353761667888699</v>
      </c>
      <c r="U80" s="228">
        <f t="shared" si="40"/>
        <v>2.8139893788621726</v>
      </c>
      <c r="V80" s="228">
        <f t="shared" si="40"/>
        <v>2.7927639495523771</v>
      </c>
      <c r="W80" s="228">
        <f t="shared" si="40"/>
        <v>2.771701362200798</v>
      </c>
      <c r="X80" s="228">
        <f t="shared" si="40"/>
        <v>2.7507922846567663</v>
      </c>
      <c r="Y80" s="228">
        <f t="shared" si="40"/>
        <v>2.7300410024270594</v>
      </c>
      <c r="Z80" s="228">
        <f t="shared" si="40"/>
        <v>2.7094542396821386</v>
      </c>
      <c r="AA80" s="228">
        <f t="shared" si="40"/>
        <v>2.6890174797578696</v>
      </c>
      <c r="AB80" s="228">
        <f t="shared" si="40"/>
        <v>2.6687349089902193</v>
      </c>
      <c r="AC80" s="228">
        <f t="shared" si="40"/>
        <v>2.6486053637606881</v>
      </c>
      <c r="AD80" s="246">
        <f t="shared" si="40"/>
        <v>2.6286302464680706</v>
      </c>
    </row>
    <row r="81" spans="2:30" x14ac:dyDescent="0.3">
      <c r="B81" s="69">
        <f t="shared" si="39"/>
        <v>5.9449628812498136E-2</v>
      </c>
      <c r="C81" s="65" t="s">
        <v>10</v>
      </c>
      <c r="D81" s="3" t="s">
        <v>14</v>
      </c>
      <c r="E81" s="4">
        <v>71.250000000000014</v>
      </c>
      <c r="F81" s="4">
        <f t="shared" si="31"/>
        <v>71.250000000000014</v>
      </c>
      <c r="G81" s="4">
        <v>71.250000000000014</v>
      </c>
      <c r="H81" s="4">
        <f t="shared" si="35"/>
        <v>71.250000000000014</v>
      </c>
      <c r="I81" s="4">
        <v>71.250000000000014</v>
      </c>
      <c r="J81" s="4">
        <f t="shared" si="36"/>
        <v>133.34249999999997</v>
      </c>
      <c r="K81" s="4">
        <v>195.43499999999995</v>
      </c>
      <c r="L81" s="4">
        <f t="shared" si="37"/>
        <v>191.65499999999997</v>
      </c>
      <c r="M81" s="4">
        <v>187.87500000000003</v>
      </c>
      <c r="N81" s="47">
        <v>191.3</v>
      </c>
      <c r="O81" s="47">
        <v>191.3</v>
      </c>
      <c r="P81" s="47">
        <v>19.940000000000001</v>
      </c>
      <c r="Q81" s="48">
        <v>19.940000000000001</v>
      </c>
      <c r="R81" s="228">
        <f t="shared" si="40"/>
        <v>16.982265204847597</v>
      </c>
      <c r="S81" s="228">
        <f t="shared" si="40"/>
        <v>16.854170199477899</v>
      </c>
      <c r="T81" s="228">
        <f t="shared" si="40"/>
        <v>16.727041646677538</v>
      </c>
      <c r="U81" s="228">
        <f t="shared" si="40"/>
        <v>16.600872252814121</v>
      </c>
      <c r="V81" s="228">
        <f t="shared" si="40"/>
        <v>16.475654779311952</v>
      </c>
      <c r="W81" s="228">
        <f t="shared" si="40"/>
        <v>16.351397977007075</v>
      </c>
      <c r="X81" s="228">
        <f t="shared" si="40"/>
        <v>16.228046791732524</v>
      </c>
      <c r="Y81" s="228">
        <f t="shared" si="40"/>
        <v>16.105626505442476</v>
      </c>
      <c r="Z81" s="228">
        <f t="shared" si="40"/>
        <v>15.984176786763861</v>
      </c>
      <c r="AA81" s="228">
        <f t="shared" si="40"/>
        <v>15.863611995968027</v>
      </c>
      <c r="AB81" s="228">
        <f t="shared" si="40"/>
        <v>15.743956829960053</v>
      </c>
      <c r="AC81" s="228">
        <f t="shared" si="40"/>
        <v>15.625204424079328</v>
      </c>
      <c r="AD81" s="246">
        <f t="shared" si="40"/>
        <v>15.507363051648916</v>
      </c>
    </row>
    <row r="82" spans="2:30" x14ac:dyDescent="0.3">
      <c r="B82" s="69">
        <f t="shared" si="39"/>
        <v>2.8711129662204467E-2</v>
      </c>
      <c r="C82" s="65" t="s">
        <v>11</v>
      </c>
      <c r="D82" s="3" t="s">
        <v>14</v>
      </c>
      <c r="E82" s="4">
        <v>1.6050000000000002</v>
      </c>
      <c r="F82" s="4">
        <f t="shared" si="31"/>
        <v>1.6050000000000002</v>
      </c>
      <c r="G82" s="4">
        <v>1.6050000000000002</v>
      </c>
      <c r="H82" s="4">
        <f t="shared" si="35"/>
        <v>1.6050000000000002</v>
      </c>
      <c r="I82" s="4">
        <v>1.6050000000000002</v>
      </c>
      <c r="J82" s="4">
        <f t="shared" si="36"/>
        <v>6.7424999999999997</v>
      </c>
      <c r="K82" s="4">
        <v>11.879999999999999</v>
      </c>
      <c r="L82" s="4">
        <f t="shared" si="37"/>
        <v>9.3149999999999995</v>
      </c>
      <c r="M82" s="4">
        <v>6.75</v>
      </c>
      <c r="N82" s="47">
        <v>8.5500000000000007</v>
      </c>
      <c r="O82" s="47">
        <v>8.5500000000000007</v>
      </c>
      <c r="P82" s="47">
        <v>9.6300000000000008</v>
      </c>
      <c r="Q82" s="48">
        <v>9.6300000000000008</v>
      </c>
      <c r="R82" s="228">
        <f t="shared" si="40"/>
        <v>8.2015653923110516</v>
      </c>
      <c r="S82" s="228">
        <f t="shared" si="40"/>
        <v>8.1397020572202692</v>
      </c>
      <c r="T82" s="228">
        <f t="shared" si="40"/>
        <v>8.0783054692830838</v>
      </c>
      <c r="U82" s="228">
        <f t="shared" si="40"/>
        <v>8.0173721060481444</v>
      </c>
      <c r="V82" s="228">
        <f t="shared" si="40"/>
        <v>7.956898471653667</v>
      </c>
      <c r="W82" s="228">
        <f t="shared" si="40"/>
        <v>7.8968887923058242</v>
      </c>
      <c r="X82" s="228">
        <f t="shared" si="40"/>
        <v>7.8373164796581847</v>
      </c>
      <c r="Y82" s="228">
        <f t="shared" si="40"/>
        <v>7.7781937436013573</v>
      </c>
      <c r="Z82" s="228">
        <f t="shared" si="40"/>
        <v>7.7195397420529579</v>
      </c>
      <c r="AA82" s="228">
        <f t="shared" si="40"/>
        <v>7.6613131154048189</v>
      </c>
      <c r="AB82" s="228">
        <f t="shared" si="40"/>
        <v>7.6035257909987619</v>
      </c>
      <c r="AC82" s="228">
        <f t="shared" si="40"/>
        <v>7.5461744535548609</v>
      </c>
      <c r="AD82" s="246">
        <f t="shared" si="40"/>
        <v>7.4892630986649484</v>
      </c>
    </row>
    <row r="83" spans="2:30" x14ac:dyDescent="0.3">
      <c r="B83" s="69">
        <f t="shared" si="39"/>
        <v>3.0857756179004797E-2</v>
      </c>
      <c r="C83" s="65" t="s">
        <v>12</v>
      </c>
      <c r="D83" s="3" t="s">
        <v>14</v>
      </c>
      <c r="E83" s="4">
        <v>34.950000000000003</v>
      </c>
      <c r="F83" s="4">
        <f t="shared" si="31"/>
        <v>34.950000000000003</v>
      </c>
      <c r="G83" s="4">
        <v>34.950000000000003</v>
      </c>
      <c r="H83" s="4">
        <f t="shared" si="35"/>
        <v>34.950000000000003</v>
      </c>
      <c r="I83" s="4">
        <v>34.950000000000003</v>
      </c>
      <c r="J83" s="4">
        <f t="shared" si="36"/>
        <v>105.4725</v>
      </c>
      <c r="K83" s="4">
        <v>175.995</v>
      </c>
      <c r="L83" s="4">
        <f t="shared" si="37"/>
        <v>180.22750000000002</v>
      </c>
      <c r="M83" s="4">
        <v>184.46</v>
      </c>
      <c r="N83" s="47">
        <v>7.38</v>
      </c>
      <c r="O83" s="47">
        <v>7.38</v>
      </c>
      <c r="P83" s="47">
        <v>10.35</v>
      </c>
      <c r="Q83" s="48">
        <v>10.35</v>
      </c>
      <c r="R83" s="228">
        <f t="shared" si="40"/>
        <v>8.8147665431380453</v>
      </c>
      <c r="S83" s="228">
        <f t="shared" si="40"/>
        <v>8.7482779119657081</v>
      </c>
      <c r="T83" s="228">
        <f t="shared" si="40"/>
        <v>8.6822909249304168</v>
      </c>
      <c r="U83" s="228">
        <f t="shared" si="40"/>
        <v>8.616801796219967</v>
      </c>
      <c r="V83" s="228">
        <f t="shared" si="40"/>
        <v>8.5518067685997341</v>
      </c>
      <c r="W83" s="228">
        <f t="shared" si="40"/>
        <v>8.4873103842539219</v>
      </c>
      <c r="X83" s="228">
        <f t="shared" si="40"/>
        <v>8.4232840669223474</v>
      </c>
      <c r="Y83" s="228">
        <f t="shared" si="40"/>
        <v>8.3597409393846362</v>
      </c>
      <c r="Z83" s="228">
        <f t="shared" si="40"/>
        <v>8.2967015919260749</v>
      </c>
      <c r="AA83" s="228">
        <f t="shared" si="40"/>
        <v>8.2341215726313468</v>
      </c>
      <c r="AB83" s="228">
        <f t="shared" si="40"/>
        <v>8.1720137006061453</v>
      </c>
      <c r="AC83" s="228">
        <f t="shared" si="40"/>
        <v>8.1103744126991497</v>
      </c>
      <c r="AD83" s="246">
        <f t="shared" si="40"/>
        <v>8.0492080032380287</v>
      </c>
    </row>
    <row r="84" spans="2:30" x14ac:dyDescent="0.3">
      <c r="B84" s="70"/>
      <c r="C84" s="65" t="s">
        <v>3</v>
      </c>
      <c r="D84" s="3" t="s">
        <v>14</v>
      </c>
      <c r="E84" s="4">
        <v>3381.8250000000003</v>
      </c>
      <c r="F84" s="4">
        <f t="shared" si="31"/>
        <v>3381.8250000000003</v>
      </c>
      <c r="G84" s="4">
        <v>3381.8250000000003</v>
      </c>
      <c r="H84" s="4">
        <f t="shared" si="35"/>
        <v>3381.8250000000003</v>
      </c>
      <c r="I84" s="4">
        <v>3381.8250000000003</v>
      </c>
      <c r="J84" s="4">
        <f t="shared" si="36"/>
        <v>2758.6950000000002</v>
      </c>
      <c r="K84" s="4">
        <v>2135.5650000000001</v>
      </c>
      <c r="L84" s="4">
        <f t="shared" si="37"/>
        <v>3725.7825000000003</v>
      </c>
      <c r="M84" s="4">
        <v>5316</v>
      </c>
      <c r="N84" s="4">
        <v>196.43</v>
      </c>
      <c r="O84" s="4">
        <v>196.43</v>
      </c>
      <c r="P84" s="4">
        <v>2343.11</v>
      </c>
      <c r="Q84" s="4">
        <v>2343.11</v>
      </c>
      <c r="R84" s="229">
        <v>2343.11</v>
      </c>
      <c r="S84" s="229">
        <v>2343.11</v>
      </c>
      <c r="T84" s="229">
        <v>2343.11</v>
      </c>
      <c r="U84" s="229">
        <v>2343.11</v>
      </c>
      <c r="V84" s="229">
        <v>2343.11</v>
      </c>
      <c r="W84" s="229">
        <v>2343.11</v>
      </c>
      <c r="X84" s="229">
        <v>2343.11</v>
      </c>
      <c r="Y84" s="229">
        <v>2343.11</v>
      </c>
      <c r="Z84" s="229">
        <v>2343.11</v>
      </c>
      <c r="AA84" s="229">
        <v>2343.11</v>
      </c>
      <c r="AB84" s="229">
        <v>2343.11</v>
      </c>
      <c r="AC84" s="229">
        <v>2343.11</v>
      </c>
      <c r="AD84" s="230">
        <v>2343.11</v>
      </c>
    </row>
    <row r="85" spans="2:30" x14ac:dyDescent="0.3">
      <c r="B85" s="6"/>
      <c r="C85" s="65" t="s">
        <v>15</v>
      </c>
      <c r="D85" s="3" t="s">
        <v>14</v>
      </c>
      <c r="E85" s="4">
        <v>1159.8499999999999</v>
      </c>
      <c r="F85" s="4">
        <v>1147.2</v>
      </c>
      <c r="G85" s="4">
        <v>1159.8499999999999</v>
      </c>
      <c r="H85" s="4">
        <v>1147.2</v>
      </c>
      <c r="I85" s="4">
        <v>1159.8499999999999</v>
      </c>
      <c r="J85" s="4">
        <v>1314.71</v>
      </c>
      <c r="K85" s="4">
        <v>2422.5300000000002</v>
      </c>
      <c r="L85" s="4">
        <v>1390.06</v>
      </c>
      <c r="M85" s="4">
        <v>974.48</v>
      </c>
      <c r="N85" s="4">
        <v>464.18</v>
      </c>
      <c r="O85" s="4">
        <v>464.18</v>
      </c>
      <c r="P85" s="4">
        <v>465.71</v>
      </c>
      <c r="Q85" s="4">
        <v>465.71</v>
      </c>
      <c r="R85" s="229">
        <v>465.71</v>
      </c>
      <c r="S85" s="229">
        <v>465.71</v>
      </c>
      <c r="T85" s="229">
        <v>465.71</v>
      </c>
      <c r="U85" s="229">
        <v>465.71</v>
      </c>
      <c r="V85" s="229">
        <v>465.71</v>
      </c>
      <c r="W85" s="229">
        <v>465.71</v>
      </c>
      <c r="X85" s="229">
        <v>465.71</v>
      </c>
      <c r="Y85" s="229">
        <v>465.71</v>
      </c>
      <c r="Z85" s="229">
        <v>465.71</v>
      </c>
      <c r="AA85" s="229">
        <v>465.71</v>
      </c>
      <c r="AB85" s="229">
        <v>465.71</v>
      </c>
      <c r="AC85" s="229">
        <v>465.71</v>
      </c>
      <c r="AD85" s="230">
        <v>465.71</v>
      </c>
    </row>
    <row r="86" spans="2:30" x14ac:dyDescent="0.3">
      <c r="B86" s="5"/>
      <c r="C86" s="66" t="s">
        <v>16</v>
      </c>
      <c r="D86" s="3" t="s">
        <v>14</v>
      </c>
      <c r="E86" s="4">
        <v>1795.99</v>
      </c>
      <c r="F86" s="4">
        <f>+(E86+G86)/2</f>
        <v>1795.99</v>
      </c>
      <c r="G86" s="4">
        <v>1795.99</v>
      </c>
      <c r="H86" s="4">
        <f>+(G86+I86)/2</f>
        <v>1795.99</v>
      </c>
      <c r="I86" s="4">
        <v>1795.99</v>
      </c>
      <c r="J86" s="4">
        <f>+(I86+K86)/2</f>
        <v>1414.6399999999999</v>
      </c>
      <c r="K86" s="4">
        <v>1033.29</v>
      </c>
      <c r="L86" s="4">
        <f>+(K86+M86)/2</f>
        <v>2623.5</v>
      </c>
      <c r="M86" s="4">
        <v>4213.71</v>
      </c>
      <c r="N86" s="47">
        <v>26.96</v>
      </c>
      <c r="O86" s="47">
        <v>26.96</v>
      </c>
      <c r="P86" s="4">
        <v>341.55</v>
      </c>
      <c r="Q86" s="9">
        <v>341.55</v>
      </c>
      <c r="R86" s="229">
        <v>341.55</v>
      </c>
      <c r="S86" s="229">
        <v>341.55</v>
      </c>
      <c r="T86" s="229">
        <v>341.55</v>
      </c>
      <c r="U86" s="229">
        <v>341.55</v>
      </c>
      <c r="V86" s="229">
        <v>341.55</v>
      </c>
      <c r="W86" s="229">
        <v>341.55</v>
      </c>
      <c r="X86" s="229">
        <v>341.55</v>
      </c>
      <c r="Y86" s="229">
        <v>341.55</v>
      </c>
      <c r="Z86" s="229">
        <v>341.55</v>
      </c>
      <c r="AA86" s="229">
        <v>341.55</v>
      </c>
      <c r="AB86" s="229">
        <v>341.55</v>
      </c>
      <c r="AC86" s="229">
        <v>341.55</v>
      </c>
      <c r="AD86" s="230">
        <v>341.55</v>
      </c>
    </row>
    <row r="87" spans="2:30" x14ac:dyDescent="0.3">
      <c r="B87" s="5"/>
      <c r="C87" s="66" t="s">
        <v>13</v>
      </c>
      <c r="D87" s="3" t="s">
        <v>14</v>
      </c>
      <c r="E87" s="4">
        <v>0</v>
      </c>
      <c r="F87" s="4">
        <f t="shared" ref="F87:F88" si="41">+(E87+G87)/2</f>
        <v>0</v>
      </c>
      <c r="G87" s="4">
        <v>0</v>
      </c>
      <c r="H87" s="4">
        <f t="shared" ref="H87:H88" si="42">+(G87+I87)/2</f>
        <v>0</v>
      </c>
      <c r="I87" s="4">
        <v>0</v>
      </c>
      <c r="J87" s="4">
        <f t="shared" ref="J87:J88" si="43">+(I87+K87)/2</f>
        <v>0</v>
      </c>
      <c r="K87" s="4">
        <v>0</v>
      </c>
      <c r="L87" s="4">
        <f t="shared" ref="L87:L88" si="44">+(K87+M87)/2</f>
        <v>0</v>
      </c>
      <c r="M87" s="4">
        <v>0</v>
      </c>
      <c r="N87" s="47">
        <v>0</v>
      </c>
      <c r="O87" s="47">
        <v>0</v>
      </c>
      <c r="P87" s="4">
        <v>0</v>
      </c>
      <c r="Q87" s="9">
        <v>0</v>
      </c>
      <c r="R87" s="229">
        <v>0</v>
      </c>
      <c r="S87" s="229">
        <v>0</v>
      </c>
      <c r="T87" s="229">
        <v>0</v>
      </c>
      <c r="U87" s="229">
        <v>0</v>
      </c>
      <c r="V87" s="229">
        <v>0</v>
      </c>
      <c r="W87" s="229">
        <v>0</v>
      </c>
      <c r="X87" s="229">
        <v>0</v>
      </c>
      <c r="Y87" s="229">
        <v>0</v>
      </c>
      <c r="Z87" s="229">
        <v>0</v>
      </c>
      <c r="AA87" s="229">
        <v>0</v>
      </c>
      <c r="AB87" s="229">
        <v>0</v>
      </c>
      <c r="AC87" s="229">
        <v>0</v>
      </c>
      <c r="AD87" s="230">
        <v>0</v>
      </c>
    </row>
    <row r="88" spans="2:30" ht="15" thickBot="1" x14ac:dyDescent="0.35">
      <c r="B88" s="72"/>
      <c r="C88" s="73" t="s">
        <v>14</v>
      </c>
      <c r="D88" s="50" t="s">
        <v>14</v>
      </c>
      <c r="E88" s="51">
        <v>12896.16</v>
      </c>
      <c r="F88" s="51">
        <f t="shared" si="41"/>
        <v>12896.16</v>
      </c>
      <c r="G88" s="51">
        <v>12896.16</v>
      </c>
      <c r="H88" s="51">
        <f t="shared" si="42"/>
        <v>12896.16</v>
      </c>
      <c r="I88" s="51">
        <v>12896.16</v>
      </c>
      <c r="J88" s="51">
        <f t="shared" si="43"/>
        <v>27577.08</v>
      </c>
      <c r="K88" s="51">
        <v>42258</v>
      </c>
      <c r="L88" s="51">
        <f t="shared" si="44"/>
        <v>42133.4925</v>
      </c>
      <c r="M88" s="51">
        <v>42008.985000000001</v>
      </c>
      <c r="N88" s="52">
        <v>49029.570000000007</v>
      </c>
      <c r="O88" s="52">
        <v>49029.570000000007</v>
      </c>
      <c r="P88" s="51">
        <v>42009.840000000004</v>
      </c>
      <c r="Q88" s="53">
        <v>42009.840000000004</v>
      </c>
      <c r="R88" s="231">
        <v>42009.840000000004</v>
      </c>
      <c r="S88" s="231">
        <v>42009.840000000004</v>
      </c>
      <c r="T88" s="231">
        <v>42009.840000000004</v>
      </c>
      <c r="U88" s="231">
        <v>42009.840000000004</v>
      </c>
      <c r="V88" s="231">
        <v>42009.840000000004</v>
      </c>
      <c r="W88" s="231">
        <v>42009.840000000004</v>
      </c>
      <c r="X88" s="231">
        <v>42009.840000000004</v>
      </c>
      <c r="Y88" s="231">
        <v>42009.840000000004</v>
      </c>
      <c r="Z88" s="231">
        <v>42009.840000000004</v>
      </c>
      <c r="AA88" s="231">
        <v>42009.840000000004</v>
      </c>
      <c r="AB88" s="231">
        <v>42009.840000000004</v>
      </c>
      <c r="AC88" s="231">
        <v>42009.840000000004</v>
      </c>
      <c r="AD88" s="232">
        <v>42009.840000000004</v>
      </c>
    </row>
  </sheetData>
  <pageMargins left="0.7" right="0.7" top="0.75" bottom="0.75" header="0.3" footer="0.3"/>
  <pageSetup orientation="portrait" horizontalDpi="200" verticalDpi="20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4123-71FE-4EC5-A268-493C137C664F}">
  <sheetPr>
    <tabColor rgb="FFFFC000"/>
  </sheetPr>
  <dimension ref="A1:L59"/>
  <sheetViews>
    <sheetView zoomScale="115" zoomScaleNormal="115" workbookViewId="0">
      <pane ySplit="1" topLeftCell="A16" activePane="bottomLeft" state="frozen"/>
      <selection pane="bottomLeft" activeCell="A21" sqref="A21:XFD24"/>
    </sheetView>
  </sheetViews>
  <sheetFormatPr baseColWidth="10" defaultColWidth="11.44140625" defaultRowHeight="14.4" x14ac:dyDescent="0.3"/>
  <cols>
    <col min="1" max="1" width="34.6640625" style="153" customWidth="1"/>
    <col min="2" max="2" width="56.5546875" customWidth="1"/>
    <col min="3" max="3" width="24.33203125" customWidth="1"/>
    <col min="4" max="4" width="25.88671875" customWidth="1"/>
    <col min="5" max="5" width="32.21875" customWidth="1"/>
    <col min="6" max="12" width="19.6640625" customWidth="1"/>
  </cols>
  <sheetData>
    <row r="1" spans="1:12" ht="15" thickBot="1" x14ac:dyDescent="0.35">
      <c r="A1" s="152" t="s">
        <v>28</v>
      </c>
      <c r="B1" s="43" t="s">
        <v>25</v>
      </c>
      <c r="C1" s="43">
        <v>2026</v>
      </c>
      <c r="D1" s="43">
        <v>2027</v>
      </c>
      <c r="E1" s="43">
        <v>2028</v>
      </c>
      <c r="F1" s="43">
        <v>2029</v>
      </c>
      <c r="G1" s="43">
        <v>2030</v>
      </c>
      <c r="H1" s="43">
        <v>2031</v>
      </c>
      <c r="I1" s="43">
        <v>2032</v>
      </c>
      <c r="J1" s="43">
        <v>2033</v>
      </c>
      <c r="K1" s="43">
        <v>2034</v>
      </c>
      <c r="L1" s="44">
        <v>2035</v>
      </c>
    </row>
    <row r="2" spans="1:12" ht="15" thickBot="1" x14ac:dyDescent="0.35"/>
    <row r="3" spans="1:12" ht="45" customHeight="1" thickBot="1" x14ac:dyDescent="0.35">
      <c r="B3" s="147" t="s">
        <v>34</v>
      </c>
      <c r="C3" s="148" t="s">
        <v>68</v>
      </c>
      <c r="D3" s="148" t="s">
        <v>69</v>
      </c>
      <c r="E3" s="149" t="s">
        <v>67</v>
      </c>
    </row>
    <row r="4" spans="1:12" x14ac:dyDescent="0.3">
      <c r="B4" s="85" t="s">
        <v>43</v>
      </c>
      <c r="C4" s="216">
        <f>+SUM(C22:L24)</f>
        <v>6.7758960326512243</v>
      </c>
      <c r="D4" s="216">
        <f>+SUM(C37:L39)</f>
        <v>10.619540000000001</v>
      </c>
      <c r="E4" s="217">
        <f>+C4+D4</f>
        <v>17.395436032651226</v>
      </c>
      <c r="F4" s="180"/>
    </row>
    <row r="5" spans="1:12" ht="15" thickBot="1" x14ac:dyDescent="0.35">
      <c r="B5" s="150" t="s">
        <v>44</v>
      </c>
      <c r="C5" s="218">
        <f>+SUM(C59:E59)</f>
        <v>144.09309455585279</v>
      </c>
      <c r="D5" s="218">
        <f>+SUM(C49:E49)</f>
        <v>337.82999999999981</v>
      </c>
      <c r="E5" s="219">
        <f>+C5+D5</f>
        <v>481.92309455585257</v>
      </c>
      <c r="F5" s="180"/>
    </row>
    <row r="7" spans="1:12" ht="15" thickBot="1" x14ac:dyDescent="0.35"/>
    <row r="8" spans="1:12" x14ac:dyDescent="0.3">
      <c r="B8" s="88" t="s">
        <v>35</v>
      </c>
      <c r="C8" s="27"/>
      <c r="D8" s="27"/>
      <c r="E8" s="27"/>
      <c r="F8" s="27"/>
      <c r="G8" s="27"/>
      <c r="H8" s="27"/>
      <c r="I8" s="27"/>
      <c r="J8" s="27"/>
      <c r="K8" s="27"/>
      <c r="L8" s="28"/>
    </row>
    <row r="9" spans="1:12" ht="15" thickBot="1" x14ac:dyDescent="0.35">
      <c r="B9" s="89" t="s">
        <v>42</v>
      </c>
      <c r="C9" s="45"/>
      <c r="D9" s="45"/>
      <c r="E9" s="45"/>
      <c r="F9" s="45"/>
      <c r="G9" s="45"/>
      <c r="H9" s="45"/>
      <c r="I9" s="45"/>
      <c r="J9" s="45"/>
      <c r="K9" s="45"/>
      <c r="L9" s="90"/>
    </row>
    <row r="10" spans="1:12" x14ac:dyDescent="0.3">
      <c r="B10" s="85" t="s">
        <v>37</v>
      </c>
      <c r="C10" s="20"/>
      <c r="D10" s="20"/>
      <c r="E10" s="20"/>
      <c r="F10" s="20"/>
      <c r="G10" s="20"/>
      <c r="H10" s="20"/>
      <c r="I10" s="20"/>
      <c r="J10" s="20"/>
      <c r="K10" s="20"/>
      <c r="L10" s="21"/>
    </row>
    <row r="11" spans="1:12" ht="28.8" x14ac:dyDescent="0.3">
      <c r="A11" s="153" t="s">
        <v>73</v>
      </c>
      <c r="B11" s="76" t="s">
        <v>38</v>
      </c>
      <c r="C11" s="184">
        <f>+(173*0.48/100)/1000</f>
        <v>8.3039999999999991E-4</v>
      </c>
      <c r="D11" s="184">
        <f>+((173/1000)-(SUM($C11:C11)))*(0.48/100)</f>
        <v>8.2641407999999982E-4</v>
      </c>
      <c r="E11" s="184">
        <f>+((173/1000)-(SUM($C11:D11)))*(0.48/100)</f>
        <v>8.2244729241599986E-4</v>
      </c>
      <c r="F11" s="184">
        <f>+((173/1000)-(SUM($C11:E11)))*(0.48/100)</f>
        <v>8.1849954541240305E-4</v>
      </c>
      <c r="G11" s="184">
        <f>+((173/1000)-(SUM($C11:F11)))*(0.48/100)</f>
        <v>8.1457074759442346E-4</v>
      </c>
      <c r="H11" s="184">
        <f>+((173/1000)-(SUM($C11:G11)))*(0.48/100)</f>
        <v>8.1066080800597034E-4</v>
      </c>
      <c r="I11" s="184">
        <f>+((173/1000)-(SUM($C11:H11)))*(0.48/100)</f>
        <v>8.0676963612754174E-4</v>
      </c>
      <c r="J11" s="184">
        <f>+((173/1000)-(SUM($C11:I11)))*(0.48/100)</f>
        <v>8.0289714187412942E-4</v>
      </c>
      <c r="K11" s="184">
        <f>+((173/1000)-(SUM($C11:J11)))*(0.48/100)</f>
        <v>7.9904323559313369E-4</v>
      </c>
      <c r="L11" s="185">
        <f>+((173/1000)-(SUM($C11:K11)))*(0.48/100)</f>
        <v>7.9520782806228652E-4</v>
      </c>
    </row>
    <row r="12" spans="1:12" ht="28.8" x14ac:dyDescent="0.3">
      <c r="A12" s="153" t="s">
        <v>74</v>
      </c>
      <c r="B12" s="76" t="s">
        <v>39</v>
      </c>
      <c r="C12" s="184">
        <f>+(80*0.48/100)/1000</f>
        <v>3.8400000000000001E-4</v>
      </c>
      <c r="D12" s="184">
        <f>+((80/1000)-(SUM($C12:C12)))*(0.48/100)</f>
        <v>3.8215679999999998E-4</v>
      </c>
      <c r="E12" s="184">
        <f>+((80/1000)-(SUM($C12:D12)))*(0.48/100)</f>
        <v>3.8032244735999995E-4</v>
      </c>
      <c r="F12" s="184">
        <f>+((80/1000)-(SUM($C12:E12)))*(0.48/100)</f>
        <v>3.7849689961267198E-4</v>
      </c>
      <c r="G12" s="184">
        <f>+((80/1000)-(SUM($C12:F12)))*(0.48/100)</f>
        <v>3.7668011449453116E-4</v>
      </c>
      <c r="H12" s="184">
        <f>+((80/1000)-(SUM($C12:G12)))*(0.48/100)</f>
        <v>3.7487204994495746E-4</v>
      </c>
      <c r="I12" s="184">
        <f>+((80/1000)-(SUM($C12:H12)))*(0.48/100)</f>
        <v>3.7307266410522162E-4</v>
      </c>
      <c r="J12" s="184">
        <f>+((80/1000)-(SUM($C12:I12)))*(0.48/100)</f>
        <v>3.7128191531751655E-4</v>
      </c>
      <c r="K12" s="184">
        <f>+((80/1000)-(SUM($C12:J12)))*(0.48/100)</f>
        <v>3.6949976212399246E-4</v>
      </c>
      <c r="L12" s="185">
        <f>+((80/1000)-(SUM($C12:K12)))*(0.48/100)</f>
        <v>3.6772616326579728E-4</v>
      </c>
    </row>
    <row r="13" spans="1:12" ht="29.4" thickBot="1" x14ac:dyDescent="0.35">
      <c r="A13" s="153" t="s">
        <v>75</v>
      </c>
      <c r="B13" s="82" t="s">
        <v>38</v>
      </c>
      <c r="C13" s="186">
        <f>+(102*0.48/100)/1000</f>
        <v>4.8960000000000008E-4</v>
      </c>
      <c r="D13" s="186">
        <f>+((102/1000)-(SUM($C13:C13)))*(0.48/100)</f>
        <v>4.8724991999999988E-4</v>
      </c>
      <c r="E13" s="186">
        <f>+((102/1000)-(SUM($C13:D13)))*(0.48/100)</f>
        <v>4.8491112038399995E-4</v>
      </c>
      <c r="F13" s="186">
        <f>+((102/1000)-(SUM($C13:E13)))*(0.48/100)</f>
        <v>4.8258354700615676E-4</v>
      </c>
      <c r="G13" s="186">
        <f>+((102/1000)-(SUM($C13:F13)))*(0.48/100)</f>
        <v>4.8026714598052719E-4</v>
      </c>
      <c r="H13" s="186">
        <f>+((102/1000)-(SUM($C13:G13)))*(0.48/100)</f>
        <v>4.779618636798207E-4</v>
      </c>
      <c r="I13" s="186">
        <f>+((102/1000)-(SUM($C13:H13)))*(0.48/100)</f>
        <v>4.7566764673415753E-4</v>
      </c>
      <c r="J13" s="186">
        <f>+((102/1000)-(SUM($C13:I13)))*(0.48/100)</f>
        <v>4.7338444202983356E-4</v>
      </c>
      <c r="K13" s="186">
        <f>+((102/1000)-(SUM($C13:J13)))*(0.48/100)</f>
        <v>4.7111219670809034E-4</v>
      </c>
      <c r="L13" s="187">
        <f>+((102/1000)-(SUM($C13:K13)))*(0.48/100)</f>
        <v>4.688508581638915E-4</v>
      </c>
    </row>
    <row r="14" spans="1:12" x14ac:dyDescent="0.3">
      <c r="B14" s="76" t="s">
        <v>71</v>
      </c>
      <c r="C14" s="134">
        <f>C11/(173/1000)</f>
        <v>4.7999999999999996E-3</v>
      </c>
      <c r="D14" s="134">
        <f>D11/((173/1000)-SUM($C11:C11))</f>
        <v>4.7999999999999996E-3</v>
      </c>
      <c r="E14" s="134">
        <f>E11/((173/1000)-SUM($C11:D11))</f>
        <v>4.7999999999999996E-3</v>
      </c>
      <c r="F14" s="134">
        <f>F11/((173/1000)-SUM($C11:E11))</f>
        <v>4.7999999999999996E-3</v>
      </c>
      <c r="G14" s="134">
        <f>G11/((173/1000)-SUM($C11:F11))</f>
        <v>4.7999999999999996E-3</v>
      </c>
      <c r="H14" s="134">
        <f>H11/((173/1000)-SUM($C11:G11))</f>
        <v>4.7999999999999996E-3</v>
      </c>
      <c r="I14" s="134">
        <f>I11/((173/1000)-SUM($C11:H11))</f>
        <v>4.7999999999999996E-3</v>
      </c>
      <c r="J14" s="134">
        <f>J11/((173/1000)-SUM($C11:I11))</f>
        <v>4.7999999999999996E-3</v>
      </c>
      <c r="K14" s="134">
        <f>K11/((173/1000)-SUM($C11:J11))</f>
        <v>4.7999999999999996E-3</v>
      </c>
      <c r="L14" s="135">
        <f>L11/((173/1000)-SUM($C11:K11))</f>
        <v>4.7999999999999996E-3</v>
      </c>
    </row>
    <row r="15" spans="1:12" ht="23.4" customHeight="1" x14ac:dyDescent="0.3">
      <c r="B15" s="76" t="s">
        <v>72</v>
      </c>
      <c r="C15" s="134">
        <f>C12/(80/1000)</f>
        <v>4.8000000000000004E-3</v>
      </c>
      <c r="D15" s="134">
        <f>D12/((80/1000)-SUM($C12:C12))</f>
        <v>4.7999999999999996E-3</v>
      </c>
      <c r="E15" s="134">
        <f>E12/((80/1000)-SUM($C12:D12))</f>
        <v>4.7999999999999996E-3</v>
      </c>
      <c r="F15" s="134">
        <f>F12/((80/1000)-SUM($C12:E12))</f>
        <v>4.7999999999999996E-3</v>
      </c>
      <c r="G15" s="134">
        <f>G12/((80/1000)-SUM($C12:F12))</f>
        <v>4.7999999999999996E-3</v>
      </c>
      <c r="H15" s="134">
        <f>H12/((80/1000)-SUM($C12:G12))</f>
        <v>4.7999999999999996E-3</v>
      </c>
      <c r="I15" s="134">
        <f>I12/((80/1000)-SUM($C12:H12))</f>
        <v>4.7999999999999996E-3</v>
      </c>
      <c r="J15" s="134">
        <f>J12/((80/1000)-SUM($C12:I12))</f>
        <v>4.7999999999999996E-3</v>
      </c>
      <c r="K15" s="134">
        <f>K12/((80/1000)-SUM($C12:J12))</f>
        <v>4.7999999999999996E-3</v>
      </c>
      <c r="L15" s="135">
        <f>L12/((80/1000)-SUM($C12:K12))</f>
        <v>4.7999999999999996E-3</v>
      </c>
    </row>
    <row r="16" spans="1:12" ht="31.2" customHeight="1" thickBot="1" x14ac:dyDescent="0.35">
      <c r="B16" s="76" t="s">
        <v>71</v>
      </c>
      <c r="C16" s="134">
        <f>C13/(102/1000)</f>
        <v>4.8000000000000013E-3</v>
      </c>
      <c r="D16" s="134">
        <f>D13/((102/1000)-SUM($C13:C13))</f>
        <v>4.7999999999999996E-3</v>
      </c>
      <c r="E16" s="134">
        <f>E13/((102/1000)-SUM($C13:D13))</f>
        <v>4.7999999999999996E-3</v>
      </c>
      <c r="F16" s="134">
        <f>F13/((102/1000)-SUM($C13:E13))</f>
        <v>4.7999999999999996E-3</v>
      </c>
      <c r="G16" s="134">
        <f>G13/((102/1000)-SUM($C13:F13))</f>
        <v>4.7999999999999996E-3</v>
      </c>
      <c r="H16" s="134">
        <f>H13/((102/1000)-SUM($C13:G13))</f>
        <v>4.7999999999999996E-3</v>
      </c>
      <c r="I16" s="134">
        <f>I13/((102/1000)-SUM($C13:H13))</f>
        <v>4.7999999999999996E-3</v>
      </c>
      <c r="J16" s="134">
        <f>J13/((102/1000)-SUM($C13:I13))</f>
        <v>4.7999999999999996E-3</v>
      </c>
      <c r="K16" s="134">
        <f>K13/((102/1000)-SUM($C13:J13))</f>
        <v>4.7999999999999996E-3</v>
      </c>
      <c r="L16" s="135">
        <f>L13/((102/1000)-SUM($C13:K13))</f>
        <v>4.7999999999999996E-3</v>
      </c>
    </row>
    <row r="17" spans="1:12" x14ac:dyDescent="0.3">
      <c r="A17" s="319" t="s">
        <v>64</v>
      </c>
      <c r="B17" s="129" t="s">
        <v>40</v>
      </c>
      <c r="C17" s="130"/>
      <c r="D17" s="130"/>
      <c r="E17" s="130"/>
      <c r="F17" s="130"/>
      <c r="G17" s="130"/>
      <c r="H17" s="130"/>
      <c r="I17" s="130"/>
      <c r="J17" s="130"/>
      <c r="K17" s="130"/>
      <c r="L17" s="131"/>
    </row>
    <row r="18" spans="1:12" x14ac:dyDescent="0.3">
      <c r="A18" s="319"/>
      <c r="B18" s="132" t="s">
        <v>38</v>
      </c>
      <c r="C18" s="125">
        <v>392.13</v>
      </c>
      <c r="D18" s="125">
        <v>392.13</v>
      </c>
      <c r="E18" s="125">
        <v>392.13</v>
      </c>
      <c r="F18" s="125">
        <v>392.13</v>
      </c>
      <c r="G18" s="125">
        <v>392.13</v>
      </c>
      <c r="H18" s="125">
        <v>392.13</v>
      </c>
      <c r="I18" s="125">
        <v>392.13</v>
      </c>
      <c r="J18" s="125">
        <v>392.13</v>
      </c>
      <c r="K18" s="125">
        <v>392.13</v>
      </c>
      <c r="L18" s="126">
        <v>392.13</v>
      </c>
    </row>
    <row r="19" spans="1:12" x14ac:dyDescent="0.3">
      <c r="A19" s="319"/>
      <c r="B19" s="132" t="s">
        <v>39</v>
      </c>
      <c r="C19" s="125">
        <v>455.06</v>
      </c>
      <c r="D19" s="125">
        <v>455.06</v>
      </c>
      <c r="E19" s="125">
        <v>455.06</v>
      </c>
      <c r="F19" s="125">
        <v>455.06</v>
      </c>
      <c r="G19" s="125">
        <v>455.06</v>
      </c>
      <c r="H19" s="125">
        <v>455.06</v>
      </c>
      <c r="I19" s="125">
        <v>455.06</v>
      </c>
      <c r="J19" s="125">
        <v>455.06</v>
      </c>
      <c r="K19" s="125">
        <v>455.06</v>
      </c>
      <c r="L19" s="126">
        <v>455.06</v>
      </c>
    </row>
    <row r="20" spans="1:12" ht="15" thickBot="1" x14ac:dyDescent="0.35">
      <c r="A20" s="319"/>
      <c r="B20" s="133" t="s">
        <v>38</v>
      </c>
      <c r="C20" s="127">
        <v>392.13</v>
      </c>
      <c r="D20" s="127">
        <v>392.13</v>
      </c>
      <c r="E20" s="127">
        <v>392.13</v>
      </c>
      <c r="F20" s="127">
        <v>392.13</v>
      </c>
      <c r="G20" s="127">
        <v>392.13</v>
      </c>
      <c r="H20" s="127">
        <v>392.13</v>
      </c>
      <c r="I20" s="127">
        <v>392.13</v>
      </c>
      <c r="J20" s="127">
        <v>392.13</v>
      </c>
      <c r="K20" s="127">
        <v>392.13</v>
      </c>
      <c r="L20" s="128">
        <v>392.13</v>
      </c>
    </row>
    <row r="21" spans="1:12" x14ac:dyDescent="0.3">
      <c r="B21" s="79" t="s">
        <v>41</v>
      </c>
      <c r="C21" s="80"/>
      <c r="D21" s="80"/>
      <c r="E21" s="80"/>
      <c r="F21" s="80"/>
      <c r="G21" s="80"/>
      <c r="H21" s="80"/>
      <c r="I21" s="80"/>
      <c r="J21" s="80"/>
      <c r="K21" s="80"/>
      <c r="L21" s="81"/>
    </row>
    <row r="22" spans="1:12" x14ac:dyDescent="0.3">
      <c r="B22" s="76" t="s">
        <v>38</v>
      </c>
      <c r="C22" s="80">
        <f t="shared" ref="C22:L22" si="0">+C11*C18</f>
        <v>0.32562475199999996</v>
      </c>
      <c r="D22" s="80">
        <f t="shared" si="0"/>
        <v>0.32406175319039993</v>
      </c>
      <c r="E22" s="80">
        <f t="shared" si="0"/>
        <v>0.32250625677508604</v>
      </c>
      <c r="F22" s="80">
        <f t="shared" si="0"/>
        <v>0.32095822674256558</v>
      </c>
      <c r="G22" s="80">
        <f t="shared" si="0"/>
        <v>0.31941762725420125</v>
      </c>
      <c r="H22" s="80">
        <f t="shared" si="0"/>
        <v>0.31788442264338113</v>
      </c>
      <c r="I22" s="80">
        <f t="shared" si="0"/>
        <v>0.31635857741469292</v>
      </c>
      <c r="J22" s="80">
        <f t="shared" si="0"/>
        <v>0.31484005624310235</v>
      </c>
      <c r="K22" s="80">
        <f t="shared" si="0"/>
        <v>0.3133288239731355</v>
      </c>
      <c r="L22" s="81">
        <f t="shared" si="0"/>
        <v>0.31182484561806439</v>
      </c>
    </row>
    <row r="23" spans="1:12" x14ac:dyDescent="0.3">
      <c r="B23" s="76" t="s">
        <v>39</v>
      </c>
      <c r="C23" s="80">
        <f t="shared" ref="C23:L23" si="1">+C12*C19</f>
        <v>0.17474304000000002</v>
      </c>
      <c r="D23" s="80">
        <f t="shared" si="1"/>
        <v>0.17390427340799999</v>
      </c>
      <c r="E23" s="80">
        <f t="shared" si="1"/>
        <v>0.17306953289564159</v>
      </c>
      <c r="F23" s="80">
        <f t="shared" si="1"/>
        <v>0.17223879913774251</v>
      </c>
      <c r="G23" s="80">
        <f t="shared" si="1"/>
        <v>0.17141205290188136</v>
      </c>
      <c r="H23" s="80">
        <f t="shared" si="1"/>
        <v>0.17058927504795235</v>
      </c>
      <c r="I23" s="80">
        <f t="shared" si="1"/>
        <v>0.16977044652772216</v>
      </c>
      <c r="J23" s="80">
        <f t="shared" si="1"/>
        <v>0.16895554838438909</v>
      </c>
      <c r="K23" s="80">
        <f t="shared" si="1"/>
        <v>0.16814456175214401</v>
      </c>
      <c r="L23" s="81">
        <f t="shared" si="1"/>
        <v>0.16733746785573372</v>
      </c>
    </row>
    <row r="24" spans="1:12" ht="15" thickBot="1" x14ac:dyDescent="0.35">
      <c r="B24" s="82" t="s">
        <v>38</v>
      </c>
      <c r="C24" s="83">
        <f t="shared" ref="C24:L24" si="2">+C13*C20</f>
        <v>0.19198684800000004</v>
      </c>
      <c r="D24" s="83">
        <f t="shared" si="2"/>
        <v>0.19106531112959996</v>
      </c>
      <c r="E24" s="83">
        <f t="shared" si="2"/>
        <v>0.19014819763617791</v>
      </c>
      <c r="F24" s="83">
        <f t="shared" si="2"/>
        <v>0.18923548628752423</v>
      </c>
      <c r="G24" s="83">
        <f t="shared" si="2"/>
        <v>0.18832715595334412</v>
      </c>
      <c r="H24" s="83">
        <f t="shared" si="2"/>
        <v>0.18742318560476809</v>
      </c>
      <c r="I24" s="83">
        <f t="shared" si="2"/>
        <v>0.18652355431386519</v>
      </c>
      <c r="J24" s="83">
        <f t="shared" si="2"/>
        <v>0.18562824125315863</v>
      </c>
      <c r="K24" s="83">
        <f t="shared" si="2"/>
        <v>0.18473722569514348</v>
      </c>
      <c r="L24" s="84">
        <f t="shared" si="2"/>
        <v>0.18385048701180676</v>
      </c>
    </row>
    <row r="25" spans="1:12" ht="15" thickBot="1" x14ac:dyDescent="0.35">
      <c r="B25" s="74"/>
      <c r="C25" s="15"/>
      <c r="D25" s="15"/>
      <c r="E25" s="15"/>
      <c r="F25" s="15"/>
      <c r="G25" s="15"/>
      <c r="H25" s="15"/>
      <c r="I25" s="15"/>
      <c r="J25" s="15"/>
      <c r="K25" s="15"/>
      <c r="L25" s="15"/>
    </row>
    <row r="26" spans="1:12" x14ac:dyDescent="0.3">
      <c r="B26" s="88" t="s">
        <v>35</v>
      </c>
      <c r="C26" s="27"/>
      <c r="D26" s="27"/>
      <c r="E26" s="27"/>
      <c r="F26" s="27"/>
      <c r="G26" s="27"/>
      <c r="H26" s="27"/>
      <c r="I26" s="27"/>
      <c r="J26" s="27"/>
      <c r="K26" s="27"/>
      <c r="L26" s="28"/>
    </row>
    <row r="27" spans="1:12" ht="15" thickBot="1" x14ac:dyDescent="0.35">
      <c r="B27" s="89" t="s">
        <v>36</v>
      </c>
      <c r="C27" s="45"/>
      <c r="D27" s="45"/>
      <c r="E27" s="45"/>
      <c r="F27" s="45"/>
      <c r="G27" s="45"/>
      <c r="H27" s="45"/>
      <c r="I27" s="45"/>
      <c r="J27" s="45"/>
      <c r="K27" s="45"/>
      <c r="L27" s="90"/>
    </row>
    <row r="28" spans="1:12" x14ac:dyDescent="0.3">
      <c r="B28" s="145" t="s">
        <v>37</v>
      </c>
      <c r="C28" s="146"/>
      <c r="D28" s="146"/>
      <c r="E28" s="146"/>
      <c r="F28" s="146"/>
      <c r="G28" s="146"/>
      <c r="H28" s="146"/>
      <c r="I28" s="146"/>
      <c r="J28" s="146"/>
      <c r="K28" s="146"/>
      <c r="L28" s="131"/>
    </row>
    <row r="29" spans="1:12" x14ac:dyDescent="0.3">
      <c r="A29" s="153" t="s">
        <v>76</v>
      </c>
      <c r="B29" s="132" t="s">
        <v>38</v>
      </c>
      <c r="C29" s="136">
        <v>1.7299555064644891E-2</v>
      </c>
      <c r="D29" s="136">
        <v>1.7299555064644891E-2</v>
      </c>
      <c r="E29" s="136">
        <v>1.7299555064644891E-2</v>
      </c>
      <c r="F29" s="136">
        <v>1.7299555064644891E-2</v>
      </c>
      <c r="G29" s="136">
        <v>1.7299555064644891E-2</v>
      </c>
      <c r="H29" s="136">
        <v>1.7299555064644891E-2</v>
      </c>
      <c r="I29" s="136">
        <v>1.7299555064644891E-2</v>
      </c>
      <c r="J29" s="136">
        <v>1.7299555064644891E-2</v>
      </c>
      <c r="K29" s="136">
        <v>1.7299555064644891E-2</v>
      </c>
      <c r="L29" s="137">
        <v>1.7299555064644891E-2</v>
      </c>
    </row>
    <row r="30" spans="1:12" x14ac:dyDescent="0.3">
      <c r="B30" s="132" t="s">
        <v>39</v>
      </c>
      <c r="C30" s="136">
        <v>8.0111229713720894E-3</v>
      </c>
      <c r="D30" s="136">
        <v>8.0111229713720894E-3</v>
      </c>
      <c r="E30" s="136">
        <v>8.0111229713720894E-3</v>
      </c>
      <c r="F30" s="136">
        <v>8.0111229713720894E-3</v>
      </c>
      <c r="G30" s="136">
        <v>8.0111229713720894E-3</v>
      </c>
      <c r="H30" s="136">
        <v>8.0111229713720894E-3</v>
      </c>
      <c r="I30" s="136">
        <v>8.0111229713720894E-3</v>
      </c>
      <c r="J30" s="136">
        <v>8.0111229713720894E-3</v>
      </c>
      <c r="K30" s="136">
        <v>8.0111229713720894E-3</v>
      </c>
      <c r="L30" s="137">
        <v>8.0111229713720894E-3</v>
      </c>
    </row>
    <row r="31" spans="1:12" ht="15" thickBot="1" x14ac:dyDescent="0.35">
      <c r="B31" s="133" t="s">
        <v>38</v>
      </c>
      <c r="C31" s="138">
        <v>1.0166942925328768E-2</v>
      </c>
      <c r="D31" s="138">
        <v>1.0166942925328768E-2</v>
      </c>
      <c r="E31" s="138">
        <v>1.0166942925328768E-2</v>
      </c>
      <c r="F31" s="138">
        <v>1.0166942925328768E-2</v>
      </c>
      <c r="G31" s="138">
        <v>1.0166942925328768E-2</v>
      </c>
      <c r="H31" s="138">
        <v>1.0166942925328768E-2</v>
      </c>
      <c r="I31" s="138">
        <v>1.0166942925328768E-2</v>
      </c>
      <c r="J31" s="138">
        <v>1.0166942925328768E-2</v>
      </c>
      <c r="K31" s="138">
        <v>1.0166942925328768E-2</v>
      </c>
      <c r="L31" s="139">
        <v>1.0166942925328768E-2</v>
      </c>
    </row>
    <row r="32" spans="1:12" x14ac:dyDescent="0.3">
      <c r="B32" s="86" t="s">
        <v>40</v>
      </c>
      <c r="C32" s="87"/>
      <c r="D32" s="87"/>
      <c r="E32" s="87"/>
      <c r="F32" s="87"/>
      <c r="G32" s="87"/>
      <c r="H32" s="87"/>
      <c r="I32" s="87"/>
      <c r="J32" s="87"/>
      <c r="K32" s="87"/>
      <c r="L32" s="21"/>
    </row>
    <row r="33" spans="1:12" x14ac:dyDescent="0.3">
      <c r="B33" s="76" t="s">
        <v>38</v>
      </c>
      <c r="C33" s="80">
        <f t="shared" ref="C33:L33" si="3">+C37/C29</f>
        <v>13.8327257033944</v>
      </c>
      <c r="D33" s="80">
        <f t="shared" si="3"/>
        <v>13.832725703394392</v>
      </c>
      <c r="E33" s="80">
        <f t="shared" si="3"/>
        <v>13.832725703394392</v>
      </c>
      <c r="F33" s="80">
        <f t="shared" si="3"/>
        <v>13.832725703394392</v>
      </c>
      <c r="G33" s="80">
        <f t="shared" si="3"/>
        <v>13.832725703394392</v>
      </c>
      <c r="H33" s="80">
        <f t="shared" si="3"/>
        <v>13.832725703394392</v>
      </c>
      <c r="I33" s="80">
        <f t="shared" si="3"/>
        <v>13.832725703394392</v>
      </c>
      <c r="J33" s="80">
        <f t="shared" si="3"/>
        <v>13.832725703394392</v>
      </c>
      <c r="K33" s="80">
        <f t="shared" si="3"/>
        <v>13.832725703394392</v>
      </c>
      <c r="L33" s="81">
        <f t="shared" si="3"/>
        <v>13.832725703394392</v>
      </c>
    </row>
    <row r="34" spans="1:12" x14ac:dyDescent="0.3">
      <c r="B34" s="76" t="s">
        <v>39</v>
      </c>
      <c r="C34" s="80">
        <f t="shared" ref="C34:L34" si="4">+C38/C30</f>
        <v>64.597685224567982</v>
      </c>
      <c r="D34" s="80">
        <f t="shared" si="4"/>
        <v>64.597685224567982</v>
      </c>
      <c r="E34" s="80">
        <f t="shared" si="4"/>
        <v>64.597685224567982</v>
      </c>
      <c r="F34" s="80">
        <f t="shared" si="4"/>
        <v>64.597685224567982</v>
      </c>
      <c r="G34" s="80">
        <f t="shared" si="4"/>
        <v>64.597685224567982</v>
      </c>
      <c r="H34" s="80">
        <f t="shared" si="4"/>
        <v>64.597685224567982</v>
      </c>
      <c r="I34" s="80">
        <f t="shared" si="4"/>
        <v>64.597685224567982</v>
      </c>
      <c r="J34" s="80">
        <f t="shared" si="4"/>
        <v>64.597685224567982</v>
      </c>
      <c r="K34" s="80">
        <f t="shared" si="4"/>
        <v>64.597685224567982</v>
      </c>
      <c r="L34" s="81">
        <f t="shared" si="4"/>
        <v>64.597685224567982</v>
      </c>
    </row>
    <row r="35" spans="1:12" ht="15" thickBot="1" x14ac:dyDescent="0.35">
      <c r="B35" s="82" t="s">
        <v>38</v>
      </c>
      <c r="C35" s="83">
        <f t="shared" ref="C35:L35" si="5">+C39/C31</f>
        <v>30.014331962046715</v>
      </c>
      <c r="D35" s="83">
        <f t="shared" si="5"/>
        <v>30.014331962046715</v>
      </c>
      <c r="E35" s="83">
        <f t="shared" si="5"/>
        <v>30.014331962046715</v>
      </c>
      <c r="F35" s="83">
        <f t="shared" si="5"/>
        <v>30.014331962046715</v>
      </c>
      <c r="G35" s="83">
        <f t="shared" si="5"/>
        <v>30.014331962046715</v>
      </c>
      <c r="H35" s="83">
        <f t="shared" si="5"/>
        <v>30.014331962046715</v>
      </c>
      <c r="I35" s="83">
        <f t="shared" si="5"/>
        <v>30.014331962046715</v>
      </c>
      <c r="J35" s="83">
        <f t="shared" si="5"/>
        <v>30.014331962046715</v>
      </c>
      <c r="K35" s="83">
        <f t="shared" si="5"/>
        <v>30.014331962046715</v>
      </c>
      <c r="L35" s="84">
        <f t="shared" si="5"/>
        <v>30.014331962046715</v>
      </c>
    </row>
    <row r="36" spans="1:12" x14ac:dyDescent="0.3">
      <c r="A36" s="153" t="s">
        <v>76</v>
      </c>
      <c r="B36" s="140" t="s">
        <v>41</v>
      </c>
      <c r="C36" s="125"/>
      <c r="D36" s="125"/>
      <c r="E36" s="125"/>
      <c r="F36" s="125"/>
      <c r="G36" s="125"/>
      <c r="H36" s="125"/>
      <c r="I36" s="125"/>
      <c r="J36" s="125"/>
      <c r="K36" s="125"/>
      <c r="L36" s="126"/>
    </row>
    <row r="37" spans="1:12" x14ac:dyDescent="0.3">
      <c r="B37" s="132" t="s">
        <v>38</v>
      </c>
      <c r="C37" s="125">
        <v>0.23930000000000018</v>
      </c>
      <c r="D37" s="125">
        <v>0.23930000000000001</v>
      </c>
      <c r="E37" s="125">
        <v>0.23930000000000001</v>
      </c>
      <c r="F37" s="125">
        <v>0.23930000000000001</v>
      </c>
      <c r="G37" s="125">
        <v>0.23930000000000001</v>
      </c>
      <c r="H37" s="125">
        <v>0.23930000000000001</v>
      </c>
      <c r="I37" s="125">
        <v>0.23930000000000001</v>
      </c>
      <c r="J37" s="125">
        <v>0.23930000000000001</v>
      </c>
      <c r="K37" s="125">
        <v>0.23930000000000001</v>
      </c>
      <c r="L37" s="126">
        <v>0.23930000000000001</v>
      </c>
    </row>
    <row r="38" spans="1:12" x14ac:dyDescent="0.3">
      <c r="B38" s="132" t="s">
        <v>39</v>
      </c>
      <c r="C38" s="125">
        <v>0.51749999999999996</v>
      </c>
      <c r="D38" s="125">
        <v>0.51749999999999996</v>
      </c>
      <c r="E38" s="125">
        <v>0.51749999999999996</v>
      </c>
      <c r="F38" s="125">
        <v>0.51749999999999996</v>
      </c>
      <c r="G38" s="125">
        <v>0.51749999999999996</v>
      </c>
      <c r="H38" s="125">
        <v>0.51749999999999996</v>
      </c>
      <c r="I38" s="125">
        <v>0.51749999999999996</v>
      </c>
      <c r="J38" s="125">
        <v>0.51749999999999996</v>
      </c>
      <c r="K38" s="125">
        <v>0.51749999999999996</v>
      </c>
      <c r="L38" s="126">
        <v>0.51749999999999996</v>
      </c>
    </row>
    <row r="39" spans="1:12" ht="15" thickBot="1" x14ac:dyDescent="0.35">
      <c r="B39" s="133" t="s">
        <v>38</v>
      </c>
      <c r="C39" s="127">
        <v>0.30515399999999998</v>
      </c>
      <c r="D39" s="127">
        <v>0.30515399999999998</v>
      </c>
      <c r="E39" s="127">
        <v>0.30515399999999998</v>
      </c>
      <c r="F39" s="127">
        <v>0.30515399999999998</v>
      </c>
      <c r="G39" s="127">
        <v>0.30515399999999998</v>
      </c>
      <c r="H39" s="127">
        <v>0.30515399999999998</v>
      </c>
      <c r="I39" s="127">
        <v>0.30515399999999998</v>
      </c>
      <c r="J39" s="127">
        <v>0.30515399999999998</v>
      </c>
      <c r="K39" s="127">
        <v>0.30515399999999998</v>
      </c>
      <c r="L39" s="128">
        <v>0.30515399999999998</v>
      </c>
    </row>
    <row r="40" spans="1:12" x14ac:dyDescent="0.3">
      <c r="B40" s="74"/>
      <c r="C40" s="15"/>
      <c r="D40" s="15"/>
      <c r="E40" s="15"/>
      <c r="F40" s="15"/>
      <c r="G40" s="15"/>
      <c r="H40" s="15"/>
      <c r="I40" s="15"/>
      <c r="J40" s="15"/>
      <c r="K40" s="15"/>
      <c r="L40" s="15"/>
    </row>
    <row r="41" spans="1:12" ht="15" thickBot="1" x14ac:dyDescent="0.35">
      <c r="B41" s="74"/>
      <c r="C41" s="15"/>
      <c r="D41" s="15"/>
      <c r="E41" s="15"/>
      <c r="F41" s="15"/>
      <c r="G41" s="15"/>
      <c r="H41" s="15"/>
      <c r="I41" s="15"/>
      <c r="J41" s="15"/>
      <c r="K41" s="15"/>
      <c r="L41" s="15"/>
    </row>
    <row r="42" spans="1:12" x14ac:dyDescent="0.3">
      <c r="B42" s="88" t="s">
        <v>45</v>
      </c>
      <c r="C42" s="27"/>
      <c r="D42" s="27"/>
      <c r="E42" s="27"/>
      <c r="F42" s="27"/>
      <c r="G42" s="27"/>
      <c r="H42" s="27"/>
      <c r="I42" s="27"/>
      <c r="J42" s="27"/>
      <c r="K42" s="27"/>
      <c r="L42" s="28"/>
    </row>
    <row r="43" spans="1:12" ht="15" thickBot="1" x14ac:dyDescent="0.35">
      <c r="B43" s="89" t="s">
        <v>36</v>
      </c>
      <c r="C43" s="45"/>
      <c r="D43" s="45"/>
      <c r="E43" s="45"/>
      <c r="F43" s="45"/>
      <c r="G43" s="45"/>
      <c r="H43" s="45"/>
      <c r="I43" s="45"/>
      <c r="J43" s="45"/>
      <c r="K43" s="45"/>
      <c r="L43" s="90"/>
    </row>
    <row r="44" spans="1:12" x14ac:dyDescent="0.3">
      <c r="B44" s="145" t="s">
        <v>37</v>
      </c>
      <c r="C44" s="146"/>
      <c r="D44" s="146"/>
      <c r="E44" s="146"/>
      <c r="F44" s="146"/>
      <c r="G44" s="146"/>
      <c r="H44" s="146"/>
      <c r="I44" s="146"/>
      <c r="J44" s="146"/>
      <c r="K44" s="146"/>
      <c r="L44" s="131"/>
    </row>
    <row r="45" spans="1:12" ht="15" thickBot="1" x14ac:dyDescent="0.35">
      <c r="A45" s="153" t="s">
        <v>64</v>
      </c>
      <c r="B45" s="132" t="s">
        <v>46</v>
      </c>
      <c r="C45" s="125">
        <v>5.6660000000000004</v>
      </c>
      <c r="D45" s="125">
        <v>5.6660000000000004</v>
      </c>
      <c r="E45" s="125">
        <v>5.6660000000000004</v>
      </c>
      <c r="F45" s="136"/>
      <c r="G45" s="136"/>
      <c r="H45" s="136"/>
      <c r="I45" s="136"/>
      <c r="J45" s="136"/>
      <c r="K45" s="136"/>
      <c r="L45" s="137"/>
    </row>
    <row r="46" spans="1:12" x14ac:dyDescent="0.3">
      <c r="B46" s="86" t="s">
        <v>40</v>
      </c>
      <c r="C46" s="87"/>
      <c r="D46" s="87"/>
      <c r="E46" s="87"/>
      <c r="F46" s="87"/>
      <c r="G46" s="87"/>
      <c r="H46" s="87"/>
      <c r="I46" s="87"/>
      <c r="J46" s="87"/>
      <c r="K46" s="87"/>
      <c r="L46" s="21"/>
    </row>
    <row r="47" spans="1:12" ht="15" thickBot="1" x14ac:dyDescent="0.35">
      <c r="B47" s="82" t="s">
        <v>46</v>
      </c>
      <c r="C47" s="83">
        <f>+C49/C45</f>
        <v>19.8746911401341</v>
      </c>
      <c r="D47" s="83">
        <f>+D49/D45</f>
        <v>19.874691140134132</v>
      </c>
      <c r="E47" s="83">
        <f>+E49/E45</f>
        <v>19.874691140134132</v>
      </c>
      <c r="F47" s="83"/>
      <c r="G47" s="83"/>
      <c r="H47" s="83"/>
      <c r="I47" s="83"/>
      <c r="J47" s="83"/>
      <c r="K47" s="83"/>
      <c r="L47" s="84"/>
    </row>
    <row r="48" spans="1:12" x14ac:dyDescent="0.3">
      <c r="B48" s="140" t="s">
        <v>41</v>
      </c>
      <c r="C48" s="125"/>
      <c r="D48" s="125"/>
      <c r="E48" s="125"/>
      <c r="F48" s="125"/>
      <c r="G48" s="125"/>
      <c r="H48" s="125"/>
      <c r="I48" s="125"/>
      <c r="J48" s="125"/>
      <c r="K48" s="125"/>
      <c r="L48" s="126"/>
    </row>
    <row r="49" spans="1:12" ht="15" thickBot="1" x14ac:dyDescent="0.35">
      <c r="A49" s="153" t="s">
        <v>64</v>
      </c>
      <c r="B49" s="133" t="s">
        <v>46</v>
      </c>
      <c r="C49" s="127">
        <v>112.60999999999981</v>
      </c>
      <c r="D49" s="127">
        <v>112.61</v>
      </c>
      <c r="E49" s="127">
        <v>112.61</v>
      </c>
      <c r="F49" s="127"/>
      <c r="G49" s="127"/>
      <c r="H49" s="127"/>
      <c r="I49" s="127"/>
      <c r="J49" s="127"/>
      <c r="K49" s="127"/>
      <c r="L49" s="128"/>
    </row>
    <row r="50" spans="1:12" ht="15" thickBot="1" x14ac:dyDescent="0.35"/>
    <row r="51" spans="1:12" x14ac:dyDescent="0.3">
      <c r="B51" s="88" t="s">
        <v>45</v>
      </c>
      <c r="C51" s="27"/>
      <c r="D51" s="27"/>
      <c r="E51" s="27"/>
      <c r="F51" s="27"/>
      <c r="G51" s="27"/>
      <c r="H51" s="27"/>
      <c r="I51" s="27"/>
      <c r="J51" s="27"/>
      <c r="K51" s="27"/>
      <c r="L51" s="28"/>
    </row>
    <row r="52" spans="1:12" ht="15" thickBot="1" x14ac:dyDescent="0.35">
      <c r="B52" s="89" t="s">
        <v>42</v>
      </c>
      <c r="C52" s="45"/>
      <c r="D52" s="45"/>
      <c r="E52" s="45"/>
      <c r="F52" s="45"/>
      <c r="G52" s="45"/>
      <c r="H52" s="45"/>
      <c r="I52" s="45"/>
      <c r="J52" s="45"/>
      <c r="K52" s="45"/>
      <c r="L52" s="90"/>
    </row>
    <row r="53" spans="1:12" x14ac:dyDescent="0.3">
      <c r="B53" s="85" t="s">
        <v>37</v>
      </c>
      <c r="C53" s="20"/>
      <c r="D53" s="20"/>
      <c r="E53" s="20"/>
      <c r="F53" s="20"/>
      <c r="G53" s="20"/>
      <c r="H53" s="20"/>
      <c r="I53" s="20"/>
      <c r="J53" s="20"/>
      <c r="K53" s="20"/>
      <c r="L53" s="21"/>
    </row>
    <row r="54" spans="1:12" ht="15" thickBot="1" x14ac:dyDescent="0.35">
      <c r="B54" s="76" t="s">
        <v>46</v>
      </c>
      <c r="C54" s="80">
        <f>+(17000/1000)*(0.48/100)</f>
        <v>8.1599999999999992E-2</v>
      </c>
      <c r="D54" s="80">
        <f>+((17000/1000)-(SUM($C54:C54)))*(0.48/100)</f>
        <v>8.1208319999999987E-2</v>
      </c>
      <c r="E54" s="80">
        <f>+((17000/1000)-(SUM($C54:D54)))*(0.48/100)</f>
        <v>8.0818520063999991E-2</v>
      </c>
      <c r="F54" s="77"/>
      <c r="G54" s="77"/>
      <c r="H54" s="77"/>
      <c r="I54" s="77"/>
      <c r="J54" s="77"/>
      <c r="K54" s="77"/>
      <c r="L54" s="78"/>
    </row>
    <row r="55" spans="1:12" ht="15" thickBot="1" x14ac:dyDescent="0.35">
      <c r="B55" s="141" t="s">
        <v>70</v>
      </c>
      <c r="C55" s="144">
        <f>C54/(17000/1000)</f>
        <v>4.7999999999999996E-3</v>
      </c>
      <c r="D55" s="144">
        <f>D54/((17000/1000)-SUM($C54:C54))</f>
        <v>4.7999999999999996E-3</v>
      </c>
      <c r="E55" s="144">
        <f>E54/((17000/1000)-SUM($C54:D54))</f>
        <v>4.7999999999999996E-3</v>
      </c>
      <c r="F55" s="142"/>
      <c r="G55" s="142"/>
      <c r="H55" s="142"/>
      <c r="I55" s="142"/>
      <c r="J55" s="142"/>
      <c r="K55" s="142"/>
      <c r="L55" s="143"/>
    </row>
    <row r="56" spans="1:12" x14ac:dyDescent="0.3">
      <c r="A56" s="153" t="s">
        <v>64</v>
      </c>
      <c r="B56" s="129" t="s">
        <v>40</v>
      </c>
      <c r="C56" s="130"/>
      <c r="D56" s="130"/>
      <c r="E56" s="130"/>
      <c r="F56" s="130"/>
      <c r="G56" s="130"/>
      <c r="H56" s="130"/>
      <c r="I56" s="130"/>
      <c r="J56" s="130"/>
      <c r="K56" s="130"/>
      <c r="L56" s="131"/>
    </row>
    <row r="57" spans="1:12" ht="15" thickBot="1" x14ac:dyDescent="0.35">
      <c r="B57" s="133" t="s">
        <v>46</v>
      </c>
      <c r="C57" s="127">
        <v>591.45000000000005</v>
      </c>
      <c r="D57" s="127">
        <v>591.45000000000005</v>
      </c>
      <c r="E57" s="127">
        <v>591.45000000000005</v>
      </c>
      <c r="F57" s="127"/>
      <c r="G57" s="127"/>
      <c r="H57" s="127"/>
      <c r="I57" s="127"/>
      <c r="J57" s="127"/>
      <c r="K57" s="127"/>
      <c r="L57" s="128"/>
    </row>
    <row r="58" spans="1:12" x14ac:dyDescent="0.3">
      <c r="B58" s="79" t="s">
        <v>41</v>
      </c>
      <c r="C58" s="80"/>
      <c r="D58" s="80"/>
      <c r="E58" s="80"/>
      <c r="F58" s="80"/>
      <c r="G58" s="80"/>
      <c r="H58" s="80"/>
      <c r="I58" s="80"/>
      <c r="J58" s="80"/>
      <c r="K58" s="80"/>
      <c r="L58" s="81"/>
    </row>
    <row r="59" spans="1:12" ht="15" thickBot="1" x14ac:dyDescent="0.35">
      <c r="B59" s="82" t="s">
        <v>46</v>
      </c>
      <c r="C59" s="83">
        <f>+C54*C57</f>
        <v>48.262319999999995</v>
      </c>
      <c r="D59" s="83">
        <f>+D54*D57</f>
        <v>48.030660863999998</v>
      </c>
      <c r="E59" s="83">
        <f>+E54*E57</f>
        <v>47.8001136918528</v>
      </c>
      <c r="F59" s="83"/>
      <c r="G59" s="83"/>
      <c r="H59" s="83"/>
      <c r="I59" s="83"/>
      <c r="J59" s="83"/>
      <c r="K59" s="83"/>
      <c r="L59" s="84"/>
    </row>
  </sheetData>
  <mergeCells count="1">
    <mergeCell ref="A17:A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CED08-CBCF-403E-B68D-ED860EEE3A3C}">
  <sheetPr>
    <tabColor rgb="FFFFC000"/>
  </sheetPr>
  <dimension ref="A1:P178"/>
  <sheetViews>
    <sheetView zoomScaleNormal="100" workbookViewId="0">
      <pane ySplit="1" topLeftCell="A158" activePane="bottomLeft" state="frozen"/>
      <selection pane="bottomLeft" activeCell="B187" sqref="B187"/>
    </sheetView>
  </sheetViews>
  <sheetFormatPr baseColWidth="10" defaultColWidth="11.44140625" defaultRowHeight="14.4" x14ac:dyDescent="0.3"/>
  <cols>
    <col min="1" max="1" width="36.33203125" customWidth="1"/>
    <col min="2" max="2" width="56.6640625" customWidth="1"/>
    <col min="3" max="12" width="35" style="14" customWidth="1"/>
    <col min="13" max="13" width="16.109375" customWidth="1"/>
    <col min="15" max="15" width="15.6640625" customWidth="1"/>
    <col min="16" max="16" width="20.88671875" customWidth="1"/>
  </cols>
  <sheetData>
    <row r="1" spans="1:12" ht="15" thickBot="1" x14ac:dyDescent="0.35">
      <c r="A1" s="42" t="s">
        <v>28</v>
      </c>
      <c r="B1" s="43" t="s">
        <v>25</v>
      </c>
      <c r="C1" s="92">
        <v>2026</v>
      </c>
      <c r="D1" s="92">
        <v>2027</v>
      </c>
      <c r="E1" s="92">
        <v>2028</v>
      </c>
      <c r="F1" s="92">
        <v>2029</v>
      </c>
      <c r="G1" s="92">
        <v>2030</v>
      </c>
      <c r="H1" s="92">
        <v>2031</v>
      </c>
      <c r="I1" s="92">
        <v>2032</v>
      </c>
      <c r="J1" s="92">
        <v>2033</v>
      </c>
      <c r="K1" s="92">
        <v>2034</v>
      </c>
      <c r="L1" s="93">
        <v>2035</v>
      </c>
    </row>
    <row r="2" spans="1:12" ht="15" thickBot="1" x14ac:dyDescent="0.35"/>
    <row r="3" spans="1:12" ht="43.8" thickBot="1" x14ac:dyDescent="0.35">
      <c r="B3" s="99" t="s">
        <v>34</v>
      </c>
      <c r="C3" s="170" t="s">
        <v>69</v>
      </c>
      <c r="D3" s="170" t="s">
        <v>68</v>
      </c>
      <c r="E3" s="100" t="s">
        <v>67</v>
      </c>
    </row>
    <row r="4" spans="1:12" x14ac:dyDescent="0.3">
      <c r="B4" s="85" t="s">
        <v>47</v>
      </c>
      <c r="C4" s="198">
        <f>+SUM(C15:F16)</f>
        <v>2.3208824115682463</v>
      </c>
      <c r="D4" s="198">
        <v>0</v>
      </c>
      <c r="E4" s="199">
        <f>+C4+D4</f>
        <v>2.3208824115682463</v>
      </c>
      <c r="F4" s="188"/>
    </row>
    <row r="5" spans="1:12" x14ac:dyDescent="0.3">
      <c r="B5" s="75" t="s">
        <v>48</v>
      </c>
      <c r="C5" s="200">
        <f>+SUM(C26:L26)</f>
        <v>424.90612999999991</v>
      </c>
      <c r="D5" s="200">
        <v>0</v>
      </c>
      <c r="E5" s="201">
        <f>+C5+D5</f>
        <v>424.90612999999991</v>
      </c>
      <c r="F5" s="188"/>
    </row>
    <row r="6" spans="1:12" x14ac:dyDescent="0.3">
      <c r="B6" s="75" t="s">
        <v>49</v>
      </c>
      <c r="C6" s="200">
        <f>+SUM(C46:L51)</f>
        <v>7870.566604481769</v>
      </c>
      <c r="D6" s="200">
        <f>+SUM(C91:L96)</f>
        <v>1145.0687564413863</v>
      </c>
      <c r="E6" s="202">
        <f>+C6+D6</f>
        <v>9015.6353609231555</v>
      </c>
      <c r="F6" s="188"/>
    </row>
    <row r="7" spans="1:12" ht="15" thickBot="1" x14ac:dyDescent="0.35">
      <c r="B7" s="150" t="s">
        <v>50</v>
      </c>
      <c r="C7" s="203">
        <f>+SUM(C168:L175)</f>
        <v>16204.941474161606</v>
      </c>
      <c r="D7" s="203">
        <f>+SUM(C138:L145)</f>
        <v>2773.9218407574267</v>
      </c>
      <c r="E7" s="204">
        <f>+C7+D7</f>
        <v>18978.863314919032</v>
      </c>
      <c r="F7" s="188"/>
    </row>
    <row r="8" spans="1:12" ht="15" thickBot="1" x14ac:dyDescent="0.35"/>
    <row r="9" spans="1:12" x14ac:dyDescent="0.3">
      <c r="B9" s="88" t="s">
        <v>51</v>
      </c>
      <c r="C9" s="27"/>
      <c r="D9" s="27"/>
      <c r="E9" s="27"/>
      <c r="F9" s="27"/>
      <c r="G9" s="27"/>
      <c r="H9" s="27"/>
      <c r="I9" s="27"/>
      <c r="J9" s="27"/>
      <c r="K9" s="27"/>
      <c r="L9" s="28"/>
    </row>
    <row r="10" spans="1:12" ht="15" thickBot="1" x14ac:dyDescent="0.35">
      <c r="B10" s="89" t="s">
        <v>78</v>
      </c>
      <c r="C10" s="45"/>
      <c r="D10" s="45"/>
      <c r="E10" s="45"/>
      <c r="F10" s="45"/>
      <c r="G10" s="45"/>
      <c r="H10" s="45"/>
      <c r="I10" s="45"/>
      <c r="J10" s="45"/>
      <c r="K10" s="45"/>
      <c r="L10" s="90"/>
    </row>
    <row r="11" spans="1:12" x14ac:dyDescent="0.3">
      <c r="A11" t="s">
        <v>64</v>
      </c>
      <c r="B11" s="145" t="s">
        <v>37</v>
      </c>
      <c r="C11" s="146"/>
      <c r="D11" s="146"/>
      <c r="E11" s="146"/>
      <c r="F11" s="146"/>
      <c r="G11" s="146"/>
      <c r="H11" s="146"/>
      <c r="I11" s="146"/>
      <c r="J11" s="146"/>
      <c r="K11" s="146"/>
      <c r="L11" s="131"/>
    </row>
    <row r="12" spans="1:12" ht="15" thickBot="1" x14ac:dyDescent="0.35">
      <c r="B12" s="132" t="s">
        <v>18</v>
      </c>
      <c r="C12" s="125">
        <v>3</v>
      </c>
      <c r="D12" s="125">
        <v>3</v>
      </c>
      <c r="E12" s="125">
        <v>3</v>
      </c>
      <c r="F12" s="136">
        <v>3</v>
      </c>
      <c r="G12" s="136"/>
      <c r="H12" s="136"/>
      <c r="I12" s="136"/>
      <c r="J12" s="136"/>
      <c r="K12" s="136"/>
      <c r="L12" s="137"/>
    </row>
    <row r="13" spans="1:12" x14ac:dyDescent="0.3">
      <c r="B13" s="86" t="s">
        <v>40</v>
      </c>
      <c r="C13" s="87"/>
      <c r="D13" s="87"/>
      <c r="E13" s="87"/>
      <c r="F13" s="87"/>
      <c r="G13" s="87"/>
      <c r="H13" s="87"/>
      <c r="I13" s="87"/>
      <c r="J13" s="87"/>
      <c r="K13" s="87"/>
      <c r="L13" s="21"/>
    </row>
    <row r="14" spans="1:12" ht="15" thickBot="1" x14ac:dyDescent="0.35">
      <c r="B14" s="82" t="s">
        <v>18</v>
      </c>
      <c r="C14" s="83">
        <f>+C16/C12</f>
        <v>0.29939143596081602</v>
      </c>
      <c r="D14" s="83">
        <f>+D16/D12</f>
        <v>0.21825635681543487</v>
      </c>
      <c r="E14" s="83">
        <f>+E16/E12</f>
        <v>0.15328841521193784</v>
      </c>
      <c r="F14" s="83">
        <f>+F16/F12</f>
        <v>0.10269126253455992</v>
      </c>
      <c r="G14" s="83"/>
      <c r="H14" s="83"/>
      <c r="I14" s="83"/>
      <c r="J14" s="83"/>
      <c r="K14" s="83"/>
      <c r="L14" s="84"/>
    </row>
    <row r="15" spans="1:12" x14ac:dyDescent="0.3">
      <c r="A15" t="s">
        <v>64</v>
      </c>
      <c r="B15" s="140" t="s">
        <v>41</v>
      </c>
      <c r="C15" s="125"/>
      <c r="D15" s="125"/>
      <c r="E15" s="125"/>
      <c r="F15" s="125"/>
      <c r="G15" s="125"/>
      <c r="H15" s="125"/>
      <c r="I15" s="125"/>
      <c r="J15" s="125"/>
      <c r="K15" s="125"/>
      <c r="L15" s="126"/>
    </row>
    <row r="16" spans="1:12" ht="15" thickBot="1" x14ac:dyDescent="0.35">
      <c r="B16" s="133" t="s">
        <v>18</v>
      </c>
      <c r="C16" s="127">
        <v>0.89817430788244801</v>
      </c>
      <c r="D16" s="127">
        <v>0.65476907044630461</v>
      </c>
      <c r="E16" s="127">
        <v>0.45986524563581355</v>
      </c>
      <c r="F16" s="127">
        <v>0.30807378760367976</v>
      </c>
      <c r="G16" s="127"/>
      <c r="H16" s="127"/>
      <c r="I16" s="127"/>
      <c r="J16" s="127"/>
      <c r="K16" s="127"/>
      <c r="L16" s="128"/>
    </row>
    <row r="18" spans="1:12" ht="15" thickBot="1" x14ac:dyDescent="0.35"/>
    <row r="19" spans="1:12" x14ac:dyDescent="0.3">
      <c r="B19" s="88" t="s">
        <v>52</v>
      </c>
      <c r="C19" s="27"/>
      <c r="D19" s="27"/>
      <c r="E19" s="27"/>
      <c r="F19" s="27"/>
      <c r="G19" s="27"/>
      <c r="H19" s="27"/>
      <c r="I19" s="27"/>
      <c r="J19" s="27"/>
      <c r="K19" s="27"/>
      <c r="L19" s="28"/>
    </row>
    <row r="20" spans="1:12" ht="15" thickBot="1" x14ac:dyDescent="0.35">
      <c r="B20" s="89" t="s">
        <v>77</v>
      </c>
      <c r="C20" s="45"/>
      <c r="D20" s="45"/>
      <c r="E20" s="45"/>
      <c r="F20" s="45"/>
      <c r="G20" s="45"/>
      <c r="H20" s="45"/>
      <c r="I20" s="45"/>
      <c r="J20" s="45"/>
      <c r="K20" s="45"/>
      <c r="L20" s="90"/>
    </row>
    <row r="21" spans="1:12" x14ac:dyDescent="0.3">
      <c r="A21" t="s">
        <v>64</v>
      </c>
      <c r="B21" s="145" t="s">
        <v>37</v>
      </c>
      <c r="C21" s="146"/>
      <c r="D21" s="146"/>
      <c r="E21" s="146"/>
      <c r="F21" s="146"/>
      <c r="G21" s="146"/>
      <c r="H21" s="146"/>
      <c r="I21" s="146"/>
      <c r="J21" s="146"/>
      <c r="K21" s="146"/>
      <c r="L21" s="131"/>
    </row>
    <row r="22" spans="1:12" ht="15" thickBot="1" x14ac:dyDescent="0.35">
      <c r="B22" s="132" t="s">
        <v>18</v>
      </c>
      <c r="C22" s="125">
        <v>121.81</v>
      </c>
      <c r="D22" s="125">
        <v>121.81</v>
      </c>
      <c r="E22" s="125">
        <v>121.81</v>
      </c>
      <c r="F22" s="136">
        <v>121.81</v>
      </c>
      <c r="G22" s="136">
        <v>121.81</v>
      </c>
      <c r="H22" s="136">
        <v>121.81</v>
      </c>
      <c r="I22" s="136">
        <v>121.81</v>
      </c>
      <c r="J22" s="136">
        <v>121.81</v>
      </c>
      <c r="K22" s="136">
        <v>121.81</v>
      </c>
      <c r="L22" s="137">
        <v>121.81</v>
      </c>
    </row>
    <row r="23" spans="1:12" x14ac:dyDescent="0.3">
      <c r="B23" s="86" t="s">
        <v>40</v>
      </c>
      <c r="C23" s="94"/>
      <c r="D23" s="94"/>
      <c r="E23" s="94"/>
      <c r="F23" s="94"/>
      <c r="G23" s="94"/>
      <c r="H23" s="94"/>
      <c r="I23" s="94"/>
      <c r="J23" s="94"/>
      <c r="K23" s="94"/>
      <c r="L23" s="95"/>
    </row>
    <row r="24" spans="1:12" ht="15" thickBot="1" x14ac:dyDescent="0.35">
      <c r="B24" s="82" t="s">
        <v>18</v>
      </c>
      <c r="C24" s="83">
        <f t="shared" ref="C24:L24" si="0">+C26/C22</f>
        <v>0.34882696822920944</v>
      </c>
      <c r="D24" s="83">
        <f t="shared" si="0"/>
        <v>0.34882696822920944</v>
      </c>
      <c r="E24" s="83">
        <f t="shared" si="0"/>
        <v>0.34882696822920944</v>
      </c>
      <c r="F24" s="83">
        <f t="shared" si="0"/>
        <v>0.34882696822920944</v>
      </c>
      <c r="G24" s="83">
        <f t="shared" si="0"/>
        <v>0.34882696822920944</v>
      </c>
      <c r="H24" s="83">
        <f t="shared" si="0"/>
        <v>0.34882696822920944</v>
      </c>
      <c r="I24" s="83">
        <f t="shared" si="0"/>
        <v>0.34882696822920944</v>
      </c>
      <c r="J24" s="83">
        <f t="shared" si="0"/>
        <v>0.34882696822920944</v>
      </c>
      <c r="K24" s="83">
        <f t="shared" si="0"/>
        <v>0.348826968229209</v>
      </c>
      <c r="L24" s="84">
        <f t="shared" si="0"/>
        <v>0.348826968229209</v>
      </c>
    </row>
    <row r="25" spans="1:12" x14ac:dyDescent="0.3">
      <c r="A25" t="s">
        <v>64</v>
      </c>
      <c r="B25" s="140" t="s">
        <v>41</v>
      </c>
      <c r="C25" s="125"/>
      <c r="D25" s="125"/>
      <c r="E25" s="125"/>
      <c r="F25" s="125"/>
      <c r="G25" s="125"/>
      <c r="H25" s="125"/>
      <c r="I25" s="125"/>
      <c r="J25" s="125"/>
      <c r="K25" s="125"/>
      <c r="L25" s="126"/>
    </row>
    <row r="26" spans="1:12" ht="15" thickBot="1" x14ac:dyDescent="0.35">
      <c r="B26" s="133" t="s">
        <v>18</v>
      </c>
      <c r="C26" s="127">
        <v>42.490613000000003</v>
      </c>
      <c r="D26" s="127">
        <v>42.490613000000003</v>
      </c>
      <c r="E26" s="127">
        <v>42.490613000000003</v>
      </c>
      <c r="F26" s="127">
        <v>42.490613000000003</v>
      </c>
      <c r="G26" s="127">
        <v>42.490613000000003</v>
      </c>
      <c r="H26" s="127">
        <v>42.490613000000003</v>
      </c>
      <c r="I26" s="127">
        <v>42.490613000000003</v>
      </c>
      <c r="J26" s="127">
        <v>42.490613000000003</v>
      </c>
      <c r="K26" s="127">
        <v>42.490612999999946</v>
      </c>
      <c r="L26" s="128">
        <v>42.490612999999946</v>
      </c>
    </row>
    <row r="28" spans="1:12" ht="15" thickBot="1" x14ac:dyDescent="0.35"/>
    <row r="29" spans="1:12" x14ac:dyDescent="0.3">
      <c r="B29" s="88" t="s">
        <v>57</v>
      </c>
      <c r="C29" s="27"/>
      <c r="D29" s="27"/>
      <c r="E29" s="27"/>
      <c r="F29" s="27"/>
      <c r="G29" s="27"/>
      <c r="H29" s="27"/>
      <c r="I29" s="27"/>
      <c r="J29" s="27"/>
      <c r="K29" s="27"/>
      <c r="L29" s="28"/>
    </row>
    <row r="30" spans="1:12" ht="15" thickBot="1" x14ac:dyDescent="0.35">
      <c r="B30" s="168" t="s">
        <v>36</v>
      </c>
      <c r="C30" s="45"/>
      <c r="D30" s="45"/>
      <c r="E30" s="45"/>
      <c r="F30" s="45"/>
      <c r="G30" s="45"/>
      <c r="H30" s="45"/>
      <c r="I30" s="45"/>
      <c r="J30" s="45"/>
      <c r="K30" s="45"/>
      <c r="L30" s="90"/>
    </row>
    <row r="31" spans="1:12" x14ac:dyDescent="0.3">
      <c r="A31" t="s">
        <v>64</v>
      </c>
      <c r="B31" s="145" t="s">
        <v>37</v>
      </c>
      <c r="C31" s="146"/>
      <c r="D31" s="146"/>
      <c r="E31" s="146"/>
      <c r="F31" s="146"/>
      <c r="G31" s="146"/>
      <c r="H31" s="146"/>
      <c r="I31" s="146"/>
      <c r="J31" s="146"/>
      <c r="K31" s="146"/>
      <c r="L31" s="131"/>
    </row>
    <row r="32" spans="1:12" x14ac:dyDescent="0.3">
      <c r="B32" s="163" t="s">
        <v>46</v>
      </c>
      <c r="C32" s="220">
        <v>54.629208942999995</v>
      </c>
      <c r="D32" s="220">
        <v>54.629208942999995</v>
      </c>
      <c r="E32" s="220">
        <v>54.629208942999995</v>
      </c>
      <c r="F32" s="220">
        <v>54.629208942999995</v>
      </c>
      <c r="G32" s="220">
        <v>54.629208942999995</v>
      </c>
      <c r="H32" s="220">
        <v>54.629208942999995</v>
      </c>
      <c r="I32" s="220">
        <v>54.629208942999995</v>
      </c>
      <c r="J32" s="220">
        <v>54.629208942999995</v>
      </c>
      <c r="K32" s="220">
        <v>54.629208942999995</v>
      </c>
      <c r="L32" s="221">
        <v>54.629208942999995</v>
      </c>
    </row>
    <row r="33" spans="1:12" x14ac:dyDescent="0.3">
      <c r="B33" s="163" t="s">
        <v>55</v>
      </c>
      <c r="C33" s="220">
        <v>39.664720974000005</v>
      </c>
      <c r="D33" s="220">
        <v>39.664720974000005</v>
      </c>
      <c r="E33" s="220">
        <v>39.664720974000005</v>
      </c>
      <c r="F33" s="220">
        <v>39.664720974000005</v>
      </c>
      <c r="G33" s="220">
        <v>39.664720974000005</v>
      </c>
      <c r="H33" s="220">
        <v>39.664720974000005</v>
      </c>
      <c r="I33" s="220">
        <v>39.664720974000005</v>
      </c>
      <c r="J33" s="220">
        <v>39.664720974000005</v>
      </c>
      <c r="K33" s="220">
        <v>39.664720974000005</v>
      </c>
      <c r="L33" s="221">
        <v>39.664720974000005</v>
      </c>
    </row>
    <row r="34" spans="1:12" ht="28.8" x14ac:dyDescent="0.3">
      <c r="B34" s="165" t="s">
        <v>53</v>
      </c>
      <c r="C34" s="220">
        <v>0.56811517191300009</v>
      </c>
      <c r="D34" s="220">
        <v>0.56811517191300009</v>
      </c>
      <c r="E34" s="220">
        <v>0.56811517191300009</v>
      </c>
      <c r="F34" s="220">
        <v>0.56811517191300009</v>
      </c>
      <c r="G34" s="220">
        <v>0.56811517191300009</v>
      </c>
      <c r="H34" s="220">
        <v>0.56811517191300009</v>
      </c>
      <c r="I34" s="220">
        <v>0.56811517191300009</v>
      </c>
      <c r="J34" s="220">
        <v>0.56811517191300009</v>
      </c>
      <c r="K34" s="220">
        <v>0.56811517191300009</v>
      </c>
      <c r="L34" s="221">
        <v>0.56811517191300009</v>
      </c>
    </row>
    <row r="35" spans="1:12" ht="28.8" x14ac:dyDescent="0.3">
      <c r="B35" s="132" t="s">
        <v>54</v>
      </c>
      <c r="C35" s="222">
        <v>21.062283634499998</v>
      </c>
      <c r="D35" s="222">
        <v>21.062283634499998</v>
      </c>
      <c r="E35" s="222">
        <v>21.062283634499998</v>
      </c>
      <c r="F35" s="222">
        <v>21.062283634499998</v>
      </c>
      <c r="G35" s="222">
        <v>21.062283634499998</v>
      </c>
      <c r="H35" s="222">
        <v>21.062283634499998</v>
      </c>
      <c r="I35" s="222">
        <v>21.062283634499998</v>
      </c>
      <c r="J35" s="222">
        <v>21.062283634499998</v>
      </c>
      <c r="K35" s="222">
        <v>21.062283634499998</v>
      </c>
      <c r="L35" s="223">
        <v>21.062283634499998</v>
      </c>
    </row>
    <row r="36" spans="1:12" x14ac:dyDescent="0.3">
      <c r="B36" s="132" t="s">
        <v>56</v>
      </c>
      <c r="C36" s="222">
        <v>1.51490843551</v>
      </c>
      <c r="D36" s="222">
        <v>1.51490843551</v>
      </c>
      <c r="E36" s="222">
        <v>1.51490843551</v>
      </c>
      <c r="F36" s="222">
        <v>1.51490843551</v>
      </c>
      <c r="G36" s="222">
        <v>1.51490843551</v>
      </c>
      <c r="H36" s="222">
        <v>1.51490843551</v>
      </c>
      <c r="I36" s="222">
        <v>1.51490843551</v>
      </c>
      <c r="J36" s="222">
        <v>1.51490843551</v>
      </c>
      <c r="K36" s="222">
        <v>1.51490843551</v>
      </c>
      <c r="L36" s="223">
        <v>1.51490843551</v>
      </c>
    </row>
    <row r="37" spans="1:12" ht="29.4" thickBot="1" x14ac:dyDescent="0.35">
      <c r="B37" s="133" t="s">
        <v>53</v>
      </c>
      <c r="C37" s="192">
        <v>2.2016863291899997</v>
      </c>
      <c r="D37" s="192">
        <v>2.2016863291899997</v>
      </c>
      <c r="E37" s="192">
        <v>2.2016863291899997</v>
      </c>
      <c r="F37" s="192">
        <v>2.2016863291899997</v>
      </c>
      <c r="G37" s="192">
        <v>2.2016863291899997</v>
      </c>
      <c r="H37" s="192">
        <v>2.2016863291899997</v>
      </c>
      <c r="I37" s="192">
        <v>2.2016863291899997</v>
      </c>
      <c r="J37" s="192">
        <v>2.2016863291899997</v>
      </c>
      <c r="K37" s="192">
        <v>2.2016863291899997</v>
      </c>
      <c r="L37" s="224">
        <v>2.2016863291899997</v>
      </c>
    </row>
    <row r="38" spans="1:12" x14ac:dyDescent="0.3">
      <c r="B38" s="86" t="s">
        <v>40</v>
      </c>
      <c r="C38" s="87"/>
      <c r="D38" s="87"/>
      <c r="E38" s="87"/>
      <c r="F38" s="87"/>
      <c r="G38" s="87"/>
      <c r="H38" s="87"/>
      <c r="I38" s="87"/>
      <c r="J38" s="87"/>
      <c r="K38" s="87"/>
      <c r="L38" s="21"/>
    </row>
    <row r="39" spans="1:12" x14ac:dyDescent="0.3">
      <c r="B39" s="96" t="s">
        <v>46</v>
      </c>
      <c r="C39" s="80">
        <f t="shared" ref="C39:L39" si="1">+C46/C32</f>
        <v>6.62449333333333</v>
      </c>
      <c r="D39" s="80">
        <f t="shared" si="1"/>
        <v>6.6244933333333318</v>
      </c>
      <c r="E39" s="80">
        <f t="shared" si="1"/>
        <v>6.6244933333333318</v>
      </c>
      <c r="F39" s="80">
        <f t="shared" si="1"/>
        <v>6.6244933333333318</v>
      </c>
      <c r="G39" s="80">
        <f t="shared" si="1"/>
        <v>6.6244933333333318</v>
      </c>
      <c r="H39" s="80">
        <f t="shared" si="1"/>
        <v>6.6244933333333318</v>
      </c>
      <c r="I39" s="80">
        <f t="shared" si="1"/>
        <v>6.6244933333333318</v>
      </c>
      <c r="J39" s="80">
        <f t="shared" si="1"/>
        <v>6.6244933333333318</v>
      </c>
      <c r="K39" s="80">
        <f t="shared" si="1"/>
        <v>6.6244933333333318</v>
      </c>
      <c r="L39" s="98">
        <f t="shared" si="1"/>
        <v>6.6244933333333318</v>
      </c>
    </row>
    <row r="40" spans="1:12" x14ac:dyDescent="0.3">
      <c r="B40" s="96" t="s">
        <v>55</v>
      </c>
      <c r="C40" s="80">
        <f t="shared" ref="C40:L40" si="2">+C47/C33</f>
        <v>6.624493089772062</v>
      </c>
      <c r="D40" s="80">
        <f t="shared" si="2"/>
        <v>6.624493089772062</v>
      </c>
      <c r="E40" s="80">
        <f t="shared" si="2"/>
        <v>6.624493089772062</v>
      </c>
      <c r="F40" s="80">
        <f t="shared" si="2"/>
        <v>6.624493089772062</v>
      </c>
      <c r="G40" s="80">
        <f t="shared" si="2"/>
        <v>6.624493089772062</v>
      </c>
      <c r="H40" s="80">
        <f t="shared" si="2"/>
        <v>6.624493089772062</v>
      </c>
      <c r="I40" s="80">
        <f t="shared" si="2"/>
        <v>6.624493089772062</v>
      </c>
      <c r="J40" s="80">
        <f t="shared" si="2"/>
        <v>6.624493089772062</v>
      </c>
      <c r="K40" s="80">
        <f t="shared" si="2"/>
        <v>6.624493089772062</v>
      </c>
      <c r="L40" s="98">
        <f t="shared" si="2"/>
        <v>6.624493089772062</v>
      </c>
    </row>
    <row r="41" spans="1:12" ht="28.8" x14ac:dyDescent="0.3">
      <c r="B41" s="97" t="s">
        <v>53</v>
      </c>
      <c r="C41" s="80">
        <f t="shared" ref="C41:L41" si="3">+C48/C34</f>
        <v>6.6183763185535867</v>
      </c>
      <c r="D41" s="80">
        <f t="shared" si="3"/>
        <v>6.6183763185535867</v>
      </c>
      <c r="E41" s="80">
        <f t="shared" si="3"/>
        <v>6.6183763185535867</v>
      </c>
      <c r="F41" s="80">
        <f t="shared" si="3"/>
        <v>6.6183763185535867</v>
      </c>
      <c r="G41" s="80">
        <f t="shared" si="3"/>
        <v>6.6183763185535867</v>
      </c>
      <c r="H41" s="80">
        <f t="shared" si="3"/>
        <v>6.6183763185535867</v>
      </c>
      <c r="I41" s="80">
        <f t="shared" si="3"/>
        <v>6.6183763185535867</v>
      </c>
      <c r="J41" s="80">
        <f t="shared" si="3"/>
        <v>6.6183763185535867</v>
      </c>
      <c r="K41" s="80">
        <f t="shared" si="3"/>
        <v>6.6183763185535867</v>
      </c>
      <c r="L41" s="98">
        <f t="shared" si="3"/>
        <v>6.6183763185535867</v>
      </c>
    </row>
    <row r="42" spans="1:12" ht="30.6" customHeight="1" x14ac:dyDescent="0.3">
      <c r="B42" s="76" t="s">
        <v>54</v>
      </c>
      <c r="C42" s="80">
        <f t="shared" ref="C42:L42" si="4">+C49/C35</f>
        <v>6.6246377848340252</v>
      </c>
      <c r="D42" s="80">
        <f t="shared" si="4"/>
        <v>6.6246377848340252</v>
      </c>
      <c r="E42" s="80">
        <f t="shared" si="4"/>
        <v>6.6246377848340252</v>
      </c>
      <c r="F42" s="80">
        <f t="shared" si="4"/>
        <v>6.6246377848340252</v>
      </c>
      <c r="G42" s="80">
        <f t="shared" si="4"/>
        <v>6.6246377848340252</v>
      </c>
      <c r="H42" s="80">
        <f t="shared" si="4"/>
        <v>6.6246377848340252</v>
      </c>
      <c r="I42" s="80">
        <f t="shared" si="4"/>
        <v>6.6246377848340252</v>
      </c>
      <c r="J42" s="80">
        <f t="shared" si="4"/>
        <v>6.6246377848340252</v>
      </c>
      <c r="K42" s="80">
        <f t="shared" si="4"/>
        <v>6.6246377848340252</v>
      </c>
      <c r="L42" s="81">
        <f t="shared" si="4"/>
        <v>6.6246377848340252</v>
      </c>
    </row>
    <row r="43" spans="1:12" ht="22.8" customHeight="1" x14ac:dyDescent="0.3">
      <c r="B43" s="76" t="s">
        <v>56</v>
      </c>
      <c r="C43" s="80">
        <f t="shared" ref="C43:L43" si="5">+C50/C36</f>
        <v>2.9917055669930508</v>
      </c>
      <c r="D43" s="80">
        <f t="shared" si="5"/>
        <v>2.9917055669930508</v>
      </c>
      <c r="E43" s="80">
        <f t="shared" si="5"/>
        <v>2.9917055669930508</v>
      </c>
      <c r="F43" s="80">
        <f t="shared" si="5"/>
        <v>2.9917055669930508</v>
      </c>
      <c r="G43" s="80">
        <f t="shared" si="5"/>
        <v>2.9917055669930508</v>
      </c>
      <c r="H43" s="80">
        <f t="shared" si="5"/>
        <v>2.9917055669930508</v>
      </c>
      <c r="I43" s="80">
        <f t="shared" si="5"/>
        <v>2.9917055669930508</v>
      </c>
      <c r="J43" s="80">
        <f t="shared" si="5"/>
        <v>2.9917055669930508</v>
      </c>
      <c r="K43" s="80">
        <f t="shared" si="5"/>
        <v>2.9917055669930508</v>
      </c>
      <c r="L43" s="81">
        <f t="shared" si="5"/>
        <v>2.9917055669930508</v>
      </c>
    </row>
    <row r="44" spans="1:12" ht="29.4" thickBot="1" x14ac:dyDescent="0.35">
      <c r="B44" s="82" t="s">
        <v>53</v>
      </c>
      <c r="C44" s="83">
        <f t="shared" ref="C44:L44" si="6">+C51/C37</f>
        <v>6.6244677121494515</v>
      </c>
      <c r="D44" s="83">
        <f t="shared" si="6"/>
        <v>6.6244677121494515</v>
      </c>
      <c r="E44" s="83">
        <f t="shared" si="6"/>
        <v>6.6244677121494515</v>
      </c>
      <c r="F44" s="83">
        <f t="shared" si="6"/>
        <v>6.6244677121494515</v>
      </c>
      <c r="G44" s="83">
        <f t="shared" si="6"/>
        <v>6.6244677121494515</v>
      </c>
      <c r="H44" s="83">
        <f t="shared" si="6"/>
        <v>6.6244677121494515</v>
      </c>
      <c r="I44" s="83">
        <f t="shared" si="6"/>
        <v>6.6244677121494515</v>
      </c>
      <c r="J44" s="83">
        <f t="shared" si="6"/>
        <v>6.6244677121494515</v>
      </c>
      <c r="K44" s="83">
        <f t="shared" si="6"/>
        <v>6.6244677121494515</v>
      </c>
      <c r="L44" s="84">
        <f t="shared" si="6"/>
        <v>6.6244677121494515</v>
      </c>
    </row>
    <row r="45" spans="1:12" x14ac:dyDescent="0.3">
      <c r="A45" t="s">
        <v>64</v>
      </c>
      <c r="B45" s="129" t="s">
        <v>41</v>
      </c>
      <c r="C45" s="130"/>
      <c r="D45" s="130"/>
      <c r="E45" s="130"/>
      <c r="F45" s="130"/>
      <c r="G45" s="130"/>
      <c r="H45" s="130"/>
      <c r="I45" s="130"/>
      <c r="J45" s="130"/>
      <c r="K45" s="130"/>
      <c r="L45" s="131"/>
    </row>
    <row r="46" spans="1:12" x14ac:dyDescent="0.3">
      <c r="B46" s="163" t="s">
        <v>46</v>
      </c>
      <c r="C46" s="125">
        <v>361.89083044817698</v>
      </c>
      <c r="D46" s="125">
        <v>361.8908304481771</v>
      </c>
      <c r="E46" s="125">
        <v>361.8908304481771</v>
      </c>
      <c r="F46" s="125">
        <v>361.8908304481771</v>
      </c>
      <c r="G46" s="125">
        <v>361.8908304481771</v>
      </c>
      <c r="H46" s="125">
        <v>361.8908304481771</v>
      </c>
      <c r="I46" s="125">
        <v>361.8908304481771</v>
      </c>
      <c r="J46" s="125">
        <v>361.8908304481771</v>
      </c>
      <c r="K46" s="125">
        <v>361.8908304481771</v>
      </c>
      <c r="L46" s="126">
        <v>361.8908304481771</v>
      </c>
    </row>
    <row r="47" spans="1:12" x14ac:dyDescent="0.3">
      <c r="B47" s="163" t="s">
        <v>55</v>
      </c>
      <c r="C47" s="125">
        <v>262.75867</v>
      </c>
      <c r="D47" s="125">
        <v>262.75867</v>
      </c>
      <c r="E47" s="125">
        <v>262.75867</v>
      </c>
      <c r="F47" s="125">
        <v>262.75867</v>
      </c>
      <c r="G47" s="125">
        <v>262.75867</v>
      </c>
      <c r="H47" s="125">
        <v>262.75867</v>
      </c>
      <c r="I47" s="125">
        <v>262.75867</v>
      </c>
      <c r="J47" s="125">
        <v>262.75867</v>
      </c>
      <c r="K47" s="125">
        <v>262.75867</v>
      </c>
      <c r="L47" s="126">
        <v>262.75867</v>
      </c>
    </row>
    <row r="48" spans="1:12" ht="28.8" x14ac:dyDescent="0.3">
      <c r="B48" s="165" t="s">
        <v>53</v>
      </c>
      <c r="C48" s="125">
        <v>3.76</v>
      </c>
      <c r="D48" s="125">
        <v>3.76</v>
      </c>
      <c r="E48" s="125">
        <v>3.76</v>
      </c>
      <c r="F48" s="125">
        <v>3.76</v>
      </c>
      <c r="G48" s="125">
        <v>3.76</v>
      </c>
      <c r="H48" s="125">
        <v>3.76</v>
      </c>
      <c r="I48" s="125">
        <v>3.76</v>
      </c>
      <c r="J48" s="125">
        <v>3.76</v>
      </c>
      <c r="K48" s="125">
        <v>3.76</v>
      </c>
      <c r="L48" s="126">
        <v>3.76</v>
      </c>
    </row>
    <row r="49" spans="1:13" ht="28.8" x14ac:dyDescent="0.3">
      <c r="B49" s="132" t="s">
        <v>54</v>
      </c>
      <c r="C49" s="125">
        <v>139.53</v>
      </c>
      <c r="D49" s="125">
        <v>139.53</v>
      </c>
      <c r="E49" s="125">
        <v>139.53</v>
      </c>
      <c r="F49" s="125">
        <v>139.53</v>
      </c>
      <c r="G49" s="125">
        <v>139.53</v>
      </c>
      <c r="H49" s="125">
        <v>139.53</v>
      </c>
      <c r="I49" s="125">
        <v>139.53</v>
      </c>
      <c r="J49" s="125">
        <v>139.53</v>
      </c>
      <c r="K49" s="125">
        <v>139.53</v>
      </c>
      <c r="L49" s="126">
        <v>139.53</v>
      </c>
    </row>
    <row r="50" spans="1:13" x14ac:dyDescent="0.3">
      <c r="B50" s="132" t="s">
        <v>56</v>
      </c>
      <c r="C50" s="125">
        <v>4.5321600000000002</v>
      </c>
      <c r="D50" s="125">
        <v>4.5321600000000002</v>
      </c>
      <c r="E50" s="125">
        <v>4.5321600000000002</v>
      </c>
      <c r="F50" s="125">
        <v>4.5321600000000002</v>
      </c>
      <c r="G50" s="125">
        <v>4.5321600000000002</v>
      </c>
      <c r="H50" s="125">
        <v>4.5321600000000002</v>
      </c>
      <c r="I50" s="125">
        <v>4.5321600000000002</v>
      </c>
      <c r="J50" s="125">
        <v>4.5321600000000002</v>
      </c>
      <c r="K50" s="125">
        <v>4.5321600000000002</v>
      </c>
      <c r="L50" s="126">
        <v>4.5321600000000002</v>
      </c>
    </row>
    <row r="51" spans="1:13" ht="29.4" thickBot="1" x14ac:dyDescent="0.35">
      <c r="B51" s="133" t="s">
        <v>53</v>
      </c>
      <c r="C51" s="127">
        <v>14.585000000000001</v>
      </c>
      <c r="D51" s="127">
        <v>14.585000000000001</v>
      </c>
      <c r="E51" s="127">
        <v>14.585000000000001</v>
      </c>
      <c r="F51" s="127">
        <v>14.585000000000001</v>
      </c>
      <c r="G51" s="127">
        <v>14.585000000000001</v>
      </c>
      <c r="H51" s="127">
        <v>14.585000000000001</v>
      </c>
      <c r="I51" s="127">
        <v>14.585000000000001</v>
      </c>
      <c r="J51" s="127">
        <v>14.585000000000001</v>
      </c>
      <c r="K51" s="127">
        <v>14.585000000000001</v>
      </c>
      <c r="L51" s="128">
        <v>14.585000000000001</v>
      </c>
    </row>
    <row r="53" spans="1:13" ht="15" thickBot="1" x14ac:dyDescent="0.35"/>
    <row r="54" spans="1:13" x14ac:dyDescent="0.3">
      <c r="B54" s="88" t="s">
        <v>57</v>
      </c>
      <c r="C54" s="27"/>
      <c r="D54" s="27"/>
      <c r="E54" s="27"/>
      <c r="F54" s="27"/>
      <c r="G54" s="27"/>
      <c r="H54" s="27"/>
      <c r="I54" s="27"/>
      <c r="J54" s="27"/>
      <c r="K54" s="27"/>
      <c r="L54" s="28"/>
    </row>
    <row r="55" spans="1:13" ht="15" thickBot="1" x14ac:dyDescent="0.35">
      <c r="B55" s="89" t="s">
        <v>42</v>
      </c>
      <c r="C55" s="45"/>
      <c r="D55" s="45"/>
      <c r="E55" s="45"/>
      <c r="F55" s="45"/>
      <c r="G55" s="45"/>
      <c r="H55" s="45"/>
      <c r="I55" s="45"/>
      <c r="J55" s="45"/>
      <c r="K55" s="45"/>
      <c r="L55" s="90"/>
    </row>
    <row r="56" spans="1:13" x14ac:dyDescent="0.3">
      <c r="A56" s="320" t="s">
        <v>88</v>
      </c>
      <c r="B56" s="85" t="s">
        <v>86</v>
      </c>
      <c r="C56" s="20"/>
      <c r="D56" s="20"/>
      <c r="E56" s="20"/>
      <c r="F56" s="20"/>
      <c r="G56" s="20"/>
      <c r="H56" s="20"/>
      <c r="I56" s="20"/>
      <c r="J56" s="20"/>
      <c r="K56" s="20"/>
      <c r="L56" s="208"/>
    </row>
    <row r="57" spans="1:13" x14ac:dyDescent="0.3">
      <c r="A57" s="320"/>
      <c r="B57" s="96" t="s">
        <v>46</v>
      </c>
      <c r="C57" s="214">
        <v>0.21</v>
      </c>
      <c r="D57" s="91"/>
      <c r="E57" s="91"/>
      <c r="F57" s="91"/>
      <c r="G57" s="91"/>
      <c r="H57" s="91"/>
      <c r="I57" s="91"/>
      <c r="J57" s="91"/>
      <c r="K57" s="91"/>
      <c r="L57" s="81"/>
    </row>
    <row r="58" spans="1:13" x14ac:dyDescent="0.3">
      <c r="A58" s="320"/>
      <c r="B58" s="96" t="s">
        <v>55</v>
      </c>
      <c r="C58" s="214">
        <v>0.21</v>
      </c>
      <c r="D58" s="91"/>
      <c r="E58" s="91"/>
      <c r="F58" s="91"/>
      <c r="G58" s="91"/>
      <c r="H58" s="91"/>
      <c r="I58" s="91"/>
      <c r="J58" s="91"/>
      <c r="K58" s="91"/>
      <c r="L58" s="81"/>
    </row>
    <row r="59" spans="1:13" ht="28.8" x14ac:dyDescent="0.3">
      <c r="A59" s="320"/>
      <c r="B59" s="97" t="s">
        <v>53</v>
      </c>
      <c r="C59" s="214">
        <v>0.27996313699999997</v>
      </c>
      <c r="D59" s="91">
        <v>0.27982515299999999</v>
      </c>
      <c r="E59" s="91">
        <v>0.27968734699999998</v>
      </c>
      <c r="F59" s="91">
        <v>0.27954972</v>
      </c>
      <c r="G59" s="91">
        <v>0.27941227200000002</v>
      </c>
      <c r="H59" s="91">
        <v>0.27927500199999999</v>
      </c>
      <c r="I59" s="91">
        <v>0.27913791199999999</v>
      </c>
      <c r="J59" s="91">
        <v>0.279001</v>
      </c>
      <c r="K59" s="91">
        <v>0.27886426800000003</v>
      </c>
      <c r="L59" s="81">
        <v>0.27872771600000001</v>
      </c>
      <c r="M59" s="166"/>
    </row>
    <row r="60" spans="1:13" ht="28.8" x14ac:dyDescent="0.3">
      <c r="A60" s="320"/>
      <c r="B60" s="76" t="s">
        <v>54</v>
      </c>
      <c r="C60" s="214">
        <v>0.29470170600000001</v>
      </c>
      <c r="D60" s="91">
        <v>0.29458796300000001</v>
      </c>
      <c r="E60" s="91">
        <v>0.29447430600000002</v>
      </c>
      <c r="F60" s="91">
        <v>0.29436073600000001</v>
      </c>
      <c r="G60" s="91">
        <v>0.29424725200000001</v>
      </c>
      <c r="H60" s="91">
        <v>0.29413385600000003</v>
      </c>
      <c r="I60" s="91">
        <v>0.29402054599999999</v>
      </c>
      <c r="J60" s="91">
        <v>0.293907323</v>
      </c>
      <c r="K60" s="91">
        <v>0.29379418800000001</v>
      </c>
      <c r="L60" s="81">
        <v>0.29368114000000001</v>
      </c>
    </row>
    <row r="61" spans="1:13" x14ac:dyDescent="0.3">
      <c r="A61" s="320"/>
      <c r="B61" s="76" t="s">
        <v>56</v>
      </c>
      <c r="C61" s="215">
        <v>0.211220187</v>
      </c>
      <c r="D61" s="80"/>
      <c r="E61" s="80"/>
      <c r="F61" s="80"/>
      <c r="G61" s="80"/>
      <c r="H61" s="80"/>
      <c r="I61" s="80"/>
      <c r="J61" s="80"/>
      <c r="K61" s="80"/>
      <c r="L61" s="81"/>
    </row>
    <row r="62" spans="1:13" ht="29.4" thickBot="1" x14ac:dyDescent="0.35">
      <c r="A62" s="320"/>
      <c r="B62" s="82" t="s">
        <v>53</v>
      </c>
      <c r="C62" s="205">
        <v>0.32246632200000003</v>
      </c>
      <c r="D62" s="83">
        <v>0.322357897</v>
      </c>
      <c r="E62" s="83">
        <v>0.32224949400000003</v>
      </c>
      <c r="F62" s="83">
        <v>0.32214111499999998</v>
      </c>
      <c r="G62" s="83">
        <v>0.32203275999999997</v>
      </c>
      <c r="H62" s="83">
        <v>0.32192442799999998</v>
      </c>
      <c r="I62" s="83">
        <v>0.32181611900000001</v>
      </c>
      <c r="J62" s="83">
        <v>0.321707835</v>
      </c>
      <c r="K62" s="83">
        <v>0.32159957500000003</v>
      </c>
      <c r="L62" s="84">
        <v>0.32149133899999999</v>
      </c>
    </row>
    <row r="63" spans="1:13" x14ac:dyDescent="0.3">
      <c r="B63" s="85" t="s">
        <v>87</v>
      </c>
      <c r="C63" s="207"/>
      <c r="D63" s="20"/>
      <c r="E63" s="20"/>
      <c r="F63" s="20"/>
      <c r="G63" s="20"/>
      <c r="H63" s="20"/>
      <c r="I63" s="20"/>
      <c r="J63" s="20"/>
      <c r="K63" s="20"/>
      <c r="L63" s="208"/>
    </row>
    <row r="64" spans="1:13" x14ac:dyDescent="0.3">
      <c r="B64" s="96" t="s">
        <v>46</v>
      </c>
      <c r="C64" s="211">
        <v>54629.208942999998</v>
      </c>
      <c r="D64" s="91"/>
      <c r="E64" s="91"/>
      <c r="F64" s="91"/>
      <c r="G64" s="91"/>
      <c r="H64" s="91"/>
      <c r="I64" s="91"/>
      <c r="J64" s="91"/>
      <c r="K64" s="91"/>
      <c r="L64" s="81"/>
    </row>
    <row r="65" spans="2:14" x14ac:dyDescent="0.3">
      <c r="B65" s="96" t="s">
        <v>55</v>
      </c>
      <c r="C65" s="211">
        <v>39664.720974000003</v>
      </c>
      <c r="D65" s="91"/>
      <c r="E65" s="91"/>
      <c r="F65" s="91"/>
      <c r="G65" s="91"/>
      <c r="H65" s="91"/>
      <c r="I65" s="91"/>
      <c r="J65" s="91"/>
      <c r="K65" s="91"/>
      <c r="L65" s="81"/>
    </row>
    <row r="66" spans="2:14" ht="28.8" x14ac:dyDescent="0.3">
      <c r="B66" s="97" t="s">
        <v>53</v>
      </c>
      <c r="C66" s="211">
        <v>568.11517189999995</v>
      </c>
      <c r="D66" s="91">
        <v>566.52465889999996</v>
      </c>
      <c r="E66" s="91">
        <v>564.9393804</v>
      </c>
      <c r="F66" s="91">
        <v>563.35931640000001</v>
      </c>
      <c r="G66" s="91">
        <v>561.784447</v>
      </c>
      <c r="H66" s="91">
        <v>560.21475229999999</v>
      </c>
      <c r="I66" s="91">
        <v>558.65021260000003</v>
      </c>
      <c r="J66" s="91">
        <v>557.09080800000004</v>
      </c>
      <c r="K66" s="91">
        <v>555.53651909999996</v>
      </c>
      <c r="L66" s="98">
        <v>553.98732619999998</v>
      </c>
      <c r="M66" s="166"/>
    </row>
    <row r="67" spans="2:14" ht="28.8" x14ac:dyDescent="0.3">
      <c r="B67" s="76" t="s">
        <v>54</v>
      </c>
      <c r="C67" s="210">
        <v>21062.2836345</v>
      </c>
      <c r="D67" s="80">
        <f>+C67-(C67*C60/100)</f>
        <v>21000.21272530657</v>
      </c>
      <c r="E67" s="80">
        <f>+D67-(D67*D60/100)</f>
        <v>20938.348626413423</v>
      </c>
      <c r="F67" s="80">
        <f>+E67-(E67*E60/100)</f>
        <v>20876.69056960793</v>
      </c>
      <c r="G67" s="80">
        <f t="shared" ref="E67:K69" si="7">+F67-(F67*F60/100)</f>
        <v>20815.23778959479</v>
      </c>
      <c r="H67" s="80">
        <f t="shared" si="7"/>
        <v>20753.989524401641</v>
      </c>
      <c r="I67" s="80">
        <f t="shared" si="7"/>
        <v>20692.945014739682</v>
      </c>
      <c r="J67" s="80">
        <f t="shared" si="7"/>
        <v>20632.103504823863</v>
      </c>
      <c r="K67" s="80">
        <f t="shared" si="7"/>
        <v>20571.464241734247</v>
      </c>
      <c r="L67" s="81">
        <f>+K67-(K67*K60/100)</f>
        <v>20511.026475405535</v>
      </c>
    </row>
    <row r="68" spans="2:14" x14ac:dyDescent="0.3">
      <c r="B68" s="76" t="s">
        <v>56</v>
      </c>
      <c r="C68" s="210">
        <v>1514.9084355099999</v>
      </c>
      <c r="D68" s="80"/>
      <c r="E68" s="80"/>
      <c r="F68" s="80"/>
      <c r="G68" s="80"/>
      <c r="H68" s="80"/>
      <c r="I68" s="80"/>
      <c r="J68" s="80"/>
      <c r="K68" s="80"/>
      <c r="L68" s="81"/>
    </row>
    <row r="69" spans="2:14" ht="29.4" thickBot="1" x14ac:dyDescent="0.35">
      <c r="B69" s="82" t="s">
        <v>53</v>
      </c>
      <c r="C69" s="206">
        <v>2201.6863291999998</v>
      </c>
      <c r="D69" s="83">
        <f>+C69-(C69*C62/100)</f>
        <v>2194.5866322722518</v>
      </c>
      <c r="E69" s="83">
        <f t="shared" si="7"/>
        <v>2187.5122089566157</v>
      </c>
      <c r="F69" s="83">
        <f t="shared" si="7"/>
        <v>2180.4629619320649</v>
      </c>
      <c r="G69" s="83">
        <f t="shared" si="7"/>
        <v>2173.4387942343351</v>
      </c>
      <c r="H69" s="83">
        <f t="shared" si="7"/>
        <v>2166.4396092983516</v>
      </c>
      <c r="I69" s="83">
        <f t="shared" si="7"/>
        <v>2159.4653109781525</v>
      </c>
      <c r="J69" s="83">
        <f t="shared" si="7"/>
        <v>2152.5158035232112</v>
      </c>
      <c r="K69" s="83">
        <f t="shared" si="7"/>
        <v>2145.5909915336638</v>
      </c>
      <c r="L69" s="84">
        <f>+K69-(K69*K62/100)</f>
        <v>2138.6907800236531</v>
      </c>
    </row>
    <row r="70" spans="2:14" x14ac:dyDescent="0.3">
      <c r="B70" s="85" t="s">
        <v>85</v>
      </c>
      <c r="C70" s="20"/>
      <c r="D70" s="20"/>
      <c r="E70" s="20"/>
      <c r="F70" s="20"/>
      <c r="G70" s="20"/>
      <c r="H70" s="20"/>
      <c r="I70" s="20"/>
      <c r="J70" s="20"/>
      <c r="K70" s="20"/>
      <c r="L70" s="208"/>
    </row>
    <row r="71" spans="2:14" x14ac:dyDescent="0.3">
      <c r="B71" s="96" t="s">
        <v>46</v>
      </c>
      <c r="C71" s="91">
        <f>+($C64*$C57/100)/1000</f>
        <v>0.11472133878029998</v>
      </c>
      <c r="D71" s="91">
        <f>+(($C64/1000)-(SUM($C71:C71)))*($C57/100)</f>
        <v>0.11448042396886135</v>
      </c>
      <c r="E71" s="91">
        <f>+(($C64/1000)-(SUM($C71:D71)))*($C57/100)</f>
        <v>0.11424001507852674</v>
      </c>
      <c r="F71" s="91">
        <f>+(($C64/1000)-(SUM($C71:E71)))*($C57/100)</f>
        <v>0.11400011104686185</v>
      </c>
      <c r="G71" s="91">
        <f>+(($C64/1000)-(SUM($C71:F71)))*($C57/100)</f>
        <v>0.11376071081366343</v>
      </c>
      <c r="H71" s="91">
        <f>+(($C64/1000)-(SUM($C71:G71)))*($C57/100)</f>
        <v>0.11352181332095473</v>
      </c>
      <c r="I71" s="91">
        <f>+(($C64/1000)-(SUM($C71:H71)))*($C57/100)</f>
        <v>0.11328341751298072</v>
      </c>
      <c r="J71" s="91">
        <f>+(($C64/1000)-(SUM($C71:I71)))*($C57/100)</f>
        <v>0.11304552233620348</v>
      </c>
      <c r="K71" s="91">
        <f>+(($C64/1000)-(SUM($C71:J71)))*($C57/100)</f>
        <v>0.11280812673929744</v>
      </c>
      <c r="L71" s="98">
        <f>+(($C64/1000)-(SUM($C71:K71)))*($C57/100)</f>
        <v>0.11257122967314492</v>
      </c>
      <c r="M71" s="166"/>
      <c r="N71" s="191"/>
    </row>
    <row r="72" spans="2:14" x14ac:dyDescent="0.3">
      <c r="B72" s="96" t="s">
        <v>55</v>
      </c>
      <c r="C72" s="91">
        <f t="shared" ref="C72:C75" si="8">+($C65*$C58/100)/1000</f>
        <v>8.3295914045400016E-2</v>
      </c>
      <c r="D72" s="91">
        <f>+(($C65/1000)-(SUM($C72:C72)))*($C58/100)</f>
        <v>8.3120992625904666E-2</v>
      </c>
      <c r="E72" s="91">
        <f>+(($C65/1000)-(SUM($C72:D72)))*($C58/100)</f>
        <v>8.2946438541390277E-2</v>
      </c>
      <c r="F72" s="91">
        <f>+(($C65/1000)-(SUM($C72:E72)))*($C58/100)</f>
        <v>8.2772251020453352E-2</v>
      </c>
      <c r="G72" s="91">
        <f>+(($C65/1000)-(SUM($C72:F72)))*($C58/100)</f>
        <v>8.2598429293310391E-2</v>
      </c>
      <c r="H72" s="91">
        <f>+(($C65/1000)-(SUM($C72:G72)))*($C58/100)</f>
        <v>8.2424972591794446E-2</v>
      </c>
      <c r="I72" s="91">
        <f>+(($C65/1000)-(SUM($C72:H72)))*($C58/100)</f>
        <v>8.2251880149351683E-2</v>
      </c>
      <c r="J72" s="91">
        <f>+(($C65/1000)-(SUM($C72:I72)))*($C58/100)</f>
        <v>8.2079151201038036E-2</v>
      </c>
      <c r="K72" s="91">
        <f>+(($C65/1000)-(SUM($C72:J72)))*($C58/100)</f>
        <v>8.1906784983515848E-2</v>
      </c>
      <c r="L72" s="98">
        <f>+(($C65/1000)-(SUM($C72:K72)))*($C58/100)</f>
        <v>8.1734780735050472E-2</v>
      </c>
      <c r="M72" s="166"/>
      <c r="N72" s="190"/>
    </row>
    <row r="73" spans="2:14" ht="28.8" x14ac:dyDescent="0.3">
      <c r="B73" s="97" t="s">
        <v>53</v>
      </c>
      <c r="C73" s="91">
        <f>+($C66*$C59/100)/1000</f>
        <v>1.5905130570241822E-3</v>
      </c>
      <c r="D73" s="91">
        <f>+(D66*D59/100)/1000</f>
        <v>1.5852784935496528E-3</v>
      </c>
      <c r="E73" s="91">
        <f t="shared" ref="E73:L73" si="9">+(E66*E59/100)/1000</f>
        <v>1.580063965198998E-3</v>
      </c>
      <c r="F73" s="91">
        <f t="shared" si="9"/>
        <v>1.5748693915901139E-3</v>
      </c>
      <c r="G73" s="91">
        <f t="shared" si="9"/>
        <v>1.5696946871053359E-3</v>
      </c>
      <c r="H73" s="91">
        <f t="shared" si="9"/>
        <v>1.5645397606901198E-3</v>
      </c>
      <c r="I73" s="91">
        <f t="shared" si="9"/>
        <v>1.559404538835201E-3</v>
      </c>
      <c r="J73" s="91">
        <f t="shared" si="9"/>
        <v>1.5542889252280799E-3</v>
      </c>
      <c r="K73" s="91">
        <f t="shared" si="9"/>
        <v>1.5491928474608951E-3</v>
      </c>
      <c r="L73" s="98">
        <f t="shared" si="9"/>
        <v>1.5441162212467296E-3</v>
      </c>
      <c r="M73" s="167"/>
      <c r="N73" s="197"/>
    </row>
    <row r="74" spans="2:14" ht="28.8" x14ac:dyDescent="0.3">
      <c r="B74" s="76" t="s">
        <v>54</v>
      </c>
      <c r="C74" s="91">
        <f>+($C67*$C60/100)/1000</f>
        <v>6.2070909193430307E-2</v>
      </c>
      <c r="D74" s="91">
        <f>+(D67*D60/100)/1000</f>
        <v>6.1864098893147416E-2</v>
      </c>
      <c r="E74" s="91">
        <f t="shared" ref="E74:L74" si="10">+(E67*E60/100)/1000</f>
        <v>6.1658056805491461E-2</v>
      </c>
      <c r="F74" s="91">
        <f t="shared" si="10"/>
        <v>6.1452780013140494E-2</v>
      </c>
      <c r="G74" s="91">
        <f t="shared" si="10"/>
        <v>6.1248265193148223E-2</v>
      </c>
      <c r="H74" s="91">
        <f t="shared" si="10"/>
        <v>6.104450966195861E-2</v>
      </c>
      <c r="I74" s="91">
        <f t="shared" si="10"/>
        <v>6.0841509915817396E-2</v>
      </c>
      <c r="J74" s="91">
        <f t="shared" si="10"/>
        <v>6.0639263089616986E-2</v>
      </c>
      <c r="K74" s="91">
        <f t="shared" si="10"/>
        <v>6.0437766328713484E-2</v>
      </c>
      <c r="L74" s="98">
        <f t="shared" si="10"/>
        <v>6.0237016378672799E-2</v>
      </c>
      <c r="M74" s="169"/>
      <c r="N74" s="213"/>
    </row>
    <row r="75" spans="2:14" x14ac:dyDescent="0.3">
      <c r="B75" s="76" t="s">
        <v>56</v>
      </c>
      <c r="C75" s="91">
        <f t="shared" si="8"/>
        <v>3.1997924303629965E-3</v>
      </c>
      <c r="D75" s="91">
        <f>+(($C68/1000)-(SUM($C75:C75)))*($C61/100)</f>
        <v>3.193033822807972E-3</v>
      </c>
      <c r="E75" s="91">
        <f>+(($C68/1000)-(SUM($C75:D75)))*($C61/100)</f>
        <v>3.1862894907964639E-3</v>
      </c>
      <c r="F75" s="91">
        <f>+(($C68/1000)-(SUM($C75:E75)))*($C61/100)</f>
        <v>3.1795594041756419E-3</v>
      </c>
      <c r="G75" s="91">
        <f>+(($C68/1000)-(SUM($C75:F75)))*($C61/100)</f>
        <v>3.1728435328563665E-3</v>
      </c>
      <c r="H75" s="91">
        <f>+(($C68/1000)-(SUM($C75:G75)))*($C61/100)</f>
        <v>3.1661418468130497E-3</v>
      </c>
      <c r="I75" s="91">
        <f>+(($C68/1000)-(SUM($C75:H75)))*($C61/100)</f>
        <v>3.1594543160835256E-3</v>
      </c>
      <c r="J75" s="91">
        <f>+(($C68/1000)-(SUM($C75:I75)))*($C61/100)</f>
        <v>3.1527809107689147E-3</v>
      </c>
      <c r="K75" s="91">
        <f>+(($C68/1000)-(SUM($C75:J75)))*($C61/100)</f>
        <v>3.1461216010334882E-3</v>
      </c>
      <c r="L75" s="98">
        <f>+(($C68/1000)-(SUM($C75:K75)))*($C61/100)</f>
        <v>3.1394763571045378E-3</v>
      </c>
      <c r="M75" s="166"/>
    </row>
    <row r="76" spans="2:14" ht="29.4" thickBot="1" x14ac:dyDescent="0.35">
      <c r="B76" s="82" t="s">
        <v>53</v>
      </c>
      <c r="C76" s="151">
        <f>+($C69*C62/100)/1000</f>
        <v>7.0996969277480528E-3</v>
      </c>
      <c r="D76" s="151">
        <f>+(D69*D62/100)/1000</f>
        <v>7.0744233156359538E-3</v>
      </c>
      <c r="E76" s="151">
        <f t="shared" ref="E76:L76" si="11">+(E69*E62/100)/1000</f>
        <v>7.0492470245509175E-3</v>
      </c>
      <c r="F76" s="151">
        <f t="shared" si="11"/>
        <v>7.0241676977299793E-3</v>
      </c>
      <c r="G76" s="151">
        <f t="shared" si="11"/>
        <v>6.9991849359835497E-3</v>
      </c>
      <c r="H76" s="151">
        <f t="shared" si="11"/>
        <v>6.9742983201991522E-3</v>
      </c>
      <c r="I76" s="151">
        <f t="shared" si="11"/>
        <v>6.9495074549411721E-3</v>
      </c>
      <c r="J76" s="151">
        <f t="shared" si="11"/>
        <v>6.9248119895473758E-3</v>
      </c>
      <c r="K76" s="151">
        <f t="shared" si="11"/>
        <v>6.9002115100105493E-3</v>
      </c>
      <c r="L76" s="209">
        <f t="shared" si="11"/>
        <v>6.8757056257675872E-3</v>
      </c>
      <c r="M76" s="169"/>
      <c r="N76" s="212"/>
    </row>
    <row r="77" spans="2:14" s="14" customFormat="1" ht="28.8" x14ac:dyDescent="0.3">
      <c r="B77" s="158" t="s">
        <v>79</v>
      </c>
      <c r="C77" s="159">
        <f>C71/(54629/1000)</f>
        <v>2.1000080320031484E-3</v>
      </c>
      <c r="D77" s="159">
        <f>D71/((54629/1000)-SUM($C71:C71))</f>
        <v>2.1000080489059153E-3</v>
      </c>
      <c r="E77" s="159">
        <f>E71/((54629/1000)-SUM($C71:D71))</f>
        <v>2.1000080658442532E-3</v>
      </c>
      <c r="F77" s="159">
        <f>F71/((54629/1000)-SUM($C71:E71))</f>
        <v>2.1000080828182366E-3</v>
      </c>
      <c r="G77" s="159">
        <f>G71/((54629/1000)-SUM($C71:F71))</f>
        <v>2.1000080998279406E-3</v>
      </c>
      <c r="H77" s="159">
        <f>H71/((54629/1000)-SUM($C71:G71))</f>
        <v>2.1000081168734406E-3</v>
      </c>
      <c r="I77" s="159">
        <f>I71/((54629/1000)-SUM($C71:H71))</f>
        <v>2.1000081339548121E-3</v>
      </c>
      <c r="J77" s="159">
        <f>J71/((54629/1000)-SUM($C71:I71))</f>
        <v>2.1000081510721296E-3</v>
      </c>
      <c r="K77" s="159">
        <f>K71/((54629/1000)-SUM($C71:J71))</f>
        <v>2.1000081682254696E-3</v>
      </c>
      <c r="L77" s="160">
        <f>L71/((54629/1000)-SUM($C71:K71))</f>
        <v>2.1000081854149078E-3</v>
      </c>
    </row>
    <row r="78" spans="2:14" s="14" customFormat="1" x14ac:dyDescent="0.3">
      <c r="B78" s="97" t="s">
        <v>80</v>
      </c>
      <c r="C78" s="161">
        <f>C72/(39665/1000)</f>
        <v>2.0999852274145975E-3</v>
      </c>
      <c r="D78" s="161">
        <f>D72/((39665/1000)-SUM($C72:C72))</f>
        <v>2.099985196327103E-3</v>
      </c>
      <c r="E78" s="161">
        <f>E72/((39665/1000)-SUM($C72:D72))</f>
        <v>2.0999851651741885E-3</v>
      </c>
      <c r="F78" s="161">
        <f>F72/((39665/1000)-SUM($C72:E72))</f>
        <v>2.0999851339557158E-3</v>
      </c>
      <c r="G78" s="161">
        <f>G72/((39665/1000)-SUM($C72:F72))</f>
        <v>2.0999851026715479E-3</v>
      </c>
      <c r="H78" s="161">
        <f>H72/((39665/1000)-SUM($C72:G72))</f>
        <v>2.0999850713215454E-3</v>
      </c>
      <c r="I78" s="161">
        <f>I72/((39665/1000)-SUM($C72:H72))</f>
        <v>2.0999850399055706E-3</v>
      </c>
      <c r="J78" s="161">
        <f>J72/((39665/1000)-SUM($C72:I72))</f>
        <v>2.0999850084234837E-3</v>
      </c>
      <c r="K78" s="161">
        <f>K72/((39665/1000)-SUM($C72:J72))</f>
        <v>2.0999849768751468E-3</v>
      </c>
      <c r="L78" s="154">
        <f>L72/((39665/1000)-SUM($C72:K72))</f>
        <v>2.0999849452604203E-3</v>
      </c>
    </row>
    <row r="79" spans="2:14" s="14" customFormat="1" x14ac:dyDescent="0.3">
      <c r="B79" s="97" t="s">
        <v>81</v>
      </c>
      <c r="C79" s="161">
        <f>C73/(568/1000)</f>
        <v>2.8001990440566591E-3</v>
      </c>
      <c r="D79" s="161">
        <f>D73/((568/1000)-SUM($C73:C73))</f>
        <v>2.7988205178301568E-3</v>
      </c>
      <c r="E79" s="161">
        <f>E73/((568/1000)-SUM($C73:D73))</f>
        <v>2.7974437737657192E-3</v>
      </c>
      <c r="F79" s="161">
        <f>F73/((568/1000)-SUM($C73:E73))</f>
        <v>2.7960688220420834E-3</v>
      </c>
      <c r="G79" s="161">
        <f>G73/((568/1000)-SUM($C73:F73))</f>
        <v>2.7946956629351745E-3</v>
      </c>
      <c r="H79" s="161">
        <f>H73/((568/1000)-SUM($C73:G73))</f>
        <v>2.7933242862944806E-3</v>
      </c>
      <c r="I79" s="161">
        <f>I73/((568/1000)-SUM($C73:H73))</f>
        <v>2.7919547125187217E-3</v>
      </c>
      <c r="J79" s="161">
        <f>J73/((568/1000)-SUM($C73:I73))</f>
        <v>2.7905869206319468E-3</v>
      </c>
      <c r="K79" s="161">
        <f>K73/((568/1000)-SUM($C73:J73))</f>
        <v>2.789220931684256E-3</v>
      </c>
      <c r="L79" s="154">
        <f>L73/((568/1000)-SUM($C73:K73))</f>
        <v>2.787856744857205E-3</v>
      </c>
    </row>
    <row r="80" spans="2:14" s="14" customFormat="1" ht="28.8" x14ac:dyDescent="0.3">
      <c r="B80" s="76" t="s">
        <v>82</v>
      </c>
      <c r="C80" s="162">
        <f>C74/(21062/1000)</f>
        <v>2.9470567464357756E-3</v>
      </c>
      <c r="D80" s="162">
        <f>D74/((21062/1000)-SUM($C74:C74))</f>
        <v>2.9459194183770136E-3</v>
      </c>
      <c r="E80" s="162">
        <f>E74/((21062/1000)-SUM($C74:D74))</f>
        <v>2.944782950540304E-3</v>
      </c>
      <c r="F80" s="162">
        <f>F74/((21062/1000)-SUM($C74:E74))</f>
        <v>2.9436473529261932E-3</v>
      </c>
      <c r="G80" s="162">
        <f>G74/((21062/1000)-SUM($C74:F74))</f>
        <v>2.9425126155349581E-3</v>
      </c>
      <c r="H80" s="162">
        <f>H74/((21062/1000)-SUM($C74:G74))</f>
        <v>2.9413787583672806E-3</v>
      </c>
      <c r="I80" s="162">
        <f>I74/((21062/1000)-SUM($C74:H74))</f>
        <v>2.9402457614233026E-3</v>
      </c>
      <c r="J80" s="162">
        <f>J74/((21062/1000)-SUM($C74:I74))</f>
        <v>2.9391136347035733E-3</v>
      </c>
      <c r="K80" s="162">
        <f>K74/((21062/1000)-SUM($C74:J74))</f>
        <v>2.9379823882086467E-3</v>
      </c>
      <c r="L80" s="155">
        <f>L74/((21062/1000)-SUM($C74:K74))</f>
        <v>2.9368520119388017E-3</v>
      </c>
    </row>
    <row r="81" spans="1:16" s="14" customFormat="1" x14ac:dyDescent="0.3">
      <c r="B81" s="76" t="s">
        <v>83</v>
      </c>
      <c r="C81" s="162">
        <f>C75/(1515/1000)</f>
        <v>2.1120742114607237E-3</v>
      </c>
      <c r="D81" s="162">
        <f>D75/((1515/1000)-SUM($C75:C75))</f>
        <v>2.1120739412657436E-3</v>
      </c>
      <c r="E81" s="162">
        <f>E75/((1515/1000)-SUM($C75:D75))</f>
        <v>2.112073670498918E-3</v>
      </c>
      <c r="F81" s="162">
        <f>F75/((1515/1000)-SUM($C75:E75))</f>
        <v>2.1120733991590373E-3</v>
      </c>
      <c r="G81" s="162">
        <f>G75/((1515/1000)-SUM($C75:F75))</f>
        <v>2.112073127244889E-3</v>
      </c>
      <c r="H81" s="162">
        <f>H75/((1515/1000)-SUM($C75:G75))</f>
        <v>2.1120728547552575E-3</v>
      </c>
      <c r="I81" s="162">
        <f>I75/((1515/1000)-SUM($C75:H75))</f>
        <v>2.1120725816889253E-3</v>
      </c>
      <c r="J81" s="162">
        <f>J75/((1515/1000)-SUM($C75:I75))</f>
        <v>2.1120723080446718E-3</v>
      </c>
      <c r="K81" s="162">
        <f>K75/((1515/1000)-SUM($C75:J75))</f>
        <v>2.1120720338212739E-3</v>
      </c>
      <c r="L81" s="155">
        <f>L75/((1515/1000)-SUM($C75:K75))</f>
        <v>2.1120717590175065E-3</v>
      </c>
    </row>
    <row r="82" spans="1:16" s="14" customFormat="1" ht="34.200000000000003" customHeight="1" thickBot="1" x14ac:dyDescent="0.35">
      <c r="B82" s="82" t="s">
        <v>81</v>
      </c>
      <c r="C82" s="156">
        <f>C76/(2202/1000)</f>
        <v>3.2242038727284526E-3</v>
      </c>
      <c r="D82" s="156">
        <f>D76/((2202/1000)-SUM($C76:C76))</f>
        <v>3.223118291857595E-3</v>
      </c>
      <c r="E82" s="156">
        <f>E76/((2202/1000)-SUM($C76:D76))</f>
        <v>3.2220329276546945E-3</v>
      </c>
      <c r="F82" s="156">
        <f>F76/((2202/1000)-SUM($C76:E76))</f>
        <v>3.2209478001101561E-3</v>
      </c>
      <c r="G82" s="156">
        <f>G76/((2202/1000)-SUM($C76:F76))</f>
        <v>3.2198629092172167E-3</v>
      </c>
      <c r="H82" s="156">
        <f>H76/((2202/1000)-SUM($C76:G76))</f>
        <v>3.2187782449705489E-3</v>
      </c>
      <c r="I82" s="156">
        <f>I76/((2202/1000)-SUM($C76:H76))</f>
        <v>3.2176938073633916E-3</v>
      </c>
      <c r="J82" s="156">
        <f>J76/((2202/1000)-SUM($C76:I76))</f>
        <v>3.2166096163860547E-3</v>
      </c>
      <c r="K82" s="156">
        <f>K76/((2202/1000)-SUM($C76:J76))</f>
        <v>3.2155256620331834E-3</v>
      </c>
      <c r="L82" s="157">
        <f>L76/((2202/1000)-SUM($C76:K76))</f>
        <v>3.2144419442979659E-3</v>
      </c>
    </row>
    <row r="83" spans="1:16" x14ac:dyDescent="0.3">
      <c r="A83" t="s">
        <v>64</v>
      </c>
      <c r="B83" s="129" t="s">
        <v>40</v>
      </c>
      <c r="C83" s="130"/>
      <c r="D83" s="130"/>
      <c r="E83" s="130"/>
      <c r="F83" s="130"/>
      <c r="G83" s="130"/>
      <c r="H83" s="130"/>
      <c r="I83" s="130"/>
      <c r="J83" s="130"/>
      <c r="K83" s="130"/>
      <c r="L83" s="131"/>
    </row>
    <row r="84" spans="1:16" x14ac:dyDescent="0.3">
      <c r="B84" s="163" t="s">
        <v>46</v>
      </c>
      <c r="C84" s="125">
        <v>591.45240000000001</v>
      </c>
      <c r="D84" s="125">
        <v>591.45240000000001</v>
      </c>
      <c r="E84" s="125">
        <v>591.45240000000001</v>
      </c>
      <c r="F84" s="125">
        <v>591.45240000000001</v>
      </c>
      <c r="G84" s="125">
        <v>591.45240000000001</v>
      </c>
      <c r="H84" s="125">
        <v>591.45240000000001</v>
      </c>
      <c r="I84" s="125">
        <v>591.45240000000001</v>
      </c>
      <c r="J84" s="125">
        <v>591.45240000000001</v>
      </c>
      <c r="K84" s="125">
        <v>591.45240000000001</v>
      </c>
      <c r="L84" s="126">
        <v>591.45240000000001</v>
      </c>
    </row>
    <row r="85" spans="1:16" x14ac:dyDescent="0.3">
      <c r="B85" s="163" t="s">
        <v>55</v>
      </c>
      <c r="C85" s="125">
        <v>280.24040000000002</v>
      </c>
      <c r="D85" s="125">
        <v>280.24040000000002</v>
      </c>
      <c r="E85" s="125">
        <v>280.24040000000002</v>
      </c>
      <c r="F85" s="125">
        <v>280.24040000000002</v>
      </c>
      <c r="G85" s="125">
        <v>280.24040000000002</v>
      </c>
      <c r="H85" s="125">
        <v>280.24040000000002</v>
      </c>
      <c r="I85" s="125">
        <v>280.24040000000002</v>
      </c>
      <c r="J85" s="125">
        <v>280.24040000000002</v>
      </c>
      <c r="K85" s="125">
        <v>280.24040000000002</v>
      </c>
      <c r="L85" s="126">
        <v>280.24040000000002</v>
      </c>
    </row>
    <row r="86" spans="1:16" ht="28.8" x14ac:dyDescent="0.3">
      <c r="B86" s="165" t="s">
        <v>53</v>
      </c>
      <c r="C86" s="125">
        <v>453.02</v>
      </c>
      <c r="D86" s="125">
        <v>453.02</v>
      </c>
      <c r="E86" s="125">
        <v>453.02</v>
      </c>
      <c r="F86" s="125">
        <v>453.02</v>
      </c>
      <c r="G86" s="125">
        <v>453.02</v>
      </c>
      <c r="H86" s="125">
        <v>453.02</v>
      </c>
      <c r="I86" s="125">
        <v>453.02</v>
      </c>
      <c r="J86" s="125">
        <v>453.02</v>
      </c>
      <c r="K86" s="125">
        <v>453.02</v>
      </c>
      <c r="L86" s="126">
        <v>453.02</v>
      </c>
    </row>
    <row r="87" spans="1:16" ht="30.6" customHeight="1" x14ac:dyDescent="0.3">
      <c r="B87" s="132" t="s">
        <v>54</v>
      </c>
      <c r="C87" s="125">
        <v>308.27999999999997</v>
      </c>
      <c r="D87" s="125">
        <v>308.27999999999997</v>
      </c>
      <c r="E87" s="125">
        <v>308.27999999999997</v>
      </c>
      <c r="F87" s="125">
        <v>308.27999999999997</v>
      </c>
      <c r="G87" s="125">
        <v>308.27999999999997</v>
      </c>
      <c r="H87" s="125">
        <v>308.27999999999997</v>
      </c>
      <c r="I87" s="125">
        <v>308.27999999999997</v>
      </c>
      <c r="J87" s="125">
        <v>308.27999999999997</v>
      </c>
      <c r="K87" s="125">
        <v>308.27999999999997</v>
      </c>
      <c r="L87" s="126">
        <v>308.27999999999997</v>
      </c>
    </row>
    <row r="88" spans="1:16" ht="22.8" customHeight="1" x14ac:dyDescent="0.3">
      <c r="B88" s="132" t="s">
        <v>56</v>
      </c>
      <c r="C88" s="125">
        <v>455.06413333333302</v>
      </c>
      <c r="D88" s="125">
        <v>455.06413333333302</v>
      </c>
      <c r="E88" s="125">
        <v>455.06413333333302</v>
      </c>
      <c r="F88" s="125">
        <v>455.06413333333302</v>
      </c>
      <c r="G88" s="125">
        <v>455.06413333333302</v>
      </c>
      <c r="H88" s="125">
        <v>455.06413333333302</v>
      </c>
      <c r="I88" s="125">
        <v>455.06413333333302</v>
      </c>
      <c r="J88" s="125">
        <v>455.06413333333302</v>
      </c>
      <c r="K88" s="125">
        <v>455.06413333333302</v>
      </c>
      <c r="L88" s="126">
        <v>455.06413333333302</v>
      </c>
    </row>
    <row r="89" spans="1:16" ht="29.4" thickBot="1" x14ac:dyDescent="0.35">
      <c r="B89" s="133" t="s">
        <v>53</v>
      </c>
      <c r="C89" s="127">
        <v>453.02</v>
      </c>
      <c r="D89" s="127">
        <v>453.02</v>
      </c>
      <c r="E89" s="127">
        <v>453.02</v>
      </c>
      <c r="F89" s="127">
        <v>453.02</v>
      </c>
      <c r="G89" s="127">
        <v>453.02</v>
      </c>
      <c r="H89" s="127">
        <v>453.02</v>
      </c>
      <c r="I89" s="127">
        <v>453.02</v>
      </c>
      <c r="J89" s="127">
        <v>453.02</v>
      </c>
      <c r="K89" s="127">
        <v>453.02</v>
      </c>
      <c r="L89" s="128">
        <v>453.02</v>
      </c>
    </row>
    <row r="90" spans="1:16" x14ac:dyDescent="0.3">
      <c r="B90" s="79" t="s">
        <v>41</v>
      </c>
      <c r="C90" s="80"/>
      <c r="D90" s="80"/>
      <c r="E90" s="80"/>
      <c r="F90" s="80"/>
      <c r="G90" s="80"/>
      <c r="H90" s="80"/>
      <c r="I90" s="80"/>
      <c r="J90" s="80"/>
      <c r="K90" s="80"/>
      <c r="L90" s="81"/>
    </row>
    <row r="91" spans="1:16" x14ac:dyDescent="0.3">
      <c r="B91" s="96" t="s">
        <v>46</v>
      </c>
      <c r="C91" s="80">
        <f>+C71*C84</f>
        <v>67.852211152821496</v>
      </c>
      <c r="D91" s="80">
        <f t="shared" ref="D91:L91" si="12">+D71*D84</f>
        <v>67.709721509400566</v>
      </c>
      <c r="E91" s="80">
        <f t="shared" si="12"/>
        <v>67.56753109423083</v>
      </c>
      <c r="F91" s="80">
        <f t="shared" si="12"/>
        <v>67.425639278932948</v>
      </c>
      <c r="G91" s="80">
        <f t="shared" si="12"/>
        <v>67.284045436447187</v>
      </c>
      <c r="H91" s="80">
        <f t="shared" si="12"/>
        <v>67.142748941030646</v>
      </c>
      <c r="I91" s="80">
        <f t="shared" si="12"/>
        <v>67.001749168254477</v>
      </c>
      <c r="J91" s="80">
        <f t="shared" si="12"/>
        <v>66.86104549500115</v>
      </c>
      <c r="K91" s="80">
        <f t="shared" si="12"/>
        <v>66.720637299461643</v>
      </c>
      <c r="L91" s="81">
        <f t="shared" si="12"/>
        <v>66.580523961132783</v>
      </c>
      <c r="M91" s="193"/>
      <c r="O91" s="179"/>
    </row>
    <row r="92" spans="1:16" x14ac:dyDescent="0.3">
      <c r="B92" s="96" t="s">
        <v>55</v>
      </c>
      <c r="C92" s="80">
        <f t="shared" ref="C92:L92" si="13">+C72*C85</f>
        <v>23.342880270448521</v>
      </c>
      <c r="D92" s="80">
        <f t="shared" si="13"/>
        <v>23.293860221880575</v>
      </c>
      <c r="E92" s="80">
        <f t="shared" si="13"/>
        <v>23.244943115414628</v>
      </c>
      <c r="F92" s="80">
        <f t="shared" si="13"/>
        <v>23.196128734872257</v>
      </c>
      <c r="G92" s="80">
        <f t="shared" si="13"/>
        <v>23.147416864529024</v>
      </c>
      <c r="H92" s="80">
        <f t="shared" si="13"/>
        <v>23.098807289113513</v>
      </c>
      <c r="I92" s="80">
        <f t="shared" si="13"/>
        <v>23.050299793806378</v>
      </c>
      <c r="J92" s="80">
        <f t="shared" si="13"/>
        <v>23.001894164239381</v>
      </c>
      <c r="K92" s="80">
        <f t="shared" si="13"/>
        <v>22.953590186494477</v>
      </c>
      <c r="L92" s="81">
        <f t="shared" si="13"/>
        <v>22.905387647102842</v>
      </c>
      <c r="M92" s="193"/>
      <c r="O92" s="179"/>
    </row>
    <row r="93" spans="1:16" ht="28.8" x14ac:dyDescent="0.3">
      <c r="B93" s="97" t="s">
        <v>53</v>
      </c>
      <c r="C93" s="80">
        <f t="shared" ref="C93:L93" si="14">+C73*C86</f>
        <v>0.72053422509309506</v>
      </c>
      <c r="D93" s="80">
        <f t="shared" si="14"/>
        <v>0.71816286314786371</v>
      </c>
      <c r="E93" s="80">
        <f t="shared" si="14"/>
        <v>0.71580057751445003</v>
      </c>
      <c r="F93" s="80">
        <f t="shared" si="14"/>
        <v>0.71344733177815334</v>
      </c>
      <c r="G93" s="80">
        <f t="shared" si="14"/>
        <v>0.71110308715245929</v>
      </c>
      <c r="H93" s="80">
        <f t="shared" si="14"/>
        <v>0.7087678023878381</v>
      </c>
      <c r="I93" s="80">
        <f t="shared" si="14"/>
        <v>0.70644144418312271</v>
      </c>
      <c r="J93" s="80">
        <f t="shared" si="14"/>
        <v>0.70412396890682472</v>
      </c>
      <c r="K93" s="80">
        <f t="shared" si="14"/>
        <v>0.70181534375673471</v>
      </c>
      <c r="L93" s="81">
        <f t="shared" si="14"/>
        <v>0.69951553054919346</v>
      </c>
      <c r="M93" s="194"/>
      <c r="O93" s="195"/>
    </row>
    <row r="94" spans="1:16" ht="28.8" x14ac:dyDescent="0.3">
      <c r="B94" s="76" t="s">
        <v>54</v>
      </c>
      <c r="C94" s="80">
        <f t="shared" ref="C94:L94" si="15">+C74*C87</f>
        <v>19.135219886150693</v>
      </c>
      <c r="D94" s="80">
        <f t="shared" si="15"/>
        <v>19.071464406779484</v>
      </c>
      <c r="E94" s="80">
        <f t="shared" si="15"/>
        <v>19.007945751996907</v>
      </c>
      <c r="F94" s="80">
        <f t="shared" si="15"/>
        <v>18.94466302245095</v>
      </c>
      <c r="G94" s="80">
        <f t="shared" si="15"/>
        <v>18.881615193743734</v>
      </c>
      <c r="H94" s="80">
        <f t="shared" si="15"/>
        <v>18.818801438588597</v>
      </c>
      <c r="I94" s="80">
        <f t="shared" si="15"/>
        <v>18.756220676848184</v>
      </c>
      <c r="J94" s="80">
        <f t="shared" si="15"/>
        <v>18.693872025267122</v>
      </c>
      <c r="K94" s="80">
        <f t="shared" si="15"/>
        <v>18.631754603815793</v>
      </c>
      <c r="L94" s="81">
        <f t="shared" si="15"/>
        <v>18.569867409217249</v>
      </c>
      <c r="M94" s="194"/>
      <c r="O94" s="195"/>
    </row>
    <row r="95" spans="1:16" x14ac:dyDescent="0.3">
      <c r="B95" s="76" t="s">
        <v>56</v>
      </c>
      <c r="C95" s="80">
        <f t="shared" ref="C95:L95" si="16">+C75*C88</f>
        <v>1.4561107691696964</v>
      </c>
      <c r="D95" s="80">
        <f t="shared" si="16"/>
        <v>1.4530351692801291</v>
      </c>
      <c r="E95" s="80">
        <f t="shared" si="16"/>
        <v>1.4499660656783999</v>
      </c>
      <c r="F95" s="80">
        <f t="shared" si="16"/>
        <v>1.4469034446430371</v>
      </c>
      <c r="G95" s="80">
        <f t="shared" si="16"/>
        <v>1.4438472924815529</v>
      </c>
      <c r="H95" s="80">
        <f t="shared" si="16"/>
        <v>1.4407975955303789</v>
      </c>
      <c r="I95" s="80">
        <f t="shared" si="16"/>
        <v>1.4377543401548081</v>
      </c>
      <c r="J95" s="80">
        <f t="shared" si="16"/>
        <v>1.4347175127489324</v>
      </c>
      <c r="K95" s="80">
        <f t="shared" si="16"/>
        <v>1.4316870997355824</v>
      </c>
      <c r="L95" s="81">
        <f t="shared" si="16"/>
        <v>1.428663087566266</v>
      </c>
      <c r="M95" s="193"/>
      <c r="O95" s="179"/>
    </row>
    <row r="96" spans="1:16" ht="29.4" thickBot="1" x14ac:dyDescent="0.35">
      <c r="B96" s="82" t="s">
        <v>53</v>
      </c>
      <c r="C96" s="83">
        <f t="shared" ref="C96:L96" si="17">+C76*C89</f>
        <v>3.2163047022084226</v>
      </c>
      <c r="D96" s="83">
        <f t="shared" si="17"/>
        <v>3.2048552504493997</v>
      </c>
      <c r="E96" s="83">
        <f t="shared" si="17"/>
        <v>3.1934498870620565</v>
      </c>
      <c r="F96" s="83">
        <f t="shared" si="17"/>
        <v>3.1820884504256353</v>
      </c>
      <c r="G96" s="83">
        <f t="shared" si="17"/>
        <v>3.1707707596992676</v>
      </c>
      <c r="H96" s="83">
        <f t="shared" si="17"/>
        <v>3.1594966250166197</v>
      </c>
      <c r="I96" s="83">
        <f t="shared" si="17"/>
        <v>3.1482658672374497</v>
      </c>
      <c r="J96" s="83">
        <f t="shared" si="17"/>
        <v>3.137078327504752</v>
      </c>
      <c r="K96" s="83">
        <f t="shared" si="17"/>
        <v>3.1259338182649787</v>
      </c>
      <c r="L96" s="84">
        <f t="shared" si="17"/>
        <v>3.1148321625852322</v>
      </c>
      <c r="M96" s="194"/>
      <c r="O96" s="195"/>
      <c r="P96" s="196"/>
    </row>
    <row r="98" spans="1:14" ht="15" thickBot="1" x14ac:dyDescent="0.35"/>
    <row r="99" spans="1:14" x14ac:dyDescent="0.3">
      <c r="B99" s="88" t="s">
        <v>58</v>
      </c>
      <c r="C99" s="27"/>
      <c r="D99" s="27"/>
      <c r="E99" s="27"/>
      <c r="F99" s="27"/>
      <c r="G99" s="27"/>
      <c r="H99" s="27"/>
      <c r="I99" s="27"/>
      <c r="J99" s="27"/>
      <c r="K99" s="27"/>
      <c r="L99" s="28"/>
      <c r="M99" s="189"/>
      <c r="N99" s="189"/>
    </row>
    <row r="100" spans="1:14" ht="15" thickBot="1" x14ac:dyDescent="0.35">
      <c r="B100" s="168" t="s">
        <v>42</v>
      </c>
      <c r="C100" s="45"/>
      <c r="D100" s="45"/>
      <c r="E100" s="45"/>
      <c r="F100" s="45"/>
      <c r="G100" s="45"/>
      <c r="H100" s="45"/>
      <c r="I100" s="45"/>
      <c r="J100" s="45"/>
      <c r="K100" s="45"/>
      <c r="L100" s="90"/>
    </row>
    <row r="101" spans="1:14" x14ac:dyDescent="0.3">
      <c r="A101" t="s">
        <v>64</v>
      </c>
      <c r="B101" s="129" t="s">
        <v>37</v>
      </c>
      <c r="C101" s="130"/>
      <c r="D101" s="130"/>
      <c r="E101" s="130"/>
      <c r="F101" s="130"/>
      <c r="G101" s="130"/>
      <c r="H101" s="130"/>
      <c r="I101" s="130"/>
      <c r="J101" s="130"/>
      <c r="K101" s="130"/>
      <c r="L101" s="183"/>
    </row>
    <row r="102" spans="1:14" x14ac:dyDescent="0.3">
      <c r="B102" s="163" t="s">
        <v>2</v>
      </c>
      <c r="C102" s="125">
        <v>110.95741391407699</v>
      </c>
      <c r="D102" s="125">
        <v>110.95741391407699</v>
      </c>
      <c r="E102" s="125">
        <v>110.95741391407699</v>
      </c>
      <c r="F102" s="125">
        <v>110.95741391407699</v>
      </c>
      <c r="G102" s="125">
        <v>110.95741391407699</v>
      </c>
      <c r="H102" s="125">
        <v>110.95741391407699</v>
      </c>
      <c r="I102" s="125">
        <v>110.95741391407699</v>
      </c>
      <c r="J102" s="125">
        <v>110.95741391407699</v>
      </c>
      <c r="K102" s="125">
        <v>110.95741391407699</v>
      </c>
      <c r="L102" s="126">
        <v>110.95741391407699</v>
      </c>
    </row>
    <row r="103" spans="1:14" x14ac:dyDescent="0.3">
      <c r="B103" s="163" t="s">
        <v>4</v>
      </c>
      <c r="C103" s="125">
        <v>1688.7862513844</v>
      </c>
      <c r="D103" s="125">
        <v>1688.7862513844</v>
      </c>
      <c r="E103" s="125">
        <v>1688.7862513844</v>
      </c>
      <c r="F103" s="125">
        <v>1688.7862513844</v>
      </c>
      <c r="G103" s="125">
        <v>1688.7862513844</v>
      </c>
      <c r="H103" s="125">
        <v>1688.7862513844</v>
      </c>
      <c r="I103" s="125">
        <v>1688.7862513844</v>
      </c>
      <c r="J103" s="125">
        <v>1688.7862513844</v>
      </c>
      <c r="K103" s="125">
        <v>1688.7862513844</v>
      </c>
      <c r="L103" s="126">
        <v>1688.7862513844</v>
      </c>
    </row>
    <row r="104" spans="1:14" x14ac:dyDescent="0.3">
      <c r="B104" s="163" t="s">
        <v>5</v>
      </c>
      <c r="C104" s="125">
        <v>2718.3111448104701</v>
      </c>
      <c r="D104" s="125">
        <v>2718.3111448104701</v>
      </c>
      <c r="E104" s="125">
        <v>2718.3111448104701</v>
      </c>
      <c r="F104" s="125">
        <v>2718.3111448104701</v>
      </c>
      <c r="G104" s="125">
        <v>2718.3111448104701</v>
      </c>
      <c r="H104" s="125">
        <v>2718.3111448104701</v>
      </c>
      <c r="I104" s="125">
        <v>2718.3111448104701</v>
      </c>
      <c r="J104" s="125">
        <v>2718.3111448104701</v>
      </c>
      <c r="K104" s="125">
        <v>2718.3111448104701</v>
      </c>
      <c r="L104" s="126">
        <v>2718.3111448104701</v>
      </c>
    </row>
    <row r="105" spans="1:14" x14ac:dyDescent="0.3">
      <c r="B105" s="163" t="s">
        <v>6</v>
      </c>
      <c r="C105" s="125">
        <v>3682.4530978222301</v>
      </c>
      <c r="D105" s="125">
        <v>3682.4530978222301</v>
      </c>
      <c r="E105" s="125">
        <v>3682.4530978222301</v>
      </c>
      <c r="F105" s="125">
        <v>3682.4530978222301</v>
      </c>
      <c r="G105" s="125">
        <v>3682.4530978222301</v>
      </c>
      <c r="H105" s="125">
        <v>3682.4530978222301</v>
      </c>
      <c r="I105" s="125">
        <v>3682.4530978222301</v>
      </c>
      <c r="J105" s="125">
        <v>3682.4530978222301</v>
      </c>
      <c r="K105" s="125">
        <v>3682.4530978222301</v>
      </c>
      <c r="L105" s="126">
        <v>3682.4530978222301</v>
      </c>
    </row>
    <row r="106" spans="1:14" x14ac:dyDescent="0.3">
      <c r="B106" s="165" t="s">
        <v>7</v>
      </c>
      <c r="C106" s="125">
        <v>366.17914538683902</v>
      </c>
      <c r="D106" s="125">
        <v>366.17914538683902</v>
      </c>
      <c r="E106" s="125">
        <v>366.17914538683902</v>
      </c>
      <c r="F106" s="125">
        <v>366.17914538683902</v>
      </c>
      <c r="G106" s="125">
        <v>366.17914538683902</v>
      </c>
      <c r="H106" s="125">
        <v>366.17914538683902</v>
      </c>
      <c r="I106" s="125">
        <v>366.17914538683902</v>
      </c>
      <c r="J106" s="125">
        <v>366.17914538683902</v>
      </c>
      <c r="K106" s="125">
        <v>366.17914538683902</v>
      </c>
      <c r="L106" s="126">
        <v>366.17914538683902</v>
      </c>
    </row>
    <row r="107" spans="1:14" x14ac:dyDescent="0.3">
      <c r="B107" s="132" t="s">
        <v>8</v>
      </c>
      <c r="C107" s="125">
        <v>36740.991026449497</v>
      </c>
      <c r="D107" s="125">
        <v>36740.991026449497</v>
      </c>
      <c r="E107" s="125">
        <v>36740.991026449497</v>
      </c>
      <c r="F107" s="125">
        <v>36740.991026449497</v>
      </c>
      <c r="G107" s="125">
        <v>36740.991026449497</v>
      </c>
      <c r="H107" s="125">
        <v>36740.991026449497</v>
      </c>
      <c r="I107" s="125">
        <v>36740.991026449497</v>
      </c>
      <c r="J107" s="125">
        <v>36740.991026449497</v>
      </c>
      <c r="K107" s="125">
        <v>36740.991026449497</v>
      </c>
      <c r="L107" s="126">
        <v>36740.991026449497</v>
      </c>
    </row>
    <row r="108" spans="1:14" x14ac:dyDescent="0.3">
      <c r="B108" s="132" t="s">
        <v>9</v>
      </c>
      <c r="C108" s="125">
        <v>716.14732704313496</v>
      </c>
      <c r="D108" s="125">
        <v>716.14732704313496</v>
      </c>
      <c r="E108" s="125">
        <v>716.14732704313496</v>
      </c>
      <c r="F108" s="125">
        <v>716.14732704313496</v>
      </c>
      <c r="G108" s="125">
        <v>716.14732704313496</v>
      </c>
      <c r="H108" s="125">
        <v>716.14732704313496</v>
      </c>
      <c r="I108" s="125">
        <v>716.14732704313496</v>
      </c>
      <c r="J108" s="125">
        <v>716.14732704313496</v>
      </c>
      <c r="K108" s="125">
        <v>716.14732704313496</v>
      </c>
      <c r="L108" s="126">
        <v>716.14732704313496</v>
      </c>
    </row>
    <row r="109" spans="1:14" ht="15" thickBot="1" x14ac:dyDescent="0.35">
      <c r="B109" s="133" t="s">
        <v>10</v>
      </c>
      <c r="C109" s="127">
        <v>1363.50470536137</v>
      </c>
      <c r="D109" s="127">
        <v>1363.50470536137</v>
      </c>
      <c r="E109" s="127">
        <v>1363.50470536137</v>
      </c>
      <c r="F109" s="127">
        <v>1363.50470536137</v>
      </c>
      <c r="G109" s="127">
        <v>1363.50470536137</v>
      </c>
      <c r="H109" s="127">
        <v>1363.50470536137</v>
      </c>
      <c r="I109" s="127">
        <v>1363.50470536137</v>
      </c>
      <c r="J109" s="127">
        <v>1363.50470536137</v>
      </c>
      <c r="K109" s="127">
        <v>1363.50470536137</v>
      </c>
      <c r="L109" s="128">
        <v>1363.50470536137</v>
      </c>
    </row>
    <row r="110" spans="1:14" ht="21" customHeight="1" x14ac:dyDescent="0.3">
      <c r="A110" s="320" t="s">
        <v>89</v>
      </c>
      <c r="B110" s="75" t="s">
        <v>85</v>
      </c>
      <c r="C110" s="13"/>
      <c r="D110" s="13"/>
      <c r="E110" s="13"/>
      <c r="F110" s="13"/>
      <c r="G110" s="13"/>
      <c r="H110" s="13"/>
      <c r="I110" s="13"/>
      <c r="J110" s="13"/>
      <c r="K110" s="13"/>
      <c r="L110" s="25"/>
    </row>
    <row r="111" spans="1:14" x14ac:dyDescent="0.3">
      <c r="A111" s="320"/>
      <c r="B111" s="96" t="s">
        <v>2</v>
      </c>
      <c r="C111" s="172">
        <f>+($C102/1000)*(1.08/100)</f>
        <v>1.1983400702720317E-3</v>
      </c>
      <c r="D111" s="172">
        <f t="shared" ref="D111:L111" si="18">+($C102/1000)*(1.08/100)</f>
        <v>1.1983400702720317E-3</v>
      </c>
      <c r="E111" s="172">
        <f t="shared" si="18"/>
        <v>1.1983400702720317E-3</v>
      </c>
      <c r="F111" s="172">
        <f t="shared" si="18"/>
        <v>1.1983400702720317E-3</v>
      </c>
      <c r="G111" s="172">
        <f t="shared" si="18"/>
        <v>1.1983400702720317E-3</v>
      </c>
      <c r="H111" s="172">
        <f t="shared" si="18"/>
        <v>1.1983400702720317E-3</v>
      </c>
      <c r="I111" s="172">
        <f t="shared" si="18"/>
        <v>1.1983400702720317E-3</v>
      </c>
      <c r="J111" s="172">
        <f t="shared" si="18"/>
        <v>1.1983400702720317E-3</v>
      </c>
      <c r="K111" s="172">
        <f t="shared" si="18"/>
        <v>1.1983400702720317E-3</v>
      </c>
      <c r="L111" s="173">
        <f t="shared" si="18"/>
        <v>1.1983400702720317E-3</v>
      </c>
    </row>
    <row r="112" spans="1:14" x14ac:dyDescent="0.3">
      <c r="A112" s="320"/>
      <c r="B112" s="96" t="s">
        <v>4</v>
      </c>
      <c r="C112" s="172">
        <f t="shared" ref="C112:L118" si="19">+($C103/1000)*(1.08/100)</f>
        <v>1.8238891514951523E-2</v>
      </c>
      <c r="D112" s="172">
        <f t="shared" si="19"/>
        <v>1.8238891514951523E-2</v>
      </c>
      <c r="E112" s="172">
        <f t="shared" si="19"/>
        <v>1.8238891514951523E-2</v>
      </c>
      <c r="F112" s="172">
        <f t="shared" si="19"/>
        <v>1.8238891514951523E-2</v>
      </c>
      <c r="G112" s="172">
        <f t="shared" si="19"/>
        <v>1.8238891514951523E-2</v>
      </c>
      <c r="H112" s="172">
        <f t="shared" si="19"/>
        <v>1.8238891514951523E-2</v>
      </c>
      <c r="I112" s="172">
        <f t="shared" si="19"/>
        <v>1.8238891514951523E-2</v>
      </c>
      <c r="J112" s="172">
        <f t="shared" si="19"/>
        <v>1.8238891514951523E-2</v>
      </c>
      <c r="K112" s="172">
        <f t="shared" si="19"/>
        <v>1.8238891514951523E-2</v>
      </c>
      <c r="L112" s="173">
        <f t="shared" si="19"/>
        <v>1.8238891514951523E-2</v>
      </c>
    </row>
    <row r="113" spans="1:12" x14ac:dyDescent="0.3">
      <c r="A113" s="320"/>
      <c r="B113" s="96" t="s">
        <v>5</v>
      </c>
      <c r="C113" s="172">
        <f t="shared" si="19"/>
        <v>2.935776036395308E-2</v>
      </c>
      <c r="D113" s="172">
        <f t="shared" si="19"/>
        <v>2.935776036395308E-2</v>
      </c>
      <c r="E113" s="172">
        <f t="shared" si="19"/>
        <v>2.935776036395308E-2</v>
      </c>
      <c r="F113" s="172">
        <f t="shared" si="19"/>
        <v>2.935776036395308E-2</v>
      </c>
      <c r="G113" s="172">
        <f t="shared" si="19"/>
        <v>2.935776036395308E-2</v>
      </c>
      <c r="H113" s="172">
        <f t="shared" si="19"/>
        <v>2.935776036395308E-2</v>
      </c>
      <c r="I113" s="172">
        <f t="shared" si="19"/>
        <v>2.935776036395308E-2</v>
      </c>
      <c r="J113" s="172">
        <f t="shared" si="19"/>
        <v>2.935776036395308E-2</v>
      </c>
      <c r="K113" s="172">
        <f t="shared" si="19"/>
        <v>2.935776036395308E-2</v>
      </c>
      <c r="L113" s="173">
        <f t="shared" si="19"/>
        <v>2.935776036395308E-2</v>
      </c>
    </row>
    <row r="114" spans="1:12" x14ac:dyDescent="0.3">
      <c r="A114" s="320"/>
      <c r="B114" s="96" t="s">
        <v>6</v>
      </c>
      <c r="C114" s="172">
        <f t="shared" si="19"/>
        <v>3.9770493456480087E-2</v>
      </c>
      <c r="D114" s="172">
        <f t="shared" si="19"/>
        <v>3.9770493456480087E-2</v>
      </c>
      <c r="E114" s="172">
        <f t="shared" si="19"/>
        <v>3.9770493456480087E-2</v>
      </c>
      <c r="F114" s="172">
        <f t="shared" si="19"/>
        <v>3.9770493456480087E-2</v>
      </c>
      <c r="G114" s="172">
        <f t="shared" si="19"/>
        <v>3.9770493456480087E-2</v>
      </c>
      <c r="H114" s="172">
        <f t="shared" si="19"/>
        <v>3.9770493456480087E-2</v>
      </c>
      <c r="I114" s="172">
        <f t="shared" si="19"/>
        <v>3.9770493456480087E-2</v>
      </c>
      <c r="J114" s="172">
        <f t="shared" si="19"/>
        <v>3.9770493456480087E-2</v>
      </c>
      <c r="K114" s="172">
        <f t="shared" si="19"/>
        <v>3.9770493456480087E-2</v>
      </c>
      <c r="L114" s="173">
        <f t="shared" si="19"/>
        <v>3.9770493456480087E-2</v>
      </c>
    </row>
    <row r="115" spans="1:12" x14ac:dyDescent="0.3">
      <c r="A115" s="320"/>
      <c r="B115" s="97" t="s">
        <v>7</v>
      </c>
      <c r="C115" s="172">
        <f t="shared" si="19"/>
        <v>3.9547347701778621E-3</v>
      </c>
      <c r="D115" s="172">
        <f t="shared" si="19"/>
        <v>3.9547347701778621E-3</v>
      </c>
      <c r="E115" s="172">
        <f t="shared" si="19"/>
        <v>3.9547347701778621E-3</v>
      </c>
      <c r="F115" s="172">
        <f t="shared" si="19"/>
        <v>3.9547347701778621E-3</v>
      </c>
      <c r="G115" s="172">
        <f t="shared" si="19"/>
        <v>3.9547347701778621E-3</v>
      </c>
      <c r="H115" s="172">
        <f t="shared" si="19"/>
        <v>3.9547347701778621E-3</v>
      </c>
      <c r="I115" s="172">
        <f t="shared" si="19"/>
        <v>3.9547347701778621E-3</v>
      </c>
      <c r="J115" s="172">
        <f t="shared" si="19"/>
        <v>3.9547347701778621E-3</v>
      </c>
      <c r="K115" s="172">
        <f t="shared" si="19"/>
        <v>3.9547347701778621E-3</v>
      </c>
      <c r="L115" s="173">
        <f t="shared" si="19"/>
        <v>3.9547347701778621E-3</v>
      </c>
    </row>
    <row r="116" spans="1:12" x14ac:dyDescent="0.3">
      <c r="A116" s="320"/>
      <c r="B116" s="76" t="s">
        <v>8</v>
      </c>
      <c r="C116" s="172">
        <f t="shared" si="19"/>
        <v>0.39680270308565463</v>
      </c>
      <c r="D116" s="172">
        <f t="shared" si="19"/>
        <v>0.39680270308565463</v>
      </c>
      <c r="E116" s="172">
        <f t="shared" si="19"/>
        <v>0.39680270308565463</v>
      </c>
      <c r="F116" s="172">
        <f t="shared" si="19"/>
        <v>0.39680270308565463</v>
      </c>
      <c r="G116" s="172">
        <f t="shared" si="19"/>
        <v>0.39680270308565463</v>
      </c>
      <c r="H116" s="172">
        <f t="shared" si="19"/>
        <v>0.39680270308565463</v>
      </c>
      <c r="I116" s="172">
        <f t="shared" si="19"/>
        <v>0.39680270308565463</v>
      </c>
      <c r="J116" s="172">
        <f t="shared" si="19"/>
        <v>0.39680270308565463</v>
      </c>
      <c r="K116" s="172">
        <f t="shared" si="19"/>
        <v>0.39680270308565463</v>
      </c>
      <c r="L116" s="173">
        <f t="shared" si="19"/>
        <v>0.39680270308565463</v>
      </c>
    </row>
    <row r="117" spans="1:12" x14ac:dyDescent="0.3">
      <c r="A117" s="320"/>
      <c r="B117" s="76" t="s">
        <v>9</v>
      </c>
      <c r="C117" s="172">
        <f t="shared" si="19"/>
        <v>7.7343911320658584E-3</v>
      </c>
      <c r="D117" s="172">
        <f t="shared" si="19"/>
        <v>7.7343911320658584E-3</v>
      </c>
      <c r="E117" s="172">
        <f t="shared" si="19"/>
        <v>7.7343911320658584E-3</v>
      </c>
      <c r="F117" s="172">
        <f t="shared" si="19"/>
        <v>7.7343911320658584E-3</v>
      </c>
      <c r="G117" s="172">
        <f t="shared" si="19"/>
        <v>7.7343911320658584E-3</v>
      </c>
      <c r="H117" s="172">
        <f t="shared" si="19"/>
        <v>7.7343911320658584E-3</v>
      </c>
      <c r="I117" s="172">
        <f t="shared" si="19"/>
        <v>7.7343911320658584E-3</v>
      </c>
      <c r="J117" s="172">
        <f t="shared" si="19"/>
        <v>7.7343911320658584E-3</v>
      </c>
      <c r="K117" s="172">
        <f t="shared" si="19"/>
        <v>7.7343911320658584E-3</v>
      </c>
      <c r="L117" s="173">
        <f t="shared" si="19"/>
        <v>7.7343911320658584E-3</v>
      </c>
    </row>
    <row r="118" spans="1:12" ht="15" thickBot="1" x14ac:dyDescent="0.35">
      <c r="A118" s="320"/>
      <c r="B118" s="82" t="s">
        <v>10</v>
      </c>
      <c r="C118" s="181">
        <f t="shared" si="19"/>
        <v>1.4725850817902796E-2</v>
      </c>
      <c r="D118" s="181">
        <f t="shared" si="19"/>
        <v>1.4725850817902796E-2</v>
      </c>
      <c r="E118" s="181">
        <f t="shared" si="19"/>
        <v>1.4725850817902796E-2</v>
      </c>
      <c r="F118" s="181">
        <f t="shared" si="19"/>
        <v>1.4725850817902796E-2</v>
      </c>
      <c r="G118" s="181">
        <f t="shared" si="19"/>
        <v>1.4725850817902796E-2</v>
      </c>
      <c r="H118" s="181">
        <f t="shared" si="19"/>
        <v>1.4725850817902796E-2</v>
      </c>
      <c r="I118" s="181">
        <f t="shared" si="19"/>
        <v>1.4725850817902796E-2</v>
      </c>
      <c r="J118" s="181">
        <f t="shared" si="19"/>
        <v>1.4725850817902796E-2</v>
      </c>
      <c r="K118" s="181">
        <f t="shared" si="19"/>
        <v>1.4725850817902796E-2</v>
      </c>
      <c r="L118" s="182">
        <f t="shared" si="19"/>
        <v>1.4725850817902796E-2</v>
      </c>
    </row>
    <row r="119" spans="1:12" x14ac:dyDescent="0.3">
      <c r="B119" s="85" t="s">
        <v>84</v>
      </c>
      <c r="C119" s="20"/>
      <c r="D119" s="20"/>
      <c r="E119" s="20"/>
      <c r="F119" s="20"/>
      <c r="G119" s="20"/>
      <c r="H119" s="20"/>
      <c r="I119" s="20"/>
      <c r="J119" s="20"/>
      <c r="K119" s="20"/>
      <c r="L119" s="21"/>
    </row>
    <row r="120" spans="1:12" x14ac:dyDescent="0.3">
      <c r="B120" s="96" t="s">
        <v>2</v>
      </c>
      <c r="C120" s="175">
        <f>+C111/(C102/1000)</f>
        <v>1.0800000000000001E-2</v>
      </c>
      <c r="D120" s="175">
        <f t="shared" ref="D120:L120" si="20">+D111/(D102/1000)</f>
        <v>1.0800000000000001E-2</v>
      </c>
      <c r="E120" s="175">
        <f t="shared" si="20"/>
        <v>1.0800000000000001E-2</v>
      </c>
      <c r="F120" s="175">
        <f t="shared" si="20"/>
        <v>1.0800000000000001E-2</v>
      </c>
      <c r="G120" s="175">
        <f t="shared" si="20"/>
        <v>1.0800000000000001E-2</v>
      </c>
      <c r="H120" s="175">
        <f t="shared" si="20"/>
        <v>1.0800000000000001E-2</v>
      </c>
      <c r="I120" s="175">
        <f t="shared" si="20"/>
        <v>1.0800000000000001E-2</v>
      </c>
      <c r="J120" s="175">
        <f t="shared" si="20"/>
        <v>1.0800000000000001E-2</v>
      </c>
      <c r="K120" s="175">
        <f t="shared" si="20"/>
        <v>1.0800000000000001E-2</v>
      </c>
      <c r="L120" s="176">
        <f t="shared" si="20"/>
        <v>1.0800000000000001E-2</v>
      </c>
    </row>
    <row r="121" spans="1:12" x14ac:dyDescent="0.3">
      <c r="B121" s="96" t="s">
        <v>4</v>
      </c>
      <c r="C121" s="175">
        <f t="shared" ref="C121:L127" si="21">+C112/(C103/1000)</f>
        <v>1.0800000000000001E-2</v>
      </c>
      <c r="D121" s="175">
        <f t="shared" si="21"/>
        <v>1.0800000000000001E-2</v>
      </c>
      <c r="E121" s="175">
        <f t="shared" si="21"/>
        <v>1.0800000000000001E-2</v>
      </c>
      <c r="F121" s="175">
        <f t="shared" si="21"/>
        <v>1.0800000000000001E-2</v>
      </c>
      <c r="G121" s="175">
        <f t="shared" si="21"/>
        <v>1.0800000000000001E-2</v>
      </c>
      <c r="H121" s="175">
        <f t="shared" si="21"/>
        <v>1.0800000000000001E-2</v>
      </c>
      <c r="I121" s="175">
        <f t="shared" si="21"/>
        <v>1.0800000000000001E-2</v>
      </c>
      <c r="J121" s="175">
        <f t="shared" si="21"/>
        <v>1.0800000000000001E-2</v>
      </c>
      <c r="K121" s="175">
        <f t="shared" si="21"/>
        <v>1.0800000000000001E-2</v>
      </c>
      <c r="L121" s="176">
        <f t="shared" si="21"/>
        <v>1.0800000000000001E-2</v>
      </c>
    </row>
    <row r="122" spans="1:12" x14ac:dyDescent="0.3">
      <c r="B122" s="96" t="s">
        <v>5</v>
      </c>
      <c r="C122" s="175">
        <f t="shared" si="21"/>
        <v>1.0800000000000001E-2</v>
      </c>
      <c r="D122" s="175">
        <f t="shared" si="21"/>
        <v>1.0800000000000001E-2</v>
      </c>
      <c r="E122" s="175">
        <f t="shared" si="21"/>
        <v>1.0800000000000001E-2</v>
      </c>
      <c r="F122" s="175">
        <f t="shared" si="21"/>
        <v>1.0800000000000001E-2</v>
      </c>
      <c r="G122" s="175">
        <f t="shared" si="21"/>
        <v>1.0800000000000001E-2</v>
      </c>
      <c r="H122" s="175">
        <f t="shared" si="21"/>
        <v>1.0800000000000001E-2</v>
      </c>
      <c r="I122" s="175">
        <f t="shared" si="21"/>
        <v>1.0800000000000001E-2</v>
      </c>
      <c r="J122" s="175">
        <f t="shared" si="21"/>
        <v>1.0800000000000001E-2</v>
      </c>
      <c r="K122" s="175">
        <f t="shared" si="21"/>
        <v>1.0800000000000001E-2</v>
      </c>
      <c r="L122" s="176">
        <f t="shared" si="21"/>
        <v>1.0800000000000001E-2</v>
      </c>
    </row>
    <row r="123" spans="1:12" x14ac:dyDescent="0.3">
      <c r="B123" s="96" t="s">
        <v>6</v>
      </c>
      <c r="C123" s="175">
        <f t="shared" si="21"/>
        <v>1.0800000000000001E-2</v>
      </c>
      <c r="D123" s="175">
        <f t="shared" si="21"/>
        <v>1.0800000000000001E-2</v>
      </c>
      <c r="E123" s="175">
        <f t="shared" si="21"/>
        <v>1.0800000000000001E-2</v>
      </c>
      <c r="F123" s="175">
        <f t="shared" si="21"/>
        <v>1.0800000000000001E-2</v>
      </c>
      <c r="G123" s="175">
        <f t="shared" si="21"/>
        <v>1.0800000000000001E-2</v>
      </c>
      <c r="H123" s="175">
        <f t="shared" si="21"/>
        <v>1.0800000000000001E-2</v>
      </c>
      <c r="I123" s="175">
        <f t="shared" si="21"/>
        <v>1.0800000000000001E-2</v>
      </c>
      <c r="J123" s="175">
        <f t="shared" si="21"/>
        <v>1.0800000000000001E-2</v>
      </c>
      <c r="K123" s="175">
        <f t="shared" si="21"/>
        <v>1.0800000000000001E-2</v>
      </c>
      <c r="L123" s="176">
        <f t="shared" si="21"/>
        <v>1.0800000000000001E-2</v>
      </c>
    </row>
    <row r="124" spans="1:12" x14ac:dyDescent="0.3">
      <c r="B124" s="97" t="s">
        <v>7</v>
      </c>
      <c r="C124" s="175">
        <f t="shared" si="21"/>
        <v>1.0800000000000001E-2</v>
      </c>
      <c r="D124" s="175">
        <f t="shared" si="21"/>
        <v>1.0800000000000001E-2</v>
      </c>
      <c r="E124" s="175">
        <f t="shared" si="21"/>
        <v>1.0800000000000001E-2</v>
      </c>
      <c r="F124" s="175">
        <f t="shared" si="21"/>
        <v>1.0800000000000001E-2</v>
      </c>
      <c r="G124" s="175">
        <f t="shared" si="21"/>
        <v>1.0800000000000001E-2</v>
      </c>
      <c r="H124" s="175">
        <f t="shared" si="21"/>
        <v>1.0800000000000001E-2</v>
      </c>
      <c r="I124" s="175">
        <f t="shared" si="21"/>
        <v>1.0800000000000001E-2</v>
      </c>
      <c r="J124" s="175">
        <f t="shared" si="21"/>
        <v>1.0800000000000001E-2</v>
      </c>
      <c r="K124" s="175">
        <f t="shared" si="21"/>
        <v>1.0800000000000001E-2</v>
      </c>
      <c r="L124" s="176">
        <f t="shared" si="21"/>
        <v>1.0800000000000001E-2</v>
      </c>
    </row>
    <row r="125" spans="1:12" x14ac:dyDescent="0.3">
      <c r="B125" s="76" t="s">
        <v>8</v>
      </c>
      <c r="C125" s="175">
        <f t="shared" si="21"/>
        <v>1.0800000000000001E-2</v>
      </c>
      <c r="D125" s="175">
        <f t="shared" si="21"/>
        <v>1.0800000000000001E-2</v>
      </c>
      <c r="E125" s="175">
        <f t="shared" si="21"/>
        <v>1.0800000000000001E-2</v>
      </c>
      <c r="F125" s="175">
        <f t="shared" si="21"/>
        <v>1.0800000000000001E-2</v>
      </c>
      <c r="G125" s="175">
        <f t="shared" si="21"/>
        <v>1.0800000000000001E-2</v>
      </c>
      <c r="H125" s="175">
        <f t="shared" si="21"/>
        <v>1.0800000000000001E-2</v>
      </c>
      <c r="I125" s="175">
        <f t="shared" si="21"/>
        <v>1.0800000000000001E-2</v>
      </c>
      <c r="J125" s="175">
        <f t="shared" si="21"/>
        <v>1.0800000000000001E-2</v>
      </c>
      <c r="K125" s="175">
        <f t="shared" si="21"/>
        <v>1.0800000000000001E-2</v>
      </c>
      <c r="L125" s="176">
        <f t="shared" si="21"/>
        <v>1.0800000000000001E-2</v>
      </c>
    </row>
    <row r="126" spans="1:12" x14ac:dyDescent="0.3">
      <c r="B126" s="76" t="s">
        <v>9</v>
      </c>
      <c r="C126" s="175">
        <f t="shared" si="21"/>
        <v>1.0800000000000001E-2</v>
      </c>
      <c r="D126" s="175">
        <f t="shared" si="21"/>
        <v>1.0800000000000001E-2</v>
      </c>
      <c r="E126" s="175">
        <f t="shared" si="21"/>
        <v>1.0800000000000001E-2</v>
      </c>
      <c r="F126" s="175">
        <f t="shared" si="21"/>
        <v>1.0800000000000001E-2</v>
      </c>
      <c r="G126" s="175">
        <f t="shared" si="21"/>
        <v>1.0800000000000001E-2</v>
      </c>
      <c r="H126" s="175">
        <f t="shared" si="21"/>
        <v>1.0800000000000001E-2</v>
      </c>
      <c r="I126" s="175">
        <f t="shared" si="21"/>
        <v>1.0800000000000001E-2</v>
      </c>
      <c r="J126" s="175">
        <f t="shared" si="21"/>
        <v>1.0800000000000001E-2</v>
      </c>
      <c r="K126" s="175">
        <f t="shared" si="21"/>
        <v>1.0800000000000001E-2</v>
      </c>
      <c r="L126" s="176">
        <f t="shared" si="21"/>
        <v>1.0800000000000001E-2</v>
      </c>
    </row>
    <row r="127" spans="1:12" ht="15" thickBot="1" x14ac:dyDescent="0.35">
      <c r="B127" s="82" t="s">
        <v>10</v>
      </c>
      <c r="C127" s="177">
        <f t="shared" si="21"/>
        <v>1.0800000000000001E-2</v>
      </c>
      <c r="D127" s="177">
        <f t="shared" si="21"/>
        <v>1.0800000000000001E-2</v>
      </c>
      <c r="E127" s="177">
        <f t="shared" si="21"/>
        <v>1.0800000000000001E-2</v>
      </c>
      <c r="F127" s="177">
        <f t="shared" si="21"/>
        <v>1.0800000000000001E-2</v>
      </c>
      <c r="G127" s="177">
        <f t="shared" si="21"/>
        <v>1.0800000000000001E-2</v>
      </c>
      <c r="H127" s="177">
        <f t="shared" si="21"/>
        <v>1.0800000000000001E-2</v>
      </c>
      <c r="I127" s="177">
        <f t="shared" si="21"/>
        <v>1.0800000000000001E-2</v>
      </c>
      <c r="J127" s="177">
        <f t="shared" si="21"/>
        <v>1.0800000000000001E-2</v>
      </c>
      <c r="K127" s="177">
        <f t="shared" si="21"/>
        <v>1.0800000000000001E-2</v>
      </c>
      <c r="L127" s="178">
        <f t="shared" si="21"/>
        <v>1.0800000000000001E-2</v>
      </c>
    </row>
    <row r="128" spans="1:12" x14ac:dyDescent="0.3">
      <c r="B128" s="140" t="s">
        <v>40</v>
      </c>
      <c r="C128" s="174"/>
      <c r="D128" s="174"/>
      <c r="E128" s="174"/>
      <c r="F128" s="174"/>
      <c r="G128" s="174"/>
      <c r="H128" s="174"/>
      <c r="I128" s="174"/>
      <c r="J128" s="174"/>
      <c r="K128" s="174"/>
      <c r="L128" s="171"/>
    </row>
    <row r="129" spans="2:13" x14ac:dyDescent="0.3">
      <c r="B129" s="163" t="s">
        <v>2</v>
      </c>
      <c r="C129" s="125">
        <v>177.0692</v>
      </c>
      <c r="D129" s="125">
        <v>177.0692</v>
      </c>
      <c r="E129" s="125">
        <v>177.0692</v>
      </c>
      <c r="F129" s="125">
        <v>177.0692</v>
      </c>
      <c r="G129" s="125">
        <v>177.0692</v>
      </c>
      <c r="H129" s="125">
        <v>177.0692</v>
      </c>
      <c r="I129" s="125">
        <v>177.0692</v>
      </c>
      <c r="J129" s="125">
        <v>177.0692</v>
      </c>
      <c r="K129" s="125">
        <v>177.0692</v>
      </c>
      <c r="L129" s="164">
        <v>177.0692</v>
      </c>
    </row>
    <row r="130" spans="2:13" x14ac:dyDescent="0.3">
      <c r="B130" s="163" t="s">
        <v>4</v>
      </c>
      <c r="C130" s="125">
        <v>137.1245333</v>
      </c>
      <c r="D130" s="125">
        <v>137.12453333333301</v>
      </c>
      <c r="E130" s="125">
        <v>137.12453333333301</v>
      </c>
      <c r="F130" s="125">
        <v>137.12453333333301</v>
      </c>
      <c r="G130" s="125">
        <v>137.12453333333301</v>
      </c>
      <c r="H130" s="125">
        <v>137.12453333333301</v>
      </c>
      <c r="I130" s="125">
        <v>137.12453333333301</v>
      </c>
      <c r="J130" s="125">
        <v>137.12453333333301</v>
      </c>
      <c r="K130" s="125">
        <v>137.12453333333301</v>
      </c>
      <c r="L130" s="164">
        <v>137.12453333333301</v>
      </c>
    </row>
    <row r="131" spans="2:13" x14ac:dyDescent="0.3">
      <c r="B131" s="163" t="s">
        <v>5</v>
      </c>
      <c r="C131" s="125">
        <v>455.06413329999998</v>
      </c>
      <c r="D131" s="125">
        <v>455.06413333333302</v>
      </c>
      <c r="E131" s="125">
        <v>455.06413333333302</v>
      </c>
      <c r="F131" s="125">
        <v>455.06413333333302</v>
      </c>
      <c r="G131" s="125">
        <v>455.06413333333302</v>
      </c>
      <c r="H131" s="125">
        <v>455.06413333333302</v>
      </c>
      <c r="I131" s="125">
        <v>455.06413333333302</v>
      </c>
      <c r="J131" s="125">
        <v>455.06413333333302</v>
      </c>
      <c r="K131" s="125">
        <v>455.06413333333302</v>
      </c>
      <c r="L131" s="164">
        <v>455.06413333333302</v>
      </c>
    </row>
    <row r="132" spans="2:13" x14ac:dyDescent="0.3">
      <c r="B132" s="163" t="s">
        <v>6</v>
      </c>
      <c r="C132" s="125">
        <v>453.01666669999997</v>
      </c>
      <c r="D132" s="125">
        <v>453.01666666666699</v>
      </c>
      <c r="E132" s="125">
        <v>453.01666666666699</v>
      </c>
      <c r="F132" s="125">
        <v>453.01666666666699</v>
      </c>
      <c r="G132" s="125">
        <v>453.01666666666699</v>
      </c>
      <c r="H132" s="125">
        <v>453.01666666666699</v>
      </c>
      <c r="I132" s="125">
        <v>453.01666666666699</v>
      </c>
      <c r="J132" s="125">
        <v>453.01666666666699</v>
      </c>
      <c r="K132" s="125">
        <v>453.01666666666699</v>
      </c>
      <c r="L132" s="164">
        <v>453.01666666666699</v>
      </c>
    </row>
    <row r="133" spans="2:13" x14ac:dyDescent="0.3">
      <c r="B133" s="165" t="s">
        <v>7</v>
      </c>
      <c r="C133" s="125">
        <v>392.1338667</v>
      </c>
      <c r="D133" s="125">
        <v>392.13386666666702</v>
      </c>
      <c r="E133" s="125">
        <v>392.13386666666702</v>
      </c>
      <c r="F133" s="125">
        <v>392.13386666666702</v>
      </c>
      <c r="G133" s="125">
        <v>392.13386666666702</v>
      </c>
      <c r="H133" s="125">
        <v>392.13386666666702</v>
      </c>
      <c r="I133" s="125">
        <v>392.13386666666702</v>
      </c>
      <c r="J133" s="125">
        <v>392.13386666666702</v>
      </c>
      <c r="K133" s="125">
        <v>392.13386666666702</v>
      </c>
      <c r="L133" s="164">
        <v>392.13386666666702</v>
      </c>
    </row>
    <row r="134" spans="2:13" ht="30.6" customHeight="1" x14ac:dyDescent="0.3">
      <c r="B134" s="132" t="s">
        <v>8</v>
      </c>
      <c r="C134" s="125">
        <v>591.45240000000001</v>
      </c>
      <c r="D134" s="125">
        <v>591.45240000000001</v>
      </c>
      <c r="E134" s="125">
        <v>591.45240000000001</v>
      </c>
      <c r="F134" s="125">
        <v>591.45240000000001</v>
      </c>
      <c r="G134" s="125">
        <v>591.45240000000001</v>
      </c>
      <c r="H134" s="125">
        <v>591.45240000000001</v>
      </c>
      <c r="I134" s="125">
        <v>591.45240000000001</v>
      </c>
      <c r="J134" s="125">
        <v>591.45240000000001</v>
      </c>
      <c r="K134" s="125">
        <v>591.45240000000001</v>
      </c>
      <c r="L134" s="126">
        <v>591.45240000000001</v>
      </c>
    </row>
    <row r="135" spans="2:13" ht="22.8" customHeight="1" x14ac:dyDescent="0.3">
      <c r="B135" s="132" t="s">
        <v>9</v>
      </c>
      <c r="C135" s="125">
        <v>308.28160000000003</v>
      </c>
      <c r="D135" s="125">
        <v>308.28160000000003</v>
      </c>
      <c r="E135" s="125">
        <v>308.28160000000003</v>
      </c>
      <c r="F135" s="125">
        <v>308.28160000000003</v>
      </c>
      <c r="G135" s="125">
        <v>308.28160000000003</v>
      </c>
      <c r="H135" s="125">
        <v>308.28160000000003</v>
      </c>
      <c r="I135" s="125">
        <v>308.28160000000003</v>
      </c>
      <c r="J135" s="125">
        <v>308.28160000000003</v>
      </c>
      <c r="K135" s="125">
        <v>308.28160000000003</v>
      </c>
      <c r="L135" s="126">
        <v>308.28160000000003</v>
      </c>
    </row>
    <row r="136" spans="2:13" ht="15" thickBot="1" x14ac:dyDescent="0.35">
      <c r="B136" s="133" t="s">
        <v>10</v>
      </c>
      <c r="C136" s="127">
        <v>317.64333329999999</v>
      </c>
      <c r="D136" s="127">
        <v>317.64333333333298</v>
      </c>
      <c r="E136" s="127">
        <v>317.64333333333298</v>
      </c>
      <c r="F136" s="127">
        <v>317.64333333333298</v>
      </c>
      <c r="G136" s="127">
        <v>317.64333333333298</v>
      </c>
      <c r="H136" s="127">
        <v>317.64333333333298</v>
      </c>
      <c r="I136" s="127">
        <v>317.64333333333298</v>
      </c>
      <c r="J136" s="127">
        <v>317.64333333333298</v>
      </c>
      <c r="K136" s="127">
        <v>317.64333333333298</v>
      </c>
      <c r="L136" s="128">
        <v>317.64333333333298</v>
      </c>
    </row>
    <row r="137" spans="2:13" x14ac:dyDescent="0.3">
      <c r="B137" s="79" t="s">
        <v>41</v>
      </c>
      <c r="C137" s="80"/>
      <c r="D137" s="80"/>
      <c r="E137" s="80"/>
      <c r="F137" s="80"/>
      <c r="G137" s="80"/>
      <c r="H137" s="80"/>
      <c r="I137" s="80"/>
      <c r="J137" s="80"/>
      <c r="K137" s="80"/>
      <c r="L137" s="81"/>
    </row>
    <row r="138" spans="2:13" x14ac:dyDescent="0.3">
      <c r="B138" s="96" t="s">
        <v>2</v>
      </c>
      <c r="C138" s="80">
        <f>+C111*C129</f>
        <v>0.21218911757101241</v>
      </c>
      <c r="D138" s="80">
        <f t="shared" ref="D138:K138" si="22">+D111*D129</f>
        <v>0.21218911757101241</v>
      </c>
      <c r="E138" s="80">
        <f t="shared" si="22"/>
        <v>0.21218911757101241</v>
      </c>
      <c r="F138" s="80">
        <f t="shared" si="22"/>
        <v>0.21218911757101241</v>
      </c>
      <c r="G138" s="80">
        <f t="shared" si="22"/>
        <v>0.21218911757101241</v>
      </c>
      <c r="H138" s="80">
        <f t="shared" si="22"/>
        <v>0.21218911757101241</v>
      </c>
      <c r="I138" s="80">
        <f t="shared" si="22"/>
        <v>0.21218911757101241</v>
      </c>
      <c r="J138" s="80">
        <f t="shared" si="22"/>
        <v>0.21218911757101241</v>
      </c>
      <c r="K138" s="80">
        <f t="shared" si="22"/>
        <v>0.21218911757101241</v>
      </c>
      <c r="L138" s="81">
        <f>+L111*L129</f>
        <v>0.21218911757101241</v>
      </c>
      <c r="M138" s="166"/>
    </row>
    <row r="139" spans="2:13" x14ac:dyDescent="0.3">
      <c r="B139" s="96" t="s">
        <v>4</v>
      </c>
      <c r="C139" s="80">
        <f t="shared" ref="C139:L139" si="23">+C112*C130</f>
        <v>2.5009994868970575</v>
      </c>
      <c r="D139" s="80">
        <f t="shared" si="23"/>
        <v>2.5009994875050148</v>
      </c>
      <c r="E139" s="80">
        <f t="shared" si="23"/>
        <v>2.5009994875050148</v>
      </c>
      <c r="F139" s="80">
        <f t="shared" si="23"/>
        <v>2.5009994875050148</v>
      </c>
      <c r="G139" s="80">
        <f t="shared" si="23"/>
        <v>2.5009994875050148</v>
      </c>
      <c r="H139" s="80">
        <f t="shared" si="23"/>
        <v>2.5009994875050148</v>
      </c>
      <c r="I139" s="80">
        <f t="shared" si="23"/>
        <v>2.5009994875050148</v>
      </c>
      <c r="J139" s="80">
        <f t="shared" si="23"/>
        <v>2.5009994875050148</v>
      </c>
      <c r="K139" s="80">
        <f t="shared" si="23"/>
        <v>2.5009994875050148</v>
      </c>
      <c r="L139" s="81">
        <f t="shared" si="23"/>
        <v>2.5009994875050148</v>
      </c>
      <c r="M139" s="166"/>
    </row>
    <row r="140" spans="2:13" x14ac:dyDescent="0.3">
      <c r="B140" s="96" t="s">
        <v>5</v>
      </c>
      <c r="C140" s="80">
        <f t="shared" ref="C140:L140" si="24">+C113*C131</f>
        <v>13.3596637756514</v>
      </c>
      <c r="D140" s="80">
        <f t="shared" si="24"/>
        <v>13.359663776629983</v>
      </c>
      <c r="E140" s="80">
        <f t="shared" si="24"/>
        <v>13.359663776629983</v>
      </c>
      <c r="F140" s="80">
        <f t="shared" si="24"/>
        <v>13.359663776629983</v>
      </c>
      <c r="G140" s="80">
        <f t="shared" si="24"/>
        <v>13.359663776629983</v>
      </c>
      <c r="H140" s="80">
        <f t="shared" si="24"/>
        <v>13.359663776629983</v>
      </c>
      <c r="I140" s="80">
        <f t="shared" si="24"/>
        <v>13.359663776629983</v>
      </c>
      <c r="J140" s="80">
        <f t="shared" si="24"/>
        <v>13.359663776629983</v>
      </c>
      <c r="K140" s="80">
        <f t="shared" si="24"/>
        <v>13.359663776629983</v>
      </c>
      <c r="L140" s="81">
        <f t="shared" si="24"/>
        <v>13.359663776629983</v>
      </c>
      <c r="M140" s="166"/>
    </row>
    <row r="141" spans="2:13" x14ac:dyDescent="0.3">
      <c r="B141" s="96" t="s">
        <v>6</v>
      </c>
      <c r="C141" s="80">
        <f t="shared" ref="C141:L141" si="25">+C114*C132</f>
        <v>18.016696378668769</v>
      </c>
      <c r="D141" s="80">
        <f t="shared" si="25"/>
        <v>18.016696377343099</v>
      </c>
      <c r="E141" s="80">
        <f t="shared" si="25"/>
        <v>18.016696377343099</v>
      </c>
      <c r="F141" s="80">
        <f t="shared" si="25"/>
        <v>18.016696377343099</v>
      </c>
      <c r="G141" s="80">
        <f t="shared" si="25"/>
        <v>18.016696377343099</v>
      </c>
      <c r="H141" s="80">
        <f t="shared" si="25"/>
        <v>18.016696377343099</v>
      </c>
      <c r="I141" s="80">
        <f t="shared" si="25"/>
        <v>18.016696377343099</v>
      </c>
      <c r="J141" s="80">
        <f t="shared" si="25"/>
        <v>18.016696377343099</v>
      </c>
      <c r="K141" s="80">
        <f t="shared" si="25"/>
        <v>18.016696377343099</v>
      </c>
      <c r="L141" s="81">
        <f t="shared" si="25"/>
        <v>18.016696377343099</v>
      </c>
      <c r="M141" s="166"/>
    </row>
    <row r="142" spans="2:13" x14ac:dyDescent="0.3">
      <c r="B142" s="97" t="s">
        <v>7</v>
      </c>
      <c r="C142" s="80">
        <f t="shared" ref="C142:L142" si="26">+C115*C133</f>
        <v>1.5507854372027809</v>
      </c>
      <c r="D142" s="80">
        <f t="shared" si="26"/>
        <v>1.5507854370709577</v>
      </c>
      <c r="E142" s="80">
        <f t="shared" si="26"/>
        <v>1.5507854370709577</v>
      </c>
      <c r="F142" s="80">
        <f t="shared" si="26"/>
        <v>1.5507854370709577</v>
      </c>
      <c r="G142" s="80">
        <f t="shared" si="26"/>
        <v>1.5507854370709577</v>
      </c>
      <c r="H142" s="80">
        <f t="shared" si="26"/>
        <v>1.5507854370709577</v>
      </c>
      <c r="I142" s="80">
        <f t="shared" si="26"/>
        <v>1.5507854370709577</v>
      </c>
      <c r="J142" s="80">
        <f t="shared" si="26"/>
        <v>1.5507854370709577</v>
      </c>
      <c r="K142" s="80">
        <f t="shared" si="26"/>
        <v>1.5507854370709577</v>
      </c>
      <c r="L142" s="81">
        <f t="shared" si="26"/>
        <v>1.5507854370709577</v>
      </c>
      <c r="M142" s="166"/>
    </row>
    <row r="143" spans="2:13" x14ac:dyDescent="0.3">
      <c r="B143" s="76" t="s">
        <v>8</v>
      </c>
      <c r="C143" s="80">
        <f t="shared" ref="C143:L143" si="27">+C116*C134</f>
        <v>234.68991106649784</v>
      </c>
      <c r="D143" s="80">
        <f t="shared" si="27"/>
        <v>234.68991106649784</v>
      </c>
      <c r="E143" s="80">
        <f t="shared" si="27"/>
        <v>234.68991106649784</v>
      </c>
      <c r="F143" s="80">
        <f t="shared" si="27"/>
        <v>234.68991106649784</v>
      </c>
      <c r="G143" s="80">
        <f t="shared" si="27"/>
        <v>234.68991106649784</v>
      </c>
      <c r="H143" s="80">
        <f t="shared" si="27"/>
        <v>234.68991106649784</v>
      </c>
      <c r="I143" s="80">
        <f t="shared" si="27"/>
        <v>234.68991106649784</v>
      </c>
      <c r="J143" s="80">
        <f t="shared" si="27"/>
        <v>234.68991106649784</v>
      </c>
      <c r="K143" s="80">
        <f t="shared" si="27"/>
        <v>234.68991106649784</v>
      </c>
      <c r="L143" s="81">
        <f t="shared" si="27"/>
        <v>234.68991106649784</v>
      </c>
      <c r="M143" s="166"/>
    </row>
    <row r="144" spans="2:13" x14ac:dyDescent="0.3">
      <c r="B144" s="76" t="s">
        <v>9</v>
      </c>
      <c r="C144" s="80">
        <f t="shared" ref="C144:L144" si="28">+C117*C135</f>
        <v>2.3843704732190742</v>
      </c>
      <c r="D144" s="80">
        <f t="shared" si="28"/>
        <v>2.3843704732190742</v>
      </c>
      <c r="E144" s="80">
        <f t="shared" si="28"/>
        <v>2.3843704732190742</v>
      </c>
      <c r="F144" s="80">
        <f t="shared" si="28"/>
        <v>2.3843704732190742</v>
      </c>
      <c r="G144" s="80">
        <f t="shared" si="28"/>
        <v>2.3843704732190742</v>
      </c>
      <c r="H144" s="80">
        <f t="shared" si="28"/>
        <v>2.3843704732190742</v>
      </c>
      <c r="I144" s="80">
        <f t="shared" si="28"/>
        <v>2.3843704732190742</v>
      </c>
      <c r="J144" s="80">
        <f t="shared" si="28"/>
        <v>2.3843704732190742</v>
      </c>
      <c r="K144" s="80">
        <f t="shared" si="28"/>
        <v>2.3843704732190742</v>
      </c>
      <c r="L144" s="81">
        <f t="shared" si="28"/>
        <v>2.3843704732190742</v>
      </c>
      <c r="M144" s="166"/>
    </row>
    <row r="145" spans="2:13" ht="15" thickBot="1" x14ac:dyDescent="0.35">
      <c r="B145" s="82" t="s">
        <v>10</v>
      </c>
      <c r="C145" s="83">
        <f t="shared" ref="C145:L145" si="29">+C118*C136</f>
        <v>4.6775683394771752</v>
      </c>
      <c r="D145" s="83">
        <f t="shared" si="29"/>
        <v>4.6775683399680323</v>
      </c>
      <c r="E145" s="83">
        <f t="shared" si="29"/>
        <v>4.6775683399680323</v>
      </c>
      <c r="F145" s="83">
        <f t="shared" si="29"/>
        <v>4.6775683399680323</v>
      </c>
      <c r="G145" s="83">
        <f t="shared" si="29"/>
        <v>4.6775683399680323</v>
      </c>
      <c r="H145" s="83">
        <f t="shared" si="29"/>
        <v>4.6775683399680323</v>
      </c>
      <c r="I145" s="83">
        <f t="shared" si="29"/>
        <v>4.6775683399680323</v>
      </c>
      <c r="J145" s="83">
        <f t="shared" si="29"/>
        <v>4.6775683399680323</v>
      </c>
      <c r="K145" s="83">
        <f t="shared" si="29"/>
        <v>4.6775683399680323</v>
      </c>
      <c r="L145" s="84">
        <f t="shared" si="29"/>
        <v>4.6775683399680323</v>
      </c>
      <c r="M145" s="166"/>
    </row>
    <row r="146" spans="2:13" ht="15" thickBot="1" x14ac:dyDescent="0.35"/>
    <row r="147" spans="2:13" x14ac:dyDescent="0.3">
      <c r="B147" s="88" t="s">
        <v>58</v>
      </c>
      <c r="C147" s="27"/>
      <c r="D147" s="27"/>
      <c r="E147" s="27"/>
      <c r="F147" s="27"/>
      <c r="G147" s="27"/>
      <c r="H147" s="27"/>
      <c r="I147" s="27"/>
      <c r="J147" s="27"/>
      <c r="K147" s="27"/>
      <c r="L147" s="28"/>
    </row>
    <row r="148" spans="2:13" ht="15" thickBot="1" x14ac:dyDescent="0.35">
      <c r="B148" s="168" t="s">
        <v>36</v>
      </c>
      <c r="C148" s="45"/>
      <c r="D148" s="45"/>
      <c r="E148" s="45"/>
      <c r="F148" s="45"/>
      <c r="G148" s="45"/>
      <c r="H148" s="45"/>
      <c r="I148" s="45"/>
      <c r="J148" s="45"/>
      <c r="K148" s="45"/>
      <c r="L148" s="90"/>
    </row>
    <row r="149" spans="2:13" x14ac:dyDescent="0.3">
      <c r="B149" s="85" t="s">
        <v>37</v>
      </c>
      <c r="C149" s="20"/>
      <c r="D149" s="20"/>
      <c r="E149" s="20"/>
      <c r="F149" s="20"/>
      <c r="G149" s="20"/>
      <c r="H149" s="20"/>
      <c r="I149" s="20"/>
      <c r="J149" s="20"/>
      <c r="K149" s="20"/>
      <c r="L149" s="21"/>
    </row>
    <row r="150" spans="2:13" x14ac:dyDescent="0.3">
      <c r="B150" s="96" t="s">
        <v>2</v>
      </c>
      <c r="C150" s="91">
        <v>0.110957413914077</v>
      </c>
      <c r="D150" s="91">
        <v>0.22191482782815344</v>
      </c>
      <c r="E150" s="91">
        <v>0.33287224174223018</v>
      </c>
      <c r="F150" s="91">
        <v>0.44382965565630689</v>
      </c>
      <c r="G150" s="91">
        <v>0.55478706957038371</v>
      </c>
      <c r="H150" s="91">
        <v>0.66574448348446036</v>
      </c>
      <c r="I150" s="91">
        <v>0.77670189739853712</v>
      </c>
      <c r="J150" s="91">
        <v>0.88765931131261377</v>
      </c>
      <c r="K150" s="91">
        <v>0.99861672522669054</v>
      </c>
      <c r="L150" s="98">
        <v>1.1095741391407674</v>
      </c>
    </row>
    <row r="151" spans="2:13" x14ac:dyDescent="0.3">
      <c r="B151" s="96" t="s">
        <v>4</v>
      </c>
      <c r="C151" s="91">
        <v>1.6887862513844032</v>
      </c>
      <c r="D151" s="91">
        <v>3.3775725027688064</v>
      </c>
      <c r="E151" s="91">
        <v>5.0663587541532094</v>
      </c>
      <c r="F151" s="91">
        <v>6.7551450055376128</v>
      </c>
      <c r="G151" s="91">
        <v>8.4439312569220171</v>
      </c>
      <c r="H151" s="91">
        <v>10.132717508306419</v>
      </c>
      <c r="I151" s="91">
        <v>11.821503759690822</v>
      </c>
      <c r="J151" s="91">
        <v>13.510290011075226</v>
      </c>
      <c r="K151" s="91">
        <v>15.199076262459629</v>
      </c>
      <c r="L151" s="98">
        <v>16.887862513844034</v>
      </c>
    </row>
    <row r="152" spans="2:13" x14ac:dyDescent="0.3">
      <c r="B152" s="96" t="s">
        <v>5</v>
      </c>
      <c r="C152" s="91">
        <v>2.7183111448104702</v>
      </c>
      <c r="D152" s="91">
        <v>5.4366222896209404</v>
      </c>
      <c r="E152" s="91">
        <v>8.1549334344314097</v>
      </c>
      <c r="F152" s="91">
        <v>10.873244579241881</v>
      </c>
      <c r="G152" s="91">
        <v>13.59155572405235</v>
      </c>
      <c r="H152" s="91">
        <v>16.309866868862819</v>
      </c>
      <c r="I152" s="91">
        <v>19.028178013673291</v>
      </c>
      <c r="J152" s="91">
        <v>21.746489158483762</v>
      </c>
      <c r="K152" s="91">
        <v>24.464800303294229</v>
      </c>
      <c r="L152" s="98">
        <v>27.1831114481047</v>
      </c>
    </row>
    <row r="153" spans="2:13" x14ac:dyDescent="0.3">
      <c r="B153" s="96" t="s">
        <v>6</v>
      </c>
      <c r="C153" s="91">
        <v>3.6824530978222305</v>
      </c>
      <c r="D153" s="91">
        <v>7.364906195644461</v>
      </c>
      <c r="E153" s="91">
        <v>11.047359293466693</v>
      </c>
      <c r="F153" s="91">
        <v>14.729812391288922</v>
      </c>
      <c r="G153" s="91">
        <v>18.412265489111153</v>
      </c>
      <c r="H153" s="91">
        <v>22.094718586933386</v>
      </c>
      <c r="I153" s="91">
        <v>25.777171684755611</v>
      </c>
      <c r="J153" s="91">
        <v>29.459624782577844</v>
      </c>
      <c r="K153" s="91">
        <v>33.142077880400073</v>
      </c>
      <c r="L153" s="98">
        <v>36.824530978222306</v>
      </c>
    </row>
    <row r="154" spans="2:13" x14ac:dyDescent="0.3">
      <c r="B154" s="97" t="s">
        <v>7</v>
      </c>
      <c r="C154" s="91">
        <v>0.36617914538683949</v>
      </c>
      <c r="D154" s="91">
        <v>0.73235829077367898</v>
      </c>
      <c r="E154" s="91">
        <v>1.0985374361605185</v>
      </c>
      <c r="F154" s="91">
        <v>1.464716581547358</v>
      </c>
      <c r="G154" s="91">
        <v>1.8308957269341974</v>
      </c>
      <c r="H154" s="91">
        <v>2.1970748723210369</v>
      </c>
      <c r="I154" s="91">
        <v>2.5632540177078762</v>
      </c>
      <c r="J154" s="91">
        <v>2.9294331630947159</v>
      </c>
      <c r="K154" s="91">
        <v>3.2956123084815552</v>
      </c>
      <c r="L154" s="98">
        <v>3.6617914538683949</v>
      </c>
    </row>
    <row r="155" spans="2:13" x14ac:dyDescent="0.3">
      <c r="B155" s="76" t="s">
        <v>8</v>
      </c>
      <c r="C155" s="80">
        <v>36.7409910264495</v>
      </c>
      <c r="D155" s="80">
        <v>73.481982052898999</v>
      </c>
      <c r="E155" s="80">
        <v>110.22297307934849</v>
      </c>
      <c r="F155" s="80">
        <v>146.963964105798</v>
      </c>
      <c r="G155" s="80">
        <v>183.70495513224748</v>
      </c>
      <c r="H155" s="80">
        <v>220.44594615869698</v>
      </c>
      <c r="I155" s="80">
        <v>257.18693718514652</v>
      </c>
      <c r="J155" s="80">
        <v>293.927928211596</v>
      </c>
      <c r="K155" s="80">
        <v>330.66891923804548</v>
      </c>
      <c r="L155" s="81">
        <v>367.40991026449495</v>
      </c>
    </row>
    <row r="156" spans="2:13" x14ac:dyDescent="0.3">
      <c r="B156" s="76" t="s">
        <v>9</v>
      </c>
      <c r="C156" s="80">
        <v>0.71614732704313455</v>
      </c>
      <c r="D156" s="80">
        <v>1.4322946540862691</v>
      </c>
      <c r="E156" s="80">
        <v>2.1484419811294035</v>
      </c>
      <c r="F156" s="80">
        <v>2.8645893081725382</v>
      </c>
      <c r="G156" s="80">
        <v>3.5807366352156724</v>
      </c>
      <c r="H156" s="80">
        <v>4.2968839622588071</v>
      </c>
      <c r="I156" s="80">
        <v>5.0130312893019422</v>
      </c>
      <c r="J156" s="80">
        <v>5.7291786163450764</v>
      </c>
      <c r="K156" s="80">
        <v>6.4453259433882106</v>
      </c>
      <c r="L156" s="81">
        <v>7.1614732704313449</v>
      </c>
    </row>
    <row r="157" spans="2:13" ht="15" thickBot="1" x14ac:dyDescent="0.35">
      <c r="B157" s="82" t="s">
        <v>10</v>
      </c>
      <c r="C157" s="83">
        <v>1.3635047053613696</v>
      </c>
      <c r="D157" s="83">
        <v>2.7270094107227392</v>
      </c>
      <c r="E157" s="83">
        <v>4.0905141160841083</v>
      </c>
      <c r="F157" s="83">
        <v>5.4540188214454783</v>
      </c>
      <c r="G157" s="83">
        <v>6.8175235268068484</v>
      </c>
      <c r="H157" s="83">
        <v>8.1810282321682166</v>
      </c>
      <c r="I157" s="83">
        <v>9.5445329375295884</v>
      </c>
      <c r="J157" s="83">
        <v>10.908037642890957</v>
      </c>
      <c r="K157" s="83">
        <v>12.271542348252325</v>
      </c>
      <c r="L157" s="84">
        <v>13.635047053613697</v>
      </c>
    </row>
    <row r="158" spans="2:13" x14ac:dyDescent="0.3">
      <c r="B158" s="86" t="s">
        <v>40</v>
      </c>
      <c r="C158" s="87"/>
      <c r="D158" s="87"/>
      <c r="E158" s="87"/>
      <c r="F158" s="87"/>
      <c r="G158" s="87"/>
      <c r="H158" s="87"/>
      <c r="I158" s="87"/>
      <c r="J158" s="87"/>
      <c r="K158" s="87"/>
      <c r="L158" s="21"/>
    </row>
    <row r="159" spans="2:13" x14ac:dyDescent="0.3">
      <c r="B159" s="96" t="s">
        <v>2</v>
      </c>
      <c r="C159" s="80">
        <f t="shared" ref="C159:L159" si="30">+C168/C150</f>
        <v>2.1369333333333329</v>
      </c>
      <c r="D159" s="80">
        <f t="shared" si="30"/>
        <v>2.1369333333333334</v>
      </c>
      <c r="E159" s="80">
        <f t="shared" si="30"/>
        <v>2.1369333333333329</v>
      </c>
      <c r="F159" s="80">
        <f t="shared" si="30"/>
        <v>2.1369333333333334</v>
      </c>
      <c r="G159" s="80">
        <f t="shared" si="30"/>
        <v>2.1369333333333325</v>
      </c>
      <c r="H159" s="80">
        <f t="shared" si="30"/>
        <v>2.1369333333333329</v>
      </c>
      <c r="I159" s="80">
        <f t="shared" si="30"/>
        <v>2.1369333333333329</v>
      </c>
      <c r="J159" s="80">
        <f t="shared" si="30"/>
        <v>2.1369333333333334</v>
      </c>
      <c r="K159" s="80">
        <f t="shared" si="30"/>
        <v>2.1369333333333329</v>
      </c>
      <c r="L159" s="98">
        <f t="shared" si="30"/>
        <v>2.1369333333333325</v>
      </c>
    </row>
    <row r="160" spans="2:13" x14ac:dyDescent="0.3">
      <c r="B160" s="96" t="s">
        <v>4</v>
      </c>
      <c r="C160" s="80">
        <f t="shared" ref="C160:L160" si="31">+C169/C151</f>
        <v>2.1369333333333329</v>
      </c>
      <c r="D160" s="80">
        <f t="shared" si="31"/>
        <v>2.1369333333333329</v>
      </c>
      <c r="E160" s="80">
        <f t="shared" si="31"/>
        <v>2.1369333333333334</v>
      </c>
      <c r="F160" s="80">
        <f t="shared" si="31"/>
        <v>2.1369333333333329</v>
      </c>
      <c r="G160" s="80">
        <f t="shared" si="31"/>
        <v>2.1369333333333334</v>
      </c>
      <c r="H160" s="80">
        <f t="shared" si="31"/>
        <v>2.1369333333333334</v>
      </c>
      <c r="I160" s="80">
        <f t="shared" si="31"/>
        <v>2.1369333333333329</v>
      </c>
      <c r="J160" s="80">
        <f t="shared" si="31"/>
        <v>2.1369333333333329</v>
      </c>
      <c r="K160" s="80">
        <f t="shared" si="31"/>
        <v>2.1369333333333334</v>
      </c>
      <c r="L160" s="98">
        <f t="shared" si="31"/>
        <v>2.1369333333333334</v>
      </c>
    </row>
    <row r="161" spans="2:12" x14ac:dyDescent="0.3">
      <c r="B161" s="96" t="s">
        <v>5</v>
      </c>
      <c r="C161" s="80">
        <f t="shared" ref="C161:L161" si="32">+C170/C152</f>
        <v>2.991706666666667</v>
      </c>
      <c r="D161" s="80">
        <f t="shared" si="32"/>
        <v>2.991706666666667</v>
      </c>
      <c r="E161" s="80">
        <f t="shared" si="32"/>
        <v>2.9917066666666661</v>
      </c>
      <c r="F161" s="80">
        <f t="shared" si="32"/>
        <v>2.991706666666667</v>
      </c>
      <c r="G161" s="80">
        <f t="shared" si="32"/>
        <v>2.9917066666666665</v>
      </c>
      <c r="H161" s="80">
        <f t="shared" si="32"/>
        <v>2.9917066666666661</v>
      </c>
      <c r="I161" s="80">
        <f t="shared" si="32"/>
        <v>2.991706666666667</v>
      </c>
      <c r="J161" s="80">
        <f t="shared" si="32"/>
        <v>2.991706666666667</v>
      </c>
      <c r="K161" s="80">
        <f t="shared" si="32"/>
        <v>2.9917066666666661</v>
      </c>
      <c r="L161" s="98">
        <f t="shared" si="32"/>
        <v>2.9917066666666665</v>
      </c>
    </row>
    <row r="162" spans="2:12" x14ac:dyDescent="0.3">
      <c r="B162" s="96" t="s">
        <v>6</v>
      </c>
      <c r="C162" s="80">
        <f t="shared" ref="C162:L162" si="33">+C171/C153</f>
        <v>6.6244933333333327</v>
      </c>
      <c r="D162" s="80">
        <f t="shared" si="33"/>
        <v>6.6244933333333327</v>
      </c>
      <c r="E162" s="80">
        <f t="shared" si="33"/>
        <v>6.6244933333333336</v>
      </c>
      <c r="F162" s="80">
        <f t="shared" si="33"/>
        <v>6.6244933333333327</v>
      </c>
      <c r="G162" s="80">
        <f t="shared" si="33"/>
        <v>6.6244933333333318</v>
      </c>
      <c r="H162" s="80">
        <f t="shared" si="33"/>
        <v>6.6244933333333336</v>
      </c>
      <c r="I162" s="80">
        <f t="shared" si="33"/>
        <v>6.6244933333333327</v>
      </c>
      <c r="J162" s="80">
        <f t="shared" si="33"/>
        <v>6.6244933333333327</v>
      </c>
      <c r="K162" s="80">
        <f t="shared" si="33"/>
        <v>6.6244933333333318</v>
      </c>
      <c r="L162" s="98">
        <f t="shared" si="33"/>
        <v>6.6244933333333318</v>
      </c>
    </row>
    <row r="163" spans="2:12" x14ac:dyDescent="0.3">
      <c r="B163" s="97" t="s">
        <v>7</v>
      </c>
      <c r="C163" s="80">
        <f t="shared" ref="C163:L163" si="34">+C172/C154</f>
        <v>2.9917066666666656</v>
      </c>
      <c r="D163" s="80">
        <f t="shared" si="34"/>
        <v>2.9917066666666656</v>
      </c>
      <c r="E163" s="80">
        <f t="shared" si="34"/>
        <v>2.9917066666666665</v>
      </c>
      <c r="F163" s="80">
        <f t="shared" si="34"/>
        <v>2.9917066666666656</v>
      </c>
      <c r="G163" s="80">
        <f t="shared" si="34"/>
        <v>2.9917066666666665</v>
      </c>
      <c r="H163" s="80">
        <f t="shared" si="34"/>
        <v>2.9917066666666665</v>
      </c>
      <c r="I163" s="80">
        <f t="shared" si="34"/>
        <v>2.9917066666666665</v>
      </c>
      <c r="J163" s="80">
        <f t="shared" si="34"/>
        <v>2.9917066666666656</v>
      </c>
      <c r="K163" s="80">
        <f t="shared" si="34"/>
        <v>2.9917066666666661</v>
      </c>
      <c r="L163" s="98">
        <f t="shared" si="34"/>
        <v>2.9917066666666665</v>
      </c>
    </row>
    <row r="164" spans="2:12" ht="30.6" customHeight="1" x14ac:dyDescent="0.3">
      <c r="B164" s="76" t="s">
        <v>8</v>
      </c>
      <c r="C164" s="80">
        <f t="shared" ref="C164:L164" si="35">+C173/C155</f>
        <v>6.6244933333333327</v>
      </c>
      <c r="D164" s="80">
        <f t="shared" si="35"/>
        <v>6.6244933333333327</v>
      </c>
      <c r="E164" s="80">
        <f t="shared" si="35"/>
        <v>6.6244933333333318</v>
      </c>
      <c r="F164" s="80">
        <f t="shared" si="35"/>
        <v>6.6244933333333327</v>
      </c>
      <c r="G164" s="80">
        <f t="shared" si="35"/>
        <v>6.6244933333333327</v>
      </c>
      <c r="H164" s="80">
        <f t="shared" si="35"/>
        <v>6.6244933333333318</v>
      </c>
      <c r="I164" s="80">
        <f t="shared" si="35"/>
        <v>6.6244933333333318</v>
      </c>
      <c r="J164" s="80">
        <f t="shared" si="35"/>
        <v>6.6244933333333327</v>
      </c>
      <c r="K164" s="80">
        <f t="shared" si="35"/>
        <v>6.6244933333333336</v>
      </c>
      <c r="L164" s="81">
        <f t="shared" si="35"/>
        <v>6.6244933333333327</v>
      </c>
    </row>
    <row r="165" spans="2:12" ht="22.8" customHeight="1" x14ac:dyDescent="0.3">
      <c r="B165" s="76" t="s">
        <v>9</v>
      </c>
      <c r="C165" s="80">
        <f t="shared" ref="C165:L165" si="36">+C174/C156</f>
        <v>6.6244933333333309</v>
      </c>
      <c r="D165" s="80">
        <f t="shared" si="36"/>
        <v>6.6244933333333309</v>
      </c>
      <c r="E165" s="80">
        <f t="shared" si="36"/>
        <v>6.6244933333333336</v>
      </c>
      <c r="F165" s="80">
        <f t="shared" si="36"/>
        <v>6.6244933333333309</v>
      </c>
      <c r="G165" s="80">
        <f t="shared" si="36"/>
        <v>6.6244933333333318</v>
      </c>
      <c r="H165" s="80">
        <f t="shared" si="36"/>
        <v>6.6244933333333336</v>
      </c>
      <c r="I165" s="80">
        <f t="shared" si="36"/>
        <v>6.6244933333333318</v>
      </c>
      <c r="J165" s="80">
        <f t="shared" si="36"/>
        <v>6.6244933333333309</v>
      </c>
      <c r="K165" s="80">
        <f t="shared" si="36"/>
        <v>6.6244933333333327</v>
      </c>
      <c r="L165" s="81">
        <f t="shared" si="36"/>
        <v>6.6244933333333318</v>
      </c>
    </row>
    <row r="166" spans="2:12" ht="15" thickBot="1" x14ac:dyDescent="0.35">
      <c r="B166" s="82" t="s">
        <v>10</v>
      </c>
      <c r="C166" s="83">
        <f t="shared" ref="C166:L166" si="37">+C175/C157</f>
        <v>6.6244933333333318</v>
      </c>
      <c r="D166" s="83">
        <f t="shared" si="37"/>
        <v>6.6244933333333318</v>
      </c>
      <c r="E166" s="83">
        <f t="shared" si="37"/>
        <v>6.6244933333333336</v>
      </c>
      <c r="F166" s="83">
        <f t="shared" si="37"/>
        <v>6.6244933333333318</v>
      </c>
      <c r="G166" s="83">
        <f t="shared" si="37"/>
        <v>6.6244933333333318</v>
      </c>
      <c r="H166" s="83">
        <f t="shared" si="37"/>
        <v>6.6244933333333336</v>
      </c>
      <c r="I166" s="83">
        <f t="shared" si="37"/>
        <v>6.6244933333333318</v>
      </c>
      <c r="J166" s="83">
        <f t="shared" si="37"/>
        <v>6.6244933333333318</v>
      </c>
      <c r="K166" s="83">
        <f t="shared" si="37"/>
        <v>6.6244933333333336</v>
      </c>
      <c r="L166" s="84">
        <f t="shared" si="37"/>
        <v>6.6244933333333318</v>
      </c>
    </row>
    <row r="167" spans="2:12" x14ac:dyDescent="0.3">
      <c r="B167" s="140" t="s">
        <v>41</v>
      </c>
      <c r="C167" s="125"/>
      <c r="D167" s="125"/>
      <c r="E167" s="125"/>
      <c r="F167" s="125"/>
      <c r="G167" s="125"/>
      <c r="H167" s="125"/>
      <c r="I167" s="125"/>
      <c r="J167" s="125"/>
      <c r="K167" s="125"/>
      <c r="L167" s="126"/>
    </row>
    <row r="168" spans="2:12" x14ac:dyDescent="0.3">
      <c r="B168" s="163" t="s">
        <v>2</v>
      </c>
      <c r="C168" s="125">
        <v>0.23710859637345488</v>
      </c>
      <c r="D168" s="125">
        <v>0.47421719274690871</v>
      </c>
      <c r="E168" s="125">
        <v>0.71132578912036293</v>
      </c>
      <c r="F168" s="125">
        <v>0.94843438549381742</v>
      </c>
      <c r="G168" s="125">
        <v>1.1855429818672714</v>
      </c>
      <c r="H168" s="125">
        <v>1.4226515782407259</v>
      </c>
      <c r="I168" s="125">
        <v>1.6597601746141804</v>
      </c>
      <c r="J168" s="125">
        <v>1.8968687709876348</v>
      </c>
      <c r="K168" s="125">
        <v>2.1339773673610889</v>
      </c>
      <c r="L168" s="126">
        <v>2.3710859637345427</v>
      </c>
    </row>
    <row r="169" spans="2:12" x14ac:dyDescent="0.3">
      <c r="B169" s="163" t="s">
        <v>4</v>
      </c>
      <c r="C169" s="125">
        <v>3.6088236334583765</v>
      </c>
      <c r="D169" s="125">
        <v>7.2176472669167531</v>
      </c>
      <c r="E169" s="125">
        <v>10.826470900375131</v>
      </c>
      <c r="F169" s="125">
        <v>14.435294533833506</v>
      </c>
      <c r="G169" s="125">
        <v>18.044118167291888</v>
      </c>
      <c r="H169" s="125">
        <v>21.652941800750263</v>
      </c>
      <c r="I169" s="125">
        <v>25.261765434208638</v>
      </c>
      <c r="J169" s="125">
        <v>28.870589067667012</v>
      </c>
      <c r="K169" s="125">
        <v>32.479412701125398</v>
      </c>
      <c r="L169" s="126">
        <v>36.088236334583776</v>
      </c>
    </row>
    <row r="170" spans="2:12" x14ac:dyDescent="0.3">
      <c r="B170" s="163" t="s">
        <v>5</v>
      </c>
      <c r="C170" s="125">
        <v>8.132389574003783</v>
      </c>
      <c r="D170" s="125">
        <v>16.264779148007566</v>
      </c>
      <c r="E170" s="125">
        <v>24.39716872201134</v>
      </c>
      <c r="F170" s="125">
        <v>32.529558296015132</v>
      </c>
      <c r="G170" s="125">
        <v>40.661947870018906</v>
      </c>
      <c r="H170" s="125">
        <v>48.79433744402268</v>
      </c>
      <c r="I170" s="125">
        <v>56.926727018026483</v>
      </c>
      <c r="J170" s="125">
        <v>65.059116592030264</v>
      </c>
      <c r="K170" s="125">
        <v>73.191506166034017</v>
      </c>
      <c r="L170" s="126">
        <v>81.323895740037813</v>
      </c>
    </row>
    <row r="171" spans="2:12" x14ac:dyDescent="0.3">
      <c r="B171" s="163" t="s">
        <v>6</v>
      </c>
      <c r="C171" s="125">
        <v>24.394385996836046</v>
      </c>
      <c r="D171" s="125">
        <v>48.788771993672093</v>
      </c>
      <c r="E171" s="125">
        <v>73.18315799050815</v>
      </c>
      <c r="F171" s="125">
        <v>97.577543987344185</v>
      </c>
      <c r="G171" s="125">
        <v>121.97192998418021</v>
      </c>
      <c r="H171" s="125">
        <v>146.3663159810163</v>
      </c>
      <c r="I171" s="125">
        <v>170.76070197785231</v>
      </c>
      <c r="J171" s="125">
        <v>195.15508797468837</v>
      </c>
      <c r="K171" s="125">
        <v>219.54947397152438</v>
      </c>
      <c r="L171" s="126">
        <v>243.94385996836041</v>
      </c>
    </row>
    <row r="172" spans="2:12" x14ac:dyDescent="0.3">
      <c r="B172" s="165" t="s">
        <v>7</v>
      </c>
      <c r="C172" s="125">
        <v>1.0955005904481099</v>
      </c>
      <c r="D172" s="125">
        <v>2.1910011808962198</v>
      </c>
      <c r="E172" s="125">
        <v>3.2865017713443305</v>
      </c>
      <c r="F172" s="125">
        <v>4.3820023617924395</v>
      </c>
      <c r="G172" s="125">
        <v>5.4775029522405507</v>
      </c>
      <c r="H172" s="125">
        <v>6.573003542688661</v>
      </c>
      <c r="I172" s="125">
        <v>7.6685041331367705</v>
      </c>
      <c r="J172" s="125">
        <v>8.764004723584879</v>
      </c>
      <c r="K172" s="125">
        <v>9.8595053140329902</v>
      </c>
      <c r="L172" s="126">
        <v>10.955005904481101</v>
      </c>
    </row>
    <row r="173" spans="2:12" x14ac:dyDescent="0.3">
      <c r="B173" s="132" t="s">
        <v>8</v>
      </c>
      <c r="C173" s="125">
        <v>243.39045011477452</v>
      </c>
      <c r="D173" s="125">
        <v>486.78090022954905</v>
      </c>
      <c r="E173" s="125">
        <v>730.1713503443234</v>
      </c>
      <c r="F173" s="125">
        <v>973.56180045909809</v>
      </c>
      <c r="G173" s="125">
        <v>1216.9522505738723</v>
      </c>
      <c r="H173" s="125">
        <v>1460.3427006886468</v>
      </c>
      <c r="I173" s="125">
        <v>1703.7331508034215</v>
      </c>
      <c r="J173" s="125">
        <v>1947.1236009181962</v>
      </c>
      <c r="K173" s="125">
        <v>2190.5140510329707</v>
      </c>
      <c r="L173" s="126">
        <v>2433.9045011477447</v>
      </c>
    </row>
    <row r="174" spans="2:12" x14ac:dyDescent="0.3">
      <c r="B174" s="132" t="s">
        <v>9</v>
      </c>
      <c r="C174" s="125">
        <v>4.7441131936817298</v>
      </c>
      <c r="D174" s="125">
        <v>9.4882263873634596</v>
      </c>
      <c r="E174" s="125">
        <v>14.232339581045194</v>
      </c>
      <c r="F174" s="125">
        <v>18.976452774726919</v>
      </c>
      <c r="G174" s="125">
        <v>23.72056596840865</v>
      </c>
      <c r="H174" s="125">
        <v>28.464679162090388</v>
      </c>
      <c r="I174" s="125">
        <v>33.208792355772111</v>
      </c>
      <c r="J174" s="125">
        <v>37.952905549453838</v>
      </c>
      <c r="K174" s="125">
        <v>42.697018743135573</v>
      </c>
      <c r="L174" s="126">
        <v>47.4411319368173</v>
      </c>
    </row>
    <row r="175" spans="2:12" ht="15" thickBot="1" x14ac:dyDescent="0.35">
      <c r="B175" s="133" t="s">
        <v>10</v>
      </c>
      <c r="C175" s="127">
        <v>9.0325278306350221</v>
      </c>
      <c r="D175" s="127">
        <v>18.065055661270044</v>
      </c>
      <c r="E175" s="127">
        <v>27.09758349190507</v>
      </c>
      <c r="F175" s="127">
        <v>36.130111322540088</v>
      </c>
      <c r="G175" s="127">
        <v>45.162639153175114</v>
      </c>
      <c r="H175" s="127">
        <v>54.19516698381014</v>
      </c>
      <c r="I175" s="127">
        <v>63.227694814445158</v>
      </c>
      <c r="J175" s="127">
        <v>72.260222645080177</v>
      </c>
      <c r="K175" s="127">
        <v>81.292750475715209</v>
      </c>
      <c r="L175" s="128">
        <v>90.325278306350228</v>
      </c>
    </row>
    <row r="178" spans="3:12" x14ac:dyDescent="0.3">
      <c r="C178" s="226"/>
      <c r="D178" s="226"/>
      <c r="E178" s="226"/>
      <c r="F178" s="226"/>
      <c r="G178" s="226"/>
      <c r="H178" s="226"/>
      <c r="I178" s="226"/>
      <c r="J178" s="226"/>
      <c r="K178" s="226"/>
      <c r="L178" s="226"/>
    </row>
  </sheetData>
  <mergeCells count="2">
    <mergeCell ref="A110:A118"/>
    <mergeCell ref="A56:A6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E677-C6CB-4FEF-A465-38FEA473E338}">
  <sheetPr>
    <tabColor theme="7" tint="-0.249977111117893"/>
  </sheetPr>
  <dimension ref="A1:FB114"/>
  <sheetViews>
    <sheetView tabSelected="1" workbookViewId="0">
      <selection activeCell="B13" sqref="B13"/>
    </sheetView>
  </sheetViews>
  <sheetFormatPr baseColWidth="10" defaultRowHeight="14.4" x14ac:dyDescent="0.3"/>
  <cols>
    <col min="1" max="1" width="21" customWidth="1"/>
    <col min="28" max="158" width="11.5546875" style="153"/>
  </cols>
  <sheetData>
    <row r="1" spans="1:158" s="153" customFormat="1" ht="30" customHeight="1" thickBot="1" x14ac:dyDescent="0.35">
      <c r="A1" s="312" t="s">
        <v>222</v>
      </c>
      <c r="B1" s="313">
        <v>2010</v>
      </c>
      <c r="C1" s="313">
        <v>2011</v>
      </c>
      <c r="D1" s="313">
        <v>2012</v>
      </c>
      <c r="E1" s="313">
        <v>2013</v>
      </c>
      <c r="F1" s="313">
        <v>2014</v>
      </c>
      <c r="G1" s="313">
        <v>2015</v>
      </c>
      <c r="H1" s="313">
        <v>2016</v>
      </c>
      <c r="I1" s="313">
        <v>2017</v>
      </c>
      <c r="J1" s="313">
        <v>2018</v>
      </c>
      <c r="K1" s="313">
        <v>2019</v>
      </c>
      <c r="L1" s="313">
        <v>2020</v>
      </c>
      <c r="M1" s="313">
        <v>2021</v>
      </c>
      <c r="N1" s="313">
        <v>2022</v>
      </c>
      <c r="O1" s="314">
        <v>2023</v>
      </c>
      <c r="P1" s="313">
        <v>2024</v>
      </c>
      <c r="Q1" s="313">
        <v>2025</v>
      </c>
      <c r="R1" s="313">
        <v>2026</v>
      </c>
      <c r="S1" s="313">
        <v>2027</v>
      </c>
      <c r="T1" s="313">
        <v>2028</v>
      </c>
      <c r="U1" s="313">
        <v>2029</v>
      </c>
      <c r="V1" s="313">
        <v>2030</v>
      </c>
      <c r="W1" s="313">
        <v>2031</v>
      </c>
      <c r="X1" s="313">
        <v>2032</v>
      </c>
      <c r="Y1" s="313">
        <v>2033</v>
      </c>
      <c r="Z1" s="313">
        <v>2034</v>
      </c>
      <c r="AA1" s="315">
        <v>2035</v>
      </c>
    </row>
    <row r="2" spans="1:158" s="291" customFormat="1" x14ac:dyDescent="0.3">
      <c r="A2" s="296" t="s">
        <v>109</v>
      </c>
      <c r="B2" s="292">
        <v>46.891995051498583</v>
      </c>
      <c r="C2" s="292">
        <v>41.733744411782851</v>
      </c>
      <c r="D2" s="292">
        <v>37.327848447742468</v>
      </c>
      <c r="E2" s="292">
        <v>36.149869003324405</v>
      </c>
      <c r="F2" s="292">
        <v>34.992312046761022</v>
      </c>
      <c r="G2" s="292">
        <v>33.100095380309689</v>
      </c>
      <c r="H2" s="292">
        <v>31.219012807238169</v>
      </c>
      <c r="I2" s="292">
        <v>30.525814519120186</v>
      </c>
      <c r="J2" s="292">
        <v>29.830812399314006</v>
      </c>
      <c r="K2" s="292">
        <v>26.38305035295042</v>
      </c>
      <c r="L2" s="292">
        <v>24.86042741000961</v>
      </c>
      <c r="M2" s="292">
        <v>25.480803523054082</v>
      </c>
      <c r="N2" s="292">
        <v>23.893850201370661</v>
      </c>
      <c r="O2" s="293">
        <v>32.491510427267393</v>
      </c>
      <c r="P2" s="293">
        <v>32.491510427267393</v>
      </c>
      <c r="Q2" s="293">
        <v>32.491510427267393</v>
      </c>
      <c r="R2" s="293">
        <v>32.491510427267393</v>
      </c>
      <c r="S2" s="293">
        <v>32.491510427267393</v>
      </c>
      <c r="T2" s="293">
        <v>32.491510427267393</v>
      </c>
      <c r="U2" s="293">
        <v>32.491510427267393</v>
      </c>
      <c r="V2" s="293">
        <v>32.491510427267393</v>
      </c>
      <c r="W2" s="293">
        <v>32.491510427267393</v>
      </c>
      <c r="X2" s="293">
        <v>32.491510427267393</v>
      </c>
      <c r="Y2" s="293">
        <v>32.491510427267393</v>
      </c>
      <c r="Z2" s="293">
        <v>32.491510427267393</v>
      </c>
      <c r="AA2" s="293">
        <v>32.491510427267393</v>
      </c>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c r="BM2" s="153"/>
      <c r="BN2" s="153"/>
      <c r="BO2" s="153"/>
      <c r="BP2" s="153"/>
      <c r="BQ2" s="153"/>
      <c r="BR2" s="153"/>
      <c r="BS2" s="153"/>
      <c r="BT2" s="153"/>
      <c r="BU2" s="153"/>
      <c r="BV2" s="153"/>
      <c r="BW2" s="153"/>
      <c r="BX2" s="153"/>
      <c r="BY2" s="153"/>
      <c r="BZ2" s="153"/>
      <c r="CA2" s="153"/>
      <c r="CB2" s="153"/>
      <c r="CC2" s="153"/>
      <c r="CD2" s="153"/>
      <c r="CE2" s="153"/>
      <c r="CF2" s="153"/>
      <c r="CG2" s="153"/>
      <c r="CH2" s="153"/>
      <c r="CI2" s="153"/>
      <c r="CJ2" s="153"/>
      <c r="CK2" s="153"/>
      <c r="CL2" s="153"/>
      <c r="CM2" s="153"/>
      <c r="CN2" s="153"/>
      <c r="CO2" s="153"/>
      <c r="CP2" s="153"/>
      <c r="CQ2" s="153"/>
      <c r="CR2" s="153"/>
      <c r="CS2" s="153"/>
      <c r="CT2" s="153"/>
      <c r="CU2" s="153"/>
      <c r="CV2" s="153"/>
      <c r="CW2" s="153"/>
      <c r="CX2" s="153"/>
      <c r="CY2" s="153"/>
      <c r="CZ2" s="153"/>
      <c r="DA2" s="153"/>
      <c r="DB2" s="153"/>
      <c r="DC2" s="153"/>
      <c r="DD2" s="153"/>
      <c r="DE2" s="153"/>
      <c r="DF2" s="153"/>
      <c r="DG2" s="153"/>
      <c r="DH2" s="153"/>
      <c r="DI2" s="153"/>
      <c r="DJ2" s="153"/>
      <c r="DK2" s="153"/>
      <c r="DL2" s="153"/>
      <c r="DM2" s="153"/>
      <c r="DN2" s="153"/>
      <c r="DO2" s="153"/>
      <c r="DP2" s="153"/>
      <c r="DQ2" s="153"/>
      <c r="DR2" s="153"/>
      <c r="DS2" s="153"/>
      <c r="DT2" s="153"/>
      <c r="DU2" s="153"/>
      <c r="DV2" s="153"/>
      <c r="DW2" s="153"/>
      <c r="DX2" s="153"/>
      <c r="DY2" s="153"/>
      <c r="DZ2" s="153"/>
      <c r="EA2" s="153"/>
      <c r="EB2" s="153"/>
      <c r="EC2" s="153"/>
      <c r="ED2" s="153"/>
      <c r="EE2" s="153"/>
      <c r="EF2" s="153"/>
      <c r="EG2" s="153"/>
      <c r="EH2" s="153"/>
      <c r="EI2" s="153"/>
      <c r="EJ2" s="153"/>
      <c r="EK2" s="153"/>
      <c r="EL2" s="153"/>
      <c r="EM2" s="153"/>
      <c r="EN2" s="153"/>
      <c r="EO2" s="153"/>
      <c r="EP2" s="153"/>
      <c r="EQ2" s="153"/>
      <c r="ER2" s="153"/>
      <c r="ES2" s="153"/>
      <c r="ET2" s="153"/>
      <c r="EU2" s="153"/>
      <c r="EV2" s="153"/>
      <c r="EW2" s="153"/>
      <c r="EX2" s="153"/>
      <c r="EY2" s="153"/>
      <c r="EZ2" s="153"/>
      <c r="FA2" s="153"/>
      <c r="FB2" s="153"/>
    </row>
    <row r="3" spans="1:158" s="291" customFormat="1" x14ac:dyDescent="0.3">
      <c r="A3" s="298" t="s">
        <v>110</v>
      </c>
      <c r="B3" s="292">
        <v>0.33146660307796433</v>
      </c>
      <c r="C3" s="292">
        <v>0.1510831236697204</v>
      </c>
      <c r="D3" s="292">
        <v>-1.3891371222982044E-2</v>
      </c>
      <c r="E3" s="292">
        <v>-0.1316721095303745</v>
      </c>
      <c r="F3" s="292">
        <v>-0.24245516799066422</v>
      </c>
      <c r="G3" s="292">
        <v>-0.332612170749089</v>
      </c>
      <c r="H3" s="292">
        <v>-0.42298832707513484</v>
      </c>
      <c r="I3" s="292">
        <v>-0.46214726521270261</v>
      </c>
      <c r="J3" s="292">
        <v>-0.50129546965913019</v>
      </c>
      <c r="K3" s="292">
        <v>-0.66303501965828926</v>
      </c>
      <c r="L3" s="292">
        <v>-0.73985422157429614</v>
      </c>
      <c r="M3" s="292">
        <v>-0.80829192945036488</v>
      </c>
      <c r="N3" s="292">
        <v>-0.87940622145142877</v>
      </c>
      <c r="O3" s="293">
        <v>-0.36269996514052089</v>
      </c>
      <c r="P3" s="293">
        <v>-0.36269996514052089</v>
      </c>
      <c r="Q3" s="293">
        <v>-0.36269996514052089</v>
      </c>
      <c r="R3" s="293">
        <v>-0.36269996514052089</v>
      </c>
      <c r="S3" s="293">
        <v>-0.36269996514052089</v>
      </c>
      <c r="T3" s="293">
        <v>-0.36269996514052089</v>
      </c>
      <c r="U3" s="293">
        <v>-0.36269996514052089</v>
      </c>
      <c r="V3" s="293">
        <v>-0.36269996514052089</v>
      </c>
      <c r="W3" s="293">
        <v>-0.36269996514052089</v>
      </c>
      <c r="X3" s="293">
        <v>-0.36269996514052089</v>
      </c>
      <c r="Y3" s="293">
        <v>-0.36269996514052089</v>
      </c>
      <c r="Z3" s="293">
        <v>-0.36269996514052089</v>
      </c>
      <c r="AA3" s="293">
        <v>-0.36269996514052089</v>
      </c>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153"/>
      <c r="BO3" s="153"/>
      <c r="BP3" s="153"/>
      <c r="BQ3" s="153"/>
      <c r="BR3" s="153"/>
      <c r="BS3" s="153"/>
      <c r="BT3" s="153"/>
      <c r="BU3" s="153"/>
      <c r="BV3" s="153"/>
      <c r="BW3" s="153"/>
      <c r="BX3" s="153"/>
      <c r="BY3" s="153"/>
      <c r="BZ3" s="153"/>
      <c r="CA3" s="153"/>
      <c r="CB3" s="153"/>
      <c r="CC3" s="153"/>
      <c r="CD3" s="153"/>
      <c r="CE3" s="153"/>
      <c r="CF3" s="153"/>
      <c r="CG3" s="153"/>
      <c r="CH3" s="153"/>
      <c r="CI3" s="153"/>
      <c r="CJ3" s="153"/>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row>
    <row r="4" spans="1:158" s="291" customFormat="1" x14ac:dyDescent="0.3">
      <c r="A4" s="298" t="s">
        <v>111</v>
      </c>
      <c r="B4" s="292">
        <v>-0.46333337999012963</v>
      </c>
      <c r="C4" s="292">
        <v>-0.49444057357418608</v>
      </c>
      <c r="D4" s="292">
        <v>-0.52524269293628256</v>
      </c>
      <c r="E4" s="292">
        <v>-0.70260539624828355</v>
      </c>
      <c r="F4" s="292">
        <v>-0.87012845594068011</v>
      </c>
      <c r="G4" s="292">
        <v>-0.96880496898781909</v>
      </c>
      <c r="H4" s="292">
        <v>-1.0673298652419283</v>
      </c>
      <c r="I4" s="292">
        <v>-1.1240073662084227</v>
      </c>
      <c r="J4" s="292">
        <v>-1.1797117218744164</v>
      </c>
      <c r="K4" s="292">
        <v>-1.3445903576369314</v>
      </c>
      <c r="L4" s="292">
        <v>-1.4441787416132539</v>
      </c>
      <c r="M4" s="292">
        <v>-1.5264840299250941</v>
      </c>
      <c r="N4" s="292">
        <v>-1.597423287498194</v>
      </c>
      <c r="O4" s="293">
        <v>-1.0237139105904323</v>
      </c>
      <c r="P4" s="293">
        <v>-1.0237139105904323</v>
      </c>
      <c r="Q4" s="293">
        <v>-1.0237139105904323</v>
      </c>
      <c r="R4" s="293">
        <v>-1.0237139105904323</v>
      </c>
      <c r="S4" s="293">
        <v>-1.0237139105904323</v>
      </c>
      <c r="T4" s="293">
        <v>-1.0237139105904323</v>
      </c>
      <c r="U4" s="293">
        <v>-1.0237139105904323</v>
      </c>
      <c r="V4" s="293">
        <v>-1.0237139105904323</v>
      </c>
      <c r="W4" s="293">
        <v>-1.0237139105904323</v>
      </c>
      <c r="X4" s="293">
        <v>-1.0237139105904323</v>
      </c>
      <c r="Y4" s="293">
        <v>-1.0237139105904323</v>
      </c>
      <c r="Z4" s="293">
        <v>-1.0237139105904323</v>
      </c>
      <c r="AA4" s="293">
        <v>-1.0237139105904323</v>
      </c>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3"/>
      <c r="BV4" s="153"/>
      <c r="BW4" s="153"/>
      <c r="BX4" s="153"/>
      <c r="BY4" s="153"/>
      <c r="BZ4" s="153"/>
      <c r="CA4" s="153"/>
      <c r="CB4" s="153"/>
      <c r="CC4" s="153"/>
      <c r="CD4" s="153"/>
      <c r="CE4" s="153"/>
      <c r="CF4" s="153"/>
      <c r="CG4" s="153"/>
      <c r="CH4" s="153"/>
      <c r="CI4" s="153"/>
      <c r="CJ4" s="153"/>
      <c r="CK4" s="153"/>
      <c r="CL4" s="153"/>
      <c r="CM4" s="153"/>
      <c r="CN4" s="153"/>
      <c r="CO4" s="153"/>
      <c r="CP4" s="153"/>
      <c r="CQ4" s="153"/>
      <c r="CR4" s="153"/>
      <c r="CS4" s="153"/>
      <c r="CT4" s="153"/>
      <c r="CU4" s="153"/>
      <c r="CV4" s="153"/>
      <c r="CW4" s="153"/>
      <c r="CX4" s="153"/>
      <c r="CY4" s="153"/>
      <c r="CZ4" s="153"/>
      <c r="DA4" s="153"/>
      <c r="DB4" s="153"/>
      <c r="DC4" s="153"/>
      <c r="DD4" s="153"/>
      <c r="DE4" s="153"/>
      <c r="DF4" s="153"/>
      <c r="DG4" s="153"/>
      <c r="DH4" s="153"/>
      <c r="DI4" s="153"/>
      <c r="DJ4" s="153"/>
      <c r="DK4" s="153"/>
      <c r="DL4" s="153"/>
      <c r="DM4" s="153"/>
      <c r="DN4" s="153"/>
      <c r="DO4" s="153"/>
      <c r="DP4" s="153"/>
      <c r="DQ4" s="153"/>
      <c r="DR4" s="153"/>
      <c r="DS4" s="153"/>
      <c r="DT4" s="153"/>
      <c r="DU4" s="153"/>
      <c r="DV4" s="153"/>
      <c r="DW4" s="153"/>
      <c r="DX4" s="153"/>
      <c r="DY4" s="153"/>
      <c r="DZ4" s="153"/>
      <c r="EA4" s="153"/>
      <c r="EB4" s="153"/>
      <c r="EC4" s="153"/>
      <c r="ED4" s="153"/>
      <c r="EE4" s="153"/>
      <c r="EF4" s="153"/>
      <c r="EG4" s="153"/>
      <c r="EH4" s="153"/>
      <c r="EI4" s="153"/>
      <c r="EJ4" s="153"/>
      <c r="EK4" s="153"/>
      <c r="EL4" s="153"/>
      <c r="EM4" s="153"/>
      <c r="EN4" s="153"/>
      <c r="EO4" s="153"/>
      <c r="EP4" s="153"/>
      <c r="EQ4" s="153"/>
      <c r="ER4" s="153"/>
      <c r="ES4" s="153"/>
      <c r="ET4" s="153"/>
      <c r="EU4" s="153"/>
      <c r="EV4" s="153"/>
      <c r="EW4" s="153"/>
      <c r="EX4" s="153"/>
      <c r="EY4" s="153"/>
      <c r="EZ4" s="153"/>
      <c r="FA4" s="153"/>
      <c r="FB4" s="153"/>
    </row>
    <row r="5" spans="1:158" s="291" customFormat="1" x14ac:dyDescent="0.3">
      <c r="A5" s="298" t="s">
        <v>112</v>
      </c>
      <c r="B5" s="292">
        <v>-2.5206375538004409</v>
      </c>
      <c r="C5" s="292">
        <v>-2.5864720500290663</v>
      </c>
      <c r="D5" s="292">
        <v>-2.6520246924533617</v>
      </c>
      <c r="E5" s="292">
        <v>-3.044298378757186</v>
      </c>
      <c r="F5" s="292">
        <v>-3.4083289869315037</v>
      </c>
      <c r="G5" s="292">
        <v>-3.5622739156366428</v>
      </c>
      <c r="H5" s="292">
        <v>-3.7165505796896645</v>
      </c>
      <c r="I5" s="292">
        <v>-3.8343834728200545</v>
      </c>
      <c r="J5" s="292">
        <v>-3.9483884656554071</v>
      </c>
      <c r="K5" s="292">
        <v>-4.0679287090718939</v>
      </c>
      <c r="L5" s="292">
        <v>-4.2055367388188083</v>
      </c>
      <c r="M5" s="292">
        <v>-4.2639005337663427</v>
      </c>
      <c r="N5" s="292">
        <v>-4.3349440039710005</v>
      </c>
      <c r="O5" s="293">
        <v>-3.5496667754924127</v>
      </c>
      <c r="P5" s="293">
        <v>-3.5496667754924127</v>
      </c>
      <c r="Q5" s="293">
        <v>-3.5496667754924127</v>
      </c>
      <c r="R5" s="293">
        <v>-3.5496667754924127</v>
      </c>
      <c r="S5" s="293">
        <v>-3.5496667754924127</v>
      </c>
      <c r="T5" s="293">
        <v>-3.5496667754924127</v>
      </c>
      <c r="U5" s="293">
        <v>-3.5496667754924127</v>
      </c>
      <c r="V5" s="293">
        <v>-3.5496667754924127</v>
      </c>
      <c r="W5" s="293">
        <v>-3.5496667754924127</v>
      </c>
      <c r="X5" s="293">
        <v>-3.5496667754924127</v>
      </c>
      <c r="Y5" s="293">
        <v>-3.5496667754924127</v>
      </c>
      <c r="Z5" s="293">
        <v>-3.5496667754924127</v>
      </c>
      <c r="AA5" s="293">
        <v>-3.5496667754924127</v>
      </c>
      <c r="AB5" s="153"/>
      <c r="AC5" s="153"/>
      <c r="AD5" s="153"/>
      <c r="AE5" s="153"/>
      <c r="AF5" s="153"/>
      <c r="AG5" s="153"/>
      <c r="AH5" s="153"/>
      <c r="AI5" s="153"/>
      <c r="AJ5" s="153"/>
      <c r="AK5" s="153"/>
      <c r="AL5" s="153"/>
      <c r="AM5" s="153"/>
      <c r="AN5" s="153"/>
      <c r="AO5" s="153"/>
      <c r="AP5" s="153"/>
      <c r="AQ5" s="153"/>
      <c r="AR5" s="153"/>
      <c r="AS5" s="153"/>
      <c r="AT5" s="153"/>
      <c r="AU5" s="153"/>
      <c r="AV5" s="153"/>
      <c r="AW5" s="153"/>
      <c r="AX5" s="153"/>
      <c r="AY5" s="153"/>
      <c r="AZ5" s="153"/>
      <c r="BA5" s="153"/>
      <c r="BB5" s="153"/>
      <c r="BC5" s="153"/>
      <c r="BD5" s="153"/>
      <c r="BE5" s="153"/>
      <c r="BF5" s="153"/>
      <c r="BG5" s="153"/>
      <c r="BH5" s="153"/>
      <c r="BI5" s="153"/>
      <c r="BJ5" s="153"/>
      <c r="BK5" s="153"/>
      <c r="BL5" s="153"/>
      <c r="BM5" s="153"/>
      <c r="BN5" s="153"/>
      <c r="BO5" s="153"/>
      <c r="BP5" s="153"/>
      <c r="BQ5" s="153"/>
      <c r="BR5" s="153"/>
      <c r="BS5" s="153"/>
      <c r="BT5" s="153"/>
      <c r="BU5" s="153"/>
      <c r="BV5" s="153"/>
      <c r="BW5" s="153"/>
      <c r="BX5" s="153"/>
      <c r="BY5" s="153"/>
      <c r="BZ5" s="153"/>
      <c r="CA5" s="153"/>
      <c r="CB5" s="153"/>
      <c r="CC5" s="153"/>
      <c r="CD5" s="153"/>
      <c r="CE5" s="153"/>
      <c r="CF5" s="153"/>
      <c r="CG5" s="153"/>
      <c r="CH5" s="153"/>
      <c r="CI5" s="153"/>
      <c r="CJ5" s="153"/>
      <c r="CK5" s="153"/>
      <c r="CL5" s="153"/>
      <c r="CM5" s="153"/>
      <c r="CN5" s="153"/>
      <c r="CO5" s="153"/>
      <c r="CP5" s="153"/>
      <c r="CQ5" s="153"/>
      <c r="CR5" s="153"/>
      <c r="CS5" s="153"/>
      <c r="CT5" s="153"/>
      <c r="CU5" s="153"/>
      <c r="CV5" s="153"/>
      <c r="CW5" s="153"/>
      <c r="CX5" s="153"/>
      <c r="CY5" s="153"/>
      <c r="CZ5" s="153"/>
      <c r="DA5" s="153"/>
      <c r="DB5" s="153"/>
      <c r="DC5" s="153"/>
      <c r="DD5" s="153"/>
      <c r="DE5" s="153"/>
      <c r="DF5" s="153"/>
      <c r="DG5" s="153"/>
      <c r="DH5" s="153"/>
      <c r="DI5" s="153"/>
      <c r="DJ5" s="153"/>
      <c r="DK5" s="153"/>
      <c r="DL5" s="153"/>
      <c r="DM5" s="153"/>
      <c r="DN5" s="153"/>
      <c r="DO5" s="153"/>
      <c r="DP5" s="153"/>
      <c r="DQ5" s="153"/>
      <c r="DR5" s="153"/>
      <c r="DS5" s="153"/>
      <c r="DT5" s="153"/>
      <c r="DU5" s="153"/>
      <c r="DV5" s="153"/>
      <c r="DW5" s="153"/>
      <c r="DX5" s="153"/>
      <c r="DY5" s="153"/>
      <c r="DZ5" s="153"/>
      <c r="EA5" s="153"/>
      <c r="EB5" s="153"/>
      <c r="EC5" s="153"/>
      <c r="ED5" s="153"/>
      <c r="EE5" s="153"/>
      <c r="EF5" s="153"/>
      <c r="EG5" s="153"/>
      <c r="EH5" s="153"/>
      <c r="EI5" s="153"/>
      <c r="EJ5" s="153"/>
      <c r="EK5" s="153"/>
      <c r="EL5" s="153"/>
      <c r="EM5" s="153"/>
      <c r="EN5" s="153"/>
      <c r="EO5" s="153"/>
      <c r="EP5" s="153"/>
      <c r="EQ5" s="153"/>
      <c r="ER5" s="153"/>
      <c r="ES5" s="153"/>
      <c r="ET5" s="153"/>
      <c r="EU5" s="153"/>
      <c r="EV5" s="153"/>
      <c r="EW5" s="153"/>
      <c r="EX5" s="153"/>
      <c r="EY5" s="153"/>
      <c r="EZ5" s="153"/>
      <c r="FA5" s="153"/>
      <c r="FB5" s="153"/>
    </row>
    <row r="6" spans="1:158" s="291" customFormat="1" x14ac:dyDescent="0.3">
      <c r="A6" s="298" t="s">
        <v>113</v>
      </c>
      <c r="B6" s="292">
        <v>0.50130521399094541</v>
      </c>
      <c r="C6" s="292">
        <v>0.54731973857574512</v>
      </c>
      <c r="D6" s="292">
        <v>0.59260772590738664</v>
      </c>
      <c r="E6" s="292">
        <v>0.29185498366191498</v>
      </c>
      <c r="F6" s="292">
        <v>1.0300512581068594E-3</v>
      </c>
      <c r="G6" s="292">
        <v>-0.13398168438856334</v>
      </c>
      <c r="H6" s="292">
        <v>-0.26816116861484351</v>
      </c>
      <c r="I6" s="292">
        <v>-0.44442228418903651</v>
      </c>
      <c r="J6" s="292">
        <v>-0.60498232268419716</v>
      </c>
      <c r="K6" s="292">
        <v>-0.79115535157876826</v>
      </c>
      <c r="L6" s="292">
        <v>-0.94589306240526483</v>
      </c>
      <c r="M6" s="292">
        <v>-1.0534137983602376</v>
      </c>
      <c r="N6" s="292">
        <v>-1.1323299749473477</v>
      </c>
      <c r="O6" s="293">
        <v>-0.26463245644416616</v>
      </c>
      <c r="P6" s="293">
        <v>-0.26463245644416616</v>
      </c>
      <c r="Q6" s="293">
        <v>-0.26463245644416616</v>
      </c>
      <c r="R6" s="293">
        <v>-0.26463245644416616</v>
      </c>
      <c r="S6" s="293">
        <v>-0.26463245644416616</v>
      </c>
      <c r="T6" s="293">
        <v>-0.26463245644416616</v>
      </c>
      <c r="U6" s="293">
        <v>-0.26463245644416616</v>
      </c>
      <c r="V6" s="293">
        <v>-0.26463245644416616</v>
      </c>
      <c r="W6" s="293">
        <v>-0.26463245644416616</v>
      </c>
      <c r="X6" s="293">
        <v>-0.26463245644416616</v>
      </c>
      <c r="Y6" s="293">
        <v>-0.26463245644416616</v>
      </c>
      <c r="Z6" s="293">
        <v>-0.26463245644416616</v>
      </c>
      <c r="AA6" s="293">
        <v>-0.26463245644416616</v>
      </c>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c r="BB6" s="153"/>
      <c r="BC6" s="153"/>
      <c r="BD6" s="153"/>
      <c r="BE6" s="153"/>
      <c r="BF6" s="153"/>
      <c r="BG6" s="153"/>
      <c r="BH6" s="153"/>
      <c r="BI6" s="153"/>
      <c r="BJ6" s="153"/>
      <c r="BK6" s="153"/>
      <c r="BL6" s="153"/>
      <c r="BM6" s="153"/>
      <c r="BN6" s="153"/>
      <c r="BO6" s="153"/>
      <c r="BP6" s="153"/>
      <c r="BQ6" s="153"/>
      <c r="BR6" s="153"/>
      <c r="BS6" s="153"/>
      <c r="BT6" s="153"/>
      <c r="BU6" s="153"/>
      <c r="BV6" s="153"/>
      <c r="BW6" s="153"/>
      <c r="BX6" s="153"/>
      <c r="BY6" s="153"/>
      <c r="BZ6" s="153"/>
      <c r="CA6" s="153"/>
      <c r="CB6" s="153"/>
      <c r="CC6" s="153"/>
      <c r="CD6" s="153"/>
      <c r="CE6" s="153"/>
      <c r="CF6" s="153"/>
      <c r="CG6" s="153"/>
      <c r="CH6" s="153"/>
      <c r="CI6" s="153"/>
      <c r="CJ6" s="153"/>
      <c r="CK6" s="153"/>
      <c r="CL6" s="153"/>
      <c r="CM6" s="153"/>
      <c r="CN6" s="153"/>
      <c r="CO6" s="153"/>
      <c r="CP6" s="153"/>
      <c r="CQ6" s="153"/>
      <c r="CR6" s="153"/>
      <c r="CS6" s="153"/>
      <c r="CT6" s="153"/>
      <c r="CU6" s="153"/>
      <c r="CV6" s="153"/>
      <c r="CW6" s="153"/>
      <c r="CX6" s="153"/>
      <c r="CY6" s="153"/>
      <c r="CZ6" s="153"/>
      <c r="DA6" s="153"/>
      <c r="DB6" s="153"/>
      <c r="DC6" s="153"/>
      <c r="DD6" s="153"/>
      <c r="DE6" s="153"/>
      <c r="DF6" s="153"/>
      <c r="DG6" s="153"/>
      <c r="DH6" s="153"/>
      <c r="DI6" s="153"/>
      <c r="DJ6" s="153"/>
      <c r="DK6" s="153"/>
      <c r="DL6" s="153"/>
      <c r="DM6" s="153"/>
      <c r="DN6" s="153"/>
      <c r="DO6" s="153"/>
      <c r="DP6" s="153"/>
      <c r="DQ6" s="153"/>
      <c r="DR6" s="153"/>
      <c r="DS6" s="153"/>
      <c r="DT6" s="153"/>
      <c r="DU6" s="153"/>
      <c r="DV6" s="153"/>
      <c r="DW6" s="153"/>
      <c r="DX6" s="153"/>
      <c r="DY6" s="153"/>
      <c r="DZ6" s="153"/>
      <c r="EA6" s="153"/>
      <c r="EB6" s="153"/>
      <c r="EC6" s="153"/>
      <c r="ED6" s="153"/>
      <c r="EE6" s="153"/>
      <c r="EF6" s="153"/>
      <c r="EG6" s="153"/>
      <c r="EH6" s="153"/>
      <c r="EI6" s="153"/>
      <c r="EJ6" s="153"/>
      <c r="EK6" s="153"/>
      <c r="EL6" s="153"/>
      <c r="EM6" s="153"/>
      <c r="EN6" s="153"/>
      <c r="EO6" s="153"/>
      <c r="EP6" s="153"/>
      <c r="EQ6" s="153"/>
      <c r="ER6" s="153"/>
      <c r="ES6" s="153"/>
      <c r="ET6" s="153"/>
      <c r="EU6" s="153"/>
      <c r="EV6" s="153"/>
      <c r="EW6" s="153"/>
      <c r="EX6" s="153"/>
      <c r="EY6" s="153"/>
      <c r="EZ6" s="153"/>
      <c r="FA6" s="153"/>
      <c r="FB6" s="153"/>
    </row>
    <row r="7" spans="1:158" s="291" customFormat="1" x14ac:dyDescent="0.3">
      <c r="A7" s="298" t="s">
        <v>114</v>
      </c>
      <c r="B7" s="292">
        <v>-5.3798325826171283</v>
      </c>
      <c r="C7" s="292">
        <v>-5.6174510895582257</v>
      </c>
      <c r="D7" s="292">
        <v>-5.8245023551028687</v>
      </c>
      <c r="E7" s="292">
        <v>-5.9268154485227313</v>
      </c>
      <c r="F7" s="292">
        <v>-6.0249346558275114</v>
      </c>
      <c r="G7" s="292">
        <v>-6.0857216626936879</v>
      </c>
      <c r="H7" s="292">
        <v>-6.1451527088548987</v>
      </c>
      <c r="I7" s="292">
        <v>-6.1867970118635682</v>
      </c>
      <c r="J7" s="292">
        <v>-6.2266565665490772</v>
      </c>
      <c r="K7" s="292">
        <v>-6.0829401952803446</v>
      </c>
      <c r="L7" s="292">
        <v>-6.0670060344893777</v>
      </c>
      <c r="M7" s="292">
        <v>-6.0258771665730624</v>
      </c>
      <c r="N7" s="292">
        <v>-5.9952323554634335</v>
      </c>
      <c r="O7" s="293">
        <v>-5.9683784487227634</v>
      </c>
      <c r="P7" s="293">
        <v>-5.9683784487227634</v>
      </c>
      <c r="Q7" s="293">
        <v>-5.9683784487227634</v>
      </c>
      <c r="R7" s="293">
        <v>-5.9683784487227634</v>
      </c>
      <c r="S7" s="293">
        <v>-5.9683784487227634</v>
      </c>
      <c r="T7" s="293">
        <v>-5.9683784487227634</v>
      </c>
      <c r="U7" s="293">
        <v>-5.9683784487227634</v>
      </c>
      <c r="V7" s="293">
        <v>-5.9683784487227634</v>
      </c>
      <c r="W7" s="293">
        <v>-5.9683784487227634</v>
      </c>
      <c r="X7" s="293">
        <v>-5.9683784487227634</v>
      </c>
      <c r="Y7" s="293">
        <v>-5.9683784487227634</v>
      </c>
      <c r="Z7" s="293">
        <v>-5.9683784487227634</v>
      </c>
      <c r="AA7" s="293">
        <v>-5.9683784487227634</v>
      </c>
      <c r="AB7" s="153"/>
      <c r="AC7" s="153"/>
      <c r="AD7" s="153"/>
      <c r="AE7" s="153"/>
      <c r="AF7" s="153"/>
      <c r="AG7" s="153"/>
      <c r="AH7" s="153"/>
      <c r="AI7" s="153"/>
      <c r="AJ7" s="153"/>
      <c r="AK7" s="153"/>
      <c r="AL7" s="153"/>
      <c r="AM7" s="153"/>
      <c r="AN7" s="153"/>
      <c r="AO7" s="153"/>
      <c r="AP7" s="153"/>
      <c r="AQ7" s="153"/>
      <c r="AR7" s="153"/>
      <c r="AS7" s="153"/>
      <c r="AT7" s="153"/>
      <c r="AU7" s="153"/>
      <c r="AV7" s="153"/>
      <c r="AW7" s="153"/>
      <c r="AX7" s="153"/>
      <c r="AY7" s="153"/>
      <c r="AZ7" s="153"/>
      <c r="BA7" s="153"/>
      <c r="BB7" s="153"/>
      <c r="BC7" s="153"/>
      <c r="BD7" s="153"/>
      <c r="BE7" s="153"/>
      <c r="BF7" s="153"/>
      <c r="BG7" s="153"/>
      <c r="BH7" s="153"/>
      <c r="BI7" s="153"/>
      <c r="BJ7" s="153"/>
      <c r="BK7" s="153"/>
      <c r="BL7" s="153"/>
      <c r="BM7" s="153"/>
      <c r="BN7" s="153"/>
      <c r="BO7" s="153"/>
      <c r="BP7" s="153"/>
      <c r="BQ7" s="153"/>
      <c r="BR7" s="153"/>
      <c r="BS7" s="153"/>
      <c r="BT7" s="153"/>
      <c r="BU7" s="153"/>
      <c r="BV7" s="153"/>
      <c r="BW7" s="153"/>
      <c r="BX7" s="153"/>
      <c r="BY7" s="153"/>
      <c r="BZ7" s="153"/>
      <c r="CA7" s="153"/>
      <c r="CB7" s="153"/>
      <c r="CC7" s="153"/>
      <c r="CD7" s="153"/>
      <c r="CE7" s="153"/>
      <c r="CF7" s="153"/>
      <c r="CG7" s="153"/>
      <c r="CH7" s="153"/>
      <c r="CI7" s="153"/>
      <c r="CJ7" s="153"/>
      <c r="CK7" s="153"/>
      <c r="CL7" s="153"/>
      <c r="CM7" s="153"/>
      <c r="CN7" s="153"/>
      <c r="CO7" s="153"/>
      <c r="CP7" s="153"/>
      <c r="CQ7" s="153"/>
      <c r="CR7" s="153"/>
      <c r="CS7" s="153"/>
      <c r="CT7" s="153"/>
      <c r="CU7" s="153"/>
      <c r="CV7" s="153"/>
      <c r="CW7" s="153"/>
      <c r="CX7" s="153"/>
      <c r="CY7" s="153"/>
      <c r="CZ7" s="153"/>
      <c r="DA7" s="153"/>
      <c r="DB7" s="153"/>
      <c r="DC7" s="153"/>
      <c r="DD7" s="153"/>
      <c r="DE7" s="153"/>
      <c r="DF7" s="153"/>
      <c r="DG7" s="153"/>
      <c r="DH7" s="153"/>
      <c r="DI7" s="153"/>
      <c r="DJ7" s="153"/>
      <c r="DK7" s="153"/>
      <c r="DL7" s="153"/>
      <c r="DM7" s="153"/>
      <c r="DN7" s="153"/>
      <c r="DO7" s="153"/>
      <c r="DP7" s="153"/>
      <c r="DQ7" s="153"/>
      <c r="DR7" s="153"/>
      <c r="DS7" s="153"/>
      <c r="DT7" s="153"/>
      <c r="DU7" s="153"/>
      <c r="DV7" s="153"/>
      <c r="DW7" s="153"/>
      <c r="DX7" s="153"/>
      <c r="DY7" s="153"/>
      <c r="DZ7" s="153"/>
      <c r="EA7" s="153"/>
      <c r="EB7" s="153"/>
      <c r="EC7" s="153"/>
      <c r="ED7" s="153"/>
      <c r="EE7" s="153"/>
      <c r="EF7" s="153"/>
      <c r="EG7" s="153"/>
      <c r="EH7" s="153"/>
      <c r="EI7" s="153"/>
      <c r="EJ7" s="153"/>
      <c r="EK7" s="153"/>
      <c r="EL7" s="153"/>
      <c r="EM7" s="153"/>
      <c r="EN7" s="153"/>
      <c r="EO7" s="153"/>
      <c r="EP7" s="153"/>
      <c r="EQ7" s="153"/>
      <c r="ER7" s="153"/>
      <c r="ES7" s="153"/>
      <c r="ET7" s="153"/>
      <c r="EU7" s="153"/>
      <c r="EV7" s="153"/>
      <c r="EW7" s="153"/>
      <c r="EX7" s="153"/>
      <c r="EY7" s="153"/>
      <c r="EZ7" s="153"/>
      <c r="FA7" s="153"/>
      <c r="FB7" s="153"/>
    </row>
    <row r="8" spans="1:158" s="291" customFormat="1" x14ac:dyDescent="0.3">
      <c r="A8" s="298" t="s">
        <v>115</v>
      </c>
      <c r="B8" s="292">
        <v>-4.3845485827622905</v>
      </c>
      <c r="C8" s="292">
        <v>-4.6308675957676142</v>
      </c>
      <c r="D8" s="292">
        <v>-4.8735945780476637</v>
      </c>
      <c r="E8" s="292">
        <v>-5.0506399477349424</v>
      </c>
      <c r="F8" s="292">
        <v>-5.2223303806519503</v>
      </c>
      <c r="G8" s="292">
        <v>-5.304766442301422</v>
      </c>
      <c r="H8" s="292">
        <v>-5.3903939874135949</v>
      </c>
      <c r="I8" s="292">
        <v>-5.4493034847738224</v>
      </c>
      <c r="J8" s="292">
        <v>-5.5085392774761557</v>
      </c>
      <c r="K8" s="292">
        <v>-5.3005748233397343</v>
      </c>
      <c r="L8" s="292">
        <v>-5.2948301774549007</v>
      </c>
      <c r="M8" s="292">
        <v>-5.1523710614608822</v>
      </c>
      <c r="N8" s="292">
        <v>-5.1155756840686788</v>
      </c>
      <c r="O8" s="293">
        <v>-5.1291027710195118</v>
      </c>
      <c r="P8" s="293">
        <v>-5.1291027710195118</v>
      </c>
      <c r="Q8" s="293">
        <v>-5.1291027710195118</v>
      </c>
      <c r="R8" s="293">
        <v>-5.1291027710195118</v>
      </c>
      <c r="S8" s="293">
        <v>-5.1291027710195118</v>
      </c>
      <c r="T8" s="293">
        <v>-5.1291027710195118</v>
      </c>
      <c r="U8" s="293">
        <v>-5.1291027710195118</v>
      </c>
      <c r="V8" s="293">
        <v>-5.1291027710195118</v>
      </c>
      <c r="W8" s="293">
        <v>-5.1291027710195118</v>
      </c>
      <c r="X8" s="293">
        <v>-5.1291027710195118</v>
      </c>
      <c r="Y8" s="293">
        <v>-5.1291027710195118</v>
      </c>
      <c r="Z8" s="293">
        <v>-5.1291027710195118</v>
      </c>
      <c r="AA8" s="293">
        <v>-5.1291027710195118</v>
      </c>
      <c r="AB8" s="153"/>
      <c r="AC8" s="153"/>
      <c r="AD8" s="153"/>
      <c r="AE8" s="153"/>
      <c r="AF8" s="153"/>
      <c r="AG8" s="153"/>
      <c r="AH8" s="153"/>
      <c r="AI8" s="153"/>
      <c r="AJ8" s="153"/>
      <c r="AK8" s="153"/>
      <c r="AL8" s="153"/>
      <c r="AM8" s="153"/>
      <c r="AN8" s="153"/>
      <c r="AO8" s="153"/>
      <c r="AP8" s="153"/>
      <c r="AQ8" s="153"/>
      <c r="AR8" s="153"/>
      <c r="AS8" s="153"/>
      <c r="AT8" s="153"/>
      <c r="AU8" s="153"/>
      <c r="AV8" s="153"/>
      <c r="AW8" s="153"/>
      <c r="AX8" s="153"/>
      <c r="AY8" s="153"/>
      <c r="AZ8" s="153"/>
      <c r="BA8" s="153"/>
      <c r="BB8" s="153"/>
      <c r="BC8" s="153"/>
      <c r="BD8" s="153"/>
      <c r="BE8" s="153"/>
      <c r="BF8" s="153"/>
      <c r="BG8" s="153"/>
      <c r="BH8" s="153"/>
      <c r="BI8" s="153"/>
      <c r="BJ8" s="153"/>
      <c r="BK8" s="153"/>
      <c r="BL8" s="153"/>
      <c r="BM8" s="153"/>
      <c r="BN8" s="153"/>
      <c r="BO8" s="153"/>
      <c r="BP8" s="153"/>
      <c r="BQ8" s="153"/>
      <c r="BR8" s="153"/>
      <c r="BS8" s="153"/>
      <c r="BT8" s="153"/>
      <c r="BU8" s="153"/>
      <c r="BV8" s="153"/>
      <c r="BW8" s="153"/>
      <c r="BX8" s="153"/>
      <c r="BY8" s="153"/>
      <c r="BZ8" s="153"/>
      <c r="CA8" s="153"/>
      <c r="CB8" s="153"/>
      <c r="CC8" s="153"/>
      <c r="CD8" s="153"/>
      <c r="CE8" s="153"/>
      <c r="CF8" s="153"/>
      <c r="CG8" s="153"/>
      <c r="CH8" s="153"/>
      <c r="CI8" s="153"/>
      <c r="CJ8" s="153"/>
      <c r="CK8" s="153"/>
      <c r="CL8" s="153"/>
      <c r="CM8" s="153"/>
      <c r="CN8" s="153"/>
      <c r="CO8" s="153"/>
      <c r="CP8" s="153"/>
      <c r="CQ8" s="153"/>
      <c r="CR8" s="153"/>
      <c r="CS8" s="153"/>
      <c r="CT8" s="153"/>
      <c r="CU8" s="153"/>
      <c r="CV8" s="153"/>
      <c r="CW8" s="153"/>
      <c r="CX8" s="153"/>
      <c r="CY8" s="153"/>
      <c r="CZ8" s="153"/>
      <c r="DA8" s="153"/>
      <c r="DB8" s="153"/>
      <c r="DC8" s="153"/>
      <c r="DD8" s="153"/>
      <c r="DE8" s="153"/>
      <c r="DF8" s="153"/>
      <c r="DG8" s="153"/>
      <c r="DH8" s="153"/>
      <c r="DI8" s="153"/>
      <c r="DJ8" s="153"/>
      <c r="DK8" s="153"/>
      <c r="DL8" s="153"/>
      <c r="DM8" s="153"/>
      <c r="DN8" s="153"/>
      <c r="DO8" s="153"/>
      <c r="DP8" s="153"/>
      <c r="DQ8" s="153"/>
      <c r="DR8" s="153"/>
      <c r="DS8" s="153"/>
      <c r="DT8" s="153"/>
      <c r="DU8" s="153"/>
      <c r="DV8" s="153"/>
      <c r="DW8" s="153"/>
      <c r="DX8" s="153"/>
      <c r="DY8" s="153"/>
      <c r="DZ8" s="153"/>
      <c r="EA8" s="153"/>
      <c r="EB8" s="153"/>
      <c r="EC8" s="153"/>
      <c r="ED8" s="153"/>
      <c r="EE8" s="153"/>
      <c r="EF8" s="153"/>
      <c r="EG8" s="153"/>
      <c r="EH8" s="153"/>
      <c r="EI8" s="153"/>
      <c r="EJ8" s="153"/>
      <c r="EK8" s="153"/>
      <c r="EL8" s="153"/>
      <c r="EM8" s="153"/>
      <c r="EN8" s="153"/>
      <c r="EO8" s="153"/>
      <c r="EP8" s="153"/>
      <c r="EQ8" s="153"/>
      <c r="ER8" s="153"/>
      <c r="ES8" s="153"/>
      <c r="ET8" s="153"/>
      <c r="EU8" s="153"/>
      <c r="EV8" s="153"/>
      <c r="EW8" s="153"/>
      <c r="EX8" s="153"/>
      <c r="EY8" s="153"/>
      <c r="EZ8" s="153"/>
      <c r="FA8" s="153"/>
      <c r="FB8" s="153"/>
    </row>
    <row r="9" spans="1:158" s="291" customFormat="1" x14ac:dyDescent="0.3">
      <c r="A9" s="298" t="s">
        <v>116</v>
      </c>
      <c r="B9" s="292">
        <v>-6.6244933333333327</v>
      </c>
      <c r="C9" s="292">
        <v>-6.6244933333333318</v>
      </c>
      <c r="D9" s="292">
        <v>-6.6244933333333327</v>
      </c>
      <c r="E9" s="292">
        <v>-6.6244933333333318</v>
      </c>
      <c r="F9" s="292">
        <v>-6.6244933333333327</v>
      </c>
      <c r="G9" s="292">
        <v>-6.6244933333333327</v>
      </c>
      <c r="H9" s="292">
        <v>-6.6244933333333327</v>
      </c>
      <c r="I9" s="292">
        <v>-6.6244933333333327</v>
      </c>
      <c r="J9" s="292">
        <v>-6.6244933333333336</v>
      </c>
      <c r="K9" s="292">
        <v>-6.6244933333333336</v>
      </c>
      <c r="L9" s="292">
        <v>-6.6244933333333336</v>
      </c>
      <c r="M9" s="292">
        <v>-6.6244933333333327</v>
      </c>
      <c r="N9" s="292">
        <v>-6.6244933333333327</v>
      </c>
      <c r="O9" s="293">
        <v>-6.6244933333333336</v>
      </c>
      <c r="P9" s="293">
        <v>-6.6244933333333336</v>
      </c>
      <c r="Q9" s="293">
        <v>-6.6244933333333336</v>
      </c>
      <c r="R9" s="293">
        <v>-6.6244933333333336</v>
      </c>
      <c r="S9" s="293">
        <v>-6.6244933333333336</v>
      </c>
      <c r="T9" s="293">
        <v>-6.6244933333333336</v>
      </c>
      <c r="U9" s="293">
        <v>-6.6244933333333336</v>
      </c>
      <c r="V9" s="293">
        <v>-6.6244933333333336</v>
      </c>
      <c r="W9" s="293">
        <v>-6.6244933333333336</v>
      </c>
      <c r="X9" s="293">
        <v>-6.6244933333333336</v>
      </c>
      <c r="Y9" s="293">
        <v>-6.6244933333333336</v>
      </c>
      <c r="Z9" s="293">
        <v>-6.6244933333333336</v>
      </c>
      <c r="AA9" s="293">
        <v>-6.6244933333333336</v>
      </c>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3"/>
      <c r="CC9" s="153"/>
      <c r="CD9" s="153"/>
      <c r="CE9" s="153"/>
      <c r="CF9" s="153"/>
      <c r="CG9" s="153"/>
      <c r="CH9" s="153"/>
      <c r="CI9" s="153"/>
      <c r="CJ9" s="153"/>
      <c r="CK9" s="153"/>
      <c r="CL9" s="153"/>
      <c r="CM9" s="153"/>
      <c r="CN9" s="153"/>
      <c r="CO9" s="153"/>
      <c r="CP9" s="153"/>
      <c r="CQ9" s="153"/>
      <c r="CR9" s="153"/>
      <c r="CS9" s="153"/>
      <c r="CT9" s="153"/>
      <c r="CU9" s="153"/>
      <c r="CV9" s="153"/>
      <c r="CW9" s="153"/>
      <c r="CX9" s="153"/>
      <c r="CY9" s="153"/>
      <c r="CZ9" s="153"/>
      <c r="DA9" s="153"/>
      <c r="DB9" s="153"/>
      <c r="DC9" s="153"/>
      <c r="DD9" s="153"/>
      <c r="DE9" s="153"/>
      <c r="DF9" s="153"/>
      <c r="DG9" s="153"/>
      <c r="DH9" s="153"/>
      <c r="DI9" s="153"/>
      <c r="DJ9" s="153"/>
      <c r="DK9" s="153"/>
      <c r="DL9" s="153"/>
      <c r="DM9" s="153"/>
      <c r="DN9" s="153"/>
      <c r="DO9" s="153"/>
      <c r="DP9" s="153"/>
      <c r="DQ9" s="153"/>
      <c r="DR9" s="153"/>
      <c r="DS9" s="153"/>
      <c r="DT9" s="153"/>
      <c r="DU9" s="153"/>
      <c r="DV9" s="153"/>
      <c r="DW9" s="153"/>
      <c r="DX9" s="153"/>
      <c r="DY9" s="153"/>
      <c r="DZ9" s="153"/>
      <c r="EA9" s="153"/>
      <c r="EB9" s="153"/>
      <c r="EC9" s="153"/>
      <c r="ED9" s="153"/>
      <c r="EE9" s="153"/>
      <c r="EF9" s="153"/>
      <c r="EG9" s="153"/>
      <c r="EH9" s="153"/>
      <c r="EI9" s="153"/>
      <c r="EJ9" s="153"/>
      <c r="EK9" s="153"/>
      <c r="EL9" s="153"/>
      <c r="EM9" s="153"/>
      <c r="EN9" s="153"/>
      <c r="EO9" s="153"/>
      <c r="EP9" s="153"/>
      <c r="EQ9" s="153"/>
      <c r="ER9" s="153"/>
      <c r="ES9" s="153"/>
      <c r="ET9" s="153"/>
      <c r="EU9" s="153"/>
      <c r="EV9" s="153"/>
      <c r="EW9" s="153"/>
      <c r="EX9" s="153"/>
      <c r="EY9" s="153"/>
      <c r="EZ9" s="153"/>
      <c r="FA9" s="153"/>
      <c r="FB9" s="153"/>
    </row>
    <row r="10" spans="1:158" s="291" customFormat="1" x14ac:dyDescent="0.3">
      <c r="A10" s="298" t="s">
        <v>117</v>
      </c>
      <c r="B10" s="292">
        <v>-6.4927068279332847</v>
      </c>
      <c r="C10" s="292">
        <v>-6.4972353995586394</v>
      </c>
      <c r="D10" s="292">
        <v>-6.5017339509709977</v>
      </c>
      <c r="E10" s="292">
        <v>-6.5059330491731497</v>
      </c>
      <c r="F10" s="292">
        <v>-6.5099963666563303</v>
      </c>
      <c r="G10" s="292">
        <v>-6.5180403865492496</v>
      </c>
      <c r="H10" s="292">
        <v>-6.52572263942566</v>
      </c>
      <c r="I10" s="292">
        <v>-6.5285831928792772</v>
      </c>
      <c r="J10" s="292">
        <v>-6.5314039381580988</v>
      </c>
      <c r="K10" s="292">
        <v>-6.5417041679917913</v>
      </c>
      <c r="L10" s="292">
        <v>-6.5460666941218255</v>
      </c>
      <c r="M10" s="292">
        <v>-6.5429968345524046</v>
      </c>
      <c r="N10" s="292">
        <v>-6.5477969541523278</v>
      </c>
      <c r="O10" s="293">
        <v>-6.5223015693940791</v>
      </c>
      <c r="P10" s="293">
        <v>-6.5223015693940791</v>
      </c>
      <c r="Q10" s="293">
        <v>-6.5223015693940791</v>
      </c>
      <c r="R10" s="293">
        <v>-6.5223015693940791</v>
      </c>
      <c r="S10" s="293">
        <v>-6.5223015693940791</v>
      </c>
      <c r="T10" s="293">
        <v>-6.5223015693940791</v>
      </c>
      <c r="U10" s="293">
        <v>-6.5223015693940791</v>
      </c>
      <c r="V10" s="293">
        <v>-6.5223015693940791</v>
      </c>
      <c r="W10" s="293">
        <v>-6.5223015693940791</v>
      </c>
      <c r="X10" s="293">
        <v>-6.5223015693940791</v>
      </c>
      <c r="Y10" s="293">
        <v>-6.5223015693940791</v>
      </c>
      <c r="Z10" s="293">
        <v>-6.5223015693940791</v>
      </c>
      <c r="AA10" s="293">
        <v>-6.5223015693940791</v>
      </c>
      <c r="AB10" s="153"/>
      <c r="AC10" s="153"/>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c r="AZ10" s="153"/>
      <c r="BA10" s="153"/>
      <c r="BB10" s="153"/>
      <c r="BC10" s="153"/>
      <c r="BD10" s="153"/>
      <c r="BE10" s="153"/>
      <c r="BF10" s="153"/>
      <c r="BG10" s="153"/>
      <c r="BH10" s="153"/>
      <c r="BI10" s="153"/>
      <c r="BJ10" s="153"/>
      <c r="BK10" s="153"/>
      <c r="BL10" s="153"/>
      <c r="BM10" s="153"/>
      <c r="BN10" s="153"/>
      <c r="BO10" s="153"/>
      <c r="BP10" s="153"/>
      <c r="BQ10" s="153"/>
      <c r="BR10" s="153"/>
      <c r="BS10" s="153"/>
      <c r="BT10" s="153"/>
      <c r="BU10" s="153"/>
      <c r="BV10" s="153"/>
      <c r="BW10" s="153"/>
      <c r="BX10" s="153"/>
      <c r="BY10" s="153"/>
      <c r="BZ10" s="153"/>
      <c r="CA10" s="153"/>
      <c r="CB10" s="153"/>
      <c r="CC10" s="153"/>
      <c r="CD10" s="153"/>
      <c r="CE10" s="153"/>
      <c r="CF10" s="153"/>
      <c r="CG10" s="153"/>
      <c r="CH10" s="153"/>
      <c r="CI10" s="153"/>
      <c r="CJ10" s="153"/>
      <c r="CK10" s="153"/>
      <c r="CL10" s="153"/>
      <c r="CM10" s="153"/>
      <c r="CN10" s="153"/>
      <c r="CO10" s="153"/>
      <c r="CP10" s="153"/>
      <c r="CQ10" s="153"/>
      <c r="CR10" s="153"/>
      <c r="CS10" s="153"/>
      <c r="CT10" s="153"/>
      <c r="CU10" s="153"/>
      <c r="CV10" s="153"/>
      <c r="CW10" s="153"/>
      <c r="CX10" s="153"/>
      <c r="CY10" s="153"/>
      <c r="CZ10" s="153"/>
      <c r="DA10" s="153"/>
      <c r="DB10" s="153"/>
      <c r="DC10" s="153"/>
      <c r="DD10" s="153"/>
      <c r="DE10" s="153"/>
      <c r="DF10" s="153"/>
      <c r="DG10" s="153"/>
      <c r="DH10" s="153"/>
      <c r="DI10" s="153"/>
      <c r="DJ10" s="153"/>
      <c r="DK10" s="153"/>
      <c r="DL10" s="153"/>
      <c r="DM10" s="153"/>
      <c r="DN10" s="153"/>
      <c r="DO10" s="153"/>
      <c r="DP10" s="153"/>
      <c r="DQ10" s="153"/>
      <c r="DR10" s="153"/>
      <c r="DS10" s="153"/>
      <c r="DT10" s="153"/>
      <c r="DU10" s="153"/>
      <c r="DV10" s="153"/>
      <c r="DW10" s="153"/>
      <c r="DX10" s="153"/>
      <c r="DY10" s="153"/>
      <c r="DZ10" s="153"/>
      <c r="EA10" s="153"/>
      <c r="EB10" s="153"/>
      <c r="EC10" s="153"/>
      <c r="ED10" s="153"/>
      <c r="EE10" s="153"/>
      <c r="EF10" s="153"/>
      <c r="EG10" s="153"/>
      <c r="EH10" s="153"/>
      <c r="EI10" s="153"/>
      <c r="EJ10" s="153"/>
      <c r="EK10" s="153"/>
      <c r="EL10" s="153"/>
      <c r="EM10" s="153"/>
      <c r="EN10" s="153"/>
      <c r="EO10" s="153"/>
      <c r="EP10" s="153"/>
      <c r="EQ10" s="153"/>
      <c r="ER10" s="153"/>
      <c r="ES10" s="153"/>
      <c r="ET10" s="153"/>
      <c r="EU10" s="153"/>
      <c r="EV10" s="153"/>
      <c r="EW10" s="153"/>
      <c r="EX10" s="153"/>
      <c r="EY10" s="153"/>
      <c r="EZ10" s="153"/>
      <c r="FA10" s="153"/>
      <c r="FB10" s="153"/>
    </row>
    <row r="11" spans="1:158" s="291" customFormat="1" ht="15" thickBot="1" x14ac:dyDescent="0.35">
      <c r="A11" s="321" t="s">
        <v>118</v>
      </c>
      <c r="B11" s="322">
        <v>55.828876693882378</v>
      </c>
      <c r="C11" s="322">
        <v>68.165389855423044</v>
      </c>
      <c r="D11" s="322">
        <v>80.501903016963695</v>
      </c>
      <c r="E11" s="322">
        <v>93.068166445205847</v>
      </c>
      <c r="F11" s="322">
        <v>105.63442987344803</v>
      </c>
      <c r="G11" s="322">
        <v>71.010533426694607</v>
      </c>
      <c r="H11" s="322">
        <v>58.609230970442937</v>
      </c>
      <c r="I11" s="322">
        <v>56.152948045059077</v>
      </c>
      <c r="J11" s="322">
        <v>53.447176116403028</v>
      </c>
      <c r="K11" s="322">
        <v>46.373993990848</v>
      </c>
      <c r="L11" s="322">
        <v>52.988292730822707</v>
      </c>
      <c r="M11" s="322">
        <v>64.465114680730608</v>
      </c>
      <c r="N11" s="322">
        <v>75.78396245731291</v>
      </c>
      <c r="O11" s="322">
        <v>67.848462946402847</v>
      </c>
      <c r="P11" s="322">
        <v>67.848462946402847</v>
      </c>
      <c r="Q11" s="322">
        <v>67.848462946402847</v>
      </c>
      <c r="R11" s="322">
        <v>67.848462946402847</v>
      </c>
      <c r="S11" s="322">
        <v>67.848462946402847</v>
      </c>
      <c r="T11" s="322">
        <v>67.848462946402847</v>
      </c>
      <c r="U11" s="322">
        <v>67.848462946402847</v>
      </c>
      <c r="V11" s="322">
        <v>67.848462946402847</v>
      </c>
      <c r="W11" s="322">
        <v>67.848462946402847</v>
      </c>
      <c r="X11" s="322">
        <v>67.848462946402847</v>
      </c>
      <c r="Y11" s="322">
        <v>67.848462946402847</v>
      </c>
      <c r="Z11" s="322">
        <v>67.848462946402847</v>
      </c>
      <c r="AA11" s="322">
        <v>67.848462946402847</v>
      </c>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c r="BP11" s="153"/>
      <c r="BQ11" s="153"/>
      <c r="BR11" s="153"/>
      <c r="BS11" s="153"/>
      <c r="BT11" s="153"/>
      <c r="BU11" s="153"/>
      <c r="BV11" s="153"/>
      <c r="BW11" s="153"/>
      <c r="BX11" s="153"/>
      <c r="BY11" s="153"/>
      <c r="BZ11" s="153"/>
      <c r="CA11" s="153"/>
      <c r="CB11" s="153"/>
      <c r="CC11" s="153"/>
      <c r="CD11" s="153"/>
      <c r="CE11" s="153"/>
      <c r="CF11" s="153"/>
      <c r="CG11" s="153"/>
      <c r="CH11" s="153"/>
      <c r="CI11" s="153"/>
      <c r="CJ11" s="153"/>
      <c r="CK11" s="153"/>
      <c r="CL11" s="153"/>
      <c r="CM11" s="153"/>
      <c r="CN11" s="153"/>
      <c r="CO11" s="153"/>
      <c r="CP11" s="153"/>
      <c r="CQ11" s="153"/>
      <c r="CR11" s="153"/>
      <c r="CS11" s="153"/>
      <c r="CT11" s="153"/>
      <c r="CU11" s="153"/>
      <c r="CV11" s="153"/>
      <c r="CW11" s="153"/>
      <c r="CX11" s="153"/>
      <c r="CY11" s="153"/>
      <c r="CZ11" s="153"/>
      <c r="DA11" s="153"/>
      <c r="DB11" s="153"/>
      <c r="DC11" s="153"/>
      <c r="DD11" s="153"/>
      <c r="DE11" s="153"/>
      <c r="DF11" s="153"/>
      <c r="DG11" s="153"/>
      <c r="DH11" s="153"/>
      <c r="DI11" s="153"/>
      <c r="DJ11" s="153"/>
      <c r="DK11" s="153"/>
      <c r="DL11" s="153"/>
      <c r="DM11" s="153"/>
      <c r="DN11" s="153"/>
      <c r="DO11" s="153"/>
      <c r="DP11" s="153"/>
      <c r="DQ11" s="153"/>
      <c r="DR11" s="153"/>
      <c r="DS11" s="153"/>
      <c r="DT11" s="153"/>
      <c r="DU11" s="153"/>
      <c r="DV11" s="153"/>
      <c r="DW11" s="153"/>
      <c r="DX11" s="153"/>
      <c r="DY11" s="153"/>
      <c r="DZ11" s="153"/>
      <c r="EA11" s="153"/>
      <c r="EB11" s="153"/>
      <c r="EC11" s="153"/>
      <c r="ED11" s="153"/>
      <c r="EE11" s="153"/>
      <c r="EF11" s="153"/>
      <c r="EG11" s="153"/>
      <c r="EH11" s="153"/>
      <c r="EI11" s="153"/>
      <c r="EJ11" s="153"/>
      <c r="EK11" s="153"/>
      <c r="EL11" s="153"/>
      <c r="EM11" s="153"/>
      <c r="EN11" s="153"/>
      <c r="EO11" s="153"/>
      <c r="EP11" s="153"/>
      <c r="EQ11" s="153"/>
      <c r="ER11" s="153"/>
      <c r="ES11" s="153"/>
      <c r="ET11" s="153"/>
      <c r="EU11" s="153"/>
      <c r="EV11" s="153"/>
      <c r="EW11" s="153"/>
      <c r="EX11" s="153"/>
      <c r="EY11" s="153"/>
      <c r="EZ11" s="153"/>
      <c r="FA11" s="153"/>
      <c r="FB11" s="153"/>
    </row>
    <row r="12" spans="1:158" s="294" customFormat="1" x14ac:dyDescent="0.3">
      <c r="A12" s="302" t="s">
        <v>119</v>
      </c>
      <c r="B12" s="303">
        <v>-21.198191666666666</v>
      </c>
      <c r="C12" s="303">
        <v>-21.198191666666659</v>
      </c>
      <c r="D12" s="303">
        <v>-21.198191666666663</v>
      </c>
      <c r="E12" s="303">
        <v>-21.198191666666659</v>
      </c>
      <c r="F12" s="303">
        <v>-21.198191666666663</v>
      </c>
      <c r="G12" s="303">
        <v>-21.198191666666663</v>
      </c>
      <c r="H12" s="303">
        <v>-21.198191666666666</v>
      </c>
      <c r="I12" s="303">
        <v>-21.198191666666663</v>
      </c>
      <c r="J12" s="303">
        <v>-21.198191666666663</v>
      </c>
      <c r="K12" s="303">
        <v>-21.198191666666666</v>
      </c>
      <c r="L12" s="303">
        <v>-21.198191666666666</v>
      </c>
      <c r="M12" s="303">
        <v>-21.198191666666666</v>
      </c>
      <c r="N12" s="303">
        <v>-21.198191666666666</v>
      </c>
      <c r="O12" s="303">
        <v>-21.198191666666666</v>
      </c>
      <c r="P12" s="303">
        <v>-21.198191666666666</v>
      </c>
      <c r="Q12" s="303">
        <v>-21.198191666666666</v>
      </c>
      <c r="R12" s="303">
        <v>-21.198191666666666</v>
      </c>
      <c r="S12" s="303">
        <v>-21.198191666666666</v>
      </c>
      <c r="T12" s="303">
        <v>-21.198191666666666</v>
      </c>
      <c r="U12" s="303">
        <v>-21.198191666666666</v>
      </c>
      <c r="V12" s="303">
        <v>-21.198191666666666</v>
      </c>
      <c r="W12" s="303">
        <v>-21.198191666666666</v>
      </c>
      <c r="X12" s="303">
        <v>-21.198191666666666</v>
      </c>
      <c r="Y12" s="303">
        <v>-21.198191666666666</v>
      </c>
      <c r="Z12" s="303">
        <v>-21.198191666666666</v>
      </c>
      <c r="AA12" s="304">
        <v>-21.198191666666666</v>
      </c>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3"/>
      <c r="AX12" s="153"/>
      <c r="AY12" s="153"/>
      <c r="AZ12" s="153"/>
      <c r="BA12" s="153"/>
      <c r="BB12" s="153"/>
      <c r="BC12" s="153"/>
      <c r="BD12" s="153"/>
      <c r="BE12" s="153"/>
      <c r="BF12" s="153"/>
      <c r="BG12" s="153"/>
      <c r="BH12" s="153"/>
      <c r="BI12" s="153"/>
      <c r="BJ12" s="153"/>
      <c r="BK12" s="153"/>
      <c r="BL12" s="153"/>
      <c r="BM12" s="153"/>
      <c r="BN12" s="153"/>
      <c r="BO12" s="153"/>
      <c r="BP12" s="153"/>
      <c r="BQ12" s="153"/>
      <c r="BR12" s="153"/>
      <c r="BS12" s="153"/>
      <c r="BT12" s="153"/>
      <c r="BU12" s="153"/>
      <c r="BV12" s="153"/>
      <c r="BW12" s="153"/>
      <c r="BX12" s="153"/>
      <c r="BY12" s="153"/>
      <c r="BZ12" s="153"/>
      <c r="CA12" s="153"/>
      <c r="CB12" s="153"/>
      <c r="CC12" s="153"/>
      <c r="CD12" s="153"/>
      <c r="CE12" s="153"/>
      <c r="CF12" s="153"/>
      <c r="CG12" s="153"/>
      <c r="CH12" s="153"/>
      <c r="CI12" s="153"/>
      <c r="CJ12" s="153"/>
      <c r="CK12" s="153"/>
      <c r="CL12" s="153"/>
      <c r="CM12" s="153"/>
      <c r="CN12" s="153"/>
      <c r="CO12" s="153"/>
      <c r="CP12" s="153"/>
      <c r="CQ12" s="153"/>
      <c r="CR12" s="153"/>
      <c r="CS12" s="153"/>
      <c r="CT12" s="153"/>
      <c r="CU12" s="153"/>
      <c r="CV12" s="153"/>
      <c r="CW12" s="153"/>
      <c r="CX12" s="153"/>
      <c r="CY12" s="153"/>
      <c r="CZ12" s="153"/>
      <c r="DA12" s="153"/>
      <c r="DB12" s="153"/>
      <c r="DC12" s="153"/>
      <c r="DD12" s="153"/>
      <c r="DE12" s="153"/>
      <c r="DF12" s="153"/>
      <c r="DG12" s="153"/>
      <c r="DH12" s="153"/>
      <c r="DI12" s="153"/>
      <c r="DJ12" s="153"/>
      <c r="DK12" s="153"/>
      <c r="DL12" s="153"/>
      <c r="DM12" s="153"/>
      <c r="DN12" s="153"/>
      <c r="DO12" s="153"/>
      <c r="DP12" s="153"/>
      <c r="DQ12" s="153"/>
      <c r="DR12" s="153"/>
      <c r="DS12" s="153"/>
      <c r="DT12" s="153"/>
      <c r="DU12" s="153"/>
      <c r="DV12" s="153"/>
      <c r="DW12" s="153"/>
      <c r="DX12" s="153"/>
      <c r="DY12" s="153"/>
      <c r="DZ12" s="153"/>
      <c r="EA12" s="153"/>
      <c r="EB12" s="153"/>
      <c r="EC12" s="153"/>
      <c r="ED12" s="153"/>
      <c r="EE12" s="153"/>
      <c r="EF12" s="153"/>
      <c r="EG12" s="153"/>
      <c r="EH12" s="153"/>
      <c r="EI12" s="153"/>
      <c r="EJ12" s="153"/>
      <c r="EK12" s="153"/>
      <c r="EL12" s="153"/>
      <c r="EM12" s="153"/>
      <c r="EN12" s="153"/>
      <c r="EO12" s="153"/>
      <c r="EP12" s="153"/>
      <c r="EQ12" s="153"/>
      <c r="ER12" s="153"/>
      <c r="ES12" s="153"/>
      <c r="ET12" s="153"/>
      <c r="EU12" s="153"/>
      <c r="EV12" s="153"/>
      <c r="EW12" s="153"/>
      <c r="EX12" s="153"/>
      <c r="EY12" s="153"/>
      <c r="EZ12" s="153"/>
      <c r="FA12" s="153"/>
      <c r="FB12" s="153"/>
    </row>
    <row r="13" spans="1:158" s="294" customFormat="1" x14ac:dyDescent="0.3">
      <c r="A13" s="305" t="s">
        <v>120</v>
      </c>
      <c r="B13" s="295">
        <v>-21.198191666666663</v>
      </c>
      <c r="C13" s="295">
        <v>-21.198191666666659</v>
      </c>
      <c r="D13" s="295">
        <v>-21.198191666666659</v>
      </c>
      <c r="E13" s="295">
        <v>-21.198191666666663</v>
      </c>
      <c r="F13" s="295">
        <v>-21.198191666666659</v>
      </c>
      <c r="G13" s="295">
        <v>-21.198191666666666</v>
      </c>
      <c r="H13" s="295">
        <v>-21.198191666666666</v>
      </c>
      <c r="I13" s="295">
        <v>-21.198191666666663</v>
      </c>
      <c r="J13" s="295">
        <v>-21.198191666666663</v>
      </c>
      <c r="K13" s="295">
        <v>-21.19819166666667</v>
      </c>
      <c r="L13" s="295">
        <v>-21.19819166666667</v>
      </c>
      <c r="M13" s="295">
        <v>-21.198191666666666</v>
      </c>
      <c r="N13" s="295">
        <v>-21.198191666666666</v>
      </c>
      <c r="O13" s="295">
        <v>-21.198191666666666</v>
      </c>
      <c r="P13" s="295">
        <v>-21.198191666666666</v>
      </c>
      <c r="Q13" s="295">
        <v>-21.198191666666666</v>
      </c>
      <c r="R13" s="295">
        <v>-21.198191666666666</v>
      </c>
      <c r="S13" s="295">
        <v>-21.198191666666666</v>
      </c>
      <c r="T13" s="295">
        <v>-21.198191666666666</v>
      </c>
      <c r="U13" s="295">
        <v>-21.198191666666666</v>
      </c>
      <c r="V13" s="295">
        <v>-21.198191666666666</v>
      </c>
      <c r="W13" s="295">
        <v>-21.198191666666666</v>
      </c>
      <c r="X13" s="295">
        <v>-21.198191666666666</v>
      </c>
      <c r="Y13" s="295">
        <v>-21.198191666666666</v>
      </c>
      <c r="Z13" s="295">
        <v>-21.198191666666666</v>
      </c>
      <c r="AA13" s="306">
        <v>-21.198191666666666</v>
      </c>
      <c r="AB13" s="153"/>
      <c r="AC13" s="153"/>
      <c r="AD13" s="153"/>
      <c r="AE13" s="153"/>
      <c r="AF13" s="153"/>
      <c r="AG13" s="153"/>
      <c r="AH13" s="153"/>
      <c r="AI13" s="153"/>
      <c r="AJ13" s="153"/>
      <c r="AK13" s="153"/>
      <c r="AL13" s="153"/>
      <c r="AM13" s="153"/>
      <c r="AN13" s="153"/>
      <c r="AO13" s="153"/>
      <c r="AP13" s="153"/>
      <c r="AQ13" s="153"/>
      <c r="AR13" s="153"/>
      <c r="AS13" s="153"/>
      <c r="AT13" s="153"/>
      <c r="AU13" s="153"/>
      <c r="AV13" s="153"/>
      <c r="AW13" s="153"/>
      <c r="AX13" s="153"/>
      <c r="AY13" s="153"/>
      <c r="AZ13" s="153"/>
      <c r="BA13" s="153"/>
      <c r="BB13" s="153"/>
      <c r="BC13" s="153"/>
      <c r="BD13" s="153"/>
      <c r="BE13" s="153"/>
      <c r="BF13" s="153"/>
      <c r="BG13" s="153"/>
      <c r="BH13" s="153"/>
      <c r="BI13" s="153"/>
      <c r="BJ13" s="153"/>
      <c r="BK13" s="153"/>
      <c r="BL13" s="153"/>
      <c r="BM13" s="153"/>
      <c r="BN13" s="153"/>
      <c r="BO13" s="153"/>
      <c r="BP13" s="153"/>
      <c r="BQ13" s="153"/>
      <c r="BR13" s="153"/>
      <c r="BS13" s="153"/>
      <c r="BT13" s="153"/>
      <c r="BU13" s="153"/>
      <c r="BV13" s="153"/>
      <c r="BW13" s="153"/>
      <c r="BX13" s="153"/>
      <c r="BY13" s="153"/>
      <c r="BZ13" s="153"/>
      <c r="CA13" s="153"/>
      <c r="CB13" s="153"/>
      <c r="CC13" s="153"/>
      <c r="CD13" s="153"/>
      <c r="CE13" s="153"/>
      <c r="CF13" s="153"/>
      <c r="CG13" s="153"/>
      <c r="CH13" s="153"/>
      <c r="CI13" s="153"/>
      <c r="CJ13" s="153"/>
      <c r="CK13" s="153"/>
      <c r="CL13" s="153"/>
      <c r="CM13" s="153"/>
      <c r="CN13" s="153"/>
      <c r="CO13" s="153"/>
      <c r="CP13" s="153"/>
      <c r="CQ13" s="153"/>
      <c r="CR13" s="153"/>
      <c r="CS13" s="153"/>
      <c r="CT13" s="153"/>
      <c r="CU13" s="153"/>
      <c r="CV13" s="153"/>
      <c r="CW13" s="153"/>
      <c r="CX13" s="153"/>
      <c r="CY13" s="153"/>
      <c r="CZ13" s="153"/>
      <c r="DA13" s="153"/>
      <c r="DB13" s="153"/>
      <c r="DC13" s="153"/>
      <c r="DD13" s="153"/>
      <c r="DE13" s="153"/>
      <c r="DF13" s="153"/>
      <c r="DG13" s="153"/>
      <c r="DH13" s="153"/>
      <c r="DI13" s="153"/>
      <c r="DJ13" s="153"/>
      <c r="DK13" s="153"/>
      <c r="DL13" s="153"/>
      <c r="DM13" s="153"/>
      <c r="DN13" s="153"/>
      <c r="DO13" s="153"/>
      <c r="DP13" s="153"/>
      <c r="DQ13" s="153"/>
      <c r="DR13" s="153"/>
      <c r="DS13" s="153"/>
      <c r="DT13" s="153"/>
      <c r="DU13" s="153"/>
      <c r="DV13" s="153"/>
      <c r="DW13" s="153"/>
      <c r="DX13" s="153"/>
      <c r="DY13" s="153"/>
      <c r="DZ13" s="153"/>
      <c r="EA13" s="153"/>
      <c r="EB13" s="153"/>
      <c r="EC13" s="153"/>
      <c r="ED13" s="153"/>
      <c r="EE13" s="153"/>
      <c r="EF13" s="153"/>
      <c r="EG13" s="153"/>
      <c r="EH13" s="153"/>
      <c r="EI13" s="153"/>
      <c r="EJ13" s="153"/>
      <c r="EK13" s="153"/>
      <c r="EL13" s="153"/>
      <c r="EM13" s="153"/>
      <c r="EN13" s="153"/>
      <c r="EO13" s="153"/>
      <c r="EP13" s="153"/>
      <c r="EQ13" s="153"/>
      <c r="ER13" s="153"/>
      <c r="ES13" s="153"/>
      <c r="ET13" s="153"/>
      <c r="EU13" s="153"/>
      <c r="EV13" s="153"/>
      <c r="EW13" s="153"/>
      <c r="EX13" s="153"/>
      <c r="EY13" s="153"/>
      <c r="EZ13" s="153"/>
      <c r="FA13" s="153"/>
      <c r="FB13" s="153"/>
    </row>
    <row r="14" spans="1:158" s="294" customFormat="1" x14ac:dyDescent="0.3">
      <c r="A14" s="305" t="s">
        <v>121</v>
      </c>
      <c r="B14" s="295">
        <v>-21.198191666666663</v>
      </c>
      <c r="C14" s="295">
        <v>-21.198191666666659</v>
      </c>
      <c r="D14" s="295">
        <v>-21.198191666666663</v>
      </c>
      <c r="E14" s="295">
        <v>-21.198191666666663</v>
      </c>
      <c r="F14" s="295">
        <v>-21.198191666666663</v>
      </c>
      <c r="G14" s="295">
        <v>-21.198191666666663</v>
      </c>
      <c r="H14" s="295">
        <v>-21.198191666666666</v>
      </c>
      <c r="I14" s="295">
        <v>-21.198191666666663</v>
      </c>
      <c r="J14" s="295">
        <v>-21.198191666666666</v>
      </c>
      <c r="K14" s="295">
        <v>-21.19819166666667</v>
      </c>
      <c r="L14" s="295">
        <v>-21.19819166666667</v>
      </c>
      <c r="M14" s="295">
        <v>-21.198191666666666</v>
      </c>
      <c r="N14" s="295">
        <v>-21.198191666666666</v>
      </c>
      <c r="O14" s="295">
        <v>-21.198191666666666</v>
      </c>
      <c r="P14" s="295">
        <v>-21.198191666666666</v>
      </c>
      <c r="Q14" s="295">
        <v>-21.198191666666666</v>
      </c>
      <c r="R14" s="295">
        <v>-21.198191666666666</v>
      </c>
      <c r="S14" s="295">
        <v>-21.198191666666666</v>
      </c>
      <c r="T14" s="295">
        <v>-21.198191666666666</v>
      </c>
      <c r="U14" s="295">
        <v>-21.198191666666666</v>
      </c>
      <c r="V14" s="295">
        <v>-21.198191666666666</v>
      </c>
      <c r="W14" s="295">
        <v>-21.198191666666666</v>
      </c>
      <c r="X14" s="295">
        <v>-21.198191666666666</v>
      </c>
      <c r="Y14" s="295">
        <v>-21.198191666666666</v>
      </c>
      <c r="Z14" s="295">
        <v>-21.198191666666666</v>
      </c>
      <c r="AA14" s="306">
        <v>-21.198191666666666</v>
      </c>
      <c r="AB14" s="153"/>
      <c r="AC14" s="153"/>
      <c r="AD14" s="153"/>
      <c r="AE14" s="153"/>
      <c r="AF14" s="153"/>
      <c r="AG14" s="153"/>
      <c r="AH14" s="153"/>
      <c r="AI14" s="153"/>
      <c r="AJ14" s="153"/>
      <c r="AK14" s="153"/>
      <c r="AL14" s="153"/>
      <c r="AM14" s="153"/>
      <c r="AN14" s="153"/>
      <c r="AO14" s="153"/>
      <c r="AP14" s="153"/>
      <c r="AQ14" s="153"/>
      <c r="AR14" s="153"/>
      <c r="AS14" s="153"/>
      <c r="AT14" s="153"/>
      <c r="AU14" s="153"/>
      <c r="AV14" s="153"/>
      <c r="AW14" s="153"/>
      <c r="AX14" s="153"/>
      <c r="AY14" s="153"/>
      <c r="AZ14" s="153"/>
      <c r="BA14" s="153"/>
      <c r="BB14" s="153"/>
      <c r="BC14" s="153"/>
      <c r="BD14" s="153"/>
      <c r="BE14" s="153"/>
      <c r="BF14" s="153"/>
      <c r="BG14" s="153"/>
      <c r="BH14" s="153"/>
      <c r="BI14" s="153"/>
      <c r="BJ14" s="153"/>
      <c r="BK14" s="153"/>
      <c r="BL14" s="153"/>
      <c r="BM14" s="153"/>
      <c r="BN14" s="153"/>
      <c r="BO14" s="153"/>
      <c r="BP14" s="153"/>
      <c r="BQ14" s="153"/>
      <c r="BR14" s="153"/>
      <c r="BS14" s="153"/>
      <c r="BT14" s="153"/>
      <c r="BU14" s="153"/>
      <c r="BV14" s="153"/>
      <c r="BW14" s="153"/>
      <c r="BX14" s="153"/>
      <c r="BY14" s="153"/>
      <c r="BZ14" s="153"/>
      <c r="CA14" s="153"/>
      <c r="CB14" s="153"/>
      <c r="CC14" s="153"/>
      <c r="CD14" s="153"/>
      <c r="CE14" s="153"/>
      <c r="CF14" s="153"/>
      <c r="CG14" s="153"/>
      <c r="CH14" s="153"/>
      <c r="CI14" s="153"/>
      <c r="CJ14" s="153"/>
      <c r="CK14" s="153"/>
      <c r="CL14" s="153"/>
      <c r="CM14" s="153"/>
      <c r="CN14" s="153"/>
      <c r="CO14" s="153"/>
      <c r="CP14" s="153"/>
      <c r="CQ14" s="153"/>
      <c r="CR14" s="153"/>
      <c r="CS14" s="153"/>
      <c r="CT14" s="153"/>
      <c r="CU14" s="153"/>
      <c r="CV14" s="153"/>
      <c r="CW14" s="153"/>
      <c r="CX14" s="153"/>
      <c r="CY14" s="153"/>
      <c r="CZ14" s="153"/>
      <c r="DA14" s="153"/>
      <c r="DB14" s="153"/>
      <c r="DC14" s="153"/>
      <c r="DD14" s="153"/>
      <c r="DE14" s="153"/>
      <c r="DF14" s="153"/>
      <c r="DG14" s="153"/>
      <c r="DH14" s="153"/>
      <c r="DI14" s="153"/>
      <c r="DJ14" s="153"/>
      <c r="DK14" s="153"/>
      <c r="DL14" s="153"/>
      <c r="DM14" s="153"/>
      <c r="DN14" s="153"/>
      <c r="DO14" s="153"/>
      <c r="DP14" s="153"/>
      <c r="DQ14" s="153"/>
      <c r="DR14" s="153"/>
      <c r="DS14" s="153"/>
      <c r="DT14" s="153"/>
      <c r="DU14" s="153"/>
      <c r="DV14" s="153"/>
      <c r="DW14" s="153"/>
      <c r="DX14" s="153"/>
      <c r="DY14" s="153"/>
      <c r="DZ14" s="153"/>
      <c r="EA14" s="153"/>
      <c r="EB14" s="153"/>
      <c r="EC14" s="153"/>
      <c r="ED14" s="153"/>
      <c r="EE14" s="153"/>
      <c r="EF14" s="153"/>
      <c r="EG14" s="153"/>
      <c r="EH14" s="153"/>
      <c r="EI14" s="153"/>
      <c r="EJ14" s="153"/>
      <c r="EK14" s="153"/>
      <c r="EL14" s="153"/>
      <c r="EM14" s="153"/>
      <c r="EN14" s="153"/>
      <c r="EO14" s="153"/>
      <c r="EP14" s="153"/>
      <c r="EQ14" s="153"/>
      <c r="ER14" s="153"/>
      <c r="ES14" s="153"/>
      <c r="ET14" s="153"/>
      <c r="EU14" s="153"/>
      <c r="EV14" s="153"/>
      <c r="EW14" s="153"/>
      <c r="EX14" s="153"/>
      <c r="EY14" s="153"/>
      <c r="EZ14" s="153"/>
      <c r="FA14" s="153"/>
      <c r="FB14" s="153"/>
    </row>
    <row r="15" spans="1:158" s="294" customFormat="1" x14ac:dyDescent="0.3">
      <c r="A15" s="305" t="s">
        <v>122</v>
      </c>
      <c r="B15" s="295">
        <v>-21.198191666666666</v>
      </c>
      <c r="C15" s="295">
        <v>-21.198191666666663</v>
      </c>
      <c r="D15" s="295">
        <v>-21.198191666666663</v>
      </c>
      <c r="E15" s="295">
        <v>-21.198191666666659</v>
      </c>
      <c r="F15" s="295">
        <v>-21.198191666666659</v>
      </c>
      <c r="G15" s="295">
        <v>-21.198191666666663</v>
      </c>
      <c r="H15" s="295">
        <v>-21.198191666666666</v>
      </c>
      <c r="I15" s="295">
        <v>-21.198191666666663</v>
      </c>
      <c r="J15" s="295">
        <v>-21.198191666666659</v>
      </c>
      <c r="K15" s="295">
        <v>-21.19819166666667</v>
      </c>
      <c r="L15" s="295">
        <v>-21.19819166666667</v>
      </c>
      <c r="M15" s="295">
        <v>-21.198191666666663</v>
      </c>
      <c r="N15" s="295">
        <v>-21.198191666666663</v>
      </c>
      <c r="O15" s="295">
        <v>-21.198191666666663</v>
      </c>
      <c r="P15" s="295">
        <v>-21.198191666666663</v>
      </c>
      <c r="Q15" s="295">
        <v>-21.198191666666663</v>
      </c>
      <c r="R15" s="295">
        <v>-21.198191666666663</v>
      </c>
      <c r="S15" s="295">
        <v>-21.198191666666663</v>
      </c>
      <c r="T15" s="295">
        <v>-21.198191666666663</v>
      </c>
      <c r="U15" s="295">
        <v>-21.198191666666663</v>
      </c>
      <c r="V15" s="295">
        <v>-21.198191666666663</v>
      </c>
      <c r="W15" s="295">
        <v>-21.198191666666663</v>
      </c>
      <c r="X15" s="295">
        <v>-21.198191666666663</v>
      </c>
      <c r="Y15" s="295">
        <v>-21.198191666666663</v>
      </c>
      <c r="Z15" s="295">
        <v>-21.198191666666663</v>
      </c>
      <c r="AA15" s="306">
        <v>-21.198191666666663</v>
      </c>
      <c r="AB15" s="153"/>
      <c r="AC15" s="153"/>
      <c r="AD15" s="153"/>
      <c r="AE15" s="153"/>
      <c r="AF15" s="153"/>
      <c r="AG15" s="153"/>
      <c r="AH15" s="153"/>
      <c r="AI15" s="153"/>
      <c r="AJ15" s="153"/>
      <c r="AK15" s="153"/>
      <c r="AL15" s="153"/>
      <c r="AM15" s="153"/>
      <c r="AN15" s="153"/>
      <c r="AO15" s="153"/>
      <c r="AP15" s="153"/>
      <c r="AQ15" s="153"/>
      <c r="AR15" s="153"/>
      <c r="AS15" s="153"/>
      <c r="AT15" s="153"/>
      <c r="AU15" s="153"/>
      <c r="AV15" s="153"/>
      <c r="AW15" s="153"/>
      <c r="AX15" s="153"/>
      <c r="AY15" s="153"/>
      <c r="AZ15" s="153"/>
      <c r="BA15" s="153"/>
      <c r="BB15" s="153"/>
      <c r="BC15" s="153"/>
      <c r="BD15" s="153"/>
      <c r="BE15" s="153"/>
      <c r="BF15" s="153"/>
      <c r="BG15" s="153"/>
      <c r="BH15" s="153"/>
      <c r="BI15" s="153"/>
      <c r="BJ15" s="153"/>
      <c r="BK15" s="153"/>
      <c r="BL15" s="153"/>
      <c r="BM15" s="153"/>
      <c r="BN15" s="153"/>
      <c r="BO15" s="153"/>
      <c r="BP15" s="153"/>
      <c r="BQ15" s="153"/>
      <c r="BR15" s="153"/>
      <c r="BS15" s="153"/>
      <c r="BT15" s="153"/>
      <c r="BU15" s="153"/>
      <c r="BV15" s="153"/>
      <c r="BW15" s="153"/>
      <c r="BX15" s="153"/>
      <c r="BY15" s="153"/>
      <c r="BZ15" s="153"/>
      <c r="CA15" s="153"/>
      <c r="CB15" s="153"/>
      <c r="CC15" s="153"/>
      <c r="CD15" s="153"/>
      <c r="CE15" s="153"/>
      <c r="CF15" s="153"/>
      <c r="CG15" s="153"/>
      <c r="CH15" s="153"/>
      <c r="CI15" s="153"/>
      <c r="CJ15" s="153"/>
      <c r="CK15" s="153"/>
      <c r="CL15" s="153"/>
      <c r="CM15" s="153"/>
      <c r="CN15" s="153"/>
      <c r="CO15" s="153"/>
      <c r="CP15" s="153"/>
      <c r="CQ15" s="153"/>
      <c r="CR15" s="153"/>
      <c r="CS15" s="153"/>
      <c r="CT15" s="153"/>
      <c r="CU15" s="153"/>
      <c r="CV15" s="153"/>
      <c r="CW15" s="153"/>
      <c r="CX15" s="153"/>
      <c r="CY15" s="153"/>
      <c r="CZ15" s="153"/>
      <c r="DA15" s="153"/>
      <c r="DB15" s="153"/>
      <c r="DC15" s="153"/>
      <c r="DD15" s="153"/>
      <c r="DE15" s="153"/>
      <c r="DF15" s="153"/>
      <c r="DG15" s="153"/>
      <c r="DH15" s="153"/>
      <c r="DI15" s="153"/>
      <c r="DJ15" s="153"/>
      <c r="DK15" s="153"/>
      <c r="DL15" s="153"/>
      <c r="DM15" s="153"/>
      <c r="DN15" s="153"/>
      <c r="DO15" s="153"/>
      <c r="DP15" s="153"/>
      <c r="DQ15" s="153"/>
      <c r="DR15" s="153"/>
      <c r="DS15" s="153"/>
      <c r="DT15" s="153"/>
      <c r="DU15" s="153"/>
      <c r="DV15" s="153"/>
      <c r="DW15" s="153"/>
      <c r="DX15" s="153"/>
      <c r="DY15" s="153"/>
      <c r="DZ15" s="153"/>
      <c r="EA15" s="153"/>
      <c r="EB15" s="153"/>
      <c r="EC15" s="153"/>
      <c r="ED15" s="153"/>
      <c r="EE15" s="153"/>
      <c r="EF15" s="153"/>
      <c r="EG15" s="153"/>
      <c r="EH15" s="153"/>
      <c r="EI15" s="153"/>
      <c r="EJ15" s="153"/>
      <c r="EK15" s="153"/>
      <c r="EL15" s="153"/>
      <c r="EM15" s="153"/>
      <c r="EN15" s="153"/>
      <c r="EO15" s="153"/>
      <c r="EP15" s="153"/>
      <c r="EQ15" s="153"/>
      <c r="ER15" s="153"/>
      <c r="ES15" s="153"/>
      <c r="ET15" s="153"/>
      <c r="EU15" s="153"/>
      <c r="EV15" s="153"/>
      <c r="EW15" s="153"/>
      <c r="EX15" s="153"/>
      <c r="EY15" s="153"/>
      <c r="EZ15" s="153"/>
      <c r="FA15" s="153"/>
      <c r="FB15" s="153"/>
    </row>
    <row r="16" spans="1:158" s="294" customFormat="1" x14ac:dyDescent="0.3">
      <c r="A16" s="305" t="s">
        <v>123</v>
      </c>
      <c r="B16" s="295">
        <v>-21.198191666666666</v>
      </c>
      <c r="C16" s="295">
        <v>-21.198191666666666</v>
      </c>
      <c r="D16" s="295">
        <v>-21.198191666666663</v>
      </c>
      <c r="E16" s="295">
        <v>-21.198191666666663</v>
      </c>
      <c r="F16" s="295">
        <v>-21.198191666666663</v>
      </c>
      <c r="G16" s="295">
        <v>-21.198191666666666</v>
      </c>
      <c r="H16" s="295">
        <v>-21.198191666666666</v>
      </c>
      <c r="I16" s="295">
        <v>-21.198191666666663</v>
      </c>
      <c r="J16" s="295">
        <v>-21.198191666666663</v>
      </c>
      <c r="K16" s="295">
        <v>-21.198191666666666</v>
      </c>
      <c r="L16" s="295">
        <v>-21.198191666666666</v>
      </c>
      <c r="M16" s="295">
        <v>-21.198191666666663</v>
      </c>
      <c r="N16" s="295">
        <v>-21.198191666666663</v>
      </c>
      <c r="O16" s="295">
        <v>-21.198191666666663</v>
      </c>
      <c r="P16" s="295">
        <v>-21.198191666666663</v>
      </c>
      <c r="Q16" s="295">
        <v>-21.198191666666663</v>
      </c>
      <c r="R16" s="295">
        <v>-21.198191666666663</v>
      </c>
      <c r="S16" s="295">
        <v>-21.198191666666663</v>
      </c>
      <c r="T16" s="295">
        <v>-21.198191666666663</v>
      </c>
      <c r="U16" s="295">
        <v>-21.198191666666663</v>
      </c>
      <c r="V16" s="295">
        <v>-21.198191666666663</v>
      </c>
      <c r="W16" s="295">
        <v>-21.198191666666663</v>
      </c>
      <c r="X16" s="295">
        <v>-21.198191666666663</v>
      </c>
      <c r="Y16" s="295">
        <v>-21.198191666666663</v>
      </c>
      <c r="Z16" s="295">
        <v>-21.198191666666663</v>
      </c>
      <c r="AA16" s="306">
        <v>-21.198191666666663</v>
      </c>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3"/>
      <c r="AX16" s="153"/>
      <c r="AY16" s="153"/>
      <c r="AZ16" s="153"/>
      <c r="BA16" s="153"/>
      <c r="BB16" s="153"/>
      <c r="BC16" s="153"/>
      <c r="BD16" s="153"/>
      <c r="BE16" s="153"/>
      <c r="BF16" s="153"/>
      <c r="BG16" s="153"/>
      <c r="BH16" s="153"/>
      <c r="BI16" s="153"/>
      <c r="BJ16" s="153"/>
      <c r="BK16" s="153"/>
      <c r="BL16" s="153"/>
      <c r="BM16" s="153"/>
      <c r="BN16" s="153"/>
      <c r="BO16" s="153"/>
      <c r="BP16" s="153"/>
      <c r="BQ16" s="153"/>
      <c r="BR16" s="153"/>
      <c r="BS16" s="153"/>
      <c r="BT16" s="153"/>
      <c r="BU16" s="153"/>
      <c r="BV16" s="153"/>
      <c r="BW16" s="153"/>
      <c r="BX16" s="153"/>
      <c r="BY16" s="153"/>
      <c r="BZ16" s="153"/>
      <c r="CA16" s="153"/>
      <c r="CB16" s="153"/>
      <c r="CC16" s="153"/>
      <c r="CD16" s="153"/>
      <c r="CE16" s="153"/>
      <c r="CF16" s="153"/>
      <c r="CG16" s="153"/>
      <c r="CH16" s="153"/>
      <c r="CI16" s="153"/>
      <c r="CJ16" s="153"/>
      <c r="CK16" s="153"/>
      <c r="CL16" s="153"/>
      <c r="CM16" s="153"/>
      <c r="CN16" s="153"/>
      <c r="CO16" s="153"/>
      <c r="CP16" s="153"/>
      <c r="CQ16" s="153"/>
      <c r="CR16" s="153"/>
      <c r="CS16" s="153"/>
      <c r="CT16" s="153"/>
      <c r="CU16" s="153"/>
      <c r="CV16" s="153"/>
      <c r="CW16" s="153"/>
      <c r="CX16" s="153"/>
      <c r="CY16" s="153"/>
      <c r="CZ16" s="153"/>
      <c r="DA16" s="153"/>
      <c r="DB16" s="153"/>
      <c r="DC16" s="153"/>
      <c r="DD16" s="153"/>
      <c r="DE16" s="153"/>
      <c r="DF16" s="153"/>
      <c r="DG16" s="153"/>
      <c r="DH16" s="153"/>
      <c r="DI16" s="153"/>
      <c r="DJ16" s="153"/>
      <c r="DK16" s="153"/>
      <c r="DL16" s="153"/>
      <c r="DM16" s="153"/>
      <c r="DN16" s="153"/>
      <c r="DO16" s="153"/>
      <c r="DP16" s="153"/>
      <c r="DQ16" s="153"/>
      <c r="DR16" s="153"/>
      <c r="DS16" s="153"/>
      <c r="DT16" s="153"/>
      <c r="DU16" s="153"/>
      <c r="DV16" s="153"/>
      <c r="DW16" s="153"/>
      <c r="DX16" s="153"/>
      <c r="DY16" s="153"/>
      <c r="DZ16" s="153"/>
      <c r="EA16" s="153"/>
      <c r="EB16" s="153"/>
      <c r="EC16" s="153"/>
      <c r="ED16" s="153"/>
      <c r="EE16" s="153"/>
      <c r="EF16" s="153"/>
      <c r="EG16" s="153"/>
      <c r="EH16" s="153"/>
      <c r="EI16" s="153"/>
      <c r="EJ16" s="153"/>
      <c r="EK16" s="153"/>
      <c r="EL16" s="153"/>
      <c r="EM16" s="153"/>
      <c r="EN16" s="153"/>
      <c r="EO16" s="153"/>
      <c r="EP16" s="153"/>
      <c r="EQ16" s="153"/>
      <c r="ER16" s="153"/>
      <c r="ES16" s="153"/>
      <c r="ET16" s="153"/>
      <c r="EU16" s="153"/>
      <c r="EV16" s="153"/>
      <c r="EW16" s="153"/>
      <c r="EX16" s="153"/>
      <c r="EY16" s="153"/>
      <c r="EZ16" s="153"/>
      <c r="FA16" s="153"/>
      <c r="FB16" s="153"/>
    </row>
    <row r="17" spans="1:158" s="294" customFormat="1" x14ac:dyDescent="0.3">
      <c r="A17" s="305" t="s">
        <v>124</v>
      </c>
      <c r="B17" s="295">
        <v>-21.198191666666659</v>
      </c>
      <c r="C17" s="295">
        <v>-21.198191666666663</v>
      </c>
      <c r="D17" s="295">
        <v>-21.198191666666663</v>
      </c>
      <c r="E17" s="295">
        <v>-21.198191666666663</v>
      </c>
      <c r="F17" s="295">
        <v>-21.198191666666666</v>
      </c>
      <c r="G17" s="295">
        <v>-21.198191666666666</v>
      </c>
      <c r="H17" s="295">
        <v>-21.198191666666666</v>
      </c>
      <c r="I17" s="295">
        <v>-21.198191666666663</v>
      </c>
      <c r="J17" s="295">
        <v>-21.198191666666663</v>
      </c>
      <c r="K17" s="295">
        <v>-21.19819166666667</v>
      </c>
      <c r="L17" s="295">
        <v>-21.19819166666667</v>
      </c>
      <c r="M17" s="295">
        <v>-21.198191666666666</v>
      </c>
      <c r="N17" s="295">
        <v>-21.198191666666666</v>
      </c>
      <c r="O17" s="295">
        <v>-21.198191666666666</v>
      </c>
      <c r="P17" s="295">
        <v>-21.198191666666666</v>
      </c>
      <c r="Q17" s="295">
        <v>-21.198191666666666</v>
      </c>
      <c r="R17" s="295">
        <v>-21.198191666666666</v>
      </c>
      <c r="S17" s="295">
        <v>-21.198191666666666</v>
      </c>
      <c r="T17" s="295">
        <v>-21.198191666666666</v>
      </c>
      <c r="U17" s="295">
        <v>-21.198191666666666</v>
      </c>
      <c r="V17" s="295">
        <v>-21.198191666666666</v>
      </c>
      <c r="W17" s="295">
        <v>-21.198191666666666</v>
      </c>
      <c r="X17" s="295">
        <v>-21.198191666666666</v>
      </c>
      <c r="Y17" s="295">
        <v>-21.198191666666666</v>
      </c>
      <c r="Z17" s="295">
        <v>-21.198191666666666</v>
      </c>
      <c r="AA17" s="306">
        <v>-21.198191666666666</v>
      </c>
      <c r="AB17" s="153"/>
      <c r="AC17" s="153"/>
      <c r="AD17" s="153"/>
      <c r="AE17" s="153"/>
      <c r="AF17" s="153"/>
      <c r="AG17" s="153"/>
      <c r="AH17" s="153"/>
      <c r="AI17" s="153"/>
      <c r="AJ17" s="153"/>
      <c r="AK17" s="153"/>
      <c r="AL17" s="153"/>
      <c r="AM17" s="153"/>
      <c r="AN17" s="153"/>
      <c r="AO17" s="153"/>
      <c r="AP17" s="153"/>
      <c r="AQ17" s="153"/>
      <c r="AR17" s="153"/>
      <c r="AS17" s="153"/>
      <c r="AT17" s="153"/>
      <c r="AU17" s="153"/>
      <c r="AV17" s="153"/>
      <c r="AW17" s="153"/>
      <c r="AX17" s="153"/>
      <c r="AY17" s="153"/>
      <c r="AZ17" s="153"/>
      <c r="BA17" s="153"/>
      <c r="BB17" s="153"/>
      <c r="BC17" s="153"/>
      <c r="BD17" s="153"/>
      <c r="BE17" s="153"/>
      <c r="BF17" s="153"/>
      <c r="BG17" s="153"/>
      <c r="BH17" s="153"/>
      <c r="BI17" s="153"/>
      <c r="BJ17" s="153"/>
      <c r="BK17" s="153"/>
      <c r="BL17" s="153"/>
      <c r="BM17" s="153"/>
      <c r="BN17" s="153"/>
      <c r="BO17" s="153"/>
      <c r="BP17" s="153"/>
      <c r="BQ17" s="153"/>
      <c r="BR17" s="153"/>
      <c r="BS17" s="153"/>
      <c r="BT17" s="153"/>
      <c r="BU17" s="153"/>
      <c r="BV17" s="153"/>
      <c r="BW17" s="153"/>
      <c r="BX17" s="153"/>
      <c r="BY17" s="153"/>
      <c r="BZ17" s="153"/>
      <c r="CA17" s="153"/>
      <c r="CB17" s="153"/>
      <c r="CC17" s="153"/>
      <c r="CD17" s="153"/>
      <c r="CE17" s="153"/>
      <c r="CF17" s="153"/>
      <c r="CG17" s="153"/>
      <c r="CH17" s="153"/>
      <c r="CI17" s="153"/>
      <c r="CJ17" s="153"/>
      <c r="CK17" s="153"/>
      <c r="CL17" s="153"/>
      <c r="CM17" s="153"/>
      <c r="CN17" s="153"/>
      <c r="CO17" s="153"/>
      <c r="CP17" s="153"/>
      <c r="CQ17" s="153"/>
      <c r="CR17" s="153"/>
      <c r="CS17" s="153"/>
      <c r="CT17" s="153"/>
      <c r="CU17" s="153"/>
      <c r="CV17" s="153"/>
      <c r="CW17" s="153"/>
      <c r="CX17" s="153"/>
      <c r="CY17" s="153"/>
      <c r="CZ17" s="153"/>
      <c r="DA17" s="153"/>
      <c r="DB17" s="153"/>
      <c r="DC17" s="153"/>
      <c r="DD17" s="153"/>
      <c r="DE17" s="153"/>
      <c r="DF17" s="153"/>
      <c r="DG17" s="153"/>
      <c r="DH17" s="153"/>
      <c r="DI17" s="153"/>
      <c r="DJ17" s="153"/>
      <c r="DK17" s="153"/>
      <c r="DL17" s="153"/>
      <c r="DM17" s="153"/>
      <c r="DN17" s="153"/>
      <c r="DO17" s="153"/>
      <c r="DP17" s="153"/>
      <c r="DQ17" s="153"/>
      <c r="DR17" s="153"/>
      <c r="DS17" s="153"/>
      <c r="DT17" s="153"/>
      <c r="DU17" s="153"/>
      <c r="DV17" s="153"/>
      <c r="DW17" s="153"/>
      <c r="DX17" s="153"/>
      <c r="DY17" s="153"/>
      <c r="DZ17" s="153"/>
      <c r="EA17" s="153"/>
      <c r="EB17" s="153"/>
      <c r="EC17" s="153"/>
      <c r="ED17" s="153"/>
      <c r="EE17" s="153"/>
      <c r="EF17" s="153"/>
      <c r="EG17" s="153"/>
      <c r="EH17" s="153"/>
      <c r="EI17" s="153"/>
      <c r="EJ17" s="153"/>
      <c r="EK17" s="153"/>
      <c r="EL17" s="153"/>
      <c r="EM17" s="153"/>
      <c r="EN17" s="153"/>
      <c r="EO17" s="153"/>
      <c r="EP17" s="153"/>
      <c r="EQ17" s="153"/>
      <c r="ER17" s="153"/>
      <c r="ES17" s="153"/>
      <c r="ET17" s="153"/>
      <c r="EU17" s="153"/>
      <c r="EV17" s="153"/>
      <c r="EW17" s="153"/>
      <c r="EX17" s="153"/>
      <c r="EY17" s="153"/>
      <c r="EZ17" s="153"/>
      <c r="FA17" s="153"/>
      <c r="FB17" s="153"/>
    </row>
    <row r="18" spans="1:158" s="294" customFormat="1" x14ac:dyDescent="0.3">
      <c r="A18" s="305" t="s">
        <v>125</v>
      </c>
      <c r="B18" s="295">
        <v>-21.198191666666659</v>
      </c>
      <c r="C18" s="295">
        <v>-21.198191666666663</v>
      </c>
      <c r="D18" s="295">
        <v>-21.198191666666663</v>
      </c>
      <c r="E18" s="295">
        <v>-21.198191666666663</v>
      </c>
      <c r="F18" s="295">
        <v>-21.198191666666663</v>
      </c>
      <c r="G18" s="295">
        <v>-21.198191666666659</v>
      </c>
      <c r="H18" s="295">
        <v>-21.198191666666663</v>
      </c>
      <c r="I18" s="295">
        <v>-21.198191666666663</v>
      </c>
      <c r="J18" s="295">
        <v>-21.198191666666659</v>
      </c>
      <c r="K18" s="295">
        <v>-21.198191666666666</v>
      </c>
      <c r="L18" s="295">
        <v>-21.198191666666666</v>
      </c>
      <c r="M18" s="295">
        <v>-21.198191666666666</v>
      </c>
      <c r="N18" s="295">
        <v>-21.198191666666666</v>
      </c>
      <c r="O18" s="295">
        <v>-21.198191666666666</v>
      </c>
      <c r="P18" s="295">
        <v>-21.198191666666666</v>
      </c>
      <c r="Q18" s="295">
        <v>-21.198191666666666</v>
      </c>
      <c r="R18" s="295">
        <v>-21.198191666666666</v>
      </c>
      <c r="S18" s="295">
        <v>-21.198191666666666</v>
      </c>
      <c r="T18" s="295">
        <v>-21.198191666666666</v>
      </c>
      <c r="U18" s="295">
        <v>-21.198191666666666</v>
      </c>
      <c r="V18" s="295">
        <v>-21.198191666666666</v>
      </c>
      <c r="W18" s="295">
        <v>-21.198191666666666</v>
      </c>
      <c r="X18" s="295">
        <v>-21.198191666666666</v>
      </c>
      <c r="Y18" s="295">
        <v>-21.198191666666666</v>
      </c>
      <c r="Z18" s="295">
        <v>-21.198191666666666</v>
      </c>
      <c r="AA18" s="306">
        <v>-21.198191666666666</v>
      </c>
      <c r="AB18" s="153"/>
      <c r="AC18" s="153"/>
      <c r="AD18" s="153"/>
      <c r="AE18" s="153"/>
      <c r="AF18" s="153"/>
      <c r="AG18" s="153"/>
      <c r="AH18" s="153"/>
      <c r="AI18" s="153"/>
      <c r="AJ18" s="153"/>
      <c r="AK18" s="153"/>
      <c r="AL18" s="153"/>
      <c r="AM18" s="153"/>
      <c r="AN18" s="153"/>
      <c r="AO18" s="153"/>
      <c r="AP18" s="153"/>
      <c r="AQ18" s="153"/>
      <c r="AR18" s="153"/>
      <c r="AS18" s="153"/>
      <c r="AT18" s="153"/>
      <c r="AU18" s="153"/>
      <c r="AV18" s="153"/>
      <c r="AW18" s="153"/>
      <c r="AX18" s="153"/>
      <c r="AY18" s="153"/>
      <c r="AZ18" s="153"/>
      <c r="BA18" s="153"/>
      <c r="BB18" s="153"/>
      <c r="BC18" s="153"/>
      <c r="BD18" s="153"/>
      <c r="BE18" s="153"/>
      <c r="BF18" s="153"/>
      <c r="BG18" s="153"/>
      <c r="BH18" s="153"/>
      <c r="BI18" s="153"/>
      <c r="BJ18" s="153"/>
      <c r="BK18" s="153"/>
      <c r="BL18" s="153"/>
      <c r="BM18" s="153"/>
      <c r="BN18" s="153"/>
      <c r="BO18" s="153"/>
      <c r="BP18" s="153"/>
      <c r="BQ18" s="153"/>
      <c r="BR18" s="153"/>
      <c r="BS18" s="153"/>
      <c r="BT18" s="153"/>
      <c r="BU18" s="153"/>
      <c r="BV18" s="153"/>
      <c r="BW18" s="153"/>
      <c r="BX18" s="153"/>
      <c r="BY18" s="153"/>
      <c r="BZ18" s="153"/>
      <c r="CA18" s="153"/>
      <c r="CB18" s="153"/>
      <c r="CC18" s="153"/>
      <c r="CD18" s="153"/>
      <c r="CE18" s="153"/>
      <c r="CF18" s="153"/>
      <c r="CG18" s="153"/>
      <c r="CH18" s="153"/>
      <c r="CI18" s="153"/>
      <c r="CJ18" s="153"/>
      <c r="CK18" s="153"/>
      <c r="CL18" s="153"/>
      <c r="CM18" s="153"/>
      <c r="CN18" s="153"/>
      <c r="CO18" s="153"/>
      <c r="CP18" s="153"/>
      <c r="CQ18" s="153"/>
      <c r="CR18" s="153"/>
      <c r="CS18" s="153"/>
      <c r="CT18" s="153"/>
      <c r="CU18" s="153"/>
      <c r="CV18" s="153"/>
      <c r="CW18" s="153"/>
      <c r="CX18" s="153"/>
      <c r="CY18" s="153"/>
      <c r="CZ18" s="153"/>
      <c r="DA18" s="153"/>
      <c r="DB18" s="153"/>
      <c r="DC18" s="153"/>
      <c r="DD18" s="153"/>
      <c r="DE18" s="153"/>
      <c r="DF18" s="153"/>
      <c r="DG18" s="153"/>
      <c r="DH18" s="153"/>
      <c r="DI18" s="153"/>
      <c r="DJ18" s="153"/>
      <c r="DK18" s="153"/>
      <c r="DL18" s="153"/>
      <c r="DM18" s="153"/>
      <c r="DN18" s="153"/>
      <c r="DO18" s="153"/>
      <c r="DP18" s="153"/>
      <c r="DQ18" s="153"/>
      <c r="DR18" s="153"/>
      <c r="DS18" s="153"/>
      <c r="DT18" s="153"/>
      <c r="DU18" s="153"/>
      <c r="DV18" s="153"/>
      <c r="DW18" s="153"/>
      <c r="DX18" s="153"/>
      <c r="DY18" s="153"/>
      <c r="DZ18" s="153"/>
      <c r="EA18" s="153"/>
      <c r="EB18" s="153"/>
      <c r="EC18" s="153"/>
      <c r="ED18" s="153"/>
      <c r="EE18" s="153"/>
      <c r="EF18" s="153"/>
      <c r="EG18" s="153"/>
      <c r="EH18" s="153"/>
      <c r="EI18" s="153"/>
      <c r="EJ18" s="153"/>
      <c r="EK18" s="153"/>
      <c r="EL18" s="153"/>
      <c r="EM18" s="153"/>
      <c r="EN18" s="153"/>
      <c r="EO18" s="153"/>
      <c r="EP18" s="153"/>
      <c r="EQ18" s="153"/>
      <c r="ER18" s="153"/>
      <c r="ES18" s="153"/>
      <c r="ET18" s="153"/>
      <c r="EU18" s="153"/>
      <c r="EV18" s="153"/>
      <c r="EW18" s="153"/>
      <c r="EX18" s="153"/>
      <c r="EY18" s="153"/>
      <c r="EZ18" s="153"/>
      <c r="FA18" s="153"/>
      <c r="FB18" s="153"/>
    </row>
    <row r="19" spans="1:158" s="294" customFormat="1" x14ac:dyDescent="0.3">
      <c r="A19" s="305" t="s">
        <v>126</v>
      </c>
      <c r="B19" s="295">
        <v>-21.198191666666659</v>
      </c>
      <c r="C19" s="295">
        <v>-21.198191666666663</v>
      </c>
      <c r="D19" s="295">
        <v>-21.198191666666663</v>
      </c>
      <c r="E19" s="295">
        <v>-21.198191666666666</v>
      </c>
      <c r="F19" s="295">
        <v>-21.198191666666663</v>
      </c>
      <c r="G19" s="295">
        <v>-21.198191666666663</v>
      </c>
      <c r="H19" s="295">
        <v>-21.198191666666666</v>
      </c>
      <c r="I19" s="295">
        <v>-21.198191666666666</v>
      </c>
      <c r="J19" s="295">
        <v>-21.198191666666659</v>
      </c>
      <c r="K19" s="295">
        <v>-21.198191666666666</v>
      </c>
      <c r="L19" s="295">
        <v>-21.198191666666666</v>
      </c>
      <c r="M19" s="295">
        <v>-21.198191666666666</v>
      </c>
      <c r="N19" s="295">
        <v>-21.198191666666666</v>
      </c>
      <c r="O19" s="295">
        <v>-21.198191666666666</v>
      </c>
      <c r="P19" s="295">
        <v>-21.198191666666666</v>
      </c>
      <c r="Q19" s="295">
        <v>-21.198191666666666</v>
      </c>
      <c r="R19" s="295">
        <v>-21.198191666666666</v>
      </c>
      <c r="S19" s="295">
        <v>-21.198191666666666</v>
      </c>
      <c r="T19" s="295">
        <v>-21.198191666666666</v>
      </c>
      <c r="U19" s="295">
        <v>-21.198191666666666</v>
      </c>
      <c r="V19" s="295">
        <v>-21.198191666666666</v>
      </c>
      <c r="W19" s="295">
        <v>-21.198191666666666</v>
      </c>
      <c r="X19" s="295">
        <v>-21.198191666666666</v>
      </c>
      <c r="Y19" s="295">
        <v>-21.198191666666666</v>
      </c>
      <c r="Z19" s="295">
        <v>-21.198191666666666</v>
      </c>
      <c r="AA19" s="306">
        <v>-21.198191666666666</v>
      </c>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153"/>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row>
    <row r="20" spans="1:158" s="294" customFormat="1" x14ac:dyDescent="0.3">
      <c r="A20" s="305" t="s">
        <v>127</v>
      </c>
      <c r="B20" s="295">
        <v>-21.198191666666663</v>
      </c>
      <c r="C20" s="295">
        <v>-21.198191666666659</v>
      </c>
      <c r="D20" s="295">
        <v>-21.198191666666659</v>
      </c>
      <c r="E20" s="295">
        <v>-21.198191666666663</v>
      </c>
      <c r="F20" s="295">
        <v>-21.198191666666663</v>
      </c>
      <c r="G20" s="295">
        <v>-21.198191666666663</v>
      </c>
      <c r="H20" s="295">
        <v>-21.19819166666667</v>
      </c>
      <c r="I20" s="295">
        <v>-21.198191666666663</v>
      </c>
      <c r="J20" s="295">
        <v>-21.198191666666659</v>
      </c>
      <c r="K20" s="295">
        <v>-21.198191666666666</v>
      </c>
      <c r="L20" s="295">
        <v>-21.198191666666666</v>
      </c>
      <c r="M20" s="295">
        <v>-21.198191666666666</v>
      </c>
      <c r="N20" s="295">
        <v>-21.198191666666666</v>
      </c>
      <c r="O20" s="295">
        <v>-21.198191666666666</v>
      </c>
      <c r="P20" s="295">
        <v>-21.198191666666666</v>
      </c>
      <c r="Q20" s="295">
        <v>-21.198191666666666</v>
      </c>
      <c r="R20" s="295">
        <v>-21.198191666666666</v>
      </c>
      <c r="S20" s="295">
        <v>-21.198191666666666</v>
      </c>
      <c r="T20" s="295">
        <v>-21.198191666666666</v>
      </c>
      <c r="U20" s="295">
        <v>-21.198191666666666</v>
      </c>
      <c r="V20" s="295">
        <v>-21.198191666666666</v>
      </c>
      <c r="W20" s="295">
        <v>-21.198191666666666</v>
      </c>
      <c r="X20" s="295">
        <v>-21.198191666666666</v>
      </c>
      <c r="Y20" s="295">
        <v>-21.198191666666666</v>
      </c>
      <c r="Z20" s="295">
        <v>-21.198191666666666</v>
      </c>
      <c r="AA20" s="306">
        <v>-21.198191666666666</v>
      </c>
      <c r="AB20" s="153"/>
      <c r="AC20" s="153"/>
      <c r="AD20" s="153"/>
      <c r="AE20" s="153"/>
      <c r="AF20" s="153"/>
      <c r="AG20" s="153"/>
      <c r="AH20" s="153"/>
      <c r="AI20" s="153"/>
      <c r="AJ20" s="153"/>
      <c r="AK20" s="153"/>
      <c r="AL20" s="153"/>
      <c r="AM20" s="153"/>
      <c r="AN20" s="153"/>
      <c r="AO20" s="153"/>
      <c r="AP20" s="153"/>
      <c r="AQ20" s="153"/>
      <c r="AR20" s="153"/>
      <c r="AS20" s="153"/>
      <c r="AT20" s="153"/>
      <c r="AU20" s="153"/>
      <c r="AV20" s="153"/>
      <c r="AW20" s="153"/>
      <c r="AX20" s="153"/>
      <c r="AY20" s="153"/>
      <c r="AZ20" s="153"/>
      <c r="BA20" s="153"/>
      <c r="BB20" s="153"/>
      <c r="BC20" s="153"/>
      <c r="BD20" s="153"/>
      <c r="BE20" s="153"/>
      <c r="BF20" s="153"/>
      <c r="BG20" s="153"/>
      <c r="BH20" s="153"/>
      <c r="BI20" s="153"/>
      <c r="BJ20" s="153"/>
      <c r="BK20" s="153"/>
      <c r="BL20" s="153"/>
      <c r="BM20" s="153"/>
      <c r="BN20" s="153"/>
      <c r="BO20" s="153"/>
      <c r="BP20" s="153"/>
      <c r="BQ20" s="153"/>
      <c r="BR20" s="153"/>
      <c r="BS20" s="153"/>
      <c r="BT20" s="153"/>
      <c r="BU20" s="153"/>
      <c r="BV20" s="153"/>
      <c r="BW20" s="153"/>
      <c r="BX20" s="153"/>
      <c r="BY20" s="153"/>
      <c r="BZ20" s="153"/>
      <c r="CA20" s="153"/>
      <c r="CB20" s="153"/>
      <c r="CC20" s="153"/>
      <c r="CD20" s="153"/>
      <c r="CE20" s="153"/>
      <c r="CF20" s="153"/>
      <c r="CG20" s="153"/>
      <c r="CH20" s="153"/>
      <c r="CI20" s="153"/>
      <c r="CJ20" s="153"/>
      <c r="CK20" s="153"/>
      <c r="CL20" s="153"/>
      <c r="CM20" s="153"/>
      <c r="CN20" s="153"/>
      <c r="CO20" s="153"/>
      <c r="CP20" s="153"/>
      <c r="CQ20" s="153"/>
      <c r="CR20" s="153"/>
      <c r="CS20" s="153"/>
      <c r="CT20" s="153"/>
      <c r="CU20" s="153"/>
      <c r="CV20" s="153"/>
      <c r="CW20" s="153"/>
      <c r="CX20" s="153"/>
      <c r="CY20" s="153"/>
      <c r="CZ20" s="153"/>
      <c r="DA20" s="153"/>
      <c r="DB20" s="153"/>
      <c r="DC20" s="153"/>
      <c r="DD20" s="153"/>
      <c r="DE20" s="153"/>
      <c r="DF20" s="153"/>
      <c r="DG20" s="153"/>
      <c r="DH20" s="153"/>
      <c r="DI20" s="153"/>
      <c r="DJ20" s="153"/>
      <c r="DK20" s="153"/>
      <c r="DL20" s="153"/>
      <c r="DM20" s="153"/>
      <c r="DN20" s="153"/>
      <c r="DO20" s="153"/>
      <c r="DP20" s="153"/>
      <c r="DQ20" s="153"/>
      <c r="DR20" s="153"/>
      <c r="DS20" s="153"/>
      <c r="DT20" s="153"/>
      <c r="DU20" s="153"/>
      <c r="DV20" s="153"/>
      <c r="DW20" s="153"/>
      <c r="DX20" s="153"/>
      <c r="DY20" s="153"/>
      <c r="DZ20" s="153"/>
      <c r="EA20" s="153"/>
      <c r="EB20" s="153"/>
      <c r="EC20" s="153"/>
      <c r="ED20" s="153"/>
      <c r="EE20" s="153"/>
      <c r="EF20" s="153"/>
      <c r="EG20" s="153"/>
      <c r="EH20" s="153"/>
      <c r="EI20" s="153"/>
      <c r="EJ20" s="153"/>
      <c r="EK20" s="153"/>
      <c r="EL20" s="153"/>
      <c r="EM20" s="153"/>
      <c r="EN20" s="153"/>
      <c r="EO20" s="153"/>
      <c r="EP20" s="153"/>
      <c r="EQ20" s="153"/>
      <c r="ER20" s="153"/>
      <c r="ES20" s="153"/>
      <c r="ET20" s="153"/>
      <c r="EU20" s="153"/>
      <c r="EV20" s="153"/>
      <c r="EW20" s="153"/>
      <c r="EX20" s="153"/>
      <c r="EY20" s="153"/>
      <c r="EZ20" s="153"/>
      <c r="FA20" s="153"/>
      <c r="FB20" s="153"/>
    </row>
    <row r="21" spans="1:158" s="294" customFormat="1" ht="15" thickBot="1" x14ac:dyDescent="0.35">
      <c r="A21" s="307" t="s">
        <v>128</v>
      </c>
      <c r="B21" s="308">
        <v>-21.198191666666663</v>
      </c>
      <c r="C21" s="308">
        <v>-21.198191666666663</v>
      </c>
      <c r="D21" s="308">
        <v>-21.198191666666666</v>
      </c>
      <c r="E21" s="308">
        <v>-21.198191666666666</v>
      </c>
      <c r="F21" s="308">
        <v>-21.198191666666659</v>
      </c>
      <c r="G21" s="308">
        <v>-21.198191666666663</v>
      </c>
      <c r="H21" s="308">
        <v>-21.198191666666666</v>
      </c>
      <c r="I21" s="308">
        <v>-21.198191666666663</v>
      </c>
      <c r="J21" s="308">
        <v>-21.198191666666659</v>
      </c>
      <c r="K21" s="308">
        <v>-21.198191666666666</v>
      </c>
      <c r="L21" s="308">
        <v>-21.198191666666666</v>
      </c>
      <c r="M21" s="308">
        <v>-21.198191666666663</v>
      </c>
      <c r="N21" s="308">
        <v>-21.198191666666663</v>
      </c>
      <c r="O21" s="308">
        <v>-21.198191666666663</v>
      </c>
      <c r="P21" s="308">
        <v>-21.198191666666663</v>
      </c>
      <c r="Q21" s="308">
        <v>-21.198191666666663</v>
      </c>
      <c r="R21" s="308">
        <v>-21.198191666666663</v>
      </c>
      <c r="S21" s="308">
        <v>-21.198191666666663</v>
      </c>
      <c r="T21" s="308">
        <v>-21.198191666666663</v>
      </c>
      <c r="U21" s="308">
        <v>-21.198191666666663</v>
      </c>
      <c r="V21" s="308">
        <v>-21.198191666666663</v>
      </c>
      <c r="W21" s="308">
        <v>-21.198191666666663</v>
      </c>
      <c r="X21" s="308">
        <v>-21.198191666666663</v>
      </c>
      <c r="Y21" s="308">
        <v>-21.198191666666663</v>
      </c>
      <c r="Z21" s="308">
        <v>-21.198191666666663</v>
      </c>
      <c r="AA21" s="309">
        <v>-21.198191666666663</v>
      </c>
      <c r="AB21" s="153"/>
      <c r="AC21" s="153"/>
      <c r="AD21" s="153"/>
      <c r="AE21" s="153"/>
      <c r="AF21" s="153"/>
      <c r="AG21" s="153"/>
      <c r="AH21" s="153"/>
      <c r="AI21" s="153"/>
      <c r="AJ21" s="153"/>
      <c r="AK21" s="153"/>
      <c r="AL21" s="153"/>
      <c r="AM21" s="153"/>
      <c r="AN21" s="153"/>
      <c r="AO21" s="153"/>
      <c r="AP21" s="153"/>
      <c r="AQ21" s="153"/>
      <c r="AR21" s="153"/>
      <c r="AS21" s="153"/>
      <c r="AT21" s="153"/>
      <c r="AU21" s="153"/>
      <c r="AV21" s="153"/>
      <c r="AW21" s="153"/>
      <c r="AX21" s="153"/>
      <c r="AY21" s="153"/>
      <c r="AZ21" s="153"/>
      <c r="BA21" s="153"/>
      <c r="BB21" s="153"/>
      <c r="BC21" s="153"/>
      <c r="BD21" s="153"/>
      <c r="BE21" s="153"/>
      <c r="BF21" s="153"/>
      <c r="BG21" s="153"/>
      <c r="BH21" s="153"/>
      <c r="BI21" s="153"/>
      <c r="BJ21" s="153"/>
      <c r="BK21" s="153"/>
      <c r="BL21" s="153"/>
      <c r="BM21" s="153"/>
      <c r="BN21" s="153"/>
      <c r="BO21" s="153"/>
      <c r="BP21" s="153"/>
      <c r="BQ21" s="153"/>
      <c r="BR21" s="153"/>
      <c r="BS21" s="153"/>
      <c r="BT21" s="153"/>
      <c r="BU21" s="153"/>
      <c r="BV21" s="153"/>
      <c r="BW21" s="153"/>
      <c r="BX21" s="153"/>
      <c r="BY21" s="153"/>
      <c r="BZ21" s="153"/>
      <c r="CA21" s="153"/>
      <c r="CB21" s="153"/>
      <c r="CC21" s="153"/>
      <c r="CD21" s="153"/>
      <c r="CE21" s="153"/>
      <c r="CF21" s="153"/>
      <c r="CG21" s="153"/>
      <c r="CH21" s="153"/>
      <c r="CI21" s="153"/>
      <c r="CJ21" s="153"/>
      <c r="CK21" s="153"/>
      <c r="CL21" s="153"/>
      <c r="CM21" s="153"/>
      <c r="CN21" s="153"/>
      <c r="CO21" s="153"/>
      <c r="CP21" s="153"/>
      <c r="CQ21" s="153"/>
      <c r="CR21" s="153"/>
      <c r="CS21" s="153"/>
      <c r="CT21" s="153"/>
      <c r="CU21" s="153"/>
      <c r="CV21" s="153"/>
      <c r="CW21" s="153"/>
      <c r="CX21" s="153"/>
      <c r="CY21" s="153"/>
      <c r="CZ21" s="153"/>
      <c r="DA21" s="153"/>
      <c r="DB21" s="153"/>
      <c r="DC21" s="153"/>
      <c r="DD21" s="153"/>
      <c r="DE21" s="153"/>
      <c r="DF21" s="153"/>
      <c r="DG21" s="153"/>
      <c r="DH21" s="153"/>
      <c r="DI21" s="153"/>
      <c r="DJ21" s="153"/>
      <c r="DK21" s="153"/>
      <c r="DL21" s="153"/>
      <c r="DM21" s="153"/>
      <c r="DN21" s="153"/>
      <c r="DO21" s="153"/>
      <c r="DP21" s="153"/>
      <c r="DQ21" s="153"/>
      <c r="DR21" s="153"/>
      <c r="DS21" s="153"/>
      <c r="DT21" s="153"/>
      <c r="DU21" s="153"/>
      <c r="DV21" s="153"/>
      <c r="DW21" s="153"/>
      <c r="DX21" s="153"/>
      <c r="DY21" s="153"/>
      <c r="DZ21" s="153"/>
      <c r="EA21" s="153"/>
      <c r="EB21" s="153"/>
      <c r="EC21" s="153"/>
      <c r="ED21" s="153"/>
      <c r="EE21" s="153"/>
      <c r="EF21" s="153"/>
      <c r="EG21" s="153"/>
      <c r="EH21" s="153"/>
      <c r="EI21" s="153"/>
      <c r="EJ21" s="153"/>
      <c r="EK21" s="153"/>
      <c r="EL21" s="153"/>
      <c r="EM21" s="153"/>
      <c r="EN21" s="153"/>
      <c r="EO21" s="153"/>
      <c r="EP21" s="153"/>
      <c r="EQ21" s="153"/>
      <c r="ER21" s="153"/>
      <c r="ES21" s="153"/>
      <c r="ET21" s="153"/>
      <c r="EU21" s="153"/>
      <c r="EV21" s="153"/>
      <c r="EW21" s="153"/>
      <c r="EX21" s="153"/>
      <c r="EY21" s="153"/>
      <c r="EZ21" s="153"/>
      <c r="FA21" s="153"/>
      <c r="FB21" s="153"/>
    </row>
    <row r="22" spans="1:158" s="291" customFormat="1" x14ac:dyDescent="0.3">
      <c r="A22" s="296" t="s">
        <v>129</v>
      </c>
      <c r="B22" s="297">
        <v>-21.198191666666666</v>
      </c>
      <c r="C22" s="297">
        <v>-21.198191666666659</v>
      </c>
      <c r="D22" s="297">
        <v>-21.198191666666663</v>
      </c>
      <c r="E22" s="297">
        <v>-21.198191666666659</v>
      </c>
      <c r="F22" s="297">
        <v>-21.198191666666663</v>
      </c>
      <c r="G22" s="297">
        <v>-21.198191666666663</v>
      </c>
      <c r="H22" s="297">
        <v>-21.198191666666666</v>
      </c>
      <c r="I22" s="297">
        <v>-21.198191666666663</v>
      </c>
      <c r="J22" s="297">
        <v>-21.198191666666663</v>
      </c>
      <c r="K22" s="297">
        <v>-21.198191666666666</v>
      </c>
      <c r="L22" s="297">
        <v>-21.198191666666666</v>
      </c>
      <c r="M22" s="297">
        <v>-21.198191666666666</v>
      </c>
      <c r="N22" s="297">
        <v>-21.198191666666666</v>
      </c>
      <c r="O22" s="297">
        <v>-21.198191666666666</v>
      </c>
      <c r="P22" s="297">
        <v>-21.198191666666666</v>
      </c>
      <c r="Q22" s="297">
        <v>-21.198191666666666</v>
      </c>
      <c r="R22" s="297">
        <v>-21.198191666666666</v>
      </c>
      <c r="S22" s="297">
        <v>-21.198191666666666</v>
      </c>
      <c r="T22" s="297">
        <v>-21.198191666666666</v>
      </c>
      <c r="U22" s="297">
        <v>-21.198191666666666</v>
      </c>
      <c r="V22" s="297">
        <v>-21.198191666666666</v>
      </c>
      <c r="W22" s="297">
        <v>-21.198191666666666</v>
      </c>
      <c r="X22" s="297">
        <v>-21.198191666666666</v>
      </c>
      <c r="Y22" s="297">
        <v>-21.198191666666666</v>
      </c>
      <c r="Z22" s="297">
        <v>-21.198191666666666</v>
      </c>
      <c r="AA22" s="310">
        <v>-21.198191666666666</v>
      </c>
      <c r="AB22" s="153"/>
      <c r="AC22" s="153"/>
      <c r="AD22" s="153"/>
      <c r="AE22" s="153"/>
      <c r="AF22" s="153"/>
      <c r="AG22" s="153"/>
      <c r="AH22" s="153"/>
      <c r="AI22" s="153"/>
      <c r="AJ22" s="153"/>
      <c r="AK22" s="153"/>
      <c r="AL22" s="153"/>
      <c r="AM22" s="153"/>
      <c r="AN22" s="153"/>
      <c r="AO22" s="153"/>
      <c r="AP22" s="153"/>
      <c r="AQ22" s="153"/>
      <c r="AR22" s="153"/>
      <c r="AS22" s="153"/>
      <c r="AT22" s="153"/>
      <c r="AU22" s="153"/>
      <c r="AV22" s="153"/>
      <c r="AW22" s="153"/>
      <c r="AX22" s="153"/>
      <c r="AY22" s="153"/>
      <c r="AZ22" s="153"/>
      <c r="BA22" s="153"/>
      <c r="BB22" s="153"/>
      <c r="BC22" s="153"/>
      <c r="BD22" s="153"/>
      <c r="BE22" s="153"/>
      <c r="BF22" s="153"/>
      <c r="BG22" s="153"/>
      <c r="BH22" s="153"/>
      <c r="BI22" s="153"/>
      <c r="BJ22" s="153"/>
      <c r="BK22" s="153"/>
      <c r="BL22" s="153"/>
      <c r="BM22" s="153"/>
      <c r="BN22" s="153"/>
      <c r="BO22" s="153"/>
      <c r="BP22" s="153"/>
      <c r="BQ22" s="153"/>
      <c r="BR22" s="153"/>
      <c r="BS22" s="153"/>
      <c r="BT22" s="153"/>
      <c r="BU22" s="153"/>
      <c r="BV22" s="153"/>
      <c r="BW22" s="153"/>
      <c r="BX22" s="153"/>
      <c r="BY22" s="153"/>
      <c r="BZ22" s="153"/>
      <c r="CA22" s="153"/>
      <c r="CB22" s="153"/>
      <c r="CC22" s="153"/>
      <c r="CD22" s="153"/>
      <c r="CE22" s="153"/>
      <c r="CF22" s="153"/>
      <c r="CG22" s="153"/>
      <c r="CH22" s="153"/>
      <c r="CI22" s="153"/>
      <c r="CJ22" s="153"/>
      <c r="CK22" s="153"/>
      <c r="CL22" s="153"/>
      <c r="CM22" s="153"/>
      <c r="CN22" s="153"/>
      <c r="CO22" s="153"/>
      <c r="CP22" s="153"/>
      <c r="CQ22" s="153"/>
      <c r="CR22" s="153"/>
      <c r="CS22" s="153"/>
      <c r="CT22" s="153"/>
      <c r="CU22" s="153"/>
      <c r="CV22" s="153"/>
      <c r="CW22" s="153"/>
      <c r="CX22" s="153"/>
      <c r="CY22" s="153"/>
      <c r="CZ22" s="153"/>
      <c r="DA22" s="153"/>
      <c r="DB22" s="153"/>
      <c r="DC22" s="153"/>
      <c r="DD22" s="153"/>
      <c r="DE22" s="153"/>
      <c r="DF22" s="153"/>
      <c r="DG22" s="153"/>
      <c r="DH22" s="153"/>
      <c r="DI22" s="153"/>
      <c r="DJ22" s="153"/>
      <c r="DK22" s="153"/>
      <c r="DL22" s="153"/>
      <c r="DM22" s="153"/>
      <c r="DN22" s="153"/>
      <c r="DO22" s="153"/>
      <c r="DP22" s="153"/>
      <c r="DQ22" s="153"/>
      <c r="DR22" s="153"/>
      <c r="DS22" s="153"/>
      <c r="DT22" s="153"/>
      <c r="DU22" s="153"/>
      <c r="DV22" s="153"/>
      <c r="DW22" s="153"/>
      <c r="DX22" s="153"/>
      <c r="DY22" s="153"/>
      <c r="DZ22" s="153"/>
      <c r="EA22" s="153"/>
      <c r="EB22" s="153"/>
      <c r="EC22" s="153"/>
      <c r="ED22" s="153"/>
      <c r="EE22" s="153"/>
      <c r="EF22" s="153"/>
      <c r="EG22" s="153"/>
      <c r="EH22" s="153"/>
      <c r="EI22" s="153"/>
      <c r="EJ22" s="153"/>
      <c r="EK22" s="153"/>
      <c r="EL22" s="153"/>
      <c r="EM22" s="153"/>
      <c r="EN22" s="153"/>
      <c r="EO22" s="153"/>
      <c r="EP22" s="153"/>
      <c r="EQ22" s="153"/>
      <c r="ER22" s="153"/>
      <c r="ES22" s="153"/>
      <c r="ET22" s="153"/>
      <c r="EU22" s="153"/>
      <c r="EV22" s="153"/>
      <c r="EW22" s="153"/>
      <c r="EX22" s="153"/>
      <c r="EY22" s="153"/>
      <c r="EZ22" s="153"/>
      <c r="FA22" s="153"/>
      <c r="FB22" s="153"/>
    </row>
    <row r="23" spans="1:158" s="291" customFormat="1" x14ac:dyDescent="0.3">
      <c r="A23" s="298" t="s">
        <v>130</v>
      </c>
      <c r="B23" s="292">
        <v>-21.198191666666663</v>
      </c>
      <c r="C23" s="292">
        <v>-21.198191666666659</v>
      </c>
      <c r="D23" s="292">
        <v>-21.198191666666659</v>
      </c>
      <c r="E23" s="292">
        <v>-21.198191666666663</v>
      </c>
      <c r="F23" s="292">
        <v>-21.198191666666659</v>
      </c>
      <c r="G23" s="292">
        <v>-21.198191666666666</v>
      </c>
      <c r="H23" s="292">
        <v>-21.198191666666666</v>
      </c>
      <c r="I23" s="292">
        <v>-21.198191666666663</v>
      </c>
      <c r="J23" s="292">
        <v>-21.198191666666663</v>
      </c>
      <c r="K23" s="292">
        <v>-21.19819166666667</v>
      </c>
      <c r="L23" s="292">
        <v>-21.19819166666667</v>
      </c>
      <c r="M23" s="292">
        <v>-21.198191666666666</v>
      </c>
      <c r="N23" s="292">
        <v>-21.198191666666666</v>
      </c>
      <c r="O23" s="292">
        <v>-21.198191666666666</v>
      </c>
      <c r="P23" s="292">
        <v>-21.198191666666666</v>
      </c>
      <c r="Q23" s="292">
        <v>-21.198191666666666</v>
      </c>
      <c r="R23" s="292">
        <v>-21.198191666666666</v>
      </c>
      <c r="S23" s="292">
        <v>-21.198191666666666</v>
      </c>
      <c r="T23" s="292">
        <v>-21.198191666666666</v>
      </c>
      <c r="U23" s="292">
        <v>-21.198191666666666</v>
      </c>
      <c r="V23" s="292">
        <v>-21.198191666666666</v>
      </c>
      <c r="W23" s="292">
        <v>-21.198191666666666</v>
      </c>
      <c r="X23" s="292">
        <v>-21.198191666666666</v>
      </c>
      <c r="Y23" s="292">
        <v>-21.198191666666666</v>
      </c>
      <c r="Z23" s="292">
        <v>-21.198191666666666</v>
      </c>
      <c r="AA23" s="311">
        <v>-21.198191666666666</v>
      </c>
      <c r="AB23" s="153"/>
      <c r="AC23" s="153"/>
      <c r="AD23" s="153"/>
      <c r="AE23" s="153"/>
      <c r="AF23" s="153"/>
      <c r="AG23" s="153"/>
      <c r="AH23" s="153"/>
      <c r="AI23" s="153"/>
      <c r="AJ23" s="153"/>
      <c r="AK23" s="153"/>
      <c r="AL23" s="153"/>
      <c r="AM23" s="153"/>
      <c r="AN23" s="153"/>
      <c r="AO23" s="153"/>
      <c r="AP23" s="153"/>
      <c r="AQ23" s="153"/>
      <c r="AR23" s="153"/>
      <c r="AS23" s="153"/>
      <c r="AT23" s="153"/>
      <c r="AU23" s="153"/>
      <c r="AV23" s="153"/>
      <c r="AW23" s="153"/>
      <c r="AX23" s="153"/>
      <c r="AY23" s="153"/>
      <c r="AZ23" s="153"/>
      <c r="BA23" s="153"/>
      <c r="BB23" s="153"/>
      <c r="BC23" s="153"/>
      <c r="BD23" s="153"/>
      <c r="BE23" s="153"/>
      <c r="BF23" s="153"/>
      <c r="BG23" s="153"/>
      <c r="BH23" s="153"/>
      <c r="BI23" s="153"/>
      <c r="BJ23" s="153"/>
      <c r="BK23" s="153"/>
      <c r="BL23" s="153"/>
      <c r="BM23" s="153"/>
      <c r="BN23" s="153"/>
      <c r="BO23" s="153"/>
      <c r="BP23" s="153"/>
      <c r="BQ23" s="153"/>
      <c r="BR23" s="153"/>
      <c r="BS23" s="153"/>
      <c r="BT23" s="153"/>
      <c r="BU23" s="153"/>
      <c r="BV23" s="153"/>
      <c r="BW23" s="153"/>
      <c r="BX23" s="153"/>
      <c r="BY23" s="153"/>
      <c r="BZ23" s="153"/>
      <c r="CA23" s="153"/>
      <c r="CB23" s="153"/>
      <c r="CC23" s="153"/>
      <c r="CD23" s="153"/>
      <c r="CE23" s="153"/>
      <c r="CF23" s="153"/>
      <c r="CG23" s="153"/>
      <c r="CH23" s="153"/>
      <c r="CI23" s="153"/>
      <c r="CJ23" s="153"/>
      <c r="CK23" s="153"/>
      <c r="CL23" s="153"/>
      <c r="CM23" s="153"/>
      <c r="CN23" s="153"/>
      <c r="CO23" s="153"/>
      <c r="CP23" s="153"/>
      <c r="CQ23" s="153"/>
      <c r="CR23" s="153"/>
      <c r="CS23" s="153"/>
      <c r="CT23" s="153"/>
      <c r="CU23" s="153"/>
      <c r="CV23" s="153"/>
      <c r="CW23" s="153"/>
      <c r="CX23" s="153"/>
      <c r="CY23" s="153"/>
      <c r="CZ23" s="153"/>
      <c r="DA23" s="153"/>
      <c r="DB23" s="153"/>
      <c r="DC23" s="153"/>
      <c r="DD23" s="153"/>
      <c r="DE23" s="153"/>
      <c r="DF23" s="153"/>
      <c r="DG23" s="153"/>
      <c r="DH23" s="153"/>
      <c r="DI23" s="153"/>
      <c r="DJ23" s="153"/>
      <c r="DK23" s="153"/>
      <c r="DL23" s="153"/>
      <c r="DM23" s="153"/>
      <c r="DN23" s="153"/>
      <c r="DO23" s="153"/>
      <c r="DP23" s="153"/>
      <c r="DQ23" s="153"/>
      <c r="DR23" s="153"/>
      <c r="DS23" s="153"/>
      <c r="DT23" s="153"/>
      <c r="DU23" s="153"/>
      <c r="DV23" s="153"/>
      <c r="DW23" s="153"/>
      <c r="DX23" s="153"/>
      <c r="DY23" s="153"/>
      <c r="DZ23" s="153"/>
      <c r="EA23" s="153"/>
      <c r="EB23" s="153"/>
      <c r="EC23" s="153"/>
      <c r="ED23" s="153"/>
      <c r="EE23" s="153"/>
      <c r="EF23" s="153"/>
      <c r="EG23" s="153"/>
      <c r="EH23" s="153"/>
      <c r="EI23" s="153"/>
      <c r="EJ23" s="153"/>
      <c r="EK23" s="153"/>
      <c r="EL23" s="153"/>
      <c r="EM23" s="153"/>
      <c r="EN23" s="153"/>
      <c r="EO23" s="153"/>
      <c r="EP23" s="153"/>
      <c r="EQ23" s="153"/>
      <c r="ER23" s="153"/>
      <c r="ES23" s="153"/>
      <c r="ET23" s="153"/>
      <c r="EU23" s="153"/>
      <c r="EV23" s="153"/>
      <c r="EW23" s="153"/>
      <c r="EX23" s="153"/>
      <c r="EY23" s="153"/>
      <c r="EZ23" s="153"/>
      <c r="FA23" s="153"/>
      <c r="FB23" s="153"/>
    </row>
    <row r="24" spans="1:158" s="291" customFormat="1" x14ac:dyDescent="0.3">
      <c r="A24" s="298" t="s">
        <v>131</v>
      </c>
      <c r="B24" s="292">
        <v>-21.198191666666663</v>
      </c>
      <c r="C24" s="292">
        <v>-21.198191666666659</v>
      </c>
      <c r="D24" s="292">
        <v>-21.198191666666663</v>
      </c>
      <c r="E24" s="292">
        <v>-21.198191666666663</v>
      </c>
      <c r="F24" s="292">
        <v>-21.198191666666663</v>
      </c>
      <c r="G24" s="292">
        <v>-21.198191666666663</v>
      </c>
      <c r="H24" s="292">
        <v>-21.198191666666666</v>
      </c>
      <c r="I24" s="292">
        <v>-21.198191666666663</v>
      </c>
      <c r="J24" s="292">
        <v>-21.198191666666666</v>
      </c>
      <c r="K24" s="292">
        <v>-21.19819166666667</v>
      </c>
      <c r="L24" s="292">
        <v>-21.19819166666667</v>
      </c>
      <c r="M24" s="292">
        <v>-21.198191666666666</v>
      </c>
      <c r="N24" s="292">
        <v>-21.198191666666666</v>
      </c>
      <c r="O24" s="292">
        <v>-21.198191666666666</v>
      </c>
      <c r="P24" s="292">
        <v>-21.198191666666666</v>
      </c>
      <c r="Q24" s="292">
        <v>-21.198191666666666</v>
      </c>
      <c r="R24" s="292">
        <v>-21.198191666666666</v>
      </c>
      <c r="S24" s="292">
        <v>-21.198191666666666</v>
      </c>
      <c r="T24" s="292">
        <v>-21.198191666666666</v>
      </c>
      <c r="U24" s="292">
        <v>-21.198191666666666</v>
      </c>
      <c r="V24" s="292">
        <v>-21.198191666666666</v>
      </c>
      <c r="W24" s="292">
        <v>-21.198191666666666</v>
      </c>
      <c r="X24" s="292">
        <v>-21.198191666666666</v>
      </c>
      <c r="Y24" s="292">
        <v>-21.198191666666666</v>
      </c>
      <c r="Z24" s="292">
        <v>-21.198191666666666</v>
      </c>
      <c r="AA24" s="311">
        <v>-21.198191666666666</v>
      </c>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3"/>
      <c r="AZ24" s="153"/>
      <c r="BA24" s="153"/>
      <c r="BB24" s="153"/>
      <c r="BC24" s="153"/>
      <c r="BD24" s="153"/>
      <c r="BE24" s="153"/>
      <c r="BF24" s="153"/>
      <c r="BG24" s="153"/>
      <c r="BH24" s="153"/>
      <c r="BI24" s="153"/>
      <c r="BJ24" s="153"/>
      <c r="BK24" s="153"/>
      <c r="BL24" s="153"/>
      <c r="BM24" s="153"/>
      <c r="BN24" s="153"/>
      <c r="BO24" s="153"/>
      <c r="BP24" s="153"/>
      <c r="BQ24" s="153"/>
      <c r="BR24" s="153"/>
      <c r="BS24" s="153"/>
      <c r="BT24" s="153"/>
      <c r="BU24" s="153"/>
      <c r="BV24" s="153"/>
      <c r="BW24" s="153"/>
      <c r="BX24" s="153"/>
      <c r="BY24" s="153"/>
      <c r="BZ24" s="153"/>
      <c r="CA24" s="153"/>
      <c r="CB24" s="153"/>
      <c r="CC24" s="153"/>
      <c r="CD24" s="153"/>
      <c r="CE24" s="153"/>
      <c r="CF24" s="153"/>
      <c r="CG24" s="153"/>
      <c r="CH24" s="153"/>
      <c r="CI24" s="153"/>
      <c r="CJ24" s="153"/>
      <c r="CK24" s="153"/>
      <c r="CL24" s="153"/>
      <c r="CM24" s="153"/>
      <c r="CN24" s="153"/>
      <c r="CO24" s="153"/>
      <c r="CP24" s="153"/>
      <c r="CQ24" s="153"/>
      <c r="CR24" s="153"/>
      <c r="CS24" s="153"/>
      <c r="CT24" s="153"/>
      <c r="CU24" s="153"/>
      <c r="CV24" s="153"/>
      <c r="CW24" s="153"/>
      <c r="CX24" s="153"/>
      <c r="CY24" s="153"/>
      <c r="CZ24" s="153"/>
      <c r="DA24" s="153"/>
      <c r="DB24" s="153"/>
      <c r="DC24" s="153"/>
      <c r="DD24" s="153"/>
      <c r="DE24" s="153"/>
      <c r="DF24" s="153"/>
      <c r="DG24" s="153"/>
      <c r="DH24" s="153"/>
      <c r="DI24" s="153"/>
      <c r="DJ24" s="153"/>
      <c r="DK24" s="153"/>
      <c r="DL24" s="153"/>
      <c r="DM24" s="153"/>
      <c r="DN24" s="153"/>
      <c r="DO24" s="153"/>
      <c r="DP24" s="153"/>
      <c r="DQ24" s="153"/>
      <c r="DR24" s="153"/>
      <c r="DS24" s="153"/>
      <c r="DT24" s="153"/>
      <c r="DU24" s="153"/>
      <c r="DV24" s="153"/>
      <c r="DW24" s="153"/>
      <c r="DX24" s="153"/>
      <c r="DY24" s="153"/>
      <c r="DZ24" s="153"/>
      <c r="EA24" s="153"/>
      <c r="EB24" s="153"/>
      <c r="EC24" s="153"/>
      <c r="ED24" s="153"/>
      <c r="EE24" s="153"/>
      <c r="EF24" s="153"/>
      <c r="EG24" s="153"/>
      <c r="EH24" s="153"/>
      <c r="EI24" s="153"/>
      <c r="EJ24" s="153"/>
      <c r="EK24" s="153"/>
      <c r="EL24" s="153"/>
      <c r="EM24" s="153"/>
      <c r="EN24" s="153"/>
      <c r="EO24" s="153"/>
      <c r="EP24" s="153"/>
      <c r="EQ24" s="153"/>
      <c r="ER24" s="153"/>
      <c r="ES24" s="153"/>
      <c r="ET24" s="153"/>
      <c r="EU24" s="153"/>
      <c r="EV24" s="153"/>
      <c r="EW24" s="153"/>
      <c r="EX24" s="153"/>
      <c r="EY24" s="153"/>
      <c r="EZ24" s="153"/>
      <c r="FA24" s="153"/>
      <c r="FB24" s="153"/>
    </row>
    <row r="25" spans="1:158" s="291" customFormat="1" x14ac:dyDescent="0.3">
      <c r="A25" s="298" t="s">
        <v>132</v>
      </c>
      <c r="B25" s="292">
        <v>-21.198191666666666</v>
      </c>
      <c r="C25" s="292">
        <v>-21.198191666666663</v>
      </c>
      <c r="D25" s="292">
        <v>-21.198191666666663</v>
      </c>
      <c r="E25" s="292">
        <v>-21.198191666666659</v>
      </c>
      <c r="F25" s="292">
        <v>-21.198191666666659</v>
      </c>
      <c r="G25" s="292">
        <v>-21.198191666666663</v>
      </c>
      <c r="H25" s="292">
        <v>-21.198191666666666</v>
      </c>
      <c r="I25" s="292">
        <v>-21.198191666666663</v>
      </c>
      <c r="J25" s="292">
        <v>-21.198191666666659</v>
      </c>
      <c r="K25" s="292">
        <v>-21.19819166666667</v>
      </c>
      <c r="L25" s="292">
        <v>-21.19819166666667</v>
      </c>
      <c r="M25" s="292">
        <v>-21.198191666666663</v>
      </c>
      <c r="N25" s="292">
        <v>-21.198191666666663</v>
      </c>
      <c r="O25" s="292">
        <v>-21.198191666666663</v>
      </c>
      <c r="P25" s="292">
        <v>-21.198191666666663</v>
      </c>
      <c r="Q25" s="292">
        <v>-21.198191666666663</v>
      </c>
      <c r="R25" s="292">
        <v>-21.198191666666663</v>
      </c>
      <c r="S25" s="292">
        <v>-21.198191666666663</v>
      </c>
      <c r="T25" s="292">
        <v>-21.198191666666663</v>
      </c>
      <c r="U25" s="292">
        <v>-21.198191666666663</v>
      </c>
      <c r="V25" s="292">
        <v>-21.198191666666663</v>
      </c>
      <c r="W25" s="292">
        <v>-21.198191666666663</v>
      </c>
      <c r="X25" s="292">
        <v>-21.198191666666663</v>
      </c>
      <c r="Y25" s="292">
        <v>-21.198191666666663</v>
      </c>
      <c r="Z25" s="292">
        <v>-21.198191666666663</v>
      </c>
      <c r="AA25" s="311">
        <v>-21.198191666666663</v>
      </c>
      <c r="AB25" s="153"/>
      <c r="AC25" s="153"/>
      <c r="AD25" s="153"/>
      <c r="AE25" s="153"/>
      <c r="AF25" s="153"/>
      <c r="AG25" s="153"/>
      <c r="AH25" s="153"/>
      <c r="AI25" s="153"/>
      <c r="AJ25" s="153"/>
      <c r="AK25" s="153"/>
      <c r="AL25" s="153"/>
      <c r="AM25" s="153"/>
      <c r="AN25" s="153"/>
      <c r="AO25" s="153"/>
      <c r="AP25" s="153"/>
      <c r="AQ25" s="153"/>
      <c r="AR25" s="153"/>
      <c r="AS25" s="153"/>
      <c r="AT25" s="153"/>
      <c r="AU25" s="153"/>
      <c r="AV25" s="153"/>
      <c r="AW25" s="153"/>
      <c r="AX25" s="153"/>
      <c r="AY25" s="153"/>
      <c r="AZ25" s="153"/>
      <c r="BA25" s="153"/>
      <c r="BB25" s="153"/>
      <c r="BC25" s="153"/>
      <c r="BD25" s="153"/>
      <c r="BE25" s="153"/>
      <c r="BF25" s="153"/>
      <c r="BG25" s="153"/>
      <c r="BH25" s="153"/>
      <c r="BI25" s="153"/>
      <c r="BJ25" s="153"/>
      <c r="BK25" s="153"/>
      <c r="BL25" s="153"/>
      <c r="BM25" s="153"/>
      <c r="BN25" s="153"/>
      <c r="BO25" s="153"/>
      <c r="BP25" s="153"/>
      <c r="BQ25" s="153"/>
      <c r="BR25" s="153"/>
      <c r="BS25" s="153"/>
      <c r="BT25" s="153"/>
      <c r="BU25" s="153"/>
      <c r="BV25" s="153"/>
      <c r="BW25" s="153"/>
      <c r="BX25" s="153"/>
      <c r="BY25" s="153"/>
      <c r="BZ25" s="153"/>
      <c r="CA25" s="153"/>
      <c r="CB25" s="153"/>
      <c r="CC25" s="153"/>
      <c r="CD25" s="153"/>
      <c r="CE25" s="153"/>
      <c r="CF25" s="153"/>
      <c r="CG25" s="153"/>
      <c r="CH25" s="153"/>
      <c r="CI25" s="153"/>
      <c r="CJ25" s="153"/>
      <c r="CK25" s="153"/>
      <c r="CL25" s="153"/>
      <c r="CM25" s="153"/>
      <c r="CN25" s="153"/>
      <c r="CO25" s="153"/>
      <c r="CP25" s="153"/>
      <c r="CQ25" s="153"/>
      <c r="CR25" s="153"/>
      <c r="CS25" s="153"/>
      <c r="CT25" s="153"/>
      <c r="CU25" s="153"/>
      <c r="CV25" s="153"/>
      <c r="CW25" s="153"/>
      <c r="CX25" s="153"/>
      <c r="CY25" s="153"/>
      <c r="CZ25" s="153"/>
      <c r="DA25" s="153"/>
      <c r="DB25" s="153"/>
      <c r="DC25" s="153"/>
      <c r="DD25" s="153"/>
      <c r="DE25" s="153"/>
      <c r="DF25" s="153"/>
      <c r="DG25" s="153"/>
      <c r="DH25" s="153"/>
      <c r="DI25" s="153"/>
      <c r="DJ25" s="153"/>
      <c r="DK25" s="153"/>
      <c r="DL25" s="153"/>
      <c r="DM25" s="153"/>
      <c r="DN25" s="153"/>
      <c r="DO25" s="153"/>
      <c r="DP25" s="153"/>
      <c r="DQ25" s="153"/>
      <c r="DR25" s="153"/>
      <c r="DS25" s="153"/>
      <c r="DT25" s="153"/>
      <c r="DU25" s="153"/>
      <c r="DV25" s="153"/>
      <c r="DW25" s="153"/>
      <c r="DX25" s="153"/>
      <c r="DY25" s="153"/>
      <c r="DZ25" s="153"/>
      <c r="EA25" s="153"/>
      <c r="EB25" s="153"/>
      <c r="EC25" s="153"/>
      <c r="ED25" s="153"/>
      <c r="EE25" s="153"/>
      <c r="EF25" s="153"/>
      <c r="EG25" s="153"/>
      <c r="EH25" s="153"/>
      <c r="EI25" s="153"/>
      <c r="EJ25" s="153"/>
      <c r="EK25" s="153"/>
      <c r="EL25" s="153"/>
      <c r="EM25" s="153"/>
      <c r="EN25" s="153"/>
      <c r="EO25" s="153"/>
      <c r="EP25" s="153"/>
      <c r="EQ25" s="153"/>
      <c r="ER25" s="153"/>
      <c r="ES25" s="153"/>
      <c r="ET25" s="153"/>
      <c r="EU25" s="153"/>
      <c r="EV25" s="153"/>
      <c r="EW25" s="153"/>
      <c r="EX25" s="153"/>
      <c r="EY25" s="153"/>
      <c r="EZ25" s="153"/>
      <c r="FA25" s="153"/>
      <c r="FB25" s="153"/>
    </row>
    <row r="26" spans="1:158" s="291" customFormat="1" x14ac:dyDescent="0.3">
      <c r="A26" s="298" t="s">
        <v>133</v>
      </c>
      <c r="B26" s="292">
        <v>-21.198191666666666</v>
      </c>
      <c r="C26" s="292">
        <v>-21.198191666666666</v>
      </c>
      <c r="D26" s="292">
        <v>-21.198191666666663</v>
      </c>
      <c r="E26" s="292">
        <v>-21.198191666666663</v>
      </c>
      <c r="F26" s="292">
        <v>-21.198191666666663</v>
      </c>
      <c r="G26" s="292">
        <v>-21.198191666666666</v>
      </c>
      <c r="H26" s="292">
        <v>-21.198191666666666</v>
      </c>
      <c r="I26" s="292">
        <v>-21.198191666666663</v>
      </c>
      <c r="J26" s="292">
        <v>-21.198191666666663</v>
      </c>
      <c r="K26" s="292">
        <v>-21.198191666666666</v>
      </c>
      <c r="L26" s="292">
        <v>-21.198191666666666</v>
      </c>
      <c r="M26" s="292">
        <v>-21.198191666666663</v>
      </c>
      <c r="N26" s="292">
        <v>-21.198191666666663</v>
      </c>
      <c r="O26" s="292">
        <v>-21.198191666666663</v>
      </c>
      <c r="P26" s="292">
        <v>-21.198191666666663</v>
      </c>
      <c r="Q26" s="292">
        <v>-21.198191666666663</v>
      </c>
      <c r="R26" s="292">
        <v>-21.198191666666663</v>
      </c>
      <c r="S26" s="292">
        <v>-21.198191666666663</v>
      </c>
      <c r="T26" s="292">
        <v>-21.198191666666663</v>
      </c>
      <c r="U26" s="292">
        <v>-21.198191666666663</v>
      </c>
      <c r="V26" s="292">
        <v>-21.198191666666663</v>
      </c>
      <c r="W26" s="292">
        <v>-21.198191666666663</v>
      </c>
      <c r="X26" s="292">
        <v>-21.198191666666663</v>
      </c>
      <c r="Y26" s="292">
        <v>-21.198191666666663</v>
      </c>
      <c r="Z26" s="292">
        <v>-21.198191666666663</v>
      </c>
      <c r="AA26" s="311">
        <v>-21.198191666666663</v>
      </c>
      <c r="AB26" s="153"/>
      <c r="AC26" s="153"/>
      <c r="AD26" s="153"/>
      <c r="AE26" s="153"/>
      <c r="AF26" s="153"/>
      <c r="AG26" s="153"/>
      <c r="AH26" s="153"/>
      <c r="AI26" s="153"/>
      <c r="AJ26" s="153"/>
      <c r="AK26" s="153"/>
      <c r="AL26" s="153"/>
      <c r="AM26" s="153"/>
      <c r="AN26" s="153"/>
      <c r="AO26" s="153"/>
      <c r="AP26" s="153"/>
      <c r="AQ26" s="153"/>
      <c r="AR26" s="153"/>
      <c r="AS26" s="153"/>
      <c r="AT26" s="153"/>
      <c r="AU26" s="153"/>
      <c r="AV26" s="153"/>
      <c r="AW26" s="153"/>
      <c r="AX26" s="153"/>
      <c r="AY26" s="153"/>
      <c r="AZ26" s="153"/>
      <c r="BA26" s="153"/>
      <c r="BB26" s="153"/>
      <c r="BC26" s="153"/>
      <c r="BD26" s="153"/>
      <c r="BE26" s="153"/>
      <c r="BF26" s="153"/>
      <c r="BG26" s="153"/>
      <c r="BH26" s="153"/>
      <c r="BI26" s="153"/>
      <c r="BJ26" s="153"/>
      <c r="BK26" s="153"/>
      <c r="BL26" s="153"/>
      <c r="BM26" s="153"/>
      <c r="BN26" s="153"/>
      <c r="BO26" s="153"/>
      <c r="BP26" s="153"/>
      <c r="BQ26" s="153"/>
      <c r="BR26" s="153"/>
      <c r="BS26" s="153"/>
      <c r="BT26" s="153"/>
      <c r="BU26" s="153"/>
      <c r="BV26" s="153"/>
      <c r="BW26" s="153"/>
      <c r="BX26" s="153"/>
      <c r="BY26" s="153"/>
      <c r="BZ26" s="153"/>
      <c r="CA26" s="153"/>
      <c r="CB26" s="153"/>
      <c r="CC26" s="153"/>
      <c r="CD26" s="153"/>
      <c r="CE26" s="153"/>
      <c r="CF26" s="153"/>
      <c r="CG26" s="153"/>
      <c r="CH26" s="153"/>
      <c r="CI26" s="153"/>
      <c r="CJ26" s="153"/>
      <c r="CK26" s="153"/>
      <c r="CL26" s="153"/>
      <c r="CM26" s="153"/>
      <c r="CN26" s="153"/>
      <c r="CO26" s="153"/>
      <c r="CP26" s="153"/>
      <c r="CQ26" s="153"/>
      <c r="CR26" s="153"/>
      <c r="CS26" s="153"/>
      <c r="CT26" s="153"/>
      <c r="CU26" s="153"/>
      <c r="CV26" s="153"/>
      <c r="CW26" s="153"/>
      <c r="CX26" s="153"/>
      <c r="CY26" s="153"/>
      <c r="CZ26" s="153"/>
      <c r="DA26" s="153"/>
      <c r="DB26" s="153"/>
      <c r="DC26" s="153"/>
      <c r="DD26" s="153"/>
      <c r="DE26" s="153"/>
      <c r="DF26" s="153"/>
      <c r="DG26" s="153"/>
      <c r="DH26" s="153"/>
      <c r="DI26" s="153"/>
      <c r="DJ26" s="153"/>
      <c r="DK26" s="153"/>
      <c r="DL26" s="153"/>
      <c r="DM26" s="153"/>
      <c r="DN26" s="153"/>
      <c r="DO26" s="153"/>
      <c r="DP26" s="153"/>
      <c r="DQ26" s="153"/>
      <c r="DR26" s="153"/>
      <c r="DS26" s="153"/>
      <c r="DT26" s="153"/>
      <c r="DU26" s="153"/>
      <c r="DV26" s="153"/>
      <c r="DW26" s="153"/>
      <c r="DX26" s="153"/>
      <c r="DY26" s="153"/>
      <c r="DZ26" s="153"/>
      <c r="EA26" s="153"/>
      <c r="EB26" s="153"/>
      <c r="EC26" s="153"/>
      <c r="ED26" s="153"/>
      <c r="EE26" s="153"/>
      <c r="EF26" s="153"/>
      <c r="EG26" s="153"/>
      <c r="EH26" s="153"/>
      <c r="EI26" s="153"/>
      <c r="EJ26" s="153"/>
      <c r="EK26" s="153"/>
      <c r="EL26" s="153"/>
      <c r="EM26" s="153"/>
      <c r="EN26" s="153"/>
      <c r="EO26" s="153"/>
      <c r="EP26" s="153"/>
      <c r="EQ26" s="153"/>
      <c r="ER26" s="153"/>
      <c r="ES26" s="153"/>
      <c r="ET26" s="153"/>
      <c r="EU26" s="153"/>
      <c r="EV26" s="153"/>
      <c r="EW26" s="153"/>
      <c r="EX26" s="153"/>
      <c r="EY26" s="153"/>
      <c r="EZ26" s="153"/>
      <c r="FA26" s="153"/>
      <c r="FB26" s="153"/>
    </row>
    <row r="27" spans="1:158" s="291" customFormat="1" x14ac:dyDescent="0.3">
      <c r="A27" s="298" t="s">
        <v>134</v>
      </c>
      <c r="B27" s="292">
        <v>-21.198191666666659</v>
      </c>
      <c r="C27" s="292">
        <v>-21.198191666666663</v>
      </c>
      <c r="D27" s="292">
        <v>-21.198191666666663</v>
      </c>
      <c r="E27" s="292">
        <v>-21.198191666666663</v>
      </c>
      <c r="F27" s="292">
        <v>-21.198191666666666</v>
      </c>
      <c r="G27" s="292">
        <v>-21.198191666666666</v>
      </c>
      <c r="H27" s="292">
        <v>-21.198191666666666</v>
      </c>
      <c r="I27" s="292">
        <v>-21.198191666666663</v>
      </c>
      <c r="J27" s="292">
        <v>-21.198191666666663</v>
      </c>
      <c r="K27" s="292">
        <v>-21.19819166666667</v>
      </c>
      <c r="L27" s="292">
        <v>-21.19819166666667</v>
      </c>
      <c r="M27" s="292">
        <v>-21.198191666666666</v>
      </c>
      <c r="N27" s="292">
        <v>-21.198191666666666</v>
      </c>
      <c r="O27" s="292">
        <v>-21.198191666666666</v>
      </c>
      <c r="P27" s="292">
        <v>-21.198191666666666</v>
      </c>
      <c r="Q27" s="292">
        <v>-21.198191666666666</v>
      </c>
      <c r="R27" s="292">
        <v>-21.198191666666666</v>
      </c>
      <c r="S27" s="292">
        <v>-21.198191666666666</v>
      </c>
      <c r="T27" s="292">
        <v>-21.198191666666666</v>
      </c>
      <c r="U27" s="292">
        <v>-21.198191666666666</v>
      </c>
      <c r="V27" s="292">
        <v>-21.198191666666666</v>
      </c>
      <c r="W27" s="292">
        <v>-21.198191666666666</v>
      </c>
      <c r="X27" s="292">
        <v>-21.198191666666666</v>
      </c>
      <c r="Y27" s="292">
        <v>-21.198191666666666</v>
      </c>
      <c r="Z27" s="292">
        <v>-21.198191666666666</v>
      </c>
      <c r="AA27" s="311">
        <v>-21.198191666666666</v>
      </c>
      <c r="AB27" s="153"/>
      <c r="AC27" s="153"/>
      <c r="AD27" s="153"/>
      <c r="AE27" s="153"/>
      <c r="AF27" s="153"/>
      <c r="AG27" s="153"/>
      <c r="AH27" s="153"/>
      <c r="AI27" s="153"/>
      <c r="AJ27" s="153"/>
      <c r="AK27" s="153"/>
      <c r="AL27" s="153"/>
      <c r="AM27" s="153"/>
      <c r="AN27" s="153"/>
      <c r="AO27" s="153"/>
      <c r="AP27" s="153"/>
      <c r="AQ27" s="153"/>
      <c r="AR27" s="153"/>
      <c r="AS27" s="153"/>
      <c r="AT27" s="153"/>
      <c r="AU27" s="153"/>
      <c r="AV27" s="153"/>
      <c r="AW27" s="153"/>
      <c r="AX27" s="153"/>
      <c r="AY27" s="153"/>
      <c r="AZ27" s="153"/>
      <c r="BA27" s="153"/>
      <c r="BB27" s="153"/>
      <c r="BC27" s="153"/>
      <c r="BD27" s="153"/>
      <c r="BE27" s="153"/>
      <c r="BF27" s="153"/>
      <c r="BG27" s="153"/>
      <c r="BH27" s="153"/>
      <c r="BI27" s="153"/>
      <c r="BJ27" s="153"/>
      <c r="BK27" s="153"/>
      <c r="BL27" s="153"/>
      <c r="BM27" s="153"/>
      <c r="BN27" s="153"/>
      <c r="BO27" s="153"/>
      <c r="BP27" s="153"/>
      <c r="BQ27" s="153"/>
      <c r="BR27" s="153"/>
      <c r="BS27" s="153"/>
      <c r="BT27" s="153"/>
      <c r="BU27" s="153"/>
      <c r="BV27" s="153"/>
      <c r="BW27" s="153"/>
      <c r="BX27" s="153"/>
      <c r="BY27" s="153"/>
      <c r="BZ27" s="153"/>
      <c r="CA27" s="153"/>
      <c r="CB27" s="153"/>
      <c r="CC27" s="153"/>
      <c r="CD27" s="153"/>
      <c r="CE27" s="153"/>
      <c r="CF27" s="153"/>
      <c r="CG27" s="153"/>
      <c r="CH27" s="153"/>
      <c r="CI27" s="153"/>
      <c r="CJ27" s="153"/>
      <c r="CK27" s="153"/>
      <c r="CL27" s="153"/>
      <c r="CM27" s="153"/>
      <c r="CN27" s="153"/>
      <c r="CO27" s="153"/>
      <c r="CP27" s="153"/>
      <c r="CQ27" s="153"/>
      <c r="CR27" s="153"/>
      <c r="CS27" s="153"/>
      <c r="CT27" s="153"/>
      <c r="CU27" s="153"/>
      <c r="CV27" s="153"/>
      <c r="CW27" s="153"/>
      <c r="CX27" s="153"/>
      <c r="CY27" s="153"/>
      <c r="CZ27" s="153"/>
      <c r="DA27" s="153"/>
      <c r="DB27" s="153"/>
      <c r="DC27" s="153"/>
      <c r="DD27" s="153"/>
      <c r="DE27" s="153"/>
      <c r="DF27" s="153"/>
      <c r="DG27" s="153"/>
      <c r="DH27" s="153"/>
      <c r="DI27" s="153"/>
      <c r="DJ27" s="153"/>
      <c r="DK27" s="153"/>
      <c r="DL27" s="153"/>
      <c r="DM27" s="153"/>
      <c r="DN27" s="153"/>
      <c r="DO27" s="153"/>
      <c r="DP27" s="153"/>
      <c r="DQ27" s="153"/>
      <c r="DR27" s="153"/>
      <c r="DS27" s="153"/>
      <c r="DT27" s="153"/>
      <c r="DU27" s="153"/>
      <c r="DV27" s="153"/>
      <c r="DW27" s="153"/>
      <c r="DX27" s="153"/>
      <c r="DY27" s="153"/>
      <c r="DZ27" s="153"/>
      <c r="EA27" s="153"/>
      <c r="EB27" s="153"/>
      <c r="EC27" s="153"/>
      <c r="ED27" s="153"/>
      <c r="EE27" s="153"/>
      <c r="EF27" s="153"/>
      <c r="EG27" s="153"/>
      <c r="EH27" s="153"/>
      <c r="EI27" s="153"/>
      <c r="EJ27" s="153"/>
      <c r="EK27" s="153"/>
      <c r="EL27" s="153"/>
      <c r="EM27" s="153"/>
      <c r="EN27" s="153"/>
      <c r="EO27" s="153"/>
      <c r="EP27" s="153"/>
      <c r="EQ27" s="153"/>
      <c r="ER27" s="153"/>
      <c r="ES27" s="153"/>
      <c r="ET27" s="153"/>
      <c r="EU27" s="153"/>
      <c r="EV27" s="153"/>
      <c r="EW27" s="153"/>
      <c r="EX27" s="153"/>
      <c r="EY27" s="153"/>
      <c r="EZ27" s="153"/>
      <c r="FA27" s="153"/>
      <c r="FB27" s="153"/>
    </row>
    <row r="28" spans="1:158" s="291" customFormat="1" x14ac:dyDescent="0.3">
      <c r="A28" s="298" t="s">
        <v>135</v>
      </c>
      <c r="B28" s="292">
        <v>-21.198191666666659</v>
      </c>
      <c r="C28" s="292">
        <v>-21.198191666666663</v>
      </c>
      <c r="D28" s="292">
        <v>-21.198191666666663</v>
      </c>
      <c r="E28" s="292">
        <v>-21.198191666666663</v>
      </c>
      <c r="F28" s="292">
        <v>-21.198191666666663</v>
      </c>
      <c r="G28" s="292">
        <v>-21.198191666666659</v>
      </c>
      <c r="H28" s="292">
        <v>-21.198191666666663</v>
      </c>
      <c r="I28" s="292">
        <v>-21.198191666666663</v>
      </c>
      <c r="J28" s="292">
        <v>-21.198191666666659</v>
      </c>
      <c r="K28" s="292">
        <v>-21.198191666666666</v>
      </c>
      <c r="L28" s="292">
        <v>-21.198191666666666</v>
      </c>
      <c r="M28" s="292">
        <v>-21.198191666666666</v>
      </c>
      <c r="N28" s="292">
        <v>-21.198191666666666</v>
      </c>
      <c r="O28" s="292">
        <v>-21.198191666666666</v>
      </c>
      <c r="P28" s="292">
        <v>-21.198191666666666</v>
      </c>
      <c r="Q28" s="292">
        <v>-21.198191666666666</v>
      </c>
      <c r="R28" s="292">
        <v>-21.198191666666666</v>
      </c>
      <c r="S28" s="292">
        <v>-21.198191666666666</v>
      </c>
      <c r="T28" s="292">
        <v>-21.198191666666666</v>
      </c>
      <c r="U28" s="292">
        <v>-21.198191666666666</v>
      </c>
      <c r="V28" s="292">
        <v>-21.198191666666666</v>
      </c>
      <c r="W28" s="292">
        <v>-21.198191666666666</v>
      </c>
      <c r="X28" s="292">
        <v>-21.198191666666666</v>
      </c>
      <c r="Y28" s="292">
        <v>-21.198191666666666</v>
      </c>
      <c r="Z28" s="292">
        <v>-21.198191666666666</v>
      </c>
      <c r="AA28" s="311">
        <v>-21.198191666666666</v>
      </c>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53"/>
      <c r="AZ28" s="153"/>
      <c r="BA28" s="153"/>
      <c r="BB28" s="153"/>
      <c r="BC28" s="153"/>
      <c r="BD28" s="153"/>
      <c r="BE28" s="153"/>
      <c r="BF28" s="153"/>
      <c r="BG28" s="153"/>
      <c r="BH28" s="153"/>
      <c r="BI28" s="153"/>
      <c r="BJ28" s="153"/>
      <c r="BK28" s="153"/>
      <c r="BL28" s="153"/>
      <c r="BM28" s="153"/>
      <c r="BN28" s="153"/>
      <c r="BO28" s="153"/>
      <c r="BP28" s="153"/>
      <c r="BQ28" s="153"/>
      <c r="BR28" s="153"/>
      <c r="BS28" s="153"/>
      <c r="BT28" s="153"/>
      <c r="BU28" s="153"/>
      <c r="BV28" s="153"/>
      <c r="BW28" s="153"/>
      <c r="BX28" s="153"/>
      <c r="BY28" s="153"/>
      <c r="BZ28" s="153"/>
      <c r="CA28" s="153"/>
      <c r="CB28" s="153"/>
      <c r="CC28" s="153"/>
      <c r="CD28" s="153"/>
      <c r="CE28" s="153"/>
      <c r="CF28" s="153"/>
      <c r="CG28" s="153"/>
      <c r="CH28" s="153"/>
      <c r="CI28" s="153"/>
      <c r="CJ28" s="153"/>
      <c r="CK28" s="153"/>
      <c r="CL28" s="153"/>
      <c r="CM28" s="153"/>
      <c r="CN28" s="153"/>
      <c r="CO28" s="153"/>
      <c r="CP28" s="153"/>
      <c r="CQ28" s="153"/>
      <c r="CR28" s="153"/>
      <c r="CS28" s="153"/>
      <c r="CT28" s="153"/>
      <c r="CU28" s="153"/>
      <c r="CV28" s="153"/>
      <c r="CW28" s="153"/>
      <c r="CX28" s="153"/>
      <c r="CY28" s="153"/>
      <c r="CZ28" s="153"/>
      <c r="DA28" s="153"/>
      <c r="DB28" s="153"/>
      <c r="DC28" s="153"/>
      <c r="DD28" s="153"/>
      <c r="DE28" s="153"/>
      <c r="DF28" s="153"/>
      <c r="DG28" s="153"/>
      <c r="DH28" s="153"/>
      <c r="DI28" s="153"/>
      <c r="DJ28" s="153"/>
      <c r="DK28" s="153"/>
      <c r="DL28" s="153"/>
      <c r="DM28" s="153"/>
      <c r="DN28" s="153"/>
      <c r="DO28" s="153"/>
      <c r="DP28" s="153"/>
      <c r="DQ28" s="153"/>
      <c r="DR28" s="153"/>
      <c r="DS28" s="153"/>
      <c r="DT28" s="153"/>
      <c r="DU28" s="153"/>
      <c r="DV28" s="153"/>
      <c r="DW28" s="153"/>
      <c r="DX28" s="153"/>
      <c r="DY28" s="153"/>
      <c r="DZ28" s="153"/>
      <c r="EA28" s="153"/>
      <c r="EB28" s="153"/>
      <c r="EC28" s="153"/>
      <c r="ED28" s="153"/>
      <c r="EE28" s="153"/>
      <c r="EF28" s="153"/>
      <c r="EG28" s="153"/>
      <c r="EH28" s="153"/>
      <c r="EI28" s="153"/>
      <c r="EJ28" s="153"/>
      <c r="EK28" s="153"/>
      <c r="EL28" s="153"/>
      <c r="EM28" s="153"/>
      <c r="EN28" s="153"/>
      <c r="EO28" s="153"/>
      <c r="EP28" s="153"/>
      <c r="EQ28" s="153"/>
      <c r="ER28" s="153"/>
      <c r="ES28" s="153"/>
      <c r="ET28" s="153"/>
      <c r="EU28" s="153"/>
      <c r="EV28" s="153"/>
      <c r="EW28" s="153"/>
      <c r="EX28" s="153"/>
      <c r="EY28" s="153"/>
      <c r="EZ28" s="153"/>
      <c r="FA28" s="153"/>
      <c r="FB28" s="153"/>
    </row>
    <row r="29" spans="1:158" s="291" customFormat="1" x14ac:dyDescent="0.3">
      <c r="A29" s="298" t="s">
        <v>136</v>
      </c>
      <c r="B29" s="292">
        <v>-21.198191666666659</v>
      </c>
      <c r="C29" s="292">
        <v>-21.198191666666663</v>
      </c>
      <c r="D29" s="292">
        <v>-21.198191666666663</v>
      </c>
      <c r="E29" s="292">
        <v>-21.198191666666666</v>
      </c>
      <c r="F29" s="292">
        <v>-21.198191666666663</v>
      </c>
      <c r="G29" s="292">
        <v>-21.198191666666663</v>
      </c>
      <c r="H29" s="292">
        <v>-21.198191666666666</v>
      </c>
      <c r="I29" s="292">
        <v>-21.198191666666666</v>
      </c>
      <c r="J29" s="292">
        <v>-21.198191666666659</v>
      </c>
      <c r="K29" s="292">
        <v>-21.198191666666666</v>
      </c>
      <c r="L29" s="292">
        <v>-21.198191666666666</v>
      </c>
      <c r="M29" s="292">
        <v>-21.198191666666666</v>
      </c>
      <c r="N29" s="292">
        <v>-21.198191666666666</v>
      </c>
      <c r="O29" s="292">
        <v>-21.198191666666666</v>
      </c>
      <c r="P29" s="292">
        <v>-21.198191666666666</v>
      </c>
      <c r="Q29" s="292">
        <v>-21.198191666666666</v>
      </c>
      <c r="R29" s="292">
        <v>-21.198191666666666</v>
      </c>
      <c r="S29" s="292">
        <v>-21.198191666666666</v>
      </c>
      <c r="T29" s="292">
        <v>-21.198191666666666</v>
      </c>
      <c r="U29" s="292">
        <v>-21.198191666666666</v>
      </c>
      <c r="V29" s="292">
        <v>-21.198191666666666</v>
      </c>
      <c r="W29" s="292">
        <v>-21.198191666666666</v>
      </c>
      <c r="X29" s="292">
        <v>-21.198191666666666</v>
      </c>
      <c r="Y29" s="292">
        <v>-21.198191666666666</v>
      </c>
      <c r="Z29" s="292">
        <v>-21.198191666666666</v>
      </c>
      <c r="AA29" s="311">
        <v>-21.198191666666666</v>
      </c>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c r="BS29" s="153"/>
      <c r="BT29" s="153"/>
      <c r="BU29" s="153"/>
      <c r="BV29" s="153"/>
      <c r="BW29" s="153"/>
      <c r="BX29" s="153"/>
      <c r="BY29" s="153"/>
      <c r="BZ29" s="153"/>
      <c r="CA29" s="153"/>
      <c r="CB29" s="153"/>
      <c r="CC29" s="153"/>
      <c r="CD29" s="153"/>
      <c r="CE29" s="153"/>
      <c r="CF29" s="153"/>
      <c r="CG29" s="153"/>
      <c r="CH29" s="153"/>
      <c r="CI29" s="153"/>
      <c r="CJ29" s="153"/>
      <c r="CK29" s="153"/>
      <c r="CL29" s="153"/>
      <c r="CM29" s="153"/>
      <c r="CN29" s="153"/>
      <c r="CO29" s="153"/>
      <c r="CP29" s="153"/>
      <c r="CQ29" s="153"/>
      <c r="CR29" s="153"/>
      <c r="CS29" s="153"/>
      <c r="CT29" s="153"/>
      <c r="CU29" s="153"/>
      <c r="CV29" s="153"/>
      <c r="CW29" s="153"/>
      <c r="CX29" s="153"/>
      <c r="CY29" s="153"/>
      <c r="CZ29" s="153"/>
      <c r="DA29" s="153"/>
      <c r="DB29" s="153"/>
      <c r="DC29" s="153"/>
      <c r="DD29" s="153"/>
      <c r="DE29" s="153"/>
      <c r="DF29" s="153"/>
      <c r="DG29" s="153"/>
      <c r="DH29" s="153"/>
      <c r="DI29" s="153"/>
      <c r="DJ29" s="153"/>
      <c r="DK29" s="153"/>
      <c r="DL29" s="153"/>
      <c r="DM29" s="153"/>
      <c r="DN29" s="153"/>
      <c r="DO29" s="153"/>
      <c r="DP29" s="153"/>
      <c r="DQ29" s="153"/>
      <c r="DR29" s="153"/>
      <c r="DS29" s="153"/>
      <c r="DT29" s="153"/>
      <c r="DU29" s="153"/>
      <c r="DV29" s="153"/>
      <c r="DW29" s="153"/>
      <c r="DX29" s="153"/>
      <c r="DY29" s="153"/>
      <c r="DZ29" s="153"/>
      <c r="EA29" s="153"/>
      <c r="EB29" s="153"/>
      <c r="EC29" s="153"/>
      <c r="ED29" s="153"/>
      <c r="EE29" s="153"/>
      <c r="EF29" s="153"/>
      <c r="EG29" s="153"/>
      <c r="EH29" s="153"/>
      <c r="EI29" s="153"/>
      <c r="EJ29" s="153"/>
      <c r="EK29" s="153"/>
      <c r="EL29" s="153"/>
      <c r="EM29" s="153"/>
      <c r="EN29" s="153"/>
      <c r="EO29" s="153"/>
      <c r="EP29" s="153"/>
      <c r="EQ29" s="153"/>
      <c r="ER29" s="153"/>
      <c r="ES29" s="153"/>
      <c r="ET29" s="153"/>
      <c r="EU29" s="153"/>
      <c r="EV29" s="153"/>
      <c r="EW29" s="153"/>
      <c r="EX29" s="153"/>
      <c r="EY29" s="153"/>
      <c r="EZ29" s="153"/>
      <c r="FA29" s="153"/>
      <c r="FB29" s="153"/>
    </row>
    <row r="30" spans="1:158" s="291" customFormat="1" x14ac:dyDescent="0.3">
      <c r="A30" s="298" t="s">
        <v>137</v>
      </c>
      <c r="B30" s="292">
        <v>-21.198191666666663</v>
      </c>
      <c r="C30" s="292">
        <v>-21.198191666666659</v>
      </c>
      <c r="D30" s="292">
        <v>-21.198191666666659</v>
      </c>
      <c r="E30" s="292">
        <v>-21.198191666666663</v>
      </c>
      <c r="F30" s="292">
        <v>-21.198191666666663</v>
      </c>
      <c r="G30" s="292">
        <v>-21.198191666666663</v>
      </c>
      <c r="H30" s="292">
        <v>-21.19819166666667</v>
      </c>
      <c r="I30" s="292">
        <v>-21.198191666666663</v>
      </c>
      <c r="J30" s="292">
        <v>-21.198191666666659</v>
      </c>
      <c r="K30" s="292">
        <v>-21.198191666666666</v>
      </c>
      <c r="L30" s="292">
        <v>-21.198191666666666</v>
      </c>
      <c r="M30" s="292">
        <v>-21.198191666666666</v>
      </c>
      <c r="N30" s="292">
        <v>-21.198191666666666</v>
      </c>
      <c r="O30" s="292">
        <v>-21.198191666666666</v>
      </c>
      <c r="P30" s="292">
        <v>-21.198191666666666</v>
      </c>
      <c r="Q30" s="292">
        <v>-21.198191666666666</v>
      </c>
      <c r="R30" s="292">
        <v>-21.198191666666666</v>
      </c>
      <c r="S30" s="292">
        <v>-21.198191666666666</v>
      </c>
      <c r="T30" s="292">
        <v>-21.198191666666666</v>
      </c>
      <c r="U30" s="292">
        <v>-21.198191666666666</v>
      </c>
      <c r="V30" s="292">
        <v>-21.198191666666666</v>
      </c>
      <c r="W30" s="292">
        <v>-21.198191666666666</v>
      </c>
      <c r="X30" s="292">
        <v>-21.198191666666666</v>
      </c>
      <c r="Y30" s="292">
        <v>-21.198191666666666</v>
      </c>
      <c r="Z30" s="292">
        <v>-21.198191666666666</v>
      </c>
      <c r="AA30" s="311">
        <v>-21.198191666666666</v>
      </c>
      <c r="AB30" s="153"/>
      <c r="AC30" s="153"/>
      <c r="AD30" s="153"/>
      <c r="AE30" s="153"/>
      <c r="AF30" s="153"/>
      <c r="AG30" s="153"/>
      <c r="AH30" s="153"/>
      <c r="AI30" s="153"/>
      <c r="AJ30" s="153"/>
      <c r="AK30" s="153"/>
      <c r="AL30" s="153"/>
      <c r="AM30" s="153"/>
      <c r="AN30" s="153"/>
      <c r="AO30" s="153"/>
      <c r="AP30" s="153"/>
      <c r="AQ30" s="153"/>
      <c r="AR30" s="153"/>
      <c r="AS30" s="153"/>
      <c r="AT30" s="153"/>
      <c r="AU30" s="153"/>
      <c r="AV30" s="153"/>
      <c r="AW30" s="153"/>
      <c r="AX30" s="153"/>
      <c r="AY30" s="153"/>
      <c r="AZ30" s="153"/>
      <c r="BA30" s="153"/>
      <c r="BB30" s="153"/>
      <c r="BC30" s="153"/>
      <c r="BD30" s="153"/>
      <c r="BE30" s="153"/>
      <c r="BF30" s="153"/>
      <c r="BG30" s="153"/>
      <c r="BH30" s="153"/>
      <c r="BI30" s="153"/>
      <c r="BJ30" s="153"/>
      <c r="BK30" s="153"/>
      <c r="BL30" s="153"/>
      <c r="BM30" s="153"/>
      <c r="BN30" s="153"/>
      <c r="BO30" s="153"/>
      <c r="BP30" s="153"/>
      <c r="BQ30" s="153"/>
      <c r="BR30" s="153"/>
      <c r="BS30" s="153"/>
      <c r="BT30" s="153"/>
      <c r="BU30" s="153"/>
      <c r="BV30" s="153"/>
      <c r="BW30" s="153"/>
      <c r="BX30" s="153"/>
      <c r="BY30" s="153"/>
      <c r="BZ30" s="153"/>
      <c r="CA30" s="153"/>
      <c r="CB30" s="153"/>
      <c r="CC30" s="153"/>
      <c r="CD30" s="153"/>
      <c r="CE30" s="153"/>
      <c r="CF30" s="153"/>
      <c r="CG30" s="153"/>
      <c r="CH30" s="153"/>
      <c r="CI30" s="153"/>
      <c r="CJ30" s="153"/>
      <c r="CK30" s="153"/>
      <c r="CL30" s="153"/>
      <c r="CM30" s="153"/>
      <c r="CN30" s="153"/>
      <c r="CO30" s="153"/>
      <c r="CP30" s="153"/>
      <c r="CQ30" s="153"/>
      <c r="CR30" s="153"/>
      <c r="CS30" s="153"/>
      <c r="CT30" s="153"/>
      <c r="CU30" s="153"/>
      <c r="CV30" s="153"/>
      <c r="CW30" s="153"/>
      <c r="CX30" s="153"/>
      <c r="CY30" s="153"/>
      <c r="CZ30" s="153"/>
      <c r="DA30" s="153"/>
      <c r="DB30" s="153"/>
      <c r="DC30" s="153"/>
      <c r="DD30" s="153"/>
      <c r="DE30" s="153"/>
      <c r="DF30" s="153"/>
      <c r="DG30" s="153"/>
      <c r="DH30" s="153"/>
      <c r="DI30" s="153"/>
      <c r="DJ30" s="153"/>
      <c r="DK30" s="153"/>
      <c r="DL30" s="153"/>
      <c r="DM30" s="153"/>
      <c r="DN30" s="153"/>
      <c r="DO30" s="153"/>
      <c r="DP30" s="153"/>
      <c r="DQ30" s="153"/>
      <c r="DR30" s="153"/>
      <c r="DS30" s="153"/>
      <c r="DT30" s="153"/>
      <c r="DU30" s="153"/>
      <c r="DV30" s="153"/>
      <c r="DW30" s="153"/>
      <c r="DX30" s="153"/>
      <c r="DY30" s="153"/>
      <c r="DZ30" s="153"/>
      <c r="EA30" s="153"/>
      <c r="EB30" s="153"/>
      <c r="EC30" s="153"/>
      <c r="ED30" s="153"/>
      <c r="EE30" s="153"/>
      <c r="EF30" s="153"/>
      <c r="EG30" s="153"/>
      <c r="EH30" s="153"/>
      <c r="EI30" s="153"/>
      <c r="EJ30" s="153"/>
      <c r="EK30" s="153"/>
      <c r="EL30" s="153"/>
      <c r="EM30" s="153"/>
      <c r="EN30" s="153"/>
      <c r="EO30" s="153"/>
      <c r="EP30" s="153"/>
      <c r="EQ30" s="153"/>
      <c r="ER30" s="153"/>
      <c r="ES30" s="153"/>
      <c r="ET30" s="153"/>
      <c r="EU30" s="153"/>
      <c r="EV30" s="153"/>
      <c r="EW30" s="153"/>
      <c r="EX30" s="153"/>
      <c r="EY30" s="153"/>
      <c r="EZ30" s="153"/>
      <c r="FA30" s="153"/>
      <c r="FB30" s="153"/>
    </row>
    <row r="31" spans="1:158" s="291" customFormat="1" ht="15" thickBot="1" x14ac:dyDescent="0.35">
      <c r="A31" s="299" t="s">
        <v>138</v>
      </c>
      <c r="B31" s="300">
        <v>-21.198191666666663</v>
      </c>
      <c r="C31" s="300">
        <v>-21.198191666666663</v>
      </c>
      <c r="D31" s="300">
        <v>-21.198191666666666</v>
      </c>
      <c r="E31" s="300">
        <v>-21.198191666666666</v>
      </c>
      <c r="F31" s="300">
        <v>-21.198191666666659</v>
      </c>
      <c r="G31" s="300">
        <v>-21.198191666666663</v>
      </c>
      <c r="H31" s="300">
        <v>-21.198191666666666</v>
      </c>
      <c r="I31" s="300">
        <v>-21.198191666666663</v>
      </c>
      <c r="J31" s="300">
        <v>-21.198191666666659</v>
      </c>
      <c r="K31" s="300">
        <v>-21.198191666666666</v>
      </c>
      <c r="L31" s="300">
        <v>-21.198191666666666</v>
      </c>
      <c r="M31" s="300">
        <v>-21.198191666666663</v>
      </c>
      <c r="N31" s="300">
        <v>-21.198191666666663</v>
      </c>
      <c r="O31" s="300">
        <v>-21.198191666666663</v>
      </c>
      <c r="P31" s="300">
        <v>-21.198191666666663</v>
      </c>
      <c r="Q31" s="300">
        <v>-21.198191666666663</v>
      </c>
      <c r="R31" s="300">
        <v>-21.198191666666663</v>
      </c>
      <c r="S31" s="300">
        <v>-21.198191666666663</v>
      </c>
      <c r="T31" s="300">
        <v>-21.198191666666663</v>
      </c>
      <c r="U31" s="300">
        <v>-21.198191666666663</v>
      </c>
      <c r="V31" s="300">
        <v>-21.198191666666663</v>
      </c>
      <c r="W31" s="300">
        <v>-21.198191666666663</v>
      </c>
      <c r="X31" s="300">
        <v>-21.198191666666663</v>
      </c>
      <c r="Y31" s="300">
        <v>-21.198191666666663</v>
      </c>
      <c r="Z31" s="300">
        <v>-21.198191666666663</v>
      </c>
      <c r="AA31" s="301">
        <v>-21.198191666666663</v>
      </c>
      <c r="AB31" s="153"/>
      <c r="AC31" s="153"/>
      <c r="AD31" s="153"/>
      <c r="AE31" s="153"/>
      <c r="AF31" s="153"/>
      <c r="AG31" s="153"/>
      <c r="AH31" s="153"/>
      <c r="AI31" s="153"/>
      <c r="AJ31" s="153"/>
      <c r="AK31" s="153"/>
      <c r="AL31" s="153"/>
      <c r="AM31" s="153"/>
      <c r="AN31" s="153"/>
      <c r="AO31" s="153"/>
      <c r="AP31" s="153"/>
      <c r="AQ31" s="153"/>
      <c r="AR31" s="153"/>
      <c r="AS31" s="153"/>
      <c r="AT31" s="153"/>
      <c r="AU31" s="153"/>
      <c r="AV31" s="153"/>
      <c r="AW31" s="153"/>
      <c r="AX31" s="153"/>
      <c r="AY31" s="153"/>
      <c r="AZ31" s="153"/>
      <c r="BA31" s="153"/>
      <c r="BB31" s="153"/>
      <c r="BC31" s="153"/>
      <c r="BD31" s="153"/>
      <c r="BE31" s="153"/>
      <c r="BF31" s="153"/>
      <c r="BG31" s="153"/>
      <c r="BH31" s="153"/>
      <c r="BI31" s="153"/>
      <c r="BJ31" s="153"/>
      <c r="BK31" s="153"/>
      <c r="BL31" s="153"/>
      <c r="BM31" s="153"/>
      <c r="BN31" s="153"/>
      <c r="BO31" s="153"/>
      <c r="BP31" s="153"/>
      <c r="BQ31" s="153"/>
      <c r="BR31" s="153"/>
      <c r="BS31" s="153"/>
      <c r="BT31" s="153"/>
      <c r="BU31" s="153"/>
      <c r="BV31" s="153"/>
      <c r="BW31" s="153"/>
      <c r="BX31" s="153"/>
      <c r="BY31" s="153"/>
      <c r="BZ31" s="153"/>
      <c r="CA31" s="153"/>
      <c r="CB31" s="153"/>
      <c r="CC31" s="153"/>
      <c r="CD31" s="153"/>
      <c r="CE31" s="153"/>
      <c r="CF31" s="153"/>
      <c r="CG31" s="153"/>
      <c r="CH31" s="153"/>
      <c r="CI31" s="153"/>
      <c r="CJ31" s="153"/>
      <c r="CK31" s="153"/>
      <c r="CL31" s="153"/>
      <c r="CM31" s="153"/>
      <c r="CN31" s="153"/>
      <c r="CO31" s="153"/>
      <c r="CP31" s="153"/>
      <c r="CQ31" s="153"/>
      <c r="CR31" s="153"/>
      <c r="CS31" s="153"/>
      <c r="CT31" s="153"/>
      <c r="CU31" s="153"/>
      <c r="CV31" s="153"/>
      <c r="CW31" s="153"/>
      <c r="CX31" s="153"/>
      <c r="CY31" s="153"/>
      <c r="CZ31" s="153"/>
      <c r="DA31" s="153"/>
      <c r="DB31" s="153"/>
      <c r="DC31" s="153"/>
      <c r="DD31" s="153"/>
      <c r="DE31" s="153"/>
      <c r="DF31" s="153"/>
      <c r="DG31" s="153"/>
      <c r="DH31" s="153"/>
      <c r="DI31" s="153"/>
      <c r="DJ31" s="153"/>
      <c r="DK31" s="153"/>
      <c r="DL31" s="153"/>
      <c r="DM31" s="153"/>
      <c r="DN31" s="153"/>
      <c r="DO31" s="153"/>
      <c r="DP31" s="153"/>
      <c r="DQ31" s="153"/>
      <c r="DR31" s="153"/>
      <c r="DS31" s="153"/>
      <c r="DT31" s="153"/>
      <c r="DU31" s="153"/>
      <c r="DV31" s="153"/>
      <c r="DW31" s="153"/>
      <c r="DX31" s="153"/>
      <c r="DY31" s="153"/>
      <c r="DZ31" s="153"/>
      <c r="EA31" s="153"/>
      <c r="EB31" s="153"/>
      <c r="EC31" s="153"/>
      <c r="ED31" s="153"/>
      <c r="EE31" s="153"/>
      <c r="EF31" s="153"/>
      <c r="EG31" s="153"/>
      <c r="EH31" s="153"/>
      <c r="EI31" s="153"/>
      <c r="EJ31" s="153"/>
      <c r="EK31" s="153"/>
      <c r="EL31" s="153"/>
      <c r="EM31" s="153"/>
      <c r="EN31" s="153"/>
      <c r="EO31" s="153"/>
      <c r="EP31" s="153"/>
      <c r="EQ31" s="153"/>
      <c r="ER31" s="153"/>
      <c r="ES31" s="153"/>
      <c r="ET31" s="153"/>
      <c r="EU31" s="153"/>
      <c r="EV31" s="153"/>
      <c r="EW31" s="153"/>
      <c r="EX31" s="153"/>
      <c r="EY31" s="153"/>
      <c r="EZ31" s="153"/>
      <c r="FA31" s="153"/>
      <c r="FB31" s="153"/>
    </row>
    <row r="32" spans="1:158" s="294" customFormat="1" x14ac:dyDescent="0.3">
      <c r="A32" s="302" t="s">
        <v>139</v>
      </c>
      <c r="B32" s="303">
        <v>-21.198191666666666</v>
      </c>
      <c r="C32" s="303">
        <v>-21.198191666666659</v>
      </c>
      <c r="D32" s="303">
        <v>-21.198191666666663</v>
      </c>
      <c r="E32" s="303">
        <v>-21.198191666666659</v>
      </c>
      <c r="F32" s="303">
        <v>-21.198191666666663</v>
      </c>
      <c r="G32" s="303">
        <v>-21.198191666666663</v>
      </c>
      <c r="H32" s="303">
        <v>-21.198191666666666</v>
      </c>
      <c r="I32" s="303">
        <v>-21.198191666666663</v>
      </c>
      <c r="J32" s="303">
        <v>-21.198191666666663</v>
      </c>
      <c r="K32" s="303">
        <v>-21.198191666666666</v>
      </c>
      <c r="L32" s="303">
        <v>-21.198191666666666</v>
      </c>
      <c r="M32" s="303">
        <v>-21.198191666666666</v>
      </c>
      <c r="N32" s="303">
        <v>-21.198191666666666</v>
      </c>
      <c r="O32" s="303">
        <v>-21.198191666666666</v>
      </c>
      <c r="P32" s="303">
        <v>-21.198191666666666</v>
      </c>
      <c r="Q32" s="303">
        <v>-21.198191666666666</v>
      </c>
      <c r="R32" s="303">
        <v>-21.198191666666666</v>
      </c>
      <c r="S32" s="303">
        <v>-21.198191666666666</v>
      </c>
      <c r="T32" s="303">
        <v>-21.198191666666666</v>
      </c>
      <c r="U32" s="303">
        <v>-21.198191666666666</v>
      </c>
      <c r="V32" s="303">
        <v>-21.198191666666666</v>
      </c>
      <c r="W32" s="303">
        <v>-21.198191666666666</v>
      </c>
      <c r="X32" s="303">
        <v>-21.198191666666666</v>
      </c>
      <c r="Y32" s="303">
        <v>-21.198191666666666</v>
      </c>
      <c r="Z32" s="303">
        <v>-21.198191666666666</v>
      </c>
      <c r="AA32" s="304">
        <v>-21.198191666666666</v>
      </c>
      <c r="AB32" s="153"/>
      <c r="AC32" s="153"/>
      <c r="AD32" s="153"/>
      <c r="AE32" s="153"/>
      <c r="AF32" s="153"/>
      <c r="AG32" s="153"/>
      <c r="AH32" s="153"/>
      <c r="AI32" s="153"/>
      <c r="AJ32" s="153"/>
      <c r="AK32" s="153"/>
      <c r="AL32" s="153"/>
      <c r="AM32" s="153"/>
      <c r="AN32" s="153"/>
      <c r="AO32" s="153"/>
      <c r="AP32" s="153"/>
      <c r="AQ32" s="153"/>
      <c r="AR32" s="153"/>
      <c r="AS32" s="153"/>
      <c r="AT32" s="153"/>
      <c r="AU32" s="153"/>
      <c r="AV32" s="153"/>
      <c r="AW32" s="153"/>
      <c r="AX32" s="153"/>
      <c r="AY32" s="153"/>
      <c r="AZ32" s="153"/>
      <c r="BA32" s="153"/>
      <c r="BB32" s="153"/>
      <c r="BC32" s="153"/>
      <c r="BD32" s="153"/>
      <c r="BE32" s="153"/>
      <c r="BF32" s="153"/>
      <c r="BG32" s="153"/>
      <c r="BH32" s="153"/>
      <c r="BI32" s="153"/>
      <c r="BJ32" s="153"/>
      <c r="BK32" s="153"/>
      <c r="BL32" s="153"/>
      <c r="BM32" s="153"/>
      <c r="BN32" s="153"/>
      <c r="BO32" s="153"/>
      <c r="BP32" s="153"/>
      <c r="BQ32" s="153"/>
      <c r="BR32" s="153"/>
      <c r="BS32" s="153"/>
      <c r="BT32" s="153"/>
      <c r="BU32" s="153"/>
      <c r="BV32" s="153"/>
      <c r="BW32" s="153"/>
      <c r="BX32" s="153"/>
      <c r="BY32" s="153"/>
      <c r="BZ32" s="153"/>
      <c r="CA32" s="153"/>
      <c r="CB32" s="153"/>
      <c r="CC32" s="153"/>
      <c r="CD32" s="153"/>
      <c r="CE32" s="153"/>
      <c r="CF32" s="153"/>
      <c r="CG32" s="153"/>
      <c r="CH32" s="153"/>
      <c r="CI32" s="153"/>
      <c r="CJ32" s="153"/>
      <c r="CK32" s="153"/>
      <c r="CL32" s="153"/>
      <c r="CM32" s="153"/>
      <c r="CN32" s="153"/>
      <c r="CO32" s="153"/>
      <c r="CP32" s="153"/>
      <c r="CQ32" s="153"/>
      <c r="CR32" s="153"/>
      <c r="CS32" s="153"/>
      <c r="CT32" s="153"/>
      <c r="CU32" s="153"/>
      <c r="CV32" s="153"/>
      <c r="CW32" s="153"/>
      <c r="CX32" s="153"/>
      <c r="CY32" s="153"/>
      <c r="CZ32" s="153"/>
      <c r="DA32" s="153"/>
      <c r="DB32" s="153"/>
      <c r="DC32" s="153"/>
      <c r="DD32" s="153"/>
      <c r="DE32" s="153"/>
      <c r="DF32" s="153"/>
      <c r="DG32" s="153"/>
      <c r="DH32" s="153"/>
      <c r="DI32" s="153"/>
      <c r="DJ32" s="153"/>
      <c r="DK32" s="153"/>
      <c r="DL32" s="153"/>
      <c r="DM32" s="153"/>
      <c r="DN32" s="153"/>
      <c r="DO32" s="153"/>
      <c r="DP32" s="153"/>
      <c r="DQ32" s="153"/>
      <c r="DR32" s="153"/>
      <c r="DS32" s="153"/>
      <c r="DT32" s="153"/>
      <c r="DU32" s="153"/>
      <c r="DV32" s="153"/>
      <c r="DW32" s="153"/>
      <c r="DX32" s="153"/>
      <c r="DY32" s="153"/>
      <c r="DZ32" s="153"/>
      <c r="EA32" s="153"/>
      <c r="EB32" s="153"/>
      <c r="EC32" s="153"/>
      <c r="ED32" s="153"/>
      <c r="EE32" s="153"/>
      <c r="EF32" s="153"/>
      <c r="EG32" s="153"/>
      <c r="EH32" s="153"/>
      <c r="EI32" s="153"/>
      <c r="EJ32" s="153"/>
      <c r="EK32" s="153"/>
      <c r="EL32" s="153"/>
      <c r="EM32" s="153"/>
      <c r="EN32" s="153"/>
      <c r="EO32" s="153"/>
      <c r="EP32" s="153"/>
      <c r="EQ32" s="153"/>
      <c r="ER32" s="153"/>
      <c r="ES32" s="153"/>
      <c r="ET32" s="153"/>
      <c r="EU32" s="153"/>
      <c r="EV32" s="153"/>
      <c r="EW32" s="153"/>
      <c r="EX32" s="153"/>
      <c r="EY32" s="153"/>
      <c r="EZ32" s="153"/>
      <c r="FA32" s="153"/>
      <c r="FB32" s="153"/>
    </row>
    <row r="33" spans="1:158" s="294" customFormat="1" x14ac:dyDescent="0.3">
      <c r="A33" s="305" t="s">
        <v>140</v>
      </c>
      <c r="B33" s="295">
        <v>-21.198191666666663</v>
      </c>
      <c r="C33" s="295">
        <v>-21.198191666666659</v>
      </c>
      <c r="D33" s="295">
        <v>-21.198191666666659</v>
      </c>
      <c r="E33" s="295">
        <v>-21.198191666666663</v>
      </c>
      <c r="F33" s="295">
        <v>-21.198191666666659</v>
      </c>
      <c r="G33" s="295">
        <v>-21.198191666666666</v>
      </c>
      <c r="H33" s="295">
        <v>-21.198191666666666</v>
      </c>
      <c r="I33" s="295">
        <v>-21.198191666666663</v>
      </c>
      <c r="J33" s="295">
        <v>-21.198191666666663</v>
      </c>
      <c r="K33" s="295">
        <v>-21.19819166666667</v>
      </c>
      <c r="L33" s="295">
        <v>-21.19819166666667</v>
      </c>
      <c r="M33" s="295">
        <v>-21.198191666666666</v>
      </c>
      <c r="N33" s="295">
        <v>-21.198191666666666</v>
      </c>
      <c r="O33" s="295">
        <v>-21.198191666666666</v>
      </c>
      <c r="P33" s="295">
        <v>-21.198191666666666</v>
      </c>
      <c r="Q33" s="295">
        <v>-21.198191666666666</v>
      </c>
      <c r="R33" s="295">
        <v>-21.198191666666666</v>
      </c>
      <c r="S33" s="295">
        <v>-21.198191666666666</v>
      </c>
      <c r="T33" s="295">
        <v>-21.198191666666666</v>
      </c>
      <c r="U33" s="295">
        <v>-21.198191666666666</v>
      </c>
      <c r="V33" s="295">
        <v>-21.198191666666666</v>
      </c>
      <c r="W33" s="295">
        <v>-21.198191666666666</v>
      </c>
      <c r="X33" s="295">
        <v>-21.198191666666666</v>
      </c>
      <c r="Y33" s="295">
        <v>-21.198191666666666</v>
      </c>
      <c r="Z33" s="295">
        <v>-21.198191666666666</v>
      </c>
      <c r="AA33" s="306">
        <v>-21.198191666666666</v>
      </c>
      <c r="AB33" s="153"/>
      <c r="AC33" s="153"/>
      <c r="AD33" s="153"/>
      <c r="AE33" s="153"/>
      <c r="AF33" s="153"/>
      <c r="AG33" s="153"/>
      <c r="AH33" s="153"/>
      <c r="AI33" s="153"/>
      <c r="AJ33" s="153"/>
      <c r="AK33" s="153"/>
      <c r="AL33" s="153"/>
      <c r="AM33" s="153"/>
      <c r="AN33" s="153"/>
      <c r="AO33" s="153"/>
      <c r="AP33" s="153"/>
      <c r="AQ33" s="153"/>
      <c r="AR33" s="153"/>
      <c r="AS33" s="153"/>
      <c r="AT33" s="153"/>
      <c r="AU33" s="153"/>
      <c r="AV33" s="153"/>
      <c r="AW33" s="153"/>
      <c r="AX33" s="153"/>
      <c r="AY33" s="153"/>
      <c r="AZ33" s="153"/>
      <c r="BA33" s="153"/>
      <c r="BB33" s="153"/>
      <c r="BC33" s="153"/>
      <c r="BD33" s="153"/>
      <c r="BE33" s="153"/>
      <c r="BF33" s="153"/>
      <c r="BG33" s="153"/>
      <c r="BH33" s="153"/>
      <c r="BI33" s="153"/>
      <c r="BJ33" s="153"/>
      <c r="BK33" s="153"/>
      <c r="BL33" s="153"/>
      <c r="BM33" s="153"/>
      <c r="BN33" s="153"/>
      <c r="BO33" s="153"/>
      <c r="BP33" s="153"/>
      <c r="BQ33" s="153"/>
      <c r="BR33" s="153"/>
      <c r="BS33" s="153"/>
      <c r="BT33" s="153"/>
      <c r="BU33" s="153"/>
      <c r="BV33" s="153"/>
      <c r="BW33" s="153"/>
      <c r="BX33" s="153"/>
      <c r="BY33" s="153"/>
      <c r="BZ33" s="153"/>
      <c r="CA33" s="153"/>
      <c r="CB33" s="153"/>
      <c r="CC33" s="153"/>
      <c r="CD33" s="153"/>
      <c r="CE33" s="153"/>
      <c r="CF33" s="153"/>
      <c r="CG33" s="153"/>
      <c r="CH33" s="153"/>
      <c r="CI33" s="153"/>
      <c r="CJ33" s="153"/>
      <c r="CK33" s="153"/>
      <c r="CL33" s="153"/>
      <c r="CM33" s="153"/>
      <c r="CN33" s="153"/>
      <c r="CO33" s="153"/>
      <c r="CP33" s="153"/>
      <c r="CQ33" s="153"/>
      <c r="CR33" s="153"/>
      <c r="CS33" s="153"/>
      <c r="CT33" s="153"/>
      <c r="CU33" s="153"/>
      <c r="CV33" s="153"/>
      <c r="CW33" s="153"/>
      <c r="CX33" s="153"/>
      <c r="CY33" s="153"/>
      <c r="CZ33" s="153"/>
      <c r="DA33" s="153"/>
      <c r="DB33" s="153"/>
      <c r="DC33" s="153"/>
      <c r="DD33" s="153"/>
      <c r="DE33" s="153"/>
      <c r="DF33" s="153"/>
      <c r="DG33" s="153"/>
      <c r="DH33" s="153"/>
      <c r="DI33" s="153"/>
      <c r="DJ33" s="153"/>
      <c r="DK33" s="153"/>
      <c r="DL33" s="153"/>
      <c r="DM33" s="153"/>
      <c r="DN33" s="153"/>
      <c r="DO33" s="153"/>
      <c r="DP33" s="153"/>
      <c r="DQ33" s="153"/>
      <c r="DR33" s="153"/>
      <c r="DS33" s="153"/>
      <c r="DT33" s="153"/>
      <c r="DU33" s="153"/>
      <c r="DV33" s="153"/>
      <c r="DW33" s="153"/>
      <c r="DX33" s="153"/>
      <c r="DY33" s="153"/>
      <c r="DZ33" s="153"/>
      <c r="EA33" s="153"/>
      <c r="EB33" s="153"/>
      <c r="EC33" s="153"/>
      <c r="ED33" s="153"/>
      <c r="EE33" s="153"/>
      <c r="EF33" s="153"/>
      <c r="EG33" s="153"/>
      <c r="EH33" s="153"/>
      <c r="EI33" s="153"/>
      <c r="EJ33" s="153"/>
      <c r="EK33" s="153"/>
      <c r="EL33" s="153"/>
      <c r="EM33" s="153"/>
      <c r="EN33" s="153"/>
      <c r="EO33" s="153"/>
      <c r="EP33" s="153"/>
      <c r="EQ33" s="153"/>
      <c r="ER33" s="153"/>
      <c r="ES33" s="153"/>
      <c r="ET33" s="153"/>
      <c r="EU33" s="153"/>
      <c r="EV33" s="153"/>
      <c r="EW33" s="153"/>
      <c r="EX33" s="153"/>
      <c r="EY33" s="153"/>
      <c r="EZ33" s="153"/>
      <c r="FA33" s="153"/>
      <c r="FB33" s="153"/>
    </row>
    <row r="34" spans="1:158" s="294" customFormat="1" x14ac:dyDescent="0.3">
      <c r="A34" s="305" t="s">
        <v>141</v>
      </c>
      <c r="B34" s="295">
        <v>-21.198191666666663</v>
      </c>
      <c r="C34" s="295">
        <v>-21.198191666666659</v>
      </c>
      <c r="D34" s="295">
        <v>-21.198191666666663</v>
      </c>
      <c r="E34" s="295">
        <v>-21.198191666666663</v>
      </c>
      <c r="F34" s="295">
        <v>-21.198191666666663</v>
      </c>
      <c r="G34" s="295">
        <v>-21.198191666666663</v>
      </c>
      <c r="H34" s="295">
        <v>-21.198191666666666</v>
      </c>
      <c r="I34" s="295">
        <v>-21.198191666666663</v>
      </c>
      <c r="J34" s="295">
        <v>-21.198191666666666</v>
      </c>
      <c r="K34" s="295">
        <v>-21.19819166666667</v>
      </c>
      <c r="L34" s="295">
        <v>-21.19819166666667</v>
      </c>
      <c r="M34" s="295">
        <v>-21.198191666666666</v>
      </c>
      <c r="N34" s="295">
        <v>-21.198191666666666</v>
      </c>
      <c r="O34" s="295">
        <v>-21.198191666666666</v>
      </c>
      <c r="P34" s="295">
        <v>-21.198191666666666</v>
      </c>
      <c r="Q34" s="295">
        <v>-21.198191666666666</v>
      </c>
      <c r="R34" s="295">
        <v>-21.198191666666666</v>
      </c>
      <c r="S34" s="295">
        <v>-21.198191666666666</v>
      </c>
      <c r="T34" s="295">
        <v>-21.198191666666666</v>
      </c>
      <c r="U34" s="295">
        <v>-21.198191666666666</v>
      </c>
      <c r="V34" s="295">
        <v>-21.198191666666666</v>
      </c>
      <c r="W34" s="295">
        <v>-21.198191666666666</v>
      </c>
      <c r="X34" s="295">
        <v>-21.198191666666666</v>
      </c>
      <c r="Y34" s="295">
        <v>-21.198191666666666</v>
      </c>
      <c r="Z34" s="295">
        <v>-21.198191666666666</v>
      </c>
      <c r="AA34" s="306">
        <v>-21.198191666666666</v>
      </c>
      <c r="AB34" s="153"/>
      <c r="AC34" s="153"/>
      <c r="AD34" s="153"/>
      <c r="AE34" s="153"/>
      <c r="AF34" s="153"/>
      <c r="AG34" s="153"/>
      <c r="AH34" s="153"/>
      <c r="AI34" s="153"/>
      <c r="AJ34" s="153"/>
      <c r="AK34" s="153"/>
      <c r="AL34" s="153"/>
      <c r="AM34" s="153"/>
      <c r="AN34" s="153"/>
      <c r="AO34" s="153"/>
      <c r="AP34" s="153"/>
      <c r="AQ34" s="153"/>
      <c r="AR34" s="153"/>
      <c r="AS34" s="153"/>
      <c r="AT34" s="153"/>
      <c r="AU34" s="153"/>
      <c r="AV34" s="153"/>
      <c r="AW34" s="153"/>
      <c r="AX34" s="153"/>
      <c r="AY34" s="153"/>
      <c r="AZ34" s="153"/>
      <c r="BA34" s="153"/>
      <c r="BB34" s="153"/>
      <c r="BC34" s="153"/>
      <c r="BD34" s="153"/>
      <c r="BE34" s="153"/>
      <c r="BF34" s="153"/>
      <c r="BG34" s="153"/>
      <c r="BH34" s="153"/>
      <c r="BI34" s="153"/>
      <c r="BJ34" s="153"/>
      <c r="BK34" s="153"/>
      <c r="BL34" s="153"/>
      <c r="BM34" s="153"/>
      <c r="BN34" s="153"/>
      <c r="BO34" s="153"/>
      <c r="BP34" s="153"/>
      <c r="BQ34" s="153"/>
      <c r="BR34" s="153"/>
      <c r="BS34" s="153"/>
      <c r="BT34" s="153"/>
      <c r="BU34" s="153"/>
      <c r="BV34" s="153"/>
      <c r="BW34" s="153"/>
      <c r="BX34" s="153"/>
      <c r="BY34" s="153"/>
      <c r="BZ34" s="153"/>
      <c r="CA34" s="153"/>
      <c r="CB34" s="153"/>
      <c r="CC34" s="153"/>
      <c r="CD34" s="153"/>
      <c r="CE34" s="153"/>
      <c r="CF34" s="153"/>
      <c r="CG34" s="153"/>
      <c r="CH34" s="153"/>
      <c r="CI34" s="153"/>
      <c r="CJ34" s="153"/>
      <c r="CK34" s="153"/>
      <c r="CL34" s="153"/>
      <c r="CM34" s="153"/>
      <c r="CN34" s="153"/>
      <c r="CO34" s="153"/>
      <c r="CP34" s="153"/>
      <c r="CQ34" s="153"/>
      <c r="CR34" s="153"/>
      <c r="CS34" s="153"/>
      <c r="CT34" s="153"/>
      <c r="CU34" s="153"/>
      <c r="CV34" s="153"/>
      <c r="CW34" s="153"/>
      <c r="CX34" s="153"/>
      <c r="CY34" s="153"/>
      <c r="CZ34" s="153"/>
      <c r="DA34" s="153"/>
      <c r="DB34" s="153"/>
      <c r="DC34" s="153"/>
      <c r="DD34" s="153"/>
      <c r="DE34" s="153"/>
      <c r="DF34" s="153"/>
      <c r="DG34" s="153"/>
      <c r="DH34" s="153"/>
      <c r="DI34" s="153"/>
      <c r="DJ34" s="153"/>
      <c r="DK34" s="153"/>
      <c r="DL34" s="153"/>
      <c r="DM34" s="153"/>
      <c r="DN34" s="153"/>
      <c r="DO34" s="153"/>
      <c r="DP34" s="153"/>
      <c r="DQ34" s="153"/>
      <c r="DR34" s="153"/>
      <c r="DS34" s="153"/>
      <c r="DT34" s="153"/>
      <c r="DU34" s="153"/>
      <c r="DV34" s="153"/>
      <c r="DW34" s="153"/>
      <c r="DX34" s="153"/>
      <c r="DY34" s="153"/>
      <c r="DZ34" s="153"/>
      <c r="EA34" s="153"/>
      <c r="EB34" s="153"/>
      <c r="EC34" s="153"/>
      <c r="ED34" s="153"/>
      <c r="EE34" s="153"/>
      <c r="EF34" s="153"/>
      <c r="EG34" s="153"/>
      <c r="EH34" s="153"/>
      <c r="EI34" s="153"/>
      <c r="EJ34" s="153"/>
      <c r="EK34" s="153"/>
      <c r="EL34" s="153"/>
      <c r="EM34" s="153"/>
      <c r="EN34" s="153"/>
      <c r="EO34" s="153"/>
      <c r="EP34" s="153"/>
      <c r="EQ34" s="153"/>
      <c r="ER34" s="153"/>
      <c r="ES34" s="153"/>
      <c r="ET34" s="153"/>
      <c r="EU34" s="153"/>
      <c r="EV34" s="153"/>
      <c r="EW34" s="153"/>
      <c r="EX34" s="153"/>
      <c r="EY34" s="153"/>
      <c r="EZ34" s="153"/>
      <c r="FA34" s="153"/>
      <c r="FB34" s="153"/>
    </row>
    <row r="35" spans="1:158" s="294" customFormat="1" x14ac:dyDescent="0.3">
      <c r="A35" s="305" t="s">
        <v>142</v>
      </c>
      <c r="B35" s="295">
        <v>-21.198191666666666</v>
      </c>
      <c r="C35" s="295">
        <v>-21.198191666666663</v>
      </c>
      <c r="D35" s="295">
        <v>-21.198191666666663</v>
      </c>
      <c r="E35" s="295">
        <v>-21.198191666666659</v>
      </c>
      <c r="F35" s="295">
        <v>-21.198191666666659</v>
      </c>
      <c r="G35" s="295">
        <v>-21.198191666666663</v>
      </c>
      <c r="H35" s="295">
        <v>-21.198191666666666</v>
      </c>
      <c r="I35" s="295">
        <v>-21.198191666666663</v>
      </c>
      <c r="J35" s="295">
        <v>-21.198191666666659</v>
      </c>
      <c r="K35" s="295">
        <v>-21.19819166666667</v>
      </c>
      <c r="L35" s="295">
        <v>-21.19819166666667</v>
      </c>
      <c r="M35" s="295">
        <v>-21.198191666666663</v>
      </c>
      <c r="N35" s="295">
        <v>-21.198191666666663</v>
      </c>
      <c r="O35" s="295">
        <v>-21.198191666666663</v>
      </c>
      <c r="P35" s="295">
        <v>-21.198191666666663</v>
      </c>
      <c r="Q35" s="295">
        <v>-21.198191666666663</v>
      </c>
      <c r="R35" s="295">
        <v>-21.198191666666663</v>
      </c>
      <c r="S35" s="295">
        <v>-21.198191666666663</v>
      </c>
      <c r="T35" s="295">
        <v>-21.198191666666663</v>
      </c>
      <c r="U35" s="295">
        <v>-21.198191666666663</v>
      </c>
      <c r="V35" s="295">
        <v>-21.198191666666663</v>
      </c>
      <c r="W35" s="295">
        <v>-21.198191666666663</v>
      </c>
      <c r="X35" s="295">
        <v>-21.198191666666663</v>
      </c>
      <c r="Y35" s="295">
        <v>-21.198191666666663</v>
      </c>
      <c r="Z35" s="295">
        <v>-21.198191666666663</v>
      </c>
      <c r="AA35" s="306">
        <v>-21.198191666666663</v>
      </c>
      <c r="AB35" s="153"/>
      <c r="AC35" s="153"/>
      <c r="AD35" s="153"/>
      <c r="AE35" s="153"/>
      <c r="AF35" s="153"/>
      <c r="AG35" s="153"/>
      <c r="AH35" s="153"/>
      <c r="AI35" s="153"/>
      <c r="AJ35" s="153"/>
      <c r="AK35" s="153"/>
      <c r="AL35" s="153"/>
      <c r="AM35" s="153"/>
      <c r="AN35" s="153"/>
      <c r="AO35" s="153"/>
      <c r="AP35" s="153"/>
      <c r="AQ35" s="153"/>
      <c r="AR35" s="153"/>
      <c r="AS35" s="153"/>
      <c r="AT35" s="153"/>
      <c r="AU35" s="153"/>
      <c r="AV35" s="153"/>
      <c r="AW35" s="153"/>
      <c r="AX35" s="153"/>
      <c r="AY35" s="153"/>
      <c r="AZ35" s="153"/>
      <c r="BA35" s="153"/>
      <c r="BB35" s="153"/>
      <c r="BC35" s="153"/>
      <c r="BD35" s="153"/>
      <c r="BE35" s="153"/>
      <c r="BF35" s="153"/>
      <c r="BG35" s="153"/>
      <c r="BH35" s="153"/>
      <c r="BI35" s="153"/>
      <c r="BJ35" s="153"/>
      <c r="BK35" s="153"/>
      <c r="BL35" s="153"/>
      <c r="BM35" s="153"/>
      <c r="BN35" s="153"/>
      <c r="BO35" s="153"/>
      <c r="BP35" s="153"/>
      <c r="BQ35" s="153"/>
      <c r="BR35" s="153"/>
      <c r="BS35" s="153"/>
      <c r="BT35" s="153"/>
      <c r="BU35" s="153"/>
      <c r="BV35" s="153"/>
      <c r="BW35" s="153"/>
      <c r="BX35" s="153"/>
      <c r="BY35" s="153"/>
      <c r="BZ35" s="153"/>
      <c r="CA35" s="153"/>
      <c r="CB35" s="153"/>
      <c r="CC35" s="153"/>
      <c r="CD35" s="153"/>
      <c r="CE35" s="153"/>
      <c r="CF35" s="153"/>
      <c r="CG35" s="153"/>
      <c r="CH35" s="153"/>
      <c r="CI35" s="153"/>
      <c r="CJ35" s="153"/>
      <c r="CK35" s="153"/>
      <c r="CL35" s="153"/>
      <c r="CM35" s="153"/>
      <c r="CN35" s="153"/>
      <c r="CO35" s="153"/>
      <c r="CP35" s="153"/>
      <c r="CQ35" s="153"/>
      <c r="CR35" s="153"/>
      <c r="CS35" s="153"/>
      <c r="CT35" s="153"/>
      <c r="CU35" s="153"/>
      <c r="CV35" s="153"/>
      <c r="CW35" s="153"/>
      <c r="CX35" s="153"/>
      <c r="CY35" s="153"/>
      <c r="CZ35" s="153"/>
      <c r="DA35" s="153"/>
      <c r="DB35" s="153"/>
      <c r="DC35" s="153"/>
      <c r="DD35" s="153"/>
      <c r="DE35" s="153"/>
      <c r="DF35" s="153"/>
      <c r="DG35" s="153"/>
      <c r="DH35" s="153"/>
      <c r="DI35" s="153"/>
      <c r="DJ35" s="153"/>
      <c r="DK35" s="153"/>
      <c r="DL35" s="153"/>
      <c r="DM35" s="153"/>
      <c r="DN35" s="153"/>
      <c r="DO35" s="153"/>
      <c r="DP35" s="153"/>
      <c r="DQ35" s="153"/>
      <c r="DR35" s="153"/>
      <c r="DS35" s="153"/>
      <c r="DT35" s="153"/>
      <c r="DU35" s="153"/>
      <c r="DV35" s="153"/>
      <c r="DW35" s="153"/>
      <c r="DX35" s="153"/>
      <c r="DY35" s="153"/>
      <c r="DZ35" s="153"/>
      <c r="EA35" s="153"/>
      <c r="EB35" s="153"/>
      <c r="EC35" s="153"/>
      <c r="ED35" s="153"/>
      <c r="EE35" s="153"/>
      <c r="EF35" s="153"/>
      <c r="EG35" s="153"/>
      <c r="EH35" s="153"/>
      <c r="EI35" s="153"/>
      <c r="EJ35" s="153"/>
      <c r="EK35" s="153"/>
      <c r="EL35" s="153"/>
      <c r="EM35" s="153"/>
      <c r="EN35" s="153"/>
      <c r="EO35" s="153"/>
      <c r="EP35" s="153"/>
      <c r="EQ35" s="153"/>
      <c r="ER35" s="153"/>
      <c r="ES35" s="153"/>
      <c r="ET35" s="153"/>
      <c r="EU35" s="153"/>
      <c r="EV35" s="153"/>
      <c r="EW35" s="153"/>
      <c r="EX35" s="153"/>
      <c r="EY35" s="153"/>
      <c r="EZ35" s="153"/>
      <c r="FA35" s="153"/>
      <c r="FB35" s="153"/>
    </row>
    <row r="36" spans="1:158" s="294" customFormat="1" x14ac:dyDescent="0.3">
      <c r="A36" s="305" t="s">
        <v>143</v>
      </c>
      <c r="B36" s="295">
        <v>-21.198191666666666</v>
      </c>
      <c r="C36" s="295">
        <v>-21.198191666666666</v>
      </c>
      <c r="D36" s="295">
        <v>-21.198191666666663</v>
      </c>
      <c r="E36" s="295">
        <v>-21.198191666666663</v>
      </c>
      <c r="F36" s="295">
        <v>-21.198191666666663</v>
      </c>
      <c r="G36" s="295">
        <v>-21.198191666666666</v>
      </c>
      <c r="H36" s="295">
        <v>-21.198191666666666</v>
      </c>
      <c r="I36" s="295">
        <v>-21.198191666666663</v>
      </c>
      <c r="J36" s="295">
        <v>-21.198191666666663</v>
      </c>
      <c r="K36" s="295">
        <v>-21.198191666666666</v>
      </c>
      <c r="L36" s="295">
        <v>-21.198191666666666</v>
      </c>
      <c r="M36" s="295">
        <v>-21.198191666666663</v>
      </c>
      <c r="N36" s="295">
        <v>-21.198191666666663</v>
      </c>
      <c r="O36" s="295">
        <v>-21.198191666666663</v>
      </c>
      <c r="P36" s="295">
        <v>-21.198191666666663</v>
      </c>
      <c r="Q36" s="295">
        <v>-21.198191666666663</v>
      </c>
      <c r="R36" s="295">
        <v>-21.198191666666663</v>
      </c>
      <c r="S36" s="295">
        <v>-21.198191666666663</v>
      </c>
      <c r="T36" s="295">
        <v>-21.198191666666663</v>
      </c>
      <c r="U36" s="295">
        <v>-21.198191666666663</v>
      </c>
      <c r="V36" s="295">
        <v>-21.198191666666663</v>
      </c>
      <c r="W36" s="295">
        <v>-21.198191666666663</v>
      </c>
      <c r="X36" s="295">
        <v>-21.198191666666663</v>
      </c>
      <c r="Y36" s="295">
        <v>-21.198191666666663</v>
      </c>
      <c r="Z36" s="295">
        <v>-21.198191666666663</v>
      </c>
      <c r="AA36" s="306">
        <v>-21.198191666666663</v>
      </c>
      <c r="AB36" s="153"/>
      <c r="AC36" s="153"/>
      <c r="AD36" s="153"/>
      <c r="AE36" s="153"/>
      <c r="AF36" s="153"/>
      <c r="AG36" s="153"/>
      <c r="AH36" s="153"/>
      <c r="AI36" s="153"/>
      <c r="AJ36" s="153"/>
      <c r="AK36" s="153"/>
      <c r="AL36" s="153"/>
      <c r="AM36" s="153"/>
      <c r="AN36" s="153"/>
      <c r="AO36" s="153"/>
      <c r="AP36" s="153"/>
      <c r="AQ36" s="153"/>
      <c r="AR36" s="153"/>
      <c r="AS36" s="153"/>
      <c r="AT36" s="153"/>
      <c r="AU36" s="153"/>
      <c r="AV36" s="153"/>
      <c r="AW36" s="153"/>
      <c r="AX36" s="153"/>
      <c r="AY36" s="153"/>
      <c r="AZ36" s="153"/>
      <c r="BA36" s="153"/>
      <c r="BB36" s="153"/>
      <c r="BC36" s="153"/>
      <c r="BD36" s="153"/>
      <c r="BE36" s="153"/>
      <c r="BF36" s="153"/>
      <c r="BG36" s="153"/>
      <c r="BH36" s="153"/>
      <c r="BI36" s="153"/>
      <c r="BJ36" s="153"/>
      <c r="BK36" s="153"/>
      <c r="BL36" s="153"/>
      <c r="BM36" s="153"/>
      <c r="BN36" s="153"/>
      <c r="BO36" s="153"/>
      <c r="BP36" s="153"/>
      <c r="BQ36" s="153"/>
      <c r="BR36" s="153"/>
      <c r="BS36" s="153"/>
      <c r="BT36" s="153"/>
      <c r="BU36" s="153"/>
      <c r="BV36" s="153"/>
      <c r="BW36" s="153"/>
      <c r="BX36" s="153"/>
      <c r="BY36" s="153"/>
      <c r="BZ36" s="153"/>
      <c r="CA36" s="153"/>
      <c r="CB36" s="153"/>
      <c r="CC36" s="153"/>
      <c r="CD36" s="153"/>
      <c r="CE36" s="153"/>
      <c r="CF36" s="153"/>
      <c r="CG36" s="153"/>
      <c r="CH36" s="153"/>
      <c r="CI36" s="153"/>
      <c r="CJ36" s="153"/>
      <c r="CK36" s="153"/>
      <c r="CL36" s="153"/>
      <c r="CM36" s="153"/>
      <c r="CN36" s="153"/>
      <c r="CO36" s="153"/>
      <c r="CP36" s="153"/>
      <c r="CQ36" s="153"/>
      <c r="CR36" s="153"/>
      <c r="CS36" s="153"/>
      <c r="CT36" s="153"/>
      <c r="CU36" s="153"/>
      <c r="CV36" s="153"/>
      <c r="CW36" s="153"/>
      <c r="CX36" s="153"/>
      <c r="CY36" s="153"/>
      <c r="CZ36" s="153"/>
      <c r="DA36" s="153"/>
      <c r="DB36" s="153"/>
      <c r="DC36" s="153"/>
      <c r="DD36" s="153"/>
      <c r="DE36" s="153"/>
      <c r="DF36" s="153"/>
      <c r="DG36" s="153"/>
      <c r="DH36" s="153"/>
      <c r="DI36" s="153"/>
      <c r="DJ36" s="153"/>
      <c r="DK36" s="153"/>
      <c r="DL36" s="153"/>
      <c r="DM36" s="153"/>
      <c r="DN36" s="153"/>
      <c r="DO36" s="153"/>
      <c r="DP36" s="153"/>
      <c r="DQ36" s="153"/>
      <c r="DR36" s="153"/>
      <c r="DS36" s="153"/>
      <c r="DT36" s="153"/>
      <c r="DU36" s="153"/>
      <c r="DV36" s="153"/>
      <c r="DW36" s="153"/>
      <c r="DX36" s="153"/>
      <c r="DY36" s="153"/>
      <c r="DZ36" s="153"/>
      <c r="EA36" s="153"/>
      <c r="EB36" s="153"/>
      <c r="EC36" s="153"/>
      <c r="ED36" s="153"/>
      <c r="EE36" s="153"/>
      <c r="EF36" s="153"/>
      <c r="EG36" s="153"/>
      <c r="EH36" s="153"/>
      <c r="EI36" s="153"/>
      <c r="EJ36" s="153"/>
      <c r="EK36" s="153"/>
      <c r="EL36" s="153"/>
      <c r="EM36" s="153"/>
      <c r="EN36" s="153"/>
      <c r="EO36" s="153"/>
      <c r="EP36" s="153"/>
      <c r="EQ36" s="153"/>
      <c r="ER36" s="153"/>
      <c r="ES36" s="153"/>
      <c r="ET36" s="153"/>
      <c r="EU36" s="153"/>
      <c r="EV36" s="153"/>
      <c r="EW36" s="153"/>
      <c r="EX36" s="153"/>
      <c r="EY36" s="153"/>
      <c r="EZ36" s="153"/>
      <c r="FA36" s="153"/>
      <c r="FB36" s="153"/>
    </row>
    <row r="37" spans="1:158" s="294" customFormat="1" x14ac:dyDescent="0.3">
      <c r="A37" s="305" t="s">
        <v>144</v>
      </c>
      <c r="B37" s="295">
        <v>-21.198191666666659</v>
      </c>
      <c r="C37" s="295">
        <v>-21.198191666666663</v>
      </c>
      <c r="D37" s="295">
        <v>-21.198191666666663</v>
      </c>
      <c r="E37" s="295">
        <v>-21.198191666666663</v>
      </c>
      <c r="F37" s="295">
        <v>-21.198191666666666</v>
      </c>
      <c r="G37" s="295">
        <v>-21.198191666666666</v>
      </c>
      <c r="H37" s="295">
        <v>-21.198191666666666</v>
      </c>
      <c r="I37" s="295">
        <v>-21.198191666666663</v>
      </c>
      <c r="J37" s="295">
        <v>-21.198191666666663</v>
      </c>
      <c r="K37" s="295">
        <v>-21.19819166666667</v>
      </c>
      <c r="L37" s="295">
        <v>-21.19819166666667</v>
      </c>
      <c r="M37" s="295">
        <v>-21.198191666666666</v>
      </c>
      <c r="N37" s="295">
        <v>-21.198191666666666</v>
      </c>
      <c r="O37" s="295">
        <v>-21.198191666666666</v>
      </c>
      <c r="P37" s="295">
        <v>-21.198191666666666</v>
      </c>
      <c r="Q37" s="295">
        <v>-21.198191666666666</v>
      </c>
      <c r="R37" s="295">
        <v>-21.198191666666666</v>
      </c>
      <c r="S37" s="295">
        <v>-21.198191666666666</v>
      </c>
      <c r="T37" s="295">
        <v>-21.198191666666666</v>
      </c>
      <c r="U37" s="295">
        <v>-21.198191666666666</v>
      </c>
      <c r="V37" s="295">
        <v>-21.198191666666666</v>
      </c>
      <c r="W37" s="295">
        <v>-21.198191666666666</v>
      </c>
      <c r="X37" s="295">
        <v>-21.198191666666666</v>
      </c>
      <c r="Y37" s="295">
        <v>-21.198191666666666</v>
      </c>
      <c r="Z37" s="295">
        <v>-21.198191666666666</v>
      </c>
      <c r="AA37" s="306">
        <v>-21.198191666666666</v>
      </c>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c r="BQ37" s="153"/>
      <c r="BR37" s="153"/>
      <c r="BS37" s="153"/>
      <c r="BT37" s="153"/>
      <c r="BU37" s="153"/>
      <c r="BV37" s="153"/>
      <c r="BW37" s="153"/>
      <c r="BX37" s="153"/>
      <c r="BY37" s="153"/>
      <c r="BZ37" s="153"/>
      <c r="CA37" s="153"/>
      <c r="CB37" s="153"/>
      <c r="CC37" s="153"/>
      <c r="CD37" s="153"/>
      <c r="CE37" s="153"/>
      <c r="CF37" s="153"/>
      <c r="CG37" s="153"/>
      <c r="CH37" s="153"/>
      <c r="CI37" s="153"/>
      <c r="CJ37" s="153"/>
      <c r="CK37" s="153"/>
      <c r="CL37" s="153"/>
      <c r="CM37" s="153"/>
      <c r="CN37" s="153"/>
      <c r="CO37" s="153"/>
      <c r="CP37" s="153"/>
      <c r="CQ37" s="153"/>
      <c r="CR37" s="153"/>
      <c r="CS37" s="153"/>
      <c r="CT37" s="153"/>
      <c r="CU37" s="153"/>
      <c r="CV37" s="153"/>
      <c r="CW37" s="153"/>
      <c r="CX37" s="153"/>
      <c r="CY37" s="153"/>
      <c r="CZ37" s="153"/>
      <c r="DA37" s="153"/>
      <c r="DB37" s="153"/>
      <c r="DC37" s="153"/>
      <c r="DD37" s="153"/>
      <c r="DE37" s="153"/>
      <c r="DF37" s="153"/>
      <c r="DG37" s="153"/>
      <c r="DH37" s="153"/>
      <c r="DI37" s="153"/>
      <c r="DJ37" s="153"/>
      <c r="DK37" s="153"/>
      <c r="DL37" s="153"/>
      <c r="DM37" s="153"/>
      <c r="DN37" s="153"/>
      <c r="DO37" s="153"/>
      <c r="DP37" s="153"/>
      <c r="DQ37" s="153"/>
      <c r="DR37" s="153"/>
      <c r="DS37" s="153"/>
      <c r="DT37" s="153"/>
      <c r="DU37" s="153"/>
      <c r="DV37" s="153"/>
      <c r="DW37" s="153"/>
      <c r="DX37" s="153"/>
      <c r="DY37" s="153"/>
      <c r="DZ37" s="153"/>
      <c r="EA37" s="153"/>
      <c r="EB37" s="153"/>
      <c r="EC37" s="153"/>
      <c r="ED37" s="153"/>
      <c r="EE37" s="153"/>
      <c r="EF37" s="153"/>
      <c r="EG37" s="153"/>
      <c r="EH37" s="153"/>
      <c r="EI37" s="153"/>
      <c r="EJ37" s="153"/>
      <c r="EK37" s="153"/>
      <c r="EL37" s="153"/>
      <c r="EM37" s="153"/>
      <c r="EN37" s="153"/>
      <c r="EO37" s="153"/>
      <c r="EP37" s="153"/>
      <c r="EQ37" s="153"/>
      <c r="ER37" s="153"/>
      <c r="ES37" s="153"/>
      <c r="ET37" s="153"/>
      <c r="EU37" s="153"/>
      <c r="EV37" s="153"/>
      <c r="EW37" s="153"/>
      <c r="EX37" s="153"/>
      <c r="EY37" s="153"/>
      <c r="EZ37" s="153"/>
      <c r="FA37" s="153"/>
      <c r="FB37" s="153"/>
    </row>
    <row r="38" spans="1:158" s="294" customFormat="1" x14ac:dyDescent="0.3">
      <c r="A38" s="305" t="s">
        <v>145</v>
      </c>
      <c r="B38" s="295">
        <v>-21.198191666666659</v>
      </c>
      <c r="C38" s="295">
        <v>-21.198191666666663</v>
      </c>
      <c r="D38" s="295">
        <v>-21.198191666666663</v>
      </c>
      <c r="E38" s="295">
        <v>-21.198191666666663</v>
      </c>
      <c r="F38" s="295">
        <v>-21.198191666666663</v>
      </c>
      <c r="G38" s="295">
        <v>-21.198191666666659</v>
      </c>
      <c r="H38" s="295">
        <v>-21.198191666666663</v>
      </c>
      <c r="I38" s="295">
        <v>-21.198191666666663</v>
      </c>
      <c r="J38" s="295">
        <v>-21.198191666666659</v>
      </c>
      <c r="K38" s="295">
        <v>-21.198191666666666</v>
      </c>
      <c r="L38" s="295">
        <v>-21.198191666666666</v>
      </c>
      <c r="M38" s="295">
        <v>-21.198191666666666</v>
      </c>
      <c r="N38" s="295">
        <v>-21.198191666666666</v>
      </c>
      <c r="O38" s="295">
        <v>-21.198191666666666</v>
      </c>
      <c r="P38" s="295">
        <v>-21.198191666666666</v>
      </c>
      <c r="Q38" s="295">
        <v>-21.198191666666666</v>
      </c>
      <c r="R38" s="295">
        <v>-21.198191666666666</v>
      </c>
      <c r="S38" s="295">
        <v>-21.198191666666666</v>
      </c>
      <c r="T38" s="295">
        <v>-21.198191666666666</v>
      </c>
      <c r="U38" s="295">
        <v>-21.198191666666666</v>
      </c>
      <c r="V38" s="295">
        <v>-21.198191666666666</v>
      </c>
      <c r="W38" s="295">
        <v>-21.198191666666666</v>
      </c>
      <c r="X38" s="295">
        <v>-21.198191666666666</v>
      </c>
      <c r="Y38" s="295">
        <v>-21.198191666666666</v>
      </c>
      <c r="Z38" s="295">
        <v>-21.198191666666666</v>
      </c>
      <c r="AA38" s="306">
        <v>-21.198191666666666</v>
      </c>
      <c r="AB38" s="153"/>
      <c r="AC38" s="153"/>
      <c r="AD38" s="153"/>
      <c r="AE38" s="153"/>
      <c r="AF38" s="153"/>
      <c r="AG38" s="153"/>
      <c r="AH38" s="153"/>
      <c r="AI38" s="153"/>
      <c r="AJ38" s="153"/>
      <c r="AK38" s="153"/>
      <c r="AL38" s="153"/>
      <c r="AM38" s="153"/>
      <c r="AN38" s="153"/>
      <c r="AO38" s="153"/>
      <c r="AP38" s="153"/>
      <c r="AQ38" s="153"/>
      <c r="AR38" s="153"/>
      <c r="AS38" s="153"/>
      <c r="AT38" s="153"/>
      <c r="AU38" s="153"/>
      <c r="AV38" s="153"/>
      <c r="AW38" s="153"/>
      <c r="AX38" s="153"/>
      <c r="AY38" s="153"/>
      <c r="AZ38" s="153"/>
      <c r="BA38" s="153"/>
      <c r="BB38" s="153"/>
      <c r="BC38" s="153"/>
      <c r="BD38" s="153"/>
      <c r="BE38" s="153"/>
      <c r="BF38" s="153"/>
      <c r="BG38" s="153"/>
      <c r="BH38" s="153"/>
      <c r="BI38" s="153"/>
      <c r="BJ38" s="153"/>
      <c r="BK38" s="153"/>
      <c r="BL38" s="153"/>
      <c r="BM38" s="153"/>
      <c r="BN38" s="153"/>
      <c r="BO38" s="153"/>
      <c r="BP38" s="153"/>
      <c r="BQ38" s="153"/>
      <c r="BR38" s="153"/>
      <c r="BS38" s="153"/>
      <c r="BT38" s="153"/>
      <c r="BU38" s="153"/>
      <c r="BV38" s="153"/>
      <c r="BW38" s="153"/>
      <c r="BX38" s="153"/>
      <c r="BY38" s="153"/>
      <c r="BZ38" s="153"/>
      <c r="CA38" s="153"/>
      <c r="CB38" s="153"/>
      <c r="CC38" s="153"/>
      <c r="CD38" s="153"/>
      <c r="CE38" s="153"/>
      <c r="CF38" s="153"/>
      <c r="CG38" s="153"/>
      <c r="CH38" s="153"/>
      <c r="CI38" s="153"/>
      <c r="CJ38" s="153"/>
      <c r="CK38" s="153"/>
      <c r="CL38" s="153"/>
      <c r="CM38" s="153"/>
      <c r="CN38" s="153"/>
      <c r="CO38" s="153"/>
      <c r="CP38" s="153"/>
      <c r="CQ38" s="153"/>
      <c r="CR38" s="153"/>
      <c r="CS38" s="153"/>
      <c r="CT38" s="153"/>
      <c r="CU38" s="153"/>
      <c r="CV38" s="153"/>
      <c r="CW38" s="153"/>
      <c r="CX38" s="153"/>
      <c r="CY38" s="153"/>
      <c r="CZ38" s="153"/>
      <c r="DA38" s="153"/>
      <c r="DB38" s="153"/>
      <c r="DC38" s="153"/>
      <c r="DD38" s="153"/>
      <c r="DE38" s="153"/>
      <c r="DF38" s="153"/>
      <c r="DG38" s="153"/>
      <c r="DH38" s="153"/>
      <c r="DI38" s="153"/>
      <c r="DJ38" s="153"/>
      <c r="DK38" s="153"/>
      <c r="DL38" s="153"/>
      <c r="DM38" s="153"/>
      <c r="DN38" s="153"/>
      <c r="DO38" s="153"/>
      <c r="DP38" s="153"/>
      <c r="DQ38" s="153"/>
      <c r="DR38" s="153"/>
      <c r="DS38" s="153"/>
      <c r="DT38" s="153"/>
      <c r="DU38" s="153"/>
      <c r="DV38" s="153"/>
      <c r="DW38" s="153"/>
      <c r="DX38" s="153"/>
      <c r="DY38" s="153"/>
      <c r="DZ38" s="153"/>
      <c r="EA38" s="153"/>
      <c r="EB38" s="153"/>
      <c r="EC38" s="153"/>
      <c r="ED38" s="153"/>
      <c r="EE38" s="153"/>
      <c r="EF38" s="153"/>
      <c r="EG38" s="153"/>
      <c r="EH38" s="153"/>
      <c r="EI38" s="153"/>
      <c r="EJ38" s="153"/>
      <c r="EK38" s="153"/>
      <c r="EL38" s="153"/>
      <c r="EM38" s="153"/>
      <c r="EN38" s="153"/>
      <c r="EO38" s="153"/>
      <c r="EP38" s="153"/>
      <c r="EQ38" s="153"/>
      <c r="ER38" s="153"/>
      <c r="ES38" s="153"/>
      <c r="ET38" s="153"/>
      <c r="EU38" s="153"/>
      <c r="EV38" s="153"/>
      <c r="EW38" s="153"/>
      <c r="EX38" s="153"/>
      <c r="EY38" s="153"/>
      <c r="EZ38" s="153"/>
      <c r="FA38" s="153"/>
      <c r="FB38" s="153"/>
    </row>
    <row r="39" spans="1:158" s="294" customFormat="1" x14ac:dyDescent="0.3">
      <c r="A39" s="305" t="s">
        <v>146</v>
      </c>
      <c r="B39" s="295">
        <v>-21.198191666666659</v>
      </c>
      <c r="C39" s="295">
        <v>-21.198191666666663</v>
      </c>
      <c r="D39" s="295">
        <v>-21.198191666666663</v>
      </c>
      <c r="E39" s="295">
        <v>-21.198191666666666</v>
      </c>
      <c r="F39" s="295">
        <v>-21.198191666666663</v>
      </c>
      <c r="G39" s="295">
        <v>-21.198191666666663</v>
      </c>
      <c r="H39" s="295">
        <v>-21.198191666666666</v>
      </c>
      <c r="I39" s="295">
        <v>-21.198191666666666</v>
      </c>
      <c r="J39" s="295">
        <v>-21.198191666666659</v>
      </c>
      <c r="K39" s="295">
        <v>-21.198191666666666</v>
      </c>
      <c r="L39" s="295">
        <v>-21.198191666666666</v>
      </c>
      <c r="M39" s="295">
        <v>-21.198191666666666</v>
      </c>
      <c r="N39" s="295">
        <v>-21.198191666666666</v>
      </c>
      <c r="O39" s="295">
        <v>-21.198191666666666</v>
      </c>
      <c r="P39" s="295">
        <v>-21.198191666666666</v>
      </c>
      <c r="Q39" s="295">
        <v>-21.198191666666666</v>
      </c>
      <c r="R39" s="295">
        <v>-21.198191666666666</v>
      </c>
      <c r="S39" s="295">
        <v>-21.198191666666666</v>
      </c>
      <c r="T39" s="295">
        <v>-21.198191666666666</v>
      </c>
      <c r="U39" s="295">
        <v>-21.198191666666666</v>
      </c>
      <c r="V39" s="295">
        <v>-21.198191666666666</v>
      </c>
      <c r="W39" s="295">
        <v>-21.198191666666666</v>
      </c>
      <c r="X39" s="295">
        <v>-21.198191666666666</v>
      </c>
      <c r="Y39" s="295">
        <v>-21.198191666666666</v>
      </c>
      <c r="Z39" s="295">
        <v>-21.198191666666666</v>
      </c>
      <c r="AA39" s="306">
        <v>-21.198191666666666</v>
      </c>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3"/>
      <c r="AZ39" s="153"/>
      <c r="BA39" s="153"/>
      <c r="BB39" s="153"/>
      <c r="BC39" s="153"/>
      <c r="BD39" s="153"/>
      <c r="BE39" s="153"/>
      <c r="BF39" s="153"/>
      <c r="BG39" s="153"/>
      <c r="BH39" s="153"/>
      <c r="BI39" s="153"/>
      <c r="BJ39" s="153"/>
      <c r="BK39" s="153"/>
      <c r="BL39" s="153"/>
      <c r="BM39" s="153"/>
      <c r="BN39" s="153"/>
      <c r="BO39" s="153"/>
      <c r="BP39" s="153"/>
      <c r="BQ39" s="153"/>
      <c r="BR39" s="153"/>
      <c r="BS39" s="153"/>
      <c r="BT39" s="153"/>
      <c r="BU39" s="153"/>
      <c r="BV39" s="153"/>
      <c r="BW39" s="153"/>
      <c r="BX39" s="153"/>
      <c r="BY39" s="153"/>
      <c r="BZ39" s="153"/>
      <c r="CA39" s="153"/>
      <c r="CB39" s="153"/>
      <c r="CC39" s="153"/>
      <c r="CD39" s="153"/>
      <c r="CE39" s="153"/>
      <c r="CF39" s="153"/>
      <c r="CG39" s="153"/>
      <c r="CH39" s="153"/>
      <c r="CI39" s="153"/>
      <c r="CJ39" s="153"/>
      <c r="CK39" s="153"/>
      <c r="CL39" s="153"/>
      <c r="CM39" s="153"/>
      <c r="CN39" s="153"/>
      <c r="CO39" s="153"/>
      <c r="CP39" s="153"/>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153"/>
      <c r="EC39" s="153"/>
      <c r="ED39" s="153"/>
      <c r="EE39" s="153"/>
      <c r="EF39" s="153"/>
      <c r="EG39" s="153"/>
      <c r="EH39" s="153"/>
      <c r="EI39" s="153"/>
      <c r="EJ39" s="153"/>
      <c r="EK39" s="153"/>
      <c r="EL39" s="153"/>
      <c r="EM39" s="153"/>
      <c r="EN39" s="153"/>
      <c r="EO39" s="153"/>
      <c r="EP39" s="153"/>
      <c r="EQ39" s="153"/>
      <c r="ER39" s="153"/>
      <c r="ES39" s="153"/>
      <c r="ET39" s="153"/>
      <c r="EU39" s="153"/>
      <c r="EV39" s="153"/>
      <c r="EW39" s="153"/>
      <c r="EX39" s="153"/>
      <c r="EY39" s="153"/>
      <c r="EZ39" s="153"/>
      <c r="FA39" s="153"/>
      <c r="FB39" s="153"/>
    </row>
    <row r="40" spans="1:158" s="294" customFormat="1" x14ac:dyDescent="0.3">
      <c r="A40" s="305" t="s">
        <v>147</v>
      </c>
      <c r="B40" s="295">
        <v>-21.198191666666663</v>
      </c>
      <c r="C40" s="295">
        <v>-21.198191666666659</v>
      </c>
      <c r="D40" s="295">
        <v>-21.198191666666659</v>
      </c>
      <c r="E40" s="295">
        <v>-21.198191666666663</v>
      </c>
      <c r="F40" s="295">
        <v>-21.198191666666663</v>
      </c>
      <c r="G40" s="295">
        <v>-21.198191666666663</v>
      </c>
      <c r="H40" s="295">
        <v>-21.19819166666667</v>
      </c>
      <c r="I40" s="295">
        <v>-21.198191666666663</v>
      </c>
      <c r="J40" s="295">
        <v>-21.198191666666659</v>
      </c>
      <c r="K40" s="295">
        <v>-21.198191666666666</v>
      </c>
      <c r="L40" s="295">
        <v>-21.198191666666666</v>
      </c>
      <c r="M40" s="295">
        <v>-21.198191666666666</v>
      </c>
      <c r="N40" s="295">
        <v>-21.198191666666666</v>
      </c>
      <c r="O40" s="295">
        <v>-21.198191666666666</v>
      </c>
      <c r="P40" s="295">
        <v>-21.198191666666666</v>
      </c>
      <c r="Q40" s="295">
        <v>-21.198191666666666</v>
      </c>
      <c r="R40" s="295">
        <v>-21.198191666666666</v>
      </c>
      <c r="S40" s="295">
        <v>-21.198191666666666</v>
      </c>
      <c r="T40" s="295">
        <v>-21.198191666666666</v>
      </c>
      <c r="U40" s="295">
        <v>-21.198191666666666</v>
      </c>
      <c r="V40" s="295">
        <v>-21.198191666666666</v>
      </c>
      <c r="W40" s="295">
        <v>-21.198191666666666</v>
      </c>
      <c r="X40" s="295">
        <v>-21.198191666666666</v>
      </c>
      <c r="Y40" s="295">
        <v>-21.198191666666666</v>
      </c>
      <c r="Z40" s="295">
        <v>-21.198191666666666</v>
      </c>
      <c r="AA40" s="306">
        <v>-21.198191666666666</v>
      </c>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3"/>
      <c r="AZ40" s="153"/>
      <c r="BA40" s="153"/>
      <c r="BB40" s="153"/>
      <c r="BC40" s="153"/>
      <c r="BD40" s="153"/>
      <c r="BE40" s="153"/>
      <c r="BF40" s="153"/>
      <c r="BG40" s="153"/>
      <c r="BH40" s="153"/>
      <c r="BI40" s="153"/>
      <c r="BJ40" s="153"/>
      <c r="BK40" s="153"/>
      <c r="BL40" s="153"/>
      <c r="BM40" s="153"/>
      <c r="BN40" s="153"/>
      <c r="BO40" s="153"/>
      <c r="BP40" s="153"/>
      <c r="BQ40" s="153"/>
      <c r="BR40" s="153"/>
      <c r="BS40" s="153"/>
      <c r="BT40" s="153"/>
      <c r="BU40" s="153"/>
      <c r="BV40" s="153"/>
      <c r="BW40" s="153"/>
      <c r="BX40" s="153"/>
      <c r="BY40" s="153"/>
      <c r="BZ40" s="153"/>
      <c r="CA40" s="153"/>
      <c r="CB40" s="153"/>
      <c r="CC40" s="153"/>
      <c r="CD40" s="153"/>
      <c r="CE40" s="153"/>
      <c r="CF40" s="153"/>
      <c r="CG40" s="153"/>
      <c r="CH40" s="153"/>
      <c r="CI40" s="153"/>
      <c r="CJ40" s="153"/>
      <c r="CK40" s="153"/>
      <c r="CL40" s="153"/>
      <c r="CM40" s="153"/>
      <c r="CN40" s="153"/>
      <c r="CO40" s="153"/>
      <c r="CP40" s="153"/>
      <c r="CQ40" s="153"/>
      <c r="CR40" s="153"/>
      <c r="CS40" s="153"/>
      <c r="CT40" s="153"/>
      <c r="CU40" s="153"/>
      <c r="CV40" s="153"/>
      <c r="CW40" s="153"/>
      <c r="CX40" s="153"/>
      <c r="CY40" s="153"/>
      <c r="CZ40" s="153"/>
      <c r="DA40" s="153"/>
      <c r="DB40" s="153"/>
      <c r="DC40" s="153"/>
      <c r="DD40" s="153"/>
      <c r="DE40" s="153"/>
      <c r="DF40" s="153"/>
      <c r="DG40" s="153"/>
      <c r="DH40" s="153"/>
      <c r="DI40" s="153"/>
      <c r="DJ40" s="153"/>
      <c r="DK40" s="153"/>
      <c r="DL40" s="153"/>
      <c r="DM40" s="153"/>
      <c r="DN40" s="153"/>
      <c r="DO40" s="153"/>
      <c r="DP40" s="153"/>
      <c r="DQ40" s="153"/>
      <c r="DR40" s="153"/>
      <c r="DS40" s="153"/>
      <c r="DT40" s="153"/>
      <c r="DU40" s="153"/>
      <c r="DV40" s="153"/>
      <c r="DW40" s="153"/>
      <c r="DX40" s="153"/>
      <c r="DY40" s="153"/>
      <c r="DZ40" s="153"/>
      <c r="EA40" s="153"/>
      <c r="EB40" s="153"/>
      <c r="EC40" s="153"/>
      <c r="ED40" s="153"/>
      <c r="EE40" s="153"/>
      <c r="EF40" s="153"/>
      <c r="EG40" s="153"/>
      <c r="EH40" s="153"/>
      <c r="EI40" s="153"/>
      <c r="EJ40" s="153"/>
      <c r="EK40" s="153"/>
      <c r="EL40" s="153"/>
      <c r="EM40" s="153"/>
      <c r="EN40" s="153"/>
      <c r="EO40" s="153"/>
      <c r="EP40" s="153"/>
      <c r="EQ40" s="153"/>
      <c r="ER40" s="153"/>
      <c r="ES40" s="153"/>
      <c r="ET40" s="153"/>
      <c r="EU40" s="153"/>
      <c r="EV40" s="153"/>
      <c r="EW40" s="153"/>
      <c r="EX40" s="153"/>
      <c r="EY40" s="153"/>
      <c r="EZ40" s="153"/>
      <c r="FA40" s="153"/>
      <c r="FB40" s="153"/>
    </row>
    <row r="41" spans="1:158" s="294" customFormat="1" ht="15" thickBot="1" x14ac:dyDescent="0.35">
      <c r="A41" s="307" t="s">
        <v>148</v>
      </c>
      <c r="B41" s="308">
        <v>-21.198191666666663</v>
      </c>
      <c r="C41" s="308">
        <v>-21.198191666666663</v>
      </c>
      <c r="D41" s="308">
        <v>-21.198191666666666</v>
      </c>
      <c r="E41" s="308">
        <v>-21.198191666666666</v>
      </c>
      <c r="F41" s="308">
        <v>-21.198191666666659</v>
      </c>
      <c r="G41" s="308">
        <v>-21.198191666666663</v>
      </c>
      <c r="H41" s="308">
        <v>-21.198191666666666</v>
      </c>
      <c r="I41" s="308">
        <v>-21.198191666666663</v>
      </c>
      <c r="J41" s="308">
        <v>-21.198191666666659</v>
      </c>
      <c r="K41" s="308">
        <v>-21.198191666666666</v>
      </c>
      <c r="L41" s="308">
        <v>-21.198191666666666</v>
      </c>
      <c r="M41" s="308">
        <v>-21.198191666666663</v>
      </c>
      <c r="N41" s="308">
        <v>-21.198191666666663</v>
      </c>
      <c r="O41" s="308">
        <v>-21.198191666666663</v>
      </c>
      <c r="P41" s="308">
        <v>-21.198191666666663</v>
      </c>
      <c r="Q41" s="308">
        <v>-21.198191666666663</v>
      </c>
      <c r="R41" s="308">
        <v>-21.198191666666663</v>
      </c>
      <c r="S41" s="308">
        <v>-21.198191666666663</v>
      </c>
      <c r="T41" s="308">
        <v>-21.198191666666663</v>
      </c>
      <c r="U41" s="308">
        <v>-21.198191666666663</v>
      </c>
      <c r="V41" s="308">
        <v>-21.198191666666663</v>
      </c>
      <c r="W41" s="308">
        <v>-21.198191666666663</v>
      </c>
      <c r="X41" s="308">
        <v>-21.198191666666663</v>
      </c>
      <c r="Y41" s="308">
        <v>-21.198191666666663</v>
      </c>
      <c r="Z41" s="308">
        <v>-21.198191666666663</v>
      </c>
      <c r="AA41" s="309">
        <v>-21.198191666666663</v>
      </c>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c r="BQ41" s="153"/>
      <c r="BR41" s="153"/>
      <c r="BS41" s="153"/>
      <c r="BT41" s="153"/>
      <c r="BU41" s="153"/>
      <c r="BV41" s="153"/>
      <c r="BW41" s="153"/>
      <c r="BX41" s="153"/>
      <c r="BY41" s="153"/>
      <c r="BZ41" s="153"/>
      <c r="CA41" s="153"/>
      <c r="CB41" s="153"/>
      <c r="CC41" s="153"/>
      <c r="CD41" s="153"/>
      <c r="CE41" s="153"/>
      <c r="CF41" s="153"/>
      <c r="CG41" s="153"/>
      <c r="CH41" s="153"/>
      <c r="CI41" s="153"/>
      <c r="CJ41" s="153"/>
      <c r="CK41" s="153"/>
      <c r="CL41" s="153"/>
      <c r="CM41" s="153"/>
      <c r="CN41" s="153"/>
      <c r="CO41" s="153"/>
      <c r="CP41" s="153"/>
      <c r="CQ41" s="153"/>
      <c r="CR41" s="153"/>
      <c r="CS41" s="153"/>
      <c r="CT41" s="153"/>
      <c r="CU41" s="153"/>
      <c r="CV41" s="153"/>
      <c r="CW41" s="153"/>
      <c r="CX41" s="153"/>
      <c r="CY41" s="153"/>
      <c r="CZ41" s="153"/>
      <c r="DA41" s="153"/>
      <c r="DB41" s="153"/>
      <c r="DC41" s="153"/>
      <c r="DD41" s="153"/>
      <c r="DE41" s="153"/>
      <c r="DF41" s="153"/>
      <c r="DG41" s="153"/>
      <c r="DH41" s="153"/>
      <c r="DI41" s="153"/>
      <c r="DJ41" s="153"/>
      <c r="DK41" s="153"/>
      <c r="DL41" s="153"/>
      <c r="DM41" s="153"/>
      <c r="DN41" s="153"/>
      <c r="DO41" s="153"/>
      <c r="DP41" s="153"/>
      <c r="DQ41" s="153"/>
      <c r="DR41" s="153"/>
      <c r="DS41" s="153"/>
      <c r="DT41" s="153"/>
      <c r="DU41" s="153"/>
      <c r="DV41" s="153"/>
      <c r="DW41" s="153"/>
      <c r="DX41" s="153"/>
      <c r="DY41" s="153"/>
      <c r="DZ41" s="153"/>
      <c r="EA41" s="153"/>
      <c r="EB41" s="153"/>
      <c r="EC41" s="153"/>
      <c r="ED41" s="153"/>
      <c r="EE41" s="153"/>
      <c r="EF41" s="153"/>
      <c r="EG41" s="153"/>
      <c r="EH41" s="153"/>
      <c r="EI41" s="153"/>
      <c r="EJ41" s="153"/>
      <c r="EK41" s="153"/>
      <c r="EL41" s="153"/>
      <c r="EM41" s="153"/>
      <c r="EN41" s="153"/>
      <c r="EO41" s="153"/>
      <c r="EP41" s="153"/>
      <c r="EQ41" s="153"/>
      <c r="ER41" s="153"/>
      <c r="ES41" s="153"/>
      <c r="ET41" s="153"/>
      <c r="EU41" s="153"/>
      <c r="EV41" s="153"/>
      <c r="EW41" s="153"/>
      <c r="EX41" s="153"/>
      <c r="EY41" s="153"/>
      <c r="EZ41" s="153"/>
      <c r="FA41" s="153"/>
      <c r="FB41" s="153"/>
    </row>
    <row r="42" spans="1:158" s="291" customFormat="1" x14ac:dyDescent="0.3">
      <c r="A42" s="296" t="s">
        <v>149</v>
      </c>
      <c r="B42" s="297">
        <v>-21.198191666666666</v>
      </c>
      <c r="C42" s="297">
        <v>-21.198191666666659</v>
      </c>
      <c r="D42" s="297">
        <v>-21.198191666666663</v>
      </c>
      <c r="E42" s="297">
        <v>-21.198191666666659</v>
      </c>
      <c r="F42" s="297">
        <v>-21.198191666666663</v>
      </c>
      <c r="G42" s="297">
        <v>-21.198191666666663</v>
      </c>
      <c r="H42" s="297">
        <v>-21.198191666666666</v>
      </c>
      <c r="I42" s="297">
        <v>-21.198191666666663</v>
      </c>
      <c r="J42" s="297">
        <v>-21.198191666666663</v>
      </c>
      <c r="K42" s="297">
        <v>-21.198191666666666</v>
      </c>
      <c r="L42" s="297">
        <v>-21.198191666666666</v>
      </c>
      <c r="M42" s="297">
        <v>-21.198191666666666</v>
      </c>
      <c r="N42" s="297">
        <v>-21.198191666666666</v>
      </c>
      <c r="O42" s="297">
        <v>-21.198191666666666</v>
      </c>
      <c r="P42" s="297">
        <v>-21.198191666666666</v>
      </c>
      <c r="Q42" s="297">
        <v>-21.198191666666666</v>
      </c>
      <c r="R42" s="297">
        <v>-21.198191666666666</v>
      </c>
      <c r="S42" s="297">
        <v>-21.198191666666666</v>
      </c>
      <c r="T42" s="297">
        <v>-21.198191666666666</v>
      </c>
      <c r="U42" s="297">
        <v>-21.198191666666666</v>
      </c>
      <c r="V42" s="297">
        <v>-21.198191666666666</v>
      </c>
      <c r="W42" s="297">
        <v>-21.198191666666666</v>
      </c>
      <c r="X42" s="297">
        <v>-21.198191666666666</v>
      </c>
      <c r="Y42" s="297">
        <v>-21.198191666666666</v>
      </c>
      <c r="Z42" s="297">
        <v>-21.198191666666666</v>
      </c>
      <c r="AA42" s="310">
        <v>-21.198191666666666</v>
      </c>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c r="BQ42" s="153"/>
      <c r="BR42" s="153"/>
      <c r="BS42" s="153"/>
      <c r="BT42" s="153"/>
      <c r="BU42" s="153"/>
      <c r="BV42" s="153"/>
      <c r="BW42" s="153"/>
      <c r="BX42" s="153"/>
      <c r="BY42" s="153"/>
      <c r="BZ42" s="153"/>
      <c r="CA42" s="153"/>
      <c r="CB42" s="153"/>
      <c r="CC42" s="153"/>
      <c r="CD42" s="153"/>
      <c r="CE42" s="153"/>
      <c r="CF42" s="153"/>
      <c r="CG42" s="153"/>
      <c r="CH42" s="153"/>
      <c r="CI42" s="153"/>
      <c r="CJ42" s="153"/>
      <c r="CK42" s="153"/>
      <c r="CL42" s="153"/>
      <c r="CM42" s="153"/>
      <c r="CN42" s="153"/>
      <c r="CO42" s="153"/>
      <c r="CP42" s="153"/>
      <c r="CQ42" s="153"/>
      <c r="CR42" s="153"/>
      <c r="CS42" s="153"/>
      <c r="CT42" s="153"/>
      <c r="CU42" s="153"/>
      <c r="CV42" s="153"/>
      <c r="CW42" s="153"/>
      <c r="CX42" s="153"/>
      <c r="CY42" s="153"/>
      <c r="CZ42" s="153"/>
      <c r="DA42" s="153"/>
      <c r="DB42" s="153"/>
      <c r="DC42" s="153"/>
      <c r="DD42" s="153"/>
      <c r="DE42" s="153"/>
      <c r="DF42" s="153"/>
      <c r="DG42" s="153"/>
      <c r="DH42" s="153"/>
      <c r="DI42" s="153"/>
      <c r="DJ42" s="153"/>
      <c r="DK42" s="153"/>
      <c r="DL42" s="153"/>
      <c r="DM42" s="153"/>
      <c r="DN42" s="153"/>
      <c r="DO42" s="153"/>
      <c r="DP42" s="153"/>
      <c r="DQ42" s="153"/>
      <c r="DR42" s="153"/>
      <c r="DS42" s="153"/>
      <c r="DT42" s="153"/>
      <c r="DU42" s="153"/>
      <c r="DV42" s="153"/>
      <c r="DW42" s="153"/>
      <c r="DX42" s="153"/>
      <c r="DY42" s="153"/>
      <c r="DZ42" s="153"/>
      <c r="EA42" s="153"/>
      <c r="EB42" s="153"/>
      <c r="EC42" s="153"/>
      <c r="ED42" s="153"/>
      <c r="EE42" s="153"/>
      <c r="EF42" s="153"/>
      <c r="EG42" s="153"/>
      <c r="EH42" s="153"/>
      <c r="EI42" s="153"/>
      <c r="EJ42" s="153"/>
      <c r="EK42" s="153"/>
      <c r="EL42" s="153"/>
      <c r="EM42" s="153"/>
      <c r="EN42" s="153"/>
      <c r="EO42" s="153"/>
      <c r="EP42" s="153"/>
      <c r="EQ42" s="153"/>
      <c r="ER42" s="153"/>
      <c r="ES42" s="153"/>
      <c r="ET42" s="153"/>
      <c r="EU42" s="153"/>
      <c r="EV42" s="153"/>
      <c r="EW42" s="153"/>
      <c r="EX42" s="153"/>
      <c r="EY42" s="153"/>
      <c r="EZ42" s="153"/>
      <c r="FA42" s="153"/>
      <c r="FB42" s="153"/>
    </row>
    <row r="43" spans="1:158" s="291" customFormat="1" x14ac:dyDescent="0.3">
      <c r="A43" s="298" t="s">
        <v>150</v>
      </c>
      <c r="B43" s="292">
        <v>-21.198191666666663</v>
      </c>
      <c r="C43" s="292">
        <v>-21.198191666666659</v>
      </c>
      <c r="D43" s="292">
        <v>-21.198191666666659</v>
      </c>
      <c r="E43" s="292">
        <v>-21.198191666666663</v>
      </c>
      <c r="F43" s="292">
        <v>-21.198191666666659</v>
      </c>
      <c r="G43" s="292">
        <v>-21.198191666666666</v>
      </c>
      <c r="H43" s="292">
        <v>-21.198191666666666</v>
      </c>
      <c r="I43" s="292">
        <v>-21.198191666666663</v>
      </c>
      <c r="J43" s="292">
        <v>-21.198191666666663</v>
      </c>
      <c r="K43" s="292">
        <v>-21.19819166666667</v>
      </c>
      <c r="L43" s="292">
        <v>-21.19819166666667</v>
      </c>
      <c r="M43" s="292">
        <v>-21.198191666666666</v>
      </c>
      <c r="N43" s="292">
        <v>-21.198191666666666</v>
      </c>
      <c r="O43" s="292">
        <v>-21.198191666666666</v>
      </c>
      <c r="P43" s="292">
        <v>-21.198191666666666</v>
      </c>
      <c r="Q43" s="292">
        <v>-21.198191666666666</v>
      </c>
      <c r="R43" s="292">
        <v>-21.198191666666666</v>
      </c>
      <c r="S43" s="292">
        <v>-21.198191666666666</v>
      </c>
      <c r="T43" s="292">
        <v>-21.198191666666666</v>
      </c>
      <c r="U43" s="292">
        <v>-21.198191666666666</v>
      </c>
      <c r="V43" s="292">
        <v>-21.198191666666666</v>
      </c>
      <c r="W43" s="292">
        <v>-21.198191666666666</v>
      </c>
      <c r="X43" s="292">
        <v>-21.198191666666666</v>
      </c>
      <c r="Y43" s="292">
        <v>-21.198191666666666</v>
      </c>
      <c r="Z43" s="292">
        <v>-21.198191666666666</v>
      </c>
      <c r="AA43" s="311">
        <v>-21.198191666666666</v>
      </c>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c r="BQ43" s="153"/>
      <c r="BR43" s="153"/>
      <c r="BS43" s="153"/>
      <c r="BT43" s="153"/>
      <c r="BU43" s="153"/>
      <c r="BV43" s="153"/>
      <c r="BW43" s="153"/>
      <c r="BX43" s="153"/>
      <c r="BY43" s="153"/>
      <c r="BZ43" s="153"/>
      <c r="CA43" s="153"/>
      <c r="CB43" s="153"/>
      <c r="CC43" s="153"/>
      <c r="CD43" s="153"/>
      <c r="CE43" s="153"/>
      <c r="CF43" s="153"/>
      <c r="CG43" s="153"/>
      <c r="CH43" s="153"/>
      <c r="CI43" s="153"/>
      <c r="CJ43" s="153"/>
      <c r="CK43" s="153"/>
      <c r="CL43" s="153"/>
      <c r="CM43" s="153"/>
      <c r="CN43" s="153"/>
      <c r="CO43" s="153"/>
      <c r="CP43" s="153"/>
      <c r="CQ43" s="153"/>
      <c r="CR43" s="153"/>
      <c r="CS43" s="153"/>
      <c r="CT43" s="153"/>
      <c r="CU43" s="153"/>
      <c r="CV43" s="153"/>
      <c r="CW43" s="153"/>
      <c r="CX43" s="153"/>
      <c r="CY43" s="153"/>
      <c r="CZ43" s="153"/>
      <c r="DA43" s="153"/>
      <c r="DB43" s="153"/>
      <c r="DC43" s="153"/>
      <c r="DD43" s="153"/>
      <c r="DE43" s="153"/>
      <c r="DF43" s="153"/>
      <c r="DG43" s="153"/>
      <c r="DH43" s="153"/>
      <c r="DI43" s="153"/>
      <c r="DJ43" s="153"/>
      <c r="DK43" s="153"/>
      <c r="DL43" s="153"/>
      <c r="DM43" s="153"/>
      <c r="DN43" s="153"/>
      <c r="DO43" s="153"/>
      <c r="DP43" s="153"/>
      <c r="DQ43" s="153"/>
      <c r="DR43" s="153"/>
      <c r="DS43" s="153"/>
      <c r="DT43" s="153"/>
      <c r="DU43" s="153"/>
      <c r="DV43" s="153"/>
      <c r="DW43" s="153"/>
      <c r="DX43" s="153"/>
      <c r="DY43" s="153"/>
      <c r="DZ43" s="153"/>
      <c r="EA43" s="153"/>
      <c r="EB43" s="153"/>
      <c r="EC43" s="153"/>
      <c r="ED43" s="153"/>
      <c r="EE43" s="153"/>
      <c r="EF43" s="153"/>
      <c r="EG43" s="153"/>
      <c r="EH43" s="153"/>
      <c r="EI43" s="153"/>
      <c r="EJ43" s="153"/>
      <c r="EK43" s="153"/>
      <c r="EL43" s="153"/>
      <c r="EM43" s="153"/>
      <c r="EN43" s="153"/>
      <c r="EO43" s="153"/>
      <c r="EP43" s="153"/>
      <c r="EQ43" s="153"/>
      <c r="ER43" s="153"/>
      <c r="ES43" s="153"/>
      <c r="ET43" s="153"/>
      <c r="EU43" s="153"/>
      <c r="EV43" s="153"/>
      <c r="EW43" s="153"/>
      <c r="EX43" s="153"/>
      <c r="EY43" s="153"/>
      <c r="EZ43" s="153"/>
      <c r="FA43" s="153"/>
      <c r="FB43" s="153"/>
    </row>
    <row r="44" spans="1:158" s="291" customFormat="1" x14ac:dyDescent="0.3">
      <c r="A44" s="298" t="s">
        <v>151</v>
      </c>
      <c r="B44" s="292">
        <v>-21.198191666666663</v>
      </c>
      <c r="C44" s="292">
        <v>-21.198191666666659</v>
      </c>
      <c r="D44" s="292">
        <v>-21.198191666666663</v>
      </c>
      <c r="E44" s="292">
        <v>-21.198191666666663</v>
      </c>
      <c r="F44" s="292">
        <v>-21.198191666666663</v>
      </c>
      <c r="G44" s="292">
        <v>-21.198191666666663</v>
      </c>
      <c r="H44" s="292">
        <v>-21.198191666666666</v>
      </c>
      <c r="I44" s="292">
        <v>-21.198191666666663</v>
      </c>
      <c r="J44" s="292">
        <v>-21.198191666666666</v>
      </c>
      <c r="K44" s="292">
        <v>-21.19819166666667</v>
      </c>
      <c r="L44" s="292">
        <v>-21.19819166666667</v>
      </c>
      <c r="M44" s="292">
        <v>-21.198191666666666</v>
      </c>
      <c r="N44" s="292">
        <v>-21.198191666666666</v>
      </c>
      <c r="O44" s="292">
        <v>-21.198191666666666</v>
      </c>
      <c r="P44" s="292">
        <v>-21.198191666666666</v>
      </c>
      <c r="Q44" s="292">
        <v>-21.198191666666666</v>
      </c>
      <c r="R44" s="292">
        <v>-21.198191666666666</v>
      </c>
      <c r="S44" s="292">
        <v>-21.198191666666666</v>
      </c>
      <c r="T44" s="292">
        <v>-21.198191666666666</v>
      </c>
      <c r="U44" s="292">
        <v>-21.198191666666666</v>
      </c>
      <c r="V44" s="292">
        <v>-21.198191666666666</v>
      </c>
      <c r="W44" s="292">
        <v>-21.198191666666666</v>
      </c>
      <c r="X44" s="292">
        <v>-21.198191666666666</v>
      </c>
      <c r="Y44" s="292">
        <v>-21.198191666666666</v>
      </c>
      <c r="Z44" s="292">
        <v>-21.198191666666666</v>
      </c>
      <c r="AA44" s="311">
        <v>-21.198191666666666</v>
      </c>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c r="BS44" s="153"/>
      <c r="BT44" s="153"/>
      <c r="BU44" s="153"/>
      <c r="BV44" s="153"/>
      <c r="BW44" s="153"/>
      <c r="BX44" s="153"/>
      <c r="BY44" s="153"/>
      <c r="BZ44" s="153"/>
      <c r="CA44" s="153"/>
      <c r="CB44" s="153"/>
      <c r="CC44" s="153"/>
      <c r="CD44" s="153"/>
      <c r="CE44" s="153"/>
      <c r="CF44" s="153"/>
      <c r="CG44" s="153"/>
      <c r="CH44" s="153"/>
      <c r="CI44" s="153"/>
      <c r="CJ44" s="153"/>
      <c r="CK44" s="153"/>
      <c r="CL44" s="153"/>
      <c r="CM44" s="153"/>
      <c r="CN44" s="153"/>
      <c r="CO44" s="153"/>
      <c r="CP44" s="153"/>
      <c r="CQ44" s="153"/>
      <c r="CR44" s="153"/>
      <c r="CS44" s="153"/>
      <c r="CT44" s="153"/>
      <c r="CU44" s="153"/>
      <c r="CV44" s="153"/>
      <c r="CW44" s="153"/>
      <c r="CX44" s="153"/>
      <c r="CY44" s="153"/>
      <c r="CZ44" s="153"/>
      <c r="DA44" s="153"/>
      <c r="DB44" s="153"/>
      <c r="DC44" s="153"/>
      <c r="DD44" s="153"/>
      <c r="DE44" s="153"/>
      <c r="DF44" s="153"/>
      <c r="DG44" s="153"/>
      <c r="DH44" s="153"/>
      <c r="DI44" s="153"/>
      <c r="DJ44" s="153"/>
      <c r="DK44" s="153"/>
      <c r="DL44" s="153"/>
      <c r="DM44" s="153"/>
      <c r="DN44" s="153"/>
      <c r="DO44" s="153"/>
      <c r="DP44" s="153"/>
      <c r="DQ44" s="153"/>
      <c r="DR44" s="153"/>
      <c r="DS44" s="153"/>
      <c r="DT44" s="153"/>
      <c r="DU44" s="153"/>
      <c r="DV44" s="153"/>
      <c r="DW44" s="153"/>
      <c r="DX44" s="153"/>
      <c r="DY44" s="153"/>
      <c r="DZ44" s="153"/>
      <c r="EA44" s="153"/>
      <c r="EB44" s="153"/>
      <c r="EC44" s="153"/>
      <c r="ED44" s="153"/>
      <c r="EE44" s="153"/>
      <c r="EF44" s="153"/>
      <c r="EG44" s="153"/>
      <c r="EH44" s="153"/>
      <c r="EI44" s="153"/>
      <c r="EJ44" s="153"/>
      <c r="EK44" s="153"/>
      <c r="EL44" s="153"/>
      <c r="EM44" s="153"/>
      <c r="EN44" s="153"/>
      <c r="EO44" s="153"/>
      <c r="EP44" s="153"/>
      <c r="EQ44" s="153"/>
      <c r="ER44" s="153"/>
      <c r="ES44" s="153"/>
      <c r="ET44" s="153"/>
      <c r="EU44" s="153"/>
      <c r="EV44" s="153"/>
      <c r="EW44" s="153"/>
      <c r="EX44" s="153"/>
      <c r="EY44" s="153"/>
      <c r="EZ44" s="153"/>
      <c r="FA44" s="153"/>
      <c r="FB44" s="153"/>
    </row>
    <row r="45" spans="1:158" s="291" customFormat="1" x14ac:dyDescent="0.3">
      <c r="A45" s="298" t="s">
        <v>152</v>
      </c>
      <c r="B45" s="292">
        <v>-21.198191666666666</v>
      </c>
      <c r="C45" s="292">
        <v>-21.198191666666663</v>
      </c>
      <c r="D45" s="292">
        <v>-21.198191666666663</v>
      </c>
      <c r="E45" s="292">
        <v>-21.198191666666659</v>
      </c>
      <c r="F45" s="292">
        <v>-21.198191666666659</v>
      </c>
      <c r="G45" s="292">
        <v>-21.198191666666663</v>
      </c>
      <c r="H45" s="292">
        <v>-21.198191666666666</v>
      </c>
      <c r="I45" s="292">
        <v>-21.198191666666663</v>
      </c>
      <c r="J45" s="292">
        <v>-21.198191666666659</v>
      </c>
      <c r="K45" s="292">
        <v>-21.19819166666667</v>
      </c>
      <c r="L45" s="292">
        <v>-21.19819166666667</v>
      </c>
      <c r="M45" s="292">
        <v>-21.198191666666663</v>
      </c>
      <c r="N45" s="292">
        <v>-21.198191666666663</v>
      </c>
      <c r="O45" s="292">
        <v>-21.198191666666663</v>
      </c>
      <c r="P45" s="292">
        <v>-21.198191666666663</v>
      </c>
      <c r="Q45" s="292">
        <v>-21.198191666666663</v>
      </c>
      <c r="R45" s="292">
        <v>-21.198191666666663</v>
      </c>
      <c r="S45" s="292">
        <v>-21.198191666666663</v>
      </c>
      <c r="T45" s="292">
        <v>-21.198191666666663</v>
      </c>
      <c r="U45" s="292">
        <v>-21.198191666666663</v>
      </c>
      <c r="V45" s="292">
        <v>-21.198191666666663</v>
      </c>
      <c r="W45" s="292">
        <v>-21.198191666666663</v>
      </c>
      <c r="X45" s="292">
        <v>-21.198191666666663</v>
      </c>
      <c r="Y45" s="292">
        <v>-21.198191666666663</v>
      </c>
      <c r="Z45" s="292">
        <v>-21.198191666666663</v>
      </c>
      <c r="AA45" s="311">
        <v>-21.198191666666663</v>
      </c>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c r="BQ45" s="153"/>
      <c r="BR45" s="153"/>
      <c r="BS45" s="153"/>
      <c r="BT45" s="153"/>
      <c r="BU45" s="153"/>
      <c r="BV45" s="153"/>
      <c r="BW45" s="153"/>
      <c r="BX45" s="153"/>
      <c r="BY45" s="153"/>
      <c r="BZ45" s="153"/>
      <c r="CA45" s="153"/>
      <c r="CB45" s="153"/>
      <c r="CC45" s="153"/>
      <c r="CD45" s="153"/>
      <c r="CE45" s="153"/>
      <c r="CF45" s="153"/>
      <c r="CG45" s="153"/>
      <c r="CH45" s="153"/>
      <c r="CI45" s="153"/>
      <c r="CJ45" s="153"/>
      <c r="CK45" s="153"/>
      <c r="CL45" s="153"/>
      <c r="CM45" s="153"/>
      <c r="CN45" s="153"/>
      <c r="CO45" s="153"/>
      <c r="CP45" s="153"/>
      <c r="CQ45" s="153"/>
      <c r="CR45" s="153"/>
      <c r="CS45" s="153"/>
      <c r="CT45" s="153"/>
      <c r="CU45" s="153"/>
      <c r="CV45" s="153"/>
      <c r="CW45" s="153"/>
      <c r="CX45" s="153"/>
      <c r="CY45" s="153"/>
      <c r="CZ45" s="153"/>
      <c r="DA45" s="153"/>
      <c r="DB45" s="153"/>
      <c r="DC45" s="153"/>
      <c r="DD45" s="153"/>
      <c r="DE45" s="153"/>
      <c r="DF45" s="153"/>
      <c r="DG45" s="153"/>
      <c r="DH45" s="153"/>
      <c r="DI45" s="153"/>
      <c r="DJ45" s="153"/>
      <c r="DK45" s="153"/>
      <c r="DL45" s="153"/>
      <c r="DM45" s="153"/>
      <c r="DN45" s="153"/>
      <c r="DO45" s="153"/>
      <c r="DP45" s="153"/>
      <c r="DQ45" s="153"/>
      <c r="DR45" s="153"/>
      <c r="DS45" s="153"/>
      <c r="DT45" s="153"/>
      <c r="DU45" s="153"/>
      <c r="DV45" s="153"/>
      <c r="DW45" s="153"/>
      <c r="DX45" s="153"/>
      <c r="DY45" s="153"/>
      <c r="DZ45" s="153"/>
      <c r="EA45" s="153"/>
      <c r="EB45" s="153"/>
      <c r="EC45" s="153"/>
      <c r="ED45" s="153"/>
      <c r="EE45" s="153"/>
      <c r="EF45" s="153"/>
      <c r="EG45" s="153"/>
      <c r="EH45" s="153"/>
      <c r="EI45" s="153"/>
      <c r="EJ45" s="153"/>
      <c r="EK45" s="153"/>
      <c r="EL45" s="153"/>
      <c r="EM45" s="153"/>
      <c r="EN45" s="153"/>
      <c r="EO45" s="153"/>
      <c r="EP45" s="153"/>
      <c r="EQ45" s="153"/>
      <c r="ER45" s="153"/>
      <c r="ES45" s="153"/>
      <c r="ET45" s="153"/>
      <c r="EU45" s="153"/>
      <c r="EV45" s="153"/>
      <c r="EW45" s="153"/>
      <c r="EX45" s="153"/>
      <c r="EY45" s="153"/>
      <c r="EZ45" s="153"/>
      <c r="FA45" s="153"/>
      <c r="FB45" s="153"/>
    </row>
    <row r="46" spans="1:158" s="291" customFormat="1" x14ac:dyDescent="0.3">
      <c r="A46" s="298" t="s">
        <v>153</v>
      </c>
      <c r="B46" s="292">
        <v>-21.198191666666666</v>
      </c>
      <c r="C46" s="292">
        <v>-21.198191666666666</v>
      </c>
      <c r="D46" s="292">
        <v>-21.198191666666663</v>
      </c>
      <c r="E46" s="292">
        <v>-21.198191666666663</v>
      </c>
      <c r="F46" s="292">
        <v>-21.198191666666663</v>
      </c>
      <c r="G46" s="292">
        <v>-21.198191666666666</v>
      </c>
      <c r="H46" s="292">
        <v>-21.198191666666666</v>
      </c>
      <c r="I46" s="292">
        <v>-21.198191666666663</v>
      </c>
      <c r="J46" s="292">
        <v>-21.198191666666663</v>
      </c>
      <c r="K46" s="292">
        <v>-21.198191666666666</v>
      </c>
      <c r="L46" s="292">
        <v>-21.198191666666666</v>
      </c>
      <c r="M46" s="292">
        <v>-21.198191666666663</v>
      </c>
      <c r="N46" s="292">
        <v>-21.198191666666663</v>
      </c>
      <c r="O46" s="292">
        <v>-21.198191666666663</v>
      </c>
      <c r="P46" s="292">
        <v>-21.198191666666663</v>
      </c>
      <c r="Q46" s="292">
        <v>-21.198191666666663</v>
      </c>
      <c r="R46" s="292">
        <v>-21.198191666666663</v>
      </c>
      <c r="S46" s="292">
        <v>-21.198191666666663</v>
      </c>
      <c r="T46" s="292">
        <v>-21.198191666666663</v>
      </c>
      <c r="U46" s="292">
        <v>-21.198191666666663</v>
      </c>
      <c r="V46" s="292">
        <v>-21.198191666666663</v>
      </c>
      <c r="W46" s="292">
        <v>-21.198191666666663</v>
      </c>
      <c r="X46" s="292">
        <v>-21.198191666666663</v>
      </c>
      <c r="Y46" s="292">
        <v>-21.198191666666663</v>
      </c>
      <c r="Z46" s="292">
        <v>-21.198191666666663</v>
      </c>
      <c r="AA46" s="311">
        <v>-21.198191666666663</v>
      </c>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c r="BQ46" s="153"/>
      <c r="BR46" s="153"/>
      <c r="BS46" s="153"/>
      <c r="BT46" s="153"/>
      <c r="BU46" s="153"/>
      <c r="BV46" s="153"/>
      <c r="BW46" s="153"/>
      <c r="BX46" s="153"/>
      <c r="BY46" s="153"/>
      <c r="BZ46" s="153"/>
      <c r="CA46" s="153"/>
      <c r="CB46" s="153"/>
      <c r="CC46" s="153"/>
      <c r="CD46" s="153"/>
      <c r="CE46" s="153"/>
      <c r="CF46" s="153"/>
      <c r="CG46" s="153"/>
      <c r="CH46" s="153"/>
      <c r="CI46" s="153"/>
      <c r="CJ46" s="153"/>
      <c r="CK46" s="153"/>
      <c r="CL46" s="153"/>
      <c r="CM46" s="153"/>
      <c r="CN46" s="153"/>
      <c r="CO46" s="153"/>
      <c r="CP46" s="153"/>
      <c r="CQ46" s="153"/>
      <c r="CR46" s="153"/>
      <c r="CS46" s="153"/>
      <c r="CT46" s="153"/>
      <c r="CU46" s="153"/>
      <c r="CV46" s="153"/>
      <c r="CW46" s="153"/>
      <c r="CX46" s="153"/>
      <c r="CY46" s="153"/>
      <c r="CZ46" s="153"/>
      <c r="DA46" s="153"/>
      <c r="DB46" s="153"/>
      <c r="DC46" s="153"/>
      <c r="DD46" s="153"/>
      <c r="DE46" s="153"/>
      <c r="DF46" s="153"/>
      <c r="DG46" s="153"/>
      <c r="DH46" s="153"/>
      <c r="DI46" s="153"/>
      <c r="DJ46" s="153"/>
      <c r="DK46" s="153"/>
      <c r="DL46" s="153"/>
      <c r="DM46" s="153"/>
      <c r="DN46" s="153"/>
      <c r="DO46" s="153"/>
      <c r="DP46" s="153"/>
      <c r="DQ46" s="153"/>
      <c r="DR46" s="153"/>
      <c r="DS46" s="153"/>
      <c r="DT46" s="153"/>
      <c r="DU46" s="153"/>
      <c r="DV46" s="153"/>
      <c r="DW46" s="153"/>
      <c r="DX46" s="153"/>
      <c r="DY46" s="153"/>
      <c r="DZ46" s="153"/>
      <c r="EA46" s="153"/>
      <c r="EB46" s="153"/>
      <c r="EC46" s="153"/>
      <c r="ED46" s="153"/>
      <c r="EE46" s="153"/>
      <c r="EF46" s="153"/>
      <c r="EG46" s="153"/>
      <c r="EH46" s="153"/>
      <c r="EI46" s="153"/>
      <c r="EJ46" s="153"/>
      <c r="EK46" s="153"/>
      <c r="EL46" s="153"/>
      <c r="EM46" s="153"/>
      <c r="EN46" s="153"/>
      <c r="EO46" s="153"/>
      <c r="EP46" s="153"/>
      <c r="EQ46" s="153"/>
      <c r="ER46" s="153"/>
      <c r="ES46" s="153"/>
      <c r="ET46" s="153"/>
      <c r="EU46" s="153"/>
      <c r="EV46" s="153"/>
      <c r="EW46" s="153"/>
      <c r="EX46" s="153"/>
      <c r="EY46" s="153"/>
      <c r="EZ46" s="153"/>
      <c r="FA46" s="153"/>
      <c r="FB46" s="153"/>
    </row>
    <row r="47" spans="1:158" s="291" customFormat="1" x14ac:dyDescent="0.3">
      <c r="A47" s="298" t="s">
        <v>154</v>
      </c>
      <c r="B47" s="292">
        <v>-21.198191666666659</v>
      </c>
      <c r="C47" s="292">
        <v>-21.198191666666663</v>
      </c>
      <c r="D47" s="292">
        <v>-21.198191666666663</v>
      </c>
      <c r="E47" s="292">
        <v>-21.198191666666663</v>
      </c>
      <c r="F47" s="292">
        <v>-21.198191666666666</v>
      </c>
      <c r="G47" s="292">
        <v>-21.198191666666666</v>
      </c>
      <c r="H47" s="292">
        <v>-21.198191666666666</v>
      </c>
      <c r="I47" s="292">
        <v>-21.198191666666663</v>
      </c>
      <c r="J47" s="292">
        <v>-21.198191666666663</v>
      </c>
      <c r="K47" s="292">
        <v>-21.19819166666667</v>
      </c>
      <c r="L47" s="292">
        <v>-21.19819166666667</v>
      </c>
      <c r="M47" s="292">
        <v>-21.198191666666666</v>
      </c>
      <c r="N47" s="292">
        <v>-21.198191666666666</v>
      </c>
      <c r="O47" s="292">
        <v>-21.198191666666666</v>
      </c>
      <c r="P47" s="292">
        <v>-21.198191666666666</v>
      </c>
      <c r="Q47" s="292">
        <v>-21.198191666666666</v>
      </c>
      <c r="R47" s="292">
        <v>-21.198191666666666</v>
      </c>
      <c r="S47" s="292">
        <v>-21.198191666666666</v>
      </c>
      <c r="T47" s="292">
        <v>-21.198191666666666</v>
      </c>
      <c r="U47" s="292">
        <v>-21.198191666666666</v>
      </c>
      <c r="V47" s="292">
        <v>-21.198191666666666</v>
      </c>
      <c r="W47" s="292">
        <v>-21.198191666666666</v>
      </c>
      <c r="X47" s="292">
        <v>-21.198191666666666</v>
      </c>
      <c r="Y47" s="292">
        <v>-21.198191666666666</v>
      </c>
      <c r="Z47" s="292">
        <v>-21.198191666666666</v>
      </c>
      <c r="AA47" s="311">
        <v>-21.198191666666666</v>
      </c>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3"/>
      <c r="BK47" s="153"/>
      <c r="BL47" s="153"/>
      <c r="BM47" s="153"/>
      <c r="BN47" s="153"/>
      <c r="BO47" s="153"/>
      <c r="BP47" s="153"/>
      <c r="BQ47" s="153"/>
      <c r="BR47" s="153"/>
      <c r="BS47" s="153"/>
      <c r="BT47" s="153"/>
      <c r="BU47" s="153"/>
      <c r="BV47" s="153"/>
      <c r="BW47" s="153"/>
      <c r="BX47" s="153"/>
      <c r="BY47" s="153"/>
      <c r="BZ47" s="153"/>
      <c r="CA47" s="153"/>
      <c r="CB47" s="153"/>
      <c r="CC47" s="153"/>
      <c r="CD47" s="153"/>
      <c r="CE47" s="153"/>
      <c r="CF47" s="153"/>
      <c r="CG47" s="153"/>
      <c r="CH47" s="153"/>
      <c r="CI47" s="153"/>
      <c r="CJ47" s="153"/>
      <c r="CK47" s="153"/>
      <c r="CL47" s="153"/>
      <c r="CM47" s="153"/>
      <c r="CN47" s="153"/>
      <c r="CO47" s="153"/>
      <c r="CP47" s="153"/>
      <c r="CQ47" s="153"/>
      <c r="CR47" s="153"/>
      <c r="CS47" s="153"/>
      <c r="CT47" s="153"/>
      <c r="CU47" s="153"/>
      <c r="CV47" s="153"/>
      <c r="CW47" s="153"/>
      <c r="CX47" s="153"/>
      <c r="CY47" s="153"/>
      <c r="CZ47" s="153"/>
      <c r="DA47" s="153"/>
      <c r="DB47" s="153"/>
      <c r="DC47" s="153"/>
      <c r="DD47" s="153"/>
      <c r="DE47" s="153"/>
      <c r="DF47" s="153"/>
      <c r="DG47" s="153"/>
      <c r="DH47" s="153"/>
      <c r="DI47" s="153"/>
      <c r="DJ47" s="153"/>
      <c r="DK47" s="153"/>
      <c r="DL47" s="153"/>
      <c r="DM47" s="153"/>
      <c r="DN47" s="153"/>
      <c r="DO47" s="153"/>
      <c r="DP47" s="153"/>
      <c r="DQ47" s="153"/>
      <c r="DR47" s="153"/>
      <c r="DS47" s="153"/>
      <c r="DT47" s="153"/>
      <c r="DU47" s="153"/>
      <c r="DV47" s="153"/>
      <c r="DW47" s="153"/>
      <c r="DX47" s="153"/>
      <c r="DY47" s="153"/>
      <c r="DZ47" s="153"/>
      <c r="EA47" s="153"/>
      <c r="EB47" s="153"/>
      <c r="EC47" s="153"/>
      <c r="ED47" s="153"/>
      <c r="EE47" s="153"/>
      <c r="EF47" s="153"/>
      <c r="EG47" s="153"/>
      <c r="EH47" s="153"/>
      <c r="EI47" s="153"/>
      <c r="EJ47" s="153"/>
      <c r="EK47" s="153"/>
      <c r="EL47" s="153"/>
      <c r="EM47" s="153"/>
      <c r="EN47" s="153"/>
      <c r="EO47" s="153"/>
      <c r="EP47" s="153"/>
      <c r="EQ47" s="153"/>
      <c r="ER47" s="153"/>
      <c r="ES47" s="153"/>
      <c r="ET47" s="153"/>
      <c r="EU47" s="153"/>
      <c r="EV47" s="153"/>
      <c r="EW47" s="153"/>
      <c r="EX47" s="153"/>
      <c r="EY47" s="153"/>
      <c r="EZ47" s="153"/>
      <c r="FA47" s="153"/>
      <c r="FB47" s="153"/>
    </row>
    <row r="48" spans="1:158" s="291" customFormat="1" x14ac:dyDescent="0.3">
      <c r="A48" s="298" t="s">
        <v>155</v>
      </c>
      <c r="B48" s="292">
        <v>-21.198191666666659</v>
      </c>
      <c r="C48" s="292">
        <v>-21.198191666666663</v>
      </c>
      <c r="D48" s="292">
        <v>-21.198191666666663</v>
      </c>
      <c r="E48" s="292">
        <v>-21.198191666666663</v>
      </c>
      <c r="F48" s="292">
        <v>-21.198191666666663</v>
      </c>
      <c r="G48" s="292">
        <v>-21.198191666666659</v>
      </c>
      <c r="H48" s="292">
        <v>-21.198191666666663</v>
      </c>
      <c r="I48" s="292">
        <v>-21.198191666666663</v>
      </c>
      <c r="J48" s="292">
        <v>-21.198191666666659</v>
      </c>
      <c r="K48" s="292">
        <v>-21.198191666666666</v>
      </c>
      <c r="L48" s="292">
        <v>-21.198191666666666</v>
      </c>
      <c r="M48" s="292">
        <v>-21.198191666666666</v>
      </c>
      <c r="N48" s="292">
        <v>-21.198191666666666</v>
      </c>
      <c r="O48" s="292">
        <v>-21.198191666666666</v>
      </c>
      <c r="P48" s="292">
        <v>-21.198191666666666</v>
      </c>
      <c r="Q48" s="292">
        <v>-21.198191666666666</v>
      </c>
      <c r="R48" s="292">
        <v>-21.198191666666666</v>
      </c>
      <c r="S48" s="292">
        <v>-21.198191666666666</v>
      </c>
      <c r="T48" s="292">
        <v>-21.198191666666666</v>
      </c>
      <c r="U48" s="292">
        <v>-21.198191666666666</v>
      </c>
      <c r="V48" s="292">
        <v>-21.198191666666666</v>
      </c>
      <c r="W48" s="292">
        <v>-21.198191666666666</v>
      </c>
      <c r="X48" s="292">
        <v>-21.198191666666666</v>
      </c>
      <c r="Y48" s="292">
        <v>-21.198191666666666</v>
      </c>
      <c r="Z48" s="292">
        <v>-21.198191666666666</v>
      </c>
      <c r="AA48" s="311">
        <v>-21.198191666666666</v>
      </c>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c r="BQ48" s="153"/>
      <c r="BR48" s="153"/>
      <c r="BS48" s="153"/>
      <c r="BT48" s="153"/>
      <c r="BU48" s="153"/>
      <c r="BV48" s="153"/>
      <c r="BW48" s="153"/>
      <c r="BX48" s="153"/>
      <c r="BY48" s="153"/>
      <c r="BZ48" s="153"/>
      <c r="CA48" s="153"/>
      <c r="CB48" s="153"/>
      <c r="CC48" s="153"/>
      <c r="CD48" s="153"/>
      <c r="CE48" s="153"/>
      <c r="CF48" s="153"/>
      <c r="CG48" s="153"/>
      <c r="CH48" s="153"/>
      <c r="CI48" s="153"/>
      <c r="CJ48" s="153"/>
      <c r="CK48" s="153"/>
      <c r="CL48" s="153"/>
      <c r="CM48" s="153"/>
      <c r="CN48" s="153"/>
      <c r="CO48" s="153"/>
      <c r="CP48" s="153"/>
      <c r="CQ48" s="153"/>
      <c r="CR48" s="153"/>
      <c r="CS48" s="153"/>
      <c r="CT48" s="153"/>
      <c r="CU48" s="153"/>
      <c r="CV48" s="153"/>
      <c r="CW48" s="153"/>
      <c r="CX48" s="153"/>
      <c r="CY48" s="153"/>
      <c r="CZ48" s="153"/>
      <c r="DA48" s="153"/>
      <c r="DB48" s="153"/>
      <c r="DC48" s="153"/>
      <c r="DD48" s="153"/>
      <c r="DE48" s="153"/>
      <c r="DF48" s="153"/>
      <c r="DG48" s="153"/>
      <c r="DH48" s="153"/>
      <c r="DI48" s="153"/>
      <c r="DJ48" s="153"/>
      <c r="DK48" s="153"/>
      <c r="DL48" s="153"/>
      <c r="DM48" s="153"/>
      <c r="DN48" s="153"/>
      <c r="DO48" s="153"/>
      <c r="DP48" s="153"/>
      <c r="DQ48" s="153"/>
      <c r="DR48" s="153"/>
      <c r="DS48" s="153"/>
      <c r="DT48" s="153"/>
      <c r="DU48" s="153"/>
      <c r="DV48" s="153"/>
      <c r="DW48" s="153"/>
      <c r="DX48" s="153"/>
      <c r="DY48" s="153"/>
      <c r="DZ48" s="153"/>
      <c r="EA48" s="153"/>
      <c r="EB48" s="153"/>
      <c r="EC48" s="153"/>
      <c r="ED48" s="153"/>
      <c r="EE48" s="153"/>
      <c r="EF48" s="153"/>
      <c r="EG48" s="153"/>
      <c r="EH48" s="153"/>
      <c r="EI48" s="153"/>
      <c r="EJ48" s="153"/>
      <c r="EK48" s="153"/>
      <c r="EL48" s="153"/>
      <c r="EM48" s="153"/>
      <c r="EN48" s="153"/>
      <c r="EO48" s="153"/>
      <c r="EP48" s="153"/>
      <c r="EQ48" s="153"/>
      <c r="ER48" s="153"/>
      <c r="ES48" s="153"/>
      <c r="ET48" s="153"/>
      <c r="EU48" s="153"/>
      <c r="EV48" s="153"/>
      <c r="EW48" s="153"/>
      <c r="EX48" s="153"/>
      <c r="EY48" s="153"/>
      <c r="EZ48" s="153"/>
      <c r="FA48" s="153"/>
      <c r="FB48" s="153"/>
    </row>
    <row r="49" spans="1:158" s="291" customFormat="1" x14ac:dyDescent="0.3">
      <c r="A49" s="298" t="s">
        <v>156</v>
      </c>
      <c r="B49" s="292">
        <v>-21.198191666666659</v>
      </c>
      <c r="C49" s="292">
        <v>-21.198191666666663</v>
      </c>
      <c r="D49" s="292">
        <v>-21.198191666666663</v>
      </c>
      <c r="E49" s="292">
        <v>-21.198191666666666</v>
      </c>
      <c r="F49" s="292">
        <v>-21.198191666666663</v>
      </c>
      <c r="G49" s="292">
        <v>-21.198191666666663</v>
      </c>
      <c r="H49" s="292">
        <v>-21.198191666666666</v>
      </c>
      <c r="I49" s="292">
        <v>-21.198191666666666</v>
      </c>
      <c r="J49" s="292">
        <v>-21.198191666666659</v>
      </c>
      <c r="K49" s="292">
        <v>-21.198191666666666</v>
      </c>
      <c r="L49" s="292">
        <v>-21.198191666666666</v>
      </c>
      <c r="M49" s="292">
        <v>-21.198191666666666</v>
      </c>
      <c r="N49" s="292">
        <v>-21.198191666666666</v>
      </c>
      <c r="O49" s="292">
        <v>-21.198191666666666</v>
      </c>
      <c r="P49" s="292">
        <v>-21.198191666666666</v>
      </c>
      <c r="Q49" s="292">
        <v>-21.198191666666666</v>
      </c>
      <c r="R49" s="292">
        <v>-21.198191666666666</v>
      </c>
      <c r="S49" s="292">
        <v>-21.198191666666666</v>
      </c>
      <c r="T49" s="292">
        <v>-21.198191666666666</v>
      </c>
      <c r="U49" s="292">
        <v>-21.198191666666666</v>
      </c>
      <c r="V49" s="292">
        <v>-21.198191666666666</v>
      </c>
      <c r="W49" s="292">
        <v>-21.198191666666666</v>
      </c>
      <c r="X49" s="292">
        <v>-21.198191666666666</v>
      </c>
      <c r="Y49" s="292">
        <v>-21.198191666666666</v>
      </c>
      <c r="Z49" s="292">
        <v>-21.198191666666666</v>
      </c>
      <c r="AA49" s="311">
        <v>-21.198191666666666</v>
      </c>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c r="BQ49" s="153"/>
      <c r="BR49" s="153"/>
      <c r="BS49" s="153"/>
      <c r="BT49" s="153"/>
      <c r="BU49" s="153"/>
      <c r="BV49" s="153"/>
      <c r="BW49" s="153"/>
      <c r="BX49" s="153"/>
      <c r="BY49" s="153"/>
      <c r="BZ49" s="153"/>
      <c r="CA49" s="153"/>
      <c r="CB49" s="153"/>
      <c r="CC49" s="153"/>
      <c r="CD49" s="153"/>
      <c r="CE49" s="153"/>
      <c r="CF49" s="153"/>
      <c r="CG49" s="153"/>
      <c r="CH49" s="153"/>
      <c r="CI49" s="153"/>
      <c r="CJ49" s="153"/>
      <c r="CK49" s="153"/>
      <c r="CL49" s="153"/>
      <c r="CM49" s="153"/>
      <c r="CN49" s="153"/>
      <c r="CO49" s="153"/>
      <c r="CP49" s="153"/>
      <c r="CQ49" s="153"/>
      <c r="CR49" s="153"/>
      <c r="CS49" s="153"/>
      <c r="CT49" s="153"/>
      <c r="CU49" s="153"/>
      <c r="CV49" s="153"/>
      <c r="CW49" s="153"/>
      <c r="CX49" s="153"/>
      <c r="CY49" s="153"/>
      <c r="CZ49" s="153"/>
      <c r="DA49" s="153"/>
      <c r="DB49" s="153"/>
      <c r="DC49" s="153"/>
      <c r="DD49" s="153"/>
      <c r="DE49" s="153"/>
      <c r="DF49" s="153"/>
      <c r="DG49" s="153"/>
      <c r="DH49" s="153"/>
      <c r="DI49" s="153"/>
      <c r="DJ49" s="153"/>
      <c r="DK49" s="153"/>
      <c r="DL49" s="153"/>
      <c r="DM49" s="153"/>
      <c r="DN49" s="153"/>
      <c r="DO49" s="153"/>
      <c r="DP49" s="153"/>
      <c r="DQ49" s="153"/>
      <c r="DR49" s="153"/>
      <c r="DS49" s="153"/>
      <c r="DT49" s="153"/>
      <c r="DU49" s="153"/>
      <c r="DV49" s="153"/>
      <c r="DW49" s="153"/>
      <c r="DX49" s="153"/>
      <c r="DY49" s="153"/>
      <c r="DZ49" s="153"/>
      <c r="EA49" s="153"/>
      <c r="EB49" s="153"/>
      <c r="EC49" s="153"/>
      <c r="ED49" s="153"/>
      <c r="EE49" s="153"/>
      <c r="EF49" s="153"/>
      <c r="EG49" s="153"/>
      <c r="EH49" s="153"/>
      <c r="EI49" s="153"/>
      <c r="EJ49" s="153"/>
      <c r="EK49" s="153"/>
      <c r="EL49" s="153"/>
      <c r="EM49" s="153"/>
      <c r="EN49" s="153"/>
      <c r="EO49" s="153"/>
      <c r="EP49" s="153"/>
      <c r="EQ49" s="153"/>
      <c r="ER49" s="153"/>
      <c r="ES49" s="153"/>
      <c r="ET49" s="153"/>
      <c r="EU49" s="153"/>
      <c r="EV49" s="153"/>
      <c r="EW49" s="153"/>
      <c r="EX49" s="153"/>
      <c r="EY49" s="153"/>
      <c r="EZ49" s="153"/>
      <c r="FA49" s="153"/>
      <c r="FB49" s="153"/>
    </row>
    <row r="50" spans="1:158" s="291" customFormat="1" x14ac:dyDescent="0.3">
      <c r="A50" s="298" t="s">
        <v>157</v>
      </c>
      <c r="B50" s="292">
        <v>-21.198191666666663</v>
      </c>
      <c r="C50" s="292">
        <v>-21.198191666666659</v>
      </c>
      <c r="D50" s="292">
        <v>-21.198191666666659</v>
      </c>
      <c r="E50" s="292">
        <v>-21.198191666666663</v>
      </c>
      <c r="F50" s="292">
        <v>-21.198191666666663</v>
      </c>
      <c r="G50" s="292">
        <v>-21.198191666666663</v>
      </c>
      <c r="H50" s="292">
        <v>-21.19819166666667</v>
      </c>
      <c r="I50" s="292">
        <v>-21.198191666666663</v>
      </c>
      <c r="J50" s="292">
        <v>-21.198191666666659</v>
      </c>
      <c r="K50" s="292">
        <v>-21.198191666666666</v>
      </c>
      <c r="L50" s="292">
        <v>-21.198191666666666</v>
      </c>
      <c r="M50" s="292">
        <v>-21.198191666666666</v>
      </c>
      <c r="N50" s="292">
        <v>-21.198191666666666</v>
      </c>
      <c r="O50" s="292">
        <v>-21.198191666666666</v>
      </c>
      <c r="P50" s="292">
        <v>-21.198191666666666</v>
      </c>
      <c r="Q50" s="292">
        <v>-21.198191666666666</v>
      </c>
      <c r="R50" s="292">
        <v>-21.198191666666666</v>
      </c>
      <c r="S50" s="292">
        <v>-21.198191666666666</v>
      </c>
      <c r="T50" s="292">
        <v>-21.198191666666666</v>
      </c>
      <c r="U50" s="292">
        <v>-21.198191666666666</v>
      </c>
      <c r="V50" s="292">
        <v>-21.198191666666666</v>
      </c>
      <c r="W50" s="292">
        <v>-21.198191666666666</v>
      </c>
      <c r="X50" s="292">
        <v>-21.198191666666666</v>
      </c>
      <c r="Y50" s="292">
        <v>-21.198191666666666</v>
      </c>
      <c r="Z50" s="292">
        <v>-21.198191666666666</v>
      </c>
      <c r="AA50" s="311">
        <v>-21.198191666666666</v>
      </c>
      <c r="AB50" s="153"/>
      <c r="AC50" s="153"/>
      <c r="AD50" s="153"/>
      <c r="AE50" s="153"/>
      <c r="AF50" s="153"/>
      <c r="AG50" s="153"/>
      <c r="AH50" s="153"/>
      <c r="AI50" s="153"/>
      <c r="AJ50" s="153"/>
      <c r="AK50" s="153"/>
      <c r="AL50" s="153"/>
      <c r="AM50" s="153"/>
      <c r="AN50" s="153"/>
      <c r="AO50" s="153"/>
      <c r="AP50" s="153"/>
      <c r="AQ50" s="153"/>
      <c r="AR50" s="153"/>
      <c r="AS50" s="153"/>
      <c r="AT50" s="153"/>
      <c r="AU50" s="153"/>
      <c r="AV50" s="153"/>
      <c r="AW50" s="153"/>
      <c r="AX50" s="153"/>
      <c r="AY50" s="153"/>
      <c r="AZ50" s="153"/>
      <c r="BA50" s="153"/>
      <c r="BB50" s="153"/>
      <c r="BC50" s="153"/>
      <c r="BD50" s="153"/>
      <c r="BE50" s="153"/>
      <c r="BF50" s="153"/>
      <c r="BG50" s="153"/>
      <c r="BH50" s="153"/>
      <c r="BI50" s="153"/>
      <c r="BJ50" s="153"/>
      <c r="BK50" s="153"/>
      <c r="BL50" s="153"/>
      <c r="BM50" s="153"/>
      <c r="BN50" s="153"/>
      <c r="BO50" s="153"/>
      <c r="BP50" s="153"/>
      <c r="BQ50" s="153"/>
      <c r="BR50" s="153"/>
      <c r="BS50" s="153"/>
      <c r="BT50" s="153"/>
      <c r="BU50" s="153"/>
      <c r="BV50" s="153"/>
      <c r="BW50" s="153"/>
      <c r="BX50" s="153"/>
      <c r="BY50" s="153"/>
      <c r="BZ50" s="153"/>
      <c r="CA50" s="153"/>
      <c r="CB50" s="153"/>
      <c r="CC50" s="153"/>
      <c r="CD50" s="153"/>
      <c r="CE50" s="153"/>
      <c r="CF50" s="153"/>
      <c r="CG50" s="153"/>
      <c r="CH50" s="153"/>
      <c r="CI50" s="153"/>
      <c r="CJ50" s="153"/>
      <c r="CK50" s="153"/>
      <c r="CL50" s="153"/>
      <c r="CM50" s="153"/>
      <c r="CN50" s="153"/>
      <c r="CO50" s="153"/>
      <c r="CP50" s="153"/>
      <c r="CQ50" s="153"/>
      <c r="CR50" s="153"/>
      <c r="CS50" s="153"/>
      <c r="CT50" s="153"/>
      <c r="CU50" s="153"/>
      <c r="CV50" s="153"/>
      <c r="CW50" s="153"/>
      <c r="CX50" s="153"/>
      <c r="CY50" s="153"/>
      <c r="CZ50" s="153"/>
      <c r="DA50" s="153"/>
      <c r="DB50" s="153"/>
      <c r="DC50" s="153"/>
      <c r="DD50" s="153"/>
      <c r="DE50" s="153"/>
      <c r="DF50" s="153"/>
      <c r="DG50" s="153"/>
      <c r="DH50" s="153"/>
      <c r="DI50" s="153"/>
      <c r="DJ50" s="153"/>
      <c r="DK50" s="153"/>
      <c r="DL50" s="153"/>
      <c r="DM50" s="153"/>
      <c r="DN50" s="153"/>
      <c r="DO50" s="153"/>
      <c r="DP50" s="153"/>
      <c r="DQ50" s="153"/>
      <c r="DR50" s="153"/>
      <c r="DS50" s="153"/>
      <c r="DT50" s="153"/>
      <c r="DU50" s="153"/>
      <c r="DV50" s="153"/>
      <c r="DW50" s="153"/>
      <c r="DX50" s="153"/>
      <c r="DY50" s="153"/>
      <c r="DZ50" s="153"/>
      <c r="EA50" s="153"/>
      <c r="EB50" s="153"/>
      <c r="EC50" s="153"/>
      <c r="ED50" s="153"/>
      <c r="EE50" s="153"/>
      <c r="EF50" s="153"/>
      <c r="EG50" s="153"/>
      <c r="EH50" s="153"/>
      <c r="EI50" s="153"/>
      <c r="EJ50" s="153"/>
      <c r="EK50" s="153"/>
      <c r="EL50" s="153"/>
      <c r="EM50" s="153"/>
      <c r="EN50" s="153"/>
      <c r="EO50" s="153"/>
      <c r="EP50" s="153"/>
      <c r="EQ50" s="153"/>
      <c r="ER50" s="153"/>
      <c r="ES50" s="153"/>
      <c r="ET50" s="153"/>
      <c r="EU50" s="153"/>
      <c r="EV50" s="153"/>
      <c r="EW50" s="153"/>
      <c r="EX50" s="153"/>
      <c r="EY50" s="153"/>
      <c r="EZ50" s="153"/>
      <c r="FA50" s="153"/>
      <c r="FB50" s="153"/>
    </row>
    <row r="51" spans="1:158" s="291" customFormat="1" ht="15" thickBot="1" x14ac:dyDescent="0.35">
      <c r="A51" s="299" t="s">
        <v>158</v>
      </c>
      <c r="B51" s="300">
        <v>-21.198191666666663</v>
      </c>
      <c r="C51" s="300">
        <v>-21.198191666666663</v>
      </c>
      <c r="D51" s="300">
        <v>-21.198191666666666</v>
      </c>
      <c r="E51" s="300">
        <v>-21.198191666666666</v>
      </c>
      <c r="F51" s="300">
        <v>-21.198191666666659</v>
      </c>
      <c r="G51" s="300">
        <v>-21.198191666666663</v>
      </c>
      <c r="H51" s="300">
        <v>-21.198191666666666</v>
      </c>
      <c r="I51" s="300">
        <v>-21.198191666666663</v>
      </c>
      <c r="J51" s="300">
        <v>-21.198191666666659</v>
      </c>
      <c r="K51" s="300">
        <v>-21.198191666666666</v>
      </c>
      <c r="L51" s="300">
        <v>-21.198191666666666</v>
      </c>
      <c r="M51" s="300">
        <v>-21.198191666666663</v>
      </c>
      <c r="N51" s="300">
        <v>-21.198191666666663</v>
      </c>
      <c r="O51" s="300">
        <v>-21.198191666666663</v>
      </c>
      <c r="P51" s="300">
        <v>-21.198191666666663</v>
      </c>
      <c r="Q51" s="300">
        <v>-21.198191666666663</v>
      </c>
      <c r="R51" s="300">
        <v>-21.198191666666663</v>
      </c>
      <c r="S51" s="300">
        <v>-21.198191666666663</v>
      </c>
      <c r="T51" s="300">
        <v>-21.198191666666663</v>
      </c>
      <c r="U51" s="300">
        <v>-21.198191666666663</v>
      </c>
      <c r="V51" s="300">
        <v>-21.198191666666663</v>
      </c>
      <c r="W51" s="300">
        <v>-21.198191666666663</v>
      </c>
      <c r="X51" s="300">
        <v>-21.198191666666663</v>
      </c>
      <c r="Y51" s="300">
        <v>-21.198191666666663</v>
      </c>
      <c r="Z51" s="300">
        <v>-21.198191666666663</v>
      </c>
      <c r="AA51" s="301">
        <v>-21.198191666666663</v>
      </c>
      <c r="AB51" s="153"/>
      <c r="AC51" s="153"/>
      <c r="AD51" s="153"/>
      <c r="AE51" s="153"/>
      <c r="AF51" s="153"/>
      <c r="AG51" s="153"/>
      <c r="AH51" s="153"/>
      <c r="AI51" s="153"/>
      <c r="AJ51" s="153"/>
      <c r="AK51" s="153"/>
      <c r="AL51" s="153"/>
      <c r="AM51" s="153"/>
      <c r="AN51" s="153"/>
      <c r="AO51" s="153"/>
      <c r="AP51" s="153"/>
      <c r="AQ51" s="153"/>
      <c r="AR51" s="153"/>
      <c r="AS51" s="153"/>
      <c r="AT51" s="153"/>
      <c r="AU51" s="153"/>
      <c r="AV51" s="153"/>
      <c r="AW51" s="153"/>
      <c r="AX51" s="153"/>
      <c r="AY51" s="153"/>
      <c r="AZ51" s="153"/>
      <c r="BA51" s="153"/>
      <c r="BB51" s="153"/>
      <c r="BC51" s="153"/>
      <c r="BD51" s="153"/>
      <c r="BE51" s="153"/>
      <c r="BF51" s="153"/>
      <c r="BG51" s="153"/>
      <c r="BH51" s="153"/>
      <c r="BI51" s="153"/>
      <c r="BJ51" s="153"/>
      <c r="BK51" s="153"/>
      <c r="BL51" s="153"/>
      <c r="BM51" s="153"/>
      <c r="BN51" s="153"/>
      <c r="BO51" s="153"/>
      <c r="BP51" s="153"/>
      <c r="BQ51" s="153"/>
      <c r="BR51" s="153"/>
      <c r="BS51" s="153"/>
      <c r="BT51" s="153"/>
      <c r="BU51" s="153"/>
      <c r="BV51" s="153"/>
      <c r="BW51" s="153"/>
      <c r="BX51" s="153"/>
      <c r="BY51" s="153"/>
      <c r="BZ51" s="153"/>
      <c r="CA51" s="153"/>
      <c r="CB51" s="153"/>
      <c r="CC51" s="153"/>
      <c r="CD51" s="153"/>
      <c r="CE51" s="153"/>
      <c r="CF51" s="153"/>
      <c r="CG51" s="153"/>
      <c r="CH51" s="153"/>
      <c r="CI51" s="153"/>
      <c r="CJ51" s="153"/>
      <c r="CK51" s="153"/>
      <c r="CL51" s="153"/>
      <c r="CM51" s="153"/>
      <c r="CN51" s="153"/>
      <c r="CO51" s="153"/>
      <c r="CP51" s="153"/>
      <c r="CQ51" s="153"/>
      <c r="CR51" s="153"/>
      <c r="CS51" s="153"/>
      <c r="CT51" s="153"/>
      <c r="CU51" s="153"/>
      <c r="CV51" s="153"/>
      <c r="CW51" s="153"/>
      <c r="CX51" s="153"/>
      <c r="CY51" s="153"/>
      <c r="CZ51" s="153"/>
      <c r="DA51" s="153"/>
      <c r="DB51" s="153"/>
      <c r="DC51" s="153"/>
      <c r="DD51" s="153"/>
      <c r="DE51" s="153"/>
      <c r="DF51" s="153"/>
      <c r="DG51" s="153"/>
      <c r="DH51" s="153"/>
      <c r="DI51" s="153"/>
      <c r="DJ51" s="153"/>
      <c r="DK51" s="153"/>
      <c r="DL51" s="153"/>
      <c r="DM51" s="153"/>
      <c r="DN51" s="153"/>
      <c r="DO51" s="153"/>
      <c r="DP51" s="153"/>
      <c r="DQ51" s="153"/>
      <c r="DR51" s="153"/>
      <c r="DS51" s="153"/>
      <c r="DT51" s="153"/>
      <c r="DU51" s="153"/>
      <c r="DV51" s="153"/>
      <c r="DW51" s="153"/>
      <c r="DX51" s="153"/>
      <c r="DY51" s="153"/>
      <c r="DZ51" s="153"/>
      <c r="EA51" s="153"/>
      <c r="EB51" s="153"/>
      <c r="EC51" s="153"/>
      <c r="ED51" s="153"/>
      <c r="EE51" s="153"/>
      <c r="EF51" s="153"/>
      <c r="EG51" s="153"/>
      <c r="EH51" s="153"/>
      <c r="EI51" s="153"/>
      <c r="EJ51" s="153"/>
      <c r="EK51" s="153"/>
      <c r="EL51" s="153"/>
      <c r="EM51" s="153"/>
      <c r="EN51" s="153"/>
      <c r="EO51" s="153"/>
      <c r="EP51" s="153"/>
      <c r="EQ51" s="153"/>
      <c r="ER51" s="153"/>
      <c r="ES51" s="153"/>
      <c r="ET51" s="153"/>
      <c r="EU51" s="153"/>
      <c r="EV51" s="153"/>
      <c r="EW51" s="153"/>
      <c r="EX51" s="153"/>
      <c r="EY51" s="153"/>
      <c r="EZ51" s="153"/>
      <c r="FA51" s="153"/>
      <c r="FB51" s="153"/>
    </row>
    <row r="52" spans="1:158" s="294" customFormat="1" x14ac:dyDescent="0.3">
      <c r="A52" s="302" t="s">
        <v>159</v>
      </c>
      <c r="B52" s="303">
        <v>30.385207518368411</v>
      </c>
      <c r="C52" s="303">
        <v>31.768329532381586</v>
      </c>
      <c r="D52" s="303">
        <v>33.053459359635241</v>
      </c>
      <c r="E52" s="303">
        <v>32.585063341042641</v>
      </c>
      <c r="F52" s="303">
        <v>32.137542163059223</v>
      </c>
      <c r="G52" s="303">
        <v>45.032754301432995</v>
      </c>
      <c r="H52" s="303">
        <v>77.345076509391205</v>
      </c>
      <c r="I52" s="303">
        <v>78.894191365290212</v>
      </c>
      <c r="J52" s="303">
        <v>81.084196660012907</v>
      </c>
      <c r="K52" s="303">
        <v>23.562055664504154</v>
      </c>
      <c r="L52" s="303">
        <v>23.562055664504154</v>
      </c>
      <c r="M52" s="303">
        <v>33.888213703866576</v>
      </c>
      <c r="N52" s="303">
        <v>33.888213703866576</v>
      </c>
      <c r="O52" s="303">
        <v>42.860489191335063</v>
      </c>
      <c r="P52" s="303">
        <v>42.860489191335063</v>
      </c>
      <c r="Q52" s="303">
        <v>42.860489191335063</v>
      </c>
      <c r="R52" s="303">
        <v>42.860489191335063</v>
      </c>
      <c r="S52" s="303">
        <v>42.860489191335063</v>
      </c>
      <c r="T52" s="303">
        <v>42.860489191335063</v>
      </c>
      <c r="U52" s="303">
        <v>42.860489191335063</v>
      </c>
      <c r="V52" s="303">
        <v>42.860489191335063</v>
      </c>
      <c r="W52" s="303">
        <v>42.860489191335063</v>
      </c>
      <c r="X52" s="303">
        <v>42.860489191335063</v>
      </c>
      <c r="Y52" s="303">
        <v>42.860489191335063</v>
      </c>
      <c r="Z52" s="303">
        <v>42.860489191335063</v>
      </c>
      <c r="AA52" s="304">
        <v>42.860489191335063</v>
      </c>
      <c r="AB52" s="153"/>
      <c r="AC52" s="153"/>
      <c r="AD52" s="153"/>
      <c r="AE52" s="153"/>
      <c r="AF52" s="153"/>
      <c r="AG52" s="153"/>
      <c r="AH52" s="153"/>
      <c r="AI52" s="153"/>
      <c r="AJ52" s="153"/>
      <c r="AK52" s="153"/>
      <c r="AL52" s="153"/>
      <c r="AM52" s="153"/>
      <c r="AN52" s="153"/>
      <c r="AO52" s="153"/>
      <c r="AP52" s="153"/>
      <c r="AQ52" s="153"/>
      <c r="AR52" s="153"/>
      <c r="AS52" s="153"/>
      <c r="AT52" s="153"/>
      <c r="AU52" s="153"/>
      <c r="AV52" s="153"/>
      <c r="AW52" s="153"/>
      <c r="AX52" s="153"/>
      <c r="AY52" s="153"/>
      <c r="AZ52" s="153"/>
      <c r="BA52" s="153"/>
      <c r="BB52" s="153"/>
      <c r="BC52" s="153"/>
      <c r="BD52" s="153"/>
      <c r="BE52" s="153"/>
      <c r="BF52" s="153"/>
      <c r="BG52" s="153"/>
      <c r="BH52" s="153"/>
      <c r="BI52" s="153"/>
      <c r="BJ52" s="153"/>
      <c r="BK52" s="153"/>
      <c r="BL52" s="153"/>
      <c r="BM52" s="153"/>
      <c r="BN52" s="153"/>
      <c r="BO52" s="153"/>
      <c r="BP52" s="153"/>
      <c r="BQ52" s="153"/>
      <c r="BR52" s="153"/>
      <c r="BS52" s="153"/>
      <c r="BT52" s="153"/>
      <c r="BU52" s="153"/>
      <c r="BV52" s="153"/>
      <c r="BW52" s="153"/>
      <c r="BX52" s="153"/>
      <c r="BY52" s="153"/>
      <c r="BZ52" s="153"/>
      <c r="CA52" s="153"/>
      <c r="CB52" s="153"/>
      <c r="CC52" s="153"/>
      <c r="CD52" s="153"/>
      <c r="CE52" s="153"/>
      <c r="CF52" s="153"/>
      <c r="CG52" s="153"/>
      <c r="CH52" s="153"/>
      <c r="CI52" s="153"/>
      <c r="CJ52" s="153"/>
      <c r="CK52" s="153"/>
      <c r="CL52" s="153"/>
      <c r="CM52" s="153"/>
      <c r="CN52" s="153"/>
      <c r="CO52" s="153"/>
      <c r="CP52" s="153"/>
      <c r="CQ52" s="153"/>
      <c r="CR52" s="153"/>
      <c r="CS52" s="153"/>
      <c r="CT52" s="153"/>
      <c r="CU52" s="153"/>
      <c r="CV52" s="153"/>
      <c r="CW52" s="153"/>
      <c r="CX52" s="153"/>
      <c r="CY52" s="153"/>
      <c r="CZ52" s="153"/>
      <c r="DA52" s="153"/>
      <c r="DB52" s="153"/>
      <c r="DC52" s="153"/>
      <c r="DD52" s="153"/>
      <c r="DE52" s="153"/>
      <c r="DF52" s="153"/>
      <c r="DG52" s="153"/>
      <c r="DH52" s="153"/>
      <c r="DI52" s="153"/>
      <c r="DJ52" s="153"/>
      <c r="DK52" s="153"/>
      <c r="DL52" s="153"/>
      <c r="DM52" s="153"/>
      <c r="DN52" s="153"/>
      <c r="DO52" s="153"/>
      <c r="DP52" s="153"/>
      <c r="DQ52" s="153"/>
      <c r="DR52" s="153"/>
      <c r="DS52" s="153"/>
      <c r="DT52" s="153"/>
      <c r="DU52" s="153"/>
      <c r="DV52" s="153"/>
      <c r="DW52" s="153"/>
      <c r="DX52" s="153"/>
      <c r="DY52" s="153"/>
      <c r="DZ52" s="153"/>
      <c r="EA52" s="153"/>
      <c r="EB52" s="153"/>
      <c r="EC52" s="153"/>
      <c r="ED52" s="153"/>
      <c r="EE52" s="153"/>
      <c r="EF52" s="153"/>
      <c r="EG52" s="153"/>
      <c r="EH52" s="153"/>
      <c r="EI52" s="153"/>
      <c r="EJ52" s="153"/>
      <c r="EK52" s="153"/>
      <c r="EL52" s="153"/>
      <c r="EM52" s="153"/>
      <c r="EN52" s="153"/>
      <c r="EO52" s="153"/>
      <c r="EP52" s="153"/>
      <c r="EQ52" s="153"/>
      <c r="ER52" s="153"/>
      <c r="ES52" s="153"/>
      <c r="ET52" s="153"/>
      <c r="EU52" s="153"/>
      <c r="EV52" s="153"/>
      <c r="EW52" s="153"/>
      <c r="EX52" s="153"/>
      <c r="EY52" s="153"/>
      <c r="EZ52" s="153"/>
      <c r="FA52" s="153"/>
      <c r="FB52" s="153"/>
    </row>
    <row r="53" spans="1:158" s="294" customFormat="1" x14ac:dyDescent="0.3">
      <c r="A53" s="305" t="s">
        <v>160</v>
      </c>
      <c r="B53" s="295">
        <v>61.356407031289791</v>
      </c>
      <c r="C53" s="295">
        <v>61.86325775699914</v>
      </c>
      <c r="D53" s="295">
        <v>62.334198844607371</v>
      </c>
      <c r="E53" s="295">
        <v>62.837348623002931</v>
      </c>
      <c r="F53" s="295">
        <v>63.318074702200235</v>
      </c>
      <c r="G53" s="295">
        <v>62.774836853358806</v>
      </c>
      <c r="H53" s="295">
        <v>62.254311026120597</v>
      </c>
      <c r="I53" s="295">
        <v>66.186212701213151</v>
      </c>
      <c r="J53" s="295">
        <v>71.764108682689979</v>
      </c>
      <c r="K53" s="295">
        <v>67.4804862793642</v>
      </c>
      <c r="L53" s="295">
        <v>67.4804862793642</v>
      </c>
      <c r="M53" s="295">
        <v>57.402721064027915</v>
      </c>
      <c r="N53" s="295">
        <v>57.402721064027915</v>
      </c>
      <c r="O53" s="295">
        <v>63.419628531405088</v>
      </c>
      <c r="P53" s="295">
        <v>63.419628531405088</v>
      </c>
      <c r="Q53" s="295">
        <v>63.419628531405088</v>
      </c>
      <c r="R53" s="295">
        <v>63.419628531405088</v>
      </c>
      <c r="S53" s="295">
        <v>63.419628531405088</v>
      </c>
      <c r="T53" s="295">
        <v>63.419628531405088</v>
      </c>
      <c r="U53" s="295">
        <v>63.419628531405088</v>
      </c>
      <c r="V53" s="295">
        <v>63.419628531405088</v>
      </c>
      <c r="W53" s="295">
        <v>63.419628531405088</v>
      </c>
      <c r="X53" s="295">
        <v>63.419628531405088</v>
      </c>
      <c r="Y53" s="295">
        <v>63.419628531405088</v>
      </c>
      <c r="Z53" s="295">
        <v>63.419628531405088</v>
      </c>
      <c r="AA53" s="306">
        <v>63.419628531405088</v>
      </c>
      <c r="AB53" s="153"/>
      <c r="AC53" s="153"/>
      <c r="AD53" s="153"/>
      <c r="AE53" s="153"/>
      <c r="AF53" s="153"/>
      <c r="AG53" s="153"/>
      <c r="AH53" s="153"/>
      <c r="AI53" s="153"/>
      <c r="AJ53" s="153"/>
      <c r="AK53" s="153"/>
      <c r="AL53" s="153"/>
      <c r="AM53" s="153"/>
      <c r="AN53" s="153"/>
      <c r="AO53" s="153"/>
      <c r="AP53" s="153"/>
      <c r="AQ53" s="153"/>
      <c r="AR53" s="153"/>
      <c r="AS53" s="153"/>
      <c r="AT53" s="153"/>
      <c r="AU53" s="153"/>
      <c r="AV53" s="153"/>
      <c r="AW53" s="153"/>
      <c r="AX53" s="153"/>
      <c r="AY53" s="153"/>
      <c r="AZ53" s="153"/>
      <c r="BA53" s="153"/>
      <c r="BB53" s="153"/>
      <c r="BC53" s="153"/>
      <c r="BD53" s="153"/>
      <c r="BE53" s="153"/>
      <c r="BF53" s="153"/>
      <c r="BG53" s="153"/>
      <c r="BH53" s="153"/>
      <c r="BI53" s="153"/>
      <c r="BJ53" s="153"/>
      <c r="BK53" s="153"/>
      <c r="BL53" s="153"/>
      <c r="BM53" s="153"/>
      <c r="BN53" s="153"/>
      <c r="BO53" s="153"/>
      <c r="BP53" s="153"/>
      <c r="BQ53" s="153"/>
      <c r="BR53" s="153"/>
      <c r="BS53" s="153"/>
      <c r="BT53" s="153"/>
      <c r="BU53" s="153"/>
      <c r="BV53" s="153"/>
      <c r="BW53" s="153"/>
      <c r="BX53" s="153"/>
      <c r="BY53" s="153"/>
      <c r="BZ53" s="153"/>
      <c r="CA53" s="153"/>
      <c r="CB53" s="153"/>
      <c r="CC53" s="153"/>
      <c r="CD53" s="153"/>
      <c r="CE53" s="153"/>
      <c r="CF53" s="153"/>
      <c r="CG53" s="153"/>
      <c r="CH53" s="153"/>
      <c r="CI53" s="153"/>
      <c r="CJ53" s="153"/>
      <c r="CK53" s="153"/>
      <c r="CL53" s="153"/>
      <c r="CM53" s="153"/>
      <c r="CN53" s="153"/>
      <c r="CO53" s="153"/>
      <c r="CP53" s="153"/>
      <c r="CQ53" s="153"/>
      <c r="CR53" s="153"/>
      <c r="CS53" s="153"/>
      <c r="CT53" s="153"/>
      <c r="CU53" s="153"/>
      <c r="CV53" s="153"/>
      <c r="CW53" s="153"/>
      <c r="CX53" s="153"/>
      <c r="CY53" s="153"/>
      <c r="CZ53" s="153"/>
      <c r="DA53" s="153"/>
      <c r="DB53" s="153"/>
      <c r="DC53" s="153"/>
      <c r="DD53" s="153"/>
      <c r="DE53" s="153"/>
      <c r="DF53" s="153"/>
      <c r="DG53" s="153"/>
      <c r="DH53" s="153"/>
      <c r="DI53" s="153"/>
      <c r="DJ53" s="153"/>
      <c r="DK53" s="153"/>
      <c r="DL53" s="153"/>
      <c r="DM53" s="153"/>
      <c r="DN53" s="153"/>
      <c r="DO53" s="153"/>
      <c r="DP53" s="153"/>
      <c r="DQ53" s="153"/>
      <c r="DR53" s="153"/>
      <c r="DS53" s="153"/>
      <c r="DT53" s="153"/>
      <c r="DU53" s="153"/>
      <c r="DV53" s="153"/>
      <c r="DW53" s="153"/>
      <c r="DX53" s="153"/>
      <c r="DY53" s="153"/>
      <c r="DZ53" s="153"/>
      <c r="EA53" s="153"/>
      <c r="EB53" s="153"/>
      <c r="EC53" s="153"/>
      <c r="ED53" s="153"/>
      <c r="EE53" s="153"/>
      <c r="EF53" s="153"/>
      <c r="EG53" s="153"/>
      <c r="EH53" s="153"/>
      <c r="EI53" s="153"/>
      <c r="EJ53" s="153"/>
      <c r="EK53" s="153"/>
      <c r="EL53" s="153"/>
      <c r="EM53" s="153"/>
      <c r="EN53" s="153"/>
      <c r="EO53" s="153"/>
      <c r="EP53" s="153"/>
      <c r="EQ53" s="153"/>
      <c r="ER53" s="153"/>
      <c r="ES53" s="153"/>
      <c r="ET53" s="153"/>
      <c r="EU53" s="153"/>
      <c r="EV53" s="153"/>
      <c r="EW53" s="153"/>
      <c r="EX53" s="153"/>
      <c r="EY53" s="153"/>
      <c r="EZ53" s="153"/>
      <c r="FA53" s="153"/>
      <c r="FB53" s="153"/>
    </row>
    <row r="54" spans="1:158" s="294" customFormat="1" x14ac:dyDescent="0.3">
      <c r="A54" s="305" t="s">
        <v>161</v>
      </c>
      <c r="B54" s="295">
        <v>608.09036745229139</v>
      </c>
      <c r="C54" s="295">
        <v>588.65887284782548</v>
      </c>
      <c r="D54" s="295">
        <v>570.60407142661143</v>
      </c>
      <c r="E54" s="295">
        <v>573.97491933962215</v>
      </c>
      <c r="F54" s="295">
        <v>577.19553985933942</v>
      </c>
      <c r="G54" s="295">
        <v>572.60935565672355</v>
      </c>
      <c r="H54" s="295">
        <v>568.20217899070394</v>
      </c>
      <c r="I54" s="295">
        <v>572.08448235990136</v>
      </c>
      <c r="J54" s="295">
        <v>577.47517095343335</v>
      </c>
      <c r="K54" s="295">
        <v>611.70324669078002</v>
      </c>
      <c r="L54" s="295">
        <v>611.70324669078002</v>
      </c>
      <c r="M54" s="295">
        <v>854.34496931340243</v>
      </c>
      <c r="N54" s="295">
        <v>854.34496931340243</v>
      </c>
      <c r="O54" s="295">
        <v>626.230106991909</v>
      </c>
      <c r="P54" s="295">
        <v>626.230106991909</v>
      </c>
      <c r="Q54" s="295">
        <v>626.230106991909</v>
      </c>
      <c r="R54" s="295">
        <v>626.230106991909</v>
      </c>
      <c r="S54" s="295">
        <v>626.230106991909</v>
      </c>
      <c r="T54" s="295">
        <v>626.230106991909</v>
      </c>
      <c r="U54" s="295">
        <v>626.230106991909</v>
      </c>
      <c r="V54" s="295">
        <v>626.230106991909</v>
      </c>
      <c r="W54" s="295">
        <v>626.230106991909</v>
      </c>
      <c r="X54" s="295">
        <v>626.230106991909</v>
      </c>
      <c r="Y54" s="295">
        <v>626.230106991909</v>
      </c>
      <c r="Z54" s="295">
        <v>626.230106991909</v>
      </c>
      <c r="AA54" s="306">
        <v>626.230106991909</v>
      </c>
      <c r="AB54" s="153"/>
      <c r="AC54" s="153"/>
      <c r="AD54" s="153"/>
      <c r="AE54" s="153"/>
      <c r="AF54" s="153"/>
      <c r="AG54" s="153"/>
      <c r="AH54" s="153"/>
      <c r="AI54" s="153"/>
      <c r="AJ54" s="153"/>
      <c r="AK54" s="153"/>
      <c r="AL54" s="153"/>
      <c r="AM54" s="153"/>
      <c r="AN54" s="153"/>
      <c r="AO54" s="153"/>
      <c r="AP54" s="153"/>
      <c r="AQ54" s="153"/>
      <c r="AR54" s="153"/>
      <c r="AS54" s="153"/>
      <c r="AT54" s="153"/>
      <c r="AU54" s="153"/>
      <c r="AV54" s="153"/>
      <c r="AW54" s="153"/>
      <c r="AX54" s="153"/>
      <c r="AY54" s="153"/>
      <c r="AZ54" s="153"/>
      <c r="BA54" s="153"/>
      <c r="BB54" s="153"/>
      <c r="BC54" s="153"/>
      <c r="BD54" s="153"/>
      <c r="BE54" s="153"/>
      <c r="BF54" s="153"/>
      <c r="BG54" s="153"/>
      <c r="BH54" s="153"/>
      <c r="BI54" s="153"/>
      <c r="BJ54" s="153"/>
      <c r="BK54" s="153"/>
      <c r="BL54" s="153"/>
      <c r="BM54" s="153"/>
      <c r="BN54" s="153"/>
      <c r="BO54" s="153"/>
      <c r="BP54" s="153"/>
      <c r="BQ54" s="153"/>
      <c r="BR54" s="153"/>
      <c r="BS54" s="153"/>
      <c r="BT54" s="153"/>
      <c r="BU54" s="153"/>
      <c r="BV54" s="153"/>
      <c r="BW54" s="153"/>
      <c r="BX54" s="153"/>
      <c r="BY54" s="153"/>
      <c r="BZ54" s="153"/>
      <c r="CA54" s="153"/>
      <c r="CB54" s="153"/>
      <c r="CC54" s="153"/>
      <c r="CD54" s="153"/>
      <c r="CE54" s="153"/>
      <c r="CF54" s="153"/>
      <c r="CG54" s="153"/>
      <c r="CH54" s="153"/>
      <c r="CI54" s="153"/>
      <c r="CJ54" s="153"/>
      <c r="CK54" s="153"/>
      <c r="CL54" s="153"/>
      <c r="CM54" s="153"/>
      <c r="CN54" s="153"/>
      <c r="CO54" s="153"/>
      <c r="CP54" s="153"/>
      <c r="CQ54" s="153"/>
      <c r="CR54" s="153"/>
      <c r="CS54" s="153"/>
      <c r="CT54" s="153"/>
      <c r="CU54" s="153"/>
      <c r="CV54" s="153"/>
      <c r="CW54" s="153"/>
      <c r="CX54" s="153"/>
      <c r="CY54" s="153"/>
      <c r="CZ54" s="153"/>
      <c r="DA54" s="153"/>
      <c r="DB54" s="153"/>
      <c r="DC54" s="153"/>
      <c r="DD54" s="153"/>
      <c r="DE54" s="153"/>
      <c r="DF54" s="153"/>
      <c r="DG54" s="153"/>
      <c r="DH54" s="153"/>
      <c r="DI54" s="153"/>
      <c r="DJ54" s="153"/>
      <c r="DK54" s="153"/>
      <c r="DL54" s="153"/>
      <c r="DM54" s="153"/>
      <c r="DN54" s="153"/>
      <c r="DO54" s="153"/>
      <c r="DP54" s="153"/>
      <c r="DQ54" s="153"/>
      <c r="DR54" s="153"/>
      <c r="DS54" s="153"/>
      <c r="DT54" s="153"/>
      <c r="DU54" s="153"/>
      <c r="DV54" s="153"/>
      <c r="DW54" s="153"/>
      <c r="DX54" s="153"/>
      <c r="DY54" s="153"/>
      <c r="DZ54" s="153"/>
      <c r="EA54" s="153"/>
      <c r="EB54" s="153"/>
      <c r="EC54" s="153"/>
      <c r="ED54" s="153"/>
      <c r="EE54" s="153"/>
      <c r="EF54" s="153"/>
      <c r="EG54" s="153"/>
      <c r="EH54" s="153"/>
      <c r="EI54" s="153"/>
      <c r="EJ54" s="153"/>
      <c r="EK54" s="153"/>
      <c r="EL54" s="153"/>
      <c r="EM54" s="153"/>
      <c r="EN54" s="153"/>
      <c r="EO54" s="153"/>
      <c r="EP54" s="153"/>
      <c r="EQ54" s="153"/>
      <c r="ER54" s="153"/>
      <c r="ES54" s="153"/>
      <c r="ET54" s="153"/>
      <c r="EU54" s="153"/>
      <c r="EV54" s="153"/>
      <c r="EW54" s="153"/>
      <c r="EX54" s="153"/>
      <c r="EY54" s="153"/>
      <c r="EZ54" s="153"/>
      <c r="FA54" s="153"/>
      <c r="FB54" s="153"/>
    </row>
    <row r="55" spans="1:158" s="294" customFormat="1" x14ac:dyDescent="0.3">
      <c r="A55" s="305" t="s">
        <v>162</v>
      </c>
      <c r="B55" s="295">
        <v>175.97284805566932</v>
      </c>
      <c r="C55" s="295">
        <v>169.8746209123284</v>
      </c>
      <c r="D55" s="295">
        <v>164.20844430905396</v>
      </c>
      <c r="E55" s="295">
        <v>166.69076164201331</v>
      </c>
      <c r="F55" s="295">
        <v>169.06245041151323</v>
      </c>
      <c r="G55" s="295">
        <v>210.51659904751008</v>
      </c>
      <c r="H55" s="295">
        <v>283.60663525765113</v>
      </c>
      <c r="I55" s="295">
        <v>275.00512650678235</v>
      </c>
      <c r="J55" s="295">
        <v>265.75871297275813</v>
      </c>
      <c r="K55" s="295">
        <v>318.79228962164694</v>
      </c>
      <c r="L55" s="295">
        <v>318.79228962164694</v>
      </c>
      <c r="M55" s="295">
        <v>274.66006244376968</v>
      </c>
      <c r="N55" s="295">
        <v>274.66006244376968</v>
      </c>
      <c r="O55" s="295">
        <v>235.96930024970101</v>
      </c>
      <c r="P55" s="295">
        <v>235.96930024970101</v>
      </c>
      <c r="Q55" s="295">
        <v>235.96930024970101</v>
      </c>
      <c r="R55" s="295">
        <v>235.96930024970101</v>
      </c>
      <c r="S55" s="295">
        <v>235.96930024970101</v>
      </c>
      <c r="T55" s="295">
        <v>235.96930024970101</v>
      </c>
      <c r="U55" s="295">
        <v>235.96930024970101</v>
      </c>
      <c r="V55" s="295">
        <v>235.96930024970101</v>
      </c>
      <c r="W55" s="295">
        <v>235.96930024970101</v>
      </c>
      <c r="X55" s="295">
        <v>235.96930024970101</v>
      </c>
      <c r="Y55" s="295">
        <v>235.96930024970101</v>
      </c>
      <c r="Z55" s="295">
        <v>235.96930024970101</v>
      </c>
      <c r="AA55" s="306">
        <v>235.96930024970101</v>
      </c>
      <c r="AB55" s="153"/>
      <c r="AC55" s="153"/>
      <c r="AD55" s="153"/>
      <c r="AE55" s="153"/>
      <c r="AF55" s="153"/>
      <c r="AG55" s="153"/>
      <c r="AH55" s="153"/>
      <c r="AI55" s="153"/>
      <c r="AJ55" s="153"/>
      <c r="AK55" s="153"/>
      <c r="AL55" s="153"/>
      <c r="AM55" s="153"/>
      <c r="AN55" s="153"/>
      <c r="AO55" s="153"/>
      <c r="AP55" s="153"/>
      <c r="AQ55" s="153"/>
      <c r="AR55" s="153"/>
      <c r="AS55" s="153"/>
      <c r="AT55" s="153"/>
      <c r="AU55" s="153"/>
      <c r="AV55" s="153"/>
      <c r="AW55" s="153"/>
      <c r="AX55" s="153"/>
      <c r="AY55" s="153"/>
      <c r="AZ55" s="153"/>
      <c r="BA55" s="153"/>
      <c r="BB55" s="153"/>
      <c r="BC55" s="153"/>
      <c r="BD55" s="153"/>
      <c r="BE55" s="153"/>
      <c r="BF55" s="153"/>
      <c r="BG55" s="153"/>
      <c r="BH55" s="153"/>
      <c r="BI55" s="153"/>
      <c r="BJ55" s="153"/>
      <c r="BK55" s="153"/>
      <c r="BL55" s="153"/>
      <c r="BM55" s="153"/>
      <c r="BN55" s="153"/>
      <c r="BO55" s="153"/>
      <c r="BP55" s="153"/>
      <c r="BQ55" s="153"/>
      <c r="BR55" s="153"/>
      <c r="BS55" s="153"/>
      <c r="BT55" s="153"/>
      <c r="BU55" s="153"/>
      <c r="BV55" s="153"/>
      <c r="BW55" s="153"/>
      <c r="BX55" s="153"/>
      <c r="BY55" s="153"/>
      <c r="BZ55" s="153"/>
      <c r="CA55" s="153"/>
      <c r="CB55" s="153"/>
      <c r="CC55" s="153"/>
      <c r="CD55" s="153"/>
      <c r="CE55" s="153"/>
      <c r="CF55" s="153"/>
      <c r="CG55" s="153"/>
      <c r="CH55" s="153"/>
      <c r="CI55" s="153"/>
      <c r="CJ55" s="153"/>
      <c r="CK55" s="153"/>
      <c r="CL55" s="153"/>
      <c r="CM55" s="153"/>
      <c r="CN55" s="153"/>
      <c r="CO55" s="153"/>
      <c r="CP55" s="153"/>
      <c r="CQ55" s="153"/>
      <c r="CR55" s="153"/>
      <c r="CS55" s="153"/>
      <c r="CT55" s="153"/>
      <c r="CU55" s="153"/>
      <c r="CV55" s="153"/>
      <c r="CW55" s="153"/>
      <c r="CX55" s="153"/>
      <c r="CY55" s="153"/>
      <c r="CZ55" s="153"/>
      <c r="DA55" s="153"/>
      <c r="DB55" s="153"/>
      <c r="DC55" s="153"/>
      <c r="DD55" s="153"/>
      <c r="DE55" s="153"/>
      <c r="DF55" s="153"/>
      <c r="DG55" s="153"/>
      <c r="DH55" s="153"/>
      <c r="DI55" s="153"/>
      <c r="DJ55" s="153"/>
      <c r="DK55" s="153"/>
      <c r="DL55" s="153"/>
      <c r="DM55" s="153"/>
      <c r="DN55" s="153"/>
      <c r="DO55" s="153"/>
      <c r="DP55" s="153"/>
      <c r="DQ55" s="153"/>
      <c r="DR55" s="153"/>
      <c r="DS55" s="153"/>
      <c r="DT55" s="153"/>
      <c r="DU55" s="153"/>
      <c r="DV55" s="153"/>
      <c r="DW55" s="153"/>
      <c r="DX55" s="153"/>
      <c r="DY55" s="153"/>
      <c r="DZ55" s="153"/>
      <c r="EA55" s="153"/>
      <c r="EB55" s="153"/>
      <c r="EC55" s="153"/>
      <c r="ED55" s="153"/>
      <c r="EE55" s="153"/>
      <c r="EF55" s="153"/>
      <c r="EG55" s="153"/>
      <c r="EH55" s="153"/>
      <c r="EI55" s="153"/>
      <c r="EJ55" s="153"/>
      <c r="EK55" s="153"/>
      <c r="EL55" s="153"/>
      <c r="EM55" s="153"/>
      <c r="EN55" s="153"/>
      <c r="EO55" s="153"/>
      <c r="EP55" s="153"/>
      <c r="EQ55" s="153"/>
      <c r="ER55" s="153"/>
      <c r="ES55" s="153"/>
      <c r="ET55" s="153"/>
      <c r="EU55" s="153"/>
      <c r="EV55" s="153"/>
      <c r="EW55" s="153"/>
      <c r="EX55" s="153"/>
      <c r="EY55" s="153"/>
      <c r="EZ55" s="153"/>
      <c r="FA55" s="153"/>
      <c r="FB55" s="153"/>
    </row>
    <row r="56" spans="1:158" s="294" customFormat="1" x14ac:dyDescent="0.3">
      <c r="A56" s="305" t="s">
        <v>163</v>
      </c>
      <c r="B56" s="295">
        <v>912.18478336272847</v>
      </c>
      <c r="C56" s="295">
        <v>885.73277355546895</v>
      </c>
      <c r="D56" s="295">
        <v>861.15485024161751</v>
      </c>
      <c r="E56" s="295">
        <v>855.89161404839172</v>
      </c>
      <c r="F56" s="295">
        <v>850.86294265132267</v>
      </c>
      <c r="G56" s="295">
        <v>774.5990277803603</v>
      </c>
      <c r="H56" s="295">
        <v>708.84612233064036</v>
      </c>
      <c r="I56" s="295">
        <v>767.74231178856951</v>
      </c>
      <c r="J56" s="295">
        <v>838.39785890923304</v>
      </c>
      <c r="K56" s="295">
        <v>638.35518659304887</v>
      </c>
      <c r="L56" s="295">
        <v>638.35518659304887</v>
      </c>
      <c r="M56" s="295">
        <v>1643.6428573812659</v>
      </c>
      <c r="N56" s="295">
        <v>1643.6428573812659</v>
      </c>
      <c r="O56" s="295">
        <v>924.56987481668943</v>
      </c>
      <c r="P56" s="295">
        <v>924.56987481668943</v>
      </c>
      <c r="Q56" s="295">
        <v>924.56987481668943</v>
      </c>
      <c r="R56" s="295">
        <v>924.56987481668943</v>
      </c>
      <c r="S56" s="295">
        <v>924.56987481668943</v>
      </c>
      <c r="T56" s="295">
        <v>924.56987481668943</v>
      </c>
      <c r="U56" s="295">
        <v>924.56987481668943</v>
      </c>
      <c r="V56" s="295">
        <v>924.56987481668943</v>
      </c>
      <c r="W56" s="295">
        <v>924.56987481668943</v>
      </c>
      <c r="X56" s="295">
        <v>924.56987481668943</v>
      </c>
      <c r="Y56" s="295">
        <v>924.56987481668943</v>
      </c>
      <c r="Z56" s="295">
        <v>924.56987481668943</v>
      </c>
      <c r="AA56" s="306">
        <v>924.56987481668943</v>
      </c>
      <c r="AB56" s="153"/>
      <c r="AC56" s="153"/>
      <c r="AD56" s="153"/>
      <c r="AE56" s="153"/>
      <c r="AF56" s="153"/>
      <c r="AG56" s="153"/>
      <c r="AH56" s="153"/>
      <c r="AI56" s="153"/>
      <c r="AJ56" s="153"/>
      <c r="AK56" s="153"/>
      <c r="AL56" s="153"/>
      <c r="AM56" s="153"/>
      <c r="AN56" s="153"/>
      <c r="AO56" s="153"/>
      <c r="AP56" s="153"/>
      <c r="AQ56" s="153"/>
      <c r="AR56" s="153"/>
      <c r="AS56" s="153"/>
      <c r="AT56" s="153"/>
      <c r="AU56" s="153"/>
      <c r="AV56" s="153"/>
      <c r="AW56" s="153"/>
      <c r="AX56" s="153"/>
      <c r="AY56" s="153"/>
      <c r="AZ56" s="153"/>
      <c r="BA56" s="153"/>
      <c r="BB56" s="153"/>
      <c r="BC56" s="153"/>
      <c r="BD56" s="153"/>
      <c r="BE56" s="153"/>
      <c r="BF56" s="153"/>
      <c r="BG56" s="153"/>
      <c r="BH56" s="153"/>
      <c r="BI56" s="153"/>
      <c r="BJ56" s="153"/>
      <c r="BK56" s="153"/>
      <c r="BL56" s="153"/>
      <c r="BM56" s="153"/>
      <c r="BN56" s="153"/>
      <c r="BO56" s="153"/>
      <c r="BP56" s="153"/>
      <c r="BQ56" s="153"/>
      <c r="BR56" s="153"/>
      <c r="BS56" s="153"/>
      <c r="BT56" s="153"/>
      <c r="BU56" s="153"/>
      <c r="BV56" s="153"/>
      <c r="BW56" s="153"/>
      <c r="BX56" s="153"/>
      <c r="BY56" s="153"/>
      <c r="BZ56" s="153"/>
      <c r="CA56" s="153"/>
      <c r="CB56" s="153"/>
      <c r="CC56" s="153"/>
      <c r="CD56" s="153"/>
      <c r="CE56" s="153"/>
      <c r="CF56" s="153"/>
      <c r="CG56" s="153"/>
      <c r="CH56" s="153"/>
      <c r="CI56" s="153"/>
      <c r="CJ56" s="153"/>
      <c r="CK56" s="153"/>
      <c r="CL56" s="153"/>
      <c r="CM56" s="153"/>
      <c r="CN56" s="153"/>
      <c r="CO56" s="153"/>
      <c r="CP56" s="153"/>
      <c r="CQ56" s="153"/>
      <c r="CR56" s="153"/>
      <c r="CS56" s="153"/>
      <c r="CT56" s="153"/>
      <c r="CU56" s="153"/>
      <c r="CV56" s="153"/>
      <c r="CW56" s="153"/>
      <c r="CX56" s="153"/>
      <c r="CY56" s="153"/>
      <c r="CZ56" s="153"/>
      <c r="DA56" s="153"/>
      <c r="DB56" s="153"/>
      <c r="DC56" s="153"/>
      <c r="DD56" s="153"/>
      <c r="DE56" s="153"/>
      <c r="DF56" s="153"/>
      <c r="DG56" s="153"/>
      <c r="DH56" s="153"/>
      <c r="DI56" s="153"/>
      <c r="DJ56" s="153"/>
      <c r="DK56" s="153"/>
      <c r="DL56" s="153"/>
      <c r="DM56" s="153"/>
      <c r="DN56" s="153"/>
      <c r="DO56" s="153"/>
      <c r="DP56" s="153"/>
      <c r="DQ56" s="153"/>
      <c r="DR56" s="153"/>
      <c r="DS56" s="153"/>
      <c r="DT56" s="153"/>
      <c r="DU56" s="153"/>
      <c r="DV56" s="153"/>
      <c r="DW56" s="153"/>
      <c r="DX56" s="153"/>
      <c r="DY56" s="153"/>
      <c r="DZ56" s="153"/>
      <c r="EA56" s="153"/>
      <c r="EB56" s="153"/>
      <c r="EC56" s="153"/>
      <c r="ED56" s="153"/>
      <c r="EE56" s="153"/>
      <c r="EF56" s="153"/>
      <c r="EG56" s="153"/>
      <c r="EH56" s="153"/>
      <c r="EI56" s="153"/>
      <c r="EJ56" s="153"/>
      <c r="EK56" s="153"/>
      <c r="EL56" s="153"/>
      <c r="EM56" s="153"/>
      <c r="EN56" s="153"/>
      <c r="EO56" s="153"/>
      <c r="EP56" s="153"/>
      <c r="EQ56" s="153"/>
      <c r="ER56" s="153"/>
      <c r="ES56" s="153"/>
      <c r="ET56" s="153"/>
      <c r="EU56" s="153"/>
      <c r="EV56" s="153"/>
      <c r="EW56" s="153"/>
      <c r="EX56" s="153"/>
      <c r="EY56" s="153"/>
      <c r="EZ56" s="153"/>
      <c r="FA56" s="153"/>
      <c r="FB56" s="153"/>
    </row>
    <row r="57" spans="1:158" s="294" customFormat="1" x14ac:dyDescent="0.3">
      <c r="A57" s="305" t="s">
        <v>164</v>
      </c>
      <c r="B57" s="295">
        <v>763.94886328020254</v>
      </c>
      <c r="C57" s="295">
        <v>790.21304272501095</v>
      </c>
      <c r="D57" s="295">
        <v>814.61644318491017</v>
      </c>
      <c r="E57" s="295">
        <v>813.06306350395516</v>
      </c>
      <c r="F57" s="295">
        <v>811.57891274886219</v>
      </c>
      <c r="G57" s="295">
        <v>723.56991852978172</v>
      </c>
      <c r="H57" s="295">
        <v>651.35701173178427</v>
      </c>
      <c r="I57" s="295">
        <v>647.77632001666223</v>
      </c>
      <c r="J57" s="295">
        <v>643.11482198992667</v>
      </c>
      <c r="K57" s="295">
        <v>604.12565231864767</v>
      </c>
      <c r="L57" s="295">
        <v>604.12565231864767</v>
      </c>
      <c r="M57" s="295">
        <v>601.74880240499476</v>
      </c>
      <c r="N57" s="295">
        <v>601.74880240499476</v>
      </c>
      <c r="O57" s="295">
        <v>697.76825439679851</v>
      </c>
      <c r="P57" s="295">
        <v>697.76825439679851</v>
      </c>
      <c r="Q57" s="295">
        <v>697.76825439679851</v>
      </c>
      <c r="R57" s="295">
        <v>697.76825439679851</v>
      </c>
      <c r="S57" s="295">
        <v>697.76825439679851</v>
      </c>
      <c r="T57" s="295">
        <v>697.76825439679851</v>
      </c>
      <c r="U57" s="295">
        <v>697.76825439679851</v>
      </c>
      <c r="V57" s="295">
        <v>697.76825439679851</v>
      </c>
      <c r="W57" s="295">
        <v>697.76825439679851</v>
      </c>
      <c r="X57" s="295">
        <v>697.76825439679851</v>
      </c>
      <c r="Y57" s="295">
        <v>697.76825439679851</v>
      </c>
      <c r="Z57" s="295">
        <v>697.76825439679851</v>
      </c>
      <c r="AA57" s="306">
        <v>697.76825439679851</v>
      </c>
      <c r="AB57" s="153"/>
      <c r="AC57" s="153"/>
      <c r="AD57" s="153"/>
      <c r="AE57" s="153"/>
      <c r="AF57" s="153"/>
      <c r="AG57" s="153"/>
      <c r="AH57" s="153"/>
      <c r="AI57" s="153"/>
      <c r="AJ57" s="153"/>
      <c r="AK57" s="153"/>
      <c r="AL57" s="153"/>
      <c r="AM57" s="153"/>
      <c r="AN57" s="153"/>
      <c r="AO57" s="153"/>
      <c r="AP57" s="153"/>
      <c r="AQ57" s="153"/>
      <c r="AR57" s="153"/>
      <c r="AS57" s="153"/>
      <c r="AT57" s="153"/>
      <c r="AU57" s="153"/>
      <c r="AV57" s="153"/>
      <c r="AW57" s="153"/>
      <c r="AX57" s="153"/>
      <c r="AY57" s="153"/>
      <c r="AZ57" s="153"/>
      <c r="BA57" s="153"/>
      <c r="BB57" s="153"/>
      <c r="BC57" s="153"/>
      <c r="BD57" s="153"/>
      <c r="BE57" s="153"/>
      <c r="BF57" s="153"/>
      <c r="BG57" s="153"/>
      <c r="BH57" s="153"/>
      <c r="BI57" s="153"/>
      <c r="BJ57" s="153"/>
      <c r="BK57" s="153"/>
      <c r="BL57" s="153"/>
      <c r="BM57" s="153"/>
      <c r="BN57" s="153"/>
      <c r="BO57" s="153"/>
      <c r="BP57" s="153"/>
      <c r="BQ57" s="153"/>
      <c r="BR57" s="153"/>
      <c r="BS57" s="153"/>
      <c r="BT57" s="153"/>
      <c r="BU57" s="153"/>
      <c r="BV57" s="153"/>
      <c r="BW57" s="153"/>
      <c r="BX57" s="153"/>
      <c r="BY57" s="153"/>
      <c r="BZ57" s="153"/>
      <c r="CA57" s="153"/>
      <c r="CB57" s="153"/>
      <c r="CC57" s="153"/>
      <c r="CD57" s="153"/>
      <c r="CE57" s="153"/>
      <c r="CF57" s="153"/>
      <c r="CG57" s="153"/>
      <c r="CH57" s="153"/>
      <c r="CI57" s="153"/>
      <c r="CJ57" s="153"/>
      <c r="CK57" s="153"/>
      <c r="CL57" s="153"/>
      <c r="CM57" s="153"/>
      <c r="CN57" s="153"/>
      <c r="CO57" s="153"/>
      <c r="CP57" s="153"/>
      <c r="CQ57" s="153"/>
      <c r="CR57" s="153"/>
      <c r="CS57" s="153"/>
      <c r="CT57" s="153"/>
      <c r="CU57" s="153"/>
      <c r="CV57" s="153"/>
      <c r="CW57" s="153"/>
      <c r="CX57" s="153"/>
      <c r="CY57" s="153"/>
      <c r="CZ57" s="153"/>
      <c r="DA57" s="153"/>
      <c r="DB57" s="153"/>
      <c r="DC57" s="153"/>
      <c r="DD57" s="153"/>
      <c r="DE57" s="153"/>
      <c r="DF57" s="153"/>
      <c r="DG57" s="153"/>
      <c r="DH57" s="153"/>
      <c r="DI57" s="153"/>
      <c r="DJ57" s="153"/>
      <c r="DK57" s="153"/>
      <c r="DL57" s="153"/>
      <c r="DM57" s="153"/>
      <c r="DN57" s="153"/>
      <c r="DO57" s="153"/>
      <c r="DP57" s="153"/>
      <c r="DQ57" s="153"/>
      <c r="DR57" s="153"/>
      <c r="DS57" s="153"/>
      <c r="DT57" s="153"/>
      <c r="DU57" s="153"/>
      <c r="DV57" s="153"/>
      <c r="DW57" s="153"/>
      <c r="DX57" s="153"/>
      <c r="DY57" s="153"/>
      <c r="DZ57" s="153"/>
      <c r="EA57" s="153"/>
      <c r="EB57" s="153"/>
      <c r="EC57" s="153"/>
      <c r="ED57" s="153"/>
      <c r="EE57" s="153"/>
      <c r="EF57" s="153"/>
      <c r="EG57" s="153"/>
      <c r="EH57" s="153"/>
      <c r="EI57" s="153"/>
      <c r="EJ57" s="153"/>
      <c r="EK57" s="153"/>
      <c r="EL57" s="153"/>
      <c r="EM57" s="153"/>
      <c r="EN57" s="153"/>
      <c r="EO57" s="153"/>
      <c r="EP57" s="153"/>
      <c r="EQ57" s="153"/>
      <c r="ER57" s="153"/>
      <c r="ES57" s="153"/>
      <c r="ET57" s="153"/>
      <c r="EU57" s="153"/>
      <c r="EV57" s="153"/>
      <c r="EW57" s="153"/>
      <c r="EX57" s="153"/>
      <c r="EY57" s="153"/>
      <c r="EZ57" s="153"/>
      <c r="FA57" s="153"/>
      <c r="FB57" s="153"/>
    </row>
    <row r="58" spans="1:158" s="294" customFormat="1" x14ac:dyDescent="0.3">
      <c r="A58" s="305" t="s">
        <v>165</v>
      </c>
      <c r="B58" s="295">
        <v>97.254465585167011</v>
      </c>
      <c r="C58" s="295">
        <v>94.375961184185144</v>
      </c>
      <c r="D58" s="295">
        <v>91.701394641173337</v>
      </c>
      <c r="E58" s="295">
        <v>91.008877989563459</v>
      </c>
      <c r="F58" s="295">
        <v>90.34722448398324</v>
      </c>
      <c r="G58" s="295">
        <v>84.379837742766043</v>
      </c>
      <c r="H58" s="295">
        <v>78.838152845705764</v>
      </c>
      <c r="I58" s="295">
        <v>77.031011630590541</v>
      </c>
      <c r="J58" s="295">
        <v>75.241493397017862</v>
      </c>
      <c r="K58" s="295">
        <v>85.225810029147226</v>
      </c>
      <c r="L58" s="295">
        <v>85.225810029147226</v>
      </c>
      <c r="M58" s="295">
        <v>61.321290636721521</v>
      </c>
      <c r="N58" s="295">
        <v>61.321290636721521</v>
      </c>
      <c r="O58" s="295">
        <v>82.55943237168384</v>
      </c>
      <c r="P58" s="295">
        <v>82.55943237168384</v>
      </c>
      <c r="Q58" s="295">
        <v>82.55943237168384</v>
      </c>
      <c r="R58" s="295">
        <v>82.55943237168384</v>
      </c>
      <c r="S58" s="295">
        <v>82.55943237168384</v>
      </c>
      <c r="T58" s="295">
        <v>82.55943237168384</v>
      </c>
      <c r="U58" s="295">
        <v>82.55943237168384</v>
      </c>
      <c r="V58" s="295">
        <v>82.55943237168384</v>
      </c>
      <c r="W58" s="295">
        <v>82.55943237168384</v>
      </c>
      <c r="X58" s="295">
        <v>82.55943237168384</v>
      </c>
      <c r="Y58" s="295">
        <v>82.55943237168384</v>
      </c>
      <c r="Z58" s="295">
        <v>82.55943237168384</v>
      </c>
      <c r="AA58" s="306">
        <v>82.55943237168384</v>
      </c>
      <c r="AB58" s="153"/>
      <c r="AC58" s="153"/>
      <c r="AD58" s="153"/>
      <c r="AE58" s="153"/>
      <c r="AF58" s="153"/>
      <c r="AG58" s="153"/>
      <c r="AH58" s="153"/>
      <c r="AI58" s="153"/>
      <c r="AJ58" s="153"/>
      <c r="AK58" s="153"/>
      <c r="AL58" s="153"/>
      <c r="AM58" s="153"/>
      <c r="AN58" s="153"/>
      <c r="AO58" s="153"/>
      <c r="AP58" s="153"/>
      <c r="AQ58" s="153"/>
      <c r="AR58" s="153"/>
      <c r="AS58" s="153"/>
      <c r="AT58" s="153"/>
      <c r="AU58" s="153"/>
      <c r="AV58" s="153"/>
      <c r="AW58" s="153"/>
      <c r="AX58" s="153"/>
      <c r="AY58" s="153"/>
      <c r="AZ58" s="153"/>
      <c r="BA58" s="153"/>
      <c r="BB58" s="153"/>
      <c r="BC58" s="153"/>
      <c r="BD58" s="153"/>
      <c r="BE58" s="153"/>
      <c r="BF58" s="153"/>
      <c r="BG58" s="153"/>
      <c r="BH58" s="153"/>
      <c r="BI58" s="153"/>
      <c r="BJ58" s="153"/>
      <c r="BK58" s="153"/>
      <c r="BL58" s="153"/>
      <c r="BM58" s="153"/>
      <c r="BN58" s="153"/>
      <c r="BO58" s="153"/>
      <c r="BP58" s="153"/>
      <c r="BQ58" s="153"/>
      <c r="BR58" s="153"/>
      <c r="BS58" s="153"/>
      <c r="BT58" s="153"/>
      <c r="BU58" s="153"/>
      <c r="BV58" s="153"/>
      <c r="BW58" s="153"/>
      <c r="BX58" s="153"/>
      <c r="BY58" s="153"/>
      <c r="BZ58" s="153"/>
      <c r="CA58" s="153"/>
      <c r="CB58" s="153"/>
      <c r="CC58" s="153"/>
      <c r="CD58" s="153"/>
      <c r="CE58" s="153"/>
      <c r="CF58" s="153"/>
      <c r="CG58" s="153"/>
      <c r="CH58" s="153"/>
      <c r="CI58" s="153"/>
      <c r="CJ58" s="153"/>
      <c r="CK58" s="153"/>
      <c r="CL58" s="153"/>
      <c r="CM58" s="153"/>
      <c r="CN58" s="153"/>
      <c r="CO58" s="153"/>
      <c r="CP58" s="153"/>
      <c r="CQ58" s="153"/>
      <c r="CR58" s="153"/>
      <c r="CS58" s="153"/>
      <c r="CT58" s="153"/>
      <c r="CU58" s="153"/>
      <c r="CV58" s="153"/>
      <c r="CW58" s="153"/>
      <c r="CX58" s="153"/>
      <c r="CY58" s="153"/>
      <c r="CZ58" s="153"/>
      <c r="DA58" s="153"/>
      <c r="DB58" s="153"/>
      <c r="DC58" s="153"/>
      <c r="DD58" s="153"/>
      <c r="DE58" s="153"/>
      <c r="DF58" s="153"/>
      <c r="DG58" s="153"/>
      <c r="DH58" s="153"/>
      <c r="DI58" s="153"/>
      <c r="DJ58" s="153"/>
      <c r="DK58" s="153"/>
      <c r="DL58" s="153"/>
      <c r="DM58" s="153"/>
      <c r="DN58" s="153"/>
      <c r="DO58" s="153"/>
      <c r="DP58" s="153"/>
      <c r="DQ58" s="153"/>
      <c r="DR58" s="153"/>
      <c r="DS58" s="153"/>
      <c r="DT58" s="153"/>
      <c r="DU58" s="153"/>
      <c r="DV58" s="153"/>
      <c r="DW58" s="153"/>
      <c r="DX58" s="153"/>
      <c r="DY58" s="153"/>
      <c r="DZ58" s="153"/>
      <c r="EA58" s="153"/>
      <c r="EB58" s="153"/>
      <c r="EC58" s="153"/>
      <c r="ED58" s="153"/>
      <c r="EE58" s="153"/>
      <c r="EF58" s="153"/>
      <c r="EG58" s="153"/>
      <c r="EH58" s="153"/>
      <c r="EI58" s="153"/>
      <c r="EJ58" s="153"/>
      <c r="EK58" s="153"/>
      <c r="EL58" s="153"/>
      <c r="EM58" s="153"/>
      <c r="EN58" s="153"/>
      <c r="EO58" s="153"/>
      <c r="EP58" s="153"/>
      <c r="EQ58" s="153"/>
      <c r="ER58" s="153"/>
      <c r="ES58" s="153"/>
      <c r="ET58" s="153"/>
      <c r="EU58" s="153"/>
      <c r="EV58" s="153"/>
      <c r="EW58" s="153"/>
      <c r="EX58" s="153"/>
      <c r="EY58" s="153"/>
      <c r="EZ58" s="153"/>
      <c r="FA58" s="153"/>
      <c r="FB58" s="153"/>
    </row>
    <row r="59" spans="1:158" s="294" customFormat="1" x14ac:dyDescent="0.3">
      <c r="A59" s="305" t="s">
        <v>166</v>
      </c>
      <c r="B59" s="295">
        <v>1285.2793245263088</v>
      </c>
      <c r="C59" s="295">
        <v>1244.6472565672414</v>
      </c>
      <c r="D59" s="295">
        <v>1206.8939116358831</v>
      </c>
      <c r="E59" s="295">
        <v>1151.1346224246706</v>
      </c>
      <c r="F59" s="295">
        <v>1097.8603378432229</v>
      </c>
      <c r="G59" s="295">
        <v>730.73839586130066</v>
      </c>
      <c r="H59" s="295">
        <v>554.04433555210778</v>
      </c>
      <c r="I59" s="295">
        <v>716.37853963175758</v>
      </c>
      <c r="J59" s="295">
        <v>1108.9076767150686</v>
      </c>
      <c r="K59" s="295">
        <v>2673.6527941169793</v>
      </c>
      <c r="L59" s="295">
        <v>2673.6527941169793</v>
      </c>
      <c r="M59" s="295">
        <v>1769.99982846599</v>
      </c>
      <c r="N59" s="295">
        <v>1769.99982846599</v>
      </c>
      <c r="O59" s="295">
        <v>1383.3222804556538</v>
      </c>
      <c r="P59" s="295">
        <v>1383.3222804556538</v>
      </c>
      <c r="Q59" s="295">
        <v>1383.3222804556538</v>
      </c>
      <c r="R59" s="295">
        <v>1383.3222804556538</v>
      </c>
      <c r="S59" s="295">
        <v>1383.3222804556538</v>
      </c>
      <c r="T59" s="295">
        <v>1383.3222804556538</v>
      </c>
      <c r="U59" s="295">
        <v>1383.3222804556538</v>
      </c>
      <c r="V59" s="295">
        <v>1383.3222804556538</v>
      </c>
      <c r="W59" s="295">
        <v>1383.3222804556538</v>
      </c>
      <c r="X59" s="295">
        <v>1383.3222804556538</v>
      </c>
      <c r="Y59" s="295">
        <v>1383.3222804556538</v>
      </c>
      <c r="Z59" s="295">
        <v>1383.3222804556538</v>
      </c>
      <c r="AA59" s="306">
        <v>1383.3222804556538</v>
      </c>
      <c r="AB59" s="153"/>
      <c r="AC59" s="153"/>
      <c r="AD59" s="153"/>
      <c r="AE59" s="153"/>
      <c r="AF59" s="153"/>
      <c r="AG59" s="153"/>
      <c r="AH59" s="153"/>
      <c r="AI59" s="153"/>
      <c r="AJ59" s="153"/>
      <c r="AK59" s="153"/>
      <c r="AL59" s="153"/>
      <c r="AM59" s="153"/>
      <c r="AN59" s="153"/>
      <c r="AO59" s="153"/>
      <c r="AP59" s="153"/>
      <c r="AQ59" s="153"/>
      <c r="AR59" s="153"/>
      <c r="AS59" s="153"/>
      <c r="AT59" s="153"/>
      <c r="AU59" s="153"/>
      <c r="AV59" s="153"/>
      <c r="AW59" s="153"/>
      <c r="AX59" s="153"/>
      <c r="AY59" s="153"/>
      <c r="AZ59" s="153"/>
      <c r="BA59" s="153"/>
      <c r="BB59" s="153"/>
      <c r="BC59" s="153"/>
      <c r="BD59" s="153"/>
      <c r="BE59" s="153"/>
      <c r="BF59" s="153"/>
      <c r="BG59" s="153"/>
      <c r="BH59" s="153"/>
      <c r="BI59" s="153"/>
      <c r="BJ59" s="153"/>
      <c r="BK59" s="153"/>
      <c r="BL59" s="153"/>
      <c r="BM59" s="153"/>
      <c r="BN59" s="153"/>
      <c r="BO59" s="153"/>
      <c r="BP59" s="153"/>
      <c r="BQ59" s="153"/>
      <c r="BR59" s="153"/>
      <c r="BS59" s="153"/>
      <c r="BT59" s="153"/>
      <c r="BU59" s="153"/>
      <c r="BV59" s="153"/>
      <c r="BW59" s="153"/>
      <c r="BX59" s="153"/>
      <c r="BY59" s="153"/>
      <c r="BZ59" s="153"/>
      <c r="CA59" s="153"/>
      <c r="CB59" s="153"/>
      <c r="CC59" s="153"/>
      <c r="CD59" s="153"/>
      <c r="CE59" s="153"/>
      <c r="CF59" s="153"/>
      <c r="CG59" s="153"/>
      <c r="CH59" s="153"/>
      <c r="CI59" s="153"/>
      <c r="CJ59" s="153"/>
      <c r="CK59" s="153"/>
      <c r="CL59" s="153"/>
      <c r="CM59" s="153"/>
      <c r="CN59" s="153"/>
      <c r="CO59" s="153"/>
      <c r="CP59" s="153"/>
      <c r="CQ59" s="153"/>
      <c r="CR59" s="153"/>
      <c r="CS59" s="153"/>
      <c r="CT59" s="153"/>
      <c r="CU59" s="153"/>
      <c r="CV59" s="153"/>
      <c r="CW59" s="153"/>
      <c r="CX59" s="153"/>
      <c r="CY59" s="153"/>
      <c r="CZ59" s="153"/>
      <c r="DA59" s="153"/>
      <c r="DB59" s="153"/>
      <c r="DC59" s="153"/>
      <c r="DD59" s="153"/>
      <c r="DE59" s="153"/>
      <c r="DF59" s="153"/>
      <c r="DG59" s="153"/>
      <c r="DH59" s="153"/>
      <c r="DI59" s="153"/>
      <c r="DJ59" s="153"/>
      <c r="DK59" s="153"/>
      <c r="DL59" s="153"/>
      <c r="DM59" s="153"/>
      <c r="DN59" s="153"/>
      <c r="DO59" s="153"/>
      <c r="DP59" s="153"/>
      <c r="DQ59" s="153"/>
      <c r="DR59" s="153"/>
      <c r="DS59" s="153"/>
      <c r="DT59" s="153"/>
      <c r="DU59" s="153"/>
      <c r="DV59" s="153"/>
      <c r="DW59" s="153"/>
      <c r="DX59" s="153"/>
      <c r="DY59" s="153"/>
      <c r="DZ59" s="153"/>
      <c r="EA59" s="153"/>
      <c r="EB59" s="153"/>
      <c r="EC59" s="153"/>
      <c r="ED59" s="153"/>
      <c r="EE59" s="153"/>
      <c r="EF59" s="153"/>
      <c r="EG59" s="153"/>
      <c r="EH59" s="153"/>
      <c r="EI59" s="153"/>
      <c r="EJ59" s="153"/>
      <c r="EK59" s="153"/>
      <c r="EL59" s="153"/>
      <c r="EM59" s="153"/>
      <c r="EN59" s="153"/>
      <c r="EO59" s="153"/>
      <c r="EP59" s="153"/>
      <c r="EQ59" s="153"/>
      <c r="ER59" s="153"/>
      <c r="ES59" s="153"/>
      <c r="ET59" s="153"/>
      <c r="EU59" s="153"/>
      <c r="EV59" s="153"/>
      <c r="EW59" s="153"/>
      <c r="EX59" s="153"/>
      <c r="EY59" s="153"/>
      <c r="EZ59" s="153"/>
      <c r="FA59" s="153"/>
      <c r="FB59" s="153"/>
    </row>
    <row r="60" spans="1:158" s="294" customFormat="1" x14ac:dyDescent="0.3">
      <c r="A60" s="305" t="s">
        <v>167</v>
      </c>
      <c r="B60" s="295">
        <v>4611.7442865788826</v>
      </c>
      <c r="C60" s="295">
        <v>4457.1995466849576</v>
      </c>
      <c r="D60" s="295">
        <v>4313.6040772537626</v>
      </c>
      <c r="E60" s="295">
        <v>4285.7214829092909</v>
      </c>
      <c r="F60" s="295">
        <v>4259.0815223396748</v>
      </c>
      <c r="G60" s="295">
        <v>3563.8545494711279</v>
      </c>
      <c r="H60" s="295">
        <v>3062.8600430972647</v>
      </c>
      <c r="I60" s="295">
        <v>3615.7246616620246</v>
      </c>
      <c r="J60" s="295">
        <v>4591.0429539138022</v>
      </c>
      <c r="K60" s="295">
        <v>2610.4893062550886</v>
      </c>
      <c r="L60" s="295">
        <v>2610.4893062550886</v>
      </c>
      <c r="M60" s="295">
        <v>2429.5934753727556</v>
      </c>
      <c r="N60" s="295">
        <v>2429.5934753727556</v>
      </c>
      <c r="O60" s="295">
        <v>3603.1537451666527</v>
      </c>
      <c r="P60" s="295">
        <v>3603.1537451666527</v>
      </c>
      <c r="Q60" s="295">
        <v>3603.1537451666527</v>
      </c>
      <c r="R60" s="295">
        <v>3603.1537451666527</v>
      </c>
      <c r="S60" s="295">
        <v>3603.1537451666527</v>
      </c>
      <c r="T60" s="295">
        <v>3603.1537451666527</v>
      </c>
      <c r="U60" s="295">
        <v>3603.1537451666527</v>
      </c>
      <c r="V60" s="295">
        <v>3603.1537451666527</v>
      </c>
      <c r="W60" s="295">
        <v>3603.1537451666527</v>
      </c>
      <c r="X60" s="295">
        <v>3603.1537451666527</v>
      </c>
      <c r="Y60" s="295">
        <v>3603.1537451666527</v>
      </c>
      <c r="Z60" s="295">
        <v>3603.1537451666527</v>
      </c>
      <c r="AA60" s="306">
        <v>3603.1537451666527</v>
      </c>
      <c r="AB60" s="153"/>
      <c r="AC60" s="153"/>
      <c r="AD60" s="153"/>
      <c r="AE60" s="153"/>
      <c r="AF60" s="153"/>
      <c r="AG60" s="153"/>
      <c r="AH60" s="153"/>
      <c r="AI60" s="153"/>
      <c r="AJ60" s="153"/>
      <c r="AK60" s="153"/>
      <c r="AL60" s="153"/>
      <c r="AM60" s="153"/>
      <c r="AN60" s="153"/>
      <c r="AO60" s="153"/>
      <c r="AP60" s="153"/>
      <c r="AQ60" s="153"/>
      <c r="AR60" s="153"/>
      <c r="AS60" s="153"/>
      <c r="AT60" s="153"/>
      <c r="AU60" s="153"/>
      <c r="AV60" s="153"/>
      <c r="AW60" s="153"/>
      <c r="AX60" s="153"/>
      <c r="AY60" s="153"/>
      <c r="AZ60" s="153"/>
      <c r="BA60" s="153"/>
      <c r="BB60" s="153"/>
      <c r="BC60" s="153"/>
      <c r="BD60" s="153"/>
      <c r="BE60" s="153"/>
      <c r="BF60" s="153"/>
      <c r="BG60" s="153"/>
      <c r="BH60" s="153"/>
      <c r="BI60" s="153"/>
      <c r="BJ60" s="153"/>
      <c r="BK60" s="153"/>
      <c r="BL60" s="153"/>
      <c r="BM60" s="153"/>
      <c r="BN60" s="153"/>
      <c r="BO60" s="153"/>
      <c r="BP60" s="153"/>
      <c r="BQ60" s="153"/>
      <c r="BR60" s="153"/>
      <c r="BS60" s="153"/>
      <c r="BT60" s="153"/>
      <c r="BU60" s="153"/>
      <c r="BV60" s="153"/>
      <c r="BW60" s="153"/>
      <c r="BX60" s="153"/>
      <c r="BY60" s="153"/>
      <c r="BZ60" s="153"/>
      <c r="CA60" s="153"/>
      <c r="CB60" s="153"/>
      <c r="CC60" s="153"/>
      <c r="CD60" s="153"/>
      <c r="CE60" s="153"/>
      <c r="CF60" s="153"/>
      <c r="CG60" s="153"/>
      <c r="CH60" s="153"/>
      <c r="CI60" s="153"/>
      <c r="CJ60" s="153"/>
      <c r="CK60" s="153"/>
      <c r="CL60" s="153"/>
      <c r="CM60" s="153"/>
      <c r="CN60" s="153"/>
      <c r="CO60" s="153"/>
      <c r="CP60" s="153"/>
      <c r="CQ60" s="153"/>
      <c r="CR60" s="153"/>
      <c r="CS60" s="153"/>
      <c r="CT60" s="153"/>
      <c r="CU60" s="153"/>
      <c r="CV60" s="153"/>
      <c r="CW60" s="153"/>
      <c r="CX60" s="153"/>
      <c r="CY60" s="153"/>
      <c r="CZ60" s="153"/>
      <c r="DA60" s="153"/>
      <c r="DB60" s="153"/>
      <c r="DC60" s="153"/>
      <c r="DD60" s="153"/>
      <c r="DE60" s="153"/>
      <c r="DF60" s="153"/>
      <c r="DG60" s="153"/>
      <c r="DH60" s="153"/>
      <c r="DI60" s="153"/>
      <c r="DJ60" s="153"/>
      <c r="DK60" s="153"/>
      <c r="DL60" s="153"/>
      <c r="DM60" s="153"/>
      <c r="DN60" s="153"/>
      <c r="DO60" s="153"/>
      <c r="DP60" s="153"/>
      <c r="DQ60" s="153"/>
      <c r="DR60" s="153"/>
      <c r="DS60" s="153"/>
      <c r="DT60" s="153"/>
      <c r="DU60" s="153"/>
      <c r="DV60" s="153"/>
      <c r="DW60" s="153"/>
      <c r="DX60" s="153"/>
      <c r="DY60" s="153"/>
      <c r="DZ60" s="153"/>
      <c r="EA60" s="153"/>
      <c r="EB60" s="153"/>
      <c r="EC60" s="153"/>
      <c r="ED60" s="153"/>
      <c r="EE60" s="153"/>
      <c r="EF60" s="153"/>
      <c r="EG60" s="153"/>
      <c r="EH60" s="153"/>
      <c r="EI60" s="153"/>
      <c r="EJ60" s="153"/>
      <c r="EK60" s="153"/>
      <c r="EL60" s="153"/>
      <c r="EM60" s="153"/>
      <c r="EN60" s="153"/>
      <c r="EO60" s="153"/>
      <c r="EP60" s="153"/>
      <c r="EQ60" s="153"/>
      <c r="ER60" s="153"/>
      <c r="ES60" s="153"/>
      <c r="ET60" s="153"/>
      <c r="EU60" s="153"/>
      <c r="EV60" s="153"/>
      <c r="EW60" s="153"/>
      <c r="EX60" s="153"/>
      <c r="EY60" s="153"/>
      <c r="EZ60" s="153"/>
      <c r="FA60" s="153"/>
      <c r="FB60" s="153"/>
    </row>
    <row r="61" spans="1:158" s="294" customFormat="1" ht="15" thickBot="1" x14ac:dyDescent="0.35">
      <c r="A61" s="307" t="s">
        <v>168</v>
      </c>
      <c r="B61" s="308">
        <v>119.59599464255378</v>
      </c>
      <c r="C61" s="308">
        <v>115.20380314793843</v>
      </c>
      <c r="D61" s="308">
        <v>111.12279204439724</v>
      </c>
      <c r="E61" s="308">
        <v>108.59017164961992</v>
      </c>
      <c r="F61" s="308">
        <v>106.17042165716455</v>
      </c>
      <c r="G61" s="308">
        <v>67.395922662989861</v>
      </c>
      <c r="H61" s="308">
        <v>58.539345419163958</v>
      </c>
      <c r="I61" s="308">
        <v>58.036281026166769</v>
      </c>
      <c r="J61" s="308">
        <v>58.110602948230643</v>
      </c>
      <c r="K61" s="308">
        <v>275.19321454008661</v>
      </c>
      <c r="L61" s="308">
        <v>275.19321454008661</v>
      </c>
      <c r="M61" s="308">
        <v>132.84578670218829</v>
      </c>
      <c r="N61" s="308">
        <v>132.84578670218829</v>
      </c>
      <c r="O61" s="308">
        <v>124.52641059098268</v>
      </c>
      <c r="P61" s="308">
        <v>124.52641059098268</v>
      </c>
      <c r="Q61" s="308">
        <v>124.52641059098268</v>
      </c>
      <c r="R61" s="308">
        <v>124.52641059098268</v>
      </c>
      <c r="S61" s="308">
        <v>124.52641059098268</v>
      </c>
      <c r="T61" s="308">
        <v>124.52641059098268</v>
      </c>
      <c r="U61" s="308">
        <v>124.52641059098268</v>
      </c>
      <c r="V61" s="308">
        <v>124.52641059098268</v>
      </c>
      <c r="W61" s="308">
        <v>124.52641059098268</v>
      </c>
      <c r="X61" s="308">
        <v>124.52641059098268</v>
      </c>
      <c r="Y61" s="308">
        <v>124.52641059098268</v>
      </c>
      <c r="Z61" s="308">
        <v>124.52641059098268</v>
      </c>
      <c r="AA61" s="309">
        <v>124.52641059098268</v>
      </c>
      <c r="AB61" s="153"/>
      <c r="AC61" s="153"/>
      <c r="AD61" s="153"/>
      <c r="AE61" s="153"/>
      <c r="AF61" s="153"/>
      <c r="AG61" s="153"/>
      <c r="AH61" s="153"/>
      <c r="AI61" s="153"/>
      <c r="AJ61" s="153"/>
      <c r="AK61" s="153"/>
      <c r="AL61" s="153"/>
      <c r="AM61" s="153"/>
      <c r="AN61" s="153"/>
      <c r="AO61" s="153"/>
      <c r="AP61" s="153"/>
      <c r="AQ61" s="153"/>
      <c r="AR61" s="153"/>
      <c r="AS61" s="153"/>
      <c r="AT61" s="153"/>
      <c r="AU61" s="153"/>
      <c r="AV61" s="153"/>
      <c r="AW61" s="153"/>
      <c r="AX61" s="153"/>
      <c r="AY61" s="153"/>
      <c r="AZ61" s="153"/>
      <c r="BA61" s="153"/>
      <c r="BB61" s="153"/>
      <c r="BC61" s="153"/>
      <c r="BD61" s="153"/>
      <c r="BE61" s="153"/>
      <c r="BF61" s="153"/>
      <c r="BG61" s="153"/>
      <c r="BH61" s="153"/>
      <c r="BI61" s="153"/>
      <c r="BJ61" s="153"/>
      <c r="BK61" s="153"/>
      <c r="BL61" s="153"/>
      <c r="BM61" s="153"/>
      <c r="BN61" s="153"/>
      <c r="BO61" s="153"/>
      <c r="BP61" s="153"/>
      <c r="BQ61" s="153"/>
      <c r="BR61" s="153"/>
      <c r="BS61" s="153"/>
      <c r="BT61" s="153"/>
      <c r="BU61" s="153"/>
      <c r="BV61" s="153"/>
      <c r="BW61" s="153"/>
      <c r="BX61" s="153"/>
      <c r="BY61" s="153"/>
      <c r="BZ61" s="153"/>
      <c r="CA61" s="153"/>
      <c r="CB61" s="153"/>
      <c r="CC61" s="153"/>
      <c r="CD61" s="153"/>
      <c r="CE61" s="153"/>
      <c r="CF61" s="153"/>
      <c r="CG61" s="153"/>
      <c r="CH61" s="153"/>
      <c r="CI61" s="153"/>
      <c r="CJ61" s="153"/>
      <c r="CK61" s="153"/>
      <c r="CL61" s="153"/>
      <c r="CM61" s="153"/>
      <c r="CN61" s="153"/>
      <c r="CO61" s="153"/>
      <c r="CP61" s="153"/>
      <c r="CQ61" s="153"/>
      <c r="CR61" s="153"/>
      <c r="CS61" s="153"/>
      <c r="CT61" s="153"/>
      <c r="CU61" s="153"/>
      <c r="CV61" s="153"/>
      <c r="CW61" s="153"/>
      <c r="CX61" s="153"/>
      <c r="CY61" s="153"/>
      <c r="CZ61" s="153"/>
      <c r="DA61" s="153"/>
      <c r="DB61" s="153"/>
      <c r="DC61" s="153"/>
      <c r="DD61" s="153"/>
      <c r="DE61" s="153"/>
      <c r="DF61" s="153"/>
      <c r="DG61" s="153"/>
      <c r="DH61" s="153"/>
      <c r="DI61" s="153"/>
      <c r="DJ61" s="153"/>
      <c r="DK61" s="153"/>
      <c r="DL61" s="153"/>
      <c r="DM61" s="153"/>
      <c r="DN61" s="153"/>
      <c r="DO61" s="153"/>
      <c r="DP61" s="153"/>
      <c r="DQ61" s="153"/>
      <c r="DR61" s="153"/>
      <c r="DS61" s="153"/>
      <c r="DT61" s="153"/>
      <c r="DU61" s="153"/>
      <c r="DV61" s="153"/>
      <c r="DW61" s="153"/>
      <c r="DX61" s="153"/>
      <c r="DY61" s="153"/>
      <c r="DZ61" s="153"/>
      <c r="EA61" s="153"/>
      <c r="EB61" s="153"/>
      <c r="EC61" s="153"/>
      <c r="ED61" s="153"/>
      <c r="EE61" s="153"/>
      <c r="EF61" s="153"/>
      <c r="EG61" s="153"/>
      <c r="EH61" s="153"/>
      <c r="EI61" s="153"/>
      <c r="EJ61" s="153"/>
      <c r="EK61" s="153"/>
      <c r="EL61" s="153"/>
      <c r="EM61" s="153"/>
      <c r="EN61" s="153"/>
      <c r="EO61" s="153"/>
      <c r="EP61" s="153"/>
      <c r="EQ61" s="153"/>
      <c r="ER61" s="153"/>
      <c r="ES61" s="153"/>
      <c r="ET61" s="153"/>
      <c r="EU61" s="153"/>
      <c r="EV61" s="153"/>
      <c r="EW61" s="153"/>
      <c r="EX61" s="153"/>
      <c r="EY61" s="153"/>
      <c r="EZ61" s="153"/>
      <c r="FA61" s="153"/>
      <c r="FB61" s="153"/>
    </row>
    <row r="62" spans="1:158" s="291" customFormat="1" x14ac:dyDescent="0.3">
      <c r="A62" s="296" t="s">
        <v>169</v>
      </c>
      <c r="B62" s="297">
        <v>98.502864396415973</v>
      </c>
      <c r="C62" s="297">
        <v>98.502864396415973</v>
      </c>
      <c r="D62" s="297">
        <v>98.502864396415973</v>
      </c>
      <c r="E62" s="297">
        <v>98.502864396415973</v>
      </c>
      <c r="F62" s="297">
        <v>98.502864396415973</v>
      </c>
      <c r="G62" s="297">
        <v>107.56857688848534</v>
      </c>
      <c r="H62" s="297">
        <v>111.69717242329349</v>
      </c>
      <c r="I62" s="297">
        <v>110.46962877052587</v>
      </c>
      <c r="J62" s="297">
        <v>106.04604668532141</v>
      </c>
      <c r="K62" s="297">
        <v>121.41745616803561</v>
      </c>
      <c r="L62" s="297">
        <v>121.41745616803561</v>
      </c>
      <c r="M62" s="297">
        <v>61.096242324530799</v>
      </c>
      <c r="N62" s="297">
        <v>61.096242324530799</v>
      </c>
      <c r="O62" s="297">
        <v>99.486395671910685</v>
      </c>
      <c r="P62" s="297">
        <v>99.486395671910685</v>
      </c>
      <c r="Q62" s="297">
        <v>99.486395671910685</v>
      </c>
      <c r="R62" s="297">
        <v>99.486395671910685</v>
      </c>
      <c r="S62" s="297">
        <v>99.486395671910685</v>
      </c>
      <c r="T62" s="297">
        <v>99.486395671910685</v>
      </c>
      <c r="U62" s="297">
        <v>99.486395671910685</v>
      </c>
      <c r="V62" s="297">
        <v>99.486395671910685</v>
      </c>
      <c r="W62" s="297">
        <v>99.486395671910685</v>
      </c>
      <c r="X62" s="297">
        <v>99.486395671910685</v>
      </c>
      <c r="Y62" s="297">
        <v>99.486395671910685</v>
      </c>
      <c r="Z62" s="297">
        <v>99.486395671910685</v>
      </c>
      <c r="AA62" s="310">
        <v>99.486395671910685</v>
      </c>
      <c r="AB62" s="153"/>
      <c r="AC62" s="153"/>
      <c r="AD62" s="153"/>
      <c r="AE62" s="153"/>
      <c r="AF62" s="153"/>
      <c r="AG62" s="153"/>
      <c r="AH62" s="153"/>
      <c r="AI62" s="153"/>
      <c r="AJ62" s="153"/>
      <c r="AK62" s="153"/>
      <c r="AL62" s="153"/>
      <c r="AM62" s="153"/>
      <c r="AN62" s="153"/>
      <c r="AO62" s="153"/>
      <c r="AP62" s="153"/>
      <c r="AQ62" s="153"/>
      <c r="AR62" s="153"/>
      <c r="AS62" s="153"/>
      <c r="AT62" s="153"/>
      <c r="AU62" s="153"/>
      <c r="AV62" s="153"/>
      <c r="AW62" s="153"/>
      <c r="AX62" s="153"/>
      <c r="AY62" s="153"/>
      <c r="AZ62" s="153"/>
      <c r="BA62" s="153"/>
      <c r="BB62" s="153"/>
      <c r="BC62" s="153"/>
      <c r="BD62" s="153"/>
      <c r="BE62" s="153"/>
      <c r="BF62" s="153"/>
      <c r="BG62" s="153"/>
      <c r="BH62" s="153"/>
      <c r="BI62" s="153"/>
      <c r="BJ62" s="153"/>
      <c r="BK62" s="153"/>
      <c r="BL62" s="153"/>
      <c r="BM62" s="153"/>
      <c r="BN62" s="153"/>
      <c r="BO62" s="153"/>
      <c r="BP62" s="153"/>
      <c r="BQ62" s="153"/>
      <c r="BR62" s="153"/>
      <c r="BS62" s="153"/>
      <c r="BT62" s="153"/>
      <c r="BU62" s="153"/>
      <c r="BV62" s="153"/>
      <c r="BW62" s="153"/>
      <c r="BX62" s="153"/>
      <c r="BY62" s="153"/>
      <c r="BZ62" s="153"/>
      <c r="CA62" s="153"/>
      <c r="CB62" s="153"/>
      <c r="CC62" s="153"/>
      <c r="CD62" s="153"/>
      <c r="CE62" s="153"/>
      <c r="CF62" s="153"/>
      <c r="CG62" s="153"/>
      <c r="CH62" s="153"/>
      <c r="CI62" s="153"/>
      <c r="CJ62" s="153"/>
      <c r="CK62" s="153"/>
      <c r="CL62" s="153"/>
      <c r="CM62" s="153"/>
      <c r="CN62" s="153"/>
      <c r="CO62" s="153"/>
      <c r="CP62" s="153"/>
      <c r="CQ62" s="153"/>
      <c r="CR62" s="153"/>
      <c r="CS62" s="153"/>
      <c r="CT62" s="153"/>
      <c r="CU62" s="153"/>
      <c r="CV62" s="153"/>
      <c r="CW62" s="153"/>
      <c r="CX62" s="153"/>
      <c r="CY62" s="153"/>
      <c r="CZ62" s="153"/>
      <c r="DA62" s="153"/>
      <c r="DB62" s="153"/>
      <c r="DC62" s="153"/>
      <c r="DD62" s="153"/>
      <c r="DE62" s="153"/>
      <c r="DF62" s="153"/>
      <c r="DG62" s="153"/>
      <c r="DH62" s="153"/>
      <c r="DI62" s="153"/>
      <c r="DJ62" s="153"/>
      <c r="DK62" s="153"/>
      <c r="DL62" s="153"/>
      <c r="DM62" s="153"/>
      <c r="DN62" s="153"/>
      <c r="DO62" s="153"/>
      <c r="DP62" s="153"/>
      <c r="DQ62" s="153"/>
      <c r="DR62" s="153"/>
      <c r="DS62" s="153"/>
      <c r="DT62" s="153"/>
      <c r="DU62" s="153"/>
      <c r="DV62" s="153"/>
      <c r="DW62" s="153"/>
      <c r="DX62" s="153"/>
      <c r="DY62" s="153"/>
      <c r="DZ62" s="153"/>
      <c r="EA62" s="153"/>
      <c r="EB62" s="153"/>
      <c r="EC62" s="153"/>
      <c r="ED62" s="153"/>
      <c r="EE62" s="153"/>
      <c r="EF62" s="153"/>
      <c r="EG62" s="153"/>
      <c r="EH62" s="153"/>
      <c r="EI62" s="153"/>
      <c r="EJ62" s="153"/>
      <c r="EK62" s="153"/>
      <c r="EL62" s="153"/>
      <c r="EM62" s="153"/>
      <c r="EN62" s="153"/>
      <c r="EO62" s="153"/>
      <c r="EP62" s="153"/>
      <c r="EQ62" s="153"/>
      <c r="ER62" s="153"/>
      <c r="ES62" s="153"/>
      <c r="ET62" s="153"/>
      <c r="EU62" s="153"/>
      <c r="EV62" s="153"/>
      <c r="EW62" s="153"/>
      <c r="EX62" s="153"/>
      <c r="EY62" s="153"/>
      <c r="EZ62" s="153"/>
      <c r="FA62" s="153"/>
      <c r="FB62" s="153"/>
    </row>
    <row r="63" spans="1:158" s="291" customFormat="1" x14ac:dyDescent="0.3">
      <c r="A63" s="298" t="s">
        <v>170</v>
      </c>
      <c r="B63" s="292">
        <v>-11.916666666666666</v>
      </c>
      <c r="C63" s="292">
        <v>-11.916666666666666</v>
      </c>
      <c r="D63" s="292">
        <v>-11.916666666666666</v>
      </c>
      <c r="E63" s="292">
        <v>-11.916666666666666</v>
      </c>
      <c r="F63" s="292">
        <v>-11.916666666666666</v>
      </c>
      <c r="G63" s="292">
        <v>-11.916666666666666</v>
      </c>
      <c r="H63" s="292">
        <v>-11.916666666666668</v>
      </c>
      <c r="I63" s="292">
        <v>-11.916666666666666</v>
      </c>
      <c r="J63" s="292">
        <v>-11.916666666666666</v>
      </c>
      <c r="K63" s="292">
        <v>-11.916666666666666</v>
      </c>
      <c r="L63" s="292">
        <v>-11.916666666666666</v>
      </c>
      <c r="M63" s="292">
        <v>-11.916666666666664</v>
      </c>
      <c r="N63" s="292">
        <v>-11.916666666666664</v>
      </c>
      <c r="O63" s="292">
        <v>-11.916666666666666</v>
      </c>
      <c r="P63" s="292">
        <v>-11.916666666666666</v>
      </c>
      <c r="Q63" s="292">
        <v>-11.916666666666666</v>
      </c>
      <c r="R63" s="292">
        <v>-11.916666666666666</v>
      </c>
      <c r="S63" s="292">
        <v>-11.916666666666666</v>
      </c>
      <c r="T63" s="292">
        <v>-11.916666666666666</v>
      </c>
      <c r="U63" s="292">
        <v>-11.916666666666666</v>
      </c>
      <c r="V63" s="292">
        <v>-11.916666666666666</v>
      </c>
      <c r="W63" s="292">
        <v>-11.916666666666666</v>
      </c>
      <c r="X63" s="292">
        <v>-11.916666666666666</v>
      </c>
      <c r="Y63" s="292">
        <v>-11.916666666666666</v>
      </c>
      <c r="Z63" s="292">
        <v>-11.916666666666666</v>
      </c>
      <c r="AA63" s="311">
        <v>-11.916666666666666</v>
      </c>
      <c r="AB63" s="153"/>
      <c r="AC63" s="153"/>
      <c r="AD63" s="153"/>
      <c r="AE63" s="153"/>
      <c r="AF63" s="153"/>
      <c r="AG63" s="153"/>
      <c r="AH63" s="153"/>
      <c r="AI63" s="153"/>
      <c r="AJ63" s="153"/>
      <c r="AK63" s="153"/>
      <c r="AL63" s="153"/>
      <c r="AM63" s="153"/>
      <c r="AN63" s="153"/>
      <c r="AO63" s="153"/>
      <c r="AP63" s="153"/>
      <c r="AQ63" s="153"/>
      <c r="AR63" s="153"/>
      <c r="AS63" s="153"/>
      <c r="AT63" s="153"/>
      <c r="AU63" s="153"/>
      <c r="AV63" s="153"/>
      <c r="AW63" s="153"/>
      <c r="AX63" s="153"/>
      <c r="AY63" s="153"/>
      <c r="AZ63" s="153"/>
      <c r="BA63" s="153"/>
      <c r="BB63" s="153"/>
      <c r="BC63" s="153"/>
      <c r="BD63" s="153"/>
      <c r="BE63" s="153"/>
      <c r="BF63" s="153"/>
      <c r="BG63" s="153"/>
      <c r="BH63" s="153"/>
      <c r="BI63" s="153"/>
      <c r="BJ63" s="153"/>
      <c r="BK63" s="153"/>
      <c r="BL63" s="153"/>
      <c r="BM63" s="153"/>
      <c r="BN63" s="153"/>
      <c r="BO63" s="153"/>
      <c r="BP63" s="153"/>
      <c r="BQ63" s="153"/>
      <c r="BR63" s="153"/>
      <c r="BS63" s="153"/>
      <c r="BT63" s="153"/>
      <c r="BU63" s="153"/>
      <c r="BV63" s="153"/>
      <c r="BW63" s="153"/>
      <c r="BX63" s="153"/>
      <c r="BY63" s="153"/>
      <c r="BZ63" s="153"/>
      <c r="CA63" s="153"/>
      <c r="CB63" s="153"/>
      <c r="CC63" s="153"/>
      <c r="CD63" s="153"/>
      <c r="CE63" s="153"/>
      <c r="CF63" s="153"/>
      <c r="CG63" s="153"/>
      <c r="CH63" s="153"/>
      <c r="CI63" s="153"/>
      <c r="CJ63" s="153"/>
      <c r="CK63" s="153"/>
      <c r="CL63" s="153"/>
      <c r="CM63" s="153"/>
      <c r="CN63" s="153"/>
      <c r="CO63" s="153"/>
      <c r="CP63" s="153"/>
      <c r="CQ63" s="153"/>
      <c r="CR63" s="153"/>
      <c r="CS63" s="153"/>
      <c r="CT63" s="153"/>
      <c r="CU63" s="153"/>
      <c r="CV63" s="153"/>
      <c r="CW63" s="153"/>
      <c r="CX63" s="153"/>
      <c r="CY63" s="153"/>
      <c r="CZ63" s="153"/>
      <c r="DA63" s="153"/>
      <c r="DB63" s="153"/>
      <c r="DC63" s="153"/>
      <c r="DD63" s="153"/>
      <c r="DE63" s="153"/>
      <c r="DF63" s="153"/>
      <c r="DG63" s="153"/>
      <c r="DH63" s="153"/>
      <c r="DI63" s="153"/>
      <c r="DJ63" s="153"/>
      <c r="DK63" s="153"/>
      <c r="DL63" s="153"/>
      <c r="DM63" s="153"/>
      <c r="DN63" s="153"/>
      <c r="DO63" s="153"/>
      <c r="DP63" s="153"/>
      <c r="DQ63" s="153"/>
      <c r="DR63" s="153"/>
      <c r="DS63" s="153"/>
      <c r="DT63" s="153"/>
      <c r="DU63" s="153"/>
      <c r="DV63" s="153"/>
      <c r="DW63" s="153"/>
      <c r="DX63" s="153"/>
      <c r="DY63" s="153"/>
      <c r="DZ63" s="153"/>
      <c r="EA63" s="153"/>
      <c r="EB63" s="153"/>
      <c r="EC63" s="153"/>
      <c r="ED63" s="153"/>
      <c r="EE63" s="153"/>
      <c r="EF63" s="153"/>
      <c r="EG63" s="153"/>
      <c r="EH63" s="153"/>
      <c r="EI63" s="153"/>
      <c r="EJ63" s="153"/>
      <c r="EK63" s="153"/>
      <c r="EL63" s="153"/>
      <c r="EM63" s="153"/>
      <c r="EN63" s="153"/>
      <c r="EO63" s="153"/>
      <c r="EP63" s="153"/>
      <c r="EQ63" s="153"/>
      <c r="ER63" s="153"/>
      <c r="ES63" s="153"/>
      <c r="ET63" s="153"/>
      <c r="EU63" s="153"/>
      <c r="EV63" s="153"/>
      <c r="EW63" s="153"/>
      <c r="EX63" s="153"/>
      <c r="EY63" s="153"/>
      <c r="EZ63" s="153"/>
      <c r="FA63" s="153"/>
      <c r="FB63" s="153"/>
    </row>
    <row r="64" spans="1:158" s="291" customFormat="1" x14ac:dyDescent="0.3">
      <c r="A64" s="298" t="s">
        <v>171</v>
      </c>
      <c r="B64" s="292">
        <v>0</v>
      </c>
      <c r="C64" s="292">
        <v>0</v>
      </c>
      <c r="D64" s="292">
        <v>0</v>
      </c>
      <c r="E64" s="292">
        <v>0</v>
      </c>
      <c r="F64" s="292">
        <v>0</v>
      </c>
      <c r="G64" s="292">
        <v>0</v>
      </c>
      <c r="H64" s="292">
        <v>0</v>
      </c>
      <c r="I64" s="292">
        <v>0</v>
      </c>
      <c r="J64" s="292">
        <v>0</v>
      </c>
      <c r="K64" s="292">
        <v>0</v>
      </c>
      <c r="L64" s="292">
        <v>0</v>
      </c>
      <c r="M64" s="292">
        <v>-11.916666666666666</v>
      </c>
      <c r="N64" s="292">
        <v>-11.916666666666666</v>
      </c>
      <c r="O64" s="292">
        <v>-1.8333333333333333</v>
      </c>
      <c r="P64" s="292">
        <v>-1.8333333333333333</v>
      </c>
      <c r="Q64" s="292">
        <v>-1.8333333333333333</v>
      </c>
      <c r="R64" s="292">
        <v>-1.8333333333333333</v>
      </c>
      <c r="S64" s="292">
        <v>-1.8333333333333333</v>
      </c>
      <c r="T64" s="292">
        <v>-1.8333333333333333</v>
      </c>
      <c r="U64" s="292">
        <v>-1.8333333333333333</v>
      </c>
      <c r="V64" s="292">
        <v>-1.8333333333333333</v>
      </c>
      <c r="W64" s="292">
        <v>-1.8333333333333333</v>
      </c>
      <c r="X64" s="292">
        <v>-1.8333333333333333</v>
      </c>
      <c r="Y64" s="292">
        <v>-1.8333333333333333</v>
      </c>
      <c r="Z64" s="292">
        <v>-1.8333333333333333</v>
      </c>
      <c r="AA64" s="311">
        <v>-1.8333333333333333</v>
      </c>
      <c r="AB64" s="153"/>
      <c r="AC64" s="153"/>
      <c r="AD64" s="153"/>
      <c r="AE64" s="153"/>
      <c r="AF64" s="153"/>
      <c r="AG64" s="153"/>
      <c r="AH64" s="153"/>
      <c r="AI64" s="153"/>
      <c r="AJ64" s="153"/>
      <c r="AK64" s="153"/>
      <c r="AL64" s="153"/>
      <c r="AM64" s="153"/>
      <c r="AN64" s="153"/>
      <c r="AO64" s="153"/>
      <c r="AP64" s="153"/>
      <c r="AQ64" s="153"/>
      <c r="AR64" s="153"/>
      <c r="AS64" s="153"/>
      <c r="AT64" s="153"/>
      <c r="AU64" s="153"/>
      <c r="AV64" s="153"/>
      <c r="AW64" s="153"/>
      <c r="AX64" s="153"/>
      <c r="AY64" s="153"/>
      <c r="AZ64" s="153"/>
      <c r="BA64" s="153"/>
      <c r="BB64" s="153"/>
      <c r="BC64" s="153"/>
      <c r="BD64" s="153"/>
      <c r="BE64" s="153"/>
      <c r="BF64" s="153"/>
      <c r="BG64" s="153"/>
      <c r="BH64" s="153"/>
      <c r="BI64" s="153"/>
      <c r="BJ64" s="153"/>
      <c r="BK64" s="153"/>
      <c r="BL64" s="153"/>
      <c r="BM64" s="153"/>
      <c r="BN64" s="153"/>
      <c r="BO64" s="153"/>
      <c r="BP64" s="153"/>
      <c r="BQ64" s="153"/>
      <c r="BR64" s="153"/>
      <c r="BS64" s="153"/>
      <c r="BT64" s="153"/>
      <c r="BU64" s="153"/>
      <c r="BV64" s="153"/>
      <c r="BW64" s="153"/>
      <c r="BX64" s="153"/>
      <c r="BY64" s="153"/>
      <c r="BZ64" s="153"/>
      <c r="CA64" s="153"/>
      <c r="CB64" s="153"/>
      <c r="CC64" s="153"/>
      <c r="CD64" s="153"/>
      <c r="CE64" s="153"/>
      <c r="CF64" s="153"/>
      <c r="CG64" s="153"/>
      <c r="CH64" s="153"/>
      <c r="CI64" s="153"/>
      <c r="CJ64" s="153"/>
      <c r="CK64" s="153"/>
      <c r="CL64" s="153"/>
      <c r="CM64" s="153"/>
      <c r="CN64" s="153"/>
      <c r="CO64" s="153"/>
      <c r="CP64" s="153"/>
      <c r="CQ64" s="153"/>
      <c r="CR64" s="153"/>
      <c r="CS64" s="153"/>
      <c r="CT64" s="153"/>
      <c r="CU64" s="153"/>
      <c r="CV64" s="153"/>
      <c r="CW64" s="153"/>
      <c r="CX64" s="153"/>
      <c r="CY64" s="153"/>
      <c r="CZ64" s="153"/>
      <c r="DA64" s="153"/>
      <c r="DB64" s="153"/>
      <c r="DC64" s="153"/>
      <c r="DD64" s="153"/>
      <c r="DE64" s="153"/>
      <c r="DF64" s="153"/>
      <c r="DG64" s="153"/>
      <c r="DH64" s="153"/>
      <c r="DI64" s="153"/>
      <c r="DJ64" s="153"/>
      <c r="DK64" s="153"/>
      <c r="DL64" s="153"/>
      <c r="DM64" s="153"/>
      <c r="DN64" s="153"/>
      <c r="DO64" s="153"/>
      <c r="DP64" s="153"/>
      <c r="DQ64" s="153"/>
      <c r="DR64" s="153"/>
      <c r="DS64" s="153"/>
      <c r="DT64" s="153"/>
      <c r="DU64" s="153"/>
      <c r="DV64" s="153"/>
      <c r="DW64" s="153"/>
      <c r="DX64" s="153"/>
      <c r="DY64" s="153"/>
      <c r="DZ64" s="153"/>
      <c r="EA64" s="153"/>
      <c r="EB64" s="153"/>
      <c r="EC64" s="153"/>
      <c r="ED64" s="153"/>
      <c r="EE64" s="153"/>
      <c r="EF64" s="153"/>
      <c r="EG64" s="153"/>
      <c r="EH64" s="153"/>
      <c r="EI64" s="153"/>
      <c r="EJ64" s="153"/>
      <c r="EK64" s="153"/>
      <c r="EL64" s="153"/>
      <c r="EM64" s="153"/>
      <c r="EN64" s="153"/>
      <c r="EO64" s="153"/>
      <c r="EP64" s="153"/>
      <c r="EQ64" s="153"/>
      <c r="ER64" s="153"/>
      <c r="ES64" s="153"/>
      <c r="ET64" s="153"/>
      <c r="EU64" s="153"/>
      <c r="EV64" s="153"/>
      <c r="EW64" s="153"/>
      <c r="EX64" s="153"/>
      <c r="EY64" s="153"/>
      <c r="EZ64" s="153"/>
      <c r="FA64" s="153"/>
      <c r="FB64" s="153"/>
    </row>
    <row r="65" spans="1:158" s="291" customFormat="1" ht="15" thickBot="1" x14ac:dyDescent="0.35">
      <c r="A65" s="299" t="s">
        <v>172</v>
      </c>
      <c r="B65" s="300">
        <v>-11.916666666666664</v>
      </c>
      <c r="C65" s="300">
        <v>-11.916666666666664</v>
      </c>
      <c r="D65" s="300">
        <v>-11.916666666666664</v>
      </c>
      <c r="E65" s="300">
        <v>-11.916666666666664</v>
      </c>
      <c r="F65" s="300">
        <v>-11.916666666666664</v>
      </c>
      <c r="G65" s="300">
        <v>-11.916666666666666</v>
      </c>
      <c r="H65" s="300">
        <v>-11.916666666666668</v>
      </c>
      <c r="I65" s="300">
        <v>-11.916666666666668</v>
      </c>
      <c r="J65" s="300">
        <v>-11.916666666666664</v>
      </c>
      <c r="K65" s="300">
        <v>-11.916666666666668</v>
      </c>
      <c r="L65" s="300">
        <v>-11.916666666666668</v>
      </c>
      <c r="M65" s="300">
        <v>-11.916666666666666</v>
      </c>
      <c r="N65" s="300">
        <v>-11.916666666666666</v>
      </c>
      <c r="O65" s="300">
        <v>-11.916666666666666</v>
      </c>
      <c r="P65" s="300">
        <v>-11.916666666666666</v>
      </c>
      <c r="Q65" s="300">
        <v>-11.916666666666666</v>
      </c>
      <c r="R65" s="300">
        <v>-11.916666666666666</v>
      </c>
      <c r="S65" s="300">
        <v>-11.916666666666666</v>
      </c>
      <c r="T65" s="300">
        <v>-11.916666666666666</v>
      </c>
      <c r="U65" s="300">
        <v>-11.916666666666666</v>
      </c>
      <c r="V65" s="300">
        <v>-11.916666666666666</v>
      </c>
      <c r="W65" s="300">
        <v>-11.916666666666666</v>
      </c>
      <c r="X65" s="300">
        <v>-11.916666666666666</v>
      </c>
      <c r="Y65" s="300">
        <v>-11.916666666666666</v>
      </c>
      <c r="Z65" s="300">
        <v>-11.916666666666666</v>
      </c>
      <c r="AA65" s="301">
        <v>-11.916666666666666</v>
      </c>
      <c r="AB65" s="153"/>
      <c r="AC65" s="153"/>
      <c r="AD65" s="153"/>
      <c r="AE65" s="153"/>
      <c r="AF65" s="153"/>
      <c r="AG65" s="153"/>
      <c r="AH65" s="153"/>
      <c r="AI65" s="153"/>
      <c r="AJ65" s="153"/>
      <c r="AK65" s="153"/>
      <c r="AL65" s="153"/>
      <c r="AM65" s="153"/>
      <c r="AN65" s="153"/>
      <c r="AO65" s="153"/>
      <c r="AP65" s="153"/>
      <c r="AQ65" s="153"/>
      <c r="AR65" s="153"/>
      <c r="AS65" s="153"/>
      <c r="AT65" s="153"/>
      <c r="AU65" s="153"/>
      <c r="AV65" s="153"/>
      <c r="AW65" s="153"/>
      <c r="AX65" s="153"/>
      <c r="AY65" s="153"/>
      <c r="AZ65" s="153"/>
      <c r="BA65" s="153"/>
      <c r="BB65" s="153"/>
      <c r="BC65" s="153"/>
      <c r="BD65" s="153"/>
      <c r="BE65" s="153"/>
      <c r="BF65" s="153"/>
      <c r="BG65" s="153"/>
      <c r="BH65" s="153"/>
      <c r="BI65" s="153"/>
      <c r="BJ65" s="153"/>
      <c r="BK65" s="153"/>
      <c r="BL65" s="153"/>
      <c r="BM65" s="153"/>
      <c r="BN65" s="153"/>
      <c r="BO65" s="153"/>
      <c r="BP65" s="153"/>
      <c r="BQ65" s="153"/>
      <c r="BR65" s="153"/>
      <c r="BS65" s="153"/>
      <c r="BT65" s="153"/>
      <c r="BU65" s="153"/>
      <c r="BV65" s="153"/>
      <c r="BW65" s="153"/>
      <c r="BX65" s="153"/>
      <c r="BY65" s="153"/>
      <c r="BZ65" s="153"/>
      <c r="CA65" s="153"/>
      <c r="CB65" s="153"/>
      <c r="CC65" s="153"/>
      <c r="CD65" s="153"/>
      <c r="CE65" s="153"/>
      <c r="CF65" s="153"/>
      <c r="CG65" s="153"/>
      <c r="CH65" s="153"/>
      <c r="CI65" s="153"/>
      <c r="CJ65" s="153"/>
      <c r="CK65" s="153"/>
      <c r="CL65" s="153"/>
      <c r="CM65" s="153"/>
      <c r="CN65" s="153"/>
      <c r="CO65" s="153"/>
      <c r="CP65" s="153"/>
      <c r="CQ65" s="153"/>
      <c r="CR65" s="153"/>
      <c r="CS65" s="153"/>
      <c r="CT65" s="153"/>
      <c r="CU65" s="153"/>
      <c r="CV65" s="153"/>
      <c r="CW65" s="153"/>
      <c r="CX65" s="153"/>
      <c r="CY65" s="153"/>
      <c r="CZ65" s="153"/>
      <c r="DA65" s="153"/>
      <c r="DB65" s="153"/>
      <c r="DC65" s="153"/>
      <c r="DD65" s="153"/>
      <c r="DE65" s="153"/>
      <c r="DF65" s="153"/>
      <c r="DG65" s="153"/>
      <c r="DH65" s="153"/>
      <c r="DI65" s="153"/>
      <c r="DJ65" s="153"/>
      <c r="DK65" s="153"/>
      <c r="DL65" s="153"/>
      <c r="DM65" s="153"/>
      <c r="DN65" s="153"/>
      <c r="DO65" s="153"/>
      <c r="DP65" s="153"/>
      <c r="DQ65" s="153"/>
      <c r="DR65" s="153"/>
      <c r="DS65" s="153"/>
      <c r="DT65" s="153"/>
      <c r="DU65" s="153"/>
      <c r="DV65" s="153"/>
      <c r="DW65" s="153"/>
      <c r="DX65" s="153"/>
      <c r="DY65" s="153"/>
      <c r="DZ65" s="153"/>
      <c r="EA65" s="153"/>
      <c r="EB65" s="153"/>
      <c r="EC65" s="153"/>
      <c r="ED65" s="153"/>
      <c r="EE65" s="153"/>
      <c r="EF65" s="153"/>
      <c r="EG65" s="153"/>
      <c r="EH65" s="153"/>
      <c r="EI65" s="153"/>
      <c r="EJ65" s="153"/>
      <c r="EK65" s="153"/>
      <c r="EL65" s="153"/>
      <c r="EM65" s="153"/>
      <c r="EN65" s="153"/>
      <c r="EO65" s="153"/>
      <c r="EP65" s="153"/>
      <c r="EQ65" s="153"/>
      <c r="ER65" s="153"/>
      <c r="ES65" s="153"/>
      <c r="ET65" s="153"/>
      <c r="EU65" s="153"/>
      <c r="EV65" s="153"/>
      <c r="EW65" s="153"/>
      <c r="EX65" s="153"/>
      <c r="EY65" s="153"/>
      <c r="EZ65" s="153"/>
      <c r="FA65" s="153"/>
      <c r="FB65" s="153"/>
    </row>
    <row r="66" spans="1:158" s="294" customFormat="1" x14ac:dyDescent="0.3">
      <c r="A66" s="302" t="s">
        <v>173</v>
      </c>
      <c r="B66" s="303">
        <v>0</v>
      </c>
      <c r="C66" s="303">
        <v>0</v>
      </c>
      <c r="D66" s="303">
        <v>0</v>
      </c>
      <c r="E66" s="303">
        <v>0</v>
      </c>
      <c r="F66" s="303">
        <v>0</v>
      </c>
      <c r="G66" s="303">
        <v>0</v>
      </c>
      <c r="H66" s="303">
        <v>0</v>
      </c>
      <c r="I66" s="303">
        <v>8.0995264972696628</v>
      </c>
      <c r="J66" s="303">
        <v>7.9597088833776759</v>
      </c>
      <c r="K66" s="303">
        <v>142.99479541296918</v>
      </c>
      <c r="L66" s="303">
        <v>142.99479541296918</v>
      </c>
      <c r="M66" s="303">
        <v>265.6829491216991</v>
      </c>
      <c r="N66" s="303">
        <v>265.6829491216991</v>
      </c>
      <c r="O66" s="303">
        <v>64.10882495769107</v>
      </c>
      <c r="P66" s="303">
        <v>64.10882495769107</v>
      </c>
      <c r="Q66" s="303">
        <v>64.10882495769107</v>
      </c>
      <c r="R66" s="303">
        <v>64.10882495769107</v>
      </c>
      <c r="S66" s="303">
        <v>64.10882495769107</v>
      </c>
      <c r="T66" s="303">
        <v>64.10882495769107</v>
      </c>
      <c r="U66" s="303">
        <v>64.10882495769107</v>
      </c>
      <c r="V66" s="303">
        <v>64.10882495769107</v>
      </c>
      <c r="W66" s="303">
        <v>64.10882495769107</v>
      </c>
      <c r="X66" s="303">
        <v>64.10882495769107</v>
      </c>
      <c r="Y66" s="303">
        <v>64.10882495769107</v>
      </c>
      <c r="Z66" s="303">
        <v>64.10882495769107</v>
      </c>
      <c r="AA66" s="304">
        <v>64.10882495769107</v>
      </c>
      <c r="AB66" s="153"/>
      <c r="AC66" s="153"/>
      <c r="AD66" s="153"/>
      <c r="AE66" s="153"/>
      <c r="AF66" s="153"/>
      <c r="AG66" s="153"/>
      <c r="AH66" s="153"/>
      <c r="AI66" s="153"/>
      <c r="AJ66" s="153"/>
      <c r="AK66" s="153"/>
      <c r="AL66" s="153"/>
      <c r="AM66" s="153"/>
      <c r="AN66" s="153"/>
      <c r="AO66" s="153"/>
      <c r="AP66" s="153"/>
      <c r="AQ66" s="153"/>
      <c r="AR66" s="153"/>
      <c r="AS66" s="153"/>
      <c r="AT66" s="153"/>
      <c r="AU66" s="153"/>
      <c r="AV66" s="153"/>
      <c r="AW66" s="153"/>
      <c r="AX66" s="153"/>
      <c r="AY66" s="153"/>
      <c r="AZ66" s="153"/>
      <c r="BA66" s="153"/>
      <c r="BB66" s="153"/>
      <c r="BC66" s="153"/>
      <c r="BD66" s="153"/>
      <c r="BE66" s="153"/>
      <c r="BF66" s="153"/>
      <c r="BG66" s="153"/>
      <c r="BH66" s="153"/>
      <c r="BI66" s="153"/>
      <c r="BJ66" s="153"/>
      <c r="BK66" s="153"/>
      <c r="BL66" s="153"/>
      <c r="BM66" s="153"/>
      <c r="BN66" s="153"/>
      <c r="BO66" s="153"/>
      <c r="BP66" s="153"/>
      <c r="BQ66" s="153"/>
      <c r="BR66" s="153"/>
      <c r="BS66" s="153"/>
      <c r="BT66" s="153"/>
      <c r="BU66" s="153"/>
      <c r="BV66" s="153"/>
      <c r="BW66" s="153"/>
      <c r="BX66" s="153"/>
      <c r="BY66" s="153"/>
      <c r="BZ66" s="153"/>
      <c r="CA66" s="153"/>
      <c r="CB66" s="153"/>
      <c r="CC66" s="153"/>
      <c r="CD66" s="153"/>
      <c r="CE66" s="153"/>
      <c r="CF66" s="153"/>
      <c r="CG66" s="153"/>
      <c r="CH66" s="153"/>
      <c r="CI66" s="153"/>
      <c r="CJ66" s="153"/>
      <c r="CK66" s="153"/>
      <c r="CL66" s="153"/>
      <c r="CM66" s="153"/>
      <c r="CN66" s="153"/>
      <c r="CO66" s="153"/>
      <c r="CP66" s="153"/>
      <c r="CQ66" s="153"/>
      <c r="CR66" s="153"/>
      <c r="CS66" s="153"/>
      <c r="CT66" s="153"/>
      <c r="CU66" s="153"/>
      <c r="CV66" s="153"/>
      <c r="CW66" s="153"/>
      <c r="CX66" s="153"/>
      <c r="CY66" s="153"/>
      <c r="CZ66" s="153"/>
      <c r="DA66" s="153"/>
      <c r="DB66" s="153"/>
      <c r="DC66" s="153"/>
      <c r="DD66" s="153"/>
      <c r="DE66" s="153"/>
      <c r="DF66" s="153"/>
      <c r="DG66" s="153"/>
      <c r="DH66" s="153"/>
      <c r="DI66" s="153"/>
      <c r="DJ66" s="153"/>
      <c r="DK66" s="153"/>
      <c r="DL66" s="153"/>
      <c r="DM66" s="153"/>
      <c r="DN66" s="153"/>
      <c r="DO66" s="153"/>
      <c r="DP66" s="153"/>
      <c r="DQ66" s="153"/>
      <c r="DR66" s="153"/>
      <c r="DS66" s="153"/>
      <c r="DT66" s="153"/>
      <c r="DU66" s="153"/>
      <c r="DV66" s="153"/>
      <c r="DW66" s="153"/>
      <c r="DX66" s="153"/>
      <c r="DY66" s="153"/>
      <c r="DZ66" s="153"/>
      <c r="EA66" s="153"/>
      <c r="EB66" s="153"/>
      <c r="EC66" s="153"/>
      <c r="ED66" s="153"/>
      <c r="EE66" s="153"/>
      <c r="EF66" s="153"/>
      <c r="EG66" s="153"/>
      <c r="EH66" s="153"/>
      <c r="EI66" s="153"/>
      <c r="EJ66" s="153"/>
      <c r="EK66" s="153"/>
      <c r="EL66" s="153"/>
      <c r="EM66" s="153"/>
      <c r="EN66" s="153"/>
      <c r="EO66" s="153"/>
      <c r="EP66" s="153"/>
      <c r="EQ66" s="153"/>
      <c r="ER66" s="153"/>
      <c r="ES66" s="153"/>
      <c r="ET66" s="153"/>
      <c r="EU66" s="153"/>
      <c r="EV66" s="153"/>
      <c r="EW66" s="153"/>
      <c r="EX66" s="153"/>
      <c r="EY66" s="153"/>
      <c r="EZ66" s="153"/>
      <c r="FA66" s="153"/>
      <c r="FB66" s="153"/>
    </row>
    <row r="67" spans="1:158" s="294" customFormat="1" x14ac:dyDescent="0.3">
      <c r="A67" s="305" t="s">
        <v>174</v>
      </c>
      <c r="B67" s="295">
        <v>0</v>
      </c>
      <c r="C67" s="295">
        <v>0</v>
      </c>
      <c r="D67" s="295">
        <v>0</v>
      </c>
      <c r="E67" s="295">
        <v>0</v>
      </c>
      <c r="F67" s="295">
        <v>0</v>
      </c>
      <c r="G67" s="295">
        <v>0</v>
      </c>
      <c r="H67" s="295">
        <v>0</v>
      </c>
      <c r="I67" s="295">
        <v>20.45326368282376</v>
      </c>
      <c r="J67" s="295">
        <v>20.129101366032945</v>
      </c>
      <c r="K67" s="295">
        <v>166.75342836272864</v>
      </c>
      <c r="L67" s="295">
        <v>166.75342836272864</v>
      </c>
      <c r="M67" s="295">
        <v>9.4441740669934546</v>
      </c>
      <c r="N67" s="295">
        <v>9.4441740669934546</v>
      </c>
      <c r="O67" s="295">
        <v>30.229043839100068</v>
      </c>
      <c r="P67" s="295">
        <v>30.229043839100068</v>
      </c>
      <c r="Q67" s="295">
        <v>30.229043839100068</v>
      </c>
      <c r="R67" s="295">
        <v>30.229043839100068</v>
      </c>
      <c r="S67" s="295">
        <v>30.229043839100068</v>
      </c>
      <c r="T67" s="295">
        <v>30.229043839100068</v>
      </c>
      <c r="U67" s="295">
        <v>30.229043839100068</v>
      </c>
      <c r="V67" s="295">
        <v>30.229043839100068</v>
      </c>
      <c r="W67" s="295">
        <v>30.229043839100068</v>
      </c>
      <c r="X67" s="295">
        <v>30.229043839100068</v>
      </c>
      <c r="Y67" s="295">
        <v>30.229043839100068</v>
      </c>
      <c r="Z67" s="295">
        <v>30.229043839100068</v>
      </c>
      <c r="AA67" s="306">
        <v>30.229043839100068</v>
      </c>
      <c r="AB67" s="153"/>
      <c r="AC67" s="153"/>
      <c r="AD67" s="153"/>
      <c r="AE67" s="153"/>
      <c r="AF67" s="153"/>
      <c r="AG67" s="153"/>
      <c r="AH67" s="153"/>
      <c r="AI67" s="153"/>
      <c r="AJ67" s="153"/>
      <c r="AK67" s="153"/>
      <c r="AL67" s="153"/>
      <c r="AM67" s="153"/>
      <c r="AN67" s="153"/>
      <c r="AO67" s="153"/>
      <c r="AP67" s="153"/>
      <c r="AQ67" s="153"/>
      <c r="AR67" s="153"/>
      <c r="AS67" s="153"/>
      <c r="AT67" s="153"/>
      <c r="AU67" s="153"/>
      <c r="AV67" s="153"/>
      <c r="AW67" s="153"/>
      <c r="AX67" s="153"/>
      <c r="AY67" s="153"/>
      <c r="AZ67" s="153"/>
      <c r="BA67" s="153"/>
      <c r="BB67" s="153"/>
      <c r="BC67" s="153"/>
      <c r="BD67" s="153"/>
      <c r="BE67" s="153"/>
      <c r="BF67" s="153"/>
      <c r="BG67" s="153"/>
      <c r="BH67" s="153"/>
      <c r="BI67" s="153"/>
      <c r="BJ67" s="153"/>
      <c r="BK67" s="153"/>
      <c r="BL67" s="153"/>
      <c r="BM67" s="153"/>
      <c r="BN67" s="153"/>
      <c r="BO67" s="153"/>
      <c r="BP67" s="153"/>
      <c r="BQ67" s="153"/>
      <c r="BR67" s="153"/>
      <c r="BS67" s="153"/>
      <c r="BT67" s="153"/>
      <c r="BU67" s="153"/>
      <c r="BV67" s="153"/>
      <c r="BW67" s="153"/>
      <c r="BX67" s="153"/>
      <c r="BY67" s="153"/>
      <c r="BZ67" s="153"/>
      <c r="CA67" s="153"/>
      <c r="CB67" s="153"/>
      <c r="CC67" s="153"/>
      <c r="CD67" s="153"/>
      <c r="CE67" s="153"/>
      <c r="CF67" s="153"/>
      <c r="CG67" s="153"/>
      <c r="CH67" s="153"/>
      <c r="CI67" s="153"/>
      <c r="CJ67" s="153"/>
      <c r="CK67" s="153"/>
      <c r="CL67" s="153"/>
      <c r="CM67" s="153"/>
      <c r="CN67" s="153"/>
      <c r="CO67" s="153"/>
      <c r="CP67" s="153"/>
      <c r="CQ67" s="153"/>
      <c r="CR67" s="153"/>
      <c r="CS67" s="153"/>
      <c r="CT67" s="153"/>
      <c r="CU67" s="153"/>
      <c r="CV67" s="153"/>
      <c r="CW67" s="153"/>
      <c r="CX67" s="153"/>
      <c r="CY67" s="153"/>
      <c r="CZ67" s="153"/>
      <c r="DA67" s="153"/>
      <c r="DB67" s="153"/>
      <c r="DC67" s="153"/>
      <c r="DD67" s="153"/>
      <c r="DE67" s="153"/>
      <c r="DF67" s="153"/>
      <c r="DG67" s="153"/>
      <c r="DH67" s="153"/>
      <c r="DI67" s="153"/>
      <c r="DJ67" s="153"/>
      <c r="DK67" s="153"/>
      <c r="DL67" s="153"/>
      <c r="DM67" s="153"/>
      <c r="DN67" s="153"/>
      <c r="DO67" s="153"/>
      <c r="DP67" s="153"/>
      <c r="DQ67" s="153"/>
      <c r="DR67" s="153"/>
      <c r="DS67" s="153"/>
      <c r="DT67" s="153"/>
      <c r="DU67" s="153"/>
      <c r="DV67" s="153"/>
      <c r="DW67" s="153"/>
      <c r="DX67" s="153"/>
      <c r="DY67" s="153"/>
      <c r="DZ67" s="153"/>
      <c r="EA67" s="153"/>
      <c r="EB67" s="153"/>
      <c r="EC67" s="153"/>
      <c r="ED67" s="153"/>
      <c r="EE67" s="153"/>
      <c r="EF67" s="153"/>
      <c r="EG67" s="153"/>
      <c r="EH67" s="153"/>
      <c r="EI67" s="153"/>
      <c r="EJ67" s="153"/>
      <c r="EK67" s="153"/>
      <c r="EL67" s="153"/>
      <c r="EM67" s="153"/>
      <c r="EN67" s="153"/>
      <c r="EO67" s="153"/>
      <c r="EP67" s="153"/>
      <c r="EQ67" s="153"/>
      <c r="ER67" s="153"/>
      <c r="ES67" s="153"/>
      <c r="ET67" s="153"/>
      <c r="EU67" s="153"/>
      <c r="EV67" s="153"/>
      <c r="EW67" s="153"/>
      <c r="EX67" s="153"/>
      <c r="EY67" s="153"/>
      <c r="EZ67" s="153"/>
      <c r="FA67" s="153"/>
      <c r="FB67" s="153"/>
    </row>
    <row r="68" spans="1:158" s="294" customFormat="1" x14ac:dyDescent="0.3">
      <c r="A68" s="305" t="s">
        <v>175</v>
      </c>
      <c r="B68" s="295">
        <v>0</v>
      </c>
      <c r="C68" s="295">
        <v>0</v>
      </c>
      <c r="D68" s="295">
        <v>0</v>
      </c>
      <c r="E68" s="295">
        <v>0</v>
      </c>
      <c r="F68" s="295">
        <v>0</v>
      </c>
      <c r="G68" s="295">
        <v>0</v>
      </c>
      <c r="H68" s="295">
        <v>0</v>
      </c>
      <c r="I68" s="295">
        <v>281.85371407580936</v>
      </c>
      <c r="J68" s="295">
        <v>279.75025573687969</v>
      </c>
      <c r="K68" s="295">
        <v>344.31155784238285</v>
      </c>
      <c r="L68" s="295">
        <v>344.31155784238285</v>
      </c>
      <c r="M68" s="295">
        <v>501.77195179583879</v>
      </c>
      <c r="N68" s="295">
        <v>501.77195179583879</v>
      </c>
      <c r="O68" s="295">
        <v>173.36699916070251</v>
      </c>
      <c r="P68" s="295">
        <v>173.36699916070251</v>
      </c>
      <c r="Q68" s="295">
        <v>173.36699916070251</v>
      </c>
      <c r="R68" s="295">
        <v>173.36699916070251</v>
      </c>
      <c r="S68" s="295">
        <v>173.36699916070251</v>
      </c>
      <c r="T68" s="295">
        <v>173.36699916070251</v>
      </c>
      <c r="U68" s="295">
        <v>173.36699916070251</v>
      </c>
      <c r="V68" s="295">
        <v>173.36699916070251</v>
      </c>
      <c r="W68" s="295">
        <v>173.36699916070251</v>
      </c>
      <c r="X68" s="295">
        <v>173.36699916070251</v>
      </c>
      <c r="Y68" s="295">
        <v>173.36699916070251</v>
      </c>
      <c r="Z68" s="295">
        <v>173.36699916070251</v>
      </c>
      <c r="AA68" s="306">
        <v>173.36699916070251</v>
      </c>
      <c r="AB68" s="153"/>
      <c r="AC68" s="153"/>
      <c r="AD68" s="153"/>
      <c r="AE68" s="153"/>
      <c r="AF68" s="153"/>
      <c r="AG68" s="153"/>
      <c r="AH68" s="153"/>
      <c r="AI68" s="153"/>
      <c r="AJ68" s="153"/>
      <c r="AK68" s="153"/>
      <c r="AL68" s="153"/>
      <c r="AM68" s="153"/>
      <c r="AN68" s="153"/>
      <c r="AO68" s="153"/>
      <c r="AP68" s="153"/>
      <c r="AQ68" s="153"/>
      <c r="AR68" s="153"/>
      <c r="AS68" s="153"/>
      <c r="AT68" s="153"/>
      <c r="AU68" s="153"/>
      <c r="AV68" s="153"/>
      <c r="AW68" s="153"/>
      <c r="AX68" s="153"/>
      <c r="AY68" s="153"/>
      <c r="AZ68" s="153"/>
      <c r="BA68" s="153"/>
      <c r="BB68" s="153"/>
      <c r="BC68" s="153"/>
      <c r="BD68" s="153"/>
      <c r="BE68" s="153"/>
      <c r="BF68" s="153"/>
      <c r="BG68" s="153"/>
      <c r="BH68" s="153"/>
      <c r="BI68" s="153"/>
      <c r="BJ68" s="153"/>
      <c r="BK68" s="153"/>
      <c r="BL68" s="153"/>
      <c r="BM68" s="153"/>
      <c r="BN68" s="153"/>
      <c r="BO68" s="153"/>
      <c r="BP68" s="153"/>
      <c r="BQ68" s="153"/>
      <c r="BR68" s="153"/>
      <c r="BS68" s="153"/>
      <c r="BT68" s="153"/>
      <c r="BU68" s="153"/>
      <c r="BV68" s="153"/>
      <c r="BW68" s="153"/>
      <c r="BX68" s="153"/>
      <c r="BY68" s="153"/>
      <c r="BZ68" s="153"/>
      <c r="CA68" s="153"/>
      <c r="CB68" s="153"/>
      <c r="CC68" s="153"/>
      <c r="CD68" s="153"/>
      <c r="CE68" s="153"/>
      <c r="CF68" s="153"/>
      <c r="CG68" s="153"/>
      <c r="CH68" s="153"/>
      <c r="CI68" s="153"/>
      <c r="CJ68" s="153"/>
      <c r="CK68" s="153"/>
      <c r="CL68" s="153"/>
      <c r="CM68" s="153"/>
      <c r="CN68" s="153"/>
      <c r="CO68" s="153"/>
      <c r="CP68" s="153"/>
      <c r="CQ68" s="153"/>
      <c r="CR68" s="153"/>
      <c r="CS68" s="153"/>
      <c r="CT68" s="153"/>
      <c r="CU68" s="153"/>
      <c r="CV68" s="153"/>
      <c r="CW68" s="153"/>
      <c r="CX68" s="153"/>
      <c r="CY68" s="153"/>
      <c r="CZ68" s="153"/>
      <c r="DA68" s="153"/>
      <c r="DB68" s="153"/>
      <c r="DC68" s="153"/>
      <c r="DD68" s="153"/>
      <c r="DE68" s="153"/>
      <c r="DF68" s="153"/>
      <c r="DG68" s="153"/>
      <c r="DH68" s="153"/>
      <c r="DI68" s="153"/>
      <c r="DJ68" s="153"/>
      <c r="DK68" s="153"/>
      <c r="DL68" s="153"/>
      <c r="DM68" s="153"/>
      <c r="DN68" s="153"/>
      <c r="DO68" s="153"/>
      <c r="DP68" s="153"/>
      <c r="DQ68" s="153"/>
      <c r="DR68" s="153"/>
      <c r="DS68" s="153"/>
      <c r="DT68" s="153"/>
      <c r="DU68" s="153"/>
      <c r="DV68" s="153"/>
      <c r="DW68" s="153"/>
      <c r="DX68" s="153"/>
      <c r="DY68" s="153"/>
      <c r="DZ68" s="153"/>
      <c r="EA68" s="153"/>
      <c r="EB68" s="153"/>
      <c r="EC68" s="153"/>
      <c r="ED68" s="153"/>
      <c r="EE68" s="153"/>
      <c r="EF68" s="153"/>
      <c r="EG68" s="153"/>
      <c r="EH68" s="153"/>
      <c r="EI68" s="153"/>
      <c r="EJ68" s="153"/>
      <c r="EK68" s="153"/>
      <c r="EL68" s="153"/>
      <c r="EM68" s="153"/>
      <c r="EN68" s="153"/>
      <c r="EO68" s="153"/>
      <c r="EP68" s="153"/>
      <c r="EQ68" s="153"/>
      <c r="ER68" s="153"/>
      <c r="ES68" s="153"/>
      <c r="ET68" s="153"/>
      <c r="EU68" s="153"/>
      <c r="EV68" s="153"/>
      <c r="EW68" s="153"/>
      <c r="EX68" s="153"/>
      <c r="EY68" s="153"/>
      <c r="EZ68" s="153"/>
      <c r="FA68" s="153"/>
      <c r="FB68" s="153"/>
    </row>
    <row r="69" spans="1:158" s="294" customFormat="1" x14ac:dyDescent="0.3">
      <c r="A69" s="305" t="s">
        <v>176</v>
      </c>
      <c r="B69" s="295">
        <v>0</v>
      </c>
      <c r="C69" s="295">
        <v>0</v>
      </c>
      <c r="D69" s="295">
        <v>0</v>
      </c>
      <c r="E69" s="295">
        <v>0</v>
      </c>
      <c r="F69" s="295">
        <v>0</v>
      </c>
      <c r="G69" s="295">
        <v>0</v>
      </c>
      <c r="H69" s="295">
        <v>0</v>
      </c>
      <c r="I69" s="295">
        <v>670.12317712356821</v>
      </c>
      <c r="J69" s="295">
        <v>670.2996794366112</v>
      </c>
      <c r="K69" s="295">
        <v>809.16805880061145</v>
      </c>
      <c r="L69" s="295">
        <v>809.16805880061145</v>
      </c>
      <c r="M69" s="295">
        <v>777.11758198572591</v>
      </c>
      <c r="N69" s="295">
        <v>777.11758198572591</v>
      </c>
      <c r="O69" s="295">
        <v>347.1533952409888</v>
      </c>
      <c r="P69" s="295">
        <v>347.1533952409888</v>
      </c>
      <c r="Q69" s="295">
        <v>347.1533952409888</v>
      </c>
      <c r="R69" s="295">
        <v>347.1533952409888</v>
      </c>
      <c r="S69" s="295">
        <v>347.1533952409888</v>
      </c>
      <c r="T69" s="295">
        <v>347.1533952409888</v>
      </c>
      <c r="U69" s="295">
        <v>347.1533952409888</v>
      </c>
      <c r="V69" s="295">
        <v>347.1533952409888</v>
      </c>
      <c r="W69" s="295">
        <v>347.1533952409888</v>
      </c>
      <c r="X69" s="295">
        <v>347.1533952409888</v>
      </c>
      <c r="Y69" s="295">
        <v>347.1533952409888</v>
      </c>
      <c r="Z69" s="295">
        <v>347.1533952409888</v>
      </c>
      <c r="AA69" s="306">
        <v>347.1533952409888</v>
      </c>
      <c r="AB69" s="153"/>
      <c r="AC69" s="153"/>
      <c r="AD69" s="153"/>
      <c r="AE69" s="153"/>
      <c r="AF69" s="153"/>
      <c r="AG69" s="153"/>
      <c r="AH69" s="153"/>
      <c r="AI69" s="153"/>
      <c r="AJ69" s="153"/>
      <c r="AK69" s="153"/>
      <c r="AL69" s="153"/>
      <c r="AM69" s="153"/>
      <c r="AN69" s="153"/>
      <c r="AO69" s="153"/>
      <c r="AP69" s="153"/>
      <c r="AQ69" s="153"/>
      <c r="AR69" s="153"/>
      <c r="AS69" s="153"/>
      <c r="AT69" s="153"/>
      <c r="AU69" s="153"/>
      <c r="AV69" s="153"/>
      <c r="AW69" s="153"/>
      <c r="AX69" s="153"/>
      <c r="AY69" s="153"/>
      <c r="AZ69" s="153"/>
      <c r="BA69" s="153"/>
      <c r="BB69" s="153"/>
      <c r="BC69" s="153"/>
      <c r="BD69" s="153"/>
      <c r="BE69" s="153"/>
      <c r="BF69" s="153"/>
      <c r="BG69" s="153"/>
      <c r="BH69" s="153"/>
      <c r="BI69" s="153"/>
      <c r="BJ69" s="153"/>
      <c r="BK69" s="153"/>
      <c r="BL69" s="153"/>
      <c r="BM69" s="153"/>
      <c r="BN69" s="153"/>
      <c r="BO69" s="153"/>
      <c r="BP69" s="153"/>
      <c r="BQ69" s="153"/>
      <c r="BR69" s="153"/>
      <c r="BS69" s="153"/>
      <c r="BT69" s="153"/>
      <c r="BU69" s="153"/>
      <c r="BV69" s="153"/>
      <c r="BW69" s="153"/>
      <c r="BX69" s="153"/>
      <c r="BY69" s="153"/>
      <c r="BZ69" s="153"/>
      <c r="CA69" s="153"/>
      <c r="CB69" s="153"/>
      <c r="CC69" s="153"/>
      <c r="CD69" s="153"/>
      <c r="CE69" s="153"/>
      <c r="CF69" s="153"/>
      <c r="CG69" s="153"/>
      <c r="CH69" s="153"/>
      <c r="CI69" s="153"/>
      <c r="CJ69" s="153"/>
      <c r="CK69" s="153"/>
      <c r="CL69" s="153"/>
      <c r="CM69" s="153"/>
      <c r="CN69" s="153"/>
      <c r="CO69" s="153"/>
      <c r="CP69" s="153"/>
      <c r="CQ69" s="153"/>
      <c r="CR69" s="153"/>
      <c r="CS69" s="153"/>
      <c r="CT69" s="153"/>
      <c r="CU69" s="153"/>
      <c r="CV69" s="153"/>
      <c r="CW69" s="153"/>
      <c r="CX69" s="153"/>
      <c r="CY69" s="153"/>
      <c r="CZ69" s="153"/>
      <c r="DA69" s="153"/>
      <c r="DB69" s="153"/>
      <c r="DC69" s="153"/>
      <c r="DD69" s="153"/>
      <c r="DE69" s="153"/>
      <c r="DF69" s="153"/>
      <c r="DG69" s="153"/>
      <c r="DH69" s="153"/>
      <c r="DI69" s="153"/>
      <c r="DJ69" s="153"/>
      <c r="DK69" s="153"/>
      <c r="DL69" s="153"/>
      <c r="DM69" s="153"/>
      <c r="DN69" s="153"/>
      <c r="DO69" s="153"/>
      <c r="DP69" s="153"/>
      <c r="DQ69" s="153"/>
      <c r="DR69" s="153"/>
      <c r="DS69" s="153"/>
      <c r="DT69" s="153"/>
      <c r="DU69" s="153"/>
      <c r="DV69" s="153"/>
      <c r="DW69" s="153"/>
      <c r="DX69" s="153"/>
      <c r="DY69" s="153"/>
      <c r="DZ69" s="153"/>
      <c r="EA69" s="153"/>
      <c r="EB69" s="153"/>
      <c r="EC69" s="153"/>
      <c r="ED69" s="153"/>
      <c r="EE69" s="153"/>
      <c r="EF69" s="153"/>
      <c r="EG69" s="153"/>
      <c r="EH69" s="153"/>
      <c r="EI69" s="153"/>
      <c r="EJ69" s="153"/>
      <c r="EK69" s="153"/>
      <c r="EL69" s="153"/>
      <c r="EM69" s="153"/>
      <c r="EN69" s="153"/>
      <c r="EO69" s="153"/>
      <c r="EP69" s="153"/>
      <c r="EQ69" s="153"/>
      <c r="ER69" s="153"/>
      <c r="ES69" s="153"/>
      <c r="ET69" s="153"/>
      <c r="EU69" s="153"/>
      <c r="EV69" s="153"/>
      <c r="EW69" s="153"/>
      <c r="EX69" s="153"/>
      <c r="EY69" s="153"/>
      <c r="EZ69" s="153"/>
      <c r="FA69" s="153"/>
      <c r="FB69" s="153"/>
    </row>
    <row r="70" spans="1:158" s="294" customFormat="1" x14ac:dyDescent="0.3">
      <c r="A70" s="305" t="s">
        <v>177</v>
      </c>
      <c r="B70" s="295">
        <v>0</v>
      </c>
      <c r="C70" s="295">
        <v>0</v>
      </c>
      <c r="D70" s="295">
        <v>0</v>
      </c>
      <c r="E70" s="295">
        <v>0</v>
      </c>
      <c r="F70" s="295">
        <v>0</v>
      </c>
      <c r="G70" s="295">
        <v>0</v>
      </c>
      <c r="H70" s="295">
        <v>0</v>
      </c>
      <c r="I70" s="295">
        <v>82.982687924068344</v>
      </c>
      <c r="J70" s="295">
        <v>85.462755818077639</v>
      </c>
      <c r="K70" s="295">
        <v>65.068073283412943</v>
      </c>
      <c r="L70" s="295">
        <v>65.068073283412943</v>
      </c>
      <c r="M70" s="295">
        <v>292.69064009395538</v>
      </c>
      <c r="N70" s="295">
        <v>292.69064009395538</v>
      </c>
      <c r="O70" s="295">
        <v>67.997143884375589</v>
      </c>
      <c r="P70" s="295">
        <v>67.997143884375589</v>
      </c>
      <c r="Q70" s="295">
        <v>67.997143884375589</v>
      </c>
      <c r="R70" s="295">
        <v>67.997143884375589</v>
      </c>
      <c r="S70" s="295">
        <v>67.997143884375589</v>
      </c>
      <c r="T70" s="295">
        <v>67.997143884375589</v>
      </c>
      <c r="U70" s="295">
        <v>67.997143884375589</v>
      </c>
      <c r="V70" s="295">
        <v>67.997143884375589</v>
      </c>
      <c r="W70" s="295">
        <v>67.997143884375589</v>
      </c>
      <c r="X70" s="295">
        <v>67.997143884375589</v>
      </c>
      <c r="Y70" s="295">
        <v>67.997143884375589</v>
      </c>
      <c r="Z70" s="295">
        <v>67.997143884375589</v>
      </c>
      <c r="AA70" s="306">
        <v>67.997143884375589</v>
      </c>
      <c r="AB70" s="153"/>
      <c r="AC70" s="153"/>
      <c r="AD70" s="153"/>
      <c r="AE70" s="153"/>
      <c r="AF70" s="153"/>
      <c r="AG70" s="153"/>
      <c r="AH70" s="153"/>
      <c r="AI70" s="153"/>
      <c r="AJ70" s="153"/>
      <c r="AK70" s="153"/>
      <c r="AL70" s="153"/>
      <c r="AM70" s="153"/>
      <c r="AN70" s="153"/>
      <c r="AO70" s="153"/>
      <c r="AP70" s="153"/>
      <c r="AQ70" s="153"/>
      <c r="AR70" s="153"/>
      <c r="AS70" s="153"/>
      <c r="AT70" s="153"/>
      <c r="AU70" s="153"/>
      <c r="AV70" s="153"/>
      <c r="AW70" s="153"/>
      <c r="AX70" s="153"/>
      <c r="AY70" s="153"/>
      <c r="AZ70" s="153"/>
      <c r="BA70" s="153"/>
      <c r="BB70" s="153"/>
      <c r="BC70" s="153"/>
      <c r="BD70" s="153"/>
      <c r="BE70" s="153"/>
      <c r="BF70" s="153"/>
      <c r="BG70" s="153"/>
      <c r="BH70" s="153"/>
      <c r="BI70" s="153"/>
      <c r="BJ70" s="153"/>
      <c r="BK70" s="153"/>
      <c r="BL70" s="153"/>
      <c r="BM70" s="153"/>
      <c r="BN70" s="153"/>
      <c r="BO70" s="153"/>
      <c r="BP70" s="153"/>
      <c r="BQ70" s="153"/>
      <c r="BR70" s="153"/>
      <c r="BS70" s="153"/>
      <c r="BT70" s="153"/>
      <c r="BU70" s="153"/>
      <c r="BV70" s="153"/>
      <c r="BW70" s="153"/>
      <c r="BX70" s="153"/>
      <c r="BY70" s="153"/>
      <c r="BZ70" s="153"/>
      <c r="CA70" s="153"/>
      <c r="CB70" s="153"/>
      <c r="CC70" s="153"/>
      <c r="CD70" s="153"/>
      <c r="CE70" s="153"/>
      <c r="CF70" s="153"/>
      <c r="CG70" s="153"/>
      <c r="CH70" s="153"/>
      <c r="CI70" s="153"/>
      <c r="CJ70" s="153"/>
      <c r="CK70" s="153"/>
      <c r="CL70" s="153"/>
      <c r="CM70" s="153"/>
      <c r="CN70" s="153"/>
      <c r="CO70" s="153"/>
      <c r="CP70" s="153"/>
      <c r="CQ70" s="153"/>
      <c r="CR70" s="153"/>
      <c r="CS70" s="153"/>
      <c r="CT70" s="153"/>
      <c r="CU70" s="153"/>
      <c r="CV70" s="153"/>
      <c r="CW70" s="153"/>
      <c r="CX70" s="153"/>
      <c r="CY70" s="153"/>
      <c r="CZ70" s="153"/>
      <c r="DA70" s="153"/>
      <c r="DB70" s="153"/>
      <c r="DC70" s="153"/>
      <c r="DD70" s="153"/>
      <c r="DE70" s="153"/>
      <c r="DF70" s="153"/>
      <c r="DG70" s="153"/>
      <c r="DH70" s="153"/>
      <c r="DI70" s="153"/>
      <c r="DJ70" s="153"/>
      <c r="DK70" s="153"/>
      <c r="DL70" s="153"/>
      <c r="DM70" s="153"/>
      <c r="DN70" s="153"/>
      <c r="DO70" s="153"/>
      <c r="DP70" s="153"/>
      <c r="DQ70" s="153"/>
      <c r="DR70" s="153"/>
      <c r="DS70" s="153"/>
      <c r="DT70" s="153"/>
      <c r="DU70" s="153"/>
      <c r="DV70" s="153"/>
      <c r="DW70" s="153"/>
      <c r="DX70" s="153"/>
      <c r="DY70" s="153"/>
      <c r="DZ70" s="153"/>
      <c r="EA70" s="153"/>
      <c r="EB70" s="153"/>
      <c r="EC70" s="153"/>
      <c r="ED70" s="153"/>
      <c r="EE70" s="153"/>
      <c r="EF70" s="153"/>
      <c r="EG70" s="153"/>
      <c r="EH70" s="153"/>
      <c r="EI70" s="153"/>
      <c r="EJ70" s="153"/>
      <c r="EK70" s="153"/>
      <c r="EL70" s="153"/>
      <c r="EM70" s="153"/>
      <c r="EN70" s="153"/>
      <c r="EO70" s="153"/>
      <c r="EP70" s="153"/>
      <c r="EQ70" s="153"/>
      <c r="ER70" s="153"/>
      <c r="ES70" s="153"/>
      <c r="ET70" s="153"/>
      <c r="EU70" s="153"/>
      <c r="EV70" s="153"/>
      <c r="EW70" s="153"/>
      <c r="EX70" s="153"/>
      <c r="EY70" s="153"/>
      <c r="EZ70" s="153"/>
      <c r="FA70" s="153"/>
      <c r="FB70" s="153"/>
    </row>
    <row r="71" spans="1:158" s="294" customFormat="1" x14ac:dyDescent="0.3">
      <c r="A71" s="305" t="s">
        <v>178</v>
      </c>
      <c r="B71" s="295">
        <v>0</v>
      </c>
      <c r="C71" s="295">
        <v>0</v>
      </c>
      <c r="D71" s="295">
        <v>0</v>
      </c>
      <c r="E71" s="295">
        <v>0</v>
      </c>
      <c r="F71" s="295">
        <v>0</v>
      </c>
      <c r="G71" s="295">
        <v>0</v>
      </c>
      <c r="H71" s="295">
        <v>0</v>
      </c>
      <c r="I71" s="295">
        <v>6448.5864207704535</v>
      </c>
      <c r="J71" s="295">
        <v>6484.4656953873955</v>
      </c>
      <c r="K71" s="295">
        <v>2043.1476753449963</v>
      </c>
      <c r="L71" s="295">
        <v>2043.1476753449963</v>
      </c>
      <c r="M71" s="295">
        <v>4680.0274093654816</v>
      </c>
      <c r="N71" s="295">
        <v>4680.0274093654816</v>
      </c>
      <c r="O71" s="295">
        <v>2029.1847911983693</v>
      </c>
      <c r="P71" s="295">
        <v>2029.1847911983693</v>
      </c>
      <c r="Q71" s="295">
        <v>2029.1847911983693</v>
      </c>
      <c r="R71" s="295">
        <v>2029.1847911983693</v>
      </c>
      <c r="S71" s="295">
        <v>2029.1847911983693</v>
      </c>
      <c r="T71" s="295">
        <v>2029.1847911983693</v>
      </c>
      <c r="U71" s="295">
        <v>2029.1847911983693</v>
      </c>
      <c r="V71" s="295">
        <v>2029.1847911983693</v>
      </c>
      <c r="W71" s="295">
        <v>2029.1847911983693</v>
      </c>
      <c r="X71" s="295">
        <v>2029.1847911983693</v>
      </c>
      <c r="Y71" s="295">
        <v>2029.1847911983693</v>
      </c>
      <c r="Z71" s="295">
        <v>2029.1847911983693</v>
      </c>
      <c r="AA71" s="306">
        <v>2029.1847911983693</v>
      </c>
      <c r="AB71" s="153"/>
      <c r="AC71" s="153"/>
      <c r="AD71" s="153"/>
      <c r="AE71" s="153"/>
      <c r="AF71" s="153"/>
      <c r="AG71" s="153"/>
      <c r="AH71" s="153"/>
      <c r="AI71" s="153"/>
      <c r="AJ71" s="153"/>
      <c r="AK71" s="153"/>
      <c r="AL71" s="153"/>
      <c r="AM71" s="153"/>
      <c r="AN71" s="153"/>
      <c r="AO71" s="153"/>
      <c r="AP71" s="153"/>
      <c r="AQ71" s="153"/>
      <c r="AR71" s="153"/>
      <c r="AS71" s="153"/>
      <c r="AT71" s="153"/>
      <c r="AU71" s="153"/>
      <c r="AV71" s="153"/>
      <c r="AW71" s="153"/>
      <c r="AX71" s="153"/>
      <c r="AY71" s="153"/>
      <c r="AZ71" s="153"/>
      <c r="BA71" s="153"/>
      <c r="BB71" s="153"/>
      <c r="BC71" s="153"/>
      <c r="BD71" s="153"/>
      <c r="BE71" s="153"/>
      <c r="BF71" s="153"/>
      <c r="BG71" s="153"/>
      <c r="BH71" s="153"/>
      <c r="BI71" s="153"/>
      <c r="BJ71" s="153"/>
      <c r="BK71" s="153"/>
      <c r="BL71" s="153"/>
      <c r="BM71" s="153"/>
      <c r="BN71" s="153"/>
      <c r="BO71" s="153"/>
      <c r="BP71" s="153"/>
      <c r="BQ71" s="153"/>
      <c r="BR71" s="153"/>
      <c r="BS71" s="153"/>
      <c r="BT71" s="153"/>
      <c r="BU71" s="153"/>
      <c r="BV71" s="153"/>
      <c r="BW71" s="153"/>
      <c r="BX71" s="153"/>
      <c r="BY71" s="153"/>
      <c r="BZ71" s="153"/>
      <c r="CA71" s="153"/>
      <c r="CB71" s="153"/>
      <c r="CC71" s="153"/>
      <c r="CD71" s="153"/>
      <c r="CE71" s="153"/>
      <c r="CF71" s="153"/>
      <c r="CG71" s="153"/>
      <c r="CH71" s="153"/>
      <c r="CI71" s="153"/>
      <c r="CJ71" s="153"/>
      <c r="CK71" s="153"/>
      <c r="CL71" s="153"/>
      <c r="CM71" s="153"/>
      <c r="CN71" s="153"/>
      <c r="CO71" s="153"/>
      <c r="CP71" s="153"/>
      <c r="CQ71" s="153"/>
      <c r="CR71" s="153"/>
      <c r="CS71" s="153"/>
      <c r="CT71" s="153"/>
      <c r="CU71" s="153"/>
      <c r="CV71" s="153"/>
      <c r="CW71" s="153"/>
      <c r="CX71" s="153"/>
      <c r="CY71" s="153"/>
      <c r="CZ71" s="153"/>
      <c r="DA71" s="153"/>
      <c r="DB71" s="153"/>
      <c r="DC71" s="153"/>
      <c r="DD71" s="153"/>
      <c r="DE71" s="153"/>
      <c r="DF71" s="153"/>
      <c r="DG71" s="153"/>
      <c r="DH71" s="153"/>
      <c r="DI71" s="153"/>
      <c r="DJ71" s="153"/>
      <c r="DK71" s="153"/>
      <c r="DL71" s="153"/>
      <c r="DM71" s="153"/>
      <c r="DN71" s="153"/>
      <c r="DO71" s="153"/>
      <c r="DP71" s="153"/>
      <c r="DQ71" s="153"/>
      <c r="DR71" s="153"/>
      <c r="DS71" s="153"/>
      <c r="DT71" s="153"/>
      <c r="DU71" s="153"/>
      <c r="DV71" s="153"/>
      <c r="DW71" s="153"/>
      <c r="DX71" s="153"/>
      <c r="DY71" s="153"/>
      <c r="DZ71" s="153"/>
      <c r="EA71" s="153"/>
      <c r="EB71" s="153"/>
      <c r="EC71" s="153"/>
      <c r="ED71" s="153"/>
      <c r="EE71" s="153"/>
      <c r="EF71" s="153"/>
      <c r="EG71" s="153"/>
      <c r="EH71" s="153"/>
      <c r="EI71" s="153"/>
      <c r="EJ71" s="153"/>
      <c r="EK71" s="153"/>
      <c r="EL71" s="153"/>
      <c r="EM71" s="153"/>
      <c r="EN71" s="153"/>
      <c r="EO71" s="153"/>
      <c r="EP71" s="153"/>
      <c r="EQ71" s="153"/>
      <c r="ER71" s="153"/>
      <c r="ES71" s="153"/>
      <c r="ET71" s="153"/>
      <c r="EU71" s="153"/>
      <c r="EV71" s="153"/>
      <c r="EW71" s="153"/>
      <c r="EX71" s="153"/>
      <c r="EY71" s="153"/>
      <c r="EZ71" s="153"/>
      <c r="FA71" s="153"/>
      <c r="FB71" s="153"/>
    </row>
    <row r="72" spans="1:158" s="294" customFormat="1" x14ac:dyDescent="0.3">
      <c r="A72" s="305" t="s">
        <v>179</v>
      </c>
      <c r="B72" s="295">
        <v>0</v>
      </c>
      <c r="C72" s="295">
        <v>0</v>
      </c>
      <c r="D72" s="295">
        <v>0</v>
      </c>
      <c r="E72" s="295">
        <v>0</v>
      </c>
      <c r="F72" s="295">
        <v>0</v>
      </c>
      <c r="G72" s="295">
        <v>0</v>
      </c>
      <c r="H72" s="295">
        <v>0</v>
      </c>
      <c r="I72" s="295">
        <v>178.66719066043936</v>
      </c>
      <c r="J72" s="295">
        <v>175.32584989170951</v>
      </c>
      <c r="K72" s="295">
        <v>104.45517123003479</v>
      </c>
      <c r="L72" s="295">
        <v>104.45517123003479</v>
      </c>
      <c r="M72" s="295">
        <v>203.00261051079278</v>
      </c>
      <c r="N72" s="295">
        <v>203.00261051079278</v>
      </c>
      <c r="O72" s="295">
        <v>74.531431079523387</v>
      </c>
      <c r="P72" s="295">
        <v>74.531431079523387</v>
      </c>
      <c r="Q72" s="295">
        <v>74.531431079523387</v>
      </c>
      <c r="R72" s="295">
        <v>74.531431079523387</v>
      </c>
      <c r="S72" s="295">
        <v>74.531431079523387</v>
      </c>
      <c r="T72" s="295">
        <v>74.531431079523387</v>
      </c>
      <c r="U72" s="295">
        <v>74.531431079523387</v>
      </c>
      <c r="V72" s="295">
        <v>74.531431079523387</v>
      </c>
      <c r="W72" s="295">
        <v>74.531431079523387</v>
      </c>
      <c r="X72" s="295">
        <v>74.531431079523387</v>
      </c>
      <c r="Y72" s="295">
        <v>74.531431079523387</v>
      </c>
      <c r="Z72" s="295">
        <v>74.531431079523387</v>
      </c>
      <c r="AA72" s="306">
        <v>74.531431079523387</v>
      </c>
      <c r="AB72" s="153"/>
      <c r="AC72" s="153"/>
      <c r="AD72" s="153"/>
      <c r="AE72" s="153"/>
      <c r="AF72" s="153"/>
      <c r="AG72" s="153"/>
      <c r="AH72" s="153"/>
      <c r="AI72" s="153"/>
      <c r="AJ72" s="153"/>
      <c r="AK72" s="153"/>
      <c r="AL72" s="153"/>
      <c r="AM72" s="153"/>
      <c r="AN72" s="153"/>
      <c r="AO72" s="153"/>
      <c r="AP72" s="153"/>
      <c r="AQ72" s="153"/>
      <c r="AR72" s="153"/>
      <c r="AS72" s="153"/>
      <c r="AT72" s="153"/>
      <c r="AU72" s="153"/>
      <c r="AV72" s="153"/>
      <c r="AW72" s="153"/>
      <c r="AX72" s="153"/>
      <c r="AY72" s="153"/>
      <c r="AZ72" s="153"/>
      <c r="BA72" s="153"/>
      <c r="BB72" s="153"/>
      <c r="BC72" s="153"/>
      <c r="BD72" s="153"/>
      <c r="BE72" s="153"/>
      <c r="BF72" s="153"/>
      <c r="BG72" s="153"/>
      <c r="BH72" s="153"/>
      <c r="BI72" s="153"/>
      <c r="BJ72" s="153"/>
      <c r="BK72" s="153"/>
      <c r="BL72" s="153"/>
      <c r="BM72" s="153"/>
      <c r="BN72" s="153"/>
      <c r="BO72" s="153"/>
      <c r="BP72" s="153"/>
      <c r="BQ72" s="153"/>
      <c r="BR72" s="153"/>
      <c r="BS72" s="153"/>
      <c r="BT72" s="153"/>
      <c r="BU72" s="153"/>
      <c r="BV72" s="153"/>
      <c r="BW72" s="153"/>
      <c r="BX72" s="153"/>
      <c r="BY72" s="153"/>
      <c r="BZ72" s="153"/>
      <c r="CA72" s="153"/>
      <c r="CB72" s="153"/>
      <c r="CC72" s="153"/>
      <c r="CD72" s="153"/>
      <c r="CE72" s="153"/>
      <c r="CF72" s="153"/>
      <c r="CG72" s="153"/>
      <c r="CH72" s="153"/>
      <c r="CI72" s="153"/>
      <c r="CJ72" s="153"/>
      <c r="CK72" s="153"/>
      <c r="CL72" s="153"/>
      <c r="CM72" s="153"/>
      <c r="CN72" s="153"/>
      <c r="CO72" s="153"/>
      <c r="CP72" s="153"/>
      <c r="CQ72" s="153"/>
      <c r="CR72" s="153"/>
      <c r="CS72" s="153"/>
      <c r="CT72" s="153"/>
      <c r="CU72" s="153"/>
      <c r="CV72" s="153"/>
      <c r="CW72" s="153"/>
      <c r="CX72" s="153"/>
      <c r="CY72" s="153"/>
      <c r="CZ72" s="153"/>
      <c r="DA72" s="153"/>
      <c r="DB72" s="153"/>
      <c r="DC72" s="153"/>
      <c r="DD72" s="153"/>
      <c r="DE72" s="153"/>
      <c r="DF72" s="153"/>
      <c r="DG72" s="153"/>
      <c r="DH72" s="153"/>
      <c r="DI72" s="153"/>
      <c r="DJ72" s="153"/>
      <c r="DK72" s="153"/>
      <c r="DL72" s="153"/>
      <c r="DM72" s="153"/>
      <c r="DN72" s="153"/>
      <c r="DO72" s="153"/>
      <c r="DP72" s="153"/>
      <c r="DQ72" s="153"/>
      <c r="DR72" s="153"/>
      <c r="DS72" s="153"/>
      <c r="DT72" s="153"/>
      <c r="DU72" s="153"/>
      <c r="DV72" s="153"/>
      <c r="DW72" s="153"/>
      <c r="DX72" s="153"/>
      <c r="DY72" s="153"/>
      <c r="DZ72" s="153"/>
      <c r="EA72" s="153"/>
      <c r="EB72" s="153"/>
      <c r="EC72" s="153"/>
      <c r="ED72" s="153"/>
      <c r="EE72" s="153"/>
      <c r="EF72" s="153"/>
      <c r="EG72" s="153"/>
      <c r="EH72" s="153"/>
      <c r="EI72" s="153"/>
      <c r="EJ72" s="153"/>
      <c r="EK72" s="153"/>
      <c r="EL72" s="153"/>
      <c r="EM72" s="153"/>
      <c r="EN72" s="153"/>
      <c r="EO72" s="153"/>
      <c r="EP72" s="153"/>
      <c r="EQ72" s="153"/>
      <c r="ER72" s="153"/>
      <c r="ES72" s="153"/>
      <c r="ET72" s="153"/>
      <c r="EU72" s="153"/>
      <c r="EV72" s="153"/>
      <c r="EW72" s="153"/>
      <c r="EX72" s="153"/>
      <c r="EY72" s="153"/>
      <c r="EZ72" s="153"/>
      <c r="FA72" s="153"/>
      <c r="FB72" s="153"/>
    </row>
    <row r="73" spans="1:158" s="294" customFormat="1" x14ac:dyDescent="0.3">
      <c r="A73" s="305" t="s">
        <v>180</v>
      </c>
      <c r="B73" s="295">
        <v>0</v>
      </c>
      <c r="C73" s="295">
        <v>0</v>
      </c>
      <c r="D73" s="295">
        <v>0</v>
      </c>
      <c r="E73" s="295">
        <v>0</v>
      </c>
      <c r="F73" s="295">
        <v>0</v>
      </c>
      <c r="G73" s="295">
        <v>0</v>
      </c>
      <c r="H73" s="295">
        <v>0</v>
      </c>
      <c r="I73" s="295">
        <v>347.57277221500476</v>
      </c>
      <c r="J73" s="295">
        <v>340.44501810850659</v>
      </c>
      <c r="K73" s="295">
        <v>154.28252168815357</v>
      </c>
      <c r="L73" s="295">
        <v>154.28252168815357</v>
      </c>
      <c r="M73" s="295">
        <v>21.996609717404048</v>
      </c>
      <c r="N73" s="295">
        <v>21.996609717404048</v>
      </c>
      <c r="O73" s="295">
        <v>80.044311779586664</v>
      </c>
      <c r="P73" s="295">
        <v>80.044311779586664</v>
      </c>
      <c r="Q73" s="295">
        <v>80.044311779586664</v>
      </c>
      <c r="R73" s="295">
        <v>80.044311779586664</v>
      </c>
      <c r="S73" s="295">
        <v>80.044311779586664</v>
      </c>
      <c r="T73" s="295">
        <v>80.044311779586664</v>
      </c>
      <c r="U73" s="295">
        <v>80.044311779586664</v>
      </c>
      <c r="V73" s="295">
        <v>80.044311779586664</v>
      </c>
      <c r="W73" s="295">
        <v>80.044311779586664</v>
      </c>
      <c r="X73" s="295">
        <v>80.044311779586664</v>
      </c>
      <c r="Y73" s="295">
        <v>80.044311779586664</v>
      </c>
      <c r="Z73" s="295">
        <v>80.044311779586664</v>
      </c>
      <c r="AA73" s="306">
        <v>80.044311779586664</v>
      </c>
      <c r="AB73" s="153"/>
      <c r="AC73" s="153"/>
      <c r="AD73" s="153"/>
      <c r="AE73" s="153"/>
      <c r="AF73" s="153"/>
      <c r="AG73" s="153"/>
      <c r="AH73" s="153"/>
      <c r="AI73" s="153"/>
      <c r="AJ73" s="153"/>
      <c r="AK73" s="153"/>
      <c r="AL73" s="153"/>
      <c r="AM73" s="153"/>
      <c r="AN73" s="153"/>
      <c r="AO73" s="153"/>
      <c r="AP73" s="153"/>
      <c r="AQ73" s="153"/>
      <c r="AR73" s="153"/>
      <c r="AS73" s="153"/>
      <c r="AT73" s="153"/>
      <c r="AU73" s="153"/>
      <c r="AV73" s="153"/>
      <c r="AW73" s="153"/>
      <c r="AX73" s="153"/>
      <c r="AY73" s="153"/>
      <c r="AZ73" s="153"/>
      <c r="BA73" s="153"/>
      <c r="BB73" s="153"/>
      <c r="BC73" s="153"/>
      <c r="BD73" s="153"/>
      <c r="BE73" s="153"/>
      <c r="BF73" s="153"/>
      <c r="BG73" s="153"/>
      <c r="BH73" s="153"/>
      <c r="BI73" s="153"/>
      <c r="BJ73" s="153"/>
      <c r="BK73" s="153"/>
      <c r="BL73" s="153"/>
      <c r="BM73" s="153"/>
      <c r="BN73" s="153"/>
      <c r="BO73" s="153"/>
      <c r="BP73" s="153"/>
      <c r="BQ73" s="153"/>
      <c r="BR73" s="153"/>
      <c r="BS73" s="153"/>
      <c r="BT73" s="153"/>
      <c r="BU73" s="153"/>
      <c r="BV73" s="153"/>
      <c r="BW73" s="153"/>
      <c r="BX73" s="153"/>
      <c r="BY73" s="153"/>
      <c r="BZ73" s="153"/>
      <c r="CA73" s="153"/>
      <c r="CB73" s="153"/>
      <c r="CC73" s="153"/>
      <c r="CD73" s="153"/>
      <c r="CE73" s="153"/>
      <c r="CF73" s="153"/>
      <c r="CG73" s="153"/>
      <c r="CH73" s="153"/>
      <c r="CI73" s="153"/>
      <c r="CJ73" s="153"/>
      <c r="CK73" s="153"/>
      <c r="CL73" s="153"/>
      <c r="CM73" s="153"/>
      <c r="CN73" s="153"/>
      <c r="CO73" s="153"/>
      <c r="CP73" s="153"/>
      <c r="CQ73" s="153"/>
      <c r="CR73" s="153"/>
      <c r="CS73" s="153"/>
      <c r="CT73" s="153"/>
      <c r="CU73" s="153"/>
      <c r="CV73" s="153"/>
      <c r="CW73" s="153"/>
      <c r="CX73" s="153"/>
      <c r="CY73" s="153"/>
      <c r="CZ73" s="153"/>
      <c r="DA73" s="153"/>
      <c r="DB73" s="153"/>
      <c r="DC73" s="153"/>
      <c r="DD73" s="153"/>
      <c r="DE73" s="153"/>
      <c r="DF73" s="153"/>
      <c r="DG73" s="153"/>
      <c r="DH73" s="153"/>
      <c r="DI73" s="153"/>
      <c r="DJ73" s="153"/>
      <c r="DK73" s="153"/>
      <c r="DL73" s="153"/>
      <c r="DM73" s="153"/>
      <c r="DN73" s="153"/>
      <c r="DO73" s="153"/>
      <c r="DP73" s="153"/>
      <c r="DQ73" s="153"/>
      <c r="DR73" s="153"/>
      <c r="DS73" s="153"/>
      <c r="DT73" s="153"/>
      <c r="DU73" s="153"/>
      <c r="DV73" s="153"/>
      <c r="DW73" s="153"/>
      <c r="DX73" s="153"/>
      <c r="DY73" s="153"/>
      <c r="DZ73" s="153"/>
      <c r="EA73" s="153"/>
      <c r="EB73" s="153"/>
      <c r="EC73" s="153"/>
      <c r="ED73" s="153"/>
      <c r="EE73" s="153"/>
      <c r="EF73" s="153"/>
      <c r="EG73" s="153"/>
      <c r="EH73" s="153"/>
      <c r="EI73" s="153"/>
      <c r="EJ73" s="153"/>
      <c r="EK73" s="153"/>
      <c r="EL73" s="153"/>
      <c r="EM73" s="153"/>
      <c r="EN73" s="153"/>
      <c r="EO73" s="153"/>
      <c r="EP73" s="153"/>
      <c r="EQ73" s="153"/>
      <c r="ER73" s="153"/>
      <c r="ES73" s="153"/>
      <c r="ET73" s="153"/>
      <c r="EU73" s="153"/>
      <c r="EV73" s="153"/>
      <c r="EW73" s="153"/>
      <c r="EX73" s="153"/>
      <c r="EY73" s="153"/>
      <c r="EZ73" s="153"/>
      <c r="FA73" s="153"/>
      <c r="FB73" s="153"/>
    </row>
    <row r="74" spans="1:158" s="294" customFormat="1" x14ac:dyDescent="0.3">
      <c r="A74" s="305" t="s">
        <v>181</v>
      </c>
      <c r="B74" s="295">
        <v>0</v>
      </c>
      <c r="C74" s="295">
        <v>0</v>
      </c>
      <c r="D74" s="295">
        <v>0</v>
      </c>
      <c r="E74" s="295">
        <v>0</v>
      </c>
      <c r="F74" s="295">
        <v>0</v>
      </c>
      <c r="G74" s="295">
        <v>0</v>
      </c>
      <c r="H74" s="295">
        <v>0</v>
      </c>
      <c r="I74" s="295">
        <v>15060.533956176816</v>
      </c>
      <c r="J74" s="295">
        <v>14923.649867475717</v>
      </c>
      <c r="K74" s="295">
        <v>2958.5148496342922</v>
      </c>
      <c r="L74" s="295">
        <v>2958.5148496342922</v>
      </c>
      <c r="M74" s="295">
        <v>23924.354989771695</v>
      </c>
      <c r="N74" s="295">
        <v>23924.354989771695</v>
      </c>
      <c r="O74" s="295">
        <v>6442.3018078818859</v>
      </c>
      <c r="P74" s="295">
        <v>6442.3018078818859</v>
      </c>
      <c r="Q74" s="295">
        <v>6442.3018078818859</v>
      </c>
      <c r="R74" s="295">
        <v>6442.3018078818859</v>
      </c>
      <c r="S74" s="295">
        <v>6442.3018078818859</v>
      </c>
      <c r="T74" s="295">
        <v>6442.3018078818859</v>
      </c>
      <c r="U74" s="295">
        <v>6442.3018078818859</v>
      </c>
      <c r="V74" s="295">
        <v>6442.3018078818859</v>
      </c>
      <c r="W74" s="295">
        <v>6442.3018078818859</v>
      </c>
      <c r="X74" s="295">
        <v>6442.3018078818859</v>
      </c>
      <c r="Y74" s="295">
        <v>6442.3018078818859</v>
      </c>
      <c r="Z74" s="295">
        <v>6442.3018078818859</v>
      </c>
      <c r="AA74" s="306">
        <v>6442.3018078818859</v>
      </c>
      <c r="AB74" s="153"/>
      <c r="AC74" s="153"/>
      <c r="AD74" s="153"/>
      <c r="AE74" s="153"/>
      <c r="AF74" s="153"/>
      <c r="AG74" s="153"/>
      <c r="AH74" s="153"/>
      <c r="AI74" s="153"/>
      <c r="AJ74" s="153"/>
      <c r="AK74" s="153"/>
      <c r="AL74" s="153"/>
      <c r="AM74" s="153"/>
      <c r="AN74" s="153"/>
      <c r="AO74" s="153"/>
      <c r="AP74" s="153"/>
      <c r="AQ74" s="153"/>
      <c r="AR74" s="153"/>
      <c r="AS74" s="153"/>
      <c r="AT74" s="153"/>
      <c r="AU74" s="153"/>
      <c r="AV74" s="153"/>
      <c r="AW74" s="153"/>
      <c r="AX74" s="153"/>
      <c r="AY74" s="153"/>
      <c r="AZ74" s="153"/>
      <c r="BA74" s="153"/>
      <c r="BB74" s="153"/>
      <c r="BC74" s="153"/>
      <c r="BD74" s="153"/>
      <c r="BE74" s="153"/>
      <c r="BF74" s="153"/>
      <c r="BG74" s="153"/>
      <c r="BH74" s="153"/>
      <c r="BI74" s="153"/>
      <c r="BJ74" s="153"/>
      <c r="BK74" s="153"/>
      <c r="BL74" s="153"/>
      <c r="BM74" s="153"/>
      <c r="BN74" s="153"/>
      <c r="BO74" s="153"/>
      <c r="BP74" s="153"/>
      <c r="BQ74" s="153"/>
      <c r="BR74" s="153"/>
      <c r="BS74" s="153"/>
      <c r="BT74" s="153"/>
      <c r="BU74" s="153"/>
      <c r="BV74" s="153"/>
      <c r="BW74" s="153"/>
      <c r="BX74" s="153"/>
      <c r="BY74" s="153"/>
      <c r="BZ74" s="153"/>
      <c r="CA74" s="153"/>
      <c r="CB74" s="153"/>
      <c r="CC74" s="153"/>
      <c r="CD74" s="153"/>
      <c r="CE74" s="153"/>
      <c r="CF74" s="153"/>
      <c r="CG74" s="153"/>
      <c r="CH74" s="153"/>
      <c r="CI74" s="153"/>
      <c r="CJ74" s="153"/>
      <c r="CK74" s="153"/>
      <c r="CL74" s="153"/>
      <c r="CM74" s="153"/>
      <c r="CN74" s="153"/>
      <c r="CO74" s="153"/>
      <c r="CP74" s="153"/>
      <c r="CQ74" s="153"/>
      <c r="CR74" s="153"/>
      <c r="CS74" s="153"/>
      <c r="CT74" s="153"/>
      <c r="CU74" s="153"/>
      <c r="CV74" s="153"/>
      <c r="CW74" s="153"/>
      <c r="CX74" s="153"/>
      <c r="CY74" s="153"/>
      <c r="CZ74" s="153"/>
      <c r="DA74" s="153"/>
      <c r="DB74" s="153"/>
      <c r="DC74" s="153"/>
      <c r="DD74" s="153"/>
      <c r="DE74" s="153"/>
      <c r="DF74" s="153"/>
      <c r="DG74" s="153"/>
      <c r="DH74" s="153"/>
      <c r="DI74" s="153"/>
      <c r="DJ74" s="153"/>
      <c r="DK74" s="153"/>
      <c r="DL74" s="153"/>
      <c r="DM74" s="153"/>
      <c r="DN74" s="153"/>
      <c r="DO74" s="153"/>
      <c r="DP74" s="153"/>
      <c r="DQ74" s="153"/>
      <c r="DR74" s="153"/>
      <c r="DS74" s="153"/>
      <c r="DT74" s="153"/>
      <c r="DU74" s="153"/>
      <c r="DV74" s="153"/>
      <c r="DW74" s="153"/>
      <c r="DX74" s="153"/>
      <c r="DY74" s="153"/>
      <c r="DZ74" s="153"/>
      <c r="EA74" s="153"/>
      <c r="EB74" s="153"/>
      <c r="EC74" s="153"/>
      <c r="ED74" s="153"/>
      <c r="EE74" s="153"/>
      <c r="EF74" s="153"/>
      <c r="EG74" s="153"/>
      <c r="EH74" s="153"/>
      <c r="EI74" s="153"/>
      <c r="EJ74" s="153"/>
      <c r="EK74" s="153"/>
      <c r="EL74" s="153"/>
      <c r="EM74" s="153"/>
      <c r="EN74" s="153"/>
      <c r="EO74" s="153"/>
      <c r="EP74" s="153"/>
      <c r="EQ74" s="153"/>
      <c r="ER74" s="153"/>
      <c r="ES74" s="153"/>
      <c r="ET74" s="153"/>
      <c r="EU74" s="153"/>
      <c r="EV74" s="153"/>
      <c r="EW74" s="153"/>
      <c r="EX74" s="153"/>
      <c r="EY74" s="153"/>
      <c r="EZ74" s="153"/>
      <c r="FA74" s="153"/>
      <c r="FB74" s="153"/>
    </row>
    <row r="75" spans="1:158" s="294" customFormat="1" x14ac:dyDescent="0.3">
      <c r="A75" s="305" t="s">
        <v>182</v>
      </c>
      <c r="B75" s="295">
        <v>0</v>
      </c>
      <c r="C75" s="295">
        <v>0</v>
      </c>
      <c r="D75" s="295">
        <v>0</v>
      </c>
      <c r="E75" s="295">
        <v>0</v>
      </c>
      <c r="F75" s="295">
        <v>0</v>
      </c>
      <c r="G75" s="295">
        <v>0</v>
      </c>
      <c r="H75" s="295">
        <v>0</v>
      </c>
      <c r="I75" s="295">
        <v>2.01682988058533</v>
      </c>
      <c r="J75" s="295">
        <v>1.93599556613798</v>
      </c>
      <c r="K75" s="295">
        <v>87.548643870264783</v>
      </c>
      <c r="L75" s="295">
        <v>87.548643870264783</v>
      </c>
      <c r="M75" s="295">
        <v>8.4315899023305292</v>
      </c>
      <c r="N75" s="295">
        <v>8.4315899023305292</v>
      </c>
      <c r="O75" s="295">
        <v>15.070253307070301</v>
      </c>
      <c r="P75" s="295">
        <v>15.070253307070301</v>
      </c>
      <c r="Q75" s="295">
        <v>15.070253307070301</v>
      </c>
      <c r="R75" s="295">
        <v>15.070253307070301</v>
      </c>
      <c r="S75" s="295">
        <v>15.070253307070301</v>
      </c>
      <c r="T75" s="295">
        <v>15.070253307070301</v>
      </c>
      <c r="U75" s="295">
        <v>15.070253307070301</v>
      </c>
      <c r="V75" s="295">
        <v>15.070253307070301</v>
      </c>
      <c r="W75" s="295">
        <v>15.070253307070301</v>
      </c>
      <c r="X75" s="295">
        <v>15.070253307070301</v>
      </c>
      <c r="Y75" s="295">
        <v>15.070253307070301</v>
      </c>
      <c r="Z75" s="295">
        <v>15.070253307070301</v>
      </c>
      <c r="AA75" s="306">
        <v>15.070253307070301</v>
      </c>
      <c r="AB75" s="153"/>
      <c r="AC75" s="153"/>
      <c r="AD75" s="153"/>
      <c r="AE75" s="153"/>
      <c r="AF75" s="153"/>
      <c r="AG75" s="153"/>
      <c r="AH75" s="153"/>
      <c r="AI75" s="153"/>
      <c r="AJ75" s="153"/>
      <c r="AK75" s="153"/>
      <c r="AL75" s="153"/>
      <c r="AM75" s="153"/>
      <c r="AN75" s="153"/>
      <c r="AO75" s="153"/>
      <c r="AP75" s="153"/>
      <c r="AQ75" s="153"/>
      <c r="AR75" s="153"/>
      <c r="AS75" s="153"/>
      <c r="AT75" s="153"/>
      <c r="AU75" s="153"/>
      <c r="AV75" s="153"/>
      <c r="AW75" s="153"/>
      <c r="AX75" s="153"/>
      <c r="AY75" s="153"/>
      <c r="AZ75" s="153"/>
      <c r="BA75" s="153"/>
      <c r="BB75" s="153"/>
      <c r="BC75" s="153"/>
      <c r="BD75" s="153"/>
      <c r="BE75" s="153"/>
      <c r="BF75" s="153"/>
      <c r="BG75" s="153"/>
      <c r="BH75" s="153"/>
      <c r="BI75" s="153"/>
      <c r="BJ75" s="153"/>
      <c r="BK75" s="153"/>
      <c r="BL75" s="153"/>
      <c r="BM75" s="153"/>
      <c r="BN75" s="153"/>
      <c r="BO75" s="153"/>
      <c r="BP75" s="153"/>
      <c r="BQ75" s="153"/>
      <c r="BR75" s="153"/>
      <c r="BS75" s="153"/>
      <c r="BT75" s="153"/>
      <c r="BU75" s="153"/>
      <c r="BV75" s="153"/>
      <c r="BW75" s="153"/>
      <c r="BX75" s="153"/>
      <c r="BY75" s="153"/>
      <c r="BZ75" s="153"/>
      <c r="CA75" s="153"/>
      <c r="CB75" s="153"/>
      <c r="CC75" s="153"/>
      <c r="CD75" s="153"/>
      <c r="CE75" s="153"/>
      <c r="CF75" s="153"/>
      <c r="CG75" s="153"/>
      <c r="CH75" s="153"/>
      <c r="CI75" s="153"/>
      <c r="CJ75" s="153"/>
      <c r="CK75" s="153"/>
      <c r="CL75" s="153"/>
      <c r="CM75" s="153"/>
      <c r="CN75" s="153"/>
      <c r="CO75" s="153"/>
      <c r="CP75" s="153"/>
      <c r="CQ75" s="153"/>
      <c r="CR75" s="153"/>
      <c r="CS75" s="153"/>
      <c r="CT75" s="153"/>
      <c r="CU75" s="153"/>
      <c r="CV75" s="153"/>
      <c r="CW75" s="153"/>
      <c r="CX75" s="153"/>
      <c r="CY75" s="153"/>
      <c r="CZ75" s="153"/>
      <c r="DA75" s="153"/>
      <c r="DB75" s="153"/>
      <c r="DC75" s="153"/>
      <c r="DD75" s="153"/>
      <c r="DE75" s="153"/>
      <c r="DF75" s="153"/>
      <c r="DG75" s="153"/>
      <c r="DH75" s="153"/>
      <c r="DI75" s="153"/>
      <c r="DJ75" s="153"/>
      <c r="DK75" s="153"/>
      <c r="DL75" s="153"/>
      <c r="DM75" s="153"/>
      <c r="DN75" s="153"/>
      <c r="DO75" s="153"/>
      <c r="DP75" s="153"/>
      <c r="DQ75" s="153"/>
      <c r="DR75" s="153"/>
      <c r="DS75" s="153"/>
      <c r="DT75" s="153"/>
      <c r="DU75" s="153"/>
      <c r="DV75" s="153"/>
      <c r="DW75" s="153"/>
      <c r="DX75" s="153"/>
      <c r="DY75" s="153"/>
      <c r="DZ75" s="153"/>
      <c r="EA75" s="153"/>
      <c r="EB75" s="153"/>
      <c r="EC75" s="153"/>
      <c r="ED75" s="153"/>
      <c r="EE75" s="153"/>
      <c r="EF75" s="153"/>
      <c r="EG75" s="153"/>
      <c r="EH75" s="153"/>
      <c r="EI75" s="153"/>
      <c r="EJ75" s="153"/>
      <c r="EK75" s="153"/>
      <c r="EL75" s="153"/>
      <c r="EM75" s="153"/>
      <c r="EN75" s="153"/>
      <c r="EO75" s="153"/>
      <c r="EP75" s="153"/>
      <c r="EQ75" s="153"/>
      <c r="ER75" s="153"/>
      <c r="ES75" s="153"/>
      <c r="ET75" s="153"/>
      <c r="EU75" s="153"/>
      <c r="EV75" s="153"/>
      <c r="EW75" s="153"/>
      <c r="EX75" s="153"/>
      <c r="EY75" s="153"/>
      <c r="EZ75" s="153"/>
      <c r="FA75" s="153"/>
      <c r="FB75" s="153"/>
    </row>
    <row r="76" spans="1:158" s="294" customFormat="1" x14ac:dyDescent="0.3">
      <c r="A76" s="305" t="s">
        <v>183</v>
      </c>
      <c r="B76" s="295">
        <v>105.12333333333332</v>
      </c>
      <c r="C76" s="295">
        <v>105.12333333333332</v>
      </c>
      <c r="D76" s="295">
        <v>105.12333333333332</v>
      </c>
      <c r="E76" s="295">
        <v>105.12333333333332</v>
      </c>
      <c r="F76" s="295">
        <v>105.12333333333332</v>
      </c>
      <c r="G76" s="295">
        <v>105.12333333333332</v>
      </c>
      <c r="H76" s="295">
        <v>105.12333333333333</v>
      </c>
      <c r="I76" s="295">
        <v>105.12333333333333</v>
      </c>
      <c r="J76" s="295">
        <v>105.12333333333333</v>
      </c>
      <c r="K76" s="295">
        <v>107.23355488720165</v>
      </c>
      <c r="L76" s="295">
        <v>107.23355488720165</v>
      </c>
      <c r="M76" s="295">
        <v>105.13454066026611</v>
      </c>
      <c r="N76" s="295">
        <v>105.13454066026611</v>
      </c>
      <c r="O76" s="295">
        <v>105.44970700730272</v>
      </c>
      <c r="P76" s="295">
        <v>105.44970700730272</v>
      </c>
      <c r="Q76" s="295">
        <v>105.44970700730272</v>
      </c>
      <c r="R76" s="295">
        <v>105.44970700730272</v>
      </c>
      <c r="S76" s="295">
        <v>105.44970700730272</v>
      </c>
      <c r="T76" s="295">
        <v>105.44970700730272</v>
      </c>
      <c r="U76" s="295">
        <v>105.44970700730272</v>
      </c>
      <c r="V76" s="295">
        <v>105.44970700730272</v>
      </c>
      <c r="W76" s="295">
        <v>105.44970700730272</v>
      </c>
      <c r="X76" s="295">
        <v>105.44970700730272</v>
      </c>
      <c r="Y76" s="295">
        <v>105.44970700730272</v>
      </c>
      <c r="Z76" s="295">
        <v>105.44970700730272</v>
      </c>
      <c r="AA76" s="306">
        <v>105.44970700730272</v>
      </c>
      <c r="AB76" s="153"/>
      <c r="AC76" s="153"/>
      <c r="AD76" s="153"/>
      <c r="AE76" s="153"/>
      <c r="AF76" s="153"/>
      <c r="AG76" s="153"/>
      <c r="AH76" s="153"/>
      <c r="AI76" s="153"/>
      <c r="AJ76" s="153"/>
      <c r="AK76" s="153"/>
      <c r="AL76" s="153"/>
      <c r="AM76" s="153"/>
      <c r="AN76" s="153"/>
      <c r="AO76" s="153"/>
      <c r="AP76" s="153"/>
      <c r="AQ76" s="153"/>
      <c r="AR76" s="153"/>
      <c r="AS76" s="153"/>
      <c r="AT76" s="153"/>
      <c r="AU76" s="153"/>
      <c r="AV76" s="153"/>
      <c r="AW76" s="153"/>
      <c r="AX76" s="153"/>
      <c r="AY76" s="153"/>
      <c r="AZ76" s="153"/>
      <c r="BA76" s="153"/>
      <c r="BB76" s="153"/>
      <c r="BC76" s="153"/>
      <c r="BD76" s="153"/>
      <c r="BE76" s="153"/>
      <c r="BF76" s="153"/>
      <c r="BG76" s="153"/>
      <c r="BH76" s="153"/>
      <c r="BI76" s="153"/>
      <c r="BJ76" s="153"/>
      <c r="BK76" s="153"/>
      <c r="BL76" s="153"/>
      <c r="BM76" s="153"/>
      <c r="BN76" s="153"/>
      <c r="BO76" s="153"/>
      <c r="BP76" s="153"/>
      <c r="BQ76" s="153"/>
      <c r="BR76" s="153"/>
      <c r="BS76" s="153"/>
      <c r="BT76" s="153"/>
      <c r="BU76" s="153"/>
      <c r="BV76" s="153"/>
      <c r="BW76" s="153"/>
      <c r="BX76" s="153"/>
      <c r="BY76" s="153"/>
      <c r="BZ76" s="153"/>
      <c r="CA76" s="153"/>
      <c r="CB76" s="153"/>
      <c r="CC76" s="153"/>
      <c r="CD76" s="153"/>
      <c r="CE76" s="153"/>
      <c r="CF76" s="153"/>
      <c r="CG76" s="153"/>
      <c r="CH76" s="153"/>
      <c r="CI76" s="153"/>
      <c r="CJ76" s="153"/>
      <c r="CK76" s="153"/>
      <c r="CL76" s="153"/>
      <c r="CM76" s="153"/>
      <c r="CN76" s="153"/>
      <c r="CO76" s="153"/>
      <c r="CP76" s="153"/>
      <c r="CQ76" s="153"/>
      <c r="CR76" s="153"/>
      <c r="CS76" s="153"/>
      <c r="CT76" s="153"/>
      <c r="CU76" s="153"/>
      <c r="CV76" s="153"/>
      <c r="CW76" s="153"/>
      <c r="CX76" s="153"/>
      <c r="CY76" s="153"/>
      <c r="CZ76" s="153"/>
      <c r="DA76" s="153"/>
      <c r="DB76" s="153"/>
      <c r="DC76" s="153"/>
      <c r="DD76" s="153"/>
      <c r="DE76" s="153"/>
      <c r="DF76" s="153"/>
      <c r="DG76" s="153"/>
      <c r="DH76" s="153"/>
      <c r="DI76" s="153"/>
      <c r="DJ76" s="153"/>
      <c r="DK76" s="153"/>
      <c r="DL76" s="153"/>
      <c r="DM76" s="153"/>
      <c r="DN76" s="153"/>
      <c r="DO76" s="153"/>
      <c r="DP76" s="153"/>
      <c r="DQ76" s="153"/>
      <c r="DR76" s="153"/>
      <c r="DS76" s="153"/>
      <c r="DT76" s="153"/>
      <c r="DU76" s="153"/>
      <c r="DV76" s="153"/>
      <c r="DW76" s="153"/>
      <c r="DX76" s="153"/>
      <c r="DY76" s="153"/>
      <c r="DZ76" s="153"/>
      <c r="EA76" s="153"/>
      <c r="EB76" s="153"/>
      <c r="EC76" s="153"/>
      <c r="ED76" s="153"/>
      <c r="EE76" s="153"/>
      <c r="EF76" s="153"/>
      <c r="EG76" s="153"/>
      <c r="EH76" s="153"/>
      <c r="EI76" s="153"/>
      <c r="EJ76" s="153"/>
      <c r="EK76" s="153"/>
      <c r="EL76" s="153"/>
      <c r="EM76" s="153"/>
      <c r="EN76" s="153"/>
      <c r="EO76" s="153"/>
      <c r="EP76" s="153"/>
      <c r="EQ76" s="153"/>
      <c r="ER76" s="153"/>
      <c r="ES76" s="153"/>
      <c r="ET76" s="153"/>
      <c r="EU76" s="153"/>
      <c r="EV76" s="153"/>
      <c r="EW76" s="153"/>
      <c r="EX76" s="153"/>
      <c r="EY76" s="153"/>
      <c r="EZ76" s="153"/>
      <c r="FA76" s="153"/>
      <c r="FB76" s="153"/>
    </row>
    <row r="77" spans="1:158" s="294" customFormat="1" x14ac:dyDescent="0.3">
      <c r="A77" s="305" t="s">
        <v>184</v>
      </c>
      <c r="B77" s="295">
        <v>-6.8400177083333329</v>
      </c>
      <c r="C77" s="295">
        <v>-6.8400177083333329</v>
      </c>
      <c r="D77" s="295">
        <v>-6.8400177083333329</v>
      </c>
      <c r="E77" s="295">
        <v>-6.8400177083333329</v>
      </c>
      <c r="F77" s="295">
        <v>-6.8400177083333329</v>
      </c>
      <c r="G77" s="295">
        <v>-5.8538079818145672</v>
      </c>
      <c r="H77" s="295">
        <v>-5.849313489553662</v>
      </c>
      <c r="I77" s="295">
        <v>-5.9452548365324303</v>
      </c>
      <c r="J77" s="295">
        <v>-6.31724557989277</v>
      </c>
      <c r="K77" s="295">
        <v>-4.8006451310861422</v>
      </c>
      <c r="L77" s="295">
        <v>-4.8006451310861422</v>
      </c>
      <c r="M77" s="295">
        <v>-6.8923992517565464</v>
      </c>
      <c r="N77" s="295">
        <v>-6.8923992517565464</v>
      </c>
      <c r="O77" s="295">
        <v>-6.2732153227034972</v>
      </c>
      <c r="P77" s="295">
        <v>-6.2732153227034972</v>
      </c>
      <c r="Q77" s="295">
        <v>-6.2732153227034972</v>
      </c>
      <c r="R77" s="295">
        <v>-6.2732153227034972</v>
      </c>
      <c r="S77" s="295">
        <v>-6.2732153227034972</v>
      </c>
      <c r="T77" s="295">
        <v>-6.2732153227034972</v>
      </c>
      <c r="U77" s="295">
        <v>-6.2732153227034972</v>
      </c>
      <c r="V77" s="295">
        <v>-6.2732153227034972</v>
      </c>
      <c r="W77" s="295">
        <v>-6.2732153227034972</v>
      </c>
      <c r="X77" s="295">
        <v>-6.2732153227034972</v>
      </c>
      <c r="Y77" s="295">
        <v>-6.2732153227034972</v>
      </c>
      <c r="Z77" s="295">
        <v>-6.2732153227034972</v>
      </c>
      <c r="AA77" s="306">
        <v>-6.2732153227034972</v>
      </c>
      <c r="AB77" s="153"/>
      <c r="AC77" s="153"/>
      <c r="AD77" s="153"/>
      <c r="AE77" s="153"/>
      <c r="AF77" s="153"/>
      <c r="AG77" s="153"/>
      <c r="AH77" s="153"/>
      <c r="AI77" s="153"/>
      <c r="AJ77" s="153"/>
      <c r="AK77" s="153"/>
      <c r="AL77" s="153"/>
      <c r="AM77" s="153"/>
      <c r="AN77" s="153"/>
      <c r="AO77" s="153"/>
      <c r="AP77" s="153"/>
      <c r="AQ77" s="153"/>
      <c r="AR77" s="153"/>
      <c r="AS77" s="153"/>
      <c r="AT77" s="153"/>
      <c r="AU77" s="153"/>
      <c r="AV77" s="153"/>
      <c r="AW77" s="153"/>
      <c r="AX77" s="153"/>
      <c r="AY77" s="153"/>
      <c r="AZ77" s="153"/>
      <c r="BA77" s="153"/>
      <c r="BB77" s="153"/>
      <c r="BC77" s="153"/>
      <c r="BD77" s="153"/>
      <c r="BE77" s="153"/>
      <c r="BF77" s="153"/>
      <c r="BG77" s="153"/>
      <c r="BH77" s="153"/>
      <c r="BI77" s="153"/>
      <c r="BJ77" s="153"/>
      <c r="BK77" s="153"/>
      <c r="BL77" s="153"/>
      <c r="BM77" s="153"/>
      <c r="BN77" s="153"/>
      <c r="BO77" s="153"/>
      <c r="BP77" s="153"/>
      <c r="BQ77" s="153"/>
      <c r="BR77" s="153"/>
      <c r="BS77" s="153"/>
      <c r="BT77" s="153"/>
      <c r="BU77" s="153"/>
      <c r="BV77" s="153"/>
      <c r="BW77" s="153"/>
      <c r="BX77" s="153"/>
      <c r="BY77" s="153"/>
      <c r="BZ77" s="153"/>
      <c r="CA77" s="153"/>
      <c r="CB77" s="153"/>
      <c r="CC77" s="153"/>
      <c r="CD77" s="153"/>
      <c r="CE77" s="153"/>
      <c r="CF77" s="153"/>
      <c r="CG77" s="153"/>
      <c r="CH77" s="153"/>
      <c r="CI77" s="153"/>
      <c r="CJ77" s="153"/>
      <c r="CK77" s="153"/>
      <c r="CL77" s="153"/>
      <c r="CM77" s="153"/>
      <c r="CN77" s="153"/>
      <c r="CO77" s="153"/>
      <c r="CP77" s="153"/>
      <c r="CQ77" s="153"/>
      <c r="CR77" s="153"/>
      <c r="CS77" s="153"/>
      <c r="CT77" s="153"/>
      <c r="CU77" s="153"/>
      <c r="CV77" s="153"/>
      <c r="CW77" s="153"/>
      <c r="CX77" s="153"/>
      <c r="CY77" s="153"/>
      <c r="CZ77" s="153"/>
      <c r="DA77" s="153"/>
      <c r="DB77" s="153"/>
      <c r="DC77" s="153"/>
      <c r="DD77" s="153"/>
      <c r="DE77" s="153"/>
      <c r="DF77" s="153"/>
      <c r="DG77" s="153"/>
      <c r="DH77" s="153"/>
      <c r="DI77" s="153"/>
      <c r="DJ77" s="153"/>
      <c r="DK77" s="153"/>
      <c r="DL77" s="153"/>
      <c r="DM77" s="153"/>
      <c r="DN77" s="153"/>
      <c r="DO77" s="153"/>
      <c r="DP77" s="153"/>
      <c r="DQ77" s="153"/>
      <c r="DR77" s="153"/>
      <c r="DS77" s="153"/>
      <c r="DT77" s="153"/>
      <c r="DU77" s="153"/>
      <c r="DV77" s="153"/>
      <c r="DW77" s="153"/>
      <c r="DX77" s="153"/>
      <c r="DY77" s="153"/>
      <c r="DZ77" s="153"/>
      <c r="EA77" s="153"/>
      <c r="EB77" s="153"/>
      <c r="EC77" s="153"/>
      <c r="ED77" s="153"/>
      <c r="EE77" s="153"/>
      <c r="EF77" s="153"/>
      <c r="EG77" s="153"/>
      <c r="EH77" s="153"/>
      <c r="EI77" s="153"/>
      <c r="EJ77" s="153"/>
      <c r="EK77" s="153"/>
      <c r="EL77" s="153"/>
      <c r="EM77" s="153"/>
      <c r="EN77" s="153"/>
      <c r="EO77" s="153"/>
      <c r="EP77" s="153"/>
      <c r="EQ77" s="153"/>
      <c r="ER77" s="153"/>
      <c r="ES77" s="153"/>
      <c r="ET77" s="153"/>
      <c r="EU77" s="153"/>
      <c r="EV77" s="153"/>
      <c r="EW77" s="153"/>
      <c r="EX77" s="153"/>
      <c r="EY77" s="153"/>
      <c r="EZ77" s="153"/>
      <c r="FA77" s="153"/>
      <c r="FB77" s="153"/>
    </row>
    <row r="78" spans="1:158" s="294" customFormat="1" ht="15" thickBot="1" x14ac:dyDescent="0.35">
      <c r="A78" s="307" t="s">
        <v>185</v>
      </c>
      <c r="B78" s="308">
        <v>-6.8933333333333326</v>
      </c>
      <c r="C78" s="308">
        <v>-6.8933333333333326</v>
      </c>
      <c r="D78" s="308">
        <v>-6.8933333333333326</v>
      </c>
      <c r="E78" s="308">
        <v>-6.8933333333333326</v>
      </c>
      <c r="F78" s="308">
        <v>-6.8933333333333326</v>
      </c>
      <c r="G78" s="308">
        <v>-6.8933333333333318</v>
      </c>
      <c r="H78" s="308">
        <v>-6.8933333333333318</v>
      </c>
      <c r="I78" s="308">
        <v>-6.8933333333333326</v>
      </c>
      <c r="J78" s="308">
        <v>-6.8933333333333318</v>
      </c>
      <c r="K78" s="308">
        <v>-6.5883734040463553</v>
      </c>
      <c r="L78" s="308">
        <v>-6.5883734040463553</v>
      </c>
      <c r="M78" s="308">
        <v>-6.1323393572204283</v>
      </c>
      <c r="N78" s="308">
        <v>-6.1323393572204283</v>
      </c>
      <c r="O78" s="308">
        <v>-6.7293404248102737</v>
      </c>
      <c r="P78" s="308">
        <v>-6.7293404248102737</v>
      </c>
      <c r="Q78" s="308">
        <v>-6.7293404248102737</v>
      </c>
      <c r="R78" s="308">
        <v>-6.7293404248102737</v>
      </c>
      <c r="S78" s="308">
        <v>-6.7293404248102737</v>
      </c>
      <c r="T78" s="308">
        <v>-6.7293404248102737</v>
      </c>
      <c r="U78" s="308">
        <v>-6.7293404248102737</v>
      </c>
      <c r="V78" s="308">
        <v>-6.7293404248102737</v>
      </c>
      <c r="W78" s="308">
        <v>-6.7293404248102737</v>
      </c>
      <c r="X78" s="308">
        <v>-6.7293404248102737</v>
      </c>
      <c r="Y78" s="308">
        <v>-6.7293404248102737</v>
      </c>
      <c r="Z78" s="308">
        <v>-6.7293404248102737</v>
      </c>
      <c r="AA78" s="309">
        <v>-6.7293404248102737</v>
      </c>
      <c r="AB78" s="153"/>
      <c r="AC78" s="153"/>
      <c r="AD78" s="153"/>
      <c r="AE78" s="153"/>
      <c r="AF78" s="153"/>
      <c r="AG78" s="153"/>
      <c r="AH78" s="153"/>
      <c r="AI78" s="153"/>
      <c r="AJ78" s="153"/>
      <c r="AK78" s="153"/>
      <c r="AL78" s="153"/>
      <c r="AM78" s="153"/>
      <c r="AN78" s="153"/>
      <c r="AO78" s="153"/>
      <c r="AP78" s="153"/>
      <c r="AQ78" s="153"/>
      <c r="AR78" s="153"/>
      <c r="AS78" s="153"/>
      <c r="AT78" s="153"/>
      <c r="AU78" s="153"/>
      <c r="AV78" s="153"/>
      <c r="AW78" s="153"/>
      <c r="AX78" s="153"/>
      <c r="AY78" s="153"/>
      <c r="AZ78" s="153"/>
      <c r="BA78" s="153"/>
      <c r="BB78" s="153"/>
      <c r="BC78" s="153"/>
      <c r="BD78" s="153"/>
      <c r="BE78" s="153"/>
      <c r="BF78" s="153"/>
      <c r="BG78" s="153"/>
      <c r="BH78" s="153"/>
      <c r="BI78" s="153"/>
      <c r="BJ78" s="153"/>
      <c r="BK78" s="153"/>
      <c r="BL78" s="153"/>
      <c r="BM78" s="153"/>
      <c r="BN78" s="153"/>
      <c r="BO78" s="153"/>
      <c r="BP78" s="153"/>
      <c r="BQ78" s="153"/>
      <c r="BR78" s="153"/>
      <c r="BS78" s="153"/>
      <c r="BT78" s="153"/>
      <c r="BU78" s="153"/>
      <c r="BV78" s="153"/>
      <c r="BW78" s="153"/>
      <c r="BX78" s="153"/>
      <c r="BY78" s="153"/>
      <c r="BZ78" s="153"/>
      <c r="CA78" s="153"/>
      <c r="CB78" s="153"/>
      <c r="CC78" s="153"/>
      <c r="CD78" s="153"/>
      <c r="CE78" s="153"/>
      <c r="CF78" s="153"/>
      <c r="CG78" s="153"/>
      <c r="CH78" s="153"/>
      <c r="CI78" s="153"/>
      <c r="CJ78" s="153"/>
      <c r="CK78" s="153"/>
      <c r="CL78" s="153"/>
      <c r="CM78" s="153"/>
      <c r="CN78" s="153"/>
      <c r="CO78" s="153"/>
      <c r="CP78" s="153"/>
      <c r="CQ78" s="153"/>
      <c r="CR78" s="153"/>
      <c r="CS78" s="153"/>
      <c r="CT78" s="153"/>
      <c r="CU78" s="153"/>
      <c r="CV78" s="153"/>
      <c r="CW78" s="153"/>
      <c r="CX78" s="153"/>
      <c r="CY78" s="153"/>
      <c r="CZ78" s="153"/>
      <c r="DA78" s="153"/>
      <c r="DB78" s="153"/>
      <c r="DC78" s="153"/>
      <c r="DD78" s="153"/>
      <c r="DE78" s="153"/>
      <c r="DF78" s="153"/>
      <c r="DG78" s="153"/>
      <c r="DH78" s="153"/>
      <c r="DI78" s="153"/>
      <c r="DJ78" s="153"/>
      <c r="DK78" s="153"/>
      <c r="DL78" s="153"/>
      <c r="DM78" s="153"/>
      <c r="DN78" s="153"/>
      <c r="DO78" s="153"/>
      <c r="DP78" s="153"/>
      <c r="DQ78" s="153"/>
      <c r="DR78" s="153"/>
      <c r="DS78" s="153"/>
      <c r="DT78" s="153"/>
      <c r="DU78" s="153"/>
      <c r="DV78" s="153"/>
      <c r="DW78" s="153"/>
      <c r="DX78" s="153"/>
      <c r="DY78" s="153"/>
      <c r="DZ78" s="153"/>
      <c r="EA78" s="153"/>
      <c r="EB78" s="153"/>
      <c r="EC78" s="153"/>
      <c r="ED78" s="153"/>
      <c r="EE78" s="153"/>
      <c r="EF78" s="153"/>
      <c r="EG78" s="153"/>
      <c r="EH78" s="153"/>
      <c r="EI78" s="153"/>
      <c r="EJ78" s="153"/>
      <c r="EK78" s="153"/>
      <c r="EL78" s="153"/>
      <c r="EM78" s="153"/>
      <c r="EN78" s="153"/>
      <c r="EO78" s="153"/>
      <c r="EP78" s="153"/>
      <c r="EQ78" s="153"/>
      <c r="ER78" s="153"/>
      <c r="ES78" s="153"/>
      <c r="ET78" s="153"/>
      <c r="EU78" s="153"/>
      <c r="EV78" s="153"/>
      <c r="EW78" s="153"/>
      <c r="EX78" s="153"/>
      <c r="EY78" s="153"/>
      <c r="EZ78" s="153"/>
      <c r="FA78" s="153"/>
      <c r="FB78" s="153"/>
    </row>
    <row r="79" spans="1:158" s="291" customFormat="1" x14ac:dyDescent="0.3">
      <c r="A79" s="296" t="s">
        <v>186</v>
      </c>
      <c r="B79" s="297">
        <v>0</v>
      </c>
      <c r="C79" s="297">
        <v>0</v>
      </c>
      <c r="D79" s="297">
        <v>0</v>
      </c>
      <c r="E79" s="297">
        <v>0</v>
      </c>
      <c r="F79" s="297">
        <v>0</v>
      </c>
      <c r="G79" s="297">
        <v>0</v>
      </c>
      <c r="H79" s="297">
        <v>0</v>
      </c>
      <c r="I79" s="297">
        <v>0</v>
      </c>
      <c r="J79" s="297">
        <v>0</v>
      </c>
      <c r="K79" s="297">
        <v>0</v>
      </c>
      <c r="L79" s="297">
        <v>0</v>
      </c>
      <c r="M79" s="297">
        <v>0.56766564231728855</v>
      </c>
      <c r="N79" s="297">
        <v>0.56766564231728855</v>
      </c>
      <c r="O79" s="297">
        <v>8.7333175741121316E-2</v>
      </c>
      <c r="P79" s="297">
        <v>8.7333175741121316E-2</v>
      </c>
      <c r="Q79" s="297">
        <v>8.7333175741121316E-2</v>
      </c>
      <c r="R79" s="297">
        <v>8.7333175741121316E-2</v>
      </c>
      <c r="S79" s="297">
        <v>8.7333175741121316E-2</v>
      </c>
      <c r="T79" s="297">
        <v>8.7333175741121316E-2</v>
      </c>
      <c r="U79" s="297">
        <v>8.7333175741121316E-2</v>
      </c>
      <c r="V79" s="297">
        <v>8.7333175741121316E-2</v>
      </c>
      <c r="W79" s="297">
        <v>8.7333175741121316E-2</v>
      </c>
      <c r="X79" s="297">
        <v>8.7333175741121316E-2</v>
      </c>
      <c r="Y79" s="297">
        <v>8.7333175741121316E-2</v>
      </c>
      <c r="Z79" s="297">
        <v>8.7333175741121316E-2</v>
      </c>
      <c r="AA79" s="310">
        <v>8.7333175741121316E-2</v>
      </c>
      <c r="AB79" s="153"/>
      <c r="AC79" s="153"/>
      <c r="AD79" s="153"/>
      <c r="AE79" s="153"/>
      <c r="AF79" s="153"/>
      <c r="AG79" s="153"/>
      <c r="AH79" s="153"/>
      <c r="AI79" s="153"/>
      <c r="AJ79" s="153"/>
      <c r="AK79" s="153"/>
      <c r="AL79" s="153"/>
      <c r="AM79" s="153"/>
      <c r="AN79" s="153"/>
      <c r="AO79" s="153"/>
      <c r="AP79" s="153"/>
      <c r="AQ79" s="153"/>
      <c r="AR79" s="153"/>
      <c r="AS79" s="153"/>
      <c r="AT79" s="153"/>
      <c r="AU79" s="153"/>
      <c r="AV79" s="153"/>
      <c r="AW79" s="153"/>
      <c r="AX79" s="153"/>
      <c r="AY79" s="153"/>
      <c r="AZ79" s="153"/>
      <c r="BA79" s="153"/>
      <c r="BB79" s="153"/>
      <c r="BC79" s="153"/>
      <c r="BD79" s="153"/>
      <c r="BE79" s="153"/>
      <c r="BF79" s="153"/>
      <c r="BG79" s="153"/>
      <c r="BH79" s="153"/>
      <c r="BI79" s="153"/>
      <c r="BJ79" s="153"/>
      <c r="BK79" s="153"/>
      <c r="BL79" s="153"/>
      <c r="BM79" s="153"/>
      <c r="BN79" s="153"/>
      <c r="BO79" s="153"/>
      <c r="BP79" s="153"/>
      <c r="BQ79" s="153"/>
      <c r="BR79" s="153"/>
      <c r="BS79" s="153"/>
      <c r="BT79" s="153"/>
      <c r="BU79" s="153"/>
      <c r="BV79" s="153"/>
      <c r="BW79" s="153"/>
      <c r="BX79" s="153"/>
      <c r="BY79" s="153"/>
      <c r="BZ79" s="153"/>
      <c r="CA79" s="153"/>
      <c r="CB79" s="153"/>
      <c r="CC79" s="153"/>
      <c r="CD79" s="153"/>
      <c r="CE79" s="153"/>
      <c r="CF79" s="153"/>
      <c r="CG79" s="153"/>
      <c r="CH79" s="153"/>
      <c r="CI79" s="153"/>
      <c r="CJ79" s="153"/>
      <c r="CK79" s="153"/>
      <c r="CL79" s="153"/>
      <c r="CM79" s="153"/>
      <c r="CN79" s="153"/>
      <c r="CO79" s="153"/>
      <c r="CP79" s="153"/>
      <c r="CQ79" s="153"/>
      <c r="CR79" s="153"/>
      <c r="CS79" s="153"/>
      <c r="CT79" s="153"/>
      <c r="CU79" s="153"/>
      <c r="CV79" s="153"/>
      <c r="CW79" s="153"/>
      <c r="CX79" s="153"/>
      <c r="CY79" s="153"/>
      <c r="CZ79" s="153"/>
      <c r="DA79" s="153"/>
      <c r="DB79" s="153"/>
      <c r="DC79" s="153"/>
      <c r="DD79" s="153"/>
      <c r="DE79" s="153"/>
      <c r="DF79" s="153"/>
      <c r="DG79" s="153"/>
      <c r="DH79" s="153"/>
      <c r="DI79" s="153"/>
      <c r="DJ79" s="153"/>
      <c r="DK79" s="153"/>
      <c r="DL79" s="153"/>
      <c r="DM79" s="153"/>
      <c r="DN79" s="153"/>
      <c r="DO79" s="153"/>
      <c r="DP79" s="153"/>
      <c r="DQ79" s="153"/>
      <c r="DR79" s="153"/>
      <c r="DS79" s="153"/>
      <c r="DT79" s="153"/>
      <c r="DU79" s="153"/>
      <c r="DV79" s="153"/>
      <c r="DW79" s="153"/>
      <c r="DX79" s="153"/>
      <c r="DY79" s="153"/>
      <c r="DZ79" s="153"/>
      <c r="EA79" s="153"/>
      <c r="EB79" s="153"/>
      <c r="EC79" s="153"/>
      <c r="ED79" s="153"/>
      <c r="EE79" s="153"/>
      <c r="EF79" s="153"/>
      <c r="EG79" s="153"/>
      <c r="EH79" s="153"/>
      <c r="EI79" s="153"/>
      <c r="EJ79" s="153"/>
      <c r="EK79" s="153"/>
      <c r="EL79" s="153"/>
      <c r="EM79" s="153"/>
      <c r="EN79" s="153"/>
      <c r="EO79" s="153"/>
      <c r="EP79" s="153"/>
      <c r="EQ79" s="153"/>
      <c r="ER79" s="153"/>
      <c r="ES79" s="153"/>
      <c r="ET79" s="153"/>
      <c r="EU79" s="153"/>
      <c r="EV79" s="153"/>
      <c r="EW79" s="153"/>
      <c r="EX79" s="153"/>
      <c r="EY79" s="153"/>
      <c r="EZ79" s="153"/>
      <c r="FA79" s="153"/>
      <c r="FB79" s="153"/>
    </row>
    <row r="80" spans="1:158" s="291" customFormat="1" x14ac:dyDescent="0.3">
      <c r="A80" s="298" t="s">
        <v>187</v>
      </c>
      <c r="B80" s="292">
        <v>0</v>
      </c>
      <c r="C80" s="292">
        <v>0</v>
      </c>
      <c r="D80" s="292">
        <v>0</v>
      </c>
      <c r="E80" s="292">
        <v>0</v>
      </c>
      <c r="F80" s="292">
        <v>0</v>
      </c>
      <c r="G80" s="292">
        <v>0</v>
      </c>
      <c r="H80" s="292">
        <v>0</v>
      </c>
      <c r="I80" s="292">
        <v>0</v>
      </c>
      <c r="J80" s="292">
        <v>0</v>
      </c>
      <c r="K80" s="292">
        <v>0</v>
      </c>
      <c r="L80" s="292">
        <v>0</v>
      </c>
      <c r="M80" s="292">
        <v>2.6062389175546445</v>
      </c>
      <c r="N80" s="292">
        <v>2.6062389175546445</v>
      </c>
      <c r="O80" s="292">
        <v>0.40095983346994529</v>
      </c>
      <c r="P80" s="292">
        <v>0.40095983346994529</v>
      </c>
      <c r="Q80" s="292">
        <v>0.40095983346994529</v>
      </c>
      <c r="R80" s="292">
        <v>0.40095983346994529</v>
      </c>
      <c r="S80" s="292">
        <v>0.40095983346994529</v>
      </c>
      <c r="T80" s="292">
        <v>0.40095983346994529</v>
      </c>
      <c r="U80" s="292">
        <v>0.40095983346994529</v>
      </c>
      <c r="V80" s="292">
        <v>0.40095983346994529</v>
      </c>
      <c r="W80" s="292">
        <v>0.40095983346994529</v>
      </c>
      <c r="X80" s="292">
        <v>0.40095983346994529</v>
      </c>
      <c r="Y80" s="292">
        <v>0.40095983346994529</v>
      </c>
      <c r="Z80" s="292">
        <v>0.40095983346994529</v>
      </c>
      <c r="AA80" s="311">
        <v>0.40095983346994529</v>
      </c>
      <c r="AB80" s="153"/>
      <c r="AC80" s="153"/>
      <c r="AD80" s="153"/>
      <c r="AE80" s="153"/>
      <c r="AF80" s="153"/>
      <c r="AG80" s="153"/>
      <c r="AH80" s="153"/>
      <c r="AI80" s="153"/>
      <c r="AJ80" s="153"/>
      <c r="AK80" s="153"/>
      <c r="AL80" s="153"/>
      <c r="AM80" s="153"/>
      <c r="AN80" s="153"/>
      <c r="AO80" s="153"/>
      <c r="AP80" s="153"/>
      <c r="AQ80" s="153"/>
      <c r="AR80" s="153"/>
      <c r="AS80" s="153"/>
      <c r="AT80" s="153"/>
      <c r="AU80" s="153"/>
      <c r="AV80" s="153"/>
      <c r="AW80" s="153"/>
      <c r="AX80" s="153"/>
      <c r="AY80" s="153"/>
      <c r="AZ80" s="153"/>
      <c r="BA80" s="153"/>
      <c r="BB80" s="153"/>
      <c r="BC80" s="153"/>
      <c r="BD80" s="153"/>
      <c r="BE80" s="153"/>
      <c r="BF80" s="153"/>
      <c r="BG80" s="153"/>
      <c r="BH80" s="153"/>
      <c r="BI80" s="153"/>
      <c r="BJ80" s="153"/>
      <c r="BK80" s="153"/>
      <c r="BL80" s="153"/>
      <c r="BM80" s="153"/>
      <c r="BN80" s="153"/>
      <c r="BO80" s="153"/>
      <c r="BP80" s="153"/>
      <c r="BQ80" s="153"/>
      <c r="BR80" s="153"/>
      <c r="BS80" s="153"/>
      <c r="BT80" s="153"/>
      <c r="BU80" s="153"/>
      <c r="BV80" s="153"/>
      <c r="BW80" s="153"/>
      <c r="BX80" s="153"/>
      <c r="BY80" s="153"/>
      <c r="BZ80" s="153"/>
      <c r="CA80" s="153"/>
      <c r="CB80" s="153"/>
      <c r="CC80" s="153"/>
      <c r="CD80" s="153"/>
      <c r="CE80" s="153"/>
      <c r="CF80" s="153"/>
      <c r="CG80" s="153"/>
      <c r="CH80" s="153"/>
      <c r="CI80" s="153"/>
      <c r="CJ80" s="153"/>
      <c r="CK80" s="153"/>
      <c r="CL80" s="153"/>
      <c r="CM80" s="153"/>
      <c r="CN80" s="153"/>
      <c r="CO80" s="153"/>
      <c r="CP80" s="153"/>
      <c r="CQ80" s="153"/>
      <c r="CR80" s="153"/>
      <c r="CS80" s="153"/>
      <c r="CT80" s="153"/>
      <c r="CU80" s="153"/>
      <c r="CV80" s="153"/>
      <c r="CW80" s="153"/>
      <c r="CX80" s="153"/>
      <c r="CY80" s="153"/>
      <c r="CZ80" s="153"/>
      <c r="DA80" s="153"/>
      <c r="DB80" s="153"/>
      <c r="DC80" s="153"/>
      <c r="DD80" s="153"/>
      <c r="DE80" s="153"/>
      <c r="DF80" s="153"/>
      <c r="DG80" s="153"/>
      <c r="DH80" s="153"/>
      <c r="DI80" s="153"/>
      <c r="DJ80" s="153"/>
      <c r="DK80" s="153"/>
      <c r="DL80" s="153"/>
      <c r="DM80" s="153"/>
      <c r="DN80" s="153"/>
      <c r="DO80" s="153"/>
      <c r="DP80" s="153"/>
      <c r="DQ80" s="153"/>
      <c r="DR80" s="153"/>
      <c r="DS80" s="153"/>
      <c r="DT80" s="153"/>
      <c r="DU80" s="153"/>
      <c r="DV80" s="153"/>
      <c r="DW80" s="153"/>
      <c r="DX80" s="153"/>
      <c r="DY80" s="153"/>
      <c r="DZ80" s="153"/>
      <c r="EA80" s="153"/>
      <c r="EB80" s="153"/>
      <c r="EC80" s="153"/>
      <c r="ED80" s="153"/>
      <c r="EE80" s="153"/>
      <c r="EF80" s="153"/>
      <c r="EG80" s="153"/>
      <c r="EH80" s="153"/>
      <c r="EI80" s="153"/>
      <c r="EJ80" s="153"/>
      <c r="EK80" s="153"/>
      <c r="EL80" s="153"/>
      <c r="EM80" s="153"/>
      <c r="EN80" s="153"/>
      <c r="EO80" s="153"/>
      <c r="EP80" s="153"/>
      <c r="EQ80" s="153"/>
      <c r="ER80" s="153"/>
      <c r="ES80" s="153"/>
      <c r="ET80" s="153"/>
      <c r="EU80" s="153"/>
      <c r="EV80" s="153"/>
      <c r="EW80" s="153"/>
      <c r="EX80" s="153"/>
      <c r="EY80" s="153"/>
      <c r="EZ80" s="153"/>
      <c r="FA80" s="153"/>
      <c r="FB80" s="153"/>
    </row>
    <row r="81" spans="1:158" s="291" customFormat="1" x14ac:dyDescent="0.3">
      <c r="A81" s="298" t="s">
        <v>188</v>
      </c>
      <c r="B81" s="292">
        <v>0</v>
      </c>
      <c r="C81" s="292">
        <v>0</v>
      </c>
      <c r="D81" s="292">
        <v>0</v>
      </c>
      <c r="E81" s="292">
        <v>0</v>
      </c>
      <c r="F81" s="292">
        <v>0</v>
      </c>
      <c r="G81" s="292">
        <v>0</v>
      </c>
      <c r="H81" s="292">
        <v>0</v>
      </c>
      <c r="I81" s="292">
        <v>0</v>
      </c>
      <c r="J81" s="292">
        <v>0</v>
      </c>
      <c r="K81" s="292">
        <v>0</v>
      </c>
      <c r="L81" s="292">
        <v>0</v>
      </c>
      <c r="M81" s="292">
        <v>1.0394040357357122</v>
      </c>
      <c r="N81" s="292">
        <v>1.0394040357357122</v>
      </c>
      <c r="O81" s="292">
        <v>0.15990831319010956</v>
      </c>
      <c r="P81" s="292">
        <v>0.15990831319010956</v>
      </c>
      <c r="Q81" s="292">
        <v>0.15990831319010956</v>
      </c>
      <c r="R81" s="292">
        <v>0.15990831319010956</v>
      </c>
      <c r="S81" s="292">
        <v>0.15990831319010956</v>
      </c>
      <c r="T81" s="292">
        <v>0.15990831319010956</v>
      </c>
      <c r="U81" s="292">
        <v>0.15990831319010956</v>
      </c>
      <c r="V81" s="292">
        <v>0.15990831319010956</v>
      </c>
      <c r="W81" s="292">
        <v>0.15990831319010956</v>
      </c>
      <c r="X81" s="292">
        <v>0.15990831319010956</v>
      </c>
      <c r="Y81" s="292">
        <v>0.15990831319010956</v>
      </c>
      <c r="Z81" s="292">
        <v>0.15990831319010956</v>
      </c>
      <c r="AA81" s="311">
        <v>0.15990831319010956</v>
      </c>
      <c r="AB81" s="153"/>
      <c r="AC81" s="153"/>
      <c r="AD81" s="153"/>
      <c r="AE81" s="153"/>
      <c r="AF81" s="153"/>
      <c r="AG81" s="153"/>
      <c r="AH81" s="153"/>
      <c r="AI81" s="153"/>
      <c r="AJ81" s="153"/>
      <c r="AK81" s="153"/>
      <c r="AL81" s="153"/>
      <c r="AM81" s="153"/>
      <c r="AN81" s="153"/>
      <c r="AO81" s="153"/>
      <c r="AP81" s="153"/>
      <c r="AQ81" s="153"/>
      <c r="AR81" s="153"/>
      <c r="AS81" s="153"/>
      <c r="AT81" s="153"/>
      <c r="AU81" s="153"/>
      <c r="AV81" s="153"/>
      <c r="AW81" s="153"/>
      <c r="AX81" s="153"/>
      <c r="AY81" s="153"/>
      <c r="AZ81" s="153"/>
      <c r="BA81" s="153"/>
      <c r="BB81" s="153"/>
      <c r="BC81" s="153"/>
      <c r="BD81" s="153"/>
      <c r="BE81" s="153"/>
      <c r="BF81" s="153"/>
      <c r="BG81" s="153"/>
      <c r="BH81" s="153"/>
      <c r="BI81" s="153"/>
      <c r="BJ81" s="153"/>
      <c r="BK81" s="153"/>
      <c r="BL81" s="153"/>
      <c r="BM81" s="153"/>
      <c r="BN81" s="153"/>
      <c r="BO81" s="153"/>
      <c r="BP81" s="153"/>
      <c r="BQ81" s="153"/>
      <c r="BR81" s="153"/>
      <c r="BS81" s="153"/>
      <c r="BT81" s="153"/>
      <c r="BU81" s="153"/>
      <c r="BV81" s="153"/>
      <c r="BW81" s="153"/>
      <c r="BX81" s="153"/>
      <c r="BY81" s="153"/>
      <c r="BZ81" s="153"/>
      <c r="CA81" s="153"/>
      <c r="CB81" s="153"/>
      <c r="CC81" s="153"/>
      <c r="CD81" s="153"/>
      <c r="CE81" s="153"/>
      <c r="CF81" s="153"/>
      <c r="CG81" s="153"/>
      <c r="CH81" s="153"/>
      <c r="CI81" s="153"/>
      <c r="CJ81" s="153"/>
      <c r="CK81" s="153"/>
      <c r="CL81" s="153"/>
      <c r="CM81" s="153"/>
      <c r="CN81" s="153"/>
      <c r="CO81" s="153"/>
      <c r="CP81" s="153"/>
      <c r="CQ81" s="153"/>
      <c r="CR81" s="153"/>
      <c r="CS81" s="153"/>
      <c r="CT81" s="153"/>
      <c r="CU81" s="153"/>
      <c r="CV81" s="153"/>
      <c r="CW81" s="153"/>
      <c r="CX81" s="153"/>
      <c r="CY81" s="153"/>
      <c r="CZ81" s="153"/>
      <c r="DA81" s="153"/>
      <c r="DB81" s="153"/>
      <c r="DC81" s="153"/>
      <c r="DD81" s="153"/>
      <c r="DE81" s="153"/>
      <c r="DF81" s="153"/>
      <c r="DG81" s="153"/>
      <c r="DH81" s="153"/>
      <c r="DI81" s="153"/>
      <c r="DJ81" s="153"/>
      <c r="DK81" s="153"/>
      <c r="DL81" s="153"/>
      <c r="DM81" s="153"/>
      <c r="DN81" s="153"/>
      <c r="DO81" s="153"/>
      <c r="DP81" s="153"/>
      <c r="DQ81" s="153"/>
      <c r="DR81" s="153"/>
      <c r="DS81" s="153"/>
      <c r="DT81" s="153"/>
      <c r="DU81" s="153"/>
      <c r="DV81" s="153"/>
      <c r="DW81" s="153"/>
      <c r="DX81" s="153"/>
      <c r="DY81" s="153"/>
      <c r="DZ81" s="153"/>
      <c r="EA81" s="153"/>
      <c r="EB81" s="153"/>
      <c r="EC81" s="153"/>
      <c r="ED81" s="153"/>
      <c r="EE81" s="153"/>
      <c r="EF81" s="153"/>
      <c r="EG81" s="153"/>
      <c r="EH81" s="153"/>
      <c r="EI81" s="153"/>
      <c r="EJ81" s="153"/>
      <c r="EK81" s="153"/>
      <c r="EL81" s="153"/>
      <c r="EM81" s="153"/>
      <c r="EN81" s="153"/>
      <c r="EO81" s="153"/>
      <c r="EP81" s="153"/>
      <c r="EQ81" s="153"/>
      <c r="ER81" s="153"/>
      <c r="ES81" s="153"/>
      <c r="ET81" s="153"/>
      <c r="EU81" s="153"/>
      <c r="EV81" s="153"/>
      <c r="EW81" s="153"/>
      <c r="EX81" s="153"/>
      <c r="EY81" s="153"/>
      <c r="EZ81" s="153"/>
      <c r="FA81" s="153"/>
      <c r="FB81" s="153"/>
    </row>
    <row r="82" spans="1:158" s="291" customFormat="1" x14ac:dyDescent="0.3">
      <c r="A82" s="298" t="s">
        <v>189</v>
      </c>
      <c r="B82" s="292">
        <v>0</v>
      </c>
      <c r="C82" s="292">
        <v>0</v>
      </c>
      <c r="D82" s="292">
        <v>0</v>
      </c>
      <c r="E82" s="292">
        <v>0</v>
      </c>
      <c r="F82" s="292">
        <v>0</v>
      </c>
      <c r="G82" s="292">
        <v>0</v>
      </c>
      <c r="H82" s="292">
        <v>0</v>
      </c>
      <c r="I82" s="292">
        <v>0</v>
      </c>
      <c r="J82" s="292">
        <v>0</v>
      </c>
      <c r="K82" s="292">
        <v>0</v>
      </c>
      <c r="L82" s="292">
        <v>0</v>
      </c>
      <c r="M82" s="292">
        <v>0.20613307147967402</v>
      </c>
      <c r="N82" s="292">
        <v>0.20613307147967402</v>
      </c>
      <c r="O82" s="292">
        <v>3.1712780227642158E-2</v>
      </c>
      <c r="P82" s="292">
        <v>3.1712780227642158E-2</v>
      </c>
      <c r="Q82" s="292">
        <v>3.1712780227642158E-2</v>
      </c>
      <c r="R82" s="292">
        <v>3.1712780227642158E-2</v>
      </c>
      <c r="S82" s="292">
        <v>3.1712780227642158E-2</v>
      </c>
      <c r="T82" s="292">
        <v>3.1712780227642158E-2</v>
      </c>
      <c r="U82" s="292">
        <v>3.1712780227642158E-2</v>
      </c>
      <c r="V82" s="292">
        <v>3.1712780227642158E-2</v>
      </c>
      <c r="W82" s="292">
        <v>3.1712780227642158E-2</v>
      </c>
      <c r="X82" s="292">
        <v>3.1712780227642158E-2</v>
      </c>
      <c r="Y82" s="292">
        <v>3.1712780227642158E-2</v>
      </c>
      <c r="Z82" s="292">
        <v>3.1712780227642158E-2</v>
      </c>
      <c r="AA82" s="311">
        <v>3.1712780227642158E-2</v>
      </c>
      <c r="AB82" s="153"/>
      <c r="AC82" s="153"/>
      <c r="AD82" s="153"/>
      <c r="AE82" s="153"/>
      <c r="AF82" s="153"/>
      <c r="AG82" s="153"/>
      <c r="AH82" s="153"/>
      <c r="AI82" s="153"/>
      <c r="AJ82" s="153"/>
      <c r="AK82" s="153"/>
      <c r="AL82" s="153"/>
      <c r="AM82" s="153"/>
      <c r="AN82" s="153"/>
      <c r="AO82" s="153"/>
      <c r="AP82" s="153"/>
      <c r="AQ82" s="153"/>
      <c r="AR82" s="153"/>
      <c r="AS82" s="153"/>
      <c r="AT82" s="153"/>
      <c r="AU82" s="153"/>
      <c r="AV82" s="153"/>
      <c r="AW82" s="153"/>
      <c r="AX82" s="153"/>
      <c r="AY82" s="153"/>
      <c r="AZ82" s="153"/>
      <c r="BA82" s="153"/>
      <c r="BB82" s="153"/>
      <c r="BC82" s="153"/>
      <c r="BD82" s="153"/>
      <c r="BE82" s="153"/>
      <c r="BF82" s="153"/>
      <c r="BG82" s="153"/>
      <c r="BH82" s="153"/>
      <c r="BI82" s="153"/>
      <c r="BJ82" s="153"/>
      <c r="BK82" s="153"/>
      <c r="BL82" s="153"/>
      <c r="BM82" s="153"/>
      <c r="BN82" s="153"/>
      <c r="BO82" s="153"/>
      <c r="BP82" s="153"/>
      <c r="BQ82" s="153"/>
      <c r="BR82" s="153"/>
      <c r="BS82" s="153"/>
      <c r="BT82" s="153"/>
      <c r="BU82" s="153"/>
      <c r="BV82" s="153"/>
      <c r="BW82" s="153"/>
      <c r="BX82" s="153"/>
      <c r="BY82" s="153"/>
      <c r="BZ82" s="153"/>
      <c r="CA82" s="153"/>
      <c r="CB82" s="153"/>
      <c r="CC82" s="153"/>
      <c r="CD82" s="153"/>
      <c r="CE82" s="153"/>
      <c r="CF82" s="153"/>
      <c r="CG82" s="153"/>
      <c r="CH82" s="153"/>
      <c r="CI82" s="153"/>
      <c r="CJ82" s="153"/>
      <c r="CK82" s="153"/>
      <c r="CL82" s="153"/>
      <c r="CM82" s="153"/>
      <c r="CN82" s="153"/>
      <c r="CO82" s="153"/>
      <c r="CP82" s="153"/>
      <c r="CQ82" s="153"/>
      <c r="CR82" s="153"/>
      <c r="CS82" s="153"/>
      <c r="CT82" s="153"/>
      <c r="CU82" s="153"/>
      <c r="CV82" s="153"/>
      <c r="CW82" s="153"/>
      <c r="CX82" s="153"/>
      <c r="CY82" s="153"/>
      <c r="CZ82" s="153"/>
      <c r="DA82" s="153"/>
      <c r="DB82" s="153"/>
      <c r="DC82" s="153"/>
      <c r="DD82" s="153"/>
      <c r="DE82" s="153"/>
      <c r="DF82" s="153"/>
      <c r="DG82" s="153"/>
      <c r="DH82" s="153"/>
      <c r="DI82" s="153"/>
      <c r="DJ82" s="153"/>
      <c r="DK82" s="153"/>
      <c r="DL82" s="153"/>
      <c r="DM82" s="153"/>
      <c r="DN82" s="153"/>
      <c r="DO82" s="153"/>
      <c r="DP82" s="153"/>
      <c r="DQ82" s="153"/>
      <c r="DR82" s="153"/>
      <c r="DS82" s="153"/>
      <c r="DT82" s="153"/>
      <c r="DU82" s="153"/>
      <c r="DV82" s="153"/>
      <c r="DW82" s="153"/>
      <c r="DX82" s="153"/>
      <c r="DY82" s="153"/>
      <c r="DZ82" s="153"/>
      <c r="EA82" s="153"/>
      <c r="EB82" s="153"/>
      <c r="EC82" s="153"/>
      <c r="ED82" s="153"/>
      <c r="EE82" s="153"/>
      <c r="EF82" s="153"/>
      <c r="EG82" s="153"/>
      <c r="EH82" s="153"/>
      <c r="EI82" s="153"/>
      <c r="EJ82" s="153"/>
      <c r="EK82" s="153"/>
      <c r="EL82" s="153"/>
      <c r="EM82" s="153"/>
      <c r="EN82" s="153"/>
      <c r="EO82" s="153"/>
      <c r="EP82" s="153"/>
      <c r="EQ82" s="153"/>
      <c r="ER82" s="153"/>
      <c r="ES82" s="153"/>
      <c r="ET82" s="153"/>
      <c r="EU82" s="153"/>
      <c r="EV82" s="153"/>
      <c r="EW82" s="153"/>
      <c r="EX82" s="153"/>
      <c r="EY82" s="153"/>
      <c r="EZ82" s="153"/>
      <c r="FA82" s="153"/>
      <c r="FB82" s="153"/>
    </row>
    <row r="83" spans="1:158" s="291" customFormat="1" x14ac:dyDescent="0.3">
      <c r="A83" s="298" t="s">
        <v>190</v>
      </c>
      <c r="B83" s="292">
        <v>0</v>
      </c>
      <c r="C83" s="292">
        <v>0</v>
      </c>
      <c r="D83" s="292">
        <v>0</v>
      </c>
      <c r="E83" s="292">
        <v>0</v>
      </c>
      <c r="F83" s="292">
        <v>0</v>
      </c>
      <c r="G83" s="292">
        <v>0</v>
      </c>
      <c r="H83" s="292">
        <v>0</v>
      </c>
      <c r="I83" s="292">
        <v>0</v>
      </c>
      <c r="J83" s="292">
        <v>0</v>
      </c>
      <c r="K83" s="292">
        <v>0</v>
      </c>
      <c r="L83" s="292">
        <v>0</v>
      </c>
      <c r="M83" s="292">
        <v>5.581393648165081</v>
      </c>
      <c r="N83" s="292">
        <v>5.581393648165081</v>
      </c>
      <c r="O83" s="292">
        <v>0.85867594587155094</v>
      </c>
      <c r="P83" s="292">
        <v>0.85867594587155094</v>
      </c>
      <c r="Q83" s="292">
        <v>0.85867594587155094</v>
      </c>
      <c r="R83" s="292">
        <v>0.85867594587155094</v>
      </c>
      <c r="S83" s="292">
        <v>0.85867594587155094</v>
      </c>
      <c r="T83" s="292">
        <v>0.85867594587155094</v>
      </c>
      <c r="U83" s="292">
        <v>0.85867594587155094</v>
      </c>
      <c r="V83" s="292">
        <v>0.85867594587155094</v>
      </c>
      <c r="W83" s="292">
        <v>0.85867594587155094</v>
      </c>
      <c r="X83" s="292">
        <v>0.85867594587155094</v>
      </c>
      <c r="Y83" s="292">
        <v>0.85867594587155094</v>
      </c>
      <c r="Z83" s="292">
        <v>0.85867594587155094</v>
      </c>
      <c r="AA83" s="311">
        <v>0.85867594587155094</v>
      </c>
      <c r="AB83" s="153"/>
      <c r="AC83" s="153"/>
      <c r="AD83" s="153"/>
      <c r="AE83" s="153"/>
      <c r="AF83" s="153"/>
      <c r="AG83" s="153"/>
      <c r="AH83" s="153"/>
      <c r="AI83" s="153"/>
      <c r="AJ83" s="153"/>
      <c r="AK83" s="153"/>
      <c r="AL83" s="153"/>
      <c r="AM83" s="153"/>
      <c r="AN83" s="153"/>
      <c r="AO83" s="153"/>
      <c r="AP83" s="153"/>
      <c r="AQ83" s="153"/>
      <c r="AR83" s="153"/>
      <c r="AS83" s="153"/>
      <c r="AT83" s="153"/>
      <c r="AU83" s="153"/>
      <c r="AV83" s="153"/>
      <c r="AW83" s="153"/>
      <c r="AX83" s="153"/>
      <c r="AY83" s="153"/>
      <c r="AZ83" s="153"/>
      <c r="BA83" s="153"/>
      <c r="BB83" s="153"/>
      <c r="BC83" s="153"/>
      <c r="BD83" s="153"/>
      <c r="BE83" s="153"/>
      <c r="BF83" s="153"/>
      <c r="BG83" s="153"/>
      <c r="BH83" s="153"/>
      <c r="BI83" s="153"/>
      <c r="BJ83" s="153"/>
      <c r="BK83" s="153"/>
      <c r="BL83" s="153"/>
      <c r="BM83" s="153"/>
      <c r="BN83" s="153"/>
      <c r="BO83" s="153"/>
      <c r="BP83" s="153"/>
      <c r="BQ83" s="153"/>
      <c r="BR83" s="153"/>
      <c r="BS83" s="153"/>
      <c r="BT83" s="153"/>
      <c r="BU83" s="153"/>
      <c r="BV83" s="153"/>
      <c r="BW83" s="153"/>
      <c r="BX83" s="153"/>
      <c r="BY83" s="153"/>
      <c r="BZ83" s="153"/>
      <c r="CA83" s="153"/>
      <c r="CB83" s="153"/>
      <c r="CC83" s="153"/>
      <c r="CD83" s="153"/>
      <c r="CE83" s="153"/>
      <c r="CF83" s="153"/>
      <c r="CG83" s="153"/>
      <c r="CH83" s="153"/>
      <c r="CI83" s="153"/>
      <c r="CJ83" s="153"/>
      <c r="CK83" s="153"/>
      <c r="CL83" s="153"/>
      <c r="CM83" s="153"/>
      <c r="CN83" s="153"/>
      <c r="CO83" s="153"/>
      <c r="CP83" s="153"/>
      <c r="CQ83" s="153"/>
      <c r="CR83" s="153"/>
      <c r="CS83" s="153"/>
      <c r="CT83" s="153"/>
      <c r="CU83" s="153"/>
      <c r="CV83" s="153"/>
      <c r="CW83" s="153"/>
      <c r="CX83" s="153"/>
      <c r="CY83" s="153"/>
      <c r="CZ83" s="153"/>
      <c r="DA83" s="153"/>
      <c r="DB83" s="153"/>
      <c r="DC83" s="153"/>
      <c r="DD83" s="153"/>
      <c r="DE83" s="153"/>
      <c r="DF83" s="153"/>
      <c r="DG83" s="153"/>
      <c r="DH83" s="153"/>
      <c r="DI83" s="153"/>
      <c r="DJ83" s="153"/>
      <c r="DK83" s="153"/>
      <c r="DL83" s="153"/>
      <c r="DM83" s="153"/>
      <c r="DN83" s="153"/>
      <c r="DO83" s="153"/>
      <c r="DP83" s="153"/>
      <c r="DQ83" s="153"/>
      <c r="DR83" s="153"/>
      <c r="DS83" s="153"/>
      <c r="DT83" s="153"/>
      <c r="DU83" s="153"/>
      <c r="DV83" s="153"/>
      <c r="DW83" s="153"/>
      <c r="DX83" s="153"/>
      <c r="DY83" s="153"/>
      <c r="DZ83" s="153"/>
      <c r="EA83" s="153"/>
      <c r="EB83" s="153"/>
      <c r="EC83" s="153"/>
      <c r="ED83" s="153"/>
      <c r="EE83" s="153"/>
      <c r="EF83" s="153"/>
      <c r="EG83" s="153"/>
      <c r="EH83" s="153"/>
      <c r="EI83" s="153"/>
      <c r="EJ83" s="153"/>
      <c r="EK83" s="153"/>
      <c r="EL83" s="153"/>
      <c r="EM83" s="153"/>
      <c r="EN83" s="153"/>
      <c r="EO83" s="153"/>
      <c r="EP83" s="153"/>
      <c r="EQ83" s="153"/>
      <c r="ER83" s="153"/>
      <c r="ES83" s="153"/>
      <c r="ET83" s="153"/>
      <c r="EU83" s="153"/>
      <c r="EV83" s="153"/>
      <c r="EW83" s="153"/>
      <c r="EX83" s="153"/>
      <c r="EY83" s="153"/>
      <c r="EZ83" s="153"/>
      <c r="FA83" s="153"/>
      <c r="FB83" s="153"/>
    </row>
    <row r="84" spans="1:158" s="291" customFormat="1" x14ac:dyDescent="0.3">
      <c r="A84" s="298" t="s">
        <v>191</v>
      </c>
      <c r="B84" s="292">
        <v>0</v>
      </c>
      <c r="C84" s="292">
        <v>0</v>
      </c>
      <c r="D84" s="292">
        <v>0</v>
      </c>
      <c r="E84" s="292">
        <v>0</v>
      </c>
      <c r="F84" s="292">
        <v>0</v>
      </c>
      <c r="G84" s="292">
        <v>0</v>
      </c>
      <c r="H84" s="292">
        <v>0</v>
      </c>
      <c r="I84" s="292">
        <v>0</v>
      </c>
      <c r="J84" s="292">
        <v>0</v>
      </c>
      <c r="K84" s="292">
        <v>0</v>
      </c>
      <c r="L84" s="292">
        <v>0</v>
      </c>
      <c r="M84" s="292">
        <v>0.21504110739703045</v>
      </c>
      <c r="N84" s="292">
        <v>0.21504110739703045</v>
      </c>
      <c r="O84" s="292">
        <v>3.3083247291850838E-2</v>
      </c>
      <c r="P84" s="292">
        <v>3.3083247291850838E-2</v>
      </c>
      <c r="Q84" s="292">
        <v>3.3083247291850838E-2</v>
      </c>
      <c r="R84" s="292">
        <v>3.3083247291850838E-2</v>
      </c>
      <c r="S84" s="292">
        <v>3.3083247291850838E-2</v>
      </c>
      <c r="T84" s="292">
        <v>3.3083247291850838E-2</v>
      </c>
      <c r="U84" s="292">
        <v>3.3083247291850838E-2</v>
      </c>
      <c r="V84" s="292">
        <v>3.3083247291850838E-2</v>
      </c>
      <c r="W84" s="292">
        <v>3.3083247291850838E-2</v>
      </c>
      <c r="X84" s="292">
        <v>3.3083247291850838E-2</v>
      </c>
      <c r="Y84" s="292">
        <v>3.3083247291850838E-2</v>
      </c>
      <c r="Z84" s="292">
        <v>3.3083247291850838E-2</v>
      </c>
      <c r="AA84" s="311">
        <v>3.3083247291850838E-2</v>
      </c>
      <c r="AB84" s="153"/>
      <c r="AC84" s="153"/>
      <c r="AD84" s="153"/>
      <c r="AE84" s="153"/>
      <c r="AF84" s="153"/>
      <c r="AG84" s="153"/>
      <c r="AH84" s="153"/>
      <c r="AI84" s="153"/>
      <c r="AJ84" s="153"/>
      <c r="AK84" s="153"/>
      <c r="AL84" s="153"/>
      <c r="AM84" s="153"/>
      <c r="AN84" s="153"/>
      <c r="AO84" s="153"/>
      <c r="AP84" s="153"/>
      <c r="AQ84" s="153"/>
      <c r="AR84" s="153"/>
      <c r="AS84" s="153"/>
      <c r="AT84" s="153"/>
      <c r="AU84" s="153"/>
      <c r="AV84" s="153"/>
      <c r="AW84" s="153"/>
      <c r="AX84" s="153"/>
      <c r="AY84" s="153"/>
      <c r="AZ84" s="153"/>
      <c r="BA84" s="153"/>
      <c r="BB84" s="153"/>
      <c r="BC84" s="153"/>
      <c r="BD84" s="153"/>
      <c r="BE84" s="153"/>
      <c r="BF84" s="153"/>
      <c r="BG84" s="153"/>
      <c r="BH84" s="153"/>
      <c r="BI84" s="153"/>
      <c r="BJ84" s="153"/>
      <c r="BK84" s="153"/>
      <c r="BL84" s="153"/>
      <c r="BM84" s="153"/>
      <c r="BN84" s="153"/>
      <c r="BO84" s="153"/>
      <c r="BP84" s="153"/>
      <c r="BQ84" s="153"/>
      <c r="BR84" s="153"/>
      <c r="BS84" s="153"/>
      <c r="BT84" s="153"/>
      <c r="BU84" s="153"/>
      <c r="BV84" s="153"/>
      <c r="BW84" s="153"/>
      <c r="BX84" s="153"/>
      <c r="BY84" s="153"/>
      <c r="BZ84" s="153"/>
      <c r="CA84" s="153"/>
      <c r="CB84" s="153"/>
      <c r="CC84" s="153"/>
      <c r="CD84" s="153"/>
      <c r="CE84" s="153"/>
      <c r="CF84" s="153"/>
      <c r="CG84" s="153"/>
      <c r="CH84" s="153"/>
      <c r="CI84" s="153"/>
      <c r="CJ84" s="153"/>
      <c r="CK84" s="153"/>
      <c r="CL84" s="153"/>
      <c r="CM84" s="153"/>
      <c r="CN84" s="153"/>
      <c r="CO84" s="153"/>
      <c r="CP84" s="153"/>
      <c r="CQ84" s="153"/>
      <c r="CR84" s="153"/>
      <c r="CS84" s="153"/>
      <c r="CT84" s="153"/>
      <c r="CU84" s="153"/>
      <c r="CV84" s="153"/>
      <c r="CW84" s="153"/>
      <c r="CX84" s="153"/>
      <c r="CY84" s="153"/>
      <c r="CZ84" s="153"/>
      <c r="DA84" s="153"/>
      <c r="DB84" s="153"/>
      <c r="DC84" s="153"/>
      <c r="DD84" s="153"/>
      <c r="DE84" s="153"/>
      <c r="DF84" s="153"/>
      <c r="DG84" s="153"/>
      <c r="DH84" s="153"/>
      <c r="DI84" s="153"/>
      <c r="DJ84" s="153"/>
      <c r="DK84" s="153"/>
      <c r="DL84" s="153"/>
      <c r="DM84" s="153"/>
      <c r="DN84" s="153"/>
      <c r="DO84" s="153"/>
      <c r="DP84" s="153"/>
      <c r="DQ84" s="153"/>
      <c r="DR84" s="153"/>
      <c r="DS84" s="153"/>
      <c r="DT84" s="153"/>
      <c r="DU84" s="153"/>
      <c r="DV84" s="153"/>
      <c r="DW84" s="153"/>
      <c r="DX84" s="153"/>
      <c r="DY84" s="153"/>
      <c r="DZ84" s="153"/>
      <c r="EA84" s="153"/>
      <c r="EB84" s="153"/>
      <c r="EC84" s="153"/>
      <c r="ED84" s="153"/>
      <c r="EE84" s="153"/>
      <c r="EF84" s="153"/>
      <c r="EG84" s="153"/>
      <c r="EH84" s="153"/>
      <c r="EI84" s="153"/>
      <c r="EJ84" s="153"/>
      <c r="EK84" s="153"/>
      <c r="EL84" s="153"/>
      <c r="EM84" s="153"/>
      <c r="EN84" s="153"/>
      <c r="EO84" s="153"/>
      <c r="EP84" s="153"/>
      <c r="EQ84" s="153"/>
      <c r="ER84" s="153"/>
      <c r="ES84" s="153"/>
      <c r="ET84" s="153"/>
      <c r="EU84" s="153"/>
      <c r="EV84" s="153"/>
      <c r="EW84" s="153"/>
      <c r="EX84" s="153"/>
      <c r="EY84" s="153"/>
      <c r="EZ84" s="153"/>
      <c r="FA84" s="153"/>
      <c r="FB84" s="153"/>
    </row>
    <row r="85" spans="1:158" s="291" customFormat="1" x14ac:dyDescent="0.3">
      <c r="A85" s="298" t="s">
        <v>192</v>
      </c>
      <c r="B85" s="292">
        <v>0</v>
      </c>
      <c r="C85" s="292">
        <v>0</v>
      </c>
      <c r="D85" s="292">
        <v>0</v>
      </c>
      <c r="E85" s="292">
        <v>0</v>
      </c>
      <c r="F85" s="292">
        <v>0</v>
      </c>
      <c r="G85" s="292">
        <v>0</v>
      </c>
      <c r="H85" s="292">
        <v>0</v>
      </c>
      <c r="I85" s="292">
        <v>0</v>
      </c>
      <c r="J85" s="292">
        <v>0</v>
      </c>
      <c r="K85" s="292">
        <v>0</v>
      </c>
      <c r="L85" s="292">
        <v>0</v>
      </c>
      <c r="M85" s="292">
        <v>1.3197886496632245</v>
      </c>
      <c r="N85" s="292">
        <v>1.3197886496632245</v>
      </c>
      <c r="O85" s="292">
        <v>0.20304440764049608</v>
      </c>
      <c r="P85" s="292">
        <v>0.20304440764049608</v>
      </c>
      <c r="Q85" s="292">
        <v>0.20304440764049608</v>
      </c>
      <c r="R85" s="292">
        <v>0.20304440764049608</v>
      </c>
      <c r="S85" s="292">
        <v>0.20304440764049608</v>
      </c>
      <c r="T85" s="292">
        <v>0.20304440764049608</v>
      </c>
      <c r="U85" s="292">
        <v>0.20304440764049608</v>
      </c>
      <c r="V85" s="292">
        <v>0.20304440764049608</v>
      </c>
      <c r="W85" s="292">
        <v>0.20304440764049608</v>
      </c>
      <c r="X85" s="292">
        <v>0.20304440764049608</v>
      </c>
      <c r="Y85" s="292">
        <v>0.20304440764049608</v>
      </c>
      <c r="Z85" s="292">
        <v>0.20304440764049608</v>
      </c>
      <c r="AA85" s="311">
        <v>0.20304440764049608</v>
      </c>
      <c r="AB85" s="153"/>
      <c r="AC85" s="153"/>
      <c r="AD85" s="153"/>
      <c r="AE85" s="153"/>
      <c r="AF85" s="153"/>
      <c r="AG85" s="153"/>
      <c r="AH85" s="153"/>
      <c r="AI85" s="153"/>
      <c r="AJ85" s="153"/>
      <c r="AK85" s="153"/>
      <c r="AL85" s="153"/>
      <c r="AM85" s="153"/>
      <c r="AN85" s="153"/>
      <c r="AO85" s="153"/>
      <c r="AP85" s="153"/>
      <c r="AQ85" s="153"/>
      <c r="AR85" s="153"/>
      <c r="AS85" s="153"/>
      <c r="AT85" s="153"/>
      <c r="AU85" s="153"/>
      <c r="AV85" s="153"/>
      <c r="AW85" s="153"/>
      <c r="AX85" s="153"/>
      <c r="AY85" s="153"/>
      <c r="AZ85" s="153"/>
      <c r="BA85" s="153"/>
      <c r="BB85" s="153"/>
      <c r="BC85" s="153"/>
      <c r="BD85" s="153"/>
      <c r="BE85" s="153"/>
      <c r="BF85" s="153"/>
      <c r="BG85" s="153"/>
      <c r="BH85" s="153"/>
      <c r="BI85" s="153"/>
      <c r="BJ85" s="153"/>
      <c r="BK85" s="153"/>
      <c r="BL85" s="153"/>
      <c r="BM85" s="153"/>
      <c r="BN85" s="153"/>
      <c r="BO85" s="153"/>
      <c r="BP85" s="153"/>
      <c r="BQ85" s="153"/>
      <c r="BR85" s="153"/>
      <c r="BS85" s="153"/>
      <c r="BT85" s="153"/>
      <c r="BU85" s="153"/>
      <c r="BV85" s="153"/>
      <c r="BW85" s="153"/>
      <c r="BX85" s="153"/>
      <c r="BY85" s="153"/>
      <c r="BZ85" s="153"/>
      <c r="CA85" s="153"/>
      <c r="CB85" s="153"/>
      <c r="CC85" s="153"/>
      <c r="CD85" s="153"/>
      <c r="CE85" s="153"/>
      <c r="CF85" s="153"/>
      <c r="CG85" s="153"/>
      <c r="CH85" s="153"/>
      <c r="CI85" s="153"/>
      <c r="CJ85" s="153"/>
      <c r="CK85" s="153"/>
      <c r="CL85" s="153"/>
      <c r="CM85" s="153"/>
      <c r="CN85" s="153"/>
      <c r="CO85" s="153"/>
      <c r="CP85" s="153"/>
      <c r="CQ85" s="153"/>
      <c r="CR85" s="153"/>
      <c r="CS85" s="153"/>
      <c r="CT85" s="153"/>
      <c r="CU85" s="153"/>
      <c r="CV85" s="153"/>
      <c r="CW85" s="153"/>
      <c r="CX85" s="153"/>
      <c r="CY85" s="153"/>
      <c r="CZ85" s="153"/>
      <c r="DA85" s="153"/>
      <c r="DB85" s="153"/>
      <c r="DC85" s="153"/>
      <c r="DD85" s="153"/>
      <c r="DE85" s="153"/>
      <c r="DF85" s="153"/>
      <c r="DG85" s="153"/>
      <c r="DH85" s="153"/>
      <c r="DI85" s="153"/>
      <c r="DJ85" s="153"/>
      <c r="DK85" s="153"/>
      <c r="DL85" s="153"/>
      <c r="DM85" s="153"/>
      <c r="DN85" s="153"/>
      <c r="DO85" s="153"/>
      <c r="DP85" s="153"/>
      <c r="DQ85" s="153"/>
      <c r="DR85" s="153"/>
      <c r="DS85" s="153"/>
      <c r="DT85" s="153"/>
      <c r="DU85" s="153"/>
      <c r="DV85" s="153"/>
      <c r="DW85" s="153"/>
      <c r="DX85" s="153"/>
      <c r="DY85" s="153"/>
      <c r="DZ85" s="153"/>
      <c r="EA85" s="153"/>
      <c r="EB85" s="153"/>
      <c r="EC85" s="153"/>
      <c r="ED85" s="153"/>
      <c r="EE85" s="153"/>
      <c r="EF85" s="153"/>
      <c r="EG85" s="153"/>
      <c r="EH85" s="153"/>
      <c r="EI85" s="153"/>
      <c r="EJ85" s="153"/>
      <c r="EK85" s="153"/>
      <c r="EL85" s="153"/>
      <c r="EM85" s="153"/>
      <c r="EN85" s="153"/>
      <c r="EO85" s="153"/>
      <c r="EP85" s="153"/>
      <c r="EQ85" s="153"/>
      <c r="ER85" s="153"/>
      <c r="ES85" s="153"/>
      <c r="ET85" s="153"/>
      <c r="EU85" s="153"/>
      <c r="EV85" s="153"/>
      <c r="EW85" s="153"/>
      <c r="EX85" s="153"/>
      <c r="EY85" s="153"/>
      <c r="EZ85" s="153"/>
      <c r="FA85" s="153"/>
      <c r="FB85" s="153"/>
    </row>
    <row r="86" spans="1:158" s="291" customFormat="1" x14ac:dyDescent="0.3">
      <c r="A86" s="298" t="s">
        <v>193</v>
      </c>
      <c r="B86" s="292">
        <v>0</v>
      </c>
      <c r="C86" s="292">
        <v>0</v>
      </c>
      <c r="D86" s="292">
        <v>0</v>
      </c>
      <c r="E86" s="292">
        <v>0</v>
      </c>
      <c r="F86" s="292">
        <v>0</v>
      </c>
      <c r="G86" s="292">
        <v>0</v>
      </c>
      <c r="H86" s="292">
        <v>0</v>
      </c>
      <c r="I86" s="292">
        <v>0</v>
      </c>
      <c r="J86" s="292">
        <v>0</v>
      </c>
      <c r="K86" s="292">
        <v>0</v>
      </c>
      <c r="L86" s="292">
        <v>0</v>
      </c>
      <c r="M86" s="292">
        <v>0.77474927644079128</v>
      </c>
      <c r="N86" s="292">
        <v>0.77474927644079128</v>
      </c>
      <c r="O86" s="292">
        <v>0.11919219637550635</v>
      </c>
      <c r="P86" s="292">
        <v>0.11919219637550635</v>
      </c>
      <c r="Q86" s="292">
        <v>0.11919219637550635</v>
      </c>
      <c r="R86" s="292">
        <v>0.11919219637550635</v>
      </c>
      <c r="S86" s="292">
        <v>0.11919219637550635</v>
      </c>
      <c r="T86" s="292">
        <v>0.11919219637550635</v>
      </c>
      <c r="U86" s="292">
        <v>0.11919219637550635</v>
      </c>
      <c r="V86" s="292">
        <v>0.11919219637550635</v>
      </c>
      <c r="W86" s="292">
        <v>0.11919219637550635</v>
      </c>
      <c r="X86" s="292">
        <v>0.11919219637550635</v>
      </c>
      <c r="Y86" s="292">
        <v>0.11919219637550635</v>
      </c>
      <c r="Z86" s="292">
        <v>0.11919219637550635</v>
      </c>
      <c r="AA86" s="311">
        <v>0.11919219637550635</v>
      </c>
      <c r="AB86" s="153"/>
      <c r="AC86" s="153"/>
      <c r="AD86" s="153"/>
      <c r="AE86" s="153"/>
      <c r="AF86" s="153"/>
      <c r="AG86" s="153"/>
      <c r="AH86" s="153"/>
      <c r="AI86" s="153"/>
      <c r="AJ86" s="153"/>
      <c r="AK86" s="153"/>
      <c r="AL86" s="153"/>
      <c r="AM86" s="153"/>
      <c r="AN86" s="153"/>
      <c r="AO86" s="153"/>
      <c r="AP86" s="153"/>
      <c r="AQ86" s="153"/>
      <c r="AR86" s="153"/>
      <c r="AS86" s="153"/>
      <c r="AT86" s="153"/>
      <c r="AU86" s="153"/>
      <c r="AV86" s="153"/>
      <c r="AW86" s="153"/>
      <c r="AX86" s="153"/>
      <c r="AY86" s="153"/>
      <c r="AZ86" s="153"/>
      <c r="BA86" s="153"/>
      <c r="BB86" s="153"/>
      <c r="BC86" s="153"/>
      <c r="BD86" s="153"/>
      <c r="BE86" s="153"/>
      <c r="BF86" s="153"/>
      <c r="BG86" s="153"/>
      <c r="BH86" s="153"/>
      <c r="BI86" s="153"/>
      <c r="BJ86" s="153"/>
      <c r="BK86" s="153"/>
      <c r="BL86" s="153"/>
      <c r="BM86" s="153"/>
      <c r="BN86" s="153"/>
      <c r="BO86" s="153"/>
      <c r="BP86" s="153"/>
      <c r="BQ86" s="153"/>
      <c r="BR86" s="153"/>
      <c r="BS86" s="153"/>
      <c r="BT86" s="153"/>
      <c r="BU86" s="153"/>
      <c r="BV86" s="153"/>
      <c r="BW86" s="153"/>
      <c r="BX86" s="153"/>
      <c r="BY86" s="153"/>
      <c r="BZ86" s="153"/>
      <c r="CA86" s="153"/>
      <c r="CB86" s="153"/>
      <c r="CC86" s="153"/>
      <c r="CD86" s="153"/>
      <c r="CE86" s="153"/>
      <c r="CF86" s="153"/>
      <c r="CG86" s="153"/>
      <c r="CH86" s="153"/>
      <c r="CI86" s="153"/>
      <c r="CJ86" s="153"/>
      <c r="CK86" s="153"/>
      <c r="CL86" s="153"/>
      <c r="CM86" s="153"/>
      <c r="CN86" s="153"/>
      <c r="CO86" s="153"/>
      <c r="CP86" s="153"/>
      <c r="CQ86" s="153"/>
      <c r="CR86" s="153"/>
      <c r="CS86" s="153"/>
      <c r="CT86" s="153"/>
      <c r="CU86" s="153"/>
      <c r="CV86" s="153"/>
      <c r="CW86" s="153"/>
      <c r="CX86" s="153"/>
      <c r="CY86" s="153"/>
      <c r="CZ86" s="153"/>
      <c r="DA86" s="153"/>
      <c r="DB86" s="153"/>
      <c r="DC86" s="153"/>
      <c r="DD86" s="153"/>
      <c r="DE86" s="153"/>
      <c r="DF86" s="153"/>
      <c r="DG86" s="153"/>
      <c r="DH86" s="153"/>
      <c r="DI86" s="153"/>
      <c r="DJ86" s="153"/>
      <c r="DK86" s="153"/>
      <c r="DL86" s="153"/>
      <c r="DM86" s="153"/>
      <c r="DN86" s="153"/>
      <c r="DO86" s="153"/>
      <c r="DP86" s="153"/>
      <c r="DQ86" s="153"/>
      <c r="DR86" s="153"/>
      <c r="DS86" s="153"/>
      <c r="DT86" s="153"/>
      <c r="DU86" s="153"/>
      <c r="DV86" s="153"/>
      <c r="DW86" s="153"/>
      <c r="DX86" s="153"/>
      <c r="DY86" s="153"/>
      <c r="DZ86" s="153"/>
      <c r="EA86" s="153"/>
      <c r="EB86" s="153"/>
      <c r="EC86" s="153"/>
      <c r="ED86" s="153"/>
      <c r="EE86" s="153"/>
      <c r="EF86" s="153"/>
      <c r="EG86" s="153"/>
      <c r="EH86" s="153"/>
      <c r="EI86" s="153"/>
      <c r="EJ86" s="153"/>
      <c r="EK86" s="153"/>
      <c r="EL86" s="153"/>
      <c r="EM86" s="153"/>
      <c r="EN86" s="153"/>
      <c r="EO86" s="153"/>
      <c r="EP86" s="153"/>
      <c r="EQ86" s="153"/>
      <c r="ER86" s="153"/>
      <c r="ES86" s="153"/>
      <c r="ET86" s="153"/>
      <c r="EU86" s="153"/>
      <c r="EV86" s="153"/>
      <c r="EW86" s="153"/>
      <c r="EX86" s="153"/>
      <c r="EY86" s="153"/>
      <c r="EZ86" s="153"/>
      <c r="FA86" s="153"/>
      <c r="FB86" s="153"/>
    </row>
    <row r="87" spans="1:158" s="291" customFormat="1" x14ac:dyDescent="0.3">
      <c r="A87" s="298" t="s">
        <v>194</v>
      </c>
      <c r="B87" s="292">
        <v>0</v>
      </c>
      <c r="C87" s="292">
        <v>0</v>
      </c>
      <c r="D87" s="292">
        <v>0</v>
      </c>
      <c r="E87" s="292">
        <v>0</v>
      </c>
      <c r="F87" s="292">
        <v>0</v>
      </c>
      <c r="G87" s="292">
        <v>0</v>
      </c>
      <c r="H87" s="292">
        <v>0</v>
      </c>
      <c r="I87" s="292">
        <v>0</v>
      </c>
      <c r="J87" s="292">
        <v>0</v>
      </c>
      <c r="K87" s="292">
        <v>0</v>
      </c>
      <c r="L87" s="292">
        <v>0</v>
      </c>
      <c r="M87" s="292">
        <v>0.442264073163956</v>
      </c>
      <c r="N87" s="292">
        <v>0.442264073163956</v>
      </c>
      <c r="O87" s="292">
        <v>6.8040626640608615E-2</v>
      </c>
      <c r="P87" s="292">
        <v>6.8040626640608615E-2</v>
      </c>
      <c r="Q87" s="292">
        <v>6.8040626640608615E-2</v>
      </c>
      <c r="R87" s="292">
        <v>6.8040626640608615E-2</v>
      </c>
      <c r="S87" s="292">
        <v>6.8040626640608615E-2</v>
      </c>
      <c r="T87" s="292">
        <v>6.8040626640608615E-2</v>
      </c>
      <c r="U87" s="292">
        <v>6.8040626640608615E-2</v>
      </c>
      <c r="V87" s="292">
        <v>6.8040626640608615E-2</v>
      </c>
      <c r="W87" s="292">
        <v>6.8040626640608615E-2</v>
      </c>
      <c r="X87" s="292">
        <v>6.8040626640608615E-2</v>
      </c>
      <c r="Y87" s="292">
        <v>6.8040626640608615E-2</v>
      </c>
      <c r="Z87" s="292">
        <v>6.8040626640608615E-2</v>
      </c>
      <c r="AA87" s="311">
        <v>6.8040626640608615E-2</v>
      </c>
      <c r="AB87" s="153"/>
      <c r="AC87" s="153"/>
      <c r="AD87" s="153"/>
      <c r="AE87" s="153"/>
      <c r="AF87" s="153"/>
      <c r="AG87" s="153"/>
      <c r="AH87" s="153"/>
      <c r="AI87" s="153"/>
      <c r="AJ87" s="153"/>
      <c r="AK87" s="153"/>
      <c r="AL87" s="153"/>
      <c r="AM87" s="153"/>
      <c r="AN87" s="153"/>
      <c r="AO87" s="153"/>
      <c r="AP87" s="153"/>
      <c r="AQ87" s="153"/>
      <c r="AR87" s="153"/>
      <c r="AS87" s="153"/>
      <c r="AT87" s="153"/>
      <c r="AU87" s="153"/>
      <c r="AV87" s="153"/>
      <c r="AW87" s="153"/>
      <c r="AX87" s="153"/>
      <c r="AY87" s="153"/>
      <c r="AZ87" s="153"/>
      <c r="BA87" s="153"/>
      <c r="BB87" s="153"/>
      <c r="BC87" s="153"/>
      <c r="BD87" s="153"/>
      <c r="BE87" s="153"/>
      <c r="BF87" s="153"/>
      <c r="BG87" s="153"/>
      <c r="BH87" s="153"/>
      <c r="BI87" s="153"/>
      <c r="BJ87" s="153"/>
      <c r="BK87" s="153"/>
      <c r="BL87" s="153"/>
      <c r="BM87" s="153"/>
      <c r="BN87" s="153"/>
      <c r="BO87" s="153"/>
      <c r="BP87" s="153"/>
      <c r="BQ87" s="153"/>
      <c r="BR87" s="153"/>
      <c r="BS87" s="153"/>
      <c r="BT87" s="153"/>
      <c r="BU87" s="153"/>
      <c r="BV87" s="153"/>
      <c r="BW87" s="153"/>
      <c r="BX87" s="153"/>
      <c r="BY87" s="153"/>
      <c r="BZ87" s="153"/>
      <c r="CA87" s="153"/>
      <c r="CB87" s="153"/>
      <c r="CC87" s="153"/>
      <c r="CD87" s="153"/>
      <c r="CE87" s="153"/>
      <c r="CF87" s="153"/>
      <c r="CG87" s="153"/>
      <c r="CH87" s="153"/>
      <c r="CI87" s="153"/>
      <c r="CJ87" s="153"/>
      <c r="CK87" s="153"/>
      <c r="CL87" s="153"/>
      <c r="CM87" s="153"/>
      <c r="CN87" s="153"/>
      <c r="CO87" s="153"/>
      <c r="CP87" s="153"/>
      <c r="CQ87" s="153"/>
      <c r="CR87" s="153"/>
      <c r="CS87" s="153"/>
      <c r="CT87" s="153"/>
      <c r="CU87" s="153"/>
      <c r="CV87" s="153"/>
      <c r="CW87" s="153"/>
      <c r="CX87" s="153"/>
      <c r="CY87" s="153"/>
      <c r="CZ87" s="153"/>
      <c r="DA87" s="153"/>
      <c r="DB87" s="153"/>
      <c r="DC87" s="153"/>
      <c r="DD87" s="153"/>
      <c r="DE87" s="153"/>
      <c r="DF87" s="153"/>
      <c r="DG87" s="153"/>
      <c r="DH87" s="153"/>
      <c r="DI87" s="153"/>
      <c r="DJ87" s="153"/>
      <c r="DK87" s="153"/>
      <c r="DL87" s="153"/>
      <c r="DM87" s="153"/>
      <c r="DN87" s="153"/>
      <c r="DO87" s="153"/>
      <c r="DP87" s="153"/>
      <c r="DQ87" s="153"/>
      <c r="DR87" s="153"/>
      <c r="DS87" s="153"/>
      <c r="DT87" s="153"/>
      <c r="DU87" s="153"/>
      <c r="DV87" s="153"/>
      <c r="DW87" s="153"/>
      <c r="DX87" s="153"/>
      <c r="DY87" s="153"/>
      <c r="DZ87" s="153"/>
      <c r="EA87" s="153"/>
      <c r="EB87" s="153"/>
      <c r="EC87" s="153"/>
      <c r="ED87" s="153"/>
      <c r="EE87" s="153"/>
      <c r="EF87" s="153"/>
      <c r="EG87" s="153"/>
      <c r="EH87" s="153"/>
      <c r="EI87" s="153"/>
      <c r="EJ87" s="153"/>
      <c r="EK87" s="153"/>
      <c r="EL87" s="153"/>
      <c r="EM87" s="153"/>
      <c r="EN87" s="153"/>
      <c r="EO87" s="153"/>
      <c r="EP87" s="153"/>
      <c r="EQ87" s="153"/>
      <c r="ER87" s="153"/>
      <c r="ES87" s="153"/>
      <c r="ET87" s="153"/>
      <c r="EU87" s="153"/>
      <c r="EV87" s="153"/>
      <c r="EW87" s="153"/>
      <c r="EX87" s="153"/>
      <c r="EY87" s="153"/>
      <c r="EZ87" s="153"/>
      <c r="FA87" s="153"/>
      <c r="FB87" s="153"/>
    </row>
    <row r="88" spans="1:158" s="291" customFormat="1" x14ac:dyDescent="0.3">
      <c r="A88" s="298" t="s">
        <v>195</v>
      </c>
      <c r="B88" s="292">
        <v>0</v>
      </c>
      <c r="C88" s="292">
        <v>0</v>
      </c>
      <c r="D88" s="292">
        <v>0</v>
      </c>
      <c r="E88" s="292">
        <v>0</v>
      </c>
      <c r="F88" s="292">
        <v>0</v>
      </c>
      <c r="G88" s="292">
        <v>0</v>
      </c>
      <c r="H88" s="292">
        <v>0</v>
      </c>
      <c r="I88" s="292">
        <v>0</v>
      </c>
      <c r="J88" s="292">
        <v>0</v>
      </c>
      <c r="K88" s="292">
        <v>0</v>
      </c>
      <c r="L88" s="292">
        <v>0</v>
      </c>
      <c r="M88" s="292">
        <v>6.0824348362237162</v>
      </c>
      <c r="N88" s="292">
        <v>6.0824348362237162</v>
      </c>
      <c r="O88" s="292">
        <v>0.93575920557287939</v>
      </c>
      <c r="P88" s="292">
        <v>0.93575920557287939</v>
      </c>
      <c r="Q88" s="292">
        <v>0.93575920557287939</v>
      </c>
      <c r="R88" s="292">
        <v>0.93575920557287939</v>
      </c>
      <c r="S88" s="292">
        <v>0.93575920557287939</v>
      </c>
      <c r="T88" s="292">
        <v>0.93575920557287939</v>
      </c>
      <c r="U88" s="292">
        <v>0.93575920557287939</v>
      </c>
      <c r="V88" s="292">
        <v>0.93575920557287939</v>
      </c>
      <c r="W88" s="292">
        <v>0.93575920557287939</v>
      </c>
      <c r="X88" s="292">
        <v>0.93575920557287939</v>
      </c>
      <c r="Y88" s="292">
        <v>0.93575920557287939</v>
      </c>
      <c r="Z88" s="292">
        <v>0.93575920557287939</v>
      </c>
      <c r="AA88" s="311">
        <v>0.93575920557287939</v>
      </c>
      <c r="AB88" s="153"/>
      <c r="AC88" s="153"/>
      <c r="AD88" s="153"/>
      <c r="AE88" s="153"/>
      <c r="AF88" s="153"/>
      <c r="AG88" s="153"/>
      <c r="AH88" s="153"/>
      <c r="AI88" s="153"/>
      <c r="AJ88" s="153"/>
      <c r="AK88" s="153"/>
      <c r="AL88" s="153"/>
      <c r="AM88" s="153"/>
      <c r="AN88" s="153"/>
      <c r="AO88" s="153"/>
      <c r="AP88" s="153"/>
      <c r="AQ88" s="153"/>
      <c r="AR88" s="153"/>
      <c r="AS88" s="153"/>
      <c r="AT88" s="153"/>
      <c r="AU88" s="153"/>
      <c r="AV88" s="153"/>
      <c r="AW88" s="153"/>
      <c r="AX88" s="153"/>
      <c r="AY88" s="153"/>
      <c r="AZ88" s="153"/>
      <c r="BA88" s="153"/>
      <c r="BB88" s="153"/>
      <c r="BC88" s="153"/>
      <c r="BD88" s="153"/>
      <c r="BE88" s="153"/>
      <c r="BF88" s="153"/>
      <c r="BG88" s="153"/>
      <c r="BH88" s="153"/>
      <c r="BI88" s="153"/>
      <c r="BJ88" s="153"/>
      <c r="BK88" s="153"/>
      <c r="BL88" s="153"/>
      <c r="BM88" s="153"/>
      <c r="BN88" s="153"/>
      <c r="BO88" s="153"/>
      <c r="BP88" s="153"/>
      <c r="BQ88" s="153"/>
      <c r="BR88" s="153"/>
      <c r="BS88" s="153"/>
      <c r="BT88" s="153"/>
      <c r="BU88" s="153"/>
      <c r="BV88" s="153"/>
      <c r="BW88" s="153"/>
      <c r="BX88" s="153"/>
      <c r="BY88" s="153"/>
      <c r="BZ88" s="153"/>
      <c r="CA88" s="153"/>
      <c r="CB88" s="153"/>
      <c r="CC88" s="153"/>
      <c r="CD88" s="153"/>
      <c r="CE88" s="153"/>
      <c r="CF88" s="153"/>
      <c r="CG88" s="153"/>
      <c r="CH88" s="153"/>
      <c r="CI88" s="153"/>
      <c r="CJ88" s="153"/>
      <c r="CK88" s="153"/>
      <c r="CL88" s="153"/>
      <c r="CM88" s="153"/>
      <c r="CN88" s="153"/>
      <c r="CO88" s="153"/>
      <c r="CP88" s="153"/>
      <c r="CQ88" s="153"/>
      <c r="CR88" s="153"/>
      <c r="CS88" s="153"/>
      <c r="CT88" s="153"/>
      <c r="CU88" s="153"/>
      <c r="CV88" s="153"/>
      <c r="CW88" s="153"/>
      <c r="CX88" s="153"/>
      <c r="CY88" s="153"/>
      <c r="CZ88" s="153"/>
      <c r="DA88" s="153"/>
      <c r="DB88" s="153"/>
      <c r="DC88" s="153"/>
      <c r="DD88" s="153"/>
      <c r="DE88" s="153"/>
      <c r="DF88" s="153"/>
      <c r="DG88" s="153"/>
      <c r="DH88" s="153"/>
      <c r="DI88" s="153"/>
      <c r="DJ88" s="153"/>
      <c r="DK88" s="153"/>
      <c r="DL88" s="153"/>
      <c r="DM88" s="153"/>
      <c r="DN88" s="153"/>
      <c r="DO88" s="153"/>
      <c r="DP88" s="153"/>
      <c r="DQ88" s="153"/>
      <c r="DR88" s="153"/>
      <c r="DS88" s="153"/>
      <c r="DT88" s="153"/>
      <c r="DU88" s="153"/>
      <c r="DV88" s="153"/>
      <c r="DW88" s="153"/>
      <c r="DX88" s="153"/>
      <c r="DY88" s="153"/>
      <c r="DZ88" s="153"/>
      <c r="EA88" s="153"/>
      <c r="EB88" s="153"/>
      <c r="EC88" s="153"/>
      <c r="ED88" s="153"/>
      <c r="EE88" s="153"/>
      <c r="EF88" s="153"/>
      <c r="EG88" s="153"/>
      <c r="EH88" s="153"/>
      <c r="EI88" s="153"/>
      <c r="EJ88" s="153"/>
      <c r="EK88" s="153"/>
      <c r="EL88" s="153"/>
      <c r="EM88" s="153"/>
      <c r="EN88" s="153"/>
      <c r="EO88" s="153"/>
      <c r="EP88" s="153"/>
      <c r="EQ88" s="153"/>
      <c r="ER88" s="153"/>
      <c r="ES88" s="153"/>
      <c r="ET88" s="153"/>
      <c r="EU88" s="153"/>
      <c r="EV88" s="153"/>
      <c r="EW88" s="153"/>
      <c r="EX88" s="153"/>
      <c r="EY88" s="153"/>
      <c r="EZ88" s="153"/>
      <c r="FA88" s="153"/>
      <c r="FB88" s="153"/>
    </row>
    <row r="89" spans="1:158" s="291" customFormat="1" x14ac:dyDescent="0.3">
      <c r="A89" s="298" t="s">
        <v>196</v>
      </c>
      <c r="B89" s="292">
        <v>106.91037906510367</v>
      </c>
      <c r="C89" s="292">
        <v>106.91037906510367</v>
      </c>
      <c r="D89" s="292">
        <v>106.91037906510367</v>
      </c>
      <c r="E89" s="292">
        <v>106.91037906510367</v>
      </c>
      <c r="F89" s="292">
        <v>106.91037906510367</v>
      </c>
      <c r="G89" s="292">
        <v>78.861649350107896</v>
      </c>
      <c r="H89" s="292">
        <v>50.043712974185972</v>
      </c>
      <c r="I89" s="292">
        <v>76.970233680168022</v>
      </c>
      <c r="J89" s="292">
        <v>101.30181666226797</v>
      </c>
      <c r="K89" s="292">
        <v>0.35601821718396071</v>
      </c>
      <c r="L89" s="292">
        <v>0.35601821718396071</v>
      </c>
      <c r="M89" s="292">
        <v>0.14977718094759285</v>
      </c>
      <c r="N89" s="292">
        <v>0.14977718094759285</v>
      </c>
      <c r="O89" s="292">
        <v>64.82622298373164</v>
      </c>
      <c r="P89" s="292">
        <v>64.82622298373164</v>
      </c>
      <c r="Q89" s="292">
        <v>64.82622298373164</v>
      </c>
      <c r="R89" s="292">
        <v>64.82622298373164</v>
      </c>
      <c r="S89" s="292">
        <v>64.82622298373164</v>
      </c>
      <c r="T89" s="292">
        <v>64.82622298373164</v>
      </c>
      <c r="U89" s="292">
        <v>64.82622298373164</v>
      </c>
      <c r="V89" s="292">
        <v>64.82622298373164</v>
      </c>
      <c r="W89" s="292">
        <v>64.82622298373164</v>
      </c>
      <c r="X89" s="292">
        <v>64.82622298373164</v>
      </c>
      <c r="Y89" s="292">
        <v>64.82622298373164</v>
      </c>
      <c r="Z89" s="292">
        <v>64.82622298373164</v>
      </c>
      <c r="AA89" s="311">
        <v>64.82622298373164</v>
      </c>
      <c r="AB89" s="153"/>
      <c r="AC89" s="153"/>
      <c r="AD89" s="153"/>
      <c r="AE89" s="153"/>
      <c r="AF89" s="153"/>
      <c r="AG89" s="153"/>
      <c r="AH89" s="153"/>
      <c r="AI89" s="153"/>
      <c r="AJ89" s="153"/>
      <c r="AK89" s="153"/>
      <c r="AL89" s="153"/>
      <c r="AM89" s="153"/>
      <c r="AN89" s="153"/>
      <c r="AO89" s="153"/>
      <c r="AP89" s="153"/>
      <c r="AQ89" s="153"/>
      <c r="AR89" s="153"/>
      <c r="AS89" s="153"/>
      <c r="AT89" s="153"/>
      <c r="AU89" s="153"/>
      <c r="AV89" s="153"/>
      <c r="AW89" s="153"/>
      <c r="AX89" s="153"/>
      <c r="AY89" s="153"/>
      <c r="AZ89" s="153"/>
      <c r="BA89" s="153"/>
      <c r="BB89" s="153"/>
      <c r="BC89" s="153"/>
      <c r="BD89" s="153"/>
      <c r="BE89" s="153"/>
      <c r="BF89" s="153"/>
      <c r="BG89" s="153"/>
      <c r="BH89" s="153"/>
      <c r="BI89" s="153"/>
      <c r="BJ89" s="153"/>
      <c r="BK89" s="153"/>
      <c r="BL89" s="153"/>
      <c r="BM89" s="153"/>
      <c r="BN89" s="153"/>
      <c r="BO89" s="153"/>
      <c r="BP89" s="153"/>
      <c r="BQ89" s="153"/>
      <c r="BR89" s="153"/>
      <c r="BS89" s="153"/>
      <c r="BT89" s="153"/>
      <c r="BU89" s="153"/>
      <c r="BV89" s="153"/>
      <c r="BW89" s="153"/>
      <c r="BX89" s="153"/>
      <c r="BY89" s="153"/>
      <c r="BZ89" s="153"/>
      <c r="CA89" s="153"/>
      <c r="CB89" s="153"/>
      <c r="CC89" s="153"/>
      <c r="CD89" s="153"/>
      <c r="CE89" s="153"/>
      <c r="CF89" s="153"/>
      <c r="CG89" s="153"/>
      <c r="CH89" s="153"/>
      <c r="CI89" s="153"/>
      <c r="CJ89" s="153"/>
      <c r="CK89" s="153"/>
      <c r="CL89" s="153"/>
      <c r="CM89" s="153"/>
      <c r="CN89" s="153"/>
      <c r="CO89" s="153"/>
      <c r="CP89" s="153"/>
      <c r="CQ89" s="153"/>
      <c r="CR89" s="153"/>
      <c r="CS89" s="153"/>
      <c r="CT89" s="153"/>
      <c r="CU89" s="153"/>
      <c r="CV89" s="153"/>
      <c r="CW89" s="153"/>
      <c r="CX89" s="153"/>
      <c r="CY89" s="153"/>
      <c r="CZ89" s="153"/>
      <c r="DA89" s="153"/>
      <c r="DB89" s="153"/>
      <c r="DC89" s="153"/>
      <c r="DD89" s="153"/>
      <c r="DE89" s="153"/>
      <c r="DF89" s="153"/>
      <c r="DG89" s="153"/>
      <c r="DH89" s="153"/>
      <c r="DI89" s="153"/>
      <c r="DJ89" s="153"/>
      <c r="DK89" s="153"/>
      <c r="DL89" s="153"/>
      <c r="DM89" s="153"/>
      <c r="DN89" s="153"/>
      <c r="DO89" s="153"/>
      <c r="DP89" s="153"/>
      <c r="DQ89" s="153"/>
      <c r="DR89" s="153"/>
      <c r="DS89" s="153"/>
      <c r="DT89" s="153"/>
      <c r="DU89" s="153"/>
      <c r="DV89" s="153"/>
      <c r="DW89" s="153"/>
      <c r="DX89" s="153"/>
      <c r="DY89" s="153"/>
      <c r="DZ89" s="153"/>
      <c r="EA89" s="153"/>
      <c r="EB89" s="153"/>
      <c r="EC89" s="153"/>
      <c r="ED89" s="153"/>
      <c r="EE89" s="153"/>
      <c r="EF89" s="153"/>
      <c r="EG89" s="153"/>
      <c r="EH89" s="153"/>
      <c r="EI89" s="153"/>
      <c r="EJ89" s="153"/>
      <c r="EK89" s="153"/>
      <c r="EL89" s="153"/>
      <c r="EM89" s="153"/>
      <c r="EN89" s="153"/>
      <c r="EO89" s="153"/>
      <c r="EP89" s="153"/>
      <c r="EQ89" s="153"/>
      <c r="ER89" s="153"/>
      <c r="ES89" s="153"/>
      <c r="ET89" s="153"/>
      <c r="EU89" s="153"/>
      <c r="EV89" s="153"/>
      <c r="EW89" s="153"/>
      <c r="EX89" s="153"/>
      <c r="EY89" s="153"/>
      <c r="EZ89" s="153"/>
      <c r="FA89" s="153"/>
      <c r="FB89" s="153"/>
    </row>
    <row r="90" spans="1:158" s="291" customFormat="1" ht="15" thickBot="1" x14ac:dyDescent="0.35">
      <c r="A90" s="299" t="s">
        <v>197</v>
      </c>
      <c r="B90" s="300">
        <v>28.402645981059344</v>
      </c>
      <c r="C90" s="300">
        <v>28.402645981059344</v>
      </c>
      <c r="D90" s="300">
        <v>28.402645981059344</v>
      </c>
      <c r="E90" s="300">
        <v>28.402645981059344</v>
      </c>
      <c r="F90" s="300">
        <v>28.402645981059344</v>
      </c>
      <c r="G90" s="300">
        <v>17.569621103923382</v>
      </c>
      <c r="H90" s="300">
        <v>12.448891538349063</v>
      </c>
      <c r="I90" s="300">
        <v>13.593000848496279</v>
      </c>
      <c r="J90" s="300">
        <v>19.519664394336651</v>
      </c>
      <c r="K90" s="300">
        <v>9.3857791225416029E-2</v>
      </c>
      <c r="L90" s="300">
        <v>9.3857791225416029E-2</v>
      </c>
      <c r="M90" s="300">
        <v>2.5270875763747447</v>
      </c>
      <c r="N90" s="300">
        <v>2.5270875763747447</v>
      </c>
      <c r="O90" s="300">
        <v>16.183561425046342</v>
      </c>
      <c r="P90" s="300">
        <v>16.183561425046342</v>
      </c>
      <c r="Q90" s="300">
        <v>16.183561425046342</v>
      </c>
      <c r="R90" s="300">
        <v>16.183561425046342</v>
      </c>
      <c r="S90" s="300">
        <v>16.183561425046342</v>
      </c>
      <c r="T90" s="300">
        <v>16.183561425046342</v>
      </c>
      <c r="U90" s="300">
        <v>16.183561425046342</v>
      </c>
      <c r="V90" s="300">
        <v>16.183561425046342</v>
      </c>
      <c r="W90" s="300">
        <v>16.183561425046342</v>
      </c>
      <c r="X90" s="300">
        <v>16.183561425046342</v>
      </c>
      <c r="Y90" s="300">
        <v>16.183561425046342</v>
      </c>
      <c r="Z90" s="300">
        <v>16.183561425046342</v>
      </c>
      <c r="AA90" s="301">
        <v>16.183561425046342</v>
      </c>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3"/>
      <c r="BR90" s="153"/>
      <c r="BS90" s="153"/>
      <c r="BT90" s="153"/>
      <c r="BU90" s="153"/>
      <c r="BV90" s="153"/>
      <c r="BW90" s="153"/>
      <c r="BX90" s="153"/>
      <c r="BY90" s="153"/>
      <c r="BZ90" s="153"/>
      <c r="CA90" s="153"/>
      <c r="CB90" s="153"/>
      <c r="CC90" s="153"/>
      <c r="CD90" s="153"/>
      <c r="CE90" s="153"/>
      <c r="CF90" s="153"/>
      <c r="CG90" s="153"/>
      <c r="CH90" s="153"/>
      <c r="CI90" s="153"/>
      <c r="CJ90" s="153"/>
      <c r="CK90" s="153"/>
      <c r="CL90" s="153"/>
      <c r="CM90" s="153"/>
      <c r="CN90" s="153"/>
      <c r="CO90" s="153"/>
      <c r="CP90" s="153"/>
      <c r="CQ90" s="153"/>
      <c r="CR90" s="153"/>
      <c r="CS90" s="153"/>
      <c r="CT90" s="153"/>
      <c r="CU90" s="153"/>
      <c r="CV90" s="153"/>
      <c r="CW90" s="153"/>
      <c r="CX90" s="153"/>
      <c r="CY90" s="153"/>
      <c r="CZ90" s="153"/>
      <c r="DA90" s="153"/>
      <c r="DB90" s="153"/>
      <c r="DC90" s="153"/>
      <c r="DD90" s="153"/>
      <c r="DE90" s="153"/>
      <c r="DF90" s="153"/>
      <c r="DG90" s="153"/>
      <c r="DH90" s="153"/>
      <c r="DI90" s="153"/>
      <c r="DJ90" s="153"/>
      <c r="DK90" s="153"/>
      <c r="DL90" s="153"/>
      <c r="DM90" s="153"/>
      <c r="DN90" s="153"/>
      <c r="DO90" s="153"/>
      <c r="DP90" s="153"/>
      <c r="DQ90" s="153"/>
      <c r="DR90" s="153"/>
      <c r="DS90" s="153"/>
      <c r="DT90" s="153"/>
      <c r="DU90" s="153"/>
      <c r="DV90" s="153"/>
      <c r="DW90" s="153"/>
      <c r="DX90" s="153"/>
      <c r="DY90" s="153"/>
      <c r="DZ90" s="153"/>
      <c r="EA90" s="153"/>
      <c r="EB90" s="153"/>
      <c r="EC90" s="153"/>
      <c r="ED90" s="153"/>
      <c r="EE90" s="153"/>
      <c r="EF90" s="153"/>
      <c r="EG90" s="153"/>
      <c r="EH90" s="153"/>
      <c r="EI90" s="153"/>
      <c r="EJ90" s="153"/>
      <c r="EK90" s="153"/>
      <c r="EL90" s="153"/>
      <c r="EM90" s="153"/>
      <c r="EN90" s="153"/>
      <c r="EO90" s="153"/>
      <c r="EP90" s="153"/>
      <c r="EQ90" s="153"/>
      <c r="ER90" s="153"/>
      <c r="ES90" s="153"/>
      <c r="ET90" s="153"/>
      <c r="EU90" s="153"/>
      <c r="EV90" s="153"/>
      <c r="EW90" s="153"/>
      <c r="EX90" s="153"/>
      <c r="EY90" s="153"/>
      <c r="EZ90" s="153"/>
      <c r="FA90" s="153"/>
      <c r="FB90" s="153"/>
    </row>
    <row r="91" spans="1:158" s="294" customFormat="1" x14ac:dyDescent="0.3">
      <c r="A91" s="302" t="s">
        <v>198</v>
      </c>
      <c r="B91" s="303">
        <v>86.229108519511968</v>
      </c>
      <c r="C91" s="303">
        <v>90.154221690780261</v>
      </c>
      <c r="D91" s="303">
        <v>93.801246292107308</v>
      </c>
      <c r="E91" s="303">
        <v>92.47200175451735</v>
      </c>
      <c r="F91" s="303">
        <v>91.201997190691884</v>
      </c>
      <c r="G91" s="303">
        <v>80.849798137360196</v>
      </c>
      <c r="H91" s="303">
        <v>70.698841985127629</v>
      </c>
      <c r="I91" s="303">
        <v>92.765250066520778</v>
      </c>
      <c r="J91" s="303">
        <v>57.033325185355608</v>
      </c>
      <c r="K91" s="303">
        <v>341.27473025419425</v>
      </c>
      <c r="L91" s="303">
        <v>341.27473025419425</v>
      </c>
      <c r="M91" s="303">
        <v>252.10269236920891</v>
      </c>
      <c r="N91" s="303">
        <v>252.10269236920891</v>
      </c>
      <c r="O91" s="303">
        <v>149.38158738990609</v>
      </c>
      <c r="P91" s="303">
        <v>149.38158738990609</v>
      </c>
      <c r="Q91" s="303">
        <v>149.38158738990609</v>
      </c>
      <c r="R91" s="303">
        <v>149.38158738990609</v>
      </c>
      <c r="S91" s="303">
        <v>149.38158738990609</v>
      </c>
      <c r="T91" s="303">
        <v>149.38158738990609</v>
      </c>
      <c r="U91" s="303">
        <v>149.38158738990609</v>
      </c>
      <c r="V91" s="303">
        <v>149.38158738990609</v>
      </c>
      <c r="W91" s="303">
        <v>149.38158738990609</v>
      </c>
      <c r="X91" s="303">
        <v>149.38158738990609</v>
      </c>
      <c r="Y91" s="303">
        <v>149.38158738990609</v>
      </c>
      <c r="Z91" s="303">
        <v>149.38158738990609</v>
      </c>
      <c r="AA91" s="304">
        <v>149.38158738990609</v>
      </c>
      <c r="AB91" s="153"/>
      <c r="AC91" s="153"/>
      <c r="AD91" s="153"/>
      <c r="AE91" s="153"/>
      <c r="AF91" s="153"/>
      <c r="AG91" s="153"/>
      <c r="AH91" s="153"/>
      <c r="AI91" s="153"/>
      <c r="AJ91" s="153"/>
      <c r="AK91" s="153"/>
      <c r="AL91" s="153"/>
      <c r="AM91" s="153"/>
      <c r="AN91" s="153"/>
      <c r="AO91" s="153"/>
      <c r="AP91" s="153"/>
      <c r="AQ91" s="153"/>
      <c r="AR91" s="153"/>
      <c r="AS91" s="153"/>
      <c r="AT91" s="153"/>
      <c r="AU91" s="153"/>
      <c r="AV91" s="153"/>
      <c r="AW91" s="153"/>
      <c r="AX91" s="153"/>
      <c r="AY91" s="153"/>
      <c r="AZ91" s="153"/>
      <c r="BA91" s="153"/>
      <c r="BB91" s="153"/>
      <c r="BC91" s="153"/>
      <c r="BD91" s="153"/>
      <c r="BE91" s="153"/>
      <c r="BF91" s="153"/>
      <c r="BG91" s="153"/>
      <c r="BH91" s="153"/>
      <c r="BI91" s="153"/>
      <c r="BJ91" s="153"/>
      <c r="BK91" s="153"/>
      <c r="BL91" s="153"/>
      <c r="BM91" s="153"/>
      <c r="BN91" s="153"/>
      <c r="BO91" s="153"/>
      <c r="BP91" s="153"/>
      <c r="BQ91" s="153"/>
      <c r="BR91" s="153"/>
      <c r="BS91" s="153"/>
      <c r="BT91" s="153"/>
      <c r="BU91" s="153"/>
      <c r="BV91" s="153"/>
      <c r="BW91" s="153"/>
      <c r="BX91" s="153"/>
      <c r="BY91" s="153"/>
      <c r="BZ91" s="153"/>
      <c r="CA91" s="153"/>
      <c r="CB91" s="153"/>
      <c r="CC91" s="153"/>
      <c r="CD91" s="153"/>
      <c r="CE91" s="153"/>
      <c r="CF91" s="153"/>
      <c r="CG91" s="153"/>
      <c r="CH91" s="153"/>
      <c r="CI91" s="153"/>
      <c r="CJ91" s="153"/>
      <c r="CK91" s="153"/>
      <c r="CL91" s="153"/>
      <c r="CM91" s="153"/>
      <c r="CN91" s="153"/>
      <c r="CO91" s="153"/>
      <c r="CP91" s="153"/>
      <c r="CQ91" s="153"/>
      <c r="CR91" s="153"/>
      <c r="CS91" s="153"/>
      <c r="CT91" s="153"/>
      <c r="CU91" s="153"/>
      <c r="CV91" s="153"/>
      <c r="CW91" s="153"/>
      <c r="CX91" s="153"/>
      <c r="CY91" s="153"/>
      <c r="CZ91" s="153"/>
      <c r="DA91" s="153"/>
      <c r="DB91" s="153"/>
      <c r="DC91" s="153"/>
      <c r="DD91" s="153"/>
      <c r="DE91" s="153"/>
      <c r="DF91" s="153"/>
      <c r="DG91" s="153"/>
      <c r="DH91" s="153"/>
      <c r="DI91" s="153"/>
      <c r="DJ91" s="153"/>
      <c r="DK91" s="153"/>
      <c r="DL91" s="153"/>
      <c r="DM91" s="153"/>
      <c r="DN91" s="153"/>
      <c r="DO91" s="153"/>
      <c r="DP91" s="153"/>
      <c r="DQ91" s="153"/>
      <c r="DR91" s="153"/>
      <c r="DS91" s="153"/>
      <c r="DT91" s="153"/>
      <c r="DU91" s="153"/>
      <c r="DV91" s="153"/>
      <c r="DW91" s="153"/>
      <c r="DX91" s="153"/>
      <c r="DY91" s="153"/>
      <c r="DZ91" s="153"/>
      <c r="EA91" s="153"/>
      <c r="EB91" s="153"/>
      <c r="EC91" s="153"/>
      <c r="ED91" s="153"/>
      <c r="EE91" s="153"/>
      <c r="EF91" s="153"/>
      <c r="EG91" s="153"/>
      <c r="EH91" s="153"/>
      <c r="EI91" s="153"/>
      <c r="EJ91" s="153"/>
      <c r="EK91" s="153"/>
      <c r="EL91" s="153"/>
      <c r="EM91" s="153"/>
      <c r="EN91" s="153"/>
      <c r="EO91" s="153"/>
      <c r="EP91" s="153"/>
      <c r="EQ91" s="153"/>
      <c r="ER91" s="153"/>
      <c r="ES91" s="153"/>
      <c r="ET91" s="153"/>
      <c r="EU91" s="153"/>
      <c r="EV91" s="153"/>
      <c r="EW91" s="153"/>
      <c r="EX91" s="153"/>
      <c r="EY91" s="153"/>
      <c r="EZ91" s="153"/>
      <c r="FA91" s="153"/>
      <c r="FB91" s="153"/>
    </row>
    <row r="92" spans="1:158" s="294" customFormat="1" x14ac:dyDescent="0.3">
      <c r="A92" s="305" t="s">
        <v>199</v>
      </c>
      <c r="B92" s="295">
        <v>11.221845916336065</v>
      </c>
      <c r="C92" s="295">
        <v>11.314546923805306</v>
      </c>
      <c r="D92" s="295">
        <v>11.400680199473099</v>
      </c>
      <c r="E92" s="295">
        <v>11.492704318211247</v>
      </c>
      <c r="F92" s="295">
        <v>11.580627230417718</v>
      </c>
      <c r="G92" s="295">
        <v>17.148417193771589</v>
      </c>
      <c r="H92" s="295">
        <v>46.284877873386236</v>
      </c>
      <c r="I92" s="295">
        <v>60.636616376674347</v>
      </c>
      <c r="J92" s="295">
        <v>74.445037690053482</v>
      </c>
      <c r="K92" s="295">
        <v>46.087984174525822</v>
      </c>
      <c r="L92" s="295">
        <v>46.087984174525822</v>
      </c>
      <c r="M92" s="295">
        <v>24.150143076345266</v>
      </c>
      <c r="N92" s="295">
        <v>24.150143076345266</v>
      </c>
      <c r="O92" s="295">
        <v>30.461662171067022</v>
      </c>
      <c r="P92" s="295">
        <v>30.461662171067022</v>
      </c>
      <c r="Q92" s="295">
        <v>30.461662171067022</v>
      </c>
      <c r="R92" s="295">
        <v>30.461662171067022</v>
      </c>
      <c r="S92" s="295">
        <v>30.461662171067022</v>
      </c>
      <c r="T92" s="295">
        <v>30.461662171067022</v>
      </c>
      <c r="U92" s="295">
        <v>30.461662171067022</v>
      </c>
      <c r="V92" s="295">
        <v>30.461662171067022</v>
      </c>
      <c r="W92" s="295">
        <v>30.461662171067022</v>
      </c>
      <c r="X92" s="295">
        <v>30.461662171067022</v>
      </c>
      <c r="Y92" s="295">
        <v>30.461662171067022</v>
      </c>
      <c r="Z92" s="295">
        <v>30.461662171067022</v>
      </c>
      <c r="AA92" s="306">
        <v>30.461662171067022</v>
      </c>
      <c r="AB92" s="153"/>
      <c r="AC92" s="153"/>
      <c r="AD92" s="153"/>
      <c r="AE92" s="153"/>
      <c r="AF92" s="153"/>
      <c r="AG92" s="153"/>
      <c r="AH92" s="153"/>
      <c r="AI92" s="153"/>
      <c r="AJ92" s="153"/>
      <c r="AK92" s="153"/>
      <c r="AL92" s="153"/>
      <c r="AM92" s="153"/>
      <c r="AN92" s="153"/>
      <c r="AO92" s="153"/>
      <c r="AP92" s="153"/>
      <c r="AQ92" s="153"/>
      <c r="AR92" s="153"/>
      <c r="AS92" s="153"/>
      <c r="AT92" s="153"/>
      <c r="AU92" s="153"/>
      <c r="AV92" s="153"/>
      <c r="AW92" s="153"/>
      <c r="AX92" s="153"/>
      <c r="AY92" s="153"/>
      <c r="AZ92" s="153"/>
      <c r="BA92" s="153"/>
      <c r="BB92" s="153"/>
      <c r="BC92" s="153"/>
      <c r="BD92" s="153"/>
      <c r="BE92" s="153"/>
      <c r="BF92" s="153"/>
      <c r="BG92" s="153"/>
      <c r="BH92" s="153"/>
      <c r="BI92" s="153"/>
      <c r="BJ92" s="153"/>
      <c r="BK92" s="153"/>
      <c r="BL92" s="153"/>
      <c r="BM92" s="153"/>
      <c r="BN92" s="153"/>
      <c r="BO92" s="153"/>
      <c r="BP92" s="153"/>
      <c r="BQ92" s="153"/>
      <c r="BR92" s="153"/>
      <c r="BS92" s="153"/>
      <c r="BT92" s="153"/>
      <c r="BU92" s="153"/>
      <c r="BV92" s="153"/>
      <c r="BW92" s="153"/>
      <c r="BX92" s="153"/>
      <c r="BY92" s="153"/>
      <c r="BZ92" s="153"/>
      <c r="CA92" s="153"/>
      <c r="CB92" s="153"/>
      <c r="CC92" s="153"/>
      <c r="CD92" s="153"/>
      <c r="CE92" s="153"/>
      <c r="CF92" s="153"/>
      <c r="CG92" s="153"/>
      <c r="CH92" s="153"/>
      <c r="CI92" s="153"/>
      <c r="CJ92" s="153"/>
      <c r="CK92" s="153"/>
      <c r="CL92" s="153"/>
      <c r="CM92" s="153"/>
      <c r="CN92" s="153"/>
      <c r="CO92" s="153"/>
      <c r="CP92" s="153"/>
      <c r="CQ92" s="153"/>
      <c r="CR92" s="153"/>
      <c r="CS92" s="153"/>
      <c r="CT92" s="153"/>
      <c r="CU92" s="153"/>
      <c r="CV92" s="153"/>
      <c r="CW92" s="153"/>
      <c r="CX92" s="153"/>
      <c r="CY92" s="153"/>
      <c r="CZ92" s="153"/>
      <c r="DA92" s="153"/>
      <c r="DB92" s="153"/>
      <c r="DC92" s="153"/>
      <c r="DD92" s="153"/>
      <c r="DE92" s="153"/>
      <c r="DF92" s="153"/>
      <c r="DG92" s="153"/>
      <c r="DH92" s="153"/>
      <c r="DI92" s="153"/>
      <c r="DJ92" s="153"/>
      <c r="DK92" s="153"/>
      <c r="DL92" s="153"/>
      <c r="DM92" s="153"/>
      <c r="DN92" s="153"/>
      <c r="DO92" s="153"/>
      <c r="DP92" s="153"/>
      <c r="DQ92" s="153"/>
      <c r="DR92" s="153"/>
      <c r="DS92" s="153"/>
      <c r="DT92" s="153"/>
      <c r="DU92" s="153"/>
      <c r="DV92" s="153"/>
      <c r="DW92" s="153"/>
      <c r="DX92" s="153"/>
      <c r="DY92" s="153"/>
      <c r="DZ92" s="153"/>
      <c r="EA92" s="153"/>
      <c r="EB92" s="153"/>
      <c r="EC92" s="153"/>
      <c r="ED92" s="153"/>
      <c r="EE92" s="153"/>
      <c r="EF92" s="153"/>
      <c r="EG92" s="153"/>
      <c r="EH92" s="153"/>
      <c r="EI92" s="153"/>
      <c r="EJ92" s="153"/>
      <c r="EK92" s="153"/>
      <c r="EL92" s="153"/>
      <c r="EM92" s="153"/>
      <c r="EN92" s="153"/>
      <c r="EO92" s="153"/>
      <c r="EP92" s="153"/>
      <c r="EQ92" s="153"/>
      <c r="ER92" s="153"/>
      <c r="ES92" s="153"/>
      <c r="ET92" s="153"/>
      <c r="EU92" s="153"/>
      <c r="EV92" s="153"/>
      <c r="EW92" s="153"/>
      <c r="EX92" s="153"/>
      <c r="EY92" s="153"/>
      <c r="EZ92" s="153"/>
      <c r="FA92" s="153"/>
      <c r="FB92" s="153"/>
    </row>
    <row r="93" spans="1:158" s="294" customFormat="1" x14ac:dyDescent="0.3">
      <c r="A93" s="305" t="s">
        <v>200</v>
      </c>
      <c r="B93" s="295">
        <v>985.4871405377254</v>
      </c>
      <c r="C93" s="295">
        <v>953.99595258426427</v>
      </c>
      <c r="D93" s="295">
        <v>924.73586958029443</v>
      </c>
      <c r="E93" s="295">
        <v>930.19875379748441</v>
      </c>
      <c r="F93" s="295">
        <v>935.41817557525553</v>
      </c>
      <c r="G93" s="295">
        <v>640.8900415095427</v>
      </c>
      <c r="H93" s="295">
        <v>456.32826232679287</v>
      </c>
      <c r="I93" s="295">
        <v>456.36796246929151</v>
      </c>
      <c r="J93" s="295">
        <v>455.08554933709422</v>
      </c>
      <c r="K93" s="295">
        <v>3677.2961219761646</v>
      </c>
      <c r="L93" s="295">
        <v>3677.2961219761646</v>
      </c>
      <c r="M93" s="295">
        <v>1416.440967500665</v>
      </c>
      <c r="N93" s="295">
        <v>1416.440967500665</v>
      </c>
      <c r="O93" s="295">
        <v>1301.9986066670313</v>
      </c>
      <c r="P93" s="295">
        <v>1301.9986066670313</v>
      </c>
      <c r="Q93" s="295">
        <v>1301.9986066670313</v>
      </c>
      <c r="R93" s="295">
        <v>1301.9986066670313</v>
      </c>
      <c r="S93" s="295">
        <v>1301.9986066670313</v>
      </c>
      <c r="T93" s="295">
        <v>1301.9986066670313</v>
      </c>
      <c r="U93" s="295">
        <v>1301.9986066670313</v>
      </c>
      <c r="V93" s="295">
        <v>1301.9986066670313</v>
      </c>
      <c r="W93" s="295">
        <v>1301.9986066670313</v>
      </c>
      <c r="X93" s="295">
        <v>1301.9986066670313</v>
      </c>
      <c r="Y93" s="295">
        <v>1301.9986066670313</v>
      </c>
      <c r="Z93" s="295">
        <v>1301.9986066670313</v>
      </c>
      <c r="AA93" s="306">
        <v>1301.9986066670313</v>
      </c>
      <c r="AB93" s="153"/>
      <c r="AC93" s="153"/>
      <c r="AD93" s="153"/>
      <c r="AE93" s="153"/>
      <c r="AF93" s="153"/>
      <c r="AG93" s="153"/>
      <c r="AH93" s="153"/>
      <c r="AI93" s="153"/>
      <c r="AJ93" s="153"/>
      <c r="AK93" s="153"/>
      <c r="AL93" s="153"/>
      <c r="AM93" s="153"/>
      <c r="AN93" s="153"/>
      <c r="AO93" s="153"/>
      <c r="AP93" s="153"/>
      <c r="AQ93" s="153"/>
      <c r="AR93" s="153"/>
      <c r="AS93" s="153"/>
      <c r="AT93" s="153"/>
      <c r="AU93" s="153"/>
      <c r="AV93" s="153"/>
      <c r="AW93" s="153"/>
      <c r="AX93" s="153"/>
      <c r="AY93" s="153"/>
      <c r="AZ93" s="153"/>
      <c r="BA93" s="153"/>
      <c r="BB93" s="153"/>
      <c r="BC93" s="153"/>
      <c r="BD93" s="153"/>
      <c r="BE93" s="153"/>
      <c r="BF93" s="153"/>
      <c r="BG93" s="153"/>
      <c r="BH93" s="153"/>
      <c r="BI93" s="153"/>
      <c r="BJ93" s="153"/>
      <c r="BK93" s="153"/>
      <c r="BL93" s="153"/>
      <c r="BM93" s="153"/>
      <c r="BN93" s="153"/>
      <c r="BO93" s="153"/>
      <c r="BP93" s="153"/>
      <c r="BQ93" s="153"/>
      <c r="BR93" s="153"/>
      <c r="BS93" s="153"/>
      <c r="BT93" s="153"/>
      <c r="BU93" s="153"/>
      <c r="BV93" s="153"/>
      <c r="BW93" s="153"/>
      <c r="BX93" s="153"/>
      <c r="BY93" s="153"/>
      <c r="BZ93" s="153"/>
      <c r="CA93" s="153"/>
      <c r="CB93" s="153"/>
      <c r="CC93" s="153"/>
      <c r="CD93" s="153"/>
      <c r="CE93" s="153"/>
      <c r="CF93" s="153"/>
      <c r="CG93" s="153"/>
      <c r="CH93" s="153"/>
      <c r="CI93" s="153"/>
      <c r="CJ93" s="153"/>
      <c r="CK93" s="153"/>
      <c r="CL93" s="153"/>
      <c r="CM93" s="153"/>
      <c r="CN93" s="153"/>
      <c r="CO93" s="153"/>
      <c r="CP93" s="153"/>
      <c r="CQ93" s="153"/>
      <c r="CR93" s="153"/>
      <c r="CS93" s="153"/>
      <c r="CT93" s="153"/>
      <c r="CU93" s="153"/>
      <c r="CV93" s="153"/>
      <c r="CW93" s="153"/>
      <c r="CX93" s="153"/>
      <c r="CY93" s="153"/>
      <c r="CZ93" s="153"/>
      <c r="DA93" s="153"/>
      <c r="DB93" s="153"/>
      <c r="DC93" s="153"/>
      <c r="DD93" s="153"/>
      <c r="DE93" s="153"/>
      <c r="DF93" s="153"/>
      <c r="DG93" s="153"/>
      <c r="DH93" s="153"/>
      <c r="DI93" s="153"/>
      <c r="DJ93" s="153"/>
      <c r="DK93" s="153"/>
      <c r="DL93" s="153"/>
      <c r="DM93" s="153"/>
      <c r="DN93" s="153"/>
      <c r="DO93" s="153"/>
      <c r="DP93" s="153"/>
      <c r="DQ93" s="153"/>
      <c r="DR93" s="153"/>
      <c r="DS93" s="153"/>
      <c r="DT93" s="153"/>
      <c r="DU93" s="153"/>
      <c r="DV93" s="153"/>
      <c r="DW93" s="153"/>
      <c r="DX93" s="153"/>
      <c r="DY93" s="153"/>
      <c r="DZ93" s="153"/>
      <c r="EA93" s="153"/>
      <c r="EB93" s="153"/>
      <c r="EC93" s="153"/>
      <c r="ED93" s="153"/>
      <c r="EE93" s="153"/>
      <c r="EF93" s="153"/>
      <c r="EG93" s="153"/>
      <c r="EH93" s="153"/>
      <c r="EI93" s="153"/>
      <c r="EJ93" s="153"/>
      <c r="EK93" s="153"/>
      <c r="EL93" s="153"/>
      <c r="EM93" s="153"/>
      <c r="EN93" s="153"/>
      <c r="EO93" s="153"/>
      <c r="EP93" s="153"/>
      <c r="EQ93" s="153"/>
      <c r="ER93" s="153"/>
      <c r="ES93" s="153"/>
      <c r="ET93" s="153"/>
      <c r="EU93" s="153"/>
      <c r="EV93" s="153"/>
      <c r="EW93" s="153"/>
      <c r="EX93" s="153"/>
      <c r="EY93" s="153"/>
      <c r="EZ93" s="153"/>
      <c r="FA93" s="153"/>
      <c r="FB93" s="153"/>
    </row>
    <row r="94" spans="1:158" s="294" customFormat="1" x14ac:dyDescent="0.3">
      <c r="A94" s="305" t="s">
        <v>201</v>
      </c>
      <c r="B94" s="295">
        <v>331.89408488484622</v>
      </c>
      <c r="C94" s="295">
        <v>320.39250643384116</v>
      </c>
      <c r="D94" s="295">
        <v>309.70579811879037</v>
      </c>
      <c r="E94" s="295">
        <v>314.38757970452514</v>
      </c>
      <c r="F94" s="295">
        <v>318.86070997707611</v>
      </c>
      <c r="G94" s="295">
        <v>294.72695785306377</v>
      </c>
      <c r="H94" s="295">
        <v>269.31222743051308</v>
      </c>
      <c r="I94" s="295">
        <v>272.02356851367909</v>
      </c>
      <c r="J94" s="295">
        <v>273.69918651032697</v>
      </c>
      <c r="K94" s="295">
        <v>914.59546993463903</v>
      </c>
      <c r="L94" s="295">
        <v>914.59546993463903</v>
      </c>
      <c r="M94" s="295">
        <v>516.92906702529547</v>
      </c>
      <c r="N94" s="295">
        <v>516.92906702529547</v>
      </c>
      <c r="O94" s="295">
        <v>428.31166871896397</v>
      </c>
      <c r="P94" s="295">
        <v>428.31166871896397</v>
      </c>
      <c r="Q94" s="295">
        <v>428.31166871896397</v>
      </c>
      <c r="R94" s="295">
        <v>428.31166871896397</v>
      </c>
      <c r="S94" s="295">
        <v>428.31166871896397</v>
      </c>
      <c r="T94" s="295">
        <v>428.31166871896397</v>
      </c>
      <c r="U94" s="295">
        <v>428.31166871896397</v>
      </c>
      <c r="V94" s="295">
        <v>428.31166871896397</v>
      </c>
      <c r="W94" s="295">
        <v>428.31166871896397</v>
      </c>
      <c r="X94" s="295">
        <v>428.31166871896397</v>
      </c>
      <c r="Y94" s="295">
        <v>428.31166871896397</v>
      </c>
      <c r="Z94" s="295">
        <v>428.31166871896397</v>
      </c>
      <c r="AA94" s="306">
        <v>428.31166871896397</v>
      </c>
      <c r="AB94" s="153"/>
      <c r="AC94" s="153"/>
      <c r="AD94" s="153"/>
      <c r="AE94" s="153"/>
      <c r="AF94" s="153"/>
      <c r="AG94" s="153"/>
      <c r="AH94" s="153"/>
      <c r="AI94" s="153"/>
      <c r="AJ94" s="153"/>
      <c r="AK94" s="153"/>
      <c r="AL94" s="153"/>
      <c r="AM94" s="153"/>
      <c r="AN94" s="153"/>
      <c r="AO94" s="153"/>
      <c r="AP94" s="153"/>
      <c r="AQ94" s="153"/>
      <c r="AR94" s="153"/>
      <c r="AS94" s="153"/>
      <c r="AT94" s="153"/>
      <c r="AU94" s="153"/>
      <c r="AV94" s="153"/>
      <c r="AW94" s="153"/>
      <c r="AX94" s="153"/>
      <c r="AY94" s="153"/>
      <c r="AZ94" s="153"/>
      <c r="BA94" s="153"/>
      <c r="BB94" s="153"/>
      <c r="BC94" s="153"/>
      <c r="BD94" s="153"/>
      <c r="BE94" s="153"/>
      <c r="BF94" s="153"/>
      <c r="BG94" s="153"/>
      <c r="BH94" s="153"/>
      <c r="BI94" s="153"/>
      <c r="BJ94" s="153"/>
      <c r="BK94" s="153"/>
      <c r="BL94" s="153"/>
      <c r="BM94" s="153"/>
      <c r="BN94" s="153"/>
      <c r="BO94" s="153"/>
      <c r="BP94" s="153"/>
      <c r="BQ94" s="153"/>
      <c r="BR94" s="153"/>
      <c r="BS94" s="153"/>
      <c r="BT94" s="153"/>
      <c r="BU94" s="153"/>
      <c r="BV94" s="153"/>
      <c r="BW94" s="153"/>
      <c r="BX94" s="153"/>
      <c r="BY94" s="153"/>
      <c r="BZ94" s="153"/>
      <c r="CA94" s="153"/>
      <c r="CB94" s="153"/>
      <c r="CC94" s="153"/>
      <c r="CD94" s="153"/>
      <c r="CE94" s="153"/>
      <c r="CF94" s="153"/>
      <c r="CG94" s="153"/>
      <c r="CH94" s="153"/>
      <c r="CI94" s="153"/>
      <c r="CJ94" s="153"/>
      <c r="CK94" s="153"/>
      <c r="CL94" s="153"/>
      <c r="CM94" s="153"/>
      <c r="CN94" s="153"/>
      <c r="CO94" s="153"/>
      <c r="CP94" s="153"/>
      <c r="CQ94" s="153"/>
      <c r="CR94" s="153"/>
      <c r="CS94" s="153"/>
      <c r="CT94" s="153"/>
      <c r="CU94" s="153"/>
      <c r="CV94" s="153"/>
      <c r="CW94" s="153"/>
      <c r="CX94" s="153"/>
      <c r="CY94" s="153"/>
      <c r="CZ94" s="153"/>
      <c r="DA94" s="153"/>
      <c r="DB94" s="153"/>
      <c r="DC94" s="153"/>
      <c r="DD94" s="153"/>
      <c r="DE94" s="153"/>
      <c r="DF94" s="153"/>
      <c r="DG94" s="153"/>
      <c r="DH94" s="153"/>
      <c r="DI94" s="153"/>
      <c r="DJ94" s="153"/>
      <c r="DK94" s="153"/>
      <c r="DL94" s="153"/>
      <c r="DM94" s="153"/>
      <c r="DN94" s="153"/>
      <c r="DO94" s="153"/>
      <c r="DP94" s="153"/>
      <c r="DQ94" s="153"/>
      <c r="DR94" s="153"/>
      <c r="DS94" s="153"/>
      <c r="DT94" s="153"/>
      <c r="DU94" s="153"/>
      <c r="DV94" s="153"/>
      <c r="DW94" s="153"/>
      <c r="DX94" s="153"/>
      <c r="DY94" s="153"/>
      <c r="DZ94" s="153"/>
      <c r="EA94" s="153"/>
      <c r="EB94" s="153"/>
      <c r="EC94" s="153"/>
      <c r="ED94" s="153"/>
      <c r="EE94" s="153"/>
      <c r="EF94" s="153"/>
      <c r="EG94" s="153"/>
      <c r="EH94" s="153"/>
      <c r="EI94" s="153"/>
      <c r="EJ94" s="153"/>
      <c r="EK94" s="153"/>
      <c r="EL94" s="153"/>
      <c r="EM94" s="153"/>
      <c r="EN94" s="153"/>
      <c r="EO94" s="153"/>
      <c r="EP94" s="153"/>
      <c r="EQ94" s="153"/>
      <c r="ER94" s="153"/>
      <c r="ES94" s="153"/>
      <c r="ET94" s="153"/>
      <c r="EU94" s="153"/>
      <c r="EV94" s="153"/>
      <c r="EW94" s="153"/>
      <c r="EX94" s="153"/>
      <c r="EY94" s="153"/>
      <c r="EZ94" s="153"/>
      <c r="FA94" s="153"/>
      <c r="FB94" s="153"/>
    </row>
    <row r="95" spans="1:158" s="294" customFormat="1" x14ac:dyDescent="0.3">
      <c r="A95" s="305" t="s">
        <v>202</v>
      </c>
      <c r="B95" s="295">
        <v>648.6818670392023</v>
      </c>
      <c r="C95" s="295">
        <v>629.87105214547341</v>
      </c>
      <c r="D95" s="295">
        <v>612.39295617855612</v>
      </c>
      <c r="E95" s="295">
        <v>608.65011158965171</v>
      </c>
      <c r="F95" s="295">
        <v>605.07407303905006</v>
      </c>
      <c r="G95" s="295">
        <v>455.02536802430882</v>
      </c>
      <c r="H95" s="295">
        <v>345.49966004245607</v>
      </c>
      <c r="I95" s="295">
        <v>414.5134913450708</v>
      </c>
      <c r="J95" s="295">
        <v>472.95388751237186</v>
      </c>
      <c r="K95" s="295">
        <v>1642.7683297923352</v>
      </c>
      <c r="L95" s="295">
        <v>1642.7683297923352</v>
      </c>
      <c r="M95" s="295">
        <v>96583.715114431849</v>
      </c>
      <c r="N95" s="295">
        <v>96583.715114431849</v>
      </c>
      <c r="O95" s="295">
        <v>15480.433027335732</v>
      </c>
      <c r="P95" s="295">
        <v>15480.433027335732</v>
      </c>
      <c r="Q95" s="295">
        <v>15480.433027335732</v>
      </c>
      <c r="R95" s="295">
        <v>15480.433027335732</v>
      </c>
      <c r="S95" s="295">
        <v>15480.433027335732</v>
      </c>
      <c r="T95" s="295">
        <v>15480.433027335732</v>
      </c>
      <c r="U95" s="295">
        <v>15480.433027335732</v>
      </c>
      <c r="V95" s="295">
        <v>15480.433027335732</v>
      </c>
      <c r="W95" s="295">
        <v>15480.433027335732</v>
      </c>
      <c r="X95" s="295">
        <v>15480.433027335732</v>
      </c>
      <c r="Y95" s="295">
        <v>15480.433027335732</v>
      </c>
      <c r="Z95" s="295">
        <v>15480.433027335732</v>
      </c>
      <c r="AA95" s="306">
        <v>15480.433027335732</v>
      </c>
      <c r="AB95" s="153"/>
      <c r="AC95" s="153"/>
      <c r="AD95" s="153"/>
      <c r="AE95" s="153"/>
      <c r="AF95" s="153"/>
      <c r="AG95" s="153"/>
      <c r="AH95" s="153"/>
      <c r="AI95" s="153"/>
      <c r="AJ95" s="153"/>
      <c r="AK95" s="153"/>
      <c r="AL95" s="153"/>
      <c r="AM95" s="153"/>
      <c r="AN95" s="153"/>
      <c r="AO95" s="153"/>
      <c r="AP95" s="153"/>
      <c r="AQ95" s="153"/>
      <c r="AR95" s="153"/>
      <c r="AS95" s="153"/>
      <c r="AT95" s="153"/>
      <c r="AU95" s="153"/>
      <c r="AV95" s="153"/>
      <c r="AW95" s="153"/>
      <c r="AX95" s="153"/>
      <c r="AY95" s="153"/>
      <c r="AZ95" s="153"/>
      <c r="BA95" s="153"/>
      <c r="BB95" s="153"/>
      <c r="BC95" s="153"/>
      <c r="BD95" s="153"/>
      <c r="BE95" s="153"/>
      <c r="BF95" s="153"/>
      <c r="BG95" s="153"/>
      <c r="BH95" s="153"/>
      <c r="BI95" s="153"/>
      <c r="BJ95" s="153"/>
      <c r="BK95" s="153"/>
      <c r="BL95" s="153"/>
      <c r="BM95" s="153"/>
      <c r="BN95" s="153"/>
      <c r="BO95" s="153"/>
      <c r="BP95" s="153"/>
      <c r="BQ95" s="153"/>
      <c r="BR95" s="153"/>
      <c r="BS95" s="153"/>
      <c r="BT95" s="153"/>
      <c r="BU95" s="153"/>
      <c r="BV95" s="153"/>
      <c r="BW95" s="153"/>
      <c r="BX95" s="153"/>
      <c r="BY95" s="153"/>
      <c r="BZ95" s="153"/>
      <c r="CA95" s="153"/>
      <c r="CB95" s="153"/>
      <c r="CC95" s="153"/>
      <c r="CD95" s="153"/>
      <c r="CE95" s="153"/>
      <c r="CF95" s="153"/>
      <c r="CG95" s="153"/>
      <c r="CH95" s="153"/>
      <c r="CI95" s="153"/>
      <c r="CJ95" s="153"/>
      <c r="CK95" s="153"/>
      <c r="CL95" s="153"/>
      <c r="CM95" s="153"/>
      <c r="CN95" s="153"/>
      <c r="CO95" s="153"/>
      <c r="CP95" s="153"/>
      <c r="CQ95" s="153"/>
      <c r="CR95" s="153"/>
      <c r="CS95" s="153"/>
      <c r="CT95" s="153"/>
      <c r="CU95" s="153"/>
      <c r="CV95" s="153"/>
      <c r="CW95" s="153"/>
      <c r="CX95" s="153"/>
      <c r="CY95" s="153"/>
      <c r="CZ95" s="153"/>
      <c r="DA95" s="153"/>
      <c r="DB95" s="153"/>
      <c r="DC95" s="153"/>
      <c r="DD95" s="153"/>
      <c r="DE95" s="153"/>
      <c r="DF95" s="153"/>
      <c r="DG95" s="153"/>
      <c r="DH95" s="153"/>
      <c r="DI95" s="153"/>
      <c r="DJ95" s="153"/>
      <c r="DK95" s="153"/>
      <c r="DL95" s="153"/>
      <c r="DM95" s="153"/>
      <c r="DN95" s="153"/>
      <c r="DO95" s="153"/>
      <c r="DP95" s="153"/>
      <c r="DQ95" s="153"/>
      <c r="DR95" s="153"/>
      <c r="DS95" s="153"/>
      <c r="DT95" s="153"/>
      <c r="DU95" s="153"/>
      <c r="DV95" s="153"/>
      <c r="DW95" s="153"/>
      <c r="DX95" s="153"/>
      <c r="DY95" s="153"/>
      <c r="DZ95" s="153"/>
      <c r="EA95" s="153"/>
      <c r="EB95" s="153"/>
      <c r="EC95" s="153"/>
      <c r="ED95" s="153"/>
      <c r="EE95" s="153"/>
      <c r="EF95" s="153"/>
      <c r="EG95" s="153"/>
      <c r="EH95" s="153"/>
      <c r="EI95" s="153"/>
      <c r="EJ95" s="153"/>
      <c r="EK95" s="153"/>
      <c r="EL95" s="153"/>
      <c r="EM95" s="153"/>
      <c r="EN95" s="153"/>
      <c r="EO95" s="153"/>
      <c r="EP95" s="153"/>
      <c r="EQ95" s="153"/>
      <c r="ER95" s="153"/>
      <c r="ES95" s="153"/>
      <c r="ET95" s="153"/>
      <c r="EU95" s="153"/>
      <c r="EV95" s="153"/>
      <c r="EW95" s="153"/>
      <c r="EX95" s="153"/>
      <c r="EY95" s="153"/>
      <c r="EZ95" s="153"/>
      <c r="FA95" s="153"/>
      <c r="FB95" s="153"/>
    </row>
    <row r="96" spans="1:158" s="294" customFormat="1" x14ac:dyDescent="0.3">
      <c r="A96" s="305" t="s">
        <v>203</v>
      </c>
      <c r="B96" s="295">
        <v>835.90173607750432</v>
      </c>
      <c r="C96" s="295">
        <v>864.63961926552361</v>
      </c>
      <c r="D96" s="295">
        <v>891.34146514960128</v>
      </c>
      <c r="E96" s="295">
        <v>889.64177969353227</v>
      </c>
      <c r="F96" s="295">
        <v>888.01784352134382</v>
      </c>
      <c r="G96" s="295">
        <v>759.20575800185077</v>
      </c>
      <c r="H96" s="295">
        <v>641.40533011185425</v>
      </c>
      <c r="I96" s="295">
        <v>610.36844882942</v>
      </c>
      <c r="J96" s="295">
        <v>594.60016487376163</v>
      </c>
      <c r="K96" s="295">
        <v>1746.2107024957663</v>
      </c>
      <c r="L96" s="295">
        <v>1746.2107024957663</v>
      </c>
      <c r="M96" s="295">
        <v>472.43804954243711</v>
      </c>
      <c r="N96" s="295">
        <v>472.43804954243711</v>
      </c>
      <c r="O96" s="295">
        <v>877.87843458467682</v>
      </c>
      <c r="P96" s="295">
        <v>877.87843458467682</v>
      </c>
      <c r="Q96" s="295">
        <v>877.87843458467682</v>
      </c>
      <c r="R96" s="295">
        <v>877.87843458467682</v>
      </c>
      <c r="S96" s="295">
        <v>877.87843458467682</v>
      </c>
      <c r="T96" s="295">
        <v>877.87843458467682</v>
      </c>
      <c r="U96" s="295">
        <v>877.87843458467682</v>
      </c>
      <c r="V96" s="295">
        <v>877.87843458467682</v>
      </c>
      <c r="W96" s="295">
        <v>877.87843458467682</v>
      </c>
      <c r="X96" s="295">
        <v>877.87843458467682</v>
      </c>
      <c r="Y96" s="295">
        <v>877.87843458467682</v>
      </c>
      <c r="Z96" s="295">
        <v>877.87843458467682</v>
      </c>
      <c r="AA96" s="306">
        <v>877.87843458467682</v>
      </c>
      <c r="AB96" s="153"/>
      <c r="AC96" s="153"/>
      <c r="AD96" s="153"/>
      <c r="AE96" s="153"/>
      <c r="AF96" s="153"/>
      <c r="AG96" s="153"/>
      <c r="AH96" s="153"/>
      <c r="AI96" s="153"/>
      <c r="AJ96" s="153"/>
      <c r="AK96" s="153"/>
      <c r="AL96" s="153"/>
      <c r="AM96" s="153"/>
      <c r="AN96" s="153"/>
      <c r="AO96" s="153"/>
      <c r="AP96" s="153"/>
      <c r="AQ96" s="153"/>
      <c r="AR96" s="153"/>
      <c r="AS96" s="153"/>
      <c r="AT96" s="153"/>
      <c r="AU96" s="153"/>
      <c r="AV96" s="153"/>
      <c r="AW96" s="153"/>
      <c r="AX96" s="153"/>
      <c r="AY96" s="153"/>
      <c r="AZ96" s="153"/>
      <c r="BA96" s="153"/>
      <c r="BB96" s="153"/>
      <c r="BC96" s="153"/>
      <c r="BD96" s="153"/>
      <c r="BE96" s="153"/>
      <c r="BF96" s="153"/>
      <c r="BG96" s="153"/>
      <c r="BH96" s="153"/>
      <c r="BI96" s="153"/>
      <c r="BJ96" s="153"/>
      <c r="BK96" s="153"/>
      <c r="BL96" s="153"/>
      <c r="BM96" s="153"/>
      <c r="BN96" s="153"/>
      <c r="BO96" s="153"/>
      <c r="BP96" s="153"/>
      <c r="BQ96" s="153"/>
      <c r="BR96" s="153"/>
      <c r="BS96" s="153"/>
      <c r="BT96" s="153"/>
      <c r="BU96" s="153"/>
      <c r="BV96" s="153"/>
      <c r="BW96" s="153"/>
      <c r="BX96" s="153"/>
      <c r="BY96" s="153"/>
      <c r="BZ96" s="153"/>
      <c r="CA96" s="153"/>
      <c r="CB96" s="153"/>
      <c r="CC96" s="153"/>
      <c r="CD96" s="153"/>
      <c r="CE96" s="153"/>
      <c r="CF96" s="153"/>
      <c r="CG96" s="153"/>
      <c r="CH96" s="153"/>
      <c r="CI96" s="153"/>
      <c r="CJ96" s="153"/>
      <c r="CK96" s="153"/>
      <c r="CL96" s="153"/>
      <c r="CM96" s="153"/>
      <c r="CN96" s="153"/>
      <c r="CO96" s="153"/>
      <c r="CP96" s="153"/>
      <c r="CQ96" s="153"/>
      <c r="CR96" s="153"/>
      <c r="CS96" s="153"/>
      <c r="CT96" s="153"/>
      <c r="CU96" s="153"/>
      <c r="CV96" s="153"/>
      <c r="CW96" s="153"/>
      <c r="CX96" s="153"/>
      <c r="CY96" s="153"/>
      <c r="CZ96" s="153"/>
      <c r="DA96" s="153"/>
      <c r="DB96" s="153"/>
      <c r="DC96" s="153"/>
      <c r="DD96" s="153"/>
      <c r="DE96" s="153"/>
      <c r="DF96" s="153"/>
      <c r="DG96" s="153"/>
      <c r="DH96" s="153"/>
      <c r="DI96" s="153"/>
      <c r="DJ96" s="153"/>
      <c r="DK96" s="153"/>
      <c r="DL96" s="153"/>
      <c r="DM96" s="153"/>
      <c r="DN96" s="153"/>
      <c r="DO96" s="153"/>
      <c r="DP96" s="153"/>
      <c r="DQ96" s="153"/>
      <c r="DR96" s="153"/>
      <c r="DS96" s="153"/>
      <c r="DT96" s="153"/>
      <c r="DU96" s="153"/>
      <c r="DV96" s="153"/>
      <c r="DW96" s="153"/>
      <c r="DX96" s="153"/>
      <c r="DY96" s="153"/>
      <c r="DZ96" s="153"/>
      <c r="EA96" s="153"/>
      <c r="EB96" s="153"/>
      <c r="EC96" s="153"/>
      <c r="ED96" s="153"/>
      <c r="EE96" s="153"/>
      <c r="EF96" s="153"/>
      <c r="EG96" s="153"/>
      <c r="EH96" s="153"/>
      <c r="EI96" s="153"/>
      <c r="EJ96" s="153"/>
      <c r="EK96" s="153"/>
      <c r="EL96" s="153"/>
      <c r="EM96" s="153"/>
      <c r="EN96" s="153"/>
      <c r="EO96" s="153"/>
      <c r="EP96" s="153"/>
      <c r="EQ96" s="153"/>
      <c r="ER96" s="153"/>
      <c r="ES96" s="153"/>
      <c r="ET96" s="153"/>
      <c r="EU96" s="153"/>
      <c r="EV96" s="153"/>
      <c r="EW96" s="153"/>
      <c r="EX96" s="153"/>
      <c r="EY96" s="153"/>
      <c r="EZ96" s="153"/>
      <c r="FA96" s="153"/>
      <c r="FB96" s="153"/>
    </row>
    <row r="97" spans="1:158" s="294" customFormat="1" x14ac:dyDescent="0.3">
      <c r="A97" s="305" t="s">
        <v>204</v>
      </c>
      <c r="B97" s="295">
        <v>308.11872227927267</v>
      </c>
      <c r="C97" s="295">
        <v>298.99912974674152</v>
      </c>
      <c r="D97" s="295">
        <v>290.52564710586444</v>
      </c>
      <c r="E97" s="295">
        <v>288.33163632633574</v>
      </c>
      <c r="F97" s="295">
        <v>286.23540525350705</v>
      </c>
      <c r="G97" s="295">
        <v>336.11260190102058</v>
      </c>
      <c r="H97" s="295">
        <v>444.85129672313468</v>
      </c>
      <c r="I97" s="295">
        <v>474.10632535750523</v>
      </c>
      <c r="J97" s="295">
        <v>490.59191062579202</v>
      </c>
      <c r="K97" s="295">
        <v>1341.5185655316461</v>
      </c>
      <c r="L97" s="295">
        <v>1341.5185655316461</v>
      </c>
      <c r="M97" s="295">
        <v>165.89276170696238</v>
      </c>
      <c r="N97" s="295">
        <v>165.89276170696238</v>
      </c>
      <c r="O97" s="295">
        <v>479.43810229203001</v>
      </c>
      <c r="P97" s="295">
        <v>479.43810229203001</v>
      </c>
      <c r="Q97" s="295">
        <v>479.43810229203001</v>
      </c>
      <c r="R97" s="295">
        <v>479.43810229203001</v>
      </c>
      <c r="S97" s="295">
        <v>479.43810229203001</v>
      </c>
      <c r="T97" s="295">
        <v>479.43810229203001</v>
      </c>
      <c r="U97" s="295">
        <v>479.43810229203001</v>
      </c>
      <c r="V97" s="295">
        <v>479.43810229203001</v>
      </c>
      <c r="W97" s="295">
        <v>479.43810229203001</v>
      </c>
      <c r="X97" s="295">
        <v>479.43810229203001</v>
      </c>
      <c r="Y97" s="295">
        <v>479.43810229203001</v>
      </c>
      <c r="Z97" s="295">
        <v>479.43810229203001</v>
      </c>
      <c r="AA97" s="306">
        <v>479.43810229203001</v>
      </c>
      <c r="AB97" s="153"/>
      <c r="AC97" s="153"/>
      <c r="AD97" s="153"/>
      <c r="AE97" s="153"/>
      <c r="AF97" s="153"/>
      <c r="AG97" s="153"/>
      <c r="AH97" s="153"/>
      <c r="AI97" s="153"/>
      <c r="AJ97" s="153"/>
      <c r="AK97" s="153"/>
      <c r="AL97" s="153"/>
      <c r="AM97" s="153"/>
      <c r="AN97" s="153"/>
      <c r="AO97" s="153"/>
      <c r="AP97" s="153"/>
      <c r="AQ97" s="153"/>
      <c r="AR97" s="153"/>
      <c r="AS97" s="153"/>
      <c r="AT97" s="153"/>
      <c r="AU97" s="153"/>
      <c r="AV97" s="153"/>
      <c r="AW97" s="153"/>
      <c r="AX97" s="153"/>
      <c r="AY97" s="153"/>
      <c r="AZ97" s="153"/>
      <c r="BA97" s="153"/>
      <c r="BB97" s="153"/>
      <c r="BC97" s="153"/>
      <c r="BD97" s="153"/>
      <c r="BE97" s="153"/>
      <c r="BF97" s="153"/>
      <c r="BG97" s="153"/>
      <c r="BH97" s="153"/>
      <c r="BI97" s="153"/>
      <c r="BJ97" s="153"/>
      <c r="BK97" s="153"/>
      <c r="BL97" s="153"/>
      <c r="BM97" s="153"/>
      <c r="BN97" s="153"/>
      <c r="BO97" s="153"/>
      <c r="BP97" s="153"/>
      <c r="BQ97" s="153"/>
      <c r="BR97" s="153"/>
      <c r="BS97" s="153"/>
      <c r="BT97" s="153"/>
      <c r="BU97" s="153"/>
      <c r="BV97" s="153"/>
      <c r="BW97" s="153"/>
      <c r="BX97" s="153"/>
      <c r="BY97" s="153"/>
      <c r="BZ97" s="153"/>
      <c r="CA97" s="153"/>
      <c r="CB97" s="153"/>
      <c r="CC97" s="153"/>
      <c r="CD97" s="153"/>
      <c r="CE97" s="153"/>
      <c r="CF97" s="153"/>
      <c r="CG97" s="153"/>
      <c r="CH97" s="153"/>
      <c r="CI97" s="153"/>
      <c r="CJ97" s="153"/>
      <c r="CK97" s="153"/>
      <c r="CL97" s="153"/>
      <c r="CM97" s="153"/>
      <c r="CN97" s="153"/>
      <c r="CO97" s="153"/>
      <c r="CP97" s="153"/>
      <c r="CQ97" s="153"/>
      <c r="CR97" s="153"/>
      <c r="CS97" s="153"/>
      <c r="CT97" s="153"/>
      <c r="CU97" s="153"/>
      <c r="CV97" s="153"/>
      <c r="CW97" s="153"/>
      <c r="CX97" s="153"/>
      <c r="CY97" s="153"/>
      <c r="CZ97" s="153"/>
      <c r="DA97" s="153"/>
      <c r="DB97" s="153"/>
      <c r="DC97" s="153"/>
      <c r="DD97" s="153"/>
      <c r="DE97" s="153"/>
      <c r="DF97" s="153"/>
      <c r="DG97" s="153"/>
      <c r="DH97" s="153"/>
      <c r="DI97" s="153"/>
      <c r="DJ97" s="153"/>
      <c r="DK97" s="153"/>
      <c r="DL97" s="153"/>
      <c r="DM97" s="153"/>
      <c r="DN97" s="153"/>
      <c r="DO97" s="153"/>
      <c r="DP97" s="153"/>
      <c r="DQ97" s="153"/>
      <c r="DR97" s="153"/>
      <c r="DS97" s="153"/>
      <c r="DT97" s="153"/>
      <c r="DU97" s="153"/>
      <c r="DV97" s="153"/>
      <c r="DW97" s="153"/>
      <c r="DX97" s="153"/>
      <c r="DY97" s="153"/>
      <c r="DZ97" s="153"/>
      <c r="EA97" s="153"/>
      <c r="EB97" s="153"/>
      <c r="EC97" s="153"/>
      <c r="ED97" s="153"/>
      <c r="EE97" s="153"/>
      <c r="EF97" s="153"/>
      <c r="EG97" s="153"/>
      <c r="EH97" s="153"/>
      <c r="EI97" s="153"/>
      <c r="EJ97" s="153"/>
      <c r="EK97" s="153"/>
      <c r="EL97" s="153"/>
      <c r="EM97" s="153"/>
      <c r="EN97" s="153"/>
      <c r="EO97" s="153"/>
      <c r="EP97" s="153"/>
      <c r="EQ97" s="153"/>
      <c r="ER97" s="153"/>
      <c r="ES97" s="153"/>
      <c r="ET97" s="153"/>
      <c r="EU97" s="153"/>
      <c r="EV97" s="153"/>
      <c r="EW97" s="153"/>
      <c r="EX97" s="153"/>
      <c r="EY97" s="153"/>
      <c r="EZ97" s="153"/>
      <c r="FA97" s="153"/>
      <c r="FB97" s="153"/>
    </row>
    <row r="98" spans="1:158" s="294" customFormat="1" x14ac:dyDescent="0.3">
      <c r="A98" s="305" t="s">
        <v>205</v>
      </c>
      <c r="B98" s="295">
        <v>70.139423686673624</v>
      </c>
      <c r="C98" s="295">
        <v>67.922077016993811</v>
      </c>
      <c r="D98" s="295">
        <v>65.861826139850351</v>
      </c>
      <c r="E98" s="295">
        <v>62.818966633887044</v>
      </c>
      <c r="F98" s="295">
        <v>59.911717177244796</v>
      </c>
      <c r="G98" s="295">
        <v>89.823695109500534</v>
      </c>
      <c r="H98" s="295">
        <v>212.52300671760071</v>
      </c>
      <c r="I98" s="295">
        <v>191.71971096043271</v>
      </c>
      <c r="J98" s="295">
        <v>179.33384552220662</v>
      </c>
      <c r="K98" s="295">
        <v>5.3726523334056635</v>
      </c>
      <c r="L98" s="295">
        <v>5.3726523334056635</v>
      </c>
      <c r="M98" s="295">
        <v>173.26934016169128</v>
      </c>
      <c r="N98" s="295">
        <v>173.26934016169128</v>
      </c>
      <c r="O98" s="295">
        <v>104.4106349195834</v>
      </c>
      <c r="P98" s="295">
        <v>104.4106349195834</v>
      </c>
      <c r="Q98" s="295">
        <v>104.4106349195834</v>
      </c>
      <c r="R98" s="295">
        <v>104.4106349195834</v>
      </c>
      <c r="S98" s="295">
        <v>104.4106349195834</v>
      </c>
      <c r="T98" s="295">
        <v>104.4106349195834</v>
      </c>
      <c r="U98" s="295">
        <v>104.4106349195834</v>
      </c>
      <c r="V98" s="295">
        <v>104.4106349195834</v>
      </c>
      <c r="W98" s="295">
        <v>104.4106349195834</v>
      </c>
      <c r="X98" s="295">
        <v>104.4106349195834</v>
      </c>
      <c r="Y98" s="295">
        <v>104.4106349195834</v>
      </c>
      <c r="Z98" s="295">
        <v>104.4106349195834</v>
      </c>
      <c r="AA98" s="306">
        <v>104.4106349195834</v>
      </c>
      <c r="AB98" s="153"/>
      <c r="AC98" s="153"/>
      <c r="AD98" s="153"/>
      <c r="AE98" s="153"/>
      <c r="AF98" s="153"/>
      <c r="AG98" s="153"/>
      <c r="AH98" s="153"/>
      <c r="AI98" s="153"/>
      <c r="AJ98" s="153"/>
      <c r="AK98" s="153"/>
      <c r="AL98" s="153"/>
      <c r="AM98" s="153"/>
      <c r="AN98" s="153"/>
      <c r="AO98" s="153"/>
      <c r="AP98" s="153"/>
      <c r="AQ98" s="153"/>
      <c r="AR98" s="153"/>
      <c r="AS98" s="153"/>
      <c r="AT98" s="153"/>
      <c r="AU98" s="153"/>
      <c r="AV98" s="153"/>
      <c r="AW98" s="153"/>
      <c r="AX98" s="153"/>
      <c r="AY98" s="153"/>
      <c r="AZ98" s="153"/>
      <c r="BA98" s="153"/>
      <c r="BB98" s="153"/>
      <c r="BC98" s="153"/>
      <c r="BD98" s="153"/>
      <c r="BE98" s="153"/>
      <c r="BF98" s="153"/>
      <c r="BG98" s="153"/>
      <c r="BH98" s="153"/>
      <c r="BI98" s="153"/>
      <c r="BJ98" s="153"/>
      <c r="BK98" s="153"/>
      <c r="BL98" s="153"/>
      <c r="BM98" s="153"/>
      <c r="BN98" s="153"/>
      <c r="BO98" s="153"/>
      <c r="BP98" s="153"/>
      <c r="BQ98" s="153"/>
      <c r="BR98" s="153"/>
      <c r="BS98" s="153"/>
      <c r="BT98" s="153"/>
      <c r="BU98" s="153"/>
      <c r="BV98" s="153"/>
      <c r="BW98" s="153"/>
      <c r="BX98" s="153"/>
      <c r="BY98" s="153"/>
      <c r="BZ98" s="153"/>
      <c r="CA98" s="153"/>
      <c r="CB98" s="153"/>
      <c r="CC98" s="153"/>
      <c r="CD98" s="153"/>
      <c r="CE98" s="153"/>
      <c r="CF98" s="153"/>
      <c r="CG98" s="153"/>
      <c r="CH98" s="153"/>
      <c r="CI98" s="153"/>
      <c r="CJ98" s="153"/>
      <c r="CK98" s="153"/>
      <c r="CL98" s="153"/>
      <c r="CM98" s="153"/>
      <c r="CN98" s="153"/>
      <c r="CO98" s="153"/>
      <c r="CP98" s="153"/>
      <c r="CQ98" s="153"/>
      <c r="CR98" s="153"/>
      <c r="CS98" s="153"/>
      <c r="CT98" s="153"/>
      <c r="CU98" s="153"/>
      <c r="CV98" s="153"/>
      <c r="CW98" s="153"/>
      <c r="CX98" s="153"/>
      <c r="CY98" s="153"/>
      <c r="CZ98" s="153"/>
      <c r="DA98" s="153"/>
      <c r="DB98" s="153"/>
      <c r="DC98" s="153"/>
      <c r="DD98" s="153"/>
      <c r="DE98" s="153"/>
      <c r="DF98" s="153"/>
      <c r="DG98" s="153"/>
      <c r="DH98" s="153"/>
      <c r="DI98" s="153"/>
      <c r="DJ98" s="153"/>
      <c r="DK98" s="153"/>
      <c r="DL98" s="153"/>
      <c r="DM98" s="153"/>
      <c r="DN98" s="153"/>
      <c r="DO98" s="153"/>
      <c r="DP98" s="153"/>
      <c r="DQ98" s="153"/>
      <c r="DR98" s="153"/>
      <c r="DS98" s="153"/>
      <c r="DT98" s="153"/>
      <c r="DU98" s="153"/>
      <c r="DV98" s="153"/>
      <c r="DW98" s="153"/>
      <c r="DX98" s="153"/>
      <c r="DY98" s="153"/>
      <c r="DZ98" s="153"/>
      <c r="EA98" s="153"/>
      <c r="EB98" s="153"/>
      <c r="EC98" s="153"/>
      <c r="ED98" s="153"/>
      <c r="EE98" s="153"/>
      <c r="EF98" s="153"/>
      <c r="EG98" s="153"/>
      <c r="EH98" s="153"/>
      <c r="EI98" s="153"/>
      <c r="EJ98" s="153"/>
      <c r="EK98" s="153"/>
      <c r="EL98" s="153"/>
      <c r="EM98" s="153"/>
      <c r="EN98" s="153"/>
      <c r="EO98" s="153"/>
      <c r="EP98" s="153"/>
      <c r="EQ98" s="153"/>
      <c r="ER98" s="153"/>
      <c r="ES98" s="153"/>
      <c r="ET98" s="153"/>
      <c r="EU98" s="153"/>
      <c r="EV98" s="153"/>
      <c r="EW98" s="153"/>
      <c r="EX98" s="153"/>
      <c r="EY98" s="153"/>
      <c r="EZ98" s="153"/>
      <c r="FA98" s="153"/>
      <c r="FB98" s="153"/>
    </row>
    <row r="99" spans="1:158" s="294" customFormat="1" x14ac:dyDescent="0.3">
      <c r="A99" s="305" t="s">
        <v>206</v>
      </c>
      <c r="B99" s="295">
        <v>5390.1918457906168</v>
      </c>
      <c r="C99" s="295">
        <v>5209.5604523262518</v>
      </c>
      <c r="D99" s="295">
        <v>5041.7265308590477</v>
      </c>
      <c r="E99" s="295">
        <v>5009.1374445316815</v>
      </c>
      <c r="F99" s="295">
        <v>4978.0007445519332</v>
      </c>
      <c r="G99" s="295">
        <v>3194.3665497921247</v>
      </c>
      <c r="H99" s="295">
        <v>2207.4521521420688</v>
      </c>
      <c r="I99" s="295">
        <v>2088.2063182542347</v>
      </c>
      <c r="J99" s="295">
        <v>2014.8031028959715</v>
      </c>
      <c r="K99" s="295">
        <v>7993.7832947117076</v>
      </c>
      <c r="L99" s="295">
        <v>7993.7832947117076</v>
      </c>
      <c r="M99" s="295">
        <v>2867.4742125651951</v>
      </c>
      <c r="N99" s="295">
        <v>2867.4742125651951</v>
      </c>
      <c r="O99" s="295">
        <v>4373.535396592134</v>
      </c>
      <c r="P99" s="295">
        <v>4373.535396592134</v>
      </c>
      <c r="Q99" s="295">
        <v>4373.535396592134</v>
      </c>
      <c r="R99" s="295">
        <v>4373.535396592134</v>
      </c>
      <c r="S99" s="295">
        <v>4373.535396592134</v>
      </c>
      <c r="T99" s="295">
        <v>4373.535396592134</v>
      </c>
      <c r="U99" s="295">
        <v>4373.535396592134</v>
      </c>
      <c r="V99" s="295">
        <v>4373.535396592134</v>
      </c>
      <c r="W99" s="295">
        <v>4373.535396592134</v>
      </c>
      <c r="X99" s="295">
        <v>4373.535396592134</v>
      </c>
      <c r="Y99" s="295">
        <v>4373.535396592134</v>
      </c>
      <c r="Z99" s="295">
        <v>4373.535396592134</v>
      </c>
      <c r="AA99" s="306">
        <v>4373.535396592134</v>
      </c>
      <c r="AB99" s="153"/>
      <c r="AC99" s="153"/>
      <c r="AD99" s="153"/>
      <c r="AE99" s="153"/>
      <c r="AF99" s="153"/>
      <c r="AG99" s="153"/>
      <c r="AH99" s="153"/>
      <c r="AI99" s="153"/>
      <c r="AJ99" s="153"/>
      <c r="AK99" s="153"/>
      <c r="AL99" s="153"/>
      <c r="AM99" s="153"/>
      <c r="AN99" s="153"/>
      <c r="AO99" s="153"/>
      <c r="AP99" s="153"/>
      <c r="AQ99" s="153"/>
      <c r="AR99" s="153"/>
      <c r="AS99" s="153"/>
      <c r="AT99" s="153"/>
      <c r="AU99" s="153"/>
      <c r="AV99" s="153"/>
      <c r="AW99" s="153"/>
      <c r="AX99" s="153"/>
      <c r="AY99" s="153"/>
      <c r="AZ99" s="153"/>
      <c r="BA99" s="153"/>
      <c r="BB99" s="153"/>
      <c r="BC99" s="153"/>
      <c r="BD99" s="153"/>
      <c r="BE99" s="153"/>
      <c r="BF99" s="153"/>
      <c r="BG99" s="153"/>
      <c r="BH99" s="153"/>
      <c r="BI99" s="153"/>
      <c r="BJ99" s="153"/>
      <c r="BK99" s="153"/>
      <c r="BL99" s="153"/>
      <c r="BM99" s="153"/>
      <c r="BN99" s="153"/>
      <c r="BO99" s="153"/>
      <c r="BP99" s="153"/>
      <c r="BQ99" s="153"/>
      <c r="BR99" s="153"/>
      <c r="BS99" s="153"/>
      <c r="BT99" s="153"/>
      <c r="BU99" s="153"/>
      <c r="BV99" s="153"/>
      <c r="BW99" s="153"/>
      <c r="BX99" s="153"/>
      <c r="BY99" s="153"/>
      <c r="BZ99" s="153"/>
      <c r="CA99" s="153"/>
      <c r="CB99" s="153"/>
      <c r="CC99" s="153"/>
      <c r="CD99" s="153"/>
      <c r="CE99" s="153"/>
      <c r="CF99" s="153"/>
      <c r="CG99" s="153"/>
      <c r="CH99" s="153"/>
      <c r="CI99" s="153"/>
      <c r="CJ99" s="153"/>
      <c r="CK99" s="153"/>
      <c r="CL99" s="153"/>
      <c r="CM99" s="153"/>
      <c r="CN99" s="153"/>
      <c r="CO99" s="153"/>
      <c r="CP99" s="153"/>
      <c r="CQ99" s="153"/>
      <c r="CR99" s="153"/>
      <c r="CS99" s="153"/>
      <c r="CT99" s="153"/>
      <c r="CU99" s="153"/>
      <c r="CV99" s="153"/>
      <c r="CW99" s="153"/>
      <c r="CX99" s="153"/>
      <c r="CY99" s="153"/>
      <c r="CZ99" s="153"/>
      <c r="DA99" s="153"/>
      <c r="DB99" s="153"/>
      <c r="DC99" s="153"/>
      <c r="DD99" s="153"/>
      <c r="DE99" s="153"/>
      <c r="DF99" s="153"/>
      <c r="DG99" s="153"/>
      <c r="DH99" s="153"/>
      <c r="DI99" s="153"/>
      <c r="DJ99" s="153"/>
      <c r="DK99" s="153"/>
      <c r="DL99" s="153"/>
      <c r="DM99" s="153"/>
      <c r="DN99" s="153"/>
      <c r="DO99" s="153"/>
      <c r="DP99" s="153"/>
      <c r="DQ99" s="153"/>
      <c r="DR99" s="153"/>
      <c r="DS99" s="153"/>
      <c r="DT99" s="153"/>
      <c r="DU99" s="153"/>
      <c r="DV99" s="153"/>
      <c r="DW99" s="153"/>
      <c r="DX99" s="153"/>
      <c r="DY99" s="153"/>
      <c r="DZ99" s="153"/>
      <c r="EA99" s="153"/>
      <c r="EB99" s="153"/>
      <c r="EC99" s="153"/>
      <c r="ED99" s="153"/>
      <c r="EE99" s="153"/>
      <c r="EF99" s="153"/>
      <c r="EG99" s="153"/>
      <c r="EH99" s="153"/>
      <c r="EI99" s="153"/>
      <c r="EJ99" s="153"/>
      <c r="EK99" s="153"/>
      <c r="EL99" s="153"/>
      <c r="EM99" s="153"/>
      <c r="EN99" s="153"/>
      <c r="EO99" s="153"/>
      <c r="EP99" s="153"/>
      <c r="EQ99" s="153"/>
      <c r="ER99" s="153"/>
      <c r="ES99" s="153"/>
      <c r="ET99" s="153"/>
      <c r="EU99" s="153"/>
      <c r="EV99" s="153"/>
      <c r="EW99" s="153"/>
      <c r="EX99" s="153"/>
      <c r="EY99" s="153"/>
      <c r="EZ99" s="153"/>
      <c r="FA99" s="153"/>
      <c r="FB99" s="153"/>
    </row>
    <row r="100" spans="1:158" s="294" customFormat="1" x14ac:dyDescent="0.3">
      <c r="A100" s="305" t="s">
        <v>207</v>
      </c>
      <c r="B100" s="295">
        <v>67.506136277784606</v>
      </c>
      <c r="C100" s="295">
        <v>65.026957284543201</v>
      </c>
      <c r="D100" s="295">
        <v>62.723424523850063</v>
      </c>
      <c r="E100" s="295">
        <v>61.293883191628041</v>
      </c>
      <c r="F100" s="295">
        <v>59.92805172513895</v>
      </c>
      <c r="G100" s="295">
        <v>46.010857395319995</v>
      </c>
      <c r="H100" s="295">
        <v>38.313041562316471</v>
      </c>
      <c r="I100" s="295">
        <v>27.064748538637556</v>
      </c>
      <c r="J100" s="295">
        <v>22.078585853130814</v>
      </c>
      <c r="K100" s="295">
        <v>315.52312020482839</v>
      </c>
      <c r="L100" s="295">
        <v>315.52312020482839</v>
      </c>
      <c r="M100" s="295">
        <v>1458.1485969949317</v>
      </c>
      <c r="N100" s="295">
        <v>1458.1485969949317</v>
      </c>
      <c r="O100" s="295">
        <v>307.4837785193746</v>
      </c>
      <c r="P100" s="295">
        <v>307.4837785193746</v>
      </c>
      <c r="Q100" s="295">
        <v>307.4837785193746</v>
      </c>
      <c r="R100" s="295">
        <v>307.4837785193746</v>
      </c>
      <c r="S100" s="295">
        <v>307.4837785193746</v>
      </c>
      <c r="T100" s="295">
        <v>307.4837785193746</v>
      </c>
      <c r="U100" s="295">
        <v>307.4837785193746</v>
      </c>
      <c r="V100" s="295">
        <v>307.4837785193746</v>
      </c>
      <c r="W100" s="295">
        <v>307.4837785193746</v>
      </c>
      <c r="X100" s="295">
        <v>307.4837785193746</v>
      </c>
      <c r="Y100" s="295">
        <v>307.4837785193746</v>
      </c>
      <c r="Z100" s="295">
        <v>307.4837785193746</v>
      </c>
      <c r="AA100" s="306">
        <v>307.4837785193746</v>
      </c>
      <c r="AB100" s="153"/>
      <c r="AC100" s="153"/>
      <c r="AD100" s="153"/>
      <c r="AE100" s="153"/>
      <c r="AF100" s="153"/>
      <c r="AG100" s="153"/>
      <c r="AH100" s="153"/>
      <c r="AI100" s="153"/>
      <c r="AJ100" s="153"/>
      <c r="AK100" s="153"/>
      <c r="AL100" s="153"/>
      <c r="AM100" s="153"/>
      <c r="AN100" s="153"/>
      <c r="AO100" s="153"/>
      <c r="AP100" s="153"/>
      <c r="AQ100" s="153"/>
      <c r="AR100" s="153"/>
      <c r="AS100" s="153"/>
      <c r="AT100" s="153"/>
      <c r="AU100" s="153"/>
      <c r="AV100" s="153"/>
      <c r="AW100" s="153"/>
      <c r="AX100" s="153"/>
      <c r="AY100" s="153"/>
      <c r="AZ100" s="153"/>
      <c r="BA100" s="153"/>
      <c r="BB100" s="153"/>
      <c r="BC100" s="153"/>
      <c r="BD100" s="153"/>
      <c r="BE100" s="153"/>
      <c r="BF100" s="153"/>
      <c r="BG100" s="153"/>
      <c r="BH100" s="153"/>
      <c r="BI100" s="153"/>
      <c r="BJ100" s="153"/>
      <c r="BK100" s="153"/>
      <c r="BL100" s="153"/>
      <c r="BM100" s="153"/>
      <c r="BN100" s="153"/>
      <c r="BO100" s="153"/>
      <c r="BP100" s="153"/>
      <c r="BQ100" s="153"/>
      <c r="BR100" s="153"/>
      <c r="BS100" s="153"/>
      <c r="BT100" s="153"/>
      <c r="BU100" s="153"/>
      <c r="BV100" s="153"/>
      <c r="BW100" s="153"/>
      <c r="BX100" s="153"/>
      <c r="BY100" s="153"/>
      <c r="BZ100" s="153"/>
      <c r="CA100" s="153"/>
      <c r="CB100" s="153"/>
      <c r="CC100" s="153"/>
      <c r="CD100" s="153"/>
      <c r="CE100" s="153"/>
      <c r="CF100" s="153"/>
      <c r="CG100" s="153"/>
      <c r="CH100" s="153"/>
      <c r="CI100" s="153"/>
      <c r="CJ100" s="153"/>
      <c r="CK100" s="153"/>
      <c r="CL100" s="153"/>
      <c r="CM100" s="153"/>
      <c r="CN100" s="153"/>
      <c r="CO100" s="153"/>
      <c r="CP100" s="153"/>
      <c r="CQ100" s="153"/>
      <c r="CR100" s="153"/>
      <c r="CS100" s="153"/>
      <c r="CT100" s="153"/>
      <c r="CU100" s="153"/>
      <c r="CV100" s="153"/>
      <c r="CW100" s="153"/>
      <c r="CX100" s="153"/>
      <c r="CY100" s="153"/>
      <c r="CZ100" s="153"/>
      <c r="DA100" s="153"/>
      <c r="DB100" s="153"/>
      <c r="DC100" s="153"/>
      <c r="DD100" s="153"/>
      <c r="DE100" s="153"/>
      <c r="DF100" s="153"/>
      <c r="DG100" s="153"/>
      <c r="DH100" s="153"/>
      <c r="DI100" s="153"/>
      <c r="DJ100" s="153"/>
      <c r="DK100" s="153"/>
      <c r="DL100" s="153"/>
      <c r="DM100" s="153"/>
      <c r="DN100" s="153"/>
      <c r="DO100" s="153"/>
      <c r="DP100" s="153"/>
      <c r="DQ100" s="153"/>
      <c r="DR100" s="153"/>
      <c r="DS100" s="153"/>
      <c r="DT100" s="153"/>
      <c r="DU100" s="153"/>
      <c r="DV100" s="153"/>
      <c r="DW100" s="153"/>
      <c r="DX100" s="153"/>
      <c r="DY100" s="153"/>
      <c r="DZ100" s="153"/>
      <c r="EA100" s="153"/>
      <c r="EB100" s="153"/>
      <c r="EC100" s="153"/>
      <c r="ED100" s="153"/>
      <c r="EE100" s="153"/>
      <c r="EF100" s="153"/>
      <c r="EG100" s="153"/>
      <c r="EH100" s="153"/>
      <c r="EI100" s="153"/>
      <c r="EJ100" s="153"/>
      <c r="EK100" s="153"/>
      <c r="EL100" s="153"/>
      <c r="EM100" s="153"/>
      <c r="EN100" s="153"/>
      <c r="EO100" s="153"/>
      <c r="EP100" s="153"/>
      <c r="EQ100" s="153"/>
      <c r="ER100" s="153"/>
      <c r="ES100" s="153"/>
      <c r="ET100" s="153"/>
      <c r="EU100" s="153"/>
      <c r="EV100" s="153"/>
      <c r="EW100" s="153"/>
      <c r="EX100" s="153"/>
      <c r="EY100" s="153"/>
      <c r="EZ100" s="153"/>
      <c r="FA100" s="153"/>
      <c r="FB100" s="153"/>
    </row>
    <row r="101" spans="1:158" s="294" customFormat="1" x14ac:dyDescent="0.3">
      <c r="A101" s="305" t="s">
        <v>208</v>
      </c>
      <c r="B101" s="295">
        <v>238.33333333333329</v>
      </c>
      <c r="C101" s="295">
        <v>238.33333333333329</v>
      </c>
      <c r="D101" s="295">
        <v>238.33333333333329</v>
      </c>
      <c r="E101" s="295">
        <v>238.33333333333329</v>
      </c>
      <c r="F101" s="295">
        <v>238.33333333333329</v>
      </c>
      <c r="G101" s="295">
        <v>238.33333333333331</v>
      </c>
      <c r="H101" s="295">
        <v>238.33333333333329</v>
      </c>
      <c r="I101" s="295">
        <v>238.33333333333329</v>
      </c>
      <c r="J101" s="295">
        <v>238.33333333333334</v>
      </c>
      <c r="K101" s="295">
        <v>238.33333333333331</v>
      </c>
      <c r="L101" s="295">
        <v>238.33333333333331</v>
      </c>
      <c r="M101" s="295">
        <v>238.33333333333329</v>
      </c>
      <c r="N101" s="295">
        <v>238.33333333333329</v>
      </c>
      <c r="O101" s="295">
        <v>238.33333333333334</v>
      </c>
      <c r="P101" s="295">
        <v>238.33333333333334</v>
      </c>
      <c r="Q101" s="295">
        <v>238.33333333333334</v>
      </c>
      <c r="R101" s="295">
        <v>238.33333333333334</v>
      </c>
      <c r="S101" s="295">
        <v>238.33333333333334</v>
      </c>
      <c r="T101" s="295">
        <v>238.33333333333334</v>
      </c>
      <c r="U101" s="295">
        <v>238.33333333333334</v>
      </c>
      <c r="V101" s="295">
        <v>238.33333333333334</v>
      </c>
      <c r="W101" s="295">
        <v>238.33333333333334</v>
      </c>
      <c r="X101" s="295">
        <v>238.33333333333334</v>
      </c>
      <c r="Y101" s="295">
        <v>238.33333333333334</v>
      </c>
      <c r="Z101" s="295">
        <v>238.33333333333334</v>
      </c>
      <c r="AA101" s="306">
        <v>238.33333333333334</v>
      </c>
      <c r="AB101" s="153"/>
      <c r="AC101" s="153"/>
      <c r="AD101" s="153"/>
      <c r="AE101" s="153"/>
      <c r="AF101" s="153"/>
      <c r="AG101" s="153"/>
      <c r="AH101" s="153"/>
      <c r="AI101" s="153"/>
      <c r="AJ101" s="153"/>
      <c r="AK101" s="153"/>
      <c r="AL101" s="153"/>
      <c r="AM101" s="153"/>
      <c r="AN101" s="153"/>
      <c r="AO101" s="153"/>
      <c r="AP101" s="153"/>
      <c r="AQ101" s="153"/>
      <c r="AR101" s="153"/>
      <c r="AS101" s="153"/>
      <c r="AT101" s="153"/>
      <c r="AU101" s="153"/>
      <c r="AV101" s="153"/>
      <c r="AW101" s="153"/>
      <c r="AX101" s="153"/>
      <c r="AY101" s="153"/>
      <c r="AZ101" s="153"/>
      <c r="BA101" s="153"/>
      <c r="BB101" s="153"/>
      <c r="BC101" s="153"/>
      <c r="BD101" s="153"/>
      <c r="BE101" s="153"/>
      <c r="BF101" s="153"/>
      <c r="BG101" s="153"/>
      <c r="BH101" s="153"/>
      <c r="BI101" s="153"/>
      <c r="BJ101" s="153"/>
      <c r="BK101" s="153"/>
      <c r="BL101" s="153"/>
      <c r="BM101" s="153"/>
      <c r="BN101" s="153"/>
      <c r="BO101" s="153"/>
      <c r="BP101" s="153"/>
      <c r="BQ101" s="153"/>
      <c r="BR101" s="153"/>
      <c r="BS101" s="153"/>
      <c r="BT101" s="153"/>
      <c r="BU101" s="153"/>
      <c r="BV101" s="153"/>
      <c r="BW101" s="153"/>
      <c r="BX101" s="153"/>
      <c r="BY101" s="153"/>
      <c r="BZ101" s="153"/>
      <c r="CA101" s="153"/>
      <c r="CB101" s="153"/>
      <c r="CC101" s="153"/>
      <c r="CD101" s="153"/>
      <c r="CE101" s="153"/>
      <c r="CF101" s="153"/>
      <c r="CG101" s="153"/>
      <c r="CH101" s="153"/>
      <c r="CI101" s="153"/>
      <c r="CJ101" s="153"/>
      <c r="CK101" s="153"/>
      <c r="CL101" s="153"/>
      <c r="CM101" s="153"/>
      <c r="CN101" s="153"/>
      <c r="CO101" s="153"/>
      <c r="CP101" s="153"/>
      <c r="CQ101" s="153"/>
      <c r="CR101" s="153"/>
      <c r="CS101" s="153"/>
      <c r="CT101" s="153"/>
      <c r="CU101" s="153"/>
      <c r="CV101" s="153"/>
      <c r="CW101" s="153"/>
      <c r="CX101" s="153"/>
      <c r="CY101" s="153"/>
      <c r="CZ101" s="153"/>
      <c r="DA101" s="153"/>
      <c r="DB101" s="153"/>
      <c r="DC101" s="153"/>
      <c r="DD101" s="153"/>
      <c r="DE101" s="153"/>
      <c r="DF101" s="153"/>
      <c r="DG101" s="153"/>
      <c r="DH101" s="153"/>
      <c r="DI101" s="153"/>
      <c r="DJ101" s="153"/>
      <c r="DK101" s="153"/>
      <c r="DL101" s="153"/>
      <c r="DM101" s="153"/>
      <c r="DN101" s="153"/>
      <c r="DO101" s="153"/>
      <c r="DP101" s="153"/>
      <c r="DQ101" s="153"/>
      <c r="DR101" s="153"/>
      <c r="DS101" s="153"/>
      <c r="DT101" s="153"/>
      <c r="DU101" s="153"/>
      <c r="DV101" s="153"/>
      <c r="DW101" s="153"/>
      <c r="DX101" s="153"/>
      <c r="DY101" s="153"/>
      <c r="DZ101" s="153"/>
      <c r="EA101" s="153"/>
      <c r="EB101" s="153"/>
      <c r="EC101" s="153"/>
      <c r="ED101" s="153"/>
      <c r="EE101" s="153"/>
      <c r="EF101" s="153"/>
      <c r="EG101" s="153"/>
      <c r="EH101" s="153"/>
      <c r="EI101" s="153"/>
      <c r="EJ101" s="153"/>
      <c r="EK101" s="153"/>
      <c r="EL101" s="153"/>
      <c r="EM101" s="153"/>
      <c r="EN101" s="153"/>
      <c r="EO101" s="153"/>
      <c r="EP101" s="153"/>
      <c r="EQ101" s="153"/>
      <c r="ER101" s="153"/>
      <c r="ES101" s="153"/>
      <c r="ET101" s="153"/>
      <c r="EU101" s="153"/>
      <c r="EV101" s="153"/>
      <c r="EW101" s="153"/>
      <c r="EX101" s="153"/>
      <c r="EY101" s="153"/>
      <c r="EZ101" s="153"/>
      <c r="FA101" s="153"/>
      <c r="FB101" s="153"/>
    </row>
    <row r="102" spans="1:158" s="294" customFormat="1" ht="15" thickBot="1" x14ac:dyDescent="0.35">
      <c r="A102" s="307" t="s">
        <v>209</v>
      </c>
      <c r="B102" s="308">
        <v>127.52037779820593</v>
      </c>
      <c r="C102" s="308">
        <v>127.52037779820593</v>
      </c>
      <c r="D102" s="308">
        <v>127.52037779820593</v>
      </c>
      <c r="E102" s="308">
        <v>127.52037779820593</v>
      </c>
      <c r="F102" s="308">
        <v>127.52037779820593</v>
      </c>
      <c r="G102" s="308">
        <v>121.98080841409174</v>
      </c>
      <c r="H102" s="308">
        <v>112.2296051409096</v>
      </c>
      <c r="I102" s="308">
        <v>117.38159670028323</v>
      </c>
      <c r="J102" s="308">
        <v>123.79490688200411</v>
      </c>
      <c r="K102" s="308">
        <v>135.71531116931467</v>
      </c>
      <c r="L102" s="308">
        <v>135.71531116931467</v>
      </c>
      <c r="M102" s="308">
        <v>137.86666666666665</v>
      </c>
      <c r="N102" s="308">
        <v>137.86666666666665</v>
      </c>
      <c r="O102" s="308">
        <v>127.7040586000216</v>
      </c>
      <c r="P102" s="308">
        <v>127.7040586000216</v>
      </c>
      <c r="Q102" s="308">
        <v>127.7040586000216</v>
      </c>
      <c r="R102" s="308">
        <v>127.7040586000216</v>
      </c>
      <c r="S102" s="308">
        <v>127.7040586000216</v>
      </c>
      <c r="T102" s="308">
        <v>127.7040586000216</v>
      </c>
      <c r="U102" s="308">
        <v>127.7040586000216</v>
      </c>
      <c r="V102" s="308">
        <v>127.7040586000216</v>
      </c>
      <c r="W102" s="308">
        <v>127.7040586000216</v>
      </c>
      <c r="X102" s="308">
        <v>127.7040586000216</v>
      </c>
      <c r="Y102" s="308">
        <v>127.7040586000216</v>
      </c>
      <c r="Z102" s="308">
        <v>127.7040586000216</v>
      </c>
      <c r="AA102" s="309">
        <v>127.7040586000216</v>
      </c>
      <c r="AB102" s="153"/>
      <c r="AC102" s="153"/>
      <c r="AD102" s="153"/>
      <c r="AE102" s="153"/>
      <c r="AF102" s="153"/>
      <c r="AG102" s="153"/>
      <c r="AH102" s="153"/>
      <c r="AI102" s="153"/>
      <c r="AJ102" s="153"/>
      <c r="AK102" s="153"/>
      <c r="AL102" s="153"/>
      <c r="AM102" s="153"/>
      <c r="AN102" s="153"/>
      <c r="AO102" s="153"/>
      <c r="AP102" s="153"/>
      <c r="AQ102" s="153"/>
      <c r="AR102" s="153"/>
      <c r="AS102" s="153"/>
      <c r="AT102" s="153"/>
      <c r="AU102" s="153"/>
      <c r="AV102" s="153"/>
      <c r="AW102" s="153"/>
      <c r="AX102" s="153"/>
      <c r="AY102" s="153"/>
      <c r="AZ102" s="153"/>
      <c r="BA102" s="153"/>
      <c r="BB102" s="153"/>
      <c r="BC102" s="153"/>
      <c r="BD102" s="153"/>
      <c r="BE102" s="153"/>
      <c r="BF102" s="153"/>
      <c r="BG102" s="153"/>
      <c r="BH102" s="153"/>
      <c r="BI102" s="153"/>
      <c r="BJ102" s="153"/>
      <c r="BK102" s="153"/>
      <c r="BL102" s="153"/>
      <c r="BM102" s="153"/>
      <c r="BN102" s="153"/>
      <c r="BO102" s="153"/>
      <c r="BP102" s="153"/>
      <c r="BQ102" s="153"/>
      <c r="BR102" s="153"/>
      <c r="BS102" s="153"/>
      <c r="BT102" s="153"/>
      <c r="BU102" s="153"/>
      <c r="BV102" s="153"/>
      <c r="BW102" s="153"/>
      <c r="BX102" s="153"/>
      <c r="BY102" s="153"/>
      <c r="BZ102" s="153"/>
      <c r="CA102" s="153"/>
      <c r="CB102" s="153"/>
      <c r="CC102" s="153"/>
      <c r="CD102" s="153"/>
      <c r="CE102" s="153"/>
      <c r="CF102" s="153"/>
      <c r="CG102" s="153"/>
      <c r="CH102" s="153"/>
      <c r="CI102" s="153"/>
      <c r="CJ102" s="153"/>
      <c r="CK102" s="153"/>
      <c r="CL102" s="153"/>
      <c r="CM102" s="153"/>
      <c r="CN102" s="153"/>
      <c r="CO102" s="153"/>
      <c r="CP102" s="153"/>
      <c r="CQ102" s="153"/>
      <c r="CR102" s="153"/>
      <c r="CS102" s="153"/>
      <c r="CT102" s="153"/>
      <c r="CU102" s="153"/>
      <c r="CV102" s="153"/>
      <c r="CW102" s="153"/>
      <c r="CX102" s="153"/>
      <c r="CY102" s="153"/>
      <c r="CZ102" s="153"/>
      <c r="DA102" s="153"/>
      <c r="DB102" s="153"/>
      <c r="DC102" s="153"/>
      <c r="DD102" s="153"/>
      <c r="DE102" s="153"/>
      <c r="DF102" s="153"/>
      <c r="DG102" s="153"/>
      <c r="DH102" s="153"/>
      <c r="DI102" s="153"/>
      <c r="DJ102" s="153"/>
      <c r="DK102" s="153"/>
      <c r="DL102" s="153"/>
      <c r="DM102" s="153"/>
      <c r="DN102" s="153"/>
      <c r="DO102" s="153"/>
      <c r="DP102" s="153"/>
      <c r="DQ102" s="153"/>
      <c r="DR102" s="153"/>
      <c r="DS102" s="153"/>
      <c r="DT102" s="153"/>
      <c r="DU102" s="153"/>
      <c r="DV102" s="153"/>
      <c r="DW102" s="153"/>
      <c r="DX102" s="153"/>
      <c r="DY102" s="153"/>
      <c r="DZ102" s="153"/>
      <c r="EA102" s="153"/>
      <c r="EB102" s="153"/>
      <c r="EC102" s="153"/>
      <c r="ED102" s="153"/>
      <c r="EE102" s="153"/>
      <c r="EF102" s="153"/>
      <c r="EG102" s="153"/>
      <c r="EH102" s="153"/>
      <c r="EI102" s="153"/>
      <c r="EJ102" s="153"/>
      <c r="EK102" s="153"/>
      <c r="EL102" s="153"/>
      <c r="EM102" s="153"/>
      <c r="EN102" s="153"/>
      <c r="EO102" s="153"/>
      <c r="EP102" s="153"/>
      <c r="EQ102" s="153"/>
      <c r="ER102" s="153"/>
      <c r="ES102" s="153"/>
      <c r="ET102" s="153"/>
      <c r="EU102" s="153"/>
      <c r="EV102" s="153"/>
      <c r="EW102" s="153"/>
      <c r="EX102" s="153"/>
      <c r="EY102" s="153"/>
      <c r="EZ102" s="153"/>
      <c r="FA102" s="153"/>
      <c r="FB102" s="153"/>
    </row>
    <row r="103" spans="1:158" s="291" customFormat="1" x14ac:dyDescent="0.3">
      <c r="A103" s="296" t="s">
        <v>210</v>
      </c>
      <c r="B103" s="297">
        <v>1150.1461140298813</v>
      </c>
      <c r="C103" s="297">
        <v>1202.5002869834402</v>
      </c>
      <c r="D103" s="297">
        <v>1251.1452427878776</v>
      </c>
      <c r="E103" s="297">
        <v>1233.4154359308509</v>
      </c>
      <c r="F103" s="297">
        <v>1216.4757871398217</v>
      </c>
      <c r="G103" s="297">
        <v>66.66033029669866</v>
      </c>
      <c r="H103" s="297">
        <v>53.27521590428789</v>
      </c>
      <c r="I103" s="297">
        <v>65.988452331815068</v>
      </c>
      <c r="J103" s="297">
        <v>90.225740765231734</v>
      </c>
      <c r="K103" s="297">
        <v>176.72840672599557</v>
      </c>
      <c r="L103" s="297">
        <v>176.72840672599557</v>
      </c>
      <c r="M103" s="297">
        <v>512.5749495868622</v>
      </c>
      <c r="N103" s="297">
        <v>512.5749495868622</v>
      </c>
      <c r="O103" s="297">
        <v>592.95687067658605</v>
      </c>
      <c r="P103" s="297">
        <v>592.95687067658605</v>
      </c>
      <c r="Q103" s="297">
        <v>592.95687067658605</v>
      </c>
      <c r="R103" s="297">
        <v>592.95687067658605</v>
      </c>
      <c r="S103" s="297">
        <v>592.95687067658605</v>
      </c>
      <c r="T103" s="297">
        <v>592.95687067658605</v>
      </c>
      <c r="U103" s="297">
        <v>592.95687067658605</v>
      </c>
      <c r="V103" s="297">
        <v>592.95687067658605</v>
      </c>
      <c r="W103" s="297">
        <v>592.95687067658605</v>
      </c>
      <c r="X103" s="297">
        <v>592.95687067658605</v>
      </c>
      <c r="Y103" s="297">
        <v>592.95687067658605</v>
      </c>
      <c r="Z103" s="297">
        <v>592.95687067658605</v>
      </c>
      <c r="AA103" s="310">
        <v>592.95687067658605</v>
      </c>
      <c r="AB103" s="153"/>
      <c r="AC103" s="153"/>
      <c r="AD103" s="153"/>
      <c r="AE103" s="153"/>
      <c r="AF103" s="153"/>
      <c r="AG103" s="153"/>
      <c r="AH103" s="153"/>
      <c r="AI103" s="153"/>
      <c r="AJ103" s="153"/>
      <c r="AK103" s="153"/>
      <c r="AL103" s="153"/>
      <c r="AM103" s="153"/>
      <c r="AN103" s="153"/>
      <c r="AO103" s="153"/>
      <c r="AP103" s="153"/>
      <c r="AQ103" s="153"/>
      <c r="AR103" s="153"/>
      <c r="AS103" s="153"/>
      <c r="AT103" s="153"/>
      <c r="AU103" s="153"/>
      <c r="AV103" s="153"/>
      <c r="AW103" s="153"/>
      <c r="AX103" s="153"/>
      <c r="AY103" s="153"/>
      <c r="AZ103" s="153"/>
      <c r="BA103" s="153"/>
      <c r="BB103" s="153"/>
      <c r="BC103" s="153"/>
      <c r="BD103" s="153"/>
      <c r="BE103" s="153"/>
      <c r="BF103" s="153"/>
      <c r="BG103" s="153"/>
      <c r="BH103" s="153"/>
      <c r="BI103" s="153"/>
      <c r="BJ103" s="153"/>
      <c r="BK103" s="153"/>
      <c r="BL103" s="153"/>
      <c r="BM103" s="153"/>
      <c r="BN103" s="153"/>
      <c r="BO103" s="153"/>
      <c r="BP103" s="153"/>
      <c r="BQ103" s="153"/>
      <c r="BR103" s="153"/>
      <c r="BS103" s="153"/>
      <c r="BT103" s="153"/>
      <c r="BU103" s="153"/>
      <c r="BV103" s="153"/>
      <c r="BW103" s="153"/>
      <c r="BX103" s="153"/>
      <c r="BY103" s="153"/>
      <c r="BZ103" s="153"/>
      <c r="CA103" s="153"/>
      <c r="CB103" s="153"/>
      <c r="CC103" s="153"/>
      <c r="CD103" s="153"/>
      <c r="CE103" s="153"/>
      <c r="CF103" s="153"/>
      <c r="CG103" s="153"/>
      <c r="CH103" s="153"/>
      <c r="CI103" s="153"/>
      <c r="CJ103" s="153"/>
      <c r="CK103" s="153"/>
      <c r="CL103" s="153"/>
      <c r="CM103" s="153"/>
      <c r="CN103" s="153"/>
      <c r="CO103" s="153"/>
      <c r="CP103" s="153"/>
      <c r="CQ103" s="153"/>
      <c r="CR103" s="153"/>
      <c r="CS103" s="153"/>
      <c r="CT103" s="153"/>
      <c r="CU103" s="153"/>
      <c r="CV103" s="153"/>
      <c r="CW103" s="153"/>
      <c r="CX103" s="153"/>
      <c r="CY103" s="153"/>
      <c r="CZ103" s="153"/>
      <c r="DA103" s="153"/>
      <c r="DB103" s="153"/>
      <c r="DC103" s="153"/>
      <c r="DD103" s="153"/>
      <c r="DE103" s="153"/>
      <c r="DF103" s="153"/>
      <c r="DG103" s="153"/>
      <c r="DH103" s="153"/>
      <c r="DI103" s="153"/>
      <c r="DJ103" s="153"/>
      <c r="DK103" s="153"/>
      <c r="DL103" s="153"/>
      <c r="DM103" s="153"/>
      <c r="DN103" s="153"/>
      <c r="DO103" s="153"/>
      <c r="DP103" s="153"/>
      <c r="DQ103" s="153"/>
      <c r="DR103" s="153"/>
      <c r="DS103" s="153"/>
      <c r="DT103" s="153"/>
      <c r="DU103" s="153"/>
      <c r="DV103" s="153"/>
      <c r="DW103" s="153"/>
      <c r="DX103" s="153"/>
      <c r="DY103" s="153"/>
      <c r="DZ103" s="153"/>
      <c r="EA103" s="153"/>
      <c r="EB103" s="153"/>
      <c r="EC103" s="153"/>
      <c r="ED103" s="153"/>
      <c r="EE103" s="153"/>
      <c r="EF103" s="153"/>
      <c r="EG103" s="153"/>
      <c r="EH103" s="153"/>
      <c r="EI103" s="153"/>
      <c r="EJ103" s="153"/>
      <c r="EK103" s="153"/>
      <c r="EL103" s="153"/>
      <c r="EM103" s="153"/>
      <c r="EN103" s="153"/>
      <c r="EO103" s="153"/>
      <c r="EP103" s="153"/>
      <c r="EQ103" s="153"/>
      <c r="ER103" s="153"/>
      <c r="ES103" s="153"/>
      <c r="ET103" s="153"/>
      <c r="EU103" s="153"/>
      <c r="EV103" s="153"/>
      <c r="EW103" s="153"/>
      <c r="EX103" s="153"/>
      <c r="EY103" s="153"/>
      <c r="EZ103" s="153"/>
      <c r="FA103" s="153"/>
      <c r="FB103" s="153"/>
    </row>
    <row r="104" spans="1:158" s="291" customFormat="1" x14ac:dyDescent="0.3">
      <c r="A104" s="298" t="s">
        <v>211</v>
      </c>
      <c r="B104" s="292">
        <v>9.4782523981675748</v>
      </c>
      <c r="C104" s="292">
        <v>9.5565499931362243</v>
      </c>
      <c r="D104" s="292">
        <v>9.6293003171690845</v>
      </c>
      <c r="E104" s="292">
        <v>9.7070261949455201</v>
      </c>
      <c r="F104" s="292">
        <v>9.7812880908660222</v>
      </c>
      <c r="G104" s="292">
        <v>24.392959323689439</v>
      </c>
      <c r="H104" s="292">
        <v>39.275371199458895</v>
      </c>
      <c r="I104" s="292">
        <v>59.161820903771179</v>
      </c>
      <c r="J104" s="292">
        <v>136.29745890204907</v>
      </c>
      <c r="K104" s="292">
        <v>160.47118322888733</v>
      </c>
      <c r="L104" s="292">
        <v>160.47118322888733</v>
      </c>
      <c r="M104" s="292">
        <v>283.23678895970966</v>
      </c>
      <c r="N104" s="292">
        <v>283.23678895970966</v>
      </c>
      <c r="O104" s="292">
        <v>91.89969013080362</v>
      </c>
      <c r="P104" s="292">
        <v>91.89969013080362</v>
      </c>
      <c r="Q104" s="292">
        <v>91.89969013080362</v>
      </c>
      <c r="R104" s="292">
        <v>91.89969013080362</v>
      </c>
      <c r="S104" s="292">
        <v>91.89969013080362</v>
      </c>
      <c r="T104" s="292">
        <v>91.89969013080362</v>
      </c>
      <c r="U104" s="292">
        <v>91.89969013080362</v>
      </c>
      <c r="V104" s="292">
        <v>91.89969013080362</v>
      </c>
      <c r="W104" s="292">
        <v>91.89969013080362</v>
      </c>
      <c r="X104" s="292">
        <v>91.89969013080362</v>
      </c>
      <c r="Y104" s="292">
        <v>91.89969013080362</v>
      </c>
      <c r="Z104" s="292">
        <v>91.89969013080362</v>
      </c>
      <c r="AA104" s="311">
        <v>91.89969013080362</v>
      </c>
      <c r="AB104" s="153"/>
      <c r="AC104" s="153"/>
      <c r="AD104" s="153"/>
      <c r="AE104" s="153"/>
      <c r="AF104" s="153"/>
      <c r="AG104" s="153"/>
      <c r="AH104" s="153"/>
      <c r="AI104" s="153"/>
      <c r="AJ104" s="153"/>
      <c r="AK104" s="153"/>
      <c r="AL104" s="153"/>
      <c r="AM104" s="153"/>
      <c r="AN104" s="153"/>
      <c r="AO104" s="153"/>
      <c r="AP104" s="153"/>
      <c r="AQ104" s="153"/>
      <c r="AR104" s="153"/>
      <c r="AS104" s="153"/>
      <c r="AT104" s="153"/>
      <c r="AU104" s="153"/>
      <c r="AV104" s="153"/>
      <c r="AW104" s="153"/>
      <c r="AX104" s="153"/>
      <c r="AY104" s="153"/>
      <c r="AZ104" s="153"/>
      <c r="BA104" s="153"/>
      <c r="BB104" s="153"/>
      <c r="BC104" s="153"/>
      <c r="BD104" s="153"/>
      <c r="BE104" s="153"/>
      <c r="BF104" s="153"/>
      <c r="BG104" s="153"/>
      <c r="BH104" s="153"/>
      <c r="BI104" s="153"/>
      <c r="BJ104" s="153"/>
      <c r="BK104" s="153"/>
      <c r="BL104" s="153"/>
      <c r="BM104" s="153"/>
      <c r="BN104" s="153"/>
      <c r="BO104" s="153"/>
      <c r="BP104" s="153"/>
      <c r="BQ104" s="153"/>
      <c r="BR104" s="153"/>
      <c r="BS104" s="153"/>
      <c r="BT104" s="153"/>
      <c r="BU104" s="153"/>
      <c r="BV104" s="153"/>
      <c r="BW104" s="153"/>
      <c r="BX104" s="153"/>
      <c r="BY104" s="153"/>
      <c r="BZ104" s="153"/>
      <c r="CA104" s="153"/>
      <c r="CB104" s="153"/>
      <c r="CC104" s="153"/>
      <c r="CD104" s="153"/>
      <c r="CE104" s="153"/>
      <c r="CF104" s="153"/>
      <c r="CG104" s="153"/>
      <c r="CH104" s="153"/>
      <c r="CI104" s="153"/>
      <c r="CJ104" s="153"/>
      <c r="CK104" s="153"/>
      <c r="CL104" s="153"/>
      <c r="CM104" s="153"/>
      <c r="CN104" s="153"/>
      <c r="CO104" s="153"/>
      <c r="CP104" s="153"/>
      <c r="CQ104" s="153"/>
      <c r="CR104" s="153"/>
      <c r="CS104" s="153"/>
      <c r="CT104" s="153"/>
      <c r="CU104" s="153"/>
      <c r="CV104" s="153"/>
      <c r="CW104" s="153"/>
      <c r="CX104" s="153"/>
      <c r="CY104" s="153"/>
      <c r="CZ104" s="153"/>
      <c r="DA104" s="153"/>
      <c r="DB104" s="153"/>
      <c r="DC104" s="153"/>
      <c r="DD104" s="153"/>
      <c r="DE104" s="153"/>
      <c r="DF104" s="153"/>
      <c r="DG104" s="153"/>
      <c r="DH104" s="153"/>
      <c r="DI104" s="153"/>
      <c r="DJ104" s="153"/>
      <c r="DK104" s="153"/>
      <c r="DL104" s="153"/>
      <c r="DM104" s="153"/>
      <c r="DN104" s="153"/>
      <c r="DO104" s="153"/>
      <c r="DP104" s="153"/>
      <c r="DQ104" s="153"/>
      <c r="DR104" s="153"/>
      <c r="DS104" s="153"/>
      <c r="DT104" s="153"/>
      <c r="DU104" s="153"/>
      <c r="DV104" s="153"/>
      <c r="DW104" s="153"/>
      <c r="DX104" s="153"/>
      <c r="DY104" s="153"/>
      <c r="DZ104" s="153"/>
      <c r="EA104" s="153"/>
      <c r="EB104" s="153"/>
      <c r="EC104" s="153"/>
      <c r="ED104" s="153"/>
      <c r="EE104" s="153"/>
      <c r="EF104" s="153"/>
      <c r="EG104" s="153"/>
      <c r="EH104" s="153"/>
      <c r="EI104" s="153"/>
      <c r="EJ104" s="153"/>
      <c r="EK104" s="153"/>
      <c r="EL104" s="153"/>
      <c r="EM104" s="153"/>
      <c r="EN104" s="153"/>
      <c r="EO104" s="153"/>
      <c r="EP104" s="153"/>
      <c r="EQ104" s="153"/>
      <c r="ER104" s="153"/>
      <c r="ES104" s="153"/>
      <c r="ET104" s="153"/>
      <c r="EU104" s="153"/>
      <c r="EV104" s="153"/>
      <c r="EW104" s="153"/>
      <c r="EX104" s="153"/>
      <c r="EY104" s="153"/>
      <c r="EZ104" s="153"/>
      <c r="FA104" s="153"/>
      <c r="FB104" s="153"/>
    </row>
    <row r="105" spans="1:158" s="291" customFormat="1" x14ac:dyDescent="0.3">
      <c r="A105" s="298" t="s">
        <v>212</v>
      </c>
      <c r="B105" s="292">
        <v>866.593183963765</v>
      </c>
      <c r="C105" s="292">
        <v>838.9012459233553</v>
      </c>
      <c r="D105" s="292">
        <v>813.17124149161941</v>
      </c>
      <c r="E105" s="292">
        <v>817.97505681570067</v>
      </c>
      <c r="F105" s="292">
        <v>822.56478219190444</v>
      </c>
      <c r="G105" s="292">
        <v>427.36638935772697</v>
      </c>
      <c r="H105" s="292">
        <v>377.07908749529901</v>
      </c>
      <c r="I105" s="292">
        <v>475.19170571686078</v>
      </c>
      <c r="J105" s="292">
        <v>665.37945851562233</v>
      </c>
      <c r="K105" s="292">
        <v>571.20710611491916</v>
      </c>
      <c r="L105" s="292">
        <v>571.20710611491916</v>
      </c>
      <c r="M105" s="292">
        <v>888.68974375247933</v>
      </c>
      <c r="N105" s="292">
        <v>888.68974375247933</v>
      </c>
      <c r="O105" s="292">
        <v>694.15506547743462</v>
      </c>
      <c r="P105" s="292">
        <v>694.15506547743462</v>
      </c>
      <c r="Q105" s="292">
        <v>694.15506547743462</v>
      </c>
      <c r="R105" s="292">
        <v>694.15506547743462</v>
      </c>
      <c r="S105" s="292">
        <v>694.15506547743462</v>
      </c>
      <c r="T105" s="292">
        <v>694.15506547743462</v>
      </c>
      <c r="U105" s="292">
        <v>694.15506547743462</v>
      </c>
      <c r="V105" s="292">
        <v>694.15506547743462</v>
      </c>
      <c r="W105" s="292">
        <v>694.15506547743462</v>
      </c>
      <c r="X105" s="292">
        <v>694.15506547743462</v>
      </c>
      <c r="Y105" s="292">
        <v>694.15506547743462</v>
      </c>
      <c r="Z105" s="292">
        <v>694.15506547743462</v>
      </c>
      <c r="AA105" s="311">
        <v>694.15506547743462</v>
      </c>
      <c r="AB105" s="153"/>
      <c r="AC105" s="153"/>
      <c r="AD105" s="153"/>
      <c r="AE105" s="153"/>
      <c r="AF105" s="153"/>
      <c r="AG105" s="153"/>
      <c r="AH105" s="153"/>
      <c r="AI105" s="153"/>
      <c r="AJ105" s="153"/>
      <c r="AK105" s="153"/>
      <c r="AL105" s="153"/>
      <c r="AM105" s="153"/>
      <c r="AN105" s="153"/>
      <c r="AO105" s="153"/>
      <c r="AP105" s="153"/>
      <c r="AQ105" s="153"/>
      <c r="AR105" s="153"/>
      <c r="AS105" s="153"/>
      <c r="AT105" s="153"/>
      <c r="AU105" s="153"/>
      <c r="AV105" s="153"/>
      <c r="AW105" s="153"/>
      <c r="AX105" s="153"/>
      <c r="AY105" s="153"/>
      <c r="AZ105" s="153"/>
      <c r="BA105" s="153"/>
      <c r="BB105" s="153"/>
      <c r="BC105" s="153"/>
      <c r="BD105" s="153"/>
      <c r="BE105" s="153"/>
      <c r="BF105" s="153"/>
      <c r="BG105" s="153"/>
      <c r="BH105" s="153"/>
      <c r="BI105" s="153"/>
      <c r="BJ105" s="153"/>
      <c r="BK105" s="153"/>
      <c r="BL105" s="153"/>
      <c r="BM105" s="153"/>
      <c r="BN105" s="153"/>
      <c r="BO105" s="153"/>
      <c r="BP105" s="153"/>
      <c r="BQ105" s="153"/>
      <c r="BR105" s="153"/>
      <c r="BS105" s="153"/>
      <c r="BT105" s="153"/>
      <c r="BU105" s="153"/>
      <c r="BV105" s="153"/>
      <c r="BW105" s="153"/>
      <c r="BX105" s="153"/>
      <c r="BY105" s="153"/>
      <c r="BZ105" s="153"/>
      <c r="CA105" s="153"/>
      <c r="CB105" s="153"/>
      <c r="CC105" s="153"/>
      <c r="CD105" s="153"/>
      <c r="CE105" s="153"/>
      <c r="CF105" s="153"/>
      <c r="CG105" s="153"/>
      <c r="CH105" s="153"/>
      <c r="CI105" s="153"/>
      <c r="CJ105" s="153"/>
      <c r="CK105" s="153"/>
      <c r="CL105" s="153"/>
      <c r="CM105" s="153"/>
      <c r="CN105" s="153"/>
      <c r="CO105" s="153"/>
      <c r="CP105" s="153"/>
      <c r="CQ105" s="153"/>
      <c r="CR105" s="153"/>
      <c r="CS105" s="153"/>
      <c r="CT105" s="153"/>
      <c r="CU105" s="153"/>
      <c r="CV105" s="153"/>
      <c r="CW105" s="153"/>
      <c r="CX105" s="153"/>
      <c r="CY105" s="153"/>
      <c r="CZ105" s="153"/>
      <c r="DA105" s="153"/>
      <c r="DB105" s="153"/>
      <c r="DC105" s="153"/>
      <c r="DD105" s="153"/>
      <c r="DE105" s="153"/>
      <c r="DF105" s="153"/>
      <c r="DG105" s="153"/>
      <c r="DH105" s="153"/>
      <c r="DI105" s="153"/>
      <c r="DJ105" s="153"/>
      <c r="DK105" s="153"/>
      <c r="DL105" s="153"/>
      <c r="DM105" s="153"/>
      <c r="DN105" s="153"/>
      <c r="DO105" s="153"/>
      <c r="DP105" s="153"/>
      <c r="DQ105" s="153"/>
      <c r="DR105" s="153"/>
      <c r="DS105" s="153"/>
      <c r="DT105" s="153"/>
      <c r="DU105" s="153"/>
      <c r="DV105" s="153"/>
      <c r="DW105" s="153"/>
      <c r="DX105" s="153"/>
      <c r="DY105" s="153"/>
      <c r="DZ105" s="153"/>
      <c r="EA105" s="153"/>
      <c r="EB105" s="153"/>
      <c r="EC105" s="153"/>
      <c r="ED105" s="153"/>
      <c r="EE105" s="153"/>
      <c r="EF105" s="153"/>
      <c r="EG105" s="153"/>
      <c r="EH105" s="153"/>
      <c r="EI105" s="153"/>
      <c r="EJ105" s="153"/>
      <c r="EK105" s="153"/>
      <c r="EL105" s="153"/>
      <c r="EM105" s="153"/>
      <c r="EN105" s="153"/>
      <c r="EO105" s="153"/>
      <c r="EP105" s="153"/>
      <c r="EQ105" s="153"/>
      <c r="ER105" s="153"/>
      <c r="ES105" s="153"/>
      <c r="ET105" s="153"/>
      <c r="EU105" s="153"/>
      <c r="EV105" s="153"/>
      <c r="EW105" s="153"/>
      <c r="EX105" s="153"/>
      <c r="EY105" s="153"/>
      <c r="EZ105" s="153"/>
      <c r="FA105" s="153"/>
      <c r="FB105" s="153"/>
    </row>
    <row r="106" spans="1:158" s="291" customFormat="1" x14ac:dyDescent="0.3">
      <c r="A106" s="298" t="s">
        <v>213</v>
      </c>
      <c r="B106" s="292">
        <v>826.47596798783979</v>
      </c>
      <c r="C106" s="292">
        <v>797.83496889627543</v>
      </c>
      <c r="D106" s="292">
        <v>771.2231430110694</v>
      </c>
      <c r="E106" s="292">
        <v>782.88162125517636</v>
      </c>
      <c r="F106" s="292">
        <v>794.02052020007613</v>
      </c>
      <c r="G106" s="292">
        <v>679.41329821096622</v>
      </c>
      <c r="H106" s="292">
        <v>648.49447308560502</v>
      </c>
      <c r="I106" s="292">
        <v>517.95926852825801</v>
      </c>
      <c r="J106" s="292">
        <v>425.58362878261647</v>
      </c>
      <c r="K106" s="292">
        <v>1049.5622172723265</v>
      </c>
      <c r="L106" s="292">
        <v>1049.5622172723265</v>
      </c>
      <c r="M106" s="292">
        <v>224.67337354139298</v>
      </c>
      <c r="N106" s="292">
        <v>224.67337354139298</v>
      </c>
      <c r="O106" s="292">
        <v>676.33523627579405</v>
      </c>
      <c r="P106" s="292">
        <v>676.33523627579405</v>
      </c>
      <c r="Q106" s="292">
        <v>676.33523627579405</v>
      </c>
      <c r="R106" s="292">
        <v>676.33523627579405</v>
      </c>
      <c r="S106" s="292">
        <v>676.33523627579405</v>
      </c>
      <c r="T106" s="292">
        <v>676.33523627579405</v>
      </c>
      <c r="U106" s="292">
        <v>676.33523627579405</v>
      </c>
      <c r="V106" s="292">
        <v>676.33523627579405</v>
      </c>
      <c r="W106" s="292">
        <v>676.33523627579405</v>
      </c>
      <c r="X106" s="292">
        <v>676.33523627579405</v>
      </c>
      <c r="Y106" s="292">
        <v>676.33523627579405</v>
      </c>
      <c r="Z106" s="292">
        <v>676.33523627579405</v>
      </c>
      <c r="AA106" s="311">
        <v>676.33523627579405</v>
      </c>
      <c r="AB106" s="153"/>
      <c r="AC106" s="153"/>
      <c r="AD106" s="153"/>
      <c r="AE106" s="153"/>
      <c r="AF106" s="153"/>
      <c r="AG106" s="153"/>
      <c r="AH106" s="153"/>
      <c r="AI106" s="153"/>
      <c r="AJ106" s="153"/>
      <c r="AK106" s="153"/>
      <c r="AL106" s="153"/>
      <c r="AM106" s="153"/>
      <c r="AN106" s="153"/>
      <c r="AO106" s="153"/>
      <c r="AP106" s="153"/>
      <c r="AQ106" s="153"/>
      <c r="AR106" s="153"/>
      <c r="AS106" s="153"/>
      <c r="AT106" s="153"/>
      <c r="AU106" s="153"/>
      <c r="AV106" s="153"/>
      <c r="AW106" s="153"/>
      <c r="AX106" s="153"/>
      <c r="AY106" s="153"/>
      <c r="AZ106" s="153"/>
      <c r="BA106" s="153"/>
      <c r="BB106" s="153"/>
      <c r="BC106" s="153"/>
      <c r="BD106" s="153"/>
      <c r="BE106" s="153"/>
      <c r="BF106" s="153"/>
      <c r="BG106" s="153"/>
      <c r="BH106" s="153"/>
      <c r="BI106" s="153"/>
      <c r="BJ106" s="153"/>
      <c r="BK106" s="153"/>
      <c r="BL106" s="153"/>
      <c r="BM106" s="153"/>
      <c r="BN106" s="153"/>
      <c r="BO106" s="153"/>
      <c r="BP106" s="153"/>
      <c r="BQ106" s="153"/>
      <c r="BR106" s="153"/>
      <c r="BS106" s="153"/>
      <c r="BT106" s="153"/>
      <c r="BU106" s="153"/>
      <c r="BV106" s="153"/>
      <c r="BW106" s="153"/>
      <c r="BX106" s="153"/>
      <c r="BY106" s="153"/>
      <c r="BZ106" s="153"/>
      <c r="CA106" s="153"/>
      <c r="CB106" s="153"/>
      <c r="CC106" s="153"/>
      <c r="CD106" s="153"/>
      <c r="CE106" s="153"/>
      <c r="CF106" s="153"/>
      <c r="CG106" s="153"/>
      <c r="CH106" s="153"/>
      <c r="CI106" s="153"/>
      <c r="CJ106" s="153"/>
      <c r="CK106" s="153"/>
      <c r="CL106" s="153"/>
      <c r="CM106" s="153"/>
      <c r="CN106" s="153"/>
      <c r="CO106" s="153"/>
      <c r="CP106" s="153"/>
      <c r="CQ106" s="153"/>
      <c r="CR106" s="153"/>
      <c r="CS106" s="153"/>
      <c r="CT106" s="153"/>
      <c r="CU106" s="153"/>
      <c r="CV106" s="153"/>
      <c r="CW106" s="153"/>
      <c r="CX106" s="153"/>
      <c r="CY106" s="153"/>
      <c r="CZ106" s="153"/>
      <c r="DA106" s="153"/>
      <c r="DB106" s="153"/>
      <c r="DC106" s="153"/>
      <c r="DD106" s="153"/>
      <c r="DE106" s="153"/>
      <c r="DF106" s="153"/>
      <c r="DG106" s="153"/>
      <c r="DH106" s="153"/>
      <c r="DI106" s="153"/>
      <c r="DJ106" s="153"/>
      <c r="DK106" s="153"/>
      <c r="DL106" s="153"/>
      <c r="DM106" s="153"/>
      <c r="DN106" s="153"/>
      <c r="DO106" s="153"/>
      <c r="DP106" s="153"/>
      <c r="DQ106" s="153"/>
      <c r="DR106" s="153"/>
      <c r="DS106" s="153"/>
      <c r="DT106" s="153"/>
      <c r="DU106" s="153"/>
      <c r="DV106" s="153"/>
      <c r="DW106" s="153"/>
      <c r="DX106" s="153"/>
      <c r="DY106" s="153"/>
      <c r="DZ106" s="153"/>
      <c r="EA106" s="153"/>
      <c r="EB106" s="153"/>
      <c r="EC106" s="153"/>
      <c r="ED106" s="153"/>
      <c r="EE106" s="153"/>
      <c r="EF106" s="153"/>
      <c r="EG106" s="153"/>
      <c r="EH106" s="153"/>
      <c r="EI106" s="153"/>
      <c r="EJ106" s="153"/>
      <c r="EK106" s="153"/>
      <c r="EL106" s="153"/>
      <c r="EM106" s="153"/>
      <c r="EN106" s="153"/>
      <c r="EO106" s="153"/>
      <c r="EP106" s="153"/>
      <c r="EQ106" s="153"/>
      <c r="ER106" s="153"/>
      <c r="ES106" s="153"/>
      <c r="ET106" s="153"/>
      <c r="EU106" s="153"/>
      <c r="EV106" s="153"/>
      <c r="EW106" s="153"/>
      <c r="EX106" s="153"/>
      <c r="EY106" s="153"/>
      <c r="EZ106" s="153"/>
      <c r="FA106" s="153"/>
      <c r="FB106" s="153"/>
    </row>
    <row r="107" spans="1:158" s="291" customFormat="1" x14ac:dyDescent="0.3">
      <c r="A107" s="298" t="s">
        <v>214</v>
      </c>
      <c r="B107" s="292">
        <v>165.25447051246459</v>
      </c>
      <c r="C107" s="292">
        <v>160.46233524073318</v>
      </c>
      <c r="D107" s="292">
        <v>156.00971579607031</v>
      </c>
      <c r="E107" s="292">
        <v>155.05621018387714</v>
      </c>
      <c r="F107" s="292">
        <v>154.14519912092086</v>
      </c>
      <c r="G107" s="292">
        <v>195.05908558491572</v>
      </c>
      <c r="H107" s="292">
        <v>207.8573146005516</v>
      </c>
      <c r="I107" s="292">
        <v>255.70981698523639</v>
      </c>
      <c r="J107" s="292">
        <v>332.25384077422677</v>
      </c>
      <c r="K107" s="292">
        <v>367.52847272091151</v>
      </c>
      <c r="L107" s="292">
        <v>367.52847272091151</v>
      </c>
      <c r="M107" s="292">
        <v>1383.2355951085206</v>
      </c>
      <c r="N107" s="292">
        <v>1383.2355951085206</v>
      </c>
      <c r="O107" s="292">
        <v>406.41047111214317</v>
      </c>
      <c r="P107" s="292">
        <v>406.41047111214317</v>
      </c>
      <c r="Q107" s="292">
        <v>406.41047111214317</v>
      </c>
      <c r="R107" s="292">
        <v>406.41047111214317</v>
      </c>
      <c r="S107" s="292">
        <v>406.41047111214317</v>
      </c>
      <c r="T107" s="292">
        <v>406.41047111214317</v>
      </c>
      <c r="U107" s="292">
        <v>406.41047111214317</v>
      </c>
      <c r="V107" s="292">
        <v>406.41047111214317</v>
      </c>
      <c r="W107" s="292">
        <v>406.41047111214317</v>
      </c>
      <c r="X107" s="292">
        <v>406.41047111214317</v>
      </c>
      <c r="Y107" s="292">
        <v>406.41047111214317</v>
      </c>
      <c r="Z107" s="292">
        <v>406.41047111214317</v>
      </c>
      <c r="AA107" s="311">
        <v>406.41047111214317</v>
      </c>
      <c r="AB107" s="153"/>
      <c r="AC107" s="153"/>
      <c r="AD107" s="153"/>
      <c r="AE107" s="153"/>
      <c r="AF107" s="153"/>
      <c r="AG107" s="153"/>
      <c r="AH107" s="153"/>
      <c r="AI107" s="153"/>
      <c r="AJ107" s="153"/>
      <c r="AK107" s="153"/>
      <c r="AL107" s="153"/>
      <c r="AM107" s="153"/>
      <c r="AN107" s="153"/>
      <c r="AO107" s="153"/>
      <c r="AP107" s="153"/>
      <c r="AQ107" s="153"/>
      <c r="AR107" s="153"/>
      <c r="AS107" s="153"/>
      <c r="AT107" s="153"/>
      <c r="AU107" s="153"/>
      <c r="AV107" s="153"/>
      <c r="AW107" s="153"/>
      <c r="AX107" s="153"/>
      <c r="AY107" s="153"/>
      <c r="AZ107" s="153"/>
      <c r="BA107" s="153"/>
      <c r="BB107" s="153"/>
      <c r="BC107" s="153"/>
      <c r="BD107" s="153"/>
      <c r="BE107" s="153"/>
      <c r="BF107" s="153"/>
      <c r="BG107" s="153"/>
      <c r="BH107" s="153"/>
      <c r="BI107" s="153"/>
      <c r="BJ107" s="153"/>
      <c r="BK107" s="153"/>
      <c r="BL107" s="153"/>
      <c r="BM107" s="153"/>
      <c r="BN107" s="153"/>
      <c r="BO107" s="153"/>
      <c r="BP107" s="153"/>
      <c r="BQ107" s="153"/>
      <c r="BR107" s="153"/>
      <c r="BS107" s="153"/>
      <c r="BT107" s="153"/>
      <c r="BU107" s="153"/>
      <c r="BV107" s="153"/>
      <c r="BW107" s="153"/>
      <c r="BX107" s="153"/>
      <c r="BY107" s="153"/>
      <c r="BZ107" s="153"/>
      <c r="CA107" s="153"/>
      <c r="CB107" s="153"/>
      <c r="CC107" s="153"/>
      <c r="CD107" s="153"/>
      <c r="CE107" s="153"/>
      <c r="CF107" s="153"/>
      <c r="CG107" s="153"/>
      <c r="CH107" s="153"/>
      <c r="CI107" s="153"/>
      <c r="CJ107" s="153"/>
      <c r="CK107" s="153"/>
      <c r="CL107" s="153"/>
      <c r="CM107" s="153"/>
      <c r="CN107" s="153"/>
      <c r="CO107" s="153"/>
      <c r="CP107" s="153"/>
      <c r="CQ107" s="153"/>
      <c r="CR107" s="153"/>
      <c r="CS107" s="153"/>
      <c r="CT107" s="153"/>
      <c r="CU107" s="153"/>
      <c r="CV107" s="153"/>
      <c r="CW107" s="153"/>
      <c r="CX107" s="153"/>
      <c r="CY107" s="153"/>
      <c r="CZ107" s="153"/>
      <c r="DA107" s="153"/>
      <c r="DB107" s="153"/>
      <c r="DC107" s="153"/>
      <c r="DD107" s="153"/>
      <c r="DE107" s="153"/>
      <c r="DF107" s="153"/>
      <c r="DG107" s="153"/>
      <c r="DH107" s="153"/>
      <c r="DI107" s="153"/>
      <c r="DJ107" s="153"/>
      <c r="DK107" s="153"/>
      <c r="DL107" s="153"/>
      <c r="DM107" s="153"/>
      <c r="DN107" s="153"/>
      <c r="DO107" s="153"/>
      <c r="DP107" s="153"/>
      <c r="DQ107" s="153"/>
      <c r="DR107" s="153"/>
      <c r="DS107" s="153"/>
      <c r="DT107" s="153"/>
      <c r="DU107" s="153"/>
      <c r="DV107" s="153"/>
      <c r="DW107" s="153"/>
      <c r="DX107" s="153"/>
      <c r="DY107" s="153"/>
      <c r="DZ107" s="153"/>
      <c r="EA107" s="153"/>
      <c r="EB107" s="153"/>
      <c r="EC107" s="153"/>
      <c r="ED107" s="153"/>
      <c r="EE107" s="153"/>
      <c r="EF107" s="153"/>
      <c r="EG107" s="153"/>
      <c r="EH107" s="153"/>
      <c r="EI107" s="153"/>
      <c r="EJ107" s="153"/>
      <c r="EK107" s="153"/>
      <c r="EL107" s="153"/>
      <c r="EM107" s="153"/>
      <c r="EN107" s="153"/>
      <c r="EO107" s="153"/>
      <c r="EP107" s="153"/>
      <c r="EQ107" s="153"/>
      <c r="ER107" s="153"/>
      <c r="ES107" s="153"/>
      <c r="ET107" s="153"/>
      <c r="EU107" s="153"/>
      <c r="EV107" s="153"/>
      <c r="EW107" s="153"/>
      <c r="EX107" s="153"/>
      <c r="EY107" s="153"/>
      <c r="EZ107" s="153"/>
      <c r="FA107" s="153"/>
      <c r="FB107" s="153"/>
    </row>
    <row r="108" spans="1:158" s="291" customFormat="1" x14ac:dyDescent="0.3">
      <c r="A108" s="298" t="s">
        <v>215</v>
      </c>
      <c r="B108" s="292">
        <v>1436.8824364213681</v>
      </c>
      <c r="C108" s="292">
        <v>1486.2817352032589</v>
      </c>
      <c r="D108" s="292">
        <v>1532.181165381382</v>
      </c>
      <c r="E108" s="292">
        <v>1529.2594724671803</v>
      </c>
      <c r="F108" s="292">
        <v>1526.4679896134226</v>
      </c>
      <c r="G108" s="292">
        <v>849.85467092966189</v>
      </c>
      <c r="H108" s="292">
        <v>763.20412654074551</v>
      </c>
      <c r="I108" s="292">
        <v>635.48838203264188</v>
      </c>
      <c r="J108" s="292">
        <v>538.9500407567474</v>
      </c>
      <c r="K108" s="292">
        <v>519.21117670809804</v>
      </c>
      <c r="L108" s="292">
        <v>519.21117670809804</v>
      </c>
      <c r="M108" s="292">
        <v>465.31117569455972</v>
      </c>
      <c r="N108" s="292">
        <v>465.31117569455972</v>
      </c>
      <c r="O108" s="292">
        <v>943.66267108859415</v>
      </c>
      <c r="P108" s="292">
        <v>943.66267108859415</v>
      </c>
      <c r="Q108" s="292">
        <v>943.66267108859415</v>
      </c>
      <c r="R108" s="292">
        <v>943.66267108859415</v>
      </c>
      <c r="S108" s="292">
        <v>943.66267108859415</v>
      </c>
      <c r="T108" s="292">
        <v>943.66267108859415</v>
      </c>
      <c r="U108" s="292">
        <v>943.66267108859415</v>
      </c>
      <c r="V108" s="292">
        <v>943.66267108859415</v>
      </c>
      <c r="W108" s="292">
        <v>943.66267108859415</v>
      </c>
      <c r="X108" s="292">
        <v>943.66267108859415</v>
      </c>
      <c r="Y108" s="292">
        <v>943.66267108859415</v>
      </c>
      <c r="Z108" s="292">
        <v>943.66267108859415</v>
      </c>
      <c r="AA108" s="311">
        <v>943.66267108859415</v>
      </c>
      <c r="AB108" s="153"/>
      <c r="AC108" s="153"/>
      <c r="AD108" s="153"/>
      <c r="AE108" s="153"/>
      <c r="AF108" s="153"/>
      <c r="AG108" s="153"/>
      <c r="AH108" s="153"/>
      <c r="AI108" s="153"/>
      <c r="AJ108" s="153"/>
      <c r="AK108" s="153"/>
      <c r="AL108" s="153"/>
      <c r="AM108" s="153"/>
      <c r="AN108" s="153"/>
      <c r="AO108" s="153"/>
      <c r="AP108" s="153"/>
      <c r="AQ108" s="153"/>
      <c r="AR108" s="153"/>
      <c r="AS108" s="153"/>
      <c r="AT108" s="153"/>
      <c r="AU108" s="153"/>
      <c r="AV108" s="153"/>
      <c r="AW108" s="153"/>
      <c r="AX108" s="153"/>
      <c r="AY108" s="153"/>
      <c r="AZ108" s="153"/>
      <c r="BA108" s="153"/>
      <c r="BB108" s="153"/>
      <c r="BC108" s="153"/>
      <c r="BD108" s="153"/>
      <c r="BE108" s="153"/>
      <c r="BF108" s="153"/>
      <c r="BG108" s="153"/>
      <c r="BH108" s="153"/>
      <c r="BI108" s="153"/>
      <c r="BJ108" s="153"/>
      <c r="BK108" s="153"/>
      <c r="BL108" s="153"/>
      <c r="BM108" s="153"/>
      <c r="BN108" s="153"/>
      <c r="BO108" s="153"/>
      <c r="BP108" s="153"/>
      <c r="BQ108" s="153"/>
      <c r="BR108" s="153"/>
      <c r="BS108" s="153"/>
      <c r="BT108" s="153"/>
      <c r="BU108" s="153"/>
      <c r="BV108" s="153"/>
      <c r="BW108" s="153"/>
      <c r="BX108" s="153"/>
      <c r="BY108" s="153"/>
      <c r="BZ108" s="153"/>
      <c r="CA108" s="153"/>
      <c r="CB108" s="153"/>
      <c r="CC108" s="153"/>
      <c r="CD108" s="153"/>
      <c r="CE108" s="153"/>
      <c r="CF108" s="153"/>
      <c r="CG108" s="153"/>
      <c r="CH108" s="153"/>
      <c r="CI108" s="153"/>
      <c r="CJ108" s="153"/>
      <c r="CK108" s="153"/>
      <c r="CL108" s="153"/>
      <c r="CM108" s="153"/>
      <c r="CN108" s="153"/>
      <c r="CO108" s="153"/>
      <c r="CP108" s="153"/>
      <c r="CQ108" s="153"/>
      <c r="CR108" s="153"/>
      <c r="CS108" s="153"/>
      <c r="CT108" s="153"/>
      <c r="CU108" s="153"/>
      <c r="CV108" s="153"/>
      <c r="CW108" s="153"/>
      <c r="CX108" s="153"/>
      <c r="CY108" s="153"/>
      <c r="CZ108" s="153"/>
      <c r="DA108" s="153"/>
      <c r="DB108" s="153"/>
      <c r="DC108" s="153"/>
      <c r="DD108" s="153"/>
      <c r="DE108" s="153"/>
      <c r="DF108" s="153"/>
      <c r="DG108" s="153"/>
      <c r="DH108" s="153"/>
      <c r="DI108" s="153"/>
      <c r="DJ108" s="153"/>
      <c r="DK108" s="153"/>
      <c r="DL108" s="153"/>
      <c r="DM108" s="153"/>
      <c r="DN108" s="153"/>
      <c r="DO108" s="153"/>
      <c r="DP108" s="153"/>
      <c r="DQ108" s="153"/>
      <c r="DR108" s="153"/>
      <c r="DS108" s="153"/>
      <c r="DT108" s="153"/>
      <c r="DU108" s="153"/>
      <c r="DV108" s="153"/>
      <c r="DW108" s="153"/>
      <c r="DX108" s="153"/>
      <c r="DY108" s="153"/>
      <c r="DZ108" s="153"/>
      <c r="EA108" s="153"/>
      <c r="EB108" s="153"/>
      <c r="EC108" s="153"/>
      <c r="ED108" s="153"/>
      <c r="EE108" s="153"/>
      <c r="EF108" s="153"/>
      <c r="EG108" s="153"/>
      <c r="EH108" s="153"/>
      <c r="EI108" s="153"/>
      <c r="EJ108" s="153"/>
      <c r="EK108" s="153"/>
      <c r="EL108" s="153"/>
      <c r="EM108" s="153"/>
      <c r="EN108" s="153"/>
      <c r="EO108" s="153"/>
      <c r="EP108" s="153"/>
      <c r="EQ108" s="153"/>
      <c r="ER108" s="153"/>
      <c r="ES108" s="153"/>
      <c r="ET108" s="153"/>
      <c r="EU108" s="153"/>
      <c r="EV108" s="153"/>
      <c r="EW108" s="153"/>
      <c r="EX108" s="153"/>
      <c r="EY108" s="153"/>
      <c r="EZ108" s="153"/>
      <c r="FA108" s="153"/>
      <c r="FB108" s="153"/>
    </row>
    <row r="109" spans="1:158" s="291" customFormat="1" x14ac:dyDescent="0.3">
      <c r="A109" s="298" t="s">
        <v>216</v>
      </c>
      <c r="B109" s="292">
        <v>579.83892202357822</v>
      </c>
      <c r="C109" s="292">
        <v>562.67704797632598</v>
      </c>
      <c r="D109" s="292">
        <v>546.73106779074556</v>
      </c>
      <c r="E109" s="292">
        <v>542.60222798542873</v>
      </c>
      <c r="F109" s="292">
        <v>538.65739673145629</v>
      </c>
      <c r="G109" s="292">
        <v>704.24196283395827</v>
      </c>
      <c r="H109" s="292">
        <v>748.54137639881412</v>
      </c>
      <c r="I109" s="292">
        <v>531.86856343853879</v>
      </c>
      <c r="J109" s="292">
        <v>402.26775002749633</v>
      </c>
      <c r="K109" s="292">
        <v>358.8394520269112</v>
      </c>
      <c r="L109" s="292">
        <v>358.8394520269112</v>
      </c>
      <c r="M109" s="292">
        <v>1925.7931439263496</v>
      </c>
      <c r="N109" s="292">
        <v>1925.7931439263496</v>
      </c>
      <c r="O109" s="292">
        <v>748.20703900868182</v>
      </c>
      <c r="P109" s="292">
        <v>748.20703900868182</v>
      </c>
      <c r="Q109" s="292">
        <v>748.20703900868182</v>
      </c>
      <c r="R109" s="292">
        <v>748.20703900868182</v>
      </c>
      <c r="S109" s="292">
        <v>748.20703900868182</v>
      </c>
      <c r="T109" s="292">
        <v>748.20703900868182</v>
      </c>
      <c r="U109" s="292">
        <v>748.20703900868182</v>
      </c>
      <c r="V109" s="292">
        <v>748.20703900868182</v>
      </c>
      <c r="W109" s="292">
        <v>748.20703900868182</v>
      </c>
      <c r="X109" s="292">
        <v>748.20703900868182</v>
      </c>
      <c r="Y109" s="292">
        <v>748.20703900868182</v>
      </c>
      <c r="Z109" s="292">
        <v>748.20703900868182</v>
      </c>
      <c r="AA109" s="311">
        <v>748.20703900868182</v>
      </c>
      <c r="AB109" s="153"/>
      <c r="AC109" s="153"/>
      <c r="AD109" s="153"/>
      <c r="AE109" s="153"/>
      <c r="AF109" s="153"/>
      <c r="AG109" s="153"/>
      <c r="AH109" s="153"/>
      <c r="AI109" s="153"/>
      <c r="AJ109" s="153"/>
      <c r="AK109" s="153"/>
      <c r="AL109" s="153"/>
      <c r="AM109" s="153"/>
      <c r="AN109" s="153"/>
      <c r="AO109" s="153"/>
      <c r="AP109" s="153"/>
      <c r="AQ109" s="153"/>
      <c r="AR109" s="153"/>
      <c r="AS109" s="153"/>
      <c r="AT109" s="153"/>
      <c r="AU109" s="153"/>
      <c r="AV109" s="153"/>
      <c r="AW109" s="153"/>
      <c r="AX109" s="153"/>
      <c r="AY109" s="153"/>
      <c r="AZ109" s="153"/>
      <c r="BA109" s="153"/>
      <c r="BB109" s="153"/>
      <c r="BC109" s="153"/>
      <c r="BD109" s="153"/>
      <c r="BE109" s="153"/>
      <c r="BF109" s="153"/>
      <c r="BG109" s="153"/>
      <c r="BH109" s="153"/>
      <c r="BI109" s="153"/>
      <c r="BJ109" s="153"/>
      <c r="BK109" s="153"/>
      <c r="BL109" s="153"/>
      <c r="BM109" s="153"/>
      <c r="BN109" s="153"/>
      <c r="BO109" s="153"/>
      <c r="BP109" s="153"/>
      <c r="BQ109" s="153"/>
      <c r="BR109" s="153"/>
      <c r="BS109" s="153"/>
      <c r="BT109" s="153"/>
      <c r="BU109" s="153"/>
      <c r="BV109" s="153"/>
      <c r="BW109" s="153"/>
      <c r="BX109" s="153"/>
      <c r="BY109" s="153"/>
      <c r="BZ109" s="153"/>
      <c r="CA109" s="153"/>
      <c r="CB109" s="153"/>
      <c r="CC109" s="153"/>
      <c r="CD109" s="153"/>
      <c r="CE109" s="153"/>
      <c r="CF109" s="153"/>
      <c r="CG109" s="153"/>
      <c r="CH109" s="153"/>
      <c r="CI109" s="153"/>
      <c r="CJ109" s="153"/>
      <c r="CK109" s="153"/>
      <c r="CL109" s="153"/>
      <c r="CM109" s="153"/>
      <c r="CN109" s="153"/>
      <c r="CO109" s="153"/>
      <c r="CP109" s="153"/>
      <c r="CQ109" s="153"/>
      <c r="CR109" s="153"/>
      <c r="CS109" s="153"/>
      <c r="CT109" s="153"/>
      <c r="CU109" s="153"/>
      <c r="CV109" s="153"/>
      <c r="CW109" s="153"/>
      <c r="CX109" s="153"/>
      <c r="CY109" s="153"/>
      <c r="CZ109" s="153"/>
      <c r="DA109" s="153"/>
      <c r="DB109" s="153"/>
      <c r="DC109" s="153"/>
      <c r="DD109" s="153"/>
      <c r="DE109" s="153"/>
      <c r="DF109" s="153"/>
      <c r="DG109" s="153"/>
      <c r="DH109" s="153"/>
      <c r="DI109" s="153"/>
      <c r="DJ109" s="153"/>
      <c r="DK109" s="153"/>
      <c r="DL109" s="153"/>
      <c r="DM109" s="153"/>
      <c r="DN109" s="153"/>
      <c r="DO109" s="153"/>
      <c r="DP109" s="153"/>
      <c r="DQ109" s="153"/>
      <c r="DR109" s="153"/>
      <c r="DS109" s="153"/>
      <c r="DT109" s="153"/>
      <c r="DU109" s="153"/>
      <c r="DV109" s="153"/>
      <c r="DW109" s="153"/>
      <c r="DX109" s="153"/>
      <c r="DY109" s="153"/>
      <c r="DZ109" s="153"/>
      <c r="EA109" s="153"/>
      <c r="EB109" s="153"/>
      <c r="EC109" s="153"/>
      <c r="ED109" s="153"/>
      <c r="EE109" s="153"/>
      <c r="EF109" s="153"/>
      <c r="EG109" s="153"/>
      <c r="EH109" s="153"/>
      <c r="EI109" s="153"/>
      <c r="EJ109" s="153"/>
      <c r="EK109" s="153"/>
      <c r="EL109" s="153"/>
      <c r="EM109" s="153"/>
      <c r="EN109" s="153"/>
      <c r="EO109" s="153"/>
      <c r="EP109" s="153"/>
      <c r="EQ109" s="153"/>
      <c r="ER109" s="153"/>
      <c r="ES109" s="153"/>
      <c r="ET109" s="153"/>
      <c r="EU109" s="153"/>
      <c r="EV109" s="153"/>
      <c r="EW109" s="153"/>
      <c r="EX109" s="153"/>
      <c r="EY109" s="153"/>
      <c r="EZ109" s="153"/>
      <c r="FA109" s="153"/>
      <c r="FB109" s="153"/>
    </row>
    <row r="110" spans="1:158" s="291" customFormat="1" x14ac:dyDescent="0.3">
      <c r="A110" s="298" t="s">
        <v>217</v>
      </c>
      <c r="B110" s="292">
        <v>35.682732513194431</v>
      </c>
      <c r="C110" s="292">
        <v>34.554679501857244</v>
      </c>
      <c r="D110" s="292">
        <v>33.506547408733816</v>
      </c>
      <c r="E110" s="292">
        <v>31.958522972269137</v>
      </c>
      <c r="F110" s="292">
        <v>30.479488796369509</v>
      </c>
      <c r="G110" s="292">
        <v>41.81078003601516</v>
      </c>
      <c r="H110" s="292">
        <v>47.14699697693775</v>
      </c>
      <c r="I110" s="292">
        <v>45.360957934309198</v>
      </c>
      <c r="J110" s="292">
        <v>43.607478114777962</v>
      </c>
      <c r="K110" s="292">
        <v>35.78634593525647</v>
      </c>
      <c r="L110" s="292">
        <v>35.78634593525647</v>
      </c>
      <c r="M110" s="292">
        <v>133.14382508615361</v>
      </c>
      <c r="N110" s="292">
        <v>133.14382508615361</v>
      </c>
      <c r="O110" s="292">
        <v>52.459117407483411</v>
      </c>
      <c r="P110" s="292">
        <v>52.459117407483411</v>
      </c>
      <c r="Q110" s="292">
        <v>52.459117407483411</v>
      </c>
      <c r="R110" s="292">
        <v>52.459117407483411</v>
      </c>
      <c r="S110" s="292">
        <v>52.459117407483411</v>
      </c>
      <c r="T110" s="292">
        <v>52.459117407483411</v>
      </c>
      <c r="U110" s="292">
        <v>52.459117407483411</v>
      </c>
      <c r="V110" s="292">
        <v>52.459117407483411</v>
      </c>
      <c r="W110" s="292">
        <v>52.459117407483411</v>
      </c>
      <c r="X110" s="292">
        <v>52.459117407483411</v>
      </c>
      <c r="Y110" s="292">
        <v>52.459117407483411</v>
      </c>
      <c r="Z110" s="292">
        <v>52.459117407483411</v>
      </c>
      <c r="AA110" s="311">
        <v>52.459117407483411</v>
      </c>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3"/>
      <c r="BR110" s="153"/>
      <c r="BS110" s="153"/>
      <c r="BT110" s="153"/>
      <c r="BU110" s="153"/>
      <c r="BV110" s="153"/>
      <c r="BW110" s="153"/>
      <c r="BX110" s="153"/>
      <c r="BY110" s="153"/>
      <c r="BZ110" s="153"/>
      <c r="CA110" s="153"/>
      <c r="CB110" s="153"/>
      <c r="CC110" s="153"/>
      <c r="CD110" s="153"/>
      <c r="CE110" s="153"/>
      <c r="CF110" s="153"/>
      <c r="CG110" s="153"/>
      <c r="CH110" s="153"/>
      <c r="CI110" s="153"/>
      <c r="CJ110" s="153"/>
      <c r="CK110" s="153"/>
      <c r="CL110" s="153"/>
      <c r="CM110" s="153"/>
      <c r="CN110" s="153"/>
      <c r="CO110" s="153"/>
      <c r="CP110" s="153"/>
      <c r="CQ110" s="153"/>
      <c r="CR110" s="153"/>
      <c r="CS110" s="153"/>
      <c r="CT110" s="153"/>
      <c r="CU110" s="153"/>
      <c r="CV110" s="153"/>
      <c r="CW110" s="153"/>
      <c r="CX110" s="153"/>
      <c r="CY110" s="153"/>
      <c r="CZ110" s="153"/>
      <c r="DA110" s="153"/>
      <c r="DB110" s="153"/>
      <c r="DC110" s="153"/>
      <c r="DD110" s="153"/>
      <c r="DE110" s="153"/>
      <c r="DF110" s="153"/>
      <c r="DG110" s="153"/>
      <c r="DH110" s="153"/>
      <c r="DI110" s="153"/>
      <c r="DJ110" s="153"/>
      <c r="DK110" s="153"/>
      <c r="DL110" s="153"/>
      <c r="DM110" s="153"/>
      <c r="DN110" s="153"/>
      <c r="DO110" s="153"/>
      <c r="DP110" s="153"/>
      <c r="DQ110" s="153"/>
      <c r="DR110" s="153"/>
      <c r="DS110" s="153"/>
      <c r="DT110" s="153"/>
      <c r="DU110" s="153"/>
      <c r="DV110" s="153"/>
      <c r="DW110" s="153"/>
      <c r="DX110" s="153"/>
      <c r="DY110" s="153"/>
      <c r="DZ110" s="153"/>
      <c r="EA110" s="153"/>
      <c r="EB110" s="153"/>
      <c r="EC110" s="153"/>
      <c r="ED110" s="153"/>
      <c r="EE110" s="153"/>
      <c r="EF110" s="153"/>
      <c r="EG110" s="153"/>
      <c r="EH110" s="153"/>
      <c r="EI110" s="153"/>
      <c r="EJ110" s="153"/>
      <c r="EK110" s="153"/>
      <c r="EL110" s="153"/>
      <c r="EM110" s="153"/>
      <c r="EN110" s="153"/>
      <c r="EO110" s="153"/>
      <c r="EP110" s="153"/>
      <c r="EQ110" s="153"/>
      <c r="ER110" s="153"/>
      <c r="ES110" s="153"/>
      <c r="ET110" s="153"/>
      <c r="EU110" s="153"/>
      <c r="EV110" s="153"/>
      <c r="EW110" s="153"/>
      <c r="EX110" s="153"/>
      <c r="EY110" s="153"/>
      <c r="EZ110" s="153"/>
      <c r="FA110" s="153"/>
      <c r="FB110" s="153"/>
    </row>
    <row r="111" spans="1:158" s="291" customFormat="1" x14ac:dyDescent="0.3">
      <c r="A111" s="298" t="s">
        <v>218</v>
      </c>
      <c r="B111" s="292">
        <v>6624.2114705278109</v>
      </c>
      <c r="C111" s="292">
        <v>6402.2266909956152</v>
      </c>
      <c r="D111" s="292">
        <v>6195.9692108291301</v>
      </c>
      <c r="E111" s="292">
        <v>6155.919244957814</v>
      </c>
      <c r="F111" s="292">
        <v>6117.6541718284952</v>
      </c>
      <c r="G111" s="292">
        <v>3639.9853571837984</v>
      </c>
      <c r="H111" s="292">
        <v>3330.4580986093542</v>
      </c>
      <c r="I111" s="292">
        <v>4054.4237717321585</v>
      </c>
      <c r="J111" s="292">
        <v>5334.1996418105628</v>
      </c>
      <c r="K111" s="292">
        <v>3518.9191179365853</v>
      </c>
      <c r="L111" s="292">
        <v>3518.9191179365853</v>
      </c>
      <c r="M111" s="292">
        <v>766.88038148073599</v>
      </c>
      <c r="N111" s="292">
        <v>766.88038148073599</v>
      </c>
      <c r="O111" s="292">
        <v>4340.5112813314909</v>
      </c>
      <c r="P111" s="292">
        <v>4340.5112813314909</v>
      </c>
      <c r="Q111" s="292">
        <v>4340.5112813314909</v>
      </c>
      <c r="R111" s="292">
        <v>4340.5112813314909</v>
      </c>
      <c r="S111" s="292">
        <v>4340.5112813314909</v>
      </c>
      <c r="T111" s="292">
        <v>4340.5112813314909</v>
      </c>
      <c r="U111" s="292">
        <v>4340.5112813314909</v>
      </c>
      <c r="V111" s="292">
        <v>4340.5112813314909</v>
      </c>
      <c r="W111" s="292">
        <v>4340.5112813314909</v>
      </c>
      <c r="X111" s="292">
        <v>4340.5112813314909</v>
      </c>
      <c r="Y111" s="292">
        <v>4340.5112813314909</v>
      </c>
      <c r="Z111" s="292">
        <v>4340.5112813314909</v>
      </c>
      <c r="AA111" s="311">
        <v>4340.5112813314909</v>
      </c>
      <c r="AB111" s="153"/>
      <c r="AC111" s="153"/>
      <c r="AD111" s="153"/>
      <c r="AE111" s="153"/>
      <c r="AF111" s="153"/>
      <c r="AG111" s="153"/>
      <c r="AH111" s="153"/>
      <c r="AI111" s="153"/>
      <c r="AJ111" s="153"/>
      <c r="AK111" s="153"/>
      <c r="AL111" s="153"/>
      <c r="AM111" s="153"/>
      <c r="AN111" s="153"/>
      <c r="AO111" s="153"/>
      <c r="AP111" s="153"/>
      <c r="AQ111" s="153"/>
      <c r="AR111" s="153"/>
      <c r="AS111" s="153"/>
      <c r="AT111" s="153"/>
      <c r="AU111" s="153"/>
      <c r="AV111" s="153"/>
      <c r="AW111" s="153"/>
      <c r="AX111" s="153"/>
      <c r="AY111" s="153"/>
      <c r="AZ111" s="153"/>
      <c r="BA111" s="153"/>
      <c r="BB111" s="153"/>
      <c r="BC111" s="153"/>
      <c r="BD111" s="153"/>
      <c r="BE111" s="153"/>
      <c r="BF111" s="153"/>
      <c r="BG111" s="153"/>
      <c r="BH111" s="153"/>
      <c r="BI111" s="153"/>
      <c r="BJ111" s="153"/>
      <c r="BK111" s="153"/>
      <c r="BL111" s="153"/>
      <c r="BM111" s="153"/>
      <c r="BN111" s="153"/>
      <c r="BO111" s="153"/>
      <c r="BP111" s="153"/>
      <c r="BQ111" s="153"/>
      <c r="BR111" s="153"/>
      <c r="BS111" s="153"/>
      <c r="BT111" s="153"/>
      <c r="BU111" s="153"/>
      <c r="BV111" s="153"/>
      <c r="BW111" s="153"/>
      <c r="BX111" s="153"/>
      <c r="BY111" s="153"/>
      <c r="BZ111" s="153"/>
      <c r="CA111" s="153"/>
      <c r="CB111" s="153"/>
      <c r="CC111" s="153"/>
      <c r="CD111" s="153"/>
      <c r="CE111" s="153"/>
      <c r="CF111" s="153"/>
      <c r="CG111" s="153"/>
      <c r="CH111" s="153"/>
      <c r="CI111" s="153"/>
      <c r="CJ111" s="153"/>
      <c r="CK111" s="153"/>
      <c r="CL111" s="153"/>
      <c r="CM111" s="153"/>
      <c r="CN111" s="153"/>
      <c r="CO111" s="153"/>
      <c r="CP111" s="153"/>
      <c r="CQ111" s="153"/>
      <c r="CR111" s="153"/>
      <c r="CS111" s="153"/>
      <c r="CT111" s="153"/>
      <c r="CU111" s="153"/>
      <c r="CV111" s="153"/>
      <c r="CW111" s="153"/>
      <c r="CX111" s="153"/>
      <c r="CY111" s="153"/>
      <c r="CZ111" s="153"/>
      <c r="DA111" s="153"/>
      <c r="DB111" s="153"/>
      <c r="DC111" s="153"/>
      <c r="DD111" s="153"/>
      <c r="DE111" s="153"/>
      <c r="DF111" s="153"/>
      <c r="DG111" s="153"/>
      <c r="DH111" s="153"/>
      <c r="DI111" s="153"/>
      <c r="DJ111" s="153"/>
      <c r="DK111" s="153"/>
      <c r="DL111" s="153"/>
      <c r="DM111" s="153"/>
      <c r="DN111" s="153"/>
      <c r="DO111" s="153"/>
      <c r="DP111" s="153"/>
      <c r="DQ111" s="153"/>
      <c r="DR111" s="153"/>
      <c r="DS111" s="153"/>
      <c r="DT111" s="153"/>
      <c r="DU111" s="153"/>
      <c r="DV111" s="153"/>
      <c r="DW111" s="153"/>
      <c r="DX111" s="153"/>
      <c r="DY111" s="153"/>
      <c r="DZ111" s="153"/>
      <c r="EA111" s="153"/>
      <c r="EB111" s="153"/>
      <c r="EC111" s="153"/>
      <c r="ED111" s="153"/>
      <c r="EE111" s="153"/>
      <c r="EF111" s="153"/>
      <c r="EG111" s="153"/>
      <c r="EH111" s="153"/>
      <c r="EI111" s="153"/>
      <c r="EJ111" s="153"/>
      <c r="EK111" s="153"/>
      <c r="EL111" s="153"/>
      <c r="EM111" s="153"/>
      <c r="EN111" s="153"/>
      <c r="EO111" s="153"/>
      <c r="EP111" s="153"/>
      <c r="EQ111" s="153"/>
      <c r="ER111" s="153"/>
      <c r="ES111" s="153"/>
      <c r="ET111" s="153"/>
      <c r="EU111" s="153"/>
      <c r="EV111" s="153"/>
      <c r="EW111" s="153"/>
      <c r="EX111" s="153"/>
      <c r="EY111" s="153"/>
      <c r="EZ111" s="153"/>
      <c r="FA111" s="153"/>
      <c r="FB111" s="153"/>
    </row>
    <row r="112" spans="1:158" s="291" customFormat="1" x14ac:dyDescent="0.3">
      <c r="A112" s="298" t="s">
        <v>219</v>
      </c>
      <c r="B112" s="292">
        <v>42.844527215430318</v>
      </c>
      <c r="C112" s="292">
        <v>41.271051710762606</v>
      </c>
      <c r="D112" s="292">
        <v>39.809054661323543</v>
      </c>
      <c r="E112" s="292">
        <v>38.901759030272515</v>
      </c>
      <c r="F112" s="292">
        <v>38.034898524482607</v>
      </c>
      <c r="G112" s="292">
        <v>58.354851739802022</v>
      </c>
      <c r="H112" s="292">
        <v>81.154698879855545</v>
      </c>
      <c r="I112" s="292">
        <v>71.652640348013421</v>
      </c>
      <c r="J112" s="292">
        <v>63.076185960920064</v>
      </c>
      <c r="K112" s="292">
        <v>1317.387772295438</v>
      </c>
      <c r="L112" s="292">
        <v>1317.387772295438</v>
      </c>
      <c r="M112" s="292">
        <v>301.13298165489539</v>
      </c>
      <c r="N112" s="292">
        <v>301.13298165489539</v>
      </c>
      <c r="O112" s="292">
        <v>285.54932122857923</v>
      </c>
      <c r="P112" s="292">
        <v>285.54932122857923</v>
      </c>
      <c r="Q112" s="292">
        <v>285.54932122857923</v>
      </c>
      <c r="R112" s="292">
        <v>285.54932122857923</v>
      </c>
      <c r="S112" s="292">
        <v>285.54932122857923</v>
      </c>
      <c r="T112" s="292">
        <v>285.54932122857923</v>
      </c>
      <c r="U112" s="292">
        <v>285.54932122857923</v>
      </c>
      <c r="V112" s="292">
        <v>285.54932122857923</v>
      </c>
      <c r="W112" s="292">
        <v>285.54932122857923</v>
      </c>
      <c r="X112" s="292">
        <v>285.54932122857923</v>
      </c>
      <c r="Y112" s="292">
        <v>285.54932122857923</v>
      </c>
      <c r="Z112" s="292">
        <v>285.54932122857923</v>
      </c>
      <c r="AA112" s="311">
        <v>285.54932122857923</v>
      </c>
      <c r="AB112" s="153"/>
      <c r="AC112" s="153"/>
      <c r="AD112" s="153"/>
      <c r="AE112" s="153"/>
      <c r="AF112" s="153"/>
      <c r="AG112" s="153"/>
      <c r="AH112" s="153"/>
      <c r="AI112" s="153"/>
      <c r="AJ112" s="153"/>
      <c r="AK112" s="153"/>
      <c r="AL112" s="153"/>
      <c r="AM112" s="153"/>
      <c r="AN112" s="153"/>
      <c r="AO112" s="153"/>
      <c r="AP112" s="153"/>
      <c r="AQ112" s="153"/>
      <c r="AR112" s="153"/>
      <c r="AS112" s="153"/>
      <c r="AT112" s="153"/>
      <c r="AU112" s="153"/>
      <c r="AV112" s="153"/>
      <c r="AW112" s="153"/>
      <c r="AX112" s="153"/>
      <c r="AY112" s="153"/>
      <c r="AZ112" s="153"/>
      <c r="BA112" s="153"/>
      <c r="BB112" s="153"/>
      <c r="BC112" s="153"/>
      <c r="BD112" s="153"/>
      <c r="BE112" s="153"/>
      <c r="BF112" s="153"/>
      <c r="BG112" s="153"/>
      <c r="BH112" s="153"/>
      <c r="BI112" s="153"/>
      <c r="BJ112" s="153"/>
      <c r="BK112" s="153"/>
      <c r="BL112" s="153"/>
      <c r="BM112" s="153"/>
      <c r="BN112" s="153"/>
      <c r="BO112" s="153"/>
      <c r="BP112" s="153"/>
      <c r="BQ112" s="153"/>
      <c r="BR112" s="153"/>
      <c r="BS112" s="153"/>
      <c r="BT112" s="153"/>
      <c r="BU112" s="153"/>
      <c r="BV112" s="153"/>
      <c r="BW112" s="153"/>
      <c r="BX112" s="153"/>
      <c r="BY112" s="153"/>
      <c r="BZ112" s="153"/>
      <c r="CA112" s="153"/>
      <c r="CB112" s="153"/>
      <c r="CC112" s="153"/>
      <c r="CD112" s="153"/>
      <c r="CE112" s="153"/>
      <c r="CF112" s="153"/>
      <c r="CG112" s="153"/>
      <c r="CH112" s="153"/>
      <c r="CI112" s="153"/>
      <c r="CJ112" s="153"/>
      <c r="CK112" s="153"/>
      <c r="CL112" s="153"/>
      <c r="CM112" s="153"/>
      <c r="CN112" s="153"/>
      <c r="CO112" s="153"/>
      <c r="CP112" s="153"/>
      <c r="CQ112" s="153"/>
      <c r="CR112" s="153"/>
      <c r="CS112" s="153"/>
      <c r="CT112" s="153"/>
      <c r="CU112" s="153"/>
      <c r="CV112" s="153"/>
      <c r="CW112" s="153"/>
      <c r="CX112" s="153"/>
      <c r="CY112" s="153"/>
      <c r="CZ112" s="153"/>
      <c r="DA112" s="153"/>
      <c r="DB112" s="153"/>
      <c r="DC112" s="153"/>
      <c r="DD112" s="153"/>
      <c r="DE112" s="153"/>
      <c r="DF112" s="153"/>
      <c r="DG112" s="153"/>
      <c r="DH112" s="153"/>
      <c r="DI112" s="153"/>
      <c r="DJ112" s="153"/>
      <c r="DK112" s="153"/>
      <c r="DL112" s="153"/>
      <c r="DM112" s="153"/>
      <c r="DN112" s="153"/>
      <c r="DO112" s="153"/>
      <c r="DP112" s="153"/>
      <c r="DQ112" s="153"/>
      <c r="DR112" s="153"/>
      <c r="DS112" s="153"/>
      <c r="DT112" s="153"/>
      <c r="DU112" s="153"/>
      <c r="DV112" s="153"/>
      <c r="DW112" s="153"/>
      <c r="DX112" s="153"/>
      <c r="DY112" s="153"/>
      <c r="DZ112" s="153"/>
      <c r="EA112" s="153"/>
      <c r="EB112" s="153"/>
      <c r="EC112" s="153"/>
      <c r="ED112" s="153"/>
      <c r="EE112" s="153"/>
      <c r="EF112" s="153"/>
      <c r="EG112" s="153"/>
      <c r="EH112" s="153"/>
      <c r="EI112" s="153"/>
      <c r="EJ112" s="153"/>
      <c r="EK112" s="153"/>
      <c r="EL112" s="153"/>
      <c r="EM112" s="153"/>
      <c r="EN112" s="153"/>
      <c r="EO112" s="153"/>
      <c r="EP112" s="153"/>
      <c r="EQ112" s="153"/>
      <c r="ER112" s="153"/>
      <c r="ES112" s="153"/>
      <c r="ET112" s="153"/>
      <c r="EU112" s="153"/>
      <c r="EV112" s="153"/>
      <c r="EW112" s="153"/>
      <c r="EX112" s="153"/>
      <c r="EY112" s="153"/>
      <c r="EZ112" s="153"/>
      <c r="FA112" s="153"/>
      <c r="FB112" s="153"/>
    </row>
    <row r="113" spans="1:158" s="291" customFormat="1" x14ac:dyDescent="0.3">
      <c r="A113" s="298" t="s">
        <v>220</v>
      </c>
      <c r="B113" s="292">
        <v>238.33333333333331</v>
      </c>
      <c r="C113" s="292">
        <v>238.33333333333331</v>
      </c>
      <c r="D113" s="292">
        <v>238.33333333333331</v>
      </c>
      <c r="E113" s="292">
        <v>238.33333333333331</v>
      </c>
      <c r="F113" s="292">
        <v>238.33333333333331</v>
      </c>
      <c r="G113" s="292">
        <v>238.33333333333329</v>
      </c>
      <c r="H113" s="292">
        <v>238.33333333333329</v>
      </c>
      <c r="I113" s="292">
        <v>238.33333333333331</v>
      </c>
      <c r="J113" s="292">
        <v>238.33333333333334</v>
      </c>
      <c r="K113" s="292">
        <v>238.33333333333331</v>
      </c>
      <c r="L113" s="292">
        <v>238.33333333333331</v>
      </c>
      <c r="M113" s="292">
        <v>238.33333333333334</v>
      </c>
      <c r="N113" s="292">
        <v>238.33333333333334</v>
      </c>
      <c r="O113" s="292">
        <v>238.33333333333334</v>
      </c>
      <c r="P113" s="292">
        <v>238.33333333333334</v>
      </c>
      <c r="Q113" s="292">
        <v>238.33333333333334</v>
      </c>
      <c r="R113" s="292">
        <v>238.33333333333334</v>
      </c>
      <c r="S113" s="292">
        <v>238.33333333333334</v>
      </c>
      <c r="T113" s="292">
        <v>238.33333333333334</v>
      </c>
      <c r="U113" s="292">
        <v>238.33333333333334</v>
      </c>
      <c r="V113" s="292">
        <v>238.33333333333334</v>
      </c>
      <c r="W113" s="292">
        <v>238.33333333333334</v>
      </c>
      <c r="X113" s="292">
        <v>238.33333333333334</v>
      </c>
      <c r="Y113" s="292">
        <v>238.33333333333334</v>
      </c>
      <c r="Z113" s="292">
        <v>238.33333333333334</v>
      </c>
      <c r="AA113" s="311">
        <v>238.33333333333334</v>
      </c>
      <c r="AB113" s="153"/>
      <c r="AC113" s="153"/>
      <c r="AD113" s="153"/>
      <c r="AE113" s="153"/>
      <c r="AF113" s="153"/>
      <c r="AG113" s="153"/>
      <c r="AH113" s="153"/>
      <c r="AI113" s="153"/>
      <c r="AJ113" s="153"/>
      <c r="AK113" s="153"/>
      <c r="AL113" s="153"/>
      <c r="AM113" s="153"/>
      <c r="AN113" s="153"/>
      <c r="AO113" s="153"/>
      <c r="AP113" s="153"/>
      <c r="AQ113" s="153"/>
      <c r="AR113" s="153"/>
      <c r="AS113" s="153"/>
      <c r="AT113" s="153"/>
      <c r="AU113" s="153"/>
      <c r="AV113" s="153"/>
      <c r="AW113" s="153"/>
      <c r="AX113" s="153"/>
      <c r="AY113" s="153"/>
      <c r="AZ113" s="153"/>
      <c r="BA113" s="153"/>
      <c r="BB113" s="153"/>
      <c r="BC113" s="153"/>
      <c r="BD113" s="153"/>
      <c r="BE113" s="153"/>
      <c r="BF113" s="153"/>
      <c r="BG113" s="153"/>
      <c r="BH113" s="153"/>
      <c r="BI113" s="153"/>
      <c r="BJ113" s="153"/>
      <c r="BK113" s="153"/>
      <c r="BL113" s="153"/>
      <c r="BM113" s="153"/>
      <c r="BN113" s="153"/>
      <c r="BO113" s="153"/>
      <c r="BP113" s="153"/>
      <c r="BQ113" s="153"/>
      <c r="BR113" s="153"/>
      <c r="BS113" s="153"/>
      <c r="BT113" s="153"/>
      <c r="BU113" s="153"/>
      <c r="BV113" s="153"/>
      <c r="BW113" s="153"/>
      <c r="BX113" s="153"/>
      <c r="BY113" s="153"/>
      <c r="BZ113" s="153"/>
      <c r="CA113" s="153"/>
      <c r="CB113" s="153"/>
      <c r="CC113" s="153"/>
      <c r="CD113" s="153"/>
      <c r="CE113" s="153"/>
      <c r="CF113" s="153"/>
      <c r="CG113" s="153"/>
      <c r="CH113" s="153"/>
      <c r="CI113" s="153"/>
      <c r="CJ113" s="153"/>
      <c r="CK113" s="153"/>
      <c r="CL113" s="153"/>
      <c r="CM113" s="153"/>
      <c r="CN113" s="153"/>
      <c r="CO113" s="153"/>
      <c r="CP113" s="153"/>
      <c r="CQ113" s="153"/>
      <c r="CR113" s="153"/>
      <c r="CS113" s="153"/>
      <c r="CT113" s="153"/>
      <c r="CU113" s="153"/>
      <c r="CV113" s="153"/>
      <c r="CW113" s="153"/>
      <c r="CX113" s="153"/>
      <c r="CY113" s="153"/>
      <c r="CZ113" s="153"/>
      <c r="DA113" s="153"/>
      <c r="DB113" s="153"/>
      <c r="DC113" s="153"/>
      <c r="DD113" s="153"/>
      <c r="DE113" s="153"/>
      <c r="DF113" s="153"/>
      <c r="DG113" s="153"/>
      <c r="DH113" s="153"/>
      <c r="DI113" s="153"/>
      <c r="DJ113" s="153"/>
      <c r="DK113" s="153"/>
      <c r="DL113" s="153"/>
      <c r="DM113" s="153"/>
      <c r="DN113" s="153"/>
      <c r="DO113" s="153"/>
      <c r="DP113" s="153"/>
      <c r="DQ113" s="153"/>
      <c r="DR113" s="153"/>
      <c r="DS113" s="153"/>
      <c r="DT113" s="153"/>
      <c r="DU113" s="153"/>
      <c r="DV113" s="153"/>
      <c r="DW113" s="153"/>
      <c r="DX113" s="153"/>
      <c r="DY113" s="153"/>
      <c r="DZ113" s="153"/>
      <c r="EA113" s="153"/>
      <c r="EB113" s="153"/>
      <c r="EC113" s="153"/>
      <c r="ED113" s="153"/>
      <c r="EE113" s="153"/>
      <c r="EF113" s="153"/>
      <c r="EG113" s="153"/>
      <c r="EH113" s="153"/>
      <c r="EI113" s="153"/>
      <c r="EJ113" s="153"/>
      <c r="EK113" s="153"/>
      <c r="EL113" s="153"/>
      <c r="EM113" s="153"/>
      <c r="EN113" s="153"/>
      <c r="EO113" s="153"/>
      <c r="EP113" s="153"/>
      <c r="EQ113" s="153"/>
      <c r="ER113" s="153"/>
      <c r="ES113" s="153"/>
      <c r="ET113" s="153"/>
      <c r="EU113" s="153"/>
      <c r="EV113" s="153"/>
      <c r="EW113" s="153"/>
      <c r="EX113" s="153"/>
      <c r="EY113" s="153"/>
      <c r="EZ113" s="153"/>
      <c r="FA113" s="153"/>
      <c r="FB113" s="153"/>
    </row>
    <row r="114" spans="1:158" s="291" customFormat="1" ht="15" thickBot="1" x14ac:dyDescent="0.35">
      <c r="A114" s="299" t="s">
        <v>221</v>
      </c>
      <c r="B114" s="300">
        <v>78.288160194852779</v>
      </c>
      <c r="C114" s="300">
        <v>79.151431835774048</v>
      </c>
      <c r="D114" s="300">
        <v>78.288160194852779</v>
      </c>
      <c r="E114" s="300">
        <v>79.151431835774048</v>
      </c>
      <c r="F114" s="300">
        <v>78.288160194852779</v>
      </c>
      <c r="G114" s="300">
        <v>118.74016362619891</v>
      </c>
      <c r="H114" s="300">
        <v>91.398347364119331</v>
      </c>
      <c r="I114" s="300">
        <v>96.07791289776462</v>
      </c>
      <c r="J114" s="300">
        <v>46.88950903593026</v>
      </c>
      <c r="K114" s="300">
        <v>133.09797559998276</v>
      </c>
      <c r="L114" s="300">
        <v>133.09797559998276</v>
      </c>
      <c r="M114" s="300">
        <v>137.86666666666665</v>
      </c>
      <c r="N114" s="300">
        <v>137.86666666666665</v>
      </c>
      <c r="O114" s="300">
        <v>99.092504747186013</v>
      </c>
      <c r="P114" s="300">
        <v>99.092504747186013</v>
      </c>
      <c r="Q114" s="300">
        <v>99.092504747186013</v>
      </c>
      <c r="R114" s="300">
        <v>99.092504747186013</v>
      </c>
      <c r="S114" s="300">
        <v>99.092504747186013</v>
      </c>
      <c r="T114" s="300">
        <v>99.092504747186013</v>
      </c>
      <c r="U114" s="300">
        <v>99.092504747186013</v>
      </c>
      <c r="V114" s="300">
        <v>99.092504747186013</v>
      </c>
      <c r="W114" s="300">
        <v>99.092504747186013</v>
      </c>
      <c r="X114" s="300">
        <v>99.092504747186013</v>
      </c>
      <c r="Y114" s="300">
        <v>99.092504747186013</v>
      </c>
      <c r="Z114" s="300">
        <v>99.092504747186013</v>
      </c>
      <c r="AA114" s="301">
        <v>99.092504747186013</v>
      </c>
      <c r="AB114" s="153"/>
      <c r="AC114" s="153"/>
      <c r="AD114" s="153"/>
      <c r="AE114" s="153"/>
      <c r="AF114" s="153"/>
      <c r="AG114" s="153"/>
      <c r="AH114" s="153"/>
      <c r="AI114" s="153"/>
      <c r="AJ114" s="153"/>
      <c r="AK114" s="153"/>
      <c r="AL114" s="153"/>
      <c r="AM114" s="153"/>
      <c r="AN114" s="153"/>
      <c r="AO114" s="153"/>
      <c r="AP114" s="153"/>
      <c r="AQ114" s="153"/>
      <c r="AR114" s="153"/>
      <c r="AS114" s="153"/>
      <c r="AT114" s="153"/>
      <c r="AU114" s="153"/>
      <c r="AV114" s="153"/>
      <c r="AW114" s="153"/>
      <c r="AX114" s="153"/>
      <c r="AY114" s="153"/>
      <c r="AZ114" s="153"/>
      <c r="BA114" s="153"/>
      <c r="BB114" s="153"/>
      <c r="BC114" s="153"/>
      <c r="BD114" s="153"/>
      <c r="BE114" s="153"/>
      <c r="BF114" s="153"/>
      <c r="BG114" s="153"/>
      <c r="BH114" s="153"/>
      <c r="BI114" s="153"/>
      <c r="BJ114" s="153"/>
      <c r="BK114" s="153"/>
      <c r="BL114" s="153"/>
      <c r="BM114" s="153"/>
      <c r="BN114" s="153"/>
      <c r="BO114" s="153"/>
      <c r="BP114" s="153"/>
      <c r="BQ114" s="153"/>
      <c r="BR114" s="153"/>
      <c r="BS114" s="153"/>
      <c r="BT114" s="153"/>
      <c r="BU114" s="153"/>
      <c r="BV114" s="153"/>
      <c r="BW114" s="153"/>
      <c r="BX114" s="153"/>
      <c r="BY114" s="153"/>
      <c r="BZ114" s="153"/>
      <c r="CA114" s="153"/>
      <c r="CB114" s="153"/>
      <c r="CC114" s="153"/>
      <c r="CD114" s="153"/>
      <c r="CE114" s="153"/>
      <c r="CF114" s="153"/>
      <c r="CG114" s="153"/>
      <c r="CH114" s="153"/>
      <c r="CI114" s="153"/>
      <c r="CJ114" s="153"/>
      <c r="CK114" s="153"/>
      <c r="CL114" s="153"/>
      <c r="CM114" s="153"/>
      <c r="CN114" s="153"/>
      <c r="CO114" s="153"/>
      <c r="CP114" s="153"/>
      <c r="CQ114" s="153"/>
      <c r="CR114" s="153"/>
      <c r="CS114" s="153"/>
      <c r="CT114" s="153"/>
      <c r="CU114" s="153"/>
      <c r="CV114" s="153"/>
      <c r="CW114" s="153"/>
      <c r="CX114" s="153"/>
      <c r="CY114" s="153"/>
      <c r="CZ114" s="153"/>
      <c r="DA114" s="153"/>
      <c r="DB114" s="153"/>
      <c r="DC114" s="153"/>
      <c r="DD114" s="153"/>
      <c r="DE114" s="153"/>
      <c r="DF114" s="153"/>
      <c r="DG114" s="153"/>
      <c r="DH114" s="153"/>
      <c r="DI114" s="153"/>
      <c r="DJ114" s="153"/>
      <c r="DK114" s="153"/>
      <c r="DL114" s="153"/>
      <c r="DM114" s="153"/>
      <c r="DN114" s="153"/>
      <c r="DO114" s="153"/>
      <c r="DP114" s="153"/>
      <c r="DQ114" s="153"/>
      <c r="DR114" s="153"/>
      <c r="DS114" s="153"/>
      <c r="DT114" s="153"/>
      <c r="DU114" s="153"/>
      <c r="DV114" s="153"/>
      <c r="DW114" s="153"/>
      <c r="DX114" s="153"/>
      <c r="DY114" s="153"/>
      <c r="DZ114" s="153"/>
      <c r="EA114" s="153"/>
      <c r="EB114" s="153"/>
      <c r="EC114" s="153"/>
      <c r="ED114" s="153"/>
      <c r="EE114" s="153"/>
      <c r="EF114" s="153"/>
      <c r="EG114" s="153"/>
      <c r="EH114" s="153"/>
      <c r="EI114" s="153"/>
      <c r="EJ114" s="153"/>
      <c r="EK114" s="153"/>
      <c r="EL114" s="153"/>
      <c r="EM114" s="153"/>
      <c r="EN114" s="153"/>
      <c r="EO114" s="153"/>
      <c r="EP114" s="153"/>
      <c r="EQ114" s="153"/>
      <c r="ER114" s="153"/>
      <c r="ES114" s="153"/>
      <c r="ET114" s="153"/>
      <c r="EU114" s="153"/>
      <c r="EV114" s="153"/>
      <c r="EW114" s="153"/>
      <c r="EX114" s="153"/>
      <c r="EY114" s="153"/>
      <c r="EZ114" s="153"/>
      <c r="FA114" s="153"/>
      <c r="FB114" s="15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8F814574E960A4499025803604D4DF4" ma:contentTypeVersion="9" ma:contentTypeDescription="Crear nuevo documento." ma:contentTypeScope="" ma:versionID="613b0908c48a25395136f5b5d1e9264a">
  <xsd:schema xmlns:xsd="http://www.w3.org/2001/XMLSchema" xmlns:xs="http://www.w3.org/2001/XMLSchema" xmlns:p="http://schemas.microsoft.com/office/2006/metadata/properties" xmlns:ns2="4b2ff61d-e0c4-454b-ba72-44cf85c32a41" targetNamespace="http://schemas.microsoft.com/office/2006/metadata/properties" ma:root="true" ma:fieldsID="f5652efc65d8021725ff526b59607fd6"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468486-BA12-4D63-98CB-1A39626725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ff61d-e0c4-454b-ba72-44cf85c32a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7ECC25-E9E4-423B-89FA-D74FA323A4B9}">
  <ds:schemaRefs>
    <ds:schemaRef ds:uri="http://schemas.microsoft.com/sharepoint/v3/contenttype/forms"/>
  </ds:schemaRefs>
</ds:datastoreItem>
</file>

<file path=customXml/itemProps3.xml><?xml version="1.0" encoding="utf-8"?>
<ds:datastoreItem xmlns:ds="http://schemas.openxmlformats.org/officeDocument/2006/customXml" ds:itemID="{72AEB68F-DDD7-40CA-826E-35FCAAEBBB3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CONTENIDO</vt:lpstr>
      <vt:lpstr>COBERTURA_BOSQUE</vt:lpstr>
      <vt:lpstr>COBERTURA_HACIA_TF</vt:lpstr>
      <vt:lpstr>COBERTURA_CAMBIOS_TF</vt:lpstr>
      <vt:lpstr>MEDIDAS_INCOND</vt:lpstr>
      <vt:lpstr>MEDIDAS_COND</vt:lpstr>
      <vt:lpstr>FACTORES_EMISION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Yoselyn Seas Jiménez</dc:creator>
  <cp:lastModifiedBy>Yoselyn Seas Jiménez</cp:lastModifiedBy>
  <dcterms:created xsi:type="dcterms:W3CDTF">2025-01-13T04:46:08Z</dcterms:created>
  <dcterms:modified xsi:type="dcterms:W3CDTF">2025-03-05T20:02:53Z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