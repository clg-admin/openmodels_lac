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Inputs\"/>
    </mc:Choice>
  </mc:AlternateContent>
  <xr:revisionPtr revIDLastSave="0" documentId="13_ncr:1_{A97D2F66-F6A9-4B14-8534-2E0A6B9B2A0F}" xr6:coauthVersionLast="47" xr6:coauthVersionMax="47" xr10:uidLastSave="{00000000-0000-0000-0000-000000000000}"/>
  <bookViews>
    <workbookView xWindow="-64155" yWindow="0" windowWidth="25050" windowHeight="20700" xr2:uid="{00000000-000D-0000-FFFF-FFFF00000000}"/>
  </bookViews>
  <sheets>
    <sheet name="PrimaryEnergy" sheetId="1" r:id="rId1"/>
    <sheet name="SecondaryEnergy" sheetId="3" r:id="rId2"/>
    <sheet name="README" sheetId="2" r:id="rId3"/>
  </sheets>
  <definedNames>
    <definedName name="_xlnm._FilterDatabase" localSheetId="0" hidden="1">PrimaryEnergy!$A$1:$K$30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0" i="1"/>
  <c r="G21" i="1"/>
  <c r="G22" i="1"/>
  <c r="G23" i="1"/>
  <c r="G24" i="1"/>
  <c r="G25" i="1"/>
  <c r="G26" i="1"/>
  <c r="G27" i="1"/>
  <c r="G28" i="1"/>
  <c r="G20" i="1"/>
  <c r="A21" i="1"/>
  <c r="A22" i="1"/>
  <c r="A23" i="1"/>
  <c r="A24" i="1"/>
  <c r="A25" i="1"/>
  <c r="A26" i="1"/>
  <c r="A27" i="1"/>
  <c r="A28" i="1"/>
  <c r="A20" i="1"/>
  <c r="D27" i="3"/>
  <c r="D28" i="3"/>
  <c r="D29" i="3"/>
  <c r="D30" i="3"/>
  <c r="D31" i="3"/>
  <c r="D32" i="3"/>
  <c r="D33" i="3"/>
  <c r="D34" i="3"/>
  <c r="D26" i="3"/>
  <c r="N27" i="3"/>
  <c r="N28" i="3"/>
  <c r="N29" i="3"/>
  <c r="N30" i="3"/>
  <c r="N31" i="3"/>
  <c r="N32" i="3"/>
  <c r="N33" i="3"/>
  <c r="N34" i="3"/>
  <c r="M27" i="3"/>
  <c r="M28" i="3"/>
  <c r="M29" i="3"/>
  <c r="M30" i="3"/>
  <c r="M31" i="3"/>
  <c r="M32" i="3"/>
  <c r="M33" i="3"/>
  <c r="M34" i="3"/>
  <c r="N26" i="3"/>
  <c r="M26" i="3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F31" authorId="0" shapeId="0" xr:uid="{5C0F3CC9-1C17-41D2-98EC-994BF3346352}">
      <text>
        <r>
          <rPr>
            <b/>
            <sz val="9"/>
            <color indexed="81"/>
            <rFont val="Tahoma"/>
            <family val="2"/>
          </rPr>
          <t>COMENTAR SI LES PARECE DEJAR ASÍ O DESAGREGAR EN IMPORTADA, CRIOLLA, MESTIZA</t>
        </r>
      </text>
    </comment>
  </commentList>
</comments>
</file>

<file path=xl/sharedStrings.xml><?xml version="1.0" encoding="utf-8"?>
<sst xmlns="http://schemas.openxmlformats.org/spreadsheetml/2006/main" count="673" uniqueCount="293">
  <si>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</si>
  <si>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</si>
  <si>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</si>
  <si>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</si>
  <si>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</si>
  <si>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</si>
  <si>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</si>
  <si>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</si>
  <si>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Plain English (Output)</t>
  </si>
  <si>
    <t>Fuel - Plain Spanish (Output)</t>
  </si>
  <si>
    <t>TEST ROW</t>
  </si>
  <si>
    <t>NO</t>
  </si>
  <si>
    <t>Import/Distribution</t>
  </si>
  <si>
    <t>YES</t>
  </si>
  <si>
    <t>Extraction/Transformation/Distribution</t>
  </si>
  <si>
    <t>Soil</t>
  </si>
  <si>
    <t>SOIALL</t>
  </si>
  <si>
    <t>Primary - Soil</t>
  </si>
  <si>
    <t>Primaria - Suelo</t>
  </si>
  <si>
    <t>E1_SOI</t>
  </si>
  <si>
    <t>Import_Banana</t>
  </si>
  <si>
    <t>Banana</t>
  </si>
  <si>
    <t>IMPBAN</t>
  </si>
  <si>
    <t>Import Banana</t>
  </si>
  <si>
    <t>E3_BAN</t>
  </si>
  <si>
    <t>Import_Cocoa</t>
  </si>
  <si>
    <t>IMPCOC</t>
  </si>
  <si>
    <t>Import Cocoa</t>
  </si>
  <si>
    <t>E3_COC</t>
  </si>
  <si>
    <t>Import_Legumes</t>
  </si>
  <si>
    <t>IMPLEG</t>
  </si>
  <si>
    <t>Import Legumes</t>
  </si>
  <si>
    <t>E3_LEG</t>
  </si>
  <si>
    <t>Import_Fruits</t>
  </si>
  <si>
    <t>IMPFRT</t>
  </si>
  <si>
    <t>E3_FRT</t>
  </si>
  <si>
    <t>Import_Cereals</t>
  </si>
  <si>
    <t>Cereals</t>
  </si>
  <si>
    <t>IMPCER</t>
  </si>
  <si>
    <t>Import Cereals</t>
  </si>
  <si>
    <t>E3_CER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</si>
  <si>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</si>
  <si>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</si>
  <si>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</si>
  <si>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</si>
  <si>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</si>
  <si>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Plain English (Input)</t>
  </si>
  <si>
    <t>Fuel - Plain Spanish (Input)</t>
  </si>
  <si>
    <t>Distribution</t>
  </si>
  <si>
    <t>Forest</t>
  </si>
  <si>
    <t>LU_FOR</t>
  </si>
  <si>
    <t>Suelo forestal</t>
  </si>
  <si>
    <t xml:space="preserve">Suelo </t>
  </si>
  <si>
    <t xml:space="preserve">Suelo agrícola </t>
  </si>
  <si>
    <t>E2_CUL</t>
  </si>
  <si>
    <t>Cropland</t>
  </si>
  <si>
    <t>Suelos agrícolas</t>
  </si>
  <si>
    <t xml:space="preserve">Suelo ganadero </t>
  </si>
  <si>
    <t>E2_PAS</t>
  </si>
  <si>
    <t>Pasture</t>
  </si>
  <si>
    <t>Pasturas</t>
  </si>
  <si>
    <t>Suelo urbano</t>
  </si>
  <si>
    <t>AG_BAN</t>
  </si>
  <si>
    <t>AG_COC</t>
  </si>
  <si>
    <t>Café</t>
  </si>
  <si>
    <t>AG_LEG</t>
  </si>
  <si>
    <t>Legumbres</t>
  </si>
  <si>
    <t>Tubérculos</t>
  </si>
  <si>
    <t>AG_FRT</t>
  </si>
  <si>
    <t>Local Cereals</t>
  </si>
  <si>
    <t>Cereales</t>
  </si>
  <si>
    <t>Suelo Matorrales</t>
  </si>
  <si>
    <t>Suelo Sabanas</t>
  </si>
  <si>
    <t>Other Land Uses soil</t>
  </si>
  <si>
    <t>Cropland Cereals</t>
  </si>
  <si>
    <t>LU_WET</t>
  </si>
  <si>
    <t>Wetland</t>
  </si>
  <si>
    <t>E2_FOR</t>
  </si>
  <si>
    <t>Forest Land Use</t>
  </si>
  <si>
    <t>Bosque Uso de Suelo</t>
  </si>
  <si>
    <t>Electricity</t>
  </si>
  <si>
    <t>Import</t>
  </si>
  <si>
    <t>IMP_ELE</t>
  </si>
  <si>
    <t>Primary - Import - Electricity</t>
  </si>
  <si>
    <t>Primaria - Importaciones - Electricidad</t>
  </si>
  <si>
    <t>E1ELE</t>
  </si>
  <si>
    <t>Primary - Imported Electricity</t>
  </si>
  <si>
    <t>Primaria - Electricidad Importada</t>
  </si>
  <si>
    <t>Import_Vegetables</t>
  </si>
  <si>
    <t>Import_Coffee</t>
  </si>
  <si>
    <t xml:space="preserve">Coffee  </t>
  </si>
  <si>
    <t xml:space="preserve">Cocoa  </t>
  </si>
  <si>
    <t xml:space="preserve">Banana  </t>
  </si>
  <si>
    <t xml:space="preserve">Legumes  </t>
  </si>
  <si>
    <t xml:space="preserve">Vegetables  </t>
  </si>
  <si>
    <t xml:space="preserve">Fruits  </t>
  </si>
  <si>
    <t>IMPCOF</t>
  </si>
  <si>
    <t>IMPVEG</t>
  </si>
  <si>
    <t>Import Coffee</t>
  </si>
  <si>
    <t>Import Vegetables</t>
  </si>
  <si>
    <t>Import Fruits</t>
  </si>
  <si>
    <t>E3_COF</t>
  </si>
  <si>
    <t>E3_VEG</t>
  </si>
  <si>
    <t>Settlements</t>
  </si>
  <si>
    <t>Cacao</t>
  </si>
  <si>
    <t>Vegetales</t>
  </si>
  <si>
    <t>Frutas</t>
  </si>
  <si>
    <t>AG_COF</t>
  </si>
  <si>
    <t>AG_VEG</t>
  </si>
  <si>
    <t>AG_CER</t>
  </si>
  <si>
    <t>LU_CROP</t>
  </si>
  <si>
    <t>LU_PAS</t>
  </si>
  <si>
    <t>LU_SET</t>
  </si>
  <si>
    <t>LU_OTL</t>
  </si>
  <si>
    <t>Forest soil</t>
  </si>
  <si>
    <t>Wetland soil</t>
  </si>
  <si>
    <t>Cropland soil</t>
  </si>
  <si>
    <t>Pasture soil</t>
  </si>
  <si>
    <t>Settlements soil</t>
  </si>
  <si>
    <t>LU_MAN</t>
  </si>
  <si>
    <t>E3_MAN</t>
  </si>
  <si>
    <t>E2_WET</t>
  </si>
  <si>
    <t>E2_CROP</t>
  </si>
  <si>
    <t>E2_SET</t>
  </si>
  <si>
    <t>E2_OTL</t>
  </si>
  <si>
    <t>Native_Protected</t>
  </si>
  <si>
    <t>Native_Unprotected</t>
  </si>
  <si>
    <t>Restored_Area</t>
  </si>
  <si>
    <t>Forest_Plantation</t>
  </si>
  <si>
    <t>Native Protected</t>
  </si>
  <si>
    <t>Bosque Protegido</t>
  </si>
  <si>
    <t>Native Unprotected</t>
  </si>
  <si>
    <t>Bosque no protegido</t>
  </si>
  <si>
    <t>Restored Area</t>
  </si>
  <si>
    <t>Área Restaurada</t>
  </si>
  <si>
    <t>Forest Plantation</t>
  </si>
  <si>
    <t>Plantación Forestal</t>
  </si>
  <si>
    <t>E3_NPR</t>
  </si>
  <si>
    <t>E3_NUN</t>
  </si>
  <si>
    <t>E3_RAR</t>
  </si>
  <si>
    <t>LU_NPR</t>
  </si>
  <si>
    <t>LU_NUN</t>
  </si>
  <si>
    <t>LU_RAR</t>
  </si>
  <si>
    <t>Local Coffee</t>
  </si>
  <si>
    <t>Local Cocoa</t>
  </si>
  <si>
    <t>Local Banana</t>
  </si>
  <si>
    <t>Local Legumes</t>
  </si>
  <si>
    <t>Local Vegetables</t>
  </si>
  <si>
    <t>Local Fruits</t>
  </si>
  <si>
    <t>Coffee</t>
  </si>
  <si>
    <t>Cocoa</t>
  </si>
  <si>
    <t>Legumes</t>
  </si>
  <si>
    <t>Vegetables</t>
  </si>
  <si>
    <t>Fruits</t>
  </si>
  <si>
    <t>TESTROW</t>
  </si>
  <si>
    <t>Fuel - Code (Output)</t>
  </si>
  <si>
    <t>Fuel - Code (Input)</t>
  </si>
  <si>
    <t>Other Lands</t>
  </si>
  <si>
    <t>Burning</t>
  </si>
  <si>
    <t>Biomass_Burning</t>
  </si>
  <si>
    <t>FORBUR</t>
  </si>
  <si>
    <t>Primary - Biomass burning</t>
  </si>
  <si>
    <t>Primaria - Quemas de Biomasa</t>
  </si>
  <si>
    <t>E1_BUR</t>
  </si>
  <si>
    <t>Sugarcane</t>
  </si>
  <si>
    <t>Maize</t>
  </si>
  <si>
    <t>African_palm</t>
  </si>
  <si>
    <t>Palmito</t>
  </si>
  <si>
    <t>Tubers</t>
  </si>
  <si>
    <t>Flowers</t>
  </si>
  <si>
    <t>Caña de azúcar</t>
  </si>
  <si>
    <t>Maiz</t>
  </si>
  <si>
    <t>Palma Africana</t>
  </si>
  <si>
    <t>Florícola</t>
  </si>
  <si>
    <t>AG_SUG</t>
  </si>
  <si>
    <t>AG_MAI</t>
  </si>
  <si>
    <t>AG_PAF</t>
  </si>
  <si>
    <t>AG_PAL</t>
  </si>
  <si>
    <t>AG_TUB</t>
  </si>
  <si>
    <t>AG_FLO</t>
  </si>
  <si>
    <t>Cropland Banana</t>
  </si>
  <si>
    <t>Suelos Banana</t>
  </si>
  <si>
    <t>Cropland Cocoa</t>
  </si>
  <si>
    <t>Suelos Cacao</t>
  </si>
  <si>
    <t>Cropland Coffee</t>
  </si>
  <si>
    <t>Suelos Café</t>
  </si>
  <si>
    <t>Cropland Sugarcane</t>
  </si>
  <si>
    <t>Suelos Caña de azúcar</t>
  </si>
  <si>
    <t>Cropland Maize</t>
  </si>
  <si>
    <t>Suelos Maiz</t>
  </si>
  <si>
    <t>Cropland African_palm</t>
  </si>
  <si>
    <t>Suelos Palma Africana</t>
  </si>
  <si>
    <t>Cropland Palmito</t>
  </si>
  <si>
    <t>Suelos Palmito</t>
  </si>
  <si>
    <t>Cropland Legumes</t>
  </si>
  <si>
    <t>Suelos Legumbres</t>
  </si>
  <si>
    <t>Suelos Cereales</t>
  </si>
  <si>
    <t>Cropland Tubers</t>
  </si>
  <si>
    <t>Suelos Tubérculos</t>
  </si>
  <si>
    <t>Cropland Fruits</t>
  </si>
  <si>
    <t>Suelos Frutas</t>
  </si>
  <si>
    <t>Cropland Vegetables</t>
  </si>
  <si>
    <t>Suelos Vegetales</t>
  </si>
  <si>
    <t>Cropland Flowers</t>
  </si>
  <si>
    <t>Suelos Florícola</t>
  </si>
  <si>
    <t>Local Sugarcane</t>
  </si>
  <si>
    <t>Local Maize</t>
  </si>
  <si>
    <t>Local African_palm</t>
  </si>
  <si>
    <t>Local Palmito</t>
  </si>
  <si>
    <t>Local Tubers</t>
  </si>
  <si>
    <t>Local Flowers</t>
  </si>
  <si>
    <t>E3_SUG</t>
  </si>
  <si>
    <t>E3_MAI</t>
  </si>
  <si>
    <t>E3_PAF</t>
  </si>
  <si>
    <t>E3_PAL</t>
  </si>
  <si>
    <t>E3_TUB</t>
  </si>
  <si>
    <t>E3_FLO</t>
  </si>
  <si>
    <t>IMPSUG</t>
  </si>
  <si>
    <t>IMPMAI</t>
  </si>
  <si>
    <t>IMPPAF</t>
  </si>
  <si>
    <t>IMPPAL</t>
  </si>
  <si>
    <t>IMPTUB</t>
  </si>
  <si>
    <t>IMPFLO</t>
  </si>
  <si>
    <t>Primaria-Importación-Banana</t>
  </si>
  <si>
    <t>Primaria-Importación-Cacao</t>
  </si>
  <si>
    <t>Primaria-Importación-Café</t>
  </si>
  <si>
    <t>Import Sugarcane</t>
  </si>
  <si>
    <t>Primaria-Importación-Caña de azúcar</t>
  </si>
  <si>
    <t>Import Maize</t>
  </si>
  <si>
    <t>Primaria-Importación-Maiz</t>
  </si>
  <si>
    <t>Import African_palm</t>
  </si>
  <si>
    <t>Primaria-Importación-Palma Africana</t>
  </si>
  <si>
    <t>Import Palmito</t>
  </si>
  <si>
    <t>Primaria-Importación-Palmito</t>
  </si>
  <si>
    <t>Primaria-Importación-Legumbres</t>
  </si>
  <si>
    <t>Primaria-Importación-Cereales</t>
  </si>
  <si>
    <t>Import Tubers</t>
  </si>
  <si>
    <t>Primaria-Importación-Tubérculos</t>
  </si>
  <si>
    <t>Primaria-Importación-Frutas</t>
  </si>
  <si>
    <t>Primaria-Importación-Vegetales</t>
  </si>
  <si>
    <t>Import Flowers</t>
  </si>
  <si>
    <t>Primaria-Importación-Florícola</t>
  </si>
  <si>
    <t xml:space="preserve">Tubers  </t>
  </si>
  <si>
    <t>Import_Sugarcane</t>
  </si>
  <si>
    <t>Import_Maize</t>
  </si>
  <si>
    <t>Import_African_palm</t>
  </si>
  <si>
    <t>Import_Palmito</t>
  </si>
  <si>
    <t>Import_Tubers</t>
  </si>
  <si>
    <t>Import_Flowers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</si>
  <si>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</si>
  <si>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</si>
  <si>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</si>
  <si>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</si>
  <si>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</si>
  <si>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</si>
  <si>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</si>
  <si>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</si>
  <si>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</si>
  <si>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</si>
  <si>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</si>
  <si>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</si>
  <si>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</si>
  <si>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</si>
  <si>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</si>
  <si>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</si>
  <si>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</si>
  <si>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</si>
  <si>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</si>
  <si>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</si>
  <si>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</si>
  <si>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</si>
  <si>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</si>
  <si>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</si>
  <si>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</si>
  <si>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</si>
  <si>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</si>
  <si>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</si>
  <si>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</si>
  <si>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</si>
  <si>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</si>
  <si>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</si>
  <si>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</si>
  <si>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</si>
  <si>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Local Arroz</t>
  </si>
  <si>
    <t>Arroz</t>
  </si>
  <si>
    <t>Cropland Arroz</t>
  </si>
  <si>
    <t>Suelos Arroz</t>
  </si>
  <si>
    <t>AG_ARR</t>
  </si>
  <si>
    <t>E3_ARR</t>
  </si>
  <si>
    <t>Import_Arroz</t>
  </si>
  <si>
    <t>IMPARR</t>
  </si>
  <si>
    <t>Import Arroz</t>
  </si>
  <si>
    <t>Primaria-Importación-Arroz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</si>
</sst>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6" xfId="0" applyFill="1" applyBorder="1"/>
    <xf numFmtId="0" fontId="0" fillId="8" borderId="1" xfId="0" applyFill="1" applyBorder="1" applyAlignment="1">
      <alignment horizontal="center" vertical="center"/>
    </xf>
    <xf numFmtId="0" fontId="1" fillId="8" borderId="7" xfId="0" applyFont="1" applyFill="1" applyBorder="1"/>
    <xf numFmtId="0" fontId="0" fillId="8" borderId="2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28"/>
  <sheetViews>
    <sheetView tabSelected="1" zoomScaleNormal="100" workbookViewId="0">
      <pane ySplit="1" topLeftCell="A2" activePane="bottomLeft" state="frozen"/>
      <selection pane="bottomLeft"/>
    </sheetView>
  </sheetViews>
  <sheetFormatPr defaultColWidth="32.6328125" defaultRowHeight="14.5" x14ac:dyDescent="0.35"/>
  <cols>
    <col min="1" max="1" width="32.36328125" style="17" bestFit="1" customWidth="1"/>
    <col min="2" max="2" width="36.90625" style="17" bestFit="1" customWidth="1"/>
    <col min="3" max="3" width="13.453125" style="17" bestFit="1" customWidth="1"/>
    <col min="4" max="4" width="29.6328125" style="17" bestFit="1" customWidth="1"/>
    <col min="5" max="5" width="16.54296875" style="17" bestFit="1" customWidth="1"/>
    <col min="6" max="6" width="15.36328125" style="17" bestFit="1" customWidth="1"/>
    <col min="7" max="7" width="56.453125" style="17" bestFit="1" customWidth="1"/>
    <col min="8" max="8" width="94.6328125" style="17" bestFit="1" customWidth="1"/>
    <col min="9" max="9" width="30.453125" style="17" customWidth="1"/>
    <col min="10" max="10" width="37.08984375" style="17" bestFit="1" customWidth="1"/>
    <col min="11" max="11" width="60" style="17" bestFit="1" customWidth="1"/>
    <col min="12" max="16384" width="32.6328125" style="17"/>
  </cols>
  <sheetData>
    <row r="1" spans="1:11" ht="15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4" t="s">
        <v>4</v>
      </c>
      <c r="F1" s="1" t="s">
        <v>5</v>
      </c>
      <c r="G1" s="2" t="s">
        <v>6</v>
      </c>
      <c r="H1" s="3" t="s">
        <v>7</v>
      </c>
      <c r="I1" s="1" t="s">
        <v>155</v>
      </c>
      <c r="J1" s="2" t="s">
        <v>8</v>
      </c>
      <c r="K1" s="3" t="s">
        <v>9</v>
      </c>
    </row>
    <row r="2" spans="1:11" x14ac:dyDescent="0.35">
      <c r="A2" s="14" t="s">
        <v>10</v>
      </c>
      <c r="B2" s="6" t="s">
        <v>10</v>
      </c>
      <c r="C2" s="5" t="s">
        <v>11</v>
      </c>
      <c r="D2" s="15" t="s">
        <v>10</v>
      </c>
      <c r="E2" s="10" t="str">
        <f>IF(C2="NO","IGNORE","")</f>
        <v>IGNORE</v>
      </c>
      <c r="F2" s="11" t="str">
        <f>IF(E2=TRUE,"","Not required")</f>
        <v>Not required</v>
      </c>
      <c r="G2" s="12" t="s">
        <v>10</v>
      </c>
      <c r="H2" s="13" t="s">
        <v>10</v>
      </c>
      <c r="I2" s="16" t="s">
        <v>154</v>
      </c>
      <c r="J2" s="12" t="s">
        <v>10</v>
      </c>
      <c r="K2" s="13" t="s">
        <v>10</v>
      </c>
    </row>
    <row r="3" spans="1:11" customFormat="1" x14ac:dyDescent="0.35">
      <c r="A3" s="34" t="s">
        <v>80</v>
      </c>
      <c r="B3" s="35" t="s">
        <v>81</v>
      </c>
      <c r="C3" s="35" t="s">
        <v>13</v>
      </c>
      <c r="D3" s="36" t="s">
        <v>80</v>
      </c>
      <c r="E3" s="37" t="b">
        <v>1</v>
      </c>
      <c r="F3" s="38" t="s">
        <v>82</v>
      </c>
      <c r="G3" s="35" t="s">
        <v>83</v>
      </c>
      <c r="H3" s="39" t="s">
        <v>84</v>
      </c>
      <c r="I3" s="38" t="s">
        <v>85</v>
      </c>
      <c r="J3" s="35" t="s">
        <v>86</v>
      </c>
      <c r="K3" s="39" t="s">
        <v>87</v>
      </c>
    </row>
    <row r="4" spans="1:11" x14ac:dyDescent="0.35">
      <c r="A4" s="41" t="s">
        <v>15</v>
      </c>
      <c r="B4" s="41" t="s">
        <v>14</v>
      </c>
      <c r="C4" s="41" t="s">
        <v>13</v>
      </c>
      <c r="D4" s="41" t="s">
        <v>15</v>
      </c>
      <c r="E4" s="41" t="b">
        <v>0</v>
      </c>
      <c r="F4" s="41" t="s">
        <v>16</v>
      </c>
      <c r="G4" s="41" t="s">
        <v>17</v>
      </c>
      <c r="H4" s="41" t="s">
        <v>18</v>
      </c>
      <c r="I4" s="41" t="s">
        <v>19</v>
      </c>
      <c r="J4" s="41" t="s">
        <v>17</v>
      </c>
      <c r="K4" s="41" t="s">
        <v>18</v>
      </c>
    </row>
    <row r="5" spans="1:11" ht="15" thickBot="1" x14ac:dyDescent="0.4">
      <c r="A5" s="41" t="s">
        <v>159</v>
      </c>
      <c r="B5" s="41" t="s">
        <v>14</v>
      </c>
      <c r="C5" s="41" t="s">
        <v>13</v>
      </c>
      <c r="D5" s="41" t="s">
        <v>158</v>
      </c>
      <c r="E5" s="41" t="b">
        <v>1</v>
      </c>
      <c r="F5" s="41" t="s">
        <v>160</v>
      </c>
      <c r="G5" s="41" t="s">
        <v>161</v>
      </c>
      <c r="H5" s="41" t="s">
        <v>162</v>
      </c>
      <c r="I5" s="41" t="s">
        <v>163</v>
      </c>
      <c r="J5" s="41" t="s">
        <v>161</v>
      </c>
      <c r="K5" s="41" t="s">
        <v>162</v>
      </c>
    </row>
    <row r="6" spans="1:11" s="44" customFormat="1" ht="15" thickBot="1" x14ac:dyDescent="0.4">
      <c r="A6" s="42" t="s">
        <v>289</v>
      </c>
      <c r="B6" s="43" t="s">
        <v>12</v>
      </c>
      <c r="C6" s="43" t="s">
        <v>13</v>
      </c>
      <c r="D6" s="43" t="s">
        <v>284</v>
      </c>
      <c r="E6" s="43" t="b">
        <v>1</v>
      </c>
      <c r="F6" s="43" t="s">
        <v>290</v>
      </c>
      <c r="G6" s="43" t="s">
        <v>291</v>
      </c>
      <c r="H6" s="43" t="s">
        <v>292</v>
      </c>
      <c r="I6" s="43" t="s">
        <v>288</v>
      </c>
      <c r="J6" s="43" t="s">
        <v>284</v>
      </c>
      <c r="K6" s="43" t="s">
        <v>284</v>
      </c>
    </row>
    <row r="7" spans="1:11" s="44" customFormat="1" x14ac:dyDescent="0.35">
      <c r="A7" s="42" t="s">
        <v>20</v>
      </c>
      <c r="B7" s="43" t="s">
        <v>12</v>
      </c>
      <c r="C7" s="43" t="s">
        <v>13</v>
      </c>
      <c r="D7" s="43" t="s">
        <v>21</v>
      </c>
      <c r="E7" s="43" t="b">
        <v>1</v>
      </c>
      <c r="F7" s="43" t="s">
        <v>22</v>
      </c>
      <c r="G7" s="43" t="s">
        <v>23</v>
      </c>
      <c r="H7" s="43" t="s">
        <v>223</v>
      </c>
      <c r="I7" s="43" t="s">
        <v>24</v>
      </c>
      <c r="J7" s="43" t="s">
        <v>92</v>
      </c>
      <c r="K7" s="43" t="s">
        <v>21</v>
      </c>
    </row>
    <row r="8" spans="1:11" x14ac:dyDescent="0.35">
      <c r="A8" s="45" t="s">
        <v>25</v>
      </c>
      <c r="B8" s="19" t="s">
        <v>12</v>
      </c>
      <c r="C8" s="19" t="s">
        <v>13</v>
      </c>
      <c r="D8" s="19" t="s">
        <v>150</v>
      </c>
      <c r="E8" s="19" t="b">
        <v>1</v>
      </c>
      <c r="F8" s="19" t="s">
        <v>26</v>
      </c>
      <c r="G8" s="19" t="s">
        <v>27</v>
      </c>
      <c r="H8" s="19" t="s">
        <v>224</v>
      </c>
      <c r="I8" s="19" t="s">
        <v>28</v>
      </c>
      <c r="J8" s="19" t="s">
        <v>91</v>
      </c>
      <c r="K8" s="19" t="s">
        <v>104</v>
      </c>
    </row>
    <row r="9" spans="1:11" x14ac:dyDescent="0.35">
      <c r="A9" s="45" t="s">
        <v>89</v>
      </c>
      <c r="B9" s="19" t="s">
        <v>12</v>
      </c>
      <c r="C9" s="19" t="s">
        <v>13</v>
      </c>
      <c r="D9" s="19" t="s">
        <v>149</v>
      </c>
      <c r="E9" s="19" t="b">
        <v>1</v>
      </c>
      <c r="F9" s="19" t="s">
        <v>96</v>
      </c>
      <c r="G9" s="19" t="s">
        <v>98</v>
      </c>
      <c r="H9" s="19" t="s">
        <v>225</v>
      </c>
      <c r="I9" s="19" t="s">
        <v>101</v>
      </c>
      <c r="J9" s="19" t="s">
        <v>90</v>
      </c>
      <c r="K9" s="19" t="s">
        <v>64</v>
      </c>
    </row>
    <row r="10" spans="1:11" x14ac:dyDescent="0.35">
      <c r="A10" s="45" t="s">
        <v>243</v>
      </c>
      <c r="B10" s="19" t="s">
        <v>12</v>
      </c>
      <c r="C10" s="19" t="s">
        <v>13</v>
      </c>
      <c r="D10" s="19" t="s">
        <v>164</v>
      </c>
      <c r="E10" s="19" t="b">
        <v>1</v>
      </c>
      <c r="F10" s="19" t="s">
        <v>217</v>
      </c>
      <c r="G10" s="19" t="s">
        <v>226</v>
      </c>
      <c r="H10" s="19" t="s">
        <v>227</v>
      </c>
      <c r="I10" s="19" t="s">
        <v>211</v>
      </c>
      <c r="J10" s="19" t="s">
        <v>164</v>
      </c>
      <c r="K10" s="19" t="s">
        <v>170</v>
      </c>
    </row>
    <row r="11" spans="1:11" x14ac:dyDescent="0.35">
      <c r="A11" s="45" t="s">
        <v>244</v>
      </c>
      <c r="B11" s="19" t="s">
        <v>12</v>
      </c>
      <c r="C11" s="19" t="s">
        <v>13</v>
      </c>
      <c r="D11" s="19" t="s">
        <v>165</v>
      </c>
      <c r="E11" s="19" t="b">
        <v>1</v>
      </c>
      <c r="F11" s="19" t="s">
        <v>218</v>
      </c>
      <c r="G11" s="19" t="s">
        <v>228</v>
      </c>
      <c r="H11" s="19" t="s">
        <v>229</v>
      </c>
      <c r="I11" s="19" t="s">
        <v>212</v>
      </c>
      <c r="J11" s="19" t="s">
        <v>165</v>
      </c>
      <c r="K11" s="19" t="s">
        <v>171</v>
      </c>
    </row>
    <row r="12" spans="1:11" x14ac:dyDescent="0.35">
      <c r="A12" s="45" t="s">
        <v>245</v>
      </c>
      <c r="B12" s="19" t="s">
        <v>12</v>
      </c>
      <c r="C12" s="19" t="s">
        <v>13</v>
      </c>
      <c r="D12" s="19" t="s">
        <v>166</v>
      </c>
      <c r="E12" s="19" t="b">
        <v>1</v>
      </c>
      <c r="F12" s="19" t="s">
        <v>219</v>
      </c>
      <c r="G12" s="19" t="s">
        <v>230</v>
      </c>
      <c r="H12" s="19" t="s">
        <v>231</v>
      </c>
      <c r="I12" s="19" t="s">
        <v>213</v>
      </c>
      <c r="J12" s="19" t="s">
        <v>166</v>
      </c>
      <c r="K12" s="19" t="s">
        <v>172</v>
      </c>
    </row>
    <row r="13" spans="1:11" x14ac:dyDescent="0.35">
      <c r="A13" s="45" t="s">
        <v>246</v>
      </c>
      <c r="B13" s="19" t="s">
        <v>12</v>
      </c>
      <c r="C13" s="19" t="s">
        <v>13</v>
      </c>
      <c r="D13" s="19" t="s">
        <v>167</v>
      </c>
      <c r="E13" s="19" t="b">
        <v>1</v>
      </c>
      <c r="F13" s="19" t="s">
        <v>220</v>
      </c>
      <c r="G13" s="19" t="s">
        <v>232</v>
      </c>
      <c r="H13" s="19" t="s">
        <v>233</v>
      </c>
      <c r="I13" s="19" t="s">
        <v>214</v>
      </c>
      <c r="J13" s="19" t="s">
        <v>167</v>
      </c>
      <c r="K13" s="19" t="s">
        <v>167</v>
      </c>
    </row>
    <row r="14" spans="1:11" x14ac:dyDescent="0.35">
      <c r="A14" s="45" t="s">
        <v>29</v>
      </c>
      <c r="B14" s="19" t="s">
        <v>12</v>
      </c>
      <c r="C14" s="19" t="s">
        <v>13</v>
      </c>
      <c r="D14" s="19" t="s">
        <v>151</v>
      </c>
      <c r="E14" s="19" t="b">
        <v>1</v>
      </c>
      <c r="F14" s="19" t="s">
        <v>30</v>
      </c>
      <c r="G14" s="19" t="s">
        <v>31</v>
      </c>
      <c r="H14" s="19" t="s">
        <v>234</v>
      </c>
      <c r="I14" s="19" t="s">
        <v>32</v>
      </c>
      <c r="J14" s="19" t="s">
        <v>93</v>
      </c>
      <c r="K14" s="19" t="s">
        <v>66</v>
      </c>
    </row>
    <row r="15" spans="1:11" x14ac:dyDescent="0.35">
      <c r="A15" s="45" t="s">
        <v>36</v>
      </c>
      <c r="B15" s="19" t="s">
        <v>12</v>
      </c>
      <c r="C15" s="19" t="s">
        <v>13</v>
      </c>
      <c r="D15" s="19" t="s">
        <v>37</v>
      </c>
      <c r="E15" s="19" t="b">
        <v>1</v>
      </c>
      <c r="F15" s="19" t="s">
        <v>38</v>
      </c>
      <c r="G15" s="19" t="s">
        <v>39</v>
      </c>
      <c r="H15" s="19" t="s">
        <v>235</v>
      </c>
      <c r="I15" s="19" t="s">
        <v>40</v>
      </c>
      <c r="J15" s="19" t="s">
        <v>37</v>
      </c>
      <c r="K15" s="19" t="s">
        <v>70</v>
      </c>
    </row>
    <row r="16" spans="1:11" x14ac:dyDescent="0.35">
      <c r="A16" s="45" t="s">
        <v>247</v>
      </c>
      <c r="B16" s="19" t="s">
        <v>12</v>
      </c>
      <c r="C16" s="19" t="s">
        <v>13</v>
      </c>
      <c r="D16" s="19" t="s">
        <v>168</v>
      </c>
      <c r="E16" s="19" t="b">
        <v>1</v>
      </c>
      <c r="F16" s="19" t="s">
        <v>221</v>
      </c>
      <c r="G16" s="19" t="s">
        <v>236</v>
      </c>
      <c r="H16" s="19" t="s">
        <v>237</v>
      </c>
      <c r="I16" s="19" t="s">
        <v>215</v>
      </c>
      <c r="J16" s="19" t="s">
        <v>242</v>
      </c>
      <c r="K16" s="19" t="s">
        <v>67</v>
      </c>
    </row>
    <row r="17" spans="1:11" x14ac:dyDescent="0.35">
      <c r="A17" s="45" t="s">
        <v>33</v>
      </c>
      <c r="B17" s="19" t="s">
        <v>12</v>
      </c>
      <c r="C17" s="19" t="s">
        <v>13</v>
      </c>
      <c r="D17" s="19" t="s">
        <v>153</v>
      </c>
      <c r="E17" s="19" t="b">
        <v>1</v>
      </c>
      <c r="F17" s="19" t="s">
        <v>34</v>
      </c>
      <c r="G17" s="19" t="s">
        <v>100</v>
      </c>
      <c r="H17" s="19" t="s">
        <v>238</v>
      </c>
      <c r="I17" s="19" t="s">
        <v>35</v>
      </c>
      <c r="J17" s="19" t="s">
        <v>95</v>
      </c>
      <c r="K17" s="19" t="s">
        <v>106</v>
      </c>
    </row>
    <row r="18" spans="1:11" s="21" customFormat="1" x14ac:dyDescent="0.35">
      <c r="A18" s="45" t="s">
        <v>88</v>
      </c>
      <c r="B18" s="19" t="s">
        <v>12</v>
      </c>
      <c r="C18" s="19" t="s">
        <v>13</v>
      </c>
      <c r="D18" s="19" t="s">
        <v>152</v>
      </c>
      <c r="E18" s="19" t="b">
        <v>1</v>
      </c>
      <c r="F18" s="19" t="s">
        <v>97</v>
      </c>
      <c r="G18" s="19" t="s">
        <v>99</v>
      </c>
      <c r="H18" s="19" t="s">
        <v>239</v>
      </c>
      <c r="I18" s="19" t="s">
        <v>102</v>
      </c>
      <c r="J18" s="19" t="s">
        <v>94</v>
      </c>
      <c r="K18" s="19" t="s">
        <v>105</v>
      </c>
    </row>
    <row r="19" spans="1:11" s="46" customFormat="1" ht="15" thickBot="1" x14ac:dyDescent="0.4">
      <c r="A19" s="47" t="s">
        <v>248</v>
      </c>
      <c r="B19" s="48" t="s">
        <v>12</v>
      </c>
      <c r="C19" s="48" t="s">
        <v>13</v>
      </c>
      <c r="D19" s="48" t="s">
        <v>169</v>
      </c>
      <c r="E19" s="48" t="b">
        <v>1</v>
      </c>
      <c r="F19" s="48" t="s">
        <v>222</v>
      </c>
      <c r="G19" s="48" t="s">
        <v>240</v>
      </c>
      <c r="H19" s="48" t="s">
        <v>241</v>
      </c>
      <c r="I19" s="48" t="s">
        <v>216</v>
      </c>
      <c r="J19" s="48" t="s">
        <v>169</v>
      </c>
      <c r="K19" s="48" t="s">
        <v>173</v>
      </c>
    </row>
    <row r="20" spans="1:11" x14ac:dyDescent="0.35">
      <c r="A20" s="19" t="str">
        <f>_xlfn.CONCAT("Import_",D20)</f>
        <v>Import_Bovinos</v>
      </c>
      <c r="B20" s="19" t="s">
        <v>12</v>
      </c>
      <c r="C20" s="19" t="s">
        <v>13</v>
      </c>
      <c r="D20" s="19" t="s">
        <v>249</v>
      </c>
      <c r="E20" s="19" t="b">
        <v>1</v>
      </c>
      <c r="F20" s="19" t="s">
        <v>275</v>
      </c>
      <c r="G20" s="19" t="str">
        <f>_xlfn.CONCAT("Import ",J20)</f>
        <v>Import Bovinos</v>
      </c>
      <c r="H20" s="19" t="str">
        <f>_xlfn.CONCAT("Importar ",J20)</f>
        <v>Importar Bovinos</v>
      </c>
      <c r="I20" s="18" t="s">
        <v>267</v>
      </c>
      <c r="J20" s="19" t="s">
        <v>249</v>
      </c>
      <c r="K20" s="19" t="s">
        <v>249</v>
      </c>
    </row>
    <row r="21" spans="1:11" x14ac:dyDescent="0.35">
      <c r="A21" s="19" t="str">
        <f t="shared" ref="A21:A28" si="0">_xlfn.CONCAT("Import_",D21)</f>
        <v>Import_Bufalos</v>
      </c>
      <c r="B21" s="19" t="s">
        <v>12</v>
      </c>
      <c r="C21" s="19" t="s">
        <v>13</v>
      </c>
      <c r="D21" s="19" t="s">
        <v>250</v>
      </c>
      <c r="E21" s="19" t="b">
        <v>1</v>
      </c>
      <c r="F21" s="19" t="s">
        <v>276</v>
      </c>
      <c r="G21" s="19" t="str">
        <f t="shared" ref="G21:G28" si="1">_xlfn.CONCAT("Import ",J21)</f>
        <v>Import Bufalos</v>
      </c>
      <c r="H21" s="19" t="str">
        <f t="shared" ref="H21:H28" si="2">_xlfn.CONCAT("Importar ",J21)</f>
        <v>Importar Bufalos</v>
      </c>
      <c r="I21" s="18" t="s">
        <v>268</v>
      </c>
      <c r="J21" s="19" t="s">
        <v>250</v>
      </c>
      <c r="K21" s="19" t="s">
        <v>250</v>
      </c>
    </row>
    <row r="22" spans="1:11" x14ac:dyDescent="0.35">
      <c r="A22" s="19" t="str">
        <f t="shared" si="0"/>
        <v>Import_Ovejas</v>
      </c>
      <c r="B22" s="19" t="s">
        <v>12</v>
      </c>
      <c r="C22" s="19" t="s">
        <v>13</v>
      </c>
      <c r="D22" s="19" t="s">
        <v>251</v>
      </c>
      <c r="E22" s="19" t="b">
        <v>1</v>
      </c>
      <c r="F22" s="19" t="s">
        <v>277</v>
      </c>
      <c r="G22" s="19" t="str">
        <f t="shared" si="1"/>
        <v>Import Ovejas</v>
      </c>
      <c r="H22" s="19" t="str">
        <f t="shared" si="2"/>
        <v>Importar Ovejas</v>
      </c>
      <c r="I22" s="18" t="s">
        <v>269</v>
      </c>
      <c r="J22" s="19" t="s">
        <v>251</v>
      </c>
      <c r="K22" s="19" t="s">
        <v>251</v>
      </c>
    </row>
    <row r="23" spans="1:11" x14ac:dyDescent="0.35">
      <c r="A23" s="40" t="str">
        <f t="shared" si="0"/>
        <v>Import_Cabras</v>
      </c>
      <c r="B23" s="40" t="s">
        <v>12</v>
      </c>
      <c r="C23" s="40" t="s">
        <v>13</v>
      </c>
      <c r="D23" s="40" t="s">
        <v>252</v>
      </c>
      <c r="E23" s="40" t="b">
        <v>1</v>
      </c>
      <c r="F23" s="40" t="s">
        <v>278</v>
      </c>
      <c r="G23" s="40" t="str">
        <f t="shared" si="1"/>
        <v>Import Cabras</v>
      </c>
      <c r="H23" s="40" t="str">
        <f t="shared" si="2"/>
        <v>Importar Cabras</v>
      </c>
      <c r="I23" s="18" t="s">
        <v>270</v>
      </c>
      <c r="J23" s="40" t="s">
        <v>252</v>
      </c>
      <c r="K23" s="40" t="s">
        <v>252</v>
      </c>
    </row>
    <row r="24" spans="1:11" x14ac:dyDescent="0.35">
      <c r="A24" s="40" t="str">
        <f t="shared" si="0"/>
        <v>Import_Camelidos_sud</v>
      </c>
      <c r="B24" s="40" t="s">
        <v>12</v>
      </c>
      <c r="C24" s="40" t="s">
        <v>13</v>
      </c>
      <c r="D24" s="40" t="s">
        <v>253</v>
      </c>
      <c r="E24" s="40" t="b">
        <v>1</v>
      </c>
      <c r="F24" s="40" t="s">
        <v>279</v>
      </c>
      <c r="G24" s="40" t="str">
        <f t="shared" si="1"/>
        <v>Import Camelidos_sud</v>
      </c>
      <c r="H24" s="40" t="str">
        <f t="shared" si="2"/>
        <v>Importar Camelidos_sud</v>
      </c>
      <c r="I24" s="18" t="s">
        <v>271</v>
      </c>
      <c r="J24" s="40" t="s">
        <v>253</v>
      </c>
      <c r="K24" s="40" t="s">
        <v>253</v>
      </c>
    </row>
    <row r="25" spans="1:11" x14ac:dyDescent="0.35">
      <c r="A25" s="40" t="str">
        <f t="shared" si="0"/>
        <v>Import_Caballos</v>
      </c>
      <c r="B25" s="40" t="s">
        <v>12</v>
      </c>
      <c r="C25" s="40" t="s">
        <v>13</v>
      </c>
      <c r="D25" s="40" t="s">
        <v>254</v>
      </c>
      <c r="E25" s="40" t="b">
        <v>1</v>
      </c>
      <c r="F25" s="40" t="s">
        <v>280</v>
      </c>
      <c r="G25" s="40" t="str">
        <f t="shared" si="1"/>
        <v>Import Caballos</v>
      </c>
      <c r="H25" s="40" t="str">
        <f t="shared" si="2"/>
        <v>Importar Caballos</v>
      </c>
      <c r="I25" s="18" t="s">
        <v>272</v>
      </c>
      <c r="J25" s="40" t="s">
        <v>254</v>
      </c>
      <c r="K25" s="40" t="s">
        <v>254</v>
      </c>
    </row>
    <row r="26" spans="1:11" x14ac:dyDescent="0.35">
      <c r="A26" s="19" t="str">
        <f t="shared" si="0"/>
        <v>Import_Mulas</v>
      </c>
      <c r="B26" s="19" t="s">
        <v>12</v>
      </c>
      <c r="C26" s="19" t="s">
        <v>13</v>
      </c>
      <c r="D26" s="19" t="s">
        <v>255</v>
      </c>
      <c r="E26" s="19" t="b">
        <v>1</v>
      </c>
      <c r="F26" s="19" t="s">
        <v>281</v>
      </c>
      <c r="G26" s="19" t="str">
        <f t="shared" si="1"/>
        <v>Import Mulas</v>
      </c>
      <c r="H26" s="19" t="str">
        <f t="shared" si="2"/>
        <v>Importar Mulas</v>
      </c>
      <c r="I26" s="18" t="s">
        <v>273</v>
      </c>
      <c r="J26" s="19" t="s">
        <v>255</v>
      </c>
      <c r="K26" s="19" t="s">
        <v>255</v>
      </c>
    </row>
    <row r="27" spans="1:11" x14ac:dyDescent="0.35">
      <c r="A27" s="19" t="str">
        <f t="shared" si="0"/>
        <v>Import_Cerdos</v>
      </c>
      <c r="B27" s="19" t="s">
        <v>12</v>
      </c>
      <c r="C27" s="19" t="s">
        <v>13</v>
      </c>
      <c r="D27" s="19" t="s">
        <v>256</v>
      </c>
      <c r="E27" s="19" t="b">
        <v>1</v>
      </c>
      <c r="F27" s="19" t="s">
        <v>38</v>
      </c>
      <c r="G27" s="19" t="str">
        <f t="shared" si="1"/>
        <v>Import Cerdos</v>
      </c>
      <c r="H27" s="19" t="str">
        <f t="shared" si="2"/>
        <v>Importar Cerdos</v>
      </c>
      <c r="I27" s="18" t="s">
        <v>40</v>
      </c>
      <c r="J27" s="19" t="s">
        <v>256</v>
      </c>
      <c r="K27" s="19" t="s">
        <v>256</v>
      </c>
    </row>
    <row r="28" spans="1:11" ht="15" thickBot="1" x14ac:dyDescent="0.4">
      <c r="A28" s="20" t="str">
        <f t="shared" si="0"/>
        <v>Import_Aves</v>
      </c>
      <c r="B28" s="20" t="s">
        <v>12</v>
      </c>
      <c r="C28" s="20" t="s">
        <v>13</v>
      </c>
      <c r="D28" s="20" t="s">
        <v>257</v>
      </c>
      <c r="E28" s="20" t="b">
        <v>1</v>
      </c>
      <c r="F28" s="20" t="s">
        <v>282</v>
      </c>
      <c r="G28" s="20" t="str">
        <f t="shared" si="1"/>
        <v>Import Aves</v>
      </c>
      <c r="H28" s="20" t="str">
        <f t="shared" si="2"/>
        <v>Importar Aves</v>
      </c>
      <c r="I28" s="18" t="s">
        <v>274</v>
      </c>
      <c r="J28" s="20" t="s">
        <v>257</v>
      </c>
      <c r="K28" s="20" t="s">
        <v>257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QE34"/>
  <sheetViews>
    <sheetView topLeftCell="B1" zoomScale="115" zoomScaleNormal="115" workbookViewId="0">
      <selection activeCell="B12" sqref="B12"/>
    </sheetView>
  </sheetViews>
  <sheetFormatPr defaultColWidth="9.08984375" defaultRowHeight="14.5" x14ac:dyDescent="0.35"/>
  <cols>
    <col min="1" max="1" width="32.6328125" style="17" bestFit="1" customWidth="1"/>
    <col min="2" max="2" width="18.90625" style="17" bestFit="1" customWidth="1"/>
    <col min="3" max="3" width="9" style="17" bestFit="1" customWidth="1"/>
    <col min="4" max="4" width="27.81640625" style="17" bestFit="1" customWidth="1"/>
    <col min="5" max="5" width="12.08984375" style="17" bestFit="1" customWidth="1"/>
    <col min="6" max="6" width="16.81640625" style="17" bestFit="1" customWidth="1"/>
    <col min="7" max="7" width="77.1796875" style="17" bestFit="1" customWidth="1"/>
    <col min="8" max="8" width="68" style="17" bestFit="1" customWidth="1"/>
    <col min="9" max="9" width="16.81640625" style="17" bestFit="1" customWidth="1"/>
    <col min="10" max="10" width="38.453125" style="17" bestFit="1" customWidth="1"/>
    <col min="11" max="11" width="65.08984375" style="17" bestFit="1" customWidth="1"/>
    <col min="12" max="12" width="18.36328125" style="17" bestFit="1" customWidth="1"/>
    <col min="13" max="13" width="38.453125" style="17" bestFit="1" customWidth="1"/>
    <col min="14" max="14" width="43" style="17" bestFit="1" customWidth="1"/>
    <col min="15" max="15" width="9.08984375" style="17"/>
    <col min="16" max="16" width="9.08984375" style="17" customWidth="1"/>
    <col min="17" max="16384" width="9.08984375" style="17"/>
  </cols>
  <sheetData>
    <row r="1" spans="1:447" x14ac:dyDescent="0.35">
      <c r="A1" s="22" t="s">
        <v>3</v>
      </c>
      <c r="B1" s="23" t="s">
        <v>1</v>
      </c>
      <c r="C1" s="23" t="s">
        <v>2</v>
      </c>
      <c r="D1" s="23" t="s">
        <v>45</v>
      </c>
      <c r="E1" s="24" t="s">
        <v>4</v>
      </c>
      <c r="F1" s="22" t="s">
        <v>5</v>
      </c>
      <c r="G1" s="23" t="s">
        <v>6</v>
      </c>
      <c r="H1" s="25" t="s">
        <v>7</v>
      </c>
      <c r="I1" s="26" t="s">
        <v>156</v>
      </c>
      <c r="J1" s="27" t="s">
        <v>46</v>
      </c>
      <c r="K1" s="28" t="s">
        <v>47</v>
      </c>
      <c r="L1" s="29" t="s">
        <v>155</v>
      </c>
      <c r="M1" s="30" t="s">
        <v>8</v>
      </c>
      <c r="N1" s="31" t="s">
        <v>9</v>
      </c>
    </row>
    <row r="2" spans="1:447" x14ac:dyDescent="0.35">
      <c r="A2" s="19" t="s">
        <v>15</v>
      </c>
      <c r="B2" s="19" t="s">
        <v>48</v>
      </c>
      <c r="C2" s="19" t="s">
        <v>13</v>
      </c>
      <c r="D2" s="19" t="s">
        <v>49</v>
      </c>
      <c r="E2" s="19" t="b">
        <v>0</v>
      </c>
      <c r="F2" s="19" t="s">
        <v>50</v>
      </c>
      <c r="G2" s="19" t="s">
        <v>114</v>
      </c>
      <c r="H2" s="19" t="s">
        <v>51</v>
      </c>
      <c r="I2" s="19" t="s">
        <v>19</v>
      </c>
      <c r="J2" s="19" t="s">
        <v>15</v>
      </c>
      <c r="K2" s="19" t="s">
        <v>52</v>
      </c>
      <c r="L2" s="19" t="s">
        <v>77</v>
      </c>
      <c r="M2" s="19" t="s">
        <v>114</v>
      </c>
      <c r="N2" s="19" t="s">
        <v>51</v>
      </c>
    </row>
    <row r="3" spans="1:447" x14ac:dyDescent="0.35">
      <c r="A3" s="19" t="s">
        <v>15</v>
      </c>
      <c r="B3" s="19" t="s">
        <v>48</v>
      </c>
      <c r="C3" s="19" t="s">
        <v>13</v>
      </c>
      <c r="D3" s="19" t="s">
        <v>76</v>
      </c>
      <c r="E3" s="19" t="b">
        <v>1</v>
      </c>
      <c r="F3" s="19" t="s">
        <v>75</v>
      </c>
      <c r="G3" s="19" t="s">
        <v>115</v>
      </c>
      <c r="H3" s="19" t="s">
        <v>53</v>
      </c>
      <c r="I3" s="19" t="s">
        <v>19</v>
      </c>
      <c r="J3" s="19" t="s">
        <v>15</v>
      </c>
      <c r="K3" s="19" t="s">
        <v>52</v>
      </c>
      <c r="L3" s="19" t="s">
        <v>121</v>
      </c>
      <c r="M3" s="19" t="s">
        <v>115</v>
      </c>
      <c r="N3" s="19" t="s">
        <v>53</v>
      </c>
    </row>
    <row r="4" spans="1:447" s="21" customFormat="1" x14ac:dyDescent="0.35">
      <c r="A4" s="19" t="s">
        <v>15</v>
      </c>
      <c r="B4" s="19" t="s">
        <v>48</v>
      </c>
      <c r="C4" s="19" t="s">
        <v>13</v>
      </c>
      <c r="D4" s="19" t="s">
        <v>55</v>
      </c>
      <c r="E4" s="19" t="b">
        <v>0</v>
      </c>
      <c r="F4" s="19" t="s">
        <v>110</v>
      </c>
      <c r="G4" s="19" t="s">
        <v>116</v>
      </c>
      <c r="H4" s="19" t="s">
        <v>57</v>
      </c>
      <c r="I4" s="19" t="s">
        <v>19</v>
      </c>
      <c r="J4" s="19" t="s">
        <v>15</v>
      </c>
      <c r="K4" s="19" t="s">
        <v>52</v>
      </c>
      <c r="L4" s="19" t="s">
        <v>122</v>
      </c>
      <c r="M4" s="19" t="s">
        <v>116</v>
      </c>
      <c r="N4" s="19" t="s">
        <v>57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</row>
    <row r="5" spans="1:447" x14ac:dyDescent="0.35">
      <c r="A5" s="19" t="s">
        <v>15</v>
      </c>
      <c r="B5" s="19" t="s">
        <v>48</v>
      </c>
      <c r="C5" s="19" t="s">
        <v>13</v>
      </c>
      <c r="D5" s="19" t="s">
        <v>59</v>
      </c>
      <c r="E5" s="19" t="b">
        <v>0</v>
      </c>
      <c r="F5" s="19" t="s">
        <v>111</v>
      </c>
      <c r="G5" s="19" t="s">
        <v>117</v>
      </c>
      <c r="H5" s="19" t="s">
        <v>71</v>
      </c>
      <c r="I5" s="19" t="s">
        <v>19</v>
      </c>
      <c r="J5" s="19" t="s">
        <v>15</v>
      </c>
      <c r="K5" s="19" t="s">
        <v>52</v>
      </c>
      <c r="L5" s="19" t="s">
        <v>58</v>
      </c>
      <c r="M5" s="19" t="s">
        <v>117</v>
      </c>
      <c r="N5" s="19" t="s">
        <v>71</v>
      </c>
    </row>
    <row r="6" spans="1:447" x14ac:dyDescent="0.35">
      <c r="A6" s="19" t="s">
        <v>15</v>
      </c>
      <c r="B6" s="19" t="s">
        <v>48</v>
      </c>
      <c r="C6" s="19" t="s">
        <v>13</v>
      </c>
      <c r="D6" s="19" t="s">
        <v>103</v>
      </c>
      <c r="E6" s="19" t="b">
        <v>1</v>
      </c>
      <c r="F6" s="19" t="s">
        <v>112</v>
      </c>
      <c r="G6" s="19" t="s">
        <v>118</v>
      </c>
      <c r="H6" s="19" t="s">
        <v>72</v>
      </c>
      <c r="I6" s="19" t="s">
        <v>19</v>
      </c>
      <c r="J6" s="19" t="s">
        <v>15</v>
      </c>
      <c r="K6" s="19" t="s">
        <v>52</v>
      </c>
      <c r="L6" s="19" t="s">
        <v>123</v>
      </c>
      <c r="M6" s="19" t="s">
        <v>118</v>
      </c>
      <c r="N6" s="19" t="s">
        <v>72</v>
      </c>
    </row>
    <row r="7" spans="1:447" x14ac:dyDescent="0.35">
      <c r="A7" s="19" t="s">
        <v>15</v>
      </c>
      <c r="B7" s="19" t="s">
        <v>48</v>
      </c>
      <c r="C7" s="19" t="s">
        <v>13</v>
      </c>
      <c r="D7" s="19" t="s">
        <v>157</v>
      </c>
      <c r="E7" s="19" t="b">
        <v>1</v>
      </c>
      <c r="F7" s="19" t="s">
        <v>113</v>
      </c>
      <c r="G7" s="19" t="s">
        <v>73</v>
      </c>
      <c r="H7" s="19" t="s">
        <v>61</v>
      </c>
      <c r="I7" s="19" t="s">
        <v>19</v>
      </c>
      <c r="J7" s="19" t="s">
        <v>15</v>
      </c>
      <c r="K7" s="19" t="s">
        <v>52</v>
      </c>
      <c r="L7" s="19" t="s">
        <v>124</v>
      </c>
      <c r="M7" s="19" t="s">
        <v>73</v>
      </c>
      <c r="N7" s="19" t="s">
        <v>61</v>
      </c>
    </row>
    <row r="8" spans="1:447" x14ac:dyDescent="0.35">
      <c r="A8" s="32" t="s">
        <v>49</v>
      </c>
      <c r="B8" s="32" t="s">
        <v>48</v>
      </c>
      <c r="C8" s="32" t="s">
        <v>13</v>
      </c>
      <c r="D8" s="32" t="s">
        <v>125</v>
      </c>
      <c r="E8" s="32" t="b">
        <v>1</v>
      </c>
      <c r="F8" s="32" t="s">
        <v>140</v>
      </c>
      <c r="G8" s="32" t="s">
        <v>129</v>
      </c>
      <c r="H8" s="32" t="s">
        <v>130</v>
      </c>
      <c r="I8" s="32" t="s">
        <v>77</v>
      </c>
      <c r="J8" s="32" t="s">
        <v>78</v>
      </c>
      <c r="K8" s="32" t="s">
        <v>79</v>
      </c>
      <c r="L8" s="32" t="s">
        <v>137</v>
      </c>
      <c r="M8" s="32" t="s">
        <v>129</v>
      </c>
      <c r="N8" s="32" t="s">
        <v>130</v>
      </c>
    </row>
    <row r="9" spans="1:447" x14ac:dyDescent="0.35">
      <c r="A9" s="32" t="s">
        <v>49</v>
      </c>
      <c r="B9" s="32" t="s">
        <v>48</v>
      </c>
      <c r="C9" s="32" t="s">
        <v>13</v>
      </c>
      <c r="D9" s="32" t="s">
        <v>126</v>
      </c>
      <c r="E9" s="32" t="b">
        <v>1</v>
      </c>
      <c r="F9" s="32" t="s">
        <v>141</v>
      </c>
      <c r="G9" s="32" t="s">
        <v>131</v>
      </c>
      <c r="H9" s="32" t="s">
        <v>132</v>
      </c>
      <c r="I9" s="32" t="s">
        <v>77</v>
      </c>
      <c r="J9" s="32" t="s">
        <v>78</v>
      </c>
      <c r="K9" s="32" t="s">
        <v>79</v>
      </c>
      <c r="L9" s="32" t="s">
        <v>138</v>
      </c>
      <c r="M9" s="32" t="s">
        <v>131</v>
      </c>
      <c r="N9" s="32" t="s">
        <v>132</v>
      </c>
    </row>
    <row r="10" spans="1:447" x14ac:dyDescent="0.35">
      <c r="A10" s="32" t="s">
        <v>49</v>
      </c>
      <c r="B10" s="32" t="s">
        <v>48</v>
      </c>
      <c r="C10" s="32" t="s">
        <v>13</v>
      </c>
      <c r="D10" s="32" t="s">
        <v>127</v>
      </c>
      <c r="E10" s="32" t="b">
        <v>1</v>
      </c>
      <c r="F10" s="32" t="s">
        <v>142</v>
      </c>
      <c r="G10" s="32" t="s">
        <v>133</v>
      </c>
      <c r="H10" s="32" t="s">
        <v>134</v>
      </c>
      <c r="I10" s="32" t="s">
        <v>77</v>
      </c>
      <c r="J10" s="32" t="s">
        <v>78</v>
      </c>
      <c r="K10" s="32" t="s">
        <v>79</v>
      </c>
      <c r="L10" s="32" t="s">
        <v>139</v>
      </c>
      <c r="M10" s="32" t="s">
        <v>133</v>
      </c>
      <c r="N10" s="32" t="s">
        <v>134</v>
      </c>
    </row>
    <row r="11" spans="1:447" x14ac:dyDescent="0.35">
      <c r="A11" s="32" t="s">
        <v>49</v>
      </c>
      <c r="B11" s="32" t="s">
        <v>48</v>
      </c>
      <c r="C11" s="32" t="s">
        <v>13</v>
      </c>
      <c r="D11" s="32" t="s">
        <v>128</v>
      </c>
      <c r="E11" s="32" t="b">
        <v>1</v>
      </c>
      <c r="F11" s="32" t="s">
        <v>119</v>
      </c>
      <c r="G11" s="32" t="s">
        <v>135</v>
      </c>
      <c r="H11" s="32" t="s">
        <v>136</v>
      </c>
      <c r="I11" s="32" t="s">
        <v>77</v>
      </c>
      <c r="J11" s="32" t="s">
        <v>78</v>
      </c>
      <c r="K11" s="32" t="s">
        <v>79</v>
      </c>
      <c r="L11" s="32" t="s">
        <v>120</v>
      </c>
      <c r="M11" s="32" t="s">
        <v>135</v>
      </c>
      <c r="N11" s="32" t="s">
        <v>136</v>
      </c>
    </row>
    <row r="12" spans="1:447" x14ac:dyDescent="0.35">
      <c r="A12" s="49" t="s">
        <v>55</v>
      </c>
      <c r="B12" s="49" t="s">
        <v>48</v>
      </c>
      <c r="C12" s="49" t="s">
        <v>13</v>
      </c>
      <c r="D12" s="49" t="s">
        <v>283</v>
      </c>
      <c r="E12" s="49" t="b">
        <v>1</v>
      </c>
      <c r="F12" s="49" t="s">
        <v>287</v>
      </c>
      <c r="G12" s="49" t="s">
        <v>284</v>
      </c>
      <c r="H12" s="49" t="s">
        <v>284</v>
      </c>
      <c r="I12" s="49" t="s">
        <v>54</v>
      </c>
      <c r="J12" s="49" t="s">
        <v>55</v>
      </c>
      <c r="K12" s="49" t="s">
        <v>56</v>
      </c>
      <c r="L12" s="49" t="s">
        <v>288</v>
      </c>
      <c r="M12" s="49" t="s">
        <v>285</v>
      </c>
      <c r="N12" s="49" t="s">
        <v>286</v>
      </c>
    </row>
    <row r="13" spans="1:447" x14ac:dyDescent="0.35">
      <c r="A13" s="33" t="s">
        <v>55</v>
      </c>
      <c r="B13" s="33" t="s">
        <v>48</v>
      </c>
      <c r="C13" s="33" t="s">
        <v>13</v>
      </c>
      <c r="D13" s="33" t="s">
        <v>145</v>
      </c>
      <c r="E13" s="33" t="b">
        <v>1</v>
      </c>
      <c r="F13" s="33" t="s">
        <v>62</v>
      </c>
      <c r="G13" s="33" t="s">
        <v>21</v>
      </c>
      <c r="H13" s="33" t="s">
        <v>21</v>
      </c>
      <c r="I13" s="33" t="s">
        <v>54</v>
      </c>
      <c r="J13" s="33" t="s">
        <v>55</v>
      </c>
      <c r="K13" s="33" t="s">
        <v>56</v>
      </c>
      <c r="L13" s="33" t="s">
        <v>24</v>
      </c>
      <c r="M13" s="33" t="s">
        <v>180</v>
      </c>
      <c r="N13" s="33" t="s">
        <v>181</v>
      </c>
    </row>
    <row r="14" spans="1:447" x14ac:dyDescent="0.35">
      <c r="A14" s="33" t="s">
        <v>55</v>
      </c>
      <c r="B14" s="33" t="s">
        <v>48</v>
      </c>
      <c r="C14" s="33" t="s">
        <v>13</v>
      </c>
      <c r="D14" s="33" t="s">
        <v>144</v>
      </c>
      <c r="E14" s="33" t="b">
        <v>1</v>
      </c>
      <c r="F14" s="33" t="s">
        <v>63</v>
      </c>
      <c r="G14" s="33" t="s">
        <v>150</v>
      </c>
      <c r="H14" s="33" t="s">
        <v>104</v>
      </c>
      <c r="I14" s="33" t="s">
        <v>54</v>
      </c>
      <c r="J14" s="33" t="s">
        <v>55</v>
      </c>
      <c r="K14" s="33" t="s">
        <v>56</v>
      </c>
      <c r="L14" s="33" t="s">
        <v>28</v>
      </c>
      <c r="M14" s="33" t="s">
        <v>182</v>
      </c>
      <c r="N14" s="33" t="s">
        <v>183</v>
      </c>
    </row>
    <row r="15" spans="1:447" x14ac:dyDescent="0.35">
      <c r="A15" s="33" t="s">
        <v>55</v>
      </c>
      <c r="B15" s="33" t="s">
        <v>48</v>
      </c>
      <c r="C15" s="33" t="s">
        <v>13</v>
      </c>
      <c r="D15" s="33" t="s">
        <v>143</v>
      </c>
      <c r="E15" s="33" t="b">
        <v>1</v>
      </c>
      <c r="F15" s="33" t="s">
        <v>107</v>
      </c>
      <c r="G15" s="33" t="s">
        <v>149</v>
      </c>
      <c r="H15" s="33" t="s">
        <v>64</v>
      </c>
      <c r="I15" s="33" t="s">
        <v>54</v>
      </c>
      <c r="J15" s="33" t="s">
        <v>55</v>
      </c>
      <c r="K15" s="33" t="s">
        <v>56</v>
      </c>
      <c r="L15" s="33" t="s">
        <v>101</v>
      </c>
      <c r="M15" s="33" t="s">
        <v>184</v>
      </c>
      <c r="N15" s="33" t="s">
        <v>185</v>
      </c>
    </row>
    <row r="16" spans="1:447" x14ac:dyDescent="0.35">
      <c r="A16" s="33" t="s">
        <v>55</v>
      </c>
      <c r="B16" s="33" t="s">
        <v>48</v>
      </c>
      <c r="C16" s="33" t="s">
        <v>13</v>
      </c>
      <c r="D16" s="33" t="s">
        <v>205</v>
      </c>
      <c r="E16" s="33" t="b">
        <v>1</v>
      </c>
      <c r="F16" s="33" t="s">
        <v>174</v>
      </c>
      <c r="G16" s="33" t="s">
        <v>164</v>
      </c>
      <c r="H16" s="33" t="s">
        <v>170</v>
      </c>
      <c r="I16" s="33" t="s">
        <v>54</v>
      </c>
      <c r="J16" s="33" t="s">
        <v>55</v>
      </c>
      <c r="K16" s="33" t="s">
        <v>56</v>
      </c>
      <c r="L16" s="33" t="s">
        <v>211</v>
      </c>
      <c r="M16" s="33" t="s">
        <v>186</v>
      </c>
      <c r="N16" s="33" t="s">
        <v>187</v>
      </c>
    </row>
    <row r="17" spans="1:14" x14ac:dyDescent="0.35">
      <c r="A17" s="33" t="s">
        <v>55</v>
      </c>
      <c r="B17" s="33" t="s">
        <v>48</v>
      </c>
      <c r="C17" s="33" t="s">
        <v>13</v>
      </c>
      <c r="D17" s="33" t="s">
        <v>206</v>
      </c>
      <c r="E17" s="33" t="b">
        <v>1</v>
      </c>
      <c r="F17" s="33" t="s">
        <v>175</v>
      </c>
      <c r="G17" s="33" t="s">
        <v>165</v>
      </c>
      <c r="H17" s="33" t="s">
        <v>171</v>
      </c>
      <c r="I17" s="33" t="s">
        <v>54</v>
      </c>
      <c r="J17" s="33" t="s">
        <v>55</v>
      </c>
      <c r="K17" s="33" t="s">
        <v>56</v>
      </c>
      <c r="L17" s="33" t="s">
        <v>212</v>
      </c>
      <c r="M17" s="33" t="s">
        <v>188</v>
      </c>
      <c r="N17" s="33" t="s">
        <v>189</v>
      </c>
    </row>
    <row r="18" spans="1:14" x14ac:dyDescent="0.35">
      <c r="A18" s="33" t="s">
        <v>55</v>
      </c>
      <c r="B18" s="33" t="s">
        <v>48</v>
      </c>
      <c r="C18" s="33" t="s">
        <v>13</v>
      </c>
      <c r="D18" s="33" t="s">
        <v>207</v>
      </c>
      <c r="E18" s="33" t="b">
        <v>1</v>
      </c>
      <c r="F18" s="33" t="s">
        <v>176</v>
      </c>
      <c r="G18" s="33" t="s">
        <v>166</v>
      </c>
      <c r="H18" s="33" t="s">
        <v>172</v>
      </c>
      <c r="I18" s="33" t="s">
        <v>54</v>
      </c>
      <c r="J18" s="33" t="s">
        <v>55</v>
      </c>
      <c r="K18" s="33" t="s">
        <v>56</v>
      </c>
      <c r="L18" s="33" t="s">
        <v>213</v>
      </c>
      <c r="M18" s="33" t="s">
        <v>190</v>
      </c>
      <c r="N18" s="33" t="s">
        <v>191</v>
      </c>
    </row>
    <row r="19" spans="1:14" x14ac:dyDescent="0.35">
      <c r="A19" s="33" t="s">
        <v>55</v>
      </c>
      <c r="B19" s="33" t="s">
        <v>48</v>
      </c>
      <c r="C19" s="33" t="s">
        <v>13</v>
      </c>
      <c r="D19" s="33" t="s">
        <v>208</v>
      </c>
      <c r="E19" s="33" t="b">
        <v>1</v>
      </c>
      <c r="F19" s="33" t="s">
        <v>177</v>
      </c>
      <c r="G19" s="33" t="s">
        <v>167</v>
      </c>
      <c r="H19" s="33" t="s">
        <v>167</v>
      </c>
      <c r="I19" s="33" t="s">
        <v>54</v>
      </c>
      <c r="J19" s="33" t="s">
        <v>55</v>
      </c>
      <c r="K19" s="33" t="s">
        <v>56</v>
      </c>
      <c r="L19" s="33" t="s">
        <v>214</v>
      </c>
      <c r="M19" s="33" t="s">
        <v>192</v>
      </c>
      <c r="N19" s="33" t="s">
        <v>193</v>
      </c>
    </row>
    <row r="20" spans="1:14" x14ac:dyDescent="0.35">
      <c r="A20" s="33" t="s">
        <v>55</v>
      </c>
      <c r="B20" s="33" t="s">
        <v>48</v>
      </c>
      <c r="C20" s="33" t="s">
        <v>13</v>
      </c>
      <c r="D20" s="33" t="s">
        <v>146</v>
      </c>
      <c r="E20" s="33" t="b">
        <v>1</v>
      </c>
      <c r="F20" s="33" t="s">
        <v>65</v>
      </c>
      <c r="G20" s="33" t="s">
        <v>151</v>
      </c>
      <c r="H20" s="33" t="s">
        <v>66</v>
      </c>
      <c r="I20" s="33" t="s">
        <v>54</v>
      </c>
      <c r="J20" s="33" t="s">
        <v>55</v>
      </c>
      <c r="K20" s="33" t="s">
        <v>56</v>
      </c>
      <c r="L20" s="33" t="s">
        <v>32</v>
      </c>
      <c r="M20" s="33" t="s">
        <v>194</v>
      </c>
      <c r="N20" s="33" t="s">
        <v>195</v>
      </c>
    </row>
    <row r="21" spans="1:14" x14ac:dyDescent="0.35">
      <c r="A21" s="33" t="s">
        <v>55</v>
      </c>
      <c r="B21" s="33" t="s">
        <v>48</v>
      </c>
      <c r="C21" s="33" t="s">
        <v>13</v>
      </c>
      <c r="D21" s="33" t="s">
        <v>69</v>
      </c>
      <c r="E21" s="33" t="b">
        <v>1</v>
      </c>
      <c r="F21" s="33" t="s">
        <v>109</v>
      </c>
      <c r="G21" s="33" t="s">
        <v>37</v>
      </c>
      <c r="H21" s="33" t="s">
        <v>70</v>
      </c>
      <c r="I21" s="33" t="s">
        <v>54</v>
      </c>
      <c r="J21" s="33" t="s">
        <v>55</v>
      </c>
      <c r="K21" s="33" t="s">
        <v>56</v>
      </c>
      <c r="L21" s="33" t="s">
        <v>40</v>
      </c>
      <c r="M21" s="33" t="s">
        <v>74</v>
      </c>
      <c r="N21" s="33" t="s">
        <v>196</v>
      </c>
    </row>
    <row r="22" spans="1:14" x14ac:dyDescent="0.35">
      <c r="A22" s="33" t="s">
        <v>55</v>
      </c>
      <c r="B22" s="33" t="s">
        <v>48</v>
      </c>
      <c r="C22" s="33" t="s">
        <v>13</v>
      </c>
      <c r="D22" s="33" t="s">
        <v>209</v>
      </c>
      <c r="E22" s="33" t="b">
        <v>1</v>
      </c>
      <c r="F22" s="33" t="s">
        <v>178</v>
      </c>
      <c r="G22" s="33" t="s">
        <v>168</v>
      </c>
      <c r="H22" s="33" t="s">
        <v>67</v>
      </c>
      <c r="I22" s="33" t="s">
        <v>54</v>
      </c>
      <c r="J22" s="33" t="s">
        <v>55</v>
      </c>
      <c r="K22" s="33" t="s">
        <v>56</v>
      </c>
      <c r="L22" s="33" t="s">
        <v>215</v>
      </c>
      <c r="M22" s="33" t="s">
        <v>197</v>
      </c>
      <c r="N22" s="33" t="s">
        <v>198</v>
      </c>
    </row>
    <row r="23" spans="1:14" x14ac:dyDescent="0.35">
      <c r="A23" s="33" t="s">
        <v>55</v>
      </c>
      <c r="B23" s="33" t="s">
        <v>48</v>
      </c>
      <c r="C23" s="33" t="s">
        <v>13</v>
      </c>
      <c r="D23" s="33" t="s">
        <v>148</v>
      </c>
      <c r="E23" s="33" t="b">
        <v>1</v>
      </c>
      <c r="F23" s="33" t="s">
        <v>68</v>
      </c>
      <c r="G23" s="33" t="s">
        <v>153</v>
      </c>
      <c r="H23" s="33" t="s">
        <v>106</v>
      </c>
      <c r="I23" s="33" t="s">
        <v>54</v>
      </c>
      <c r="J23" s="33" t="s">
        <v>55</v>
      </c>
      <c r="K23" s="33" t="s">
        <v>56</v>
      </c>
      <c r="L23" s="33" t="s">
        <v>35</v>
      </c>
      <c r="M23" s="33" t="s">
        <v>199</v>
      </c>
      <c r="N23" s="33" t="s">
        <v>200</v>
      </c>
    </row>
    <row r="24" spans="1:14" x14ac:dyDescent="0.35">
      <c r="A24" s="33" t="s">
        <v>55</v>
      </c>
      <c r="B24" s="33" t="s">
        <v>48</v>
      </c>
      <c r="C24" s="33" t="s">
        <v>13</v>
      </c>
      <c r="D24" s="33" t="s">
        <v>147</v>
      </c>
      <c r="E24" s="33" t="b">
        <v>1</v>
      </c>
      <c r="F24" s="33" t="s">
        <v>108</v>
      </c>
      <c r="G24" s="33" t="s">
        <v>152</v>
      </c>
      <c r="H24" s="33" t="s">
        <v>105</v>
      </c>
      <c r="I24" s="33" t="s">
        <v>54</v>
      </c>
      <c r="J24" s="33" t="s">
        <v>55</v>
      </c>
      <c r="K24" s="33" t="s">
        <v>56</v>
      </c>
      <c r="L24" s="33" t="s">
        <v>102</v>
      </c>
      <c r="M24" s="33" t="s">
        <v>201</v>
      </c>
      <c r="N24" s="33" t="s">
        <v>202</v>
      </c>
    </row>
    <row r="25" spans="1:14" x14ac:dyDescent="0.35">
      <c r="A25" s="33" t="s">
        <v>55</v>
      </c>
      <c r="B25" s="33" t="s">
        <v>48</v>
      </c>
      <c r="C25" s="33" t="s">
        <v>13</v>
      </c>
      <c r="D25" s="33" t="s">
        <v>210</v>
      </c>
      <c r="E25" s="33" t="b">
        <v>1</v>
      </c>
      <c r="F25" s="33" t="s">
        <v>179</v>
      </c>
      <c r="G25" s="33" t="s">
        <v>169</v>
      </c>
      <c r="H25" s="33" t="s">
        <v>173</v>
      </c>
      <c r="I25" s="33" t="s">
        <v>54</v>
      </c>
      <c r="J25" s="33" t="s">
        <v>55</v>
      </c>
      <c r="K25" s="33" t="s">
        <v>56</v>
      </c>
      <c r="L25" s="33" t="s">
        <v>216</v>
      </c>
      <c r="M25" s="33" t="s">
        <v>203</v>
      </c>
      <c r="N25" s="33" t="s">
        <v>204</v>
      </c>
    </row>
    <row r="26" spans="1:14" x14ac:dyDescent="0.35">
      <c r="A26" s="18" t="s">
        <v>59</v>
      </c>
      <c r="B26" s="18" t="s">
        <v>48</v>
      </c>
      <c r="C26" s="18" t="s">
        <v>13</v>
      </c>
      <c r="D26" s="18" t="str">
        <f>_xlfn.CONCAT("Local ",G26)</f>
        <v>Local Bovinos</v>
      </c>
      <c r="E26" s="18" t="b">
        <v>1</v>
      </c>
      <c r="F26" s="18" t="s">
        <v>258</v>
      </c>
      <c r="G26" s="18" t="s">
        <v>249</v>
      </c>
      <c r="H26" s="18" t="s">
        <v>249</v>
      </c>
      <c r="I26" s="18" t="s">
        <v>58</v>
      </c>
      <c r="J26" s="18" t="s">
        <v>59</v>
      </c>
      <c r="K26" s="18" t="s">
        <v>60</v>
      </c>
      <c r="L26" s="18" t="s">
        <v>267</v>
      </c>
      <c r="M26" s="18" t="str">
        <f>_xlfn.CONCAT("Pastures ", G26)</f>
        <v>Pastures Bovinos</v>
      </c>
      <c r="N26" s="18" t="str">
        <f>_xlfn.CONCAT("Pasturas ", G26)</f>
        <v>Pasturas Bovinos</v>
      </c>
    </row>
    <row r="27" spans="1:14" x14ac:dyDescent="0.35">
      <c r="A27" s="18" t="s">
        <v>59</v>
      </c>
      <c r="B27" s="18" t="s">
        <v>48</v>
      </c>
      <c r="C27" s="18" t="s">
        <v>13</v>
      </c>
      <c r="D27" s="18" t="str">
        <f t="shared" ref="D27:D34" si="0">_xlfn.CONCAT("Local ",G27)</f>
        <v>Local Bufalos</v>
      </c>
      <c r="E27" s="18" t="b">
        <v>1</v>
      </c>
      <c r="F27" s="18" t="s">
        <v>259</v>
      </c>
      <c r="G27" s="18" t="s">
        <v>250</v>
      </c>
      <c r="H27" s="18" t="s">
        <v>250</v>
      </c>
      <c r="I27" s="18" t="s">
        <v>58</v>
      </c>
      <c r="J27" s="18" t="s">
        <v>59</v>
      </c>
      <c r="K27" s="18" t="s">
        <v>60</v>
      </c>
      <c r="L27" s="18" t="s">
        <v>268</v>
      </c>
      <c r="M27" s="18" t="str">
        <f t="shared" ref="M27:M34" si="1">_xlfn.CONCAT("Pastures ", G27)</f>
        <v>Pastures Bufalos</v>
      </c>
      <c r="N27" s="18" t="str">
        <f t="shared" ref="N27:N34" si="2">_xlfn.CONCAT("Pasturas ", G27)</f>
        <v>Pasturas Bufalos</v>
      </c>
    </row>
    <row r="28" spans="1:14" x14ac:dyDescent="0.35">
      <c r="A28" s="18" t="s">
        <v>59</v>
      </c>
      <c r="B28" s="18" t="s">
        <v>48</v>
      </c>
      <c r="C28" s="18" t="s">
        <v>13</v>
      </c>
      <c r="D28" s="18" t="str">
        <f t="shared" si="0"/>
        <v>Local Ovejas</v>
      </c>
      <c r="E28" s="18" t="b">
        <v>1</v>
      </c>
      <c r="F28" s="18" t="s">
        <v>260</v>
      </c>
      <c r="G28" s="18" t="s">
        <v>251</v>
      </c>
      <c r="H28" s="18" t="s">
        <v>251</v>
      </c>
      <c r="I28" s="18" t="s">
        <v>58</v>
      </c>
      <c r="J28" s="18" t="s">
        <v>59</v>
      </c>
      <c r="K28" s="18" t="s">
        <v>60</v>
      </c>
      <c r="L28" s="18" t="s">
        <v>269</v>
      </c>
      <c r="M28" s="18" t="str">
        <f t="shared" si="1"/>
        <v>Pastures Ovejas</v>
      </c>
      <c r="N28" s="18" t="str">
        <f t="shared" si="2"/>
        <v>Pasturas Ovejas</v>
      </c>
    </row>
    <row r="29" spans="1:14" x14ac:dyDescent="0.35">
      <c r="A29" s="18" t="s">
        <v>59</v>
      </c>
      <c r="B29" s="18" t="s">
        <v>48</v>
      </c>
      <c r="C29" s="18" t="s">
        <v>13</v>
      </c>
      <c r="D29" s="18" t="str">
        <f t="shared" si="0"/>
        <v>Local Cabras</v>
      </c>
      <c r="E29" s="18" t="b">
        <v>1</v>
      </c>
      <c r="F29" s="18" t="s">
        <v>261</v>
      </c>
      <c r="G29" s="18" t="s">
        <v>252</v>
      </c>
      <c r="H29" s="18" t="s">
        <v>252</v>
      </c>
      <c r="I29" s="18" t="s">
        <v>58</v>
      </c>
      <c r="J29" s="18" t="s">
        <v>59</v>
      </c>
      <c r="K29" s="18" t="s">
        <v>60</v>
      </c>
      <c r="L29" s="18" t="s">
        <v>270</v>
      </c>
      <c r="M29" s="18" t="str">
        <f t="shared" si="1"/>
        <v>Pastures Cabras</v>
      </c>
      <c r="N29" s="18" t="str">
        <f t="shared" si="2"/>
        <v>Pasturas Cabras</v>
      </c>
    </row>
    <row r="30" spans="1:14" x14ac:dyDescent="0.35">
      <c r="A30" s="18" t="s">
        <v>59</v>
      </c>
      <c r="B30" s="18" t="s">
        <v>48</v>
      </c>
      <c r="C30" s="18" t="s">
        <v>13</v>
      </c>
      <c r="D30" s="18" t="str">
        <f t="shared" si="0"/>
        <v>Local Camelidos_sud</v>
      </c>
      <c r="E30" s="18" t="b">
        <v>1</v>
      </c>
      <c r="F30" s="18" t="s">
        <v>262</v>
      </c>
      <c r="G30" s="18" t="s">
        <v>253</v>
      </c>
      <c r="H30" s="18" t="s">
        <v>253</v>
      </c>
      <c r="I30" s="18" t="s">
        <v>58</v>
      </c>
      <c r="J30" s="18" t="s">
        <v>59</v>
      </c>
      <c r="K30" s="18" t="s">
        <v>60</v>
      </c>
      <c r="L30" s="18" t="s">
        <v>271</v>
      </c>
      <c r="M30" s="18" t="str">
        <f t="shared" si="1"/>
        <v>Pastures Camelidos_sud</v>
      </c>
      <c r="N30" s="18" t="str">
        <f t="shared" si="2"/>
        <v>Pasturas Camelidos_sud</v>
      </c>
    </row>
    <row r="31" spans="1:14" x14ac:dyDescent="0.35">
      <c r="A31" s="18" t="s">
        <v>59</v>
      </c>
      <c r="B31" s="18" t="s">
        <v>48</v>
      </c>
      <c r="C31" s="18" t="s">
        <v>13</v>
      </c>
      <c r="D31" s="18" t="str">
        <f t="shared" si="0"/>
        <v>Local Caballos</v>
      </c>
      <c r="E31" s="18" t="b">
        <v>1</v>
      </c>
      <c r="F31" s="18" t="s">
        <v>263</v>
      </c>
      <c r="G31" s="18" t="s">
        <v>254</v>
      </c>
      <c r="H31" s="18" t="s">
        <v>254</v>
      </c>
      <c r="I31" s="18" t="s">
        <v>58</v>
      </c>
      <c r="J31" s="18" t="s">
        <v>59</v>
      </c>
      <c r="K31" s="18" t="s">
        <v>60</v>
      </c>
      <c r="L31" s="18" t="s">
        <v>272</v>
      </c>
      <c r="M31" s="18" t="str">
        <f t="shared" si="1"/>
        <v>Pastures Caballos</v>
      </c>
      <c r="N31" s="18" t="str">
        <f t="shared" si="2"/>
        <v>Pasturas Caballos</v>
      </c>
    </row>
    <row r="32" spans="1:14" x14ac:dyDescent="0.35">
      <c r="A32" s="18" t="s">
        <v>59</v>
      </c>
      <c r="B32" s="18" t="s">
        <v>48</v>
      </c>
      <c r="C32" s="18" t="s">
        <v>13</v>
      </c>
      <c r="D32" s="18" t="str">
        <f t="shared" si="0"/>
        <v>Local Mulas</v>
      </c>
      <c r="E32" s="18" t="b">
        <v>1</v>
      </c>
      <c r="F32" s="18" t="s">
        <v>264</v>
      </c>
      <c r="G32" s="18" t="s">
        <v>255</v>
      </c>
      <c r="H32" s="18" t="s">
        <v>255</v>
      </c>
      <c r="I32" s="18" t="s">
        <v>58</v>
      </c>
      <c r="J32" s="18" t="s">
        <v>59</v>
      </c>
      <c r="K32" s="18" t="s">
        <v>60</v>
      </c>
      <c r="L32" s="18" t="s">
        <v>273</v>
      </c>
      <c r="M32" s="18" t="str">
        <f t="shared" si="1"/>
        <v>Pastures Mulas</v>
      </c>
      <c r="N32" s="18" t="str">
        <f t="shared" si="2"/>
        <v>Pasturas Mulas</v>
      </c>
    </row>
    <row r="33" spans="1:14" x14ac:dyDescent="0.35">
      <c r="A33" s="18" t="s">
        <v>59</v>
      </c>
      <c r="B33" s="18" t="s">
        <v>48</v>
      </c>
      <c r="C33" s="18" t="s">
        <v>13</v>
      </c>
      <c r="D33" s="18" t="str">
        <f t="shared" si="0"/>
        <v>Local Cerdos</v>
      </c>
      <c r="E33" s="18" t="b">
        <v>1</v>
      </c>
      <c r="F33" s="18" t="s">
        <v>265</v>
      </c>
      <c r="G33" s="18" t="s">
        <v>256</v>
      </c>
      <c r="H33" s="18" t="s">
        <v>256</v>
      </c>
      <c r="I33" s="18" t="s">
        <v>58</v>
      </c>
      <c r="J33" s="18" t="s">
        <v>59</v>
      </c>
      <c r="K33" s="18" t="s">
        <v>60</v>
      </c>
      <c r="L33" s="18" t="s">
        <v>40</v>
      </c>
      <c r="M33" s="18" t="str">
        <f t="shared" si="1"/>
        <v>Pastures Cerdos</v>
      </c>
      <c r="N33" s="18" t="str">
        <f t="shared" si="2"/>
        <v>Pasturas Cerdos</v>
      </c>
    </row>
    <row r="34" spans="1:14" x14ac:dyDescent="0.35">
      <c r="A34" s="18" t="s">
        <v>59</v>
      </c>
      <c r="B34" s="18" t="s">
        <v>48</v>
      </c>
      <c r="C34" s="18" t="s">
        <v>13</v>
      </c>
      <c r="D34" s="18" t="str">
        <f t="shared" si="0"/>
        <v>Local Aves</v>
      </c>
      <c r="E34" s="18" t="b">
        <v>1</v>
      </c>
      <c r="F34" s="18" t="s">
        <v>266</v>
      </c>
      <c r="G34" s="18" t="s">
        <v>257</v>
      </c>
      <c r="H34" s="18" t="s">
        <v>257</v>
      </c>
      <c r="I34" s="18" t="s">
        <v>58</v>
      </c>
      <c r="J34" s="18" t="s">
        <v>59</v>
      </c>
      <c r="K34" s="18" t="s">
        <v>60</v>
      </c>
      <c r="L34" s="18" t="s">
        <v>274</v>
      </c>
      <c r="M34" s="18" t="str">
        <f t="shared" si="1"/>
        <v>Pastures Aves</v>
      </c>
      <c r="N34" s="18" t="str">
        <f t="shared" si="2"/>
        <v>Pasturas Aves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5" sqref="D35"/>
    </sheetView>
  </sheetViews>
  <sheetFormatPr defaultColWidth="9.08984375" defaultRowHeight="14.5" x14ac:dyDescent="0.35"/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  <row r="4" spans="1:1" x14ac:dyDescent="0.35">
      <c r="A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84D256-80D1-43B5-8E19-CDB4AC90D4A0}"/>
</file>

<file path=customXml/itemProps3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SecondaryEnergy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Luis Victor Gallardo</cp:lastModifiedBy>
  <cp:revision/>
  <dcterms:created xsi:type="dcterms:W3CDTF">2015-06-05T18:17:20Z</dcterms:created>
  <dcterms:modified xsi:type="dcterms:W3CDTF">2024-09-24T19:14:08Z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