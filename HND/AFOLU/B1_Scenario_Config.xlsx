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HND\LULUCF\"/>
    </mc:Choice>
  </mc:AlternateContent>
  <xr:revisionPtr revIDLastSave="0" documentId="13_ncr:1_{C27B6E9F-A714-4339-B5B5-D68A2096EBCD}" xr6:coauthVersionLast="47" xr6:coauthVersionMax="47" xr10:uidLastSave="{00000000-0000-0000-0000-000000000000}"/>
  <bookViews>
    <workbookView xWindow="28680" yWindow="-120" windowWidth="29040" windowHeight="15720" tabRatio="705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Hoja1" sheetId="16" r:id="rId10"/>
    <sheet name="Efficiency" sheetId="9" r:id="rId11"/>
  </sheets>
  <definedNames>
    <definedName name="_xlnm._FilterDatabase" localSheetId="5" hidden="1">Electrical!$A$1:$Q$30</definedName>
    <definedName name="_xlnm._FilterDatabase" localSheetId="8" hidden="1">SmartGrid!$A$1:$AQ$151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3" l="1"/>
  <c r="K8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<sst xmlns="http://schemas.openxmlformats.org/spreadsheetml/2006/main" count="886" uniqueCount="177">
  <si>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</si>
  <si>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</si>
  <si>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</si>
  <si>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</si>
  <si>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</si>
  <si>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</si>
  <si>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</si>
  <si>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</si>
  <si>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</si>
  <si>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</si>
  <si>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</si>
  <si>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</si>
  <si>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</si>
  <si>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</si>
  <si>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</si>
  <si>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</si>
  <si>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</si>
  <si>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</si>
  <si>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</si>
  <si>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</si>
  <si>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</si>
  <si>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</si>
  <si>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</si>
  <si>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</si>
  <si>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</si>
  <si>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</si>
  <si>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</si>
  <si>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</si>
  <si>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</si>
  <si>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</si>
  <si>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</si>
  <si>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</si>
  <si>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</si>
  <si>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</si>
  <si>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</si>
  <si>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</si>
  <si>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</si>
  <si>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</si>
  <si>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</si>
  <si>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</si>
  <si>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</si>
  <si>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</si>
  <si>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</si>
  <si>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</si>
  <si>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</si>
  <si>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</si>
  <si>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TotalTechnologyAnnualActivityUpperLimit</t>
  </si>
  <si>
    <t>2018 ; 2019 ; 2020 ; 2021 ; 2022 ; 2023</t>
  </si>
  <si>
    <t>PJ</t>
  </si>
  <si>
    <t>Write ; Interpolate ; Fix_Last</t>
  </si>
  <si>
    <t>PPGTGLP</t>
  </si>
  <si>
    <t>2018 ; 2019 ; 2020 ; 2021 ; 2022 ; 2023 ; 2024</t>
  </si>
  <si>
    <t>PPGTDSL</t>
  </si>
  <si>
    <t>PPICEDSL</t>
  </si>
  <si>
    <t>PPFOI</t>
  </si>
  <si>
    <t>PPCOK</t>
  </si>
  <si>
    <t>The maximum production with coke</t>
  </si>
  <si>
    <t>PPBIM</t>
  </si>
  <si>
    <t>TotalTechnologyAnnualActivityLowerLimit</t>
  </si>
  <si>
    <t>The minimum production with biomass</t>
  </si>
  <si>
    <t>The minimum production with GLP</t>
  </si>
  <si>
    <t>0.31 ; 0.34 ; 0.31 ; 0.30 ; 0.31 ; 0.16 ; 1.69</t>
  </si>
  <si>
    <t>0.003 ; 0.022 ; 0.00 ; 0.00 ; 0.00 ; 0.00</t>
  </si>
  <si>
    <t>0.36 ; 0.68 ; 0.61 ; 0.08 ; 0.09 ; 0.09</t>
  </si>
  <si>
    <t>PPNGS</t>
  </si>
  <si>
    <t>The maximum production with natural gas</t>
  </si>
  <si>
    <t>2018 ; 2019 ; 2020 ; 2021 ; 2022 ; 2023 ; 2024 ; 2025 ; 2026 ; 2027 ; 2028 ; 2029 ; 2030 ; 2031 ; 2032 ; 2033</t>
  </si>
  <si>
    <t>CapacityFactor</t>
  </si>
  <si>
    <t>The capacity factor of natural gas plants</t>
  </si>
  <si>
    <t>2018 ; 2019 ; 2020 ; 2021 ; 2022 ; 2023 ; 2024 ; 2025 ; 2026 ; 2027 ; 2028 ; 2029 ; 2030 ; 2031 ; 2032 ; 2033 ; 2034 ; 2035 ; 2036 ; 2037 ; 2038 ; 2039 ; 2040 ; 2041 ; 2042 ; 2043 ; 2044</t>
  </si>
  <si>
    <t>0 ; 0 ; 0.25 ; 0.25 ; 0.25 ; 0.25 ; 0.25 ; 0.25 ; 0.25 ; 0.25 ; 0.25 ; 0.25 ; 0.25 ; 0.3 ; 0.3 ; 0.3 ; 0.3 ; 0.3 ; 0.32 ; 0.34 ; 0.36 ; 0.38 ; 0.4 ; 0.42 ; 0.44 ; 0.46 ; 0.48</t>
  </si>
  <si>
    <t>Overwrite ; Interpolate ; Fix_Last</t>
  </si>
  <si>
    <t>The minimum production with fuel oil</t>
  </si>
  <si>
    <t>The capacity factor of fuel oil</t>
  </si>
  <si>
    <t>0.36707129 ; 0.534936922 ; 0.476596416 ; 0.42024675 ; 0.459156858 ; 0.46 ; 0.4 ; 0.35 ; 0.3 ; 0.25 ; 0.25 ; 0.25 ; 0.25 ; 0.25 ; 0.25 ; 0.25 ; 0.25 ; 0.25 ; 0.25 ; 0.25 ; 0.25 ; 0.25 ; 0.25 ; 0.25 ; 0.25 ; 0.25 ; 0.25</t>
  </si>
  <si>
    <t>0.00 ; 0.00 ; 0.00 ; 0.00 ; 0.00 ; 0.00 ; 0.00 ; 3.55 ; 3.55 ; 3.55 ; 4.26 ; 4.26 ; 8.51 ; 8.51 ; 8.51 ; 9.37</t>
  </si>
  <si>
    <t>2.57 ; 2.72 ; 2.54 ; 2.74 ; 2.72 ; 2.72</t>
  </si>
  <si>
    <t>The minimum production with diesel</t>
  </si>
  <si>
    <t>2.34 ; 3.13 ; 2.56 ; 2.6 ; 2.61 ; 2.61 ; 2.61</t>
  </si>
  <si>
    <t>8.28 ; 12.12 ; 10.94 ; 10.60 ; 11.58 ; 11.58 ; 12.48</t>
  </si>
  <si>
    <t>Sector</t>
  </si>
  <si>
    <t>Restriction_Type</t>
  </si>
  <si>
    <t>Transport</t>
  </si>
  <si>
    <t>Private</t>
  </si>
  <si>
    <t>Automobiles Diesel</t>
  </si>
  <si>
    <t>TRAUTDSL</t>
  </si>
  <si>
    <t>interp</t>
  </si>
  <si>
    <t>Min</t>
  </si>
  <si>
    <t>Automobiles Gasoline</t>
  </si>
  <si>
    <t>TRAUTGSL</t>
  </si>
  <si>
    <t>Taxi Gasoline</t>
  </si>
  <si>
    <t>TRTAXGSL</t>
  </si>
  <si>
    <t>Taxi LPG</t>
  </si>
  <si>
    <t>TRTAXLPG</t>
  </si>
  <si>
    <t>Motorcycle Gasoline</t>
  </si>
  <si>
    <t>TRMOTGSL</t>
  </si>
  <si>
    <t>Pick Up and Jeep Diesel</t>
  </si>
  <si>
    <t>TRSUVDSL</t>
  </si>
  <si>
    <t>Pick Up and Jeep Gasoline</t>
  </si>
  <si>
    <t>TRSUVGSL</t>
  </si>
  <si>
    <t>Bus Public Diesel</t>
  </si>
  <si>
    <t>TRBPUDSL</t>
  </si>
  <si>
    <t>Bus Public Gasoline</t>
  </si>
  <si>
    <t>TRBPUGSL</t>
  </si>
  <si>
    <t>Max</t>
  </si>
  <si>
    <t>Bus Public Hydrogen</t>
  </si>
  <si>
    <t>TRBPUHYD</t>
  </si>
  <si>
    <t>Bus Tourism Diesel</t>
  </si>
  <si>
    <t>TRBTURDSL</t>
  </si>
  <si>
    <t>Bus Tourism Gasoline</t>
  </si>
  <si>
    <t>TRBTURGSL</t>
  </si>
  <si>
    <t>Bus Tourism Electric</t>
  </si>
  <si>
    <t>TRBTURELE</t>
  </si>
  <si>
    <t>Minibus Diesel</t>
  </si>
  <si>
    <t>TRMBSDSL</t>
  </si>
  <si>
    <t>Minibus Gasoline</t>
  </si>
  <si>
    <t>TRMBSGSL</t>
  </si>
  <si>
    <t>Heavy Fright</t>
  </si>
  <si>
    <t>Heavy Truck Diesel</t>
  </si>
  <si>
    <t>TRYTKDSL</t>
  </si>
  <si>
    <t>Heavy Truck Electric</t>
  </si>
  <si>
    <t>TRYTKELE</t>
  </si>
  <si>
    <t>Heavy Truck Hydrogen</t>
  </si>
  <si>
    <t>TRYTKHYD</t>
  </si>
  <si>
    <t>Heavy Truck Hybrid Diesel</t>
  </si>
  <si>
    <t>TRYTKHD</t>
  </si>
  <si>
    <t>Light Freight</t>
  </si>
  <si>
    <t>Light Truck Diesel</t>
  </si>
  <si>
    <t>TRYLFDSL</t>
  </si>
  <si>
    <t>Light Truck Gasoline</t>
  </si>
  <si>
    <t>TRYLFGSL</t>
  </si>
  <si>
    <t>Light Truck Hybrid Diesel</t>
  </si>
  <si>
    <t>TRYLFHD</t>
  </si>
  <si>
    <t>Light Truck Electric</t>
  </si>
  <si>
    <t>TRYLFELE</t>
  </si>
  <si>
    <t>Min/Max</t>
  </si>
  <si>
    <t>Automobiles Hybrid Gasoline</t>
  </si>
  <si>
    <t>TRAUTHG</t>
  </si>
  <si>
    <t>Automobiles Electric</t>
  </si>
  <si>
    <t>TRAUTELE</t>
  </si>
  <si>
    <t>Taxi Electric</t>
  </si>
  <si>
    <t>TRTAXELE</t>
  </si>
  <si>
    <t>Motorcycle Electric</t>
  </si>
  <si>
    <t>TRMOTELE</t>
  </si>
  <si>
    <t>Pick Up and Jeep Electric</t>
  </si>
  <si>
    <t>TRSUVELE</t>
  </si>
  <si>
    <t>Bus Public Electric</t>
  </si>
  <si>
    <t>TRBPUELE</t>
  </si>
  <si>
    <t>Minibus Electric</t>
  </si>
  <si>
    <t>TRMBSELE</t>
  </si>
  <si>
    <t>Set</t>
  </si>
  <si>
    <t>Set_Index</t>
  </si>
  <si>
    <t>Contains: PP</t>
  </si>
  <si>
    <t>Relationship of yearly output and capacity for power plants (electrical load factor)</t>
  </si>
  <si>
    <t>None</t>
  </si>
  <si>
    <t>Exact_Multiplier</t>
  </si>
  <si>
    <t> </t>
  </si>
  <si>
    <t>LU_FORLAT</t>
  </si>
  <si>
    <t>Exact</t>
  </si>
  <si>
    <t>LU_FORCON</t>
  </si>
  <si>
    <t>LU_FORMAN</t>
  </si>
  <si>
    <t>LU_CUL</t>
  </si>
  <si>
    <t>LU_ABO</t>
  </si>
  <si>
    <t>LU_PAS</t>
  </si>
  <si>
    <t>LU_HUM</t>
  </si>
  <si>
    <t>LU_ASE</t>
  </si>
  <si>
    <t>NS_LU_FOR_CON</t>
  </si>
  <si>
    <t>EmissionActivityRatio</t>
  </si>
  <si>
    <t>LU_FORDEC</t>
  </si>
  <si>
    <t>LU_FORMIX</t>
  </si>
  <si>
    <t>LU_AGCAF</t>
  </si>
  <si>
    <t>LU_AGCOC</t>
  </si>
  <si>
    <t>LU_VEG</t>
  </si>
  <si>
    <t>LU_WET</t>
  </si>
  <si>
    <t>LU_OT</t>
  </si>
  <si>
    <t>NS_LU_FOR_PER</t>
  </si>
  <si>
    <t>NS_LU_FOR_OT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</si>
</sst>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49998474074526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5" xfId="0" applyBorder="1"/>
    <xf numFmtId="0" fontId="1" fillId="0" borderId="16" xfId="0" applyFont="1" applyBorder="1"/>
    <xf numFmtId="0" fontId="1" fillId="0" borderId="7" xfId="0" applyFont="1" applyBorder="1"/>
    <xf numFmtId="0" fontId="1" fillId="0" borderId="17" xfId="0" applyFont="1" applyBorder="1"/>
    <xf numFmtId="0" fontId="0" fillId="0" borderId="2" xfId="0" applyBorder="1"/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5" fillId="0" borderId="16" xfId="0" applyFont="1" applyBorder="1"/>
    <xf numFmtId="0" fontId="5" fillId="0" borderId="22" xfId="0" applyFont="1" applyBorder="1"/>
    <xf numFmtId="0" fontId="5" fillId="0" borderId="25" xfId="0" applyFont="1" applyBorder="1"/>
    <xf numFmtId="0" fontId="5" fillId="0" borderId="22" xfId="0" applyFont="1" applyBorder="1" applyAlignment="1">
      <alignment wrapText="1"/>
    </xf>
    <xf numFmtId="0" fontId="5" fillId="0" borderId="26" xfId="0" applyFont="1" applyBorder="1"/>
    <xf numFmtId="0" fontId="5" fillId="0" borderId="19" xfId="0" applyFont="1" applyBorder="1"/>
    <xf numFmtId="0" fontId="6" fillId="7" borderId="36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12" borderId="1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13" borderId="30" xfId="0" applyFont="1" applyFill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6" fillId="13" borderId="35" xfId="0" applyFont="1" applyFill="1" applyBorder="1" applyAlignment="1">
      <alignment horizontal="center" vertical="center"/>
    </xf>
    <xf numFmtId="0" fontId="6" fillId="13" borderId="36" xfId="0" applyFont="1" applyFill="1" applyBorder="1" applyAlignment="1">
      <alignment horizontal="center" vertical="center"/>
    </xf>
    <xf numFmtId="0" fontId="6" fillId="13" borderId="32" xfId="0" applyFont="1" applyFill="1" applyBorder="1" applyAlignment="1">
      <alignment horizontal="center" vertical="center"/>
    </xf>
    <xf numFmtId="0" fontId="6" fillId="13" borderId="34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6" fillId="14" borderId="31" xfId="0" applyFont="1" applyFill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9" xfId="0" applyBorder="1"/>
    <xf numFmtId="0" fontId="0" fillId="0" borderId="3" xfId="0" applyBorder="1"/>
    <xf numFmtId="0" fontId="7" fillId="15" borderId="3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7" fillId="10" borderId="43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7" fillId="10" borderId="40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2" fontId="8" fillId="16" borderId="11" xfId="0" applyNumberFormat="1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9" fillId="0" borderId="13" xfId="0" applyFont="1" applyBorder="1"/>
    <xf numFmtId="0" fontId="9" fillId="0" borderId="23" xfId="0" applyFont="1" applyBorder="1"/>
    <xf numFmtId="0" fontId="9" fillId="0" borderId="46" xfId="0" applyFont="1" applyBorder="1"/>
    <xf numFmtId="0" fontId="9" fillId="0" borderId="20" xfId="0" applyFont="1" applyBorder="1"/>
    <xf numFmtId="0" fontId="9" fillId="0" borderId="15" xfId="0" applyFont="1" applyBorder="1"/>
    <xf numFmtId="0" fontId="9" fillId="0" borderId="47" xfId="0" applyFont="1" applyBorder="1"/>
    <xf numFmtId="0" fontId="9" fillId="0" borderId="48" xfId="0" applyFont="1" applyBorder="1"/>
    <xf numFmtId="0" fontId="9" fillId="0" borderId="36" xfId="0" applyFont="1" applyBorder="1"/>
    <xf numFmtId="0" fontId="9" fillId="0" borderId="44" xfId="0" applyFont="1" applyBorder="1"/>
    <xf numFmtId="0" fontId="9" fillId="0" borderId="45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32" xfId="0" applyFont="1" applyBorder="1"/>
    <xf numFmtId="0" fontId="10" fillId="0" borderId="16" xfId="0" applyFont="1" applyBorder="1"/>
    <xf numFmtId="0" fontId="10" fillId="0" borderId="22" xfId="0" applyFont="1" applyBorder="1"/>
    <xf numFmtId="0" fontId="10" fillId="0" borderId="22" xfId="0" applyFont="1" applyBorder="1" applyAlignment="1">
      <alignment wrapText="1"/>
    </xf>
    <xf numFmtId="0" fontId="10" fillId="0" borderId="26" xfId="0" applyFont="1" applyBorder="1"/>
    <xf numFmtId="0" fontId="10" fillId="18" borderId="16" xfId="0" applyFont="1" applyFill="1" applyBorder="1"/>
    <xf numFmtId="0" fontId="10" fillId="18" borderId="22" xfId="0" applyFont="1" applyFill="1" applyBorder="1"/>
    <xf numFmtId="0" fontId="10" fillId="18" borderId="25" xfId="0" applyFont="1" applyFill="1" applyBorder="1"/>
    <xf numFmtId="0" fontId="10" fillId="0" borderId="25" xfId="0" applyFont="1" applyBorder="1"/>
    <xf numFmtId="0" fontId="9" fillId="0" borderId="48" xfId="0" applyFont="1" applyBorder="1" applyAlignment="1">
      <alignment wrapText="1"/>
    </xf>
    <xf numFmtId="0" fontId="9" fillId="18" borderId="47" xfId="0" applyFont="1" applyFill="1" applyBorder="1"/>
    <xf numFmtId="0" fontId="9" fillId="18" borderId="48" xfId="0" applyFont="1" applyFill="1" applyBorder="1"/>
    <xf numFmtId="0" fontId="9" fillId="18" borderId="37" xfId="0" applyFont="1" applyFill="1" applyBorder="1"/>
    <xf numFmtId="0" fontId="9" fillId="0" borderId="39" xfId="0" applyFont="1" applyBorder="1"/>
    <xf numFmtId="0" fontId="9" fillId="0" borderId="37" xfId="0" applyFont="1" applyBorder="1"/>
    <xf numFmtId="0" fontId="9" fillId="18" borderId="13" xfId="0" applyFont="1" applyFill="1" applyBorder="1"/>
    <xf numFmtId="0" fontId="9" fillId="18" borderId="23" xfId="0" applyFont="1" applyFill="1" applyBorder="1"/>
    <xf numFmtId="0" fontId="9" fillId="18" borderId="50" xfId="0" applyFont="1" applyFill="1" applyBorder="1"/>
    <xf numFmtId="0" fontId="9" fillId="0" borderId="50" xfId="0" applyFont="1" applyBorder="1"/>
    <xf numFmtId="0" fontId="9" fillId="0" borderId="28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30" xfId="0" applyFont="1" applyBorder="1"/>
    <xf numFmtId="0" fontId="9" fillId="0" borderId="33" xfId="0" applyFont="1" applyBorder="1"/>
    <xf numFmtId="0" fontId="9" fillId="0" borderId="0" xfId="0" applyFont="1"/>
    <xf numFmtId="0" fontId="9" fillId="0" borderId="34" xfId="0" applyFont="1" applyBorder="1"/>
    <xf numFmtId="0" fontId="9" fillId="0" borderId="35" xfId="0" applyFont="1" applyBorder="1"/>
    <xf numFmtId="0" fontId="9" fillId="17" borderId="13" xfId="0" applyFont="1" applyFill="1" applyBorder="1"/>
    <xf numFmtId="0" fontId="9" fillId="17" borderId="23" xfId="0" applyFont="1" applyFill="1" applyBorder="1"/>
    <xf numFmtId="0" fontId="9" fillId="17" borderId="49" xfId="0" applyFont="1" applyFill="1" applyBorder="1" applyAlignment="1">
      <alignment wrapText="1"/>
    </xf>
    <xf numFmtId="0" fontId="9" fillId="17" borderId="46" xfId="0" applyFont="1" applyFill="1" applyBorder="1"/>
    <xf numFmtId="0" fontId="9" fillId="17" borderId="16" xfId="0" applyFont="1" applyFill="1" applyBorder="1"/>
    <xf numFmtId="0" fontId="9" fillId="17" borderId="22" xfId="0" applyFont="1" applyFill="1" applyBorder="1"/>
    <xf numFmtId="0" fontId="9" fillId="17" borderId="22" xfId="0" applyFont="1" applyFill="1" applyBorder="1" applyAlignment="1">
      <alignment wrapText="1"/>
    </xf>
    <xf numFmtId="0" fontId="9" fillId="17" borderId="26" xfId="0" applyFont="1" applyFill="1" applyBorder="1"/>
    <xf numFmtId="0" fontId="9" fillId="18" borderId="16" xfId="0" applyFont="1" applyFill="1" applyBorder="1"/>
    <xf numFmtId="0" fontId="9" fillId="18" borderId="22" xfId="0" applyFont="1" applyFill="1" applyBorder="1"/>
    <xf numFmtId="0" fontId="9" fillId="18" borderId="25" xfId="0" applyFont="1" applyFill="1" applyBorder="1"/>
    <xf numFmtId="0" fontId="9" fillId="0" borderId="22" xfId="0" applyFont="1" applyBorder="1"/>
    <xf numFmtId="0" fontId="9" fillId="0" borderId="25" xfId="0" applyFont="1" applyBorder="1"/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19" borderId="34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0" borderId="9" xfId="0" applyBorder="1" applyAlignment="1">
      <alignment horizontal="center" vertical="center" wrapText="1"/>
    </xf>
    <xf numFmtId="0" fontId="0" fillId="3" borderId="9" xfId="0" applyFill="1" applyBorder="1"/>
    <xf numFmtId="164" fontId="0" fillId="0" borderId="9" xfId="0" applyNumberFormat="1" applyBorder="1"/>
    <xf numFmtId="9" fontId="0" fillId="0" borderId="9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8" xfId="0" applyFill="1" applyBorder="1"/>
    <xf numFmtId="164" fontId="0" fillId="0" borderId="8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10" xfId="0" applyBorder="1" applyAlignment="1">
      <alignment horizontal="center" vertical="center" wrapText="1"/>
    </xf>
    <xf numFmtId="0" fontId="0" fillId="3" borderId="10" xfId="0" applyFill="1" applyBorder="1"/>
    <xf numFmtId="164" fontId="0" fillId="0" borderId="10" xfId="0" applyNumberFormat="1" applyBorder="1"/>
    <xf numFmtId="164" fontId="0" fillId="0" borderId="6" xfId="0" applyNumberFormat="1" applyBorder="1"/>
    <xf numFmtId="0" fontId="0" fillId="0" borderId="14" xfId="0" applyBorder="1" applyAlignment="1">
      <alignment horizontal="center" vertical="center" wrapText="1"/>
    </xf>
    <xf numFmtId="0" fontId="0" fillId="0" borderId="14" xfId="0" applyBorder="1"/>
    <xf numFmtId="164" fontId="0" fillId="0" borderId="14" xfId="0" applyNumberFormat="1" applyBorder="1"/>
    <xf numFmtId="164" fontId="0" fillId="0" borderId="15" xfId="0" applyNumberFormat="1" applyBorder="1"/>
    <xf numFmtId="0" fontId="9" fillId="20" borderId="1" xfId="0" applyFont="1" applyFill="1" applyBorder="1" applyAlignment="1">
      <alignment vertical="center"/>
    </xf>
    <xf numFmtId="0" fontId="9" fillId="20" borderId="8" xfId="0" applyFont="1" applyFill="1" applyBorder="1" applyAlignment="1">
      <alignment vertical="center"/>
    </xf>
    <xf numFmtId="0" fontId="0" fillId="20" borderId="8" xfId="0" applyFill="1" applyBorder="1" applyAlignment="1">
      <alignment vertical="center"/>
    </xf>
    <xf numFmtId="0" fontId="9" fillId="20" borderId="8" xfId="0" applyFont="1" applyFill="1" applyBorder="1" applyAlignment="1">
      <alignment vertical="center" wrapText="1"/>
    </xf>
    <xf numFmtId="0" fontId="9" fillId="21" borderId="8" xfId="0" applyFont="1" applyFill="1" applyBorder="1" applyAlignment="1">
      <alignment vertical="center"/>
    </xf>
    <xf numFmtId="0" fontId="9" fillId="20" borderId="3" xfId="0" applyFont="1" applyFill="1" applyBorder="1" applyAlignment="1">
      <alignment vertical="center"/>
    </xf>
    <xf numFmtId="0" fontId="9" fillId="20" borderId="9" xfId="0" applyFont="1" applyFill="1" applyBorder="1" applyAlignment="1">
      <alignment vertical="center"/>
    </xf>
    <xf numFmtId="0" fontId="0" fillId="20" borderId="9" xfId="0" applyFill="1" applyBorder="1" applyAlignment="1">
      <alignment vertical="center"/>
    </xf>
    <xf numFmtId="0" fontId="9" fillId="20" borderId="9" xfId="0" applyFont="1" applyFill="1" applyBorder="1" applyAlignment="1">
      <alignment vertical="center" wrapText="1"/>
    </xf>
    <xf numFmtId="0" fontId="9" fillId="21" borderId="9" xfId="0" applyFont="1" applyFill="1" applyBorder="1" applyAlignment="1">
      <alignment vertical="center"/>
    </xf>
    <xf numFmtId="0" fontId="9" fillId="20" borderId="5" xfId="0" applyFont="1" applyFill="1" applyBorder="1" applyAlignment="1">
      <alignment vertical="center"/>
    </xf>
    <xf numFmtId="0" fontId="9" fillId="20" borderId="10" xfId="0" applyFont="1" applyFill="1" applyBorder="1" applyAlignment="1">
      <alignment vertical="center"/>
    </xf>
    <xf numFmtId="0" fontId="0" fillId="20" borderId="10" xfId="0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10" borderId="8" xfId="0" applyFont="1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9" fillId="10" borderId="8" xfId="0" applyFont="1" applyFill="1" applyBorder="1" applyAlignment="1">
      <alignment vertical="center" wrapText="1"/>
    </xf>
    <xf numFmtId="0" fontId="9" fillId="14" borderId="8" xfId="0" applyFont="1" applyFill="1" applyBorder="1" applyAlignment="1">
      <alignment vertical="center"/>
    </xf>
    <xf numFmtId="0" fontId="9" fillId="10" borderId="3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9" fillId="10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9" fillId="10" borderId="10" xfId="0" applyFont="1" applyFill="1" applyBorder="1" applyAlignment="1">
      <alignment vertical="center"/>
    </xf>
    <xf numFmtId="0" fontId="0" fillId="10" borderId="10" xfId="0" applyFill="1" applyBorder="1" applyAlignment="1">
      <alignment vertical="center"/>
    </xf>
    <xf numFmtId="165" fontId="9" fillId="10" borderId="8" xfId="0" applyNumberFormat="1" applyFont="1" applyFill="1" applyBorder="1" applyAlignment="1">
      <alignment horizontal="center" vertical="center"/>
    </xf>
    <xf numFmtId="165" fontId="9" fillId="10" borderId="9" xfId="0" applyNumberFormat="1" applyFont="1" applyFill="1" applyBorder="1" applyAlignment="1">
      <alignment horizontal="center" vertical="center"/>
    </xf>
    <xf numFmtId="165" fontId="9" fillId="10" borderId="10" xfId="0" applyNumberFormat="1" applyFont="1" applyFill="1" applyBorder="1" applyAlignment="1">
      <alignment horizontal="center" vertical="center"/>
    </xf>
    <xf numFmtId="165" fontId="9" fillId="20" borderId="9" xfId="0" applyNumberFormat="1" applyFont="1" applyFill="1" applyBorder="1" applyAlignment="1">
      <alignment horizontal="center" vertical="center"/>
    </xf>
    <xf numFmtId="165" fontId="9" fillId="20" borderId="10" xfId="0" applyNumberFormat="1" applyFont="1" applyFill="1" applyBorder="1" applyAlignment="1">
      <alignment horizontal="center" vertical="center"/>
    </xf>
    <xf numFmtId="165" fontId="9" fillId="20" borderId="8" xfId="0" applyNumberFormat="1" applyFont="1" applyFill="1" applyBorder="1" applyAlignment="1">
      <alignment horizontal="center" vertical="center"/>
    </xf>
    <xf numFmtId="0" fontId="9" fillId="10" borderId="27" xfId="0" applyFont="1" applyFill="1" applyBorder="1"/>
    <xf numFmtId="0" fontId="9" fillId="10" borderId="28" xfId="0" applyFont="1" applyFill="1" applyBorder="1"/>
    <xf numFmtId="0" fontId="9" fillId="10" borderId="28" xfId="0" applyFont="1" applyFill="1" applyBorder="1" applyAlignment="1">
      <alignment wrapText="1"/>
    </xf>
    <xf numFmtId="0" fontId="9" fillId="14" borderId="49" xfId="0" applyFont="1" applyFill="1" applyBorder="1"/>
    <xf numFmtId="0" fontId="9" fillId="14" borderId="0" xfId="0" applyFont="1" applyFill="1"/>
    <xf numFmtId="0" fontId="0" fillId="10" borderId="0" xfId="0" applyFill="1"/>
    <xf numFmtId="0" fontId="9" fillId="10" borderId="43" xfId="0" applyFont="1" applyFill="1" applyBorder="1" applyAlignment="1">
      <alignment vertical="center"/>
    </xf>
    <xf numFmtId="0" fontId="9" fillId="10" borderId="11" xfId="0" applyFont="1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165" fontId="9" fillId="3" borderId="28" xfId="0" applyNumberFormat="1" applyFont="1" applyFill="1" applyBorder="1" applyAlignment="1">
      <alignment horizontal="center" vertical="center"/>
    </xf>
    <xf numFmtId="165" fontId="9" fillId="3" borderId="28" xfId="0" applyNumberFormat="1" applyFont="1" applyFill="1" applyBorder="1" applyAlignment="1">
      <alignment vertical="center"/>
    </xf>
    <xf numFmtId="164" fontId="9" fillId="3" borderId="28" xfId="0" applyNumberFormat="1" applyFont="1" applyFill="1" applyBorder="1" applyAlignment="1">
      <alignment horizontal="center"/>
    </xf>
    <xf numFmtId="0" fontId="12" fillId="5" borderId="9" xfId="0" applyFont="1" applyFill="1" applyBorder="1" applyAlignment="1">
      <alignment vertical="center"/>
    </xf>
    <xf numFmtId="0" fontId="13" fillId="22" borderId="9" xfId="0" applyFont="1" applyFill="1" applyBorder="1" applyAlignment="1">
      <alignment vertical="center"/>
    </xf>
    <xf numFmtId="165" fontId="0" fillId="0" borderId="0" xfId="0" applyNumberFormat="1"/>
    <xf numFmtId="165" fontId="10" fillId="20" borderId="8" xfId="0" applyNumberFormat="1" applyFont="1" applyFill="1" applyBorder="1" applyAlignment="1">
      <alignment horizontal="center" vertical="center"/>
    </xf>
    <xf numFmtId="165" fontId="10" fillId="10" borderId="8" xfId="0" applyNumberFormat="1" applyFont="1" applyFill="1" applyBorder="1" applyAlignment="1">
      <alignment horizontal="center" vertical="center"/>
    </xf>
    <xf numFmtId="165" fontId="10" fillId="20" borderId="9" xfId="0" applyNumberFormat="1" applyFont="1" applyFill="1" applyBorder="1" applyAlignment="1">
      <alignment horizontal="center" vertical="center"/>
    </xf>
    <xf numFmtId="165" fontId="10" fillId="10" borderId="9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10" borderId="9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</row>
    <row r="2" spans="1:6" x14ac:dyDescent="0.25">
      <c r="A2" s="25" t="s">
        <v>6</v>
      </c>
      <c r="B2" s="20" t="s">
        <v>7</v>
      </c>
      <c r="C2" s="20" t="s">
        <v>7</v>
      </c>
      <c r="D2" s="20" t="s">
        <v>6</v>
      </c>
      <c r="E2" s="20" t="s">
        <v>8</v>
      </c>
      <c r="F2" s="17" t="s">
        <v>9</v>
      </c>
    </row>
    <row r="3" spans="1:6" x14ac:dyDescent="0.25">
      <c r="A3" s="98"/>
      <c r="B3" s="97"/>
      <c r="C3" s="97"/>
      <c r="D3" s="97"/>
      <c r="E3" s="97"/>
      <c r="F3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1" sqref="B1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0"/>
  <sheetViews>
    <sheetView workbookViewId="0">
      <selection activeCell="A2" sqref="A2:D19"/>
    </sheetView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10" t="s">
        <v>14</v>
      </c>
      <c r="B1" s="11" t="s">
        <v>15</v>
      </c>
      <c r="C1" s="11" t="s">
        <v>16</v>
      </c>
      <c r="D1" s="12" t="s">
        <v>17</v>
      </c>
    </row>
    <row r="2" spans="1:4" x14ac:dyDescent="0.25">
      <c r="A2" s="21"/>
      <c r="B2" s="22"/>
      <c r="C2" s="29"/>
      <c r="D2" s="13"/>
    </row>
    <row r="3" spans="1:4" x14ac:dyDescent="0.25">
      <c r="A3" s="7"/>
      <c r="B3" s="6"/>
      <c r="C3" s="26"/>
      <c r="D3" s="3"/>
    </row>
    <row r="4" spans="1:4" x14ac:dyDescent="0.25">
      <c r="A4" s="7"/>
      <c r="B4" s="6"/>
      <c r="C4" s="26"/>
      <c r="D4" s="3"/>
    </row>
    <row r="5" spans="1:4" x14ac:dyDescent="0.25">
      <c r="A5" s="7"/>
      <c r="B5" s="6"/>
      <c r="C5" s="26"/>
      <c r="D5" s="3"/>
    </row>
    <row r="6" spans="1:4" x14ac:dyDescent="0.25">
      <c r="A6" s="7"/>
      <c r="B6" s="26"/>
      <c r="C6" s="6"/>
      <c r="D6" s="3"/>
    </row>
    <row r="7" spans="1:4" x14ac:dyDescent="0.25">
      <c r="A7" s="7"/>
      <c r="B7" s="6"/>
      <c r="C7" s="26"/>
      <c r="D7" s="3"/>
    </row>
    <row r="8" spans="1:4" x14ac:dyDescent="0.25">
      <c r="A8" s="7"/>
      <c r="B8" s="6"/>
      <c r="C8" s="26"/>
      <c r="D8" s="3"/>
    </row>
    <row r="9" spans="1:4" x14ac:dyDescent="0.25">
      <c r="A9" s="7"/>
      <c r="B9" s="6"/>
      <c r="C9" s="26"/>
      <c r="D9" s="3"/>
    </row>
    <row r="10" spans="1:4" ht="15.75" thickBot="1" x14ac:dyDescent="0.3">
      <c r="A10" s="8"/>
      <c r="B10" s="9"/>
      <c r="C10" s="27"/>
      <c r="D10" s="4"/>
    </row>
    <row r="11" spans="1:4" x14ac:dyDescent="0.25">
      <c r="A11" s="21"/>
      <c r="B11" s="22"/>
      <c r="C11" s="29"/>
      <c r="D11" s="13"/>
    </row>
    <row r="12" spans="1:4" x14ac:dyDescent="0.25">
      <c r="A12" s="7"/>
      <c r="B12" s="6"/>
      <c r="C12" s="26"/>
      <c r="D12" s="3"/>
    </row>
    <row r="13" spans="1:4" x14ac:dyDescent="0.25">
      <c r="A13" s="7"/>
      <c r="B13" s="6"/>
      <c r="C13" s="26"/>
      <c r="D13" s="3"/>
    </row>
    <row r="14" spans="1:4" x14ac:dyDescent="0.25">
      <c r="A14" s="7"/>
      <c r="B14" s="6"/>
      <c r="C14" s="26"/>
      <c r="D14" s="3"/>
    </row>
    <row r="15" spans="1:4" x14ac:dyDescent="0.25">
      <c r="A15" s="7"/>
      <c r="B15" s="26"/>
      <c r="C15" s="6"/>
      <c r="D15" s="3"/>
    </row>
    <row r="16" spans="1:4" x14ac:dyDescent="0.25">
      <c r="A16" s="7"/>
      <c r="B16" s="6"/>
      <c r="C16" s="26"/>
      <c r="D16" s="3"/>
    </row>
    <row r="17" spans="1:4" x14ac:dyDescent="0.25">
      <c r="A17" s="7"/>
      <c r="B17" s="6"/>
      <c r="C17" s="26"/>
      <c r="D17" s="3"/>
    </row>
    <row r="18" spans="1:4" x14ac:dyDescent="0.25">
      <c r="A18" s="7"/>
      <c r="B18" s="6"/>
      <c r="C18" s="26"/>
      <c r="D18" s="3"/>
    </row>
    <row r="19" spans="1:4" ht="15.75" thickBot="1" x14ac:dyDescent="0.3">
      <c r="A19" s="8"/>
      <c r="B19" s="9"/>
      <c r="C19" s="27"/>
      <c r="D19" s="4"/>
    </row>
    <row r="20" spans="1:4" x14ac:dyDescent="0.25">
      <c r="B20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5"/>
  <sheetViews>
    <sheetView zoomScale="130" zoomScaleNormal="130" workbookViewId="0">
      <selection activeCell="A2" sqref="A2:Q5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x14ac:dyDescent="0.25">
      <c r="A1" s="10" t="s">
        <v>14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30</v>
      </c>
      <c r="O1" s="11" t="s">
        <v>31</v>
      </c>
      <c r="P1" s="11" t="s">
        <v>32</v>
      </c>
      <c r="Q1" s="12" t="s">
        <v>33</v>
      </c>
    </row>
    <row r="2" spans="1:17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9"/>
      <c r="P2" s="140"/>
      <c r="Q2" s="141"/>
    </row>
    <row r="3" spans="1:17" x14ac:dyDescent="0.25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/>
      <c r="P3" s="145"/>
      <c r="Q3" s="146"/>
    </row>
    <row r="4" spans="1:17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9"/>
      <c r="P4" s="140"/>
      <c r="Q4" s="141"/>
    </row>
    <row r="5" spans="1:17" x14ac:dyDescent="0.25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4"/>
      <c r="P5" s="145"/>
      <c r="Q5" s="146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9"/>
  <sheetViews>
    <sheetView workbookViewId="0">
      <selection activeCell="A2" sqref="A2:D19"/>
    </sheetView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10" t="s">
        <v>14</v>
      </c>
      <c r="B1" s="11" t="s">
        <v>15</v>
      </c>
      <c r="C1" s="11" t="s">
        <v>16</v>
      </c>
      <c r="D1" s="12" t="s">
        <v>36</v>
      </c>
    </row>
    <row r="2" spans="1:4" x14ac:dyDescent="0.25">
      <c r="A2" s="21"/>
      <c r="B2" s="22"/>
      <c r="C2" s="29"/>
      <c r="D2" s="13"/>
    </row>
    <row r="3" spans="1:4" x14ac:dyDescent="0.25">
      <c r="A3" s="7"/>
      <c r="B3" s="6"/>
      <c r="C3" s="26"/>
      <c r="D3" s="3"/>
    </row>
    <row r="4" spans="1:4" x14ac:dyDescent="0.25">
      <c r="A4" s="7"/>
      <c r="B4" s="6"/>
      <c r="C4" s="26"/>
      <c r="D4" s="3"/>
    </row>
    <row r="5" spans="1:4" x14ac:dyDescent="0.25">
      <c r="A5" s="7"/>
      <c r="B5" s="6"/>
      <c r="C5" s="26"/>
      <c r="D5" s="3"/>
    </row>
    <row r="6" spans="1:4" x14ac:dyDescent="0.25">
      <c r="A6" s="7"/>
      <c r="B6" s="26"/>
      <c r="C6" s="6"/>
      <c r="D6" s="3"/>
    </row>
    <row r="7" spans="1:4" x14ac:dyDescent="0.25">
      <c r="A7" s="7"/>
      <c r="B7" s="6"/>
      <c r="C7" s="26"/>
      <c r="D7" s="3"/>
    </row>
    <row r="8" spans="1:4" x14ac:dyDescent="0.25">
      <c r="A8" s="7"/>
      <c r="B8" s="6"/>
      <c r="C8" s="26"/>
      <c r="D8" s="3"/>
    </row>
    <row r="9" spans="1:4" x14ac:dyDescent="0.25">
      <c r="A9" s="7"/>
      <c r="B9" s="6"/>
      <c r="C9" s="26"/>
      <c r="D9" s="3"/>
    </row>
    <row r="10" spans="1:4" ht="15.75" thickBot="1" x14ac:dyDescent="0.3">
      <c r="A10" s="8"/>
      <c r="B10" s="9"/>
      <c r="C10" s="27"/>
      <c r="D10" s="4"/>
    </row>
    <row r="11" spans="1:4" x14ac:dyDescent="0.25">
      <c r="A11" s="21"/>
      <c r="B11" s="22"/>
      <c r="C11" s="29"/>
      <c r="D11" s="13"/>
    </row>
    <row r="12" spans="1:4" x14ac:dyDescent="0.25">
      <c r="A12" s="7"/>
      <c r="B12" s="6"/>
      <c r="C12" s="26"/>
      <c r="D12" s="3"/>
    </row>
    <row r="13" spans="1:4" x14ac:dyDescent="0.25">
      <c r="A13" s="7"/>
      <c r="B13" s="6"/>
      <c r="C13" s="26"/>
      <c r="D13" s="3"/>
    </row>
    <row r="14" spans="1:4" x14ac:dyDescent="0.25">
      <c r="A14" s="7"/>
      <c r="B14" s="6"/>
      <c r="C14" s="26"/>
      <c r="D14" s="3"/>
    </row>
    <row r="15" spans="1:4" x14ac:dyDescent="0.25">
      <c r="A15" s="7"/>
      <c r="B15" s="26"/>
      <c r="C15" s="6"/>
      <c r="D15" s="3"/>
    </row>
    <row r="16" spans="1:4" x14ac:dyDescent="0.25">
      <c r="A16" s="7"/>
      <c r="B16" s="6"/>
      <c r="C16" s="26"/>
      <c r="D16" s="3"/>
    </row>
    <row r="17" spans="1:4" x14ac:dyDescent="0.25">
      <c r="A17" s="7"/>
      <c r="B17" s="6"/>
      <c r="C17" s="26"/>
      <c r="D17" s="3"/>
    </row>
    <row r="18" spans="1:4" x14ac:dyDescent="0.25">
      <c r="A18" s="7"/>
      <c r="B18" s="6"/>
      <c r="C18" s="26"/>
      <c r="D18" s="3"/>
    </row>
    <row r="19" spans="1:4" ht="15.75" thickBot="1" x14ac:dyDescent="0.3">
      <c r="A19" s="8"/>
      <c r="B19" s="9"/>
      <c r="C19" s="27"/>
      <c r="D1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Q30"/>
  <sheetViews>
    <sheetView zoomScale="70" zoomScaleNormal="70" workbookViewId="0">
      <pane ySplit="1" topLeftCell="A2" activePane="bottomLeft" state="frozen"/>
      <selection activeCell="G1" sqref="G1"/>
      <selection pane="bottomLeft" activeCell="A11" sqref="A11:N30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7" ht="30.75" thickBot="1" x14ac:dyDescent="0.3">
      <c r="A1" s="10" t="s">
        <v>14</v>
      </c>
      <c r="B1" s="11" t="s">
        <v>11</v>
      </c>
      <c r="C1" s="11" t="s">
        <v>20</v>
      </c>
      <c r="D1" s="11" t="s">
        <v>37</v>
      </c>
      <c r="E1" s="19" t="s">
        <v>38</v>
      </c>
      <c r="F1" s="11" t="s">
        <v>24</v>
      </c>
      <c r="G1" s="24" t="s">
        <v>39</v>
      </c>
      <c r="H1" s="24" t="s">
        <v>40</v>
      </c>
      <c r="I1" s="11" t="s">
        <v>30</v>
      </c>
      <c r="J1" s="19" t="s">
        <v>41</v>
      </c>
      <c r="K1" s="19" t="s">
        <v>42</v>
      </c>
      <c r="L1" s="18" t="s">
        <v>43</v>
      </c>
      <c r="M1" s="23" t="s">
        <v>44</v>
      </c>
      <c r="N1" s="12" t="s">
        <v>45</v>
      </c>
    </row>
    <row r="2" spans="1:17" s="58" customFormat="1" ht="30" x14ac:dyDescent="0.25">
      <c r="A2" s="110" t="s">
        <v>6</v>
      </c>
      <c r="B2" s="111" t="s">
        <v>58</v>
      </c>
      <c r="C2" s="111" t="s">
        <v>64</v>
      </c>
      <c r="D2" s="111" t="s">
        <v>65</v>
      </c>
      <c r="E2" s="111" t="s">
        <v>10</v>
      </c>
      <c r="F2" s="111" t="s">
        <v>7</v>
      </c>
      <c r="G2" s="112" t="s">
        <v>66</v>
      </c>
      <c r="H2" s="112" t="s">
        <v>75</v>
      </c>
      <c r="I2" s="86">
        <v>2034</v>
      </c>
      <c r="J2" s="86">
        <v>2050</v>
      </c>
      <c r="K2" s="86">
        <f>60.37*20/100</f>
        <v>12.073999999999998</v>
      </c>
      <c r="L2" s="87" t="s">
        <v>48</v>
      </c>
      <c r="M2" s="87">
        <v>0.99999000000000005</v>
      </c>
      <c r="N2" s="88" t="s">
        <v>49</v>
      </c>
    </row>
    <row r="3" spans="1:17" s="58" customFormat="1" x14ac:dyDescent="0.25">
      <c r="A3" s="113" t="s">
        <v>6</v>
      </c>
      <c r="B3" s="52" t="s">
        <v>58</v>
      </c>
      <c r="C3" s="52" t="s">
        <v>55</v>
      </c>
      <c r="D3" s="52" t="s">
        <v>56</v>
      </c>
      <c r="E3" s="52" t="s">
        <v>10</v>
      </c>
      <c r="F3" s="52" t="s">
        <v>7</v>
      </c>
      <c r="G3" s="50" t="s">
        <v>47</v>
      </c>
      <c r="H3" s="51" t="s">
        <v>76</v>
      </c>
      <c r="I3" s="47">
        <v>2024</v>
      </c>
      <c r="J3" s="47">
        <v>2050</v>
      </c>
      <c r="K3" s="47">
        <v>2.72</v>
      </c>
      <c r="L3" s="48" t="s">
        <v>48</v>
      </c>
      <c r="M3" s="48">
        <v>0.8</v>
      </c>
      <c r="N3" s="45" t="s">
        <v>49</v>
      </c>
    </row>
    <row r="4" spans="1:17" s="58" customFormat="1" x14ac:dyDescent="0.25">
      <c r="A4" s="113" t="s">
        <v>6</v>
      </c>
      <c r="B4" s="52" t="s">
        <v>58</v>
      </c>
      <c r="C4" s="52" t="s">
        <v>52</v>
      </c>
      <c r="D4" s="52" t="s">
        <v>77</v>
      </c>
      <c r="E4" s="52" t="s">
        <v>10</v>
      </c>
      <c r="F4" s="52" t="s">
        <v>7</v>
      </c>
      <c r="G4" s="50" t="s">
        <v>47</v>
      </c>
      <c r="H4" s="50" t="s">
        <v>62</v>
      </c>
      <c r="I4" s="47">
        <v>2024</v>
      </c>
      <c r="J4" s="47">
        <v>2050</v>
      </c>
      <c r="K4" s="47">
        <v>0</v>
      </c>
      <c r="L4" s="48" t="s">
        <v>48</v>
      </c>
      <c r="M4" s="48">
        <v>0.8</v>
      </c>
      <c r="N4" s="45" t="s">
        <v>49</v>
      </c>
    </row>
    <row r="5" spans="1:17" s="58" customFormat="1" x14ac:dyDescent="0.25">
      <c r="A5" s="113" t="s">
        <v>6</v>
      </c>
      <c r="B5" s="52" t="s">
        <v>58</v>
      </c>
      <c r="C5" s="52" t="s">
        <v>53</v>
      </c>
      <c r="D5" s="52" t="s">
        <v>77</v>
      </c>
      <c r="E5" s="52" t="s">
        <v>10</v>
      </c>
      <c r="F5" s="52" t="s">
        <v>7</v>
      </c>
      <c r="G5" s="50" t="s">
        <v>47</v>
      </c>
      <c r="H5" s="50" t="s">
        <v>63</v>
      </c>
      <c r="I5" s="47">
        <v>2024</v>
      </c>
      <c r="J5" s="47">
        <v>2050</v>
      </c>
      <c r="K5" s="47">
        <v>0.09</v>
      </c>
      <c r="L5" s="48" t="s">
        <v>48</v>
      </c>
      <c r="M5" s="48">
        <v>0.8</v>
      </c>
      <c r="N5" s="45" t="s">
        <v>49</v>
      </c>
    </row>
    <row r="6" spans="1:17" s="58" customFormat="1" ht="76.150000000000006" customHeight="1" x14ac:dyDescent="0.25">
      <c r="A6" s="90" t="s">
        <v>6</v>
      </c>
      <c r="B6" s="105" t="s">
        <v>67</v>
      </c>
      <c r="C6" s="49" t="s">
        <v>64</v>
      </c>
      <c r="D6" s="49" t="s">
        <v>68</v>
      </c>
      <c r="E6" s="105" t="s">
        <v>7</v>
      </c>
      <c r="F6" s="105" t="s">
        <v>7</v>
      </c>
      <c r="G6" s="106" t="s">
        <v>69</v>
      </c>
      <c r="H6" s="106" t="s">
        <v>70</v>
      </c>
      <c r="I6" s="47">
        <v>2045</v>
      </c>
      <c r="J6" s="47">
        <v>2050</v>
      </c>
      <c r="K6" s="47">
        <v>0.7</v>
      </c>
      <c r="L6" s="48" t="s">
        <v>48</v>
      </c>
      <c r="M6" s="48">
        <v>0.99999990000000005</v>
      </c>
      <c r="N6" s="45" t="s">
        <v>71</v>
      </c>
    </row>
    <row r="7" spans="1:17" s="57" customFormat="1" x14ac:dyDescent="0.25">
      <c r="A7" s="114" t="s">
        <v>6</v>
      </c>
      <c r="B7" s="59" t="s">
        <v>58</v>
      </c>
      <c r="C7" s="59" t="s">
        <v>57</v>
      </c>
      <c r="D7" s="52" t="s">
        <v>59</v>
      </c>
      <c r="E7" s="59" t="s">
        <v>10</v>
      </c>
      <c r="F7" s="59" t="s">
        <v>7</v>
      </c>
      <c r="G7" s="60" t="s">
        <v>51</v>
      </c>
      <c r="H7" s="60" t="s">
        <v>78</v>
      </c>
      <c r="I7" s="47">
        <v>2025</v>
      </c>
      <c r="J7" s="47">
        <v>2050</v>
      </c>
      <c r="K7" s="47">
        <v>1</v>
      </c>
      <c r="L7" s="48" t="s">
        <v>48</v>
      </c>
      <c r="M7" s="48">
        <v>0.95</v>
      </c>
      <c r="N7" s="45" t="s">
        <v>49</v>
      </c>
    </row>
    <row r="8" spans="1:17" s="57" customFormat="1" x14ac:dyDescent="0.25">
      <c r="A8" s="114" t="s">
        <v>6</v>
      </c>
      <c r="B8" s="59" t="s">
        <v>58</v>
      </c>
      <c r="C8" s="59" t="s">
        <v>50</v>
      </c>
      <c r="D8" s="52" t="s">
        <v>60</v>
      </c>
      <c r="E8" s="59" t="s">
        <v>10</v>
      </c>
      <c r="F8" s="59" t="s">
        <v>7</v>
      </c>
      <c r="G8" s="60" t="s">
        <v>51</v>
      </c>
      <c r="H8" s="60" t="s">
        <v>61</v>
      </c>
      <c r="I8" s="47">
        <v>2025</v>
      </c>
      <c r="J8" s="47">
        <v>2050</v>
      </c>
      <c r="K8" s="47">
        <f>0.16/M8</f>
        <v>0.19999999999999998</v>
      </c>
      <c r="L8" s="48" t="s">
        <v>48</v>
      </c>
      <c r="M8" s="48">
        <v>0.8</v>
      </c>
      <c r="N8" s="45" t="s">
        <v>49</v>
      </c>
    </row>
    <row r="9" spans="1:17" s="57" customFormat="1" x14ac:dyDescent="0.25">
      <c r="A9" s="113" t="s">
        <v>6</v>
      </c>
      <c r="B9" s="52" t="s">
        <v>58</v>
      </c>
      <c r="C9" s="52" t="s">
        <v>54</v>
      </c>
      <c r="D9" s="52" t="s">
        <v>72</v>
      </c>
      <c r="E9" s="52" t="s">
        <v>10</v>
      </c>
      <c r="F9" s="52" t="s">
        <v>7</v>
      </c>
      <c r="G9" s="51" t="s">
        <v>51</v>
      </c>
      <c r="H9" s="51" t="s">
        <v>79</v>
      </c>
      <c r="I9" s="109">
        <v>2025</v>
      </c>
      <c r="J9" s="109">
        <v>2026</v>
      </c>
      <c r="K9" s="109">
        <v>5</v>
      </c>
      <c r="L9" s="109" t="s">
        <v>48</v>
      </c>
      <c r="M9" s="109">
        <v>0.8</v>
      </c>
      <c r="N9" s="115" t="s">
        <v>49</v>
      </c>
    </row>
    <row r="10" spans="1:17" s="57" customFormat="1" ht="88.9" customHeight="1" thickBot="1" x14ac:dyDescent="0.3">
      <c r="A10" s="53" t="s">
        <v>6</v>
      </c>
      <c r="B10" s="54" t="s">
        <v>67</v>
      </c>
      <c r="C10" s="54" t="s">
        <v>54</v>
      </c>
      <c r="D10" s="54" t="s">
        <v>73</v>
      </c>
      <c r="E10" s="54" t="s">
        <v>7</v>
      </c>
      <c r="F10" s="54" t="s">
        <v>7</v>
      </c>
      <c r="G10" s="116" t="s">
        <v>69</v>
      </c>
      <c r="H10" s="116" t="s">
        <v>74</v>
      </c>
      <c r="I10" s="55">
        <v>2045</v>
      </c>
      <c r="J10" s="55">
        <v>2050</v>
      </c>
      <c r="K10" s="55">
        <v>0.25</v>
      </c>
      <c r="L10" s="55" t="s">
        <v>48</v>
      </c>
      <c r="M10" s="55">
        <v>0.99999990000000005</v>
      </c>
      <c r="N10" s="56" t="s">
        <v>71</v>
      </c>
      <c r="Q10" s="117"/>
    </row>
    <row r="11" spans="1:17" x14ac:dyDescent="0.25">
      <c r="A11" s="107"/>
      <c r="B11" s="108"/>
      <c r="C11" s="108"/>
      <c r="D11" s="108"/>
      <c r="E11" s="108"/>
      <c r="F11" s="108"/>
      <c r="G11" s="44"/>
      <c r="H11" s="44"/>
      <c r="I11" s="83"/>
      <c r="J11" s="83"/>
      <c r="K11" s="83"/>
      <c r="L11" s="84"/>
      <c r="M11" s="84"/>
      <c r="N11" s="85"/>
    </row>
    <row r="12" spans="1:17" x14ac:dyDescent="0.25">
      <c r="A12" s="89"/>
      <c r="B12" s="46"/>
      <c r="C12" s="46"/>
      <c r="D12" s="46"/>
      <c r="E12" s="46"/>
      <c r="F12" s="46"/>
      <c r="G12" s="44"/>
      <c r="H12" s="44"/>
      <c r="I12" s="47"/>
      <c r="J12" s="47"/>
      <c r="K12" s="47"/>
      <c r="L12" s="48"/>
      <c r="M12" s="48"/>
      <c r="N12" s="45"/>
    </row>
    <row r="13" spans="1:17" x14ac:dyDescent="0.25">
      <c r="A13" s="89"/>
      <c r="B13" s="46"/>
      <c r="C13" s="46"/>
      <c r="D13" s="46"/>
      <c r="E13" s="46"/>
      <c r="F13" s="46"/>
      <c r="G13" s="44"/>
      <c r="H13" s="44"/>
      <c r="I13" s="47"/>
      <c r="J13" s="47"/>
      <c r="K13" s="47"/>
      <c r="L13" s="48"/>
      <c r="M13" s="48"/>
      <c r="N13" s="45"/>
    </row>
    <row r="14" spans="1:17" x14ac:dyDescent="0.25">
      <c r="A14" s="89"/>
      <c r="B14" s="46"/>
      <c r="C14" s="46"/>
      <c r="D14" s="46"/>
      <c r="E14" s="46"/>
      <c r="F14" s="46"/>
      <c r="G14" s="44"/>
      <c r="H14" s="44"/>
      <c r="I14" s="47"/>
      <c r="J14" s="47"/>
      <c r="K14" s="47"/>
      <c r="L14" s="48"/>
      <c r="M14" s="48"/>
      <c r="N14" s="45"/>
    </row>
    <row r="15" spans="1:17" x14ac:dyDescent="0.25">
      <c r="A15" s="89"/>
      <c r="B15" s="46"/>
      <c r="C15" s="46"/>
      <c r="D15" s="46"/>
      <c r="E15" s="46"/>
      <c r="F15" s="46"/>
      <c r="G15" s="44"/>
      <c r="H15" s="44"/>
      <c r="I15" s="47"/>
      <c r="J15" s="47"/>
      <c r="K15" s="47"/>
      <c r="L15" s="48"/>
      <c r="M15" s="48"/>
      <c r="N15" s="45"/>
    </row>
    <row r="16" spans="1:17" x14ac:dyDescent="0.25">
      <c r="A16" s="89"/>
      <c r="B16" s="46"/>
      <c r="C16" s="46"/>
      <c r="D16" s="46"/>
      <c r="E16" s="46"/>
      <c r="F16" s="46"/>
      <c r="G16" s="44"/>
      <c r="H16" s="44"/>
      <c r="I16" s="47"/>
      <c r="J16" s="47"/>
      <c r="K16" s="47"/>
      <c r="L16" s="48"/>
      <c r="M16" s="48"/>
      <c r="N16" s="45"/>
    </row>
    <row r="17" spans="1:14" s="58" customFormat="1" x14ac:dyDescent="0.25">
      <c r="A17" s="101"/>
      <c r="B17" s="102"/>
      <c r="C17" s="102"/>
      <c r="D17" s="102"/>
      <c r="E17" s="102"/>
      <c r="F17" s="102"/>
      <c r="G17" s="103"/>
      <c r="H17" s="103"/>
      <c r="I17" s="47"/>
      <c r="J17" s="47"/>
      <c r="K17" s="120"/>
      <c r="L17" s="48"/>
      <c r="M17" s="48"/>
      <c r="N17" s="45"/>
    </row>
    <row r="18" spans="1:14" s="58" customFormat="1" x14ac:dyDescent="0.25">
      <c r="A18" s="101"/>
      <c r="B18" s="102"/>
      <c r="C18" s="102"/>
      <c r="D18" s="102"/>
      <c r="E18" s="102"/>
      <c r="F18" s="102"/>
      <c r="G18" s="103"/>
      <c r="H18" s="103"/>
      <c r="I18" s="47"/>
      <c r="J18" s="47"/>
      <c r="K18" s="120"/>
      <c r="L18" s="48"/>
      <c r="M18" s="48"/>
      <c r="N18" s="45"/>
    </row>
    <row r="19" spans="1:14" s="58" customFormat="1" x14ac:dyDescent="0.25">
      <c r="A19" s="99"/>
      <c r="B19" s="100"/>
      <c r="C19" s="100"/>
      <c r="D19" s="100"/>
      <c r="E19" s="100"/>
      <c r="F19" s="100"/>
      <c r="G19" s="103"/>
      <c r="H19" s="103"/>
      <c r="I19" s="47"/>
      <c r="J19" s="47"/>
      <c r="K19" s="120"/>
      <c r="L19" s="48"/>
      <c r="M19" s="48"/>
      <c r="N19" s="45"/>
    </row>
    <row r="20" spans="1:14" s="58" customFormat="1" x14ac:dyDescent="0.25">
      <c r="A20" s="99"/>
      <c r="B20" s="100"/>
      <c r="C20" s="100"/>
      <c r="D20" s="100"/>
      <c r="E20" s="100"/>
      <c r="F20" s="100"/>
      <c r="G20" s="103"/>
      <c r="H20" s="103"/>
      <c r="I20" s="47"/>
      <c r="J20" s="47"/>
      <c r="K20" s="120"/>
      <c r="L20" s="48"/>
      <c r="M20" s="48"/>
      <c r="N20" s="45"/>
    </row>
    <row r="21" spans="1:14" x14ac:dyDescent="0.25">
      <c r="A21" s="90"/>
      <c r="B21" s="49"/>
      <c r="C21" s="49"/>
      <c r="D21" s="49"/>
      <c r="E21" s="49"/>
      <c r="F21" s="49"/>
      <c r="G21" s="44"/>
      <c r="H21" s="44"/>
      <c r="I21" s="47"/>
      <c r="J21" s="47"/>
      <c r="K21" s="47"/>
      <c r="L21" s="48"/>
      <c r="M21" s="48"/>
      <c r="N21" s="45"/>
    </row>
    <row r="22" spans="1:14" x14ac:dyDescent="0.25">
      <c r="A22" s="90"/>
      <c r="B22" s="49"/>
      <c r="C22" s="49"/>
      <c r="D22" s="49"/>
      <c r="E22" s="49"/>
      <c r="F22" s="49"/>
      <c r="G22" s="44"/>
      <c r="H22" s="44"/>
      <c r="I22" s="47"/>
      <c r="J22" s="47"/>
      <c r="K22" s="47"/>
      <c r="L22" s="48"/>
      <c r="M22" s="48"/>
      <c r="N22" s="45"/>
    </row>
    <row r="23" spans="1:14" x14ac:dyDescent="0.25">
      <c r="A23" s="90"/>
      <c r="B23" s="49"/>
      <c r="C23" s="49"/>
      <c r="D23" s="49"/>
      <c r="E23" s="49"/>
      <c r="F23" s="49"/>
      <c r="G23" s="44"/>
      <c r="H23" s="44"/>
      <c r="I23" s="47"/>
      <c r="J23" s="47"/>
      <c r="K23" s="47"/>
      <c r="L23" s="48"/>
      <c r="M23" s="48"/>
      <c r="N23" s="45"/>
    </row>
    <row r="24" spans="1:14" x14ac:dyDescent="0.25">
      <c r="A24" s="90"/>
      <c r="B24" s="49"/>
      <c r="C24" s="49"/>
      <c r="D24" s="49"/>
      <c r="E24" s="49"/>
      <c r="F24" s="49"/>
      <c r="G24" s="44"/>
      <c r="H24" s="44"/>
      <c r="I24" s="47"/>
      <c r="J24" s="47"/>
      <c r="K24" s="47"/>
      <c r="L24" s="48"/>
      <c r="M24" s="48"/>
      <c r="N24" s="45"/>
    </row>
    <row r="25" spans="1:14" x14ac:dyDescent="0.25">
      <c r="A25" s="90"/>
      <c r="B25" s="49"/>
      <c r="C25" s="49"/>
      <c r="D25" s="49"/>
      <c r="E25" s="49"/>
      <c r="F25" s="49"/>
      <c r="G25" s="44"/>
      <c r="H25" s="44"/>
      <c r="I25" s="47"/>
      <c r="J25" s="47"/>
      <c r="K25" s="47"/>
      <c r="L25" s="48"/>
      <c r="M25" s="48"/>
      <c r="N25" s="45"/>
    </row>
    <row r="26" spans="1:14" x14ac:dyDescent="0.25">
      <c r="A26" s="90"/>
      <c r="B26" s="49"/>
      <c r="C26" s="49"/>
      <c r="D26" s="49"/>
      <c r="E26" s="49"/>
      <c r="F26" s="49"/>
      <c r="G26" s="44"/>
      <c r="H26" s="44"/>
      <c r="I26" s="47"/>
      <c r="J26" s="47"/>
      <c r="K26" s="47"/>
      <c r="L26" s="48"/>
      <c r="M26" s="48"/>
      <c r="N26" s="45"/>
    </row>
    <row r="27" spans="1:14" ht="76.150000000000006" customHeight="1" x14ac:dyDescent="0.25">
      <c r="A27" s="104"/>
      <c r="B27" s="105"/>
      <c r="C27" s="105"/>
      <c r="D27" s="105"/>
      <c r="E27" s="105"/>
      <c r="F27" s="105"/>
      <c r="G27" s="106"/>
      <c r="H27" s="106"/>
      <c r="I27" s="47"/>
      <c r="J27" s="47"/>
      <c r="K27" s="47"/>
      <c r="L27" s="48"/>
      <c r="M27" s="48"/>
      <c r="N27" s="45"/>
    </row>
    <row r="28" spans="1:14" x14ac:dyDescent="0.25">
      <c r="A28" s="104"/>
      <c r="B28" s="105"/>
      <c r="C28" s="49"/>
      <c r="D28" s="49"/>
      <c r="E28" s="49"/>
      <c r="F28" s="49"/>
      <c r="G28" s="44"/>
      <c r="H28" s="106"/>
      <c r="I28" s="119"/>
      <c r="J28" s="119"/>
      <c r="K28" s="119"/>
      <c r="L28" s="119"/>
      <c r="M28" s="48"/>
      <c r="N28" s="45"/>
    </row>
    <row r="29" spans="1:14" ht="61.5" customHeight="1" x14ac:dyDescent="0.25">
      <c r="A29" s="104"/>
      <c r="B29" s="105"/>
      <c r="C29" s="118"/>
      <c r="D29" s="118"/>
      <c r="E29" s="118"/>
      <c r="F29" s="118"/>
      <c r="G29" s="106"/>
      <c r="H29" s="106"/>
      <c r="I29" s="119"/>
      <c r="J29" s="119"/>
      <c r="K29" s="119"/>
      <c r="L29" s="48"/>
      <c r="M29" s="48"/>
      <c r="N29" s="45"/>
    </row>
    <row r="30" spans="1:14" ht="15.75" thickBot="1" x14ac:dyDescent="0.3">
      <c r="A30" s="91"/>
      <c r="B30" s="92"/>
      <c r="C30" s="92"/>
      <c r="D30" s="92"/>
      <c r="E30" s="92"/>
      <c r="F30" s="92"/>
      <c r="G30" s="93"/>
      <c r="H30" s="93"/>
      <c r="I30" s="94"/>
      <c r="J30" s="94"/>
      <c r="K30" s="94"/>
      <c r="L30" s="95"/>
      <c r="M30" s="95"/>
      <c r="N30" s="96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91"/>
  <sheetViews>
    <sheetView zoomScale="85" zoomScaleNormal="85" workbookViewId="0">
      <pane ySplit="1" topLeftCell="A51" activePane="bottomLeft" state="frozen"/>
      <selection pane="bottomLeft" activeCell="A32" sqref="A32:Q91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ht="15.75" thickBot="1" x14ac:dyDescent="0.3">
      <c r="A1" s="147" t="s">
        <v>14</v>
      </c>
      <c r="B1" s="148" t="s">
        <v>80</v>
      </c>
      <c r="C1" s="148" t="s">
        <v>18</v>
      </c>
      <c r="D1" s="148" t="s">
        <v>19</v>
      </c>
      <c r="E1" s="148" t="s">
        <v>20</v>
      </c>
      <c r="F1" s="148" t="s">
        <v>23</v>
      </c>
      <c r="G1" s="148" t="s">
        <v>24</v>
      </c>
      <c r="H1" s="148" t="s">
        <v>25</v>
      </c>
      <c r="I1" s="148" t="s">
        <v>26</v>
      </c>
      <c r="J1" s="148" t="s">
        <v>27</v>
      </c>
      <c r="K1" s="148" t="s">
        <v>28</v>
      </c>
      <c r="L1" s="148" t="s">
        <v>29</v>
      </c>
      <c r="M1" s="148" t="s">
        <v>30</v>
      </c>
      <c r="N1" s="148" t="s">
        <v>31</v>
      </c>
      <c r="O1" s="148" t="s">
        <v>32</v>
      </c>
      <c r="P1" s="148" t="s">
        <v>33</v>
      </c>
      <c r="Q1" s="149" t="s">
        <v>81</v>
      </c>
    </row>
    <row r="2" spans="1:17" x14ac:dyDescent="0.25">
      <c r="A2" s="189" t="s">
        <v>6</v>
      </c>
      <c r="B2" s="190" t="s">
        <v>82</v>
      </c>
      <c r="C2" s="190" t="s">
        <v>83</v>
      </c>
      <c r="D2" s="190" t="s">
        <v>84</v>
      </c>
      <c r="E2" s="190" t="s">
        <v>85</v>
      </c>
      <c r="F2" s="190" t="s">
        <v>10</v>
      </c>
      <c r="G2" s="190" t="s">
        <v>7</v>
      </c>
      <c r="H2" s="190" t="s">
        <v>35</v>
      </c>
      <c r="I2" s="190" t="s">
        <v>35</v>
      </c>
      <c r="J2" s="190" t="s">
        <v>35</v>
      </c>
      <c r="K2" s="190" t="s">
        <v>35</v>
      </c>
      <c r="L2" s="190" t="s">
        <v>35</v>
      </c>
      <c r="M2" s="190">
        <v>2024</v>
      </c>
      <c r="N2" s="190" t="s">
        <v>86</v>
      </c>
      <c r="O2" s="190">
        <v>0.4</v>
      </c>
      <c r="P2" s="190">
        <v>0.40799999999999997</v>
      </c>
      <c r="Q2" s="191" t="s">
        <v>87</v>
      </c>
    </row>
    <row r="3" spans="1:17" x14ac:dyDescent="0.25">
      <c r="A3" s="192" t="s">
        <v>6</v>
      </c>
      <c r="B3" s="193" t="s">
        <v>82</v>
      </c>
      <c r="C3" s="193" t="s">
        <v>83</v>
      </c>
      <c r="D3" s="193" t="s">
        <v>88</v>
      </c>
      <c r="E3" s="193" t="s">
        <v>89</v>
      </c>
      <c r="F3" s="193" t="s">
        <v>10</v>
      </c>
      <c r="G3" s="193" t="s">
        <v>7</v>
      </c>
      <c r="H3" s="193" t="s">
        <v>35</v>
      </c>
      <c r="I3" s="193" t="s">
        <v>35</v>
      </c>
      <c r="J3" s="193" t="s">
        <v>35</v>
      </c>
      <c r="K3" s="193" t="s">
        <v>35</v>
      </c>
      <c r="L3" s="193" t="s">
        <v>35</v>
      </c>
      <c r="M3" s="193">
        <v>2024</v>
      </c>
      <c r="N3" s="193" t="s">
        <v>86</v>
      </c>
      <c r="O3" s="193">
        <v>0.4</v>
      </c>
      <c r="P3" s="193">
        <v>0.40799999999999997</v>
      </c>
      <c r="Q3" s="194" t="s">
        <v>87</v>
      </c>
    </row>
    <row r="4" spans="1:17" x14ac:dyDescent="0.25">
      <c r="A4" s="192" t="s">
        <v>6</v>
      </c>
      <c r="B4" s="193" t="s">
        <v>82</v>
      </c>
      <c r="C4" s="193" t="s">
        <v>83</v>
      </c>
      <c r="D4" s="193" t="s">
        <v>136</v>
      </c>
      <c r="E4" s="193" t="s">
        <v>137</v>
      </c>
      <c r="F4" s="193" t="s">
        <v>7</v>
      </c>
      <c r="G4" s="193" t="s">
        <v>10</v>
      </c>
      <c r="H4" s="37">
        <v>1E-3</v>
      </c>
      <c r="I4" s="37">
        <v>0.99</v>
      </c>
      <c r="J4" s="193">
        <v>0.05</v>
      </c>
      <c r="K4" s="193">
        <v>0.01</v>
      </c>
      <c r="L4" s="193">
        <v>2035</v>
      </c>
      <c r="M4" s="193">
        <v>2024</v>
      </c>
      <c r="N4" s="193" t="s">
        <v>35</v>
      </c>
      <c r="O4" s="193" t="s">
        <v>35</v>
      </c>
      <c r="P4" s="193" t="s">
        <v>35</v>
      </c>
      <c r="Q4" s="194" t="s">
        <v>135</v>
      </c>
    </row>
    <row r="5" spans="1:17" ht="15.75" thickBot="1" x14ac:dyDescent="0.3">
      <c r="A5" s="195" t="s">
        <v>6</v>
      </c>
      <c r="B5" s="196" t="s">
        <v>82</v>
      </c>
      <c r="C5" s="196" t="s">
        <v>83</v>
      </c>
      <c r="D5" s="196" t="s">
        <v>138</v>
      </c>
      <c r="E5" s="196" t="s">
        <v>139</v>
      </c>
      <c r="F5" s="196" t="s">
        <v>7</v>
      </c>
      <c r="G5" s="196" t="s">
        <v>10</v>
      </c>
      <c r="H5" s="36">
        <v>1E-3</v>
      </c>
      <c r="I5" s="36">
        <v>0.99</v>
      </c>
      <c r="J5" s="196">
        <v>0.02</v>
      </c>
      <c r="K5" s="196">
        <v>5.0000000000000001E-3</v>
      </c>
      <c r="L5" s="196">
        <v>2035</v>
      </c>
      <c r="M5" s="196">
        <v>2024</v>
      </c>
      <c r="N5" s="196" t="s">
        <v>35</v>
      </c>
      <c r="O5" s="196" t="s">
        <v>35</v>
      </c>
      <c r="P5" s="196" t="s">
        <v>35</v>
      </c>
      <c r="Q5" s="197" t="s">
        <v>135</v>
      </c>
    </row>
    <row r="6" spans="1:17" x14ac:dyDescent="0.25">
      <c r="A6" s="189" t="s">
        <v>6</v>
      </c>
      <c r="B6" s="190" t="s">
        <v>82</v>
      </c>
      <c r="C6" s="190" t="s">
        <v>34</v>
      </c>
      <c r="D6" s="190" t="s">
        <v>90</v>
      </c>
      <c r="E6" s="190" t="s">
        <v>91</v>
      </c>
      <c r="F6" s="190" t="s">
        <v>10</v>
      </c>
      <c r="G6" s="190" t="s">
        <v>7</v>
      </c>
      <c r="H6" s="190" t="s">
        <v>35</v>
      </c>
      <c r="I6" s="190" t="s">
        <v>35</v>
      </c>
      <c r="J6" s="190" t="s">
        <v>35</v>
      </c>
      <c r="K6" s="190" t="s">
        <v>35</v>
      </c>
      <c r="L6" s="190" t="s">
        <v>35</v>
      </c>
      <c r="M6" s="190">
        <v>2024</v>
      </c>
      <c r="N6" s="190" t="s">
        <v>86</v>
      </c>
      <c r="O6" s="190">
        <v>0.63</v>
      </c>
      <c r="P6" s="190">
        <v>0.63749999999999996</v>
      </c>
      <c r="Q6" s="191" t="s">
        <v>87</v>
      </c>
    </row>
    <row r="7" spans="1:17" x14ac:dyDescent="0.25">
      <c r="A7" s="192" t="s">
        <v>6</v>
      </c>
      <c r="B7" s="193" t="s">
        <v>82</v>
      </c>
      <c r="C7" s="193" t="s">
        <v>34</v>
      </c>
      <c r="D7" s="193" t="s">
        <v>92</v>
      </c>
      <c r="E7" s="193" t="s">
        <v>93</v>
      </c>
      <c r="F7" s="193" t="s">
        <v>10</v>
      </c>
      <c r="G7" s="193" t="s">
        <v>7</v>
      </c>
      <c r="H7" s="193" t="s">
        <v>35</v>
      </c>
      <c r="I7" s="193" t="s">
        <v>35</v>
      </c>
      <c r="J7" s="193" t="s">
        <v>35</v>
      </c>
      <c r="K7" s="193" t="s">
        <v>35</v>
      </c>
      <c r="L7" s="193" t="s">
        <v>35</v>
      </c>
      <c r="M7" s="193">
        <v>2024</v>
      </c>
      <c r="N7" s="193" t="s">
        <v>86</v>
      </c>
      <c r="O7" s="193">
        <v>0.19</v>
      </c>
      <c r="P7" s="193">
        <v>0.19550000000000001</v>
      </c>
      <c r="Q7" s="194" t="s">
        <v>87</v>
      </c>
    </row>
    <row r="8" spans="1:17" ht="15.75" thickBot="1" x14ac:dyDescent="0.3">
      <c r="A8" s="195" t="s">
        <v>6</v>
      </c>
      <c r="B8" s="196" t="s">
        <v>82</v>
      </c>
      <c r="C8" s="196" t="s">
        <v>34</v>
      </c>
      <c r="D8" s="196" t="s">
        <v>140</v>
      </c>
      <c r="E8" s="196" t="s">
        <v>141</v>
      </c>
      <c r="F8" s="196" t="s">
        <v>7</v>
      </c>
      <c r="G8" s="196" t="s">
        <v>10</v>
      </c>
      <c r="H8" s="36">
        <v>1E-3</v>
      </c>
      <c r="I8" s="36">
        <v>0.99</v>
      </c>
      <c r="J8" s="196">
        <v>0.02</v>
      </c>
      <c r="K8" s="196">
        <v>5.0000000000000001E-3</v>
      </c>
      <c r="L8" s="196">
        <v>2035</v>
      </c>
      <c r="M8" s="196">
        <v>2024</v>
      </c>
      <c r="N8" s="196" t="s">
        <v>35</v>
      </c>
      <c r="O8" s="196" t="s">
        <v>35</v>
      </c>
      <c r="P8" s="196" t="s">
        <v>35</v>
      </c>
      <c r="Q8" s="197" t="s">
        <v>135</v>
      </c>
    </row>
    <row r="9" spans="1:17" x14ac:dyDescent="0.25">
      <c r="A9" s="189" t="s">
        <v>6</v>
      </c>
      <c r="B9" s="190" t="s">
        <v>82</v>
      </c>
      <c r="C9" s="190" t="s">
        <v>83</v>
      </c>
      <c r="D9" s="190" t="s">
        <v>94</v>
      </c>
      <c r="E9" s="190" t="s">
        <v>95</v>
      </c>
      <c r="F9" s="190" t="s">
        <v>10</v>
      </c>
      <c r="G9" s="190" t="s">
        <v>7</v>
      </c>
      <c r="H9" s="190" t="s">
        <v>35</v>
      </c>
      <c r="I9" s="190" t="s">
        <v>35</v>
      </c>
      <c r="J9" s="190" t="s">
        <v>35</v>
      </c>
      <c r="K9" s="190" t="s">
        <v>35</v>
      </c>
      <c r="L9" s="190" t="s">
        <v>35</v>
      </c>
      <c r="M9" s="190">
        <v>2024</v>
      </c>
      <c r="N9" s="190" t="s">
        <v>86</v>
      </c>
      <c r="O9" s="190">
        <v>0</v>
      </c>
      <c r="P9" s="190">
        <v>0</v>
      </c>
      <c r="Q9" s="191" t="s">
        <v>87</v>
      </c>
    </row>
    <row r="10" spans="1:17" ht="15.75" thickBot="1" x14ac:dyDescent="0.3">
      <c r="A10" s="195" t="s">
        <v>6</v>
      </c>
      <c r="B10" s="196" t="s">
        <v>82</v>
      </c>
      <c r="C10" s="196" t="s">
        <v>83</v>
      </c>
      <c r="D10" s="196" t="s">
        <v>142</v>
      </c>
      <c r="E10" s="196" t="s">
        <v>143</v>
      </c>
      <c r="F10" s="196" t="s">
        <v>7</v>
      </c>
      <c r="G10" s="196" t="s">
        <v>10</v>
      </c>
      <c r="H10" s="196">
        <v>1E-3</v>
      </c>
      <c r="I10" s="196">
        <v>0.99</v>
      </c>
      <c r="J10" s="196">
        <v>0.05</v>
      </c>
      <c r="K10" s="196">
        <v>0.03</v>
      </c>
      <c r="L10" s="196">
        <v>2035</v>
      </c>
      <c r="M10" s="196">
        <v>2024</v>
      </c>
      <c r="N10" s="196" t="s">
        <v>86</v>
      </c>
      <c r="O10" s="196">
        <v>0</v>
      </c>
      <c r="P10" s="196">
        <v>0</v>
      </c>
      <c r="Q10" s="198" t="s">
        <v>104</v>
      </c>
    </row>
    <row r="11" spans="1:17" x14ac:dyDescent="0.25">
      <c r="A11" s="189" t="s">
        <v>6</v>
      </c>
      <c r="B11" s="190" t="s">
        <v>82</v>
      </c>
      <c r="C11" s="190" t="s">
        <v>83</v>
      </c>
      <c r="D11" s="190" t="s">
        <v>96</v>
      </c>
      <c r="E11" s="190" t="s">
        <v>97</v>
      </c>
      <c r="F11" s="190" t="s">
        <v>10</v>
      </c>
      <c r="G11" s="190" t="s">
        <v>7</v>
      </c>
      <c r="H11" s="190" t="s">
        <v>35</v>
      </c>
      <c r="I11" s="190" t="s">
        <v>35</v>
      </c>
      <c r="J11" s="190" t="s">
        <v>35</v>
      </c>
      <c r="K11" s="190" t="s">
        <v>35</v>
      </c>
      <c r="L11" s="190" t="s">
        <v>35</v>
      </c>
      <c r="M11" s="190">
        <v>2024</v>
      </c>
      <c r="N11" s="190" t="s">
        <v>86</v>
      </c>
      <c r="O11" s="190">
        <v>0.52</v>
      </c>
      <c r="P11" s="190">
        <v>0.54400000000000004</v>
      </c>
      <c r="Q11" s="191" t="s">
        <v>87</v>
      </c>
    </row>
    <row r="12" spans="1:17" x14ac:dyDescent="0.25">
      <c r="A12" s="192" t="s">
        <v>6</v>
      </c>
      <c r="B12" s="193" t="s">
        <v>82</v>
      </c>
      <c r="C12" s="193" t="s">
        <v>83</v>
      </c>
      <c r="D12" s="193" t="s">
        <v>98</v>
      </c>
      <c r="E12" s="193" t="s">
        <v>99</v>
      </c>
      <c r="F12" s="193" t="s">
        <v>10</v>
      </c>
      <c r="G12" s="193" t="s">
        <v>7</v>
      </c>
      <c r="H12" s="193" t="s">
        <v>35</v>
      </c>
      <c r="I12" s="193" t="s">
        <v>35</v>
      </c>
      <c r="J12" s="193" t="s">
        <v>35</v>
      </c>
      <c r="K12" s="193" t="s">
        <v>35</v>
      </c>
      <c r="L12" s="193" t="s">
        <v>35</v>
      </c>
      <c r="M12" s="193">
        <v>2024</v>
      </c>
      <c r="N12" s="193" t="s">
        <v>86</v>
      </c>
      <c r="O12" s="193">
        <v>0.21600000000000003</v>
      </c>
      <c r="P12" s="193">
        <v>0.23199999999999998</v>
      </c>
      <c r="Q12" s="194" t="s">
        <v>87</v>
      </c>
    </row>
    <row r="13" spans="1:17" ht="15.75" thickBot="1" x14ac:dyDescent="0.3">
      <c r="A13" s="195" t="s">
        <v>6</v>
      </c>
      <c r="B13" s="196" t="s">
        <v>82</v>
      </c>
      <c r="C13" s="196" t="s">
        <v>83</v>
      </c>
      <c r="D13" s="196" t="s">
        <v>144</v>
      </c>
      <c r="E13" s="196" t="s">
        <v>145</v>
      </c>
      <c r="F13" s="196" t="s">
        <v>7</v>
      </c>
      <c r="G13" s="196" t="s">
        <v>10</v>
      </c>
      <c r="H13" s="36">
        <v>1E-3</v>
      </c>
      <c r="I13" s="36">
        <v>0.99</v>
      </c>
      <c r="J13" s="196">
        <v>0.02</v>
      </c>
      <c r="K13" s="196">
        <v>5.0000000000000001E-3</v>
      </c>
      <c r="L13" s="196">
        <v>2035</v>
      </c>
      <c r="M13" s="196">
        <v>2024</v>
      </c>
      <c r="N13" s="196" t="s">
        <v>35</v>
      </c>
      <c r="O13" s="196" t="s">
        <v>35</v>
      </c>
      <c r="P13" s="196" t="s">
        <v>35</v>
      </c>
      <c r="Q13" s="197" t="s">
        <v>135</v>
      </c>
    </row>
    <row r="14" spans="1:17" x14ac:dyDescent="0.25">
      <c r="A14" s="189" t="s">
        <v>6</v>
      </c>
      <c r="B14" s="190" t="s">
        <v>82</v>
      </c>
      <c r="C14" s="190" t="s">
        <v>34</v>
      </c>
      <c r="D14" s="190" t="s">
        <v>100</v>
      </c>
      <c r="E14" s="190" t="s">
        <v>101</v>
      </c>
      <c r="F14" s="190" t="s">
        <v>10</v>
      </c>
      <c r="G14" s="190" t="s">
        <v>7</v>
      </c>
      <c r="H14" s="190" t="s">
        <v>35</v>
      </c>
      <c r="I14" s="190" t="s">
        <v>35</v>
      </c>
      <c r="J14" s="190" t="s">
        <v>35</v>
      </c>
      <c r="K14" s="190" t="s">
        <v>35</v>
      </c>
      <c r="L14" s="190" t="s">
        <v>35</v>
      </c>
      <c r="M14" s="190">
        <v>2024</v>
      </c>
      <c r="N14" s="190" t="s">
        <v>86</v>
      </c>
      <c r="O14" s="190">
        <v>0</v>
      </c>
      <c r="P14" s="190">
        <v>0</v>
      </c>
      <c r="Q14" s="191" t="s">
        <v>87</v>
      </c>
    </row>
    <row r="15" spans="1:17" x14ac:dyDescent="0.25">
      <c r="A15" s="192" t="s">
        <v>6</v>
      </c>
      <c r="B15" s="193" t="s">
        <v>82</v>
      </c>
      <c r="C15" s="193" t="s">
        <v>34</v>
      </c>
      <c r="D15" s="193" t="s">
        <v>102</v>
      </c>
      <c r="E15" s="193" t="s">
        <v>103</v>
      </c>
      <c r="F15" s="193" t="s">
        <v>10</v>
      </c>
      <c r="G15" s="193" t="s">
        <v>7</v>
      </c>
      <c r="H15" s="193" t="s">
        <v>35</v>
      </c>
      <c r="I15" s="193" t="s">
        <v>35</v>
      </c>
      <c r="J15" s="193" t="s">
        <v>35</v>
      </c>
      <c r="K15" s="193" t="s">
        <v>35</v>
      </c>
      <c r="L15" s="193" t="s">
        <v>35</v>
      </c>
      <c r="M15" s="193">
        <v>2024</v>
      </c>
      <c r="N15" s="193" t="s">
        <v>86</v>
      </c>
      <c r="O15" s="199">
        <v>0</v>
      </c>
      <c r="P15" s="199">
        <v>0</v>
      </c>
      <c r="Q15" s="200" t="s">
        <v>104</v>
      </c>
    </row>
    <row r="16" spans="1:17" x14ac:dyDescent="0.25">
      <c r="A16" s="192" t="s">
        <v>6</v>
      </c>
      <c r="B16" s="193" t="s">
        <v>82</v>
      </c>
      <c r="C16" s="193" t="s">
        <v>34</v>
      </c>
      <c r="D16" s="193" t="s">
        <v>146</v>
      </c>
      <c r="E16" s="193" t="s">
        <v>147</v>
      </c>
      <c r="F16" s="193" t="s">
        <v>7</v>
      </c>
      <c r="G16" s="193" t="s">
        <v>10</v>
      </c>
      <c r="H16" s="37">
        <v>1E-3</v>
      </c>
      <c r="I16" s="37">
        <v>0.99</v>
      </c>
      <c r="J16" s="193">
        <v>0.01</v>
      </c>
      <c r="K16" s="193">
        <v>1E-3</v>
      </c>
      <c r="L16" s="193">
        <v>2035</v>
      </c>
      <c r="M16" s="193">
        <v>2024</v>
      </c>
      <c r="N16" s="193" t="s">
        <v>35</v>
      </c>
      <c r="O16" s="193" t="s">
        <v>35</v>
      </c>
      <c r="P16" s="193" t="s">
        <v>35</v>
      </c>
      <c r="Q16" s="194" t="s">
        <v>135</v>
      </c>
    </row>
    <row r="17" spans="1:17" ht="15.75" thickBot="1" x14ac:dyDescent="0.3">
      <c r="A17" s="195" t="s">
        <v>6</v>
      </c>
      <c r="B17" s="196" t="s">
        <v>82</v>
      </c>
      <c r="C17" s="196" t="s">
        <v>34</v>
      </c>
      <c r="D17" s="196" t="s">
        <v>105</v>
      </c>
      <c r="E17" s="196" t="s">
        <v>106</v>
      </c>
      <c r="F17" s="196" t="s">
        <v>10</v>
      </c>
      <c r="G17" s="196" t="s">
        <v>7</v>
      </c>
      <c r="H17" s="196" t="s">
        <v>35</v>
      </c>
      <c r="I17" s="196" t="s">
        <v>35</v>
      </c>
      <c r="J17" s="196" t="s">
        <v>35</v>
      </c>
      <c r="K17" s="196" t="s">
        <v>35</v>
      </c>
      <c r="L17" s="196" t="s">
        <v>35</v>
      </c>
      <c r="M17" s="196">
        <v>2024</v>
      </c>
      <c r="N17" s="196" t="s">
        <v>86</v>
      </c>
      <c r="O17" s="196">
        <v>0</v>
      </c>
      <c r="P17" s="196">
        <v>0</v>
      </c>
      <c r="Q17" s="197" t="s">
        <v>104</v>
      </c>
    </row>
    <row r="18" spans="1:17" x14ac:dyDescent="0.25">
      <c r="A18" s="189" t="s">
        <v>6</v>
      </c>
      <c r="B18" s="190" t="s">
        <v>82</v>
      </c>
      <c r="C18" s="190" t="s">
        <v>34</v>
      </c>
      <c r="D18" s="190" t="s">
        <v>107</v>
      </c>
      <c r="E18" s="190" t="s">
        <v>108</v>
      </c>
      <c r="F18" s="190" t="s">
        <v>10</v>
      </c>
      <c r="G18" s="190" t="s">
        <v>7</v>
      </c>
      <c r="H18" s="190" t="s">
        <v>35</v>
      </c>
      <c r="I18" s="190" t="s">
        <v>35</v>
      </c>
      <c r="J18" s="190" t="s">
        <v>35</v>
      </c>
      <c r="K18" s="190" t="s">
        <v>35</v>
      </c>
      <c r="L18" s="190" t="s">
        <v>35</v>
      </c>
      <c r="M18" s="190">
        <v>2024</v>
      </c>
      <c r="N18" s="190" t="s">
        <v>86</v>
      </c>
      <c r="O18" s="190">
        <v>0</v>
      </c>
      <c r="P18" s="190">
        <v>0</v>
      </c>
      <c r="Q18" s="191" t="s">
        <v>87</v>
      </c>
    </row>
    <row r="19" spans="1:17" x14ac:dyDescent="0.25">
      <c r="A19" s="192" t="s">
        <v>6</v>
      </c>
      <c r="B19" s="193" t="s">
        <v>82</v>
      </c>
      <c r="C19" s="193" t="s">
        <v>34</v>
      </c>
      <c r="D19" s="193" t="s">
        <v>109</v>
      </c>
      <c r="E19" s="193" t="s">
        <v>110</v>
      </c>
      <c r="F19" s="193" t="s">
        <v>10</v>
      </c>
      <c r="G19" s="193" t="s">
        <v>7</v>
      </c>
      <c r="H19" s="193" t="s">
        <v>35</v>
      </c>
      <c r="I19" s="193" t="s">
        <v>35</v>
      </c>
      <c r="J19" s="193" t="s">
        <v>35</v>
      </c>
      <c r="K19" s="193" t="s">
        <v>35</v>
      </c>
      <c r="L19" s="193" t="s">
        <v>35</v>
      </c>
      <c r="M19" s="193">
        <v>2024</v>
      </c>
      <c r="N19" s="193" t="s">
        <v>86</v>
      </c>
      <c r="O19" s="193">
        <v>0</v>
      </c>
      <c r="P19" s="193">
        <v>0</v>
      </c>
      <c r="Q19" s="194" t="s">
        <v>87</v>
      </c>
    </row>
    <row r="20" spans="1:17" ht="15.75" thickBot="1" x14ac:dyDescent="0.3">
      <c r="A20" s="195" t="s">
        <v>6</v>
      </c>
      <c r="B20" s="196" t="s">
        <v>82</v>
      </c>
      <c r="C20" s="196" t="s">
        <v>34</v>
      </c>
      <c r="D20" s="196" t="s">
        <v>111</v>
      </c>
      <c r="E20" s="196" t="s">
        <v>112</v>
      </c>
      <c r="F20" s="196" t="s">
        <v>10</v>
      </c>
      <c r="G20" s="196" t="s">
        <v>7</v>
      </c>
      <c r="H20" s="196" t="s">
        <v>35</v>
      </c>
      <c r="I20" s="196" t="s">
        <v>35</v>
      </c>
      <c r="J20" s="196">
        <v>0.02</v>
      </c>
      <c r="K20" s="196">
        <v>5.0000000000000001E-3</v>
      </c>
      <c r="L20" s="196">
        <v>2035</v>
      </c>
      <c r="M20" s="196">
        <v>2024</v>
      </c>
      <c r="N20" s="196" t="s">
        <v>86</v>
      </c>
      <c r="O20" s="196">
        <v>0</v>
      </c>
      <c r="P20" s="196">
        <v>0</v>
      </c>
      <c r="Q20" s="198" t="s">
        <v>104</v>
      </c>
    </row>
    <row r="21" spans="1:17" x14ac:dyDescent="0.25">
      <c r="A21" s="189" t="s">
        <v>6</v>
      </c>
      <c r="B21" s="190" t="s">
        <v>82</v>
      </c>
      <c r="C21" s="190" t="s">
        <v>34</v>
      </c>
      <c r="D21" s="190" t="s">
        <v>113</v>
      </c>
      <c r="E21" s="190" t="s">
        <v>114</v>
      </c>
      <c r="F21" s="190" t="s">
        <v>10</v>
      </c>
      <c r="G21" s="190" t="s">
        <v>7</v>
      </c>
      <c r="H21" s="190" t="s">
        <v>35</v>
      </c>
      <c r="I21" s="190" t="s">
        <v>35</v>
      </c>
      <c r="J21" s="190" t="s">
        <v>35</v>
      </c>
      <c r="K21" s="190" t="s">
        <v>35</v>
      </c>
      <c r="L21" s="190" t="s">
        <v>35</v>
      </c>
      <c r="M21" s="190">
        <v>2024</v>
      </c>
      <c r="N21" s="190" t="s">
        <v>86</v>
      </c>
      <c r="O21" s="190">
        <v>0.46</v>
      </c>
      <c r="P21" s="190">
        <v>0.46399999999999997</v>
      </c>
      <c r="Q21" s="191" t="s">
        <v>87</v>
      </c>
    </row>
    <row r="22" spans="1:17" x14ac:dyDescent="0.25">
      <c r="A22" s="192" t="s">
        <v>6</v>
      </c>
      <c r="B22" s="193" t="s">
        <v>82</v>
      </c>
      <c r="C22" s="193" t="s">
        <v>34</v>
      </c>
      <c r="D22" s="193" t="s">
        <v>115</v>
      </c>
      <c r="E22" s="193" t="s">
        <v>116</v>
      </c>
      <c r="F22" s="193" t="s">
        <v>10</v>
      </c>
      <c r="G22" s="193" t="s">
        <v>7</v>
      </c>
      <c r="H22" s="193" t="s">
        <v>35</v>
      </c>
      <c r="I22" s="193" t="s">
        <v>35</v>
      </c>
      <c r="J22" s="193" t="s">
        <v>35</v>
      </c>
      <c r="K22" s="193" t="s">
        <v>35</v>
      </c>
      <c r="L22" s="193" t="s">
        <v>35</v>
      </c>
      <c r="M22" s="193">
        <v>2024</v>
      </c>
      <c r="N22" s="193" t="s">
        <v>86</v>
      </c>
      <c r="O22" s="193">
        <v>0.3</v>
      </c>
      <c r="P22" s="193">
        <v>0.30400000000000005</v>
      </c>
      <c r="Q22" s="194" t="s">
        <v>87</v>
      </c>
    </row>
    <row r="23" spans="1:17" ht="15.75" thickBot="1" x14ac:dyDescent="0.3">
      <c r="A23" s="195" t="s">
        <v>6</v>
      </c>
      <c r="B23" s="196" t="s">
        <v>82</v>
      </c>
      <c r="C23" s="196" t="s">
        <v>34</v>
      </c>
      <c r="D23" s="196" t="s">
        <v>148</v>
      </c>
      <c r="E23" s="196" t="s">
        <v>149</v>
      </c>
      <c r="F23" s="196" t="s">
        <v>7</v>
      </c>
      <c r="G23" s="196" t="s">
        <v>10</v>
      </c>
      <c r="H23" s="36">
        <v>1E-3</v>
      </c>
      <c r="I23" s="36">
        <v>0.99</v>
      </c>
      <c r="J23" s="196">
        <v>0.02</v>
      </c>
      <c r="K23" s="196">
        <v>5.0000000000000001E-3</v>
      </c>
      <c r="L23" s="196">
        <v>2035</v>
      </c>
      <c r="M23" s="196">
        <v>2024</v>
      </c>
      <c r="N23" s="196" t="s">
        <v>35</v>
      </c>
      <c r="O23" s="196" t="s">
        <v>35</v>
      </c>
      <c r="P23" s="196" t="s">
        <v>35</v>
      </c>
      <c r="Q23" s="197" t="s">
        <v>135</v>
      </c>
    </row>
    <row r="24" spans="1:17" x14ac:dyDescent="0.25">
      <c r="A24" s="189" t="s">
        <v>6</v>
      </c>
      <c r="B24" s="190" t="s">
        <v>82</v>
      </c>
      <c r="C24" s="190" t="s">
        <v>117</v>
      </c>
      <c r="D24" s="190" t="s">
        <v>118</v>
      </c>
      <c r="E24" s="190" t="s">
        <v>119</v>
      </c>
      <c r="F24" s="190" t="s">
        <v>10</v>
      </c>
      <c r="G24" s="190" t="s">
        <v>7</v>
      </c>
      <c r="H24" s="190" t="s">
        <v>35</v>
      </c>
      <c r="I24" s="190" t="s">
        <v>35</v>
      </c>
      <c r="J24" s="190" t="s">
        <v>35</v>
      </c>
      <c r="K24" s="190" t="s">
        <v>35</v>
      </c>
      <c r="L24" s="190" t="s">
        <v>35</v>
      </c>
      <c r="M24" s="190">
        <v>2024</v>
      </c>
      <c r="N24" s="190" t="s">
        <v>86</v>
      </c>
      <c r="O24" s="190">
        <v>0</v>
      </c>
      <c r="P24" s="190">
        <v>0</v>
      </c>
      <c r="Q24" s="191" t="s">
        <v>87</v>
      </c>
    </row>
    <row r="25" spans="1:17" x14ac:dyDescent="0.25">
      <c r="A25" s="192" t="s">
        <v>6</v>
      </c>
      <c r="B25" s="193" t="s">
        <v>82</v>
      </c>
      <c r="C25" s="193" t="s">
        <v>117</v>
      </c>
      <c r="D25" s="193" t="s">
        <v>120</v>
      </c>
      <c r="E25" s="193" t="s">
        <v>121</v>
      </c>
      <c r="F25" s="193" t="s">
        <v>10</v>
      </c>
      <c r="G25" s="193" t="s">
        <v>7</v>
      </c>
      <c r="H25" s="193" t="s">
        <v>35</v>
      </c>
      <c r="I25" s="193" t="s">
        <v>35</v>
      </c>
      <c r="J25" s="193" t="s">
        <v>35</v>
      </c>
      <c r="K25" s="193" t="s">
        <v>35</v>
      </c>
      <c r="L25" s="193" t="s">
        <v>35</v>
      </c>
      <c r="M25" s="193">
        <v>2024</v>
      </c>
      <c r="N25" s="193" t="s">
        <v>86</v>
      </c>
      <c r="O25" s="193">
        <v>0</v>
      </c>
      <c r="P25" s="193">
        <v>0</v>
      </c>
      <c r="Q25" s="201" t="s">
        <v>104</v>
      </c>
    </row>
    <row r="26" spans="1:17" x14ac:dyDescent="0.25">
      <c r="A26" s="192" t="s">
        <v>6</v>
      </c>
      <c r="B26" s="193" t="s">
        <v>82</v>
      </c>
      <c r="C26" s="193" t="s">
        <v>117</v>
      </c>
      <c r="D26" s="193" t="s">
        <v>122</v>
      </c>
      <c r="E26" s="193" t="s">
        <v>123</v>
      </c>
      <c r="F26" s="193" t="s">
        <v>10</v>
      </c>
      <c r="G26" s="193" t="s">
        <v>7</v>
      </c>
      <c r="H26" s="193" t="s">
        <v>35</v>
      </c>
      <c r="I26" s="193" t="s">
        <v>35</v>
      </c>
      <c r="J26" s="193" t="s">
        <v>35</v>
      </c>
      <c r="K26" s="193" t="s">
        <v>35</v>
      </c>
      <c r="L26" s="193" t="s">
        <v>35</v>
      </c>
      <c r="M26" s="193">
        <v>2024</v>
      </c>
      <c r="N26" s="193" t="s">
        <v>86</v>
      </c>
      <c r="O26" s="193">
        <v>0</v>
      </c>
      <c r="P26" s="193">
        <v>0</v>
      </c>
      <c r="Q26" s="201" t="s">
        <v>104</v>
      </c>
    </row>
    <row r="27" spans="1:17" ht="15.75" thickBot="1" x14ac:dyDescent="0.3">
      <c r="A27" s="195" t="s">
        <v>6</v>
      </c>
      <c r="B27" s="196" t="s">
        <v>82</v>
      </c>
      <c r="C27" s="196" t="s">
        <v>117</v>
      </c>
      <c r="D27" s="202" t="s">
        <v>124</v>
      </c>
      <c r="E27" s="196" t="s">
        <v>125</v>
      </c>
      <c r="F27" s="196" t="s">
        <v>10</v>
      </c>
      <c r="G27" s="196" t="s">
        <v>7</v>
      </c>
      <c r="H27" s="196" t="s">
        <v>35</v>
      </c>
      <c r="I27" s="196" t="s">
        <v>35</v>
      </c>
      <c r="J27" s="196" t="s">
        <v>35</v>
      </c>
      <c r="K27" s="196" t="s">
        <v>35</v>
      </c>
      <c r="L27" s="196" t="s">
        <v>35</v>
      </c>
      <c r="M27" s="196">
        <v>2024</v>
      </c>
      <c r="N27" s="196" t="s">
        <v>86</v>
      </c>
      <c r="O27" s="196">
        <v>0.05</v>
      </c>
      <c r="P27" s="196">
        <v>0.1</v>
      </c>
      <c r="Q27" s="203" t="s">
        <v>104</v>
      </c>
    </row>
    <row r="28" spans="1:17" x14ac:dyDescent="0.25">
      <c r="A28" s="189" t="s">
        <v>6</v>
      </c>
      <c r="B28" s="190" t="s">
        <v>82</v>
      </c>
      <c r="C28" s="190" t="s">
        <v>126</v>
      </c>
      <c r="D28" s="190" t="s">
        <v>127</v>
      </c>
      <c r="E28" s="190" t="s">
        <v>128</v>
      </c>
      <c r="F28" s="190" t="s">
        <v>10</v>
      </c>
      <c r="G28" s="190" t="s">
        <v>7</v>
      </c>
      <c r="H28" s="190" t="s">
        <v>35</v>
      </c>
      <c r="I28" s="190" t="s">
        <v>35</v>
      </c>
      <c r="J28" s="190" t="s">
        <v>35</v>
      </c>
      <c r="K28" s="190" t="s">
        <v>35</v>
      </c>
      <c r="L28" s="190" t="s">
        <v>35</v>
      </c>
      <c r="M28" s="190">
        <v>2024</v>
      </c>
      <c r="N28" s="190" t="s">
        <v>86</v>
      </c>
      <c r="O28" s="190">
        <v>0.38</v>
      </c>
      <c r="P28" s="190">
        <v>0.38400000000000001</v>
      </c>
      <c r="Q28" s="191" t="s">
        <v>87</v>
      </c>
    </row>
    <row r="29" spans="1:17" x14ac:dyDescent="0.25">
      <c r="A29" s="192" t="s">
        <v>6</v>
      </c>
      <c r="B29" s="193" t="s">
        <v>82</v>
      </c>
      <c r="C29" s="193" t="s">
        <v>126</v>
      </c>
      <c r="D29" s="193" t="s">
        <v>129</v>
      </c>
      <c r="E29" s="193" t="s">
        <v>130</v>
      </c>
      <c r="F29" s="193" t="s">
        <v>10</v>
      </c>
      <c r="G29" s="193" t="s">
        <v>7</v>
      </c>
      <c r="H29" s="193" t="s">
        <v>35</v>
      </c>
      <c r="I29" s="193" t="s">
        <v>35</v>
      </c>
      <c r="J29" s="193" t="s">
        <v>35</v>
      </c>
      <c r="K29" s="193" t="s">
        <v>35</v>
      </c>
      <c r="L29" s="193" t="s">
        <v>35</v>
      </c>
      <c r="M29" s="193">
        <v>2024</v>
      </c>
      <c r="N29" s="193" t="s">
        <v>86</v>
      </c>
      <c r="O29" s="193">
        <v>0.38</v>
      </c>
      <c r="P29" s="193">
        <v>0.38400000000000001</v>
      </c>
      <c r="Q29" s="194" t="s">
        <v>87</v>
      </c>
    </row>
    <row r="30" spans="1:17" x14ac:dyDescent="0.25">
      <c r="A30" s="192" t="s">
        <v>6</v>
      </c>
      <c r="B30" s="193" t="s">
        <v>82</v>
      </c>
      <c r="C30" s="193" t="s">
        <v>126</v>
      </c>
      <c r="D30" s="193" t="s">
        <v>133</v>
      </c>
      <c r="E30" s="193" t="s">
        <v>134</v>
      </c>
      <c r="F30" s="193" t="s">
        <v>7</v>
      </c>
      <c r="G30" s="193" t="s">
        <v>10</v>
      </c>
      <c r="H30" s="37">
        <v>1E-3</v>
      </c>
      <c r="I30" s="37">
        <v>0.99</v>
      </c>
      <c r="J30" s="193">
        <v>0.01</v>
      </c>
      <c r="K30" s="193">
        <v>1E-3</v>
      </c>
      <c r="L30" s="193">
        <v>2035</v>
      </c>
      <c r="M30" s="193">
        <v>2024</v>
      </c>
      <c r="N30" s="193" t="s">
        <v>35</v>
      </c>
      <c r="O30" s="193" t="s">
        <v>35</v>
      </c>
      <c r="P30" s="193" t="s">
        <v>35</v>
      </c>
      <c r="Q30" s="194" t="s">
        <v>135</v>
      </c>
    </row>
    <row r="31" spans="1:17" ht="15.75" thickBot="1" x14ac:dyDescent="0.3">
      <c r="A31" s="195" t="s">
        <v>6</v>
      </c>
      <c r="B31" s="196" t="s">
        <v>82</v>
      </c>
      <c r="C31" s="196" t="s">
        <v>126</v>
      </c>
      <c r="D31" s="202" t="s">
        <v>131</v>
      </c>
      <c r="E31" s="196" t="s">
        <v>132</v>
      </c>
      <c r="F31" s="196" t="s">
        <v>10</v>
      </c>
      <c r="G31" s="196" t="s">
        <v>7</v>
      </c>
      <c r="H31" s="196" t="s">
        <v>35</v>
      </c>
      <c r="I31" s="196" t="s">
        <v>35</v>
      </c>
      <c r="J31" s="196" t="s">
        <v>35</v>
      </c>
      <c r="K31" s="196" t="s">
        <v>35</v>
      </c>
      <c r="L31" s="196" t="s">
        <v>35</v>
      </c>
      <c r="M31" s="196">
        <v>2024</v>
      </c>
      <c r="N31" s="196" t="s">
        <v>86</v>
      </c>
      <c r="O31" s="196">
        <v>0.05</v>
      </c>
      <c r="P31" s="196">
        <v>0.1</v>
      </c>
      <c r="Q31" s="203" t="s">
        <v>104</v>
      </c>
    </row>
    <row r="32" spans="1:17" x14ac:dyDescent="0.25">
      <c r="A32" s="204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6"/>
    </row>
    <row r="33" spans="1:17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</row>
    <row r="34" spans="1:17" x14ac:dyDescent="0.25">
      <c r="A34" s="38"/>
      <c r="B34" s="39"/>
      <c r="C34" s="39"/>
      <c r="D34" s="39"/>
      <c r="E34" s="39"/>
      <c r="F34" s="39"/>
      <c r="G34" s="39"/>
      <c r="H34" s="37"/>
      <c r="I34" s="37"/>
      <c r="J34" s="39"/>
      <c r="K34" s="39"/>
      <c r="L34" s="39"/>
      <c r="M34" s="39"/>
      <c r="N34" s="39"/>
      <c r="O34" s="39"/>
      <c r="P34" s="39"/>
      <c r="Q34" s="40"/>
    </row>
    <row r="35" spans="1:17" ht="15.75" thickBot="1" x14ac:dyDescent="0.3">
      <c r="A35" s="41"/>
      <c r="B35" s="42"/>
      <c r="C35" s="42"/>
      <c r="D35" s="42"/>
      <c r="E35" s="42"/>
      <c r="F35" s="42"/>
      <c r="G35" s="42"/>
      <c r="H35" s="36"/>
      <c r="I35" s="36"/>
      <c r="J35" s="42"/>
      <c r="K35" s="42"/>
      <c r="L35" s="42"/>
      <c r="M35" s="42"/>
      <c r="N35" s="42"/>
      <c r="O35" s="42"/>
      <c r="P35" s="42"/>
      <c r="Q35" s="43"/>
    </row>
    <row r="36" spans="1:17" x14ac:dyDescent="0.25">
      <c r="A36" s="204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6"/>
    </row>
    <row r="37" spans="1:17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0"/>
    </row>
    <row r="38" spans="1:17" ht="15.75" thickBot="1" x14ac:dyDescent="0.3">
      <c r="A38" s="41"/>
      <c r="B38" s="42"/>
      <c r="C38" s="42"/>
      <c r="D38" s="42"/>
      <c r="E38" s="42"/>
      <c r="F38" s="42"/>
      <c r="G38" s="42"/>
      <c r="H38" s="36"/>
      <c r="I38" s="36"/>
      <c r="J38" s="42"/>
      <c r="K38" s="42"/>
      <c r="L38" s="42"/>
      <c r="M38" s="42"/>
      <c r="N38" s="42"/>
      <c r="O38" s="42"/>
      <c r="P38" s="42"/>
      <c r="Q38" s="43"/>
    </row>
    <row r="39" spans="1:17" x14ac:dyDescent="0.25">
      <c r="A39" s="20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6"/>
    </row>
    <row r="40" spans="1:17" ht="15.75" thickBot="1" x14ac:dyDescent="0.3">
      <c r="A40" s="41"/>
      <c r="B40" s="42"/>
      <c r="C40" s="42"/>
      <c r="D40" s="42"/>
      <c r="E40" s="42"/>
      <c r="F40" s="42"/>
      <c r="G40" s="42"/>
      <c r="H40" s="36"/>
      <c r="I40" s="36"/>
      <c r="J40" s="42"/>
      <c r="K40" s="42"/>
      <c r="L40" s="42"/>
      <c r="M40" s="42"/>
      <c r="N40" s="42"/>
      <c r="O40" s="42"/>
      <c r="P40" s="42"/>
      <c r="Q40" s="43"/>
    </row>
    <row r="41" spans="1:17" x14ac:dyDescent="0.25">
      <c r="A41" s="204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6"/>
    </row>
    <row r="42" spans="1:17" x14ac:dyDescent="0.25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40"/>
    </row>
    <row r="43" spans="1:17" ht="15.75" thickBot="1" x14ac:dyDescent="0.3">
      <c r="A43" s="41"/>
      <c r="B43" s="42"/>
      <c r="C43" s="42"/>
      <c r="D43" s="42"/>
      <c r="E43" s="42"/>
      <c r="F43" s="42"/>
      <c r="G43" s="42"/>
      <c r="H43" s="36"/>
      <c r="I43" s="36"/>
      <c r="J43" s="42"/>
      <c r="K43" s="42"/>
      <c r="L43" s="42"/>
      <c r="M43" s="42"/>
      <c r="N43" s="42"/>
      <c r="O43" s="42"/>
      <c r="P43" s="42"/>
      <c r="Q43" s="43"/>
    </row>
    <row r="44" spans="1:17" x14ac:dyDescent="0.25">
      <c r="A44" s="20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6"/>
    </row>
    <row r="45" spans="1:17" x14ac:dyDescent="0.25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199"/>
      <c r="P45" s="199"/>
      <c r="Q45" s="200"/>
    </row>
    <row r="46" spans="1:17" x14ac:dyDescent="0.25">
      <c r="A46" s="38"/>
      <c r="B46" s="39"/>
      <c r="C46" s="39"/>
      <c r="D46" s="39"/>
      <c r="E46" s="39"/>
      <c r="F46" s="39"/>
      <c r="G46" s="39"/>
      <c r="H46" s="37"/>
      <c r="I46" s="37"/>
      <c r="J46" s="39"/>
      <c r="K46" s="39"/>
      <c r="L46" s="39"/>
      <c r="M46" s="39"/>
      <c r="N46" s="39"/>
      <c r="O46" s="39"/>
      <c r="P46" s="39"/>
      <c r="Q46" s="40"/>
    </row>
    <row r="47" spans="1:17" ht="15.75" thickBot="1" x14ac:dyDescent="0.3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3"/>
    </row>
    <row r="48" spans="1:17" x14ac:dyDescent="0.25">
      <c r="A48" s="204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6"/>
    </row>
    <row r="49" spans="1:17" x14ac:dyDescent="0.25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40"/>
    </row>
    <row r="50" spans="1:17" ht="15.75" thickBot="1" x14ac:dyDescent="0.3">
      <c r="A50" s="41"/>
      <c r="B50" s="42"/>
      <c r="C50" s="42"/>
      <c r="D50" s="42"/>
      <c r="E50" s="42"/>
      <c r="F50" s="42"/>
      <c r="G50" s="42"/>
      <c r="H50" s="36"/>
      <c r="I50" s="36"/>
      <c r="J50" s="42"/>
      <c r="K50" s="42"/>
      <c r="L50" s="42"/>
      <c r="M50" s="42"/>
      <c r="N50" s="42"/>
      <c r="O50" s="42"/>
      <c r="P50" s="42"/>
      <c r="Q50" s="43"/>
    </row>
    <row r="51" spans="1:17" x14ac:dyDescent="0.25">
      <c r="A51" s="204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6"/>
    </row>
    <row r="52" spans="1:17" x14ac:dyDescent="0.25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40"/>
    </row>
    <row r="53" spans="1:17" ht="15.75" thickBot="1" x14ac:dyDescent="0.3">
      <c r="A53" s="41"/>
      <c r="B53" s="42"/>
      <c r="C53" s="42"/>
      <c r="D53" s="42"/>
      <c r="E53" s="42"/>
      <c r="F53" s="42"/>
      <c r="G53" s="42"/>
      <c r="H53" s="36"/>
      <c r="I53" s="36"/>
      <c r="J53" s="42"/>
      <c r="K53" s="42"/>
      <c r="L53" s="42"/>
      <c r="M53" s="42"/>
      <c r="N53" s="42"/>
      <c r="O53" s="42"/>
      <c r="P53" s="42"/>
      <c r="Q53" s="43"/>
    </row>
    <row r="54" spans="1:17" x14ac:dyDescent="0.25">
      <c r="A54" s="204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6"/>
    </row>
    <row r="55" spans="1:17" x14ac:dyDescent="0.25">
      <c r="A55" s="38"/>
      <c r="B55" s="39"/>
      <c r="C55" s="39"/>
      <c r="D55" s="39"/>
      <c r="E55" s="39"/>
      <c r="F55" s="39"/>
      <c r="G55" s="39"/>
      <c r="H55" s="37"/>
      <c r="I55" s="37"/>
      <c r="J55" s="39"/>
      <c r="K55" s="39"/>
      <c r="L55" s="39"/>
      <c r="M55" s="39"/>
      <c r="N55" s="39"/>
      <c r="O55" s="39"/>
      <c r="P55" s="39"/>
      <c r="Q55" s="40"/>
    </row>
    <row r="56" spans="1:17" x14ac:dyDescent="0.25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40"/>
    </row>
    <row r="57" spans="1:17" ht="15.75" thickBot="1" x14ac:dyDescent="0.3">
      <c r="A57" s="41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0"/>
    </row>
    <row r="58" spans="1:17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6"/>
    </row>
    <row r="59" spans="1:17" x14ac:dyDescent="0.25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40"/>
    </row>
    <row r="60" spans="1:17" x14ac:dyDescent="0.25">
      <c r="A60" s="38"/>
      <c r="B60" s="39"/>
      <c r="C60" s="39"/>
      <c r="D60" s="39"/>
      <c r="E60" s="39"/>
      <c r="F60" s="39"/>
      <c r="G60" s="39"/>
      <c r="H60" s="37"/>
      <c r="I60" s="37"/>
      <c r="J60" s="39"/>
      <c r="K60" s="39"/>
      <c r="L60" s="39"/>
      <c r="M60" s="39"/>
      <c r="N60" s="39"/>
      <c r="O60" s="39"/>
      <c r="P60" s="39"/>
      <c r="Q60" s="40"/>
    </row>
    <row r="61" spans="1:17" ht="15.75" thickBot="1" x14ac:dyDescent="0.3">
      <c r="A61" s="41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3"/>
    </row>
    <row r="62" spans="1:17" x14ac:dyDescent="0.25">
      <c r="A62" s="71"/>
      <c r="B62" s="72"/>
      <c r="C62" s="72"/>
      <c r="D62" s="72"/>
      <c r="E62" s="72"/>
      <c r="F62" s="72"/>
      <c r="G62" s="72"/>
      <c r="H62" s="79"/>
      <c r="I62" s="79"/>
      <c r="J62" s="72"/>
      <c r="K62" s="72"/>
      <c r="L62" s="72"/>
      <c r="M62" s="72"/>
      <c r="N62" s="72"/>
      <c r="O62" s="72"/>
      <c r="P62" s="72"/>
      <c r="Q62" s="76"/>
    </row>
    <row r="63" spans="1:17" x14ac:dyDescent="0.25">
      <c r="A63" s="73"/>
      <c r="B63" s="81"/>
      <c r="C63" s="81"/>
      <c r="D63" s="81"/>
      <c r="E63" s="81"/>
      <c r="F63" s="81"/>
      <c r="G63" s="81"/>
      <c r="H63" s="82"/>
      <c r="I63" s="82"/>
      <c r="J63" s="81"/>
      <c r="K63" s="81"/>
      <c r="L63" s="81"/>
      <c r="M63" s="81"/>
      <c r="N63" s="81"/>
      <c r="O63" s="81"/>
      <c r="P63" s="81"/>
      <c r="Q63" s="77"/>
    </row>
    <row r="64" spans="1:17" x14ac:dyDescent="0.25">
      <c r="A64" s="73"/>
      <c r="B64" s="81"/>
      <c r="C64" s="81"/>
      <c r="D64" s="81"/>
      <c r="E64" s="81"/>
      <c r="F64" s="81"/>
      <c r="G64" s="81"/>
      <c r="H64" s="82"/>
      <c r="I64" s="82"/>
      <c r="J64" s="81"/>
      <c r="K64" s="81"/>
      <c r="L64" s="81"/>
      <c r="M64" s="81"/>
      <c r="N64" s="81"/>
      <c r="O64" s="81"/>
      <c r="P64" s="81"/>
      <c r="Q64" s="77"/>
    </row>
    <row r="65" spans="1:17" ht="15.75" thickBot="1" x14ac:dyDescent="0.3">
      <c r="A65" s="74"/>
      <c r="B65" s="75"/>
      <c r="C65" s="75"/>
      <c r="D65" s="75"/>
      <c r="E65" s="75"/>
      <c r="F65" s="75"/>
      <c r="G65" s="75"/>
      <c r="H65" s="36"/>
      <c r="I65" s="36"/>
      <c r="J65" s="75"/>
      <c r="K65" s="75"/>
      <c r="L65" s="75"/>
      <c r="M65" s="75"/>
      <c r="N65" s="75"/>
      <c r="O65" s="75"/>
      <c r="P65" s="75"/>
      <c r="Q65" s="77"/>
    </row>
    <row r="66" spans="1:17" x14ac:dyDescent="0.25">
      <c r="A66" s="71"/>
      <c r="B66" s="72"/>
      <c r="C66" s="72"/>
      <c r="D66" s="72"/>
      <c r="E66" s="72"/>
      <c r="F66" s="72"/>
      <c r="G66" s="72"/>
      <c r="H66" s="79"/>
      <c r="I66" s="79"/>
      <c r="J66" s="72"/>
      <c r="K66" s="72"/>
      <c r="L66" s="72"/>
      <c r="M66" s="72"/>
      <c r="N66" s="72"/>
      <c r="O66" s="81"/>
      <c r="P66" s="81"/>
      <c r="Q66" s="76"/>
    </row>
    <row r="67" spans="1:17" x14ac:dyDescent="0.25">
      <c r="A67" s="73"/>
      <c r="B67" s="81"/>
      <c r="C67" s="81"/>
      <c r="D67" s="81"/>
      <c r="E67" s="81"/>
      <c r="F67" s="81"/>
      <c r="G67" s="81"/>
      <c r="H67" s="82"/>
      <c r="I67" s="82"/>
      <c r="J67" s="81"/>
      <c r="K67" s="81"/>
      <c r="L67" s="81"/>
      <c r="M67" s="81"/>
      <c r="N67" s="81"/>
      <c r="O67" s="81"/>
      <c r="P67" s="81"/>
      <c r="Q67" s="77"/>
    </row>
    <row r="68" spans="1:17" ht="15.75" thickBot="1" x14ac:dyDescent="0.3">
      <c r="A68" s="74"/>
      <c r="B68" s="75"/>
      <c r="C68" s="75"/>
      <c r="D68" s="75"/>
      <c r="E68" s="75"/>
      <c r="F68" s="75"/>
      <c r="G68" s="75"/>
      <c r="H68" s="36"/>
      <c r="I68" s="36"/>
      <c r="J68" s="75"/>
      <c r="K68" s="75"/>
      <c r="L68" s="75"/>
      <c r="M68" s="75"/>
      <c r="N68" s="75"/>
      <c r="O68" s="75"/>
      <c r="P68" s="75"/>
      <c r="Q68" s="77"/>
    </row>
    <row r="69" spans="1:17" x14ac:dyDescent="0.25">
      <c r="A69" s="71"/>
      <c r="B69" s="72"/>
      <c r="C69" s="72"/>
      <c r="D69" s="72"/>
      <c r="E69" s="72"/>
      <c r="F69" s="72"/>
      <c r="G69" s="72"/>
      <c r="H69" s="79"/>
      <c r="I69" s="79"/>
      <c r="J69" s="79"/>
      <c r="K69" s="72"/>
      <c r="L69" s="72"/>
      <c r="M69" s="72"/>
      <c r="N69" s="72"/>
      <c r="O69" s="72"/>
      <c r="P69" s="72"/>
      <c r="Q69" s="76"/>
    </row>
    <row r="70" spans="1:17" ht="15.75" thickBot="1" x14ac:dyDescent="0.3">
      <c r="A70" s="74"/>
      <c r="B70" s="75"/>
      <c r="C70" s="75"/>
      <c r="D70" s="75"/>
      <c r="E70" s="75"/>
      <c r="F70" s="75"/>
      <c r="G70" s="75"/>
      <c r="H70" s="36"/>
      <c r="I70" s="36"/>
      <c r="J70" s="75"/>
      <c r="K70" s="75"/>
      <c r="L70" s="75"/>
      <c r="M70" s="75"/>
      <c r="N70" s="75"/>
      <c r="O70" s="75"/>
      <c r="P70" s="75"/>
      <c r="Q70" s="77"/>
    </row>
    <row r="71" spans="1:17" x14ac:dyDescent="0.25">
      <c r="A71" s="71"/>
      <c r="B71" s="72"/>
      <c r="C71" s="72"/>
      <c r="D71" s="72"/>
      <c r="E71" s="72"/>
      <c r="F71" s="72"/>
      <c r="G71" s="72"/>
      <c r="H71" s="79"/>
      <c r="I71" s="79"/>
      <c r="J71" s="72"/>
      <c r="K71" s="72"/>
      <c r="L71" s="72"/>
      <c r="M71" s="72"/>
      <c r="N71" s="72"/>
      <c r="O71" s="72"/>
      <c r="P71" s="72"/>
      <c r="Q71" s="76"/>
    </row>
    <row r="72" spans="1:17" x14ac:dyDescent="0.25">
      <c r="A72" s="73"/>
      <c r="B72" s="81"/>
      <c r="C72" s="81"/>
      <c r="D72" s="81"/>
      <c r="E72" s="81"/>
      <c r="F72" s="81"/>
      <c r="G72" s="81"/>
      <c r="H72" s="82"/>
      <c r="I72" s="82"/>
      <c r="J72" s="81"/>
      <c r="K72" s="81"/>
      <c r="L72" s="81"/>
      <c r="M72" s="81"/>
      <c r="N72" s="81"/>
      <c r="O72" s="81"/>
      <c r="P72" s="81"/>
      <c r="Q72" s="77"/>
    </row>
    <row r="73" spans="1:17" ht="15.75" thickBot="1" x14ac:dyDescent="0.3">
      <c r="A73" s="74"/>
      <c r="B73" s="75"/>
      <c r="C73" s="75"/>
      <c r="D73" s="75"/>
      <c r="E73" s="75"/>
      <c r="F73" s="75"/>
      <c r="G73" s="75"/>
      <c r="H73" s="36"/>
      <c r="I73" s="36"/>
      <c r="J73" s="75"/>
      <c r="K73" s="75"/>
      <c r="L73" s="75"/>
      <c r="M73" s="75"/>
      <c r="N73" s="75"/>
      <c r="O73" s="75"/>
      <c r="P73" s="75"/>
      <c r="Q73" s="77"/>
    </row>
    <row r="74" spans="1:17" x14ac:dyDescent="0.25">
      <c r="A74" s="71"/>
      <c r="B74" s="72"/>
      <c r="C74" s="72"/>
      <c r="D74" s="72"/>
      <c r="E74" s="72"/>
      <c r="F74" s="72"/>
      <c r="G74" s="72"/>
      <c r="H74" s="79"/>
      <c r="I74" s="79"/>
      <c r="J74" s="72"/>
      <c r="K74" s="72"/>
      <c r="L74" s="72"/>
      <c r="M74" s="72"/>
      <c r="N74" s="72"/>
      <c r="O74" s="72"/>
      <c r="P74" s="72"/>
      <c r="Q74" s="76"/>
    </row>
    <row r="75" spans="1:17" x14ac:dyDescent="0.25">
      <c r="A75" s="73"/>
      <c r="B75" s="81"/>
      <c r="C75" s="81"/>
      <c r="D75" s="81"/>
      <c r="E75" s="81"/>
      <c r="F75" s="81"/>
      <c r="G75" s="81"/>
      <c r="H75" s="82"/>
      <c r="I75" s="82"/>
      <c r="J75" s="81"/>
      <c r="K75" s="81"/>
      <c r="L75" s="81"/>
      <c r="M75" s="81"/>
      <c r="N75" s="81"/>
      <c r="O75" s="199"/>
      <c r="P75" s="199"/>
      <c r="Q75" s="200"/>
    </row>
    <row r="76" spans="1:17" x14ac:dyDescent="0.25">
      <c r="A76" s="73"/>
      <c r="B76" s="81"/>
      <c r="C76" s="81"/>
      <c r="D76" s="81"/>
      <c r="E76" s="81"/>
      <c r="F76" s="81"/>
      <c r="G76" s="81"/>
      <c r="H76" s="37"/>
      <c r="I76" s="37"/>
      <c r="J76" s="81"/>
      <c r="K76" s="81"/>
      <c r="L76" s="81"/>
      <c r="M76" s="81"/>
      <c r="N76" s="81"/>
      <c r="O76" s="81"/>
      <c r="P76" s="81"/>
      <c r="Q76" s="77"/>
    </row>
    <row r="77" spans="1:17" ht="15.75" thickBot="1" x14ac:dyDescent="0.3">
      <c r="A77" s="74"/>
      <c r="B77" s="75"/>
      <c r="C77" s="75"/>
      <c r="D77" s="75"/>
      <c r="E77" s="75"/>
      <c r="F77" s="75"/>
      <c r="G77" s="75"/>
      <c r="H77" s="80"/>
      <c r="I77" s="80"/>
      <c r="J77" s="75"/>
      <c r="K77" s="75"/>
      <c r="L77" s="75"/>
      <c r="M77" s="75"/>
      <c r="N77" s="75"/>
      <c r="O77" s="75"/>
      <c r="P77" s="75"/>
      <c r="Q77" s="78"/>
    </row>
    <row r="78" spans="1:17" x14ac:dyDescent="0.25">
      <c r="A78" s="71"/>
      <c r="B78" s="72"/>
      <c r="C78" s="72"/>
      <c r="D78" s="72"/>
      <c r="E78" s="72"/>
      <c r="F78" s="72"/>
      <c r="G78" s="72"/>
      <c r="H78" s="79"/>
      <c r="I78" s="79"/>
      <c r="J78" s="72"/>
      <c r="K78" s="72"/>
      <c r="L78" s="72"/>
      <c r="M78" s="72"/>
      <c r="N78" s="72"/>
      <c r="O78" s="72"/>
      <c r="P78" s="72"/>
      <c r="Q78" s="76"/>
    </row>
    <row r="79" spans="1:17" x14ac:dyDescent="0.25">
      <c r="A79" s="73"/>
      <c r="B79" s="81"/>
      <c r="C79" s="81"/>
      <c r="D79" s="81"/>
      <c r="E79" s="81"/>
      <c r="F79" s="81"/>
      <c r="G79" s="81"/>
      <c r="H79" s="82"/>
      <c r="I79" s="82"/>
      <c r="J79" s="81"/>
      <c r="K79" s="81"/>
      <c r="L79" s="81"/>
      <c r="M79" s="81"/>
      <c r="N79" s="81"/>
      <c r="O79" s="81"/>
      <c r="P79" s="81"/>
      <c r="Q79" s="77"/>
    </row>
    <row r="80" spans="1:17" ht="15.75" thickBot="1" x14ac:dyDescent="0.3">
      <c r="A80" s="74"/>
      <c r="B80" s="75"/>
      <c r="C80" s="75"/>
      <c r="D80" s="75"/>
      <c r="E80" s="75"/>
      <c r="F80" s="75"/>
      <c r="G80" s="75"/>
      <c r="H80" s="36"/>
      <c r="I80" s="36"/>
      <c r="J80" s="75"/>
      <c r="K80" s="75"/>
      <c r="L80" s="75"/>
      <c r="M80" s="75"/>
      <c r="N80" s="75"/>
      <c r="O80" s="75"/>
      <c r="P80" s="75"/>
      <c r="Q80" s="78"/>
    </row>
    <row r="81" spans="1:17" x14ac:dyDescent="0.25">
      <c r="A81" s="71"/>
      <c r="B81" s="72"/>
      <c r="C81" s="72"/>
      <c r="D81" s="72"/>
      <c r="E81" s="72"/>
      <c r="F81" s="72"/>
      <c r="G81" s="72"/>
      <c r="H81" s="79"/>
      <c r="I81" s="79"/>
      <c r="J81" s="72"/>
      <c r="K81" s="72"/>
      <c r="L81" s="72"/>
      <c r="M81" s="72"/>
      <c r="N81" s="72"/>
      <c r="O81" s="72"/>
      <c r="P81" s="72"/>
      <c r="Q81" s="76"/>
    </row>
    <row r="82" spans="1:17" x14ac:dyDescent="0.25">
      <c r="A82" s="73"/>
      <c r="B82" s="81"/>
      <c r="C82" s="81"/>
      <c r="D82" s="81"/>
      <c r="E82" s="81"/>
      <c r="F82" s="81"/>
      <c r="G82" s="81"/>
      <c r="H82" s="82"/>
      <c r="I82" s="82"/>
      <c r="J82" s="81"/>
      <c r="K82" s="81"/>
      <c r="L82" s="81"/>
      <c r="M82" s="81"/>
      <c r="N82" s="81"/>
      <c r="O82" s="81"/>
      <c r="P82" s="81"/>
      <c r="Q82" s="77"/>
    </row>
    <row r="83" spans="1:17" ht="15.75" thickBot="1" x14ac:dyDescent="0.3">
      <c r="A83" s="74"/>
      <c r="B83" s="75"/>
      <c r="C83" s="75"/>
      <c r="D83" s="75"/>
      <c r="E83" s="75"/>
      <c r="F83" s="75"/>
      <c r="G83" s="75"/>
      <c r="H83" s="36"/>
      <c r="I83" s="36"/>
      <c r="J83" s="75"/>
      <c r="K83" s="75"/>
      <c r="L83" s="75"/>
      <c r="M83" s="75"/>
      <c r="N83" s="75"/>
      <c r="O83" s="75"/>
      <c r="P83" s="75"/>
      <c r="Q83" s="78"/>
    </row>
    <row r="84" spans="1:17" x14ac:dyDescent="0.25">
      <c r="A84" s="71"/>
      <c r="B84" s="72"/>
      <c r="C84" s="72"/>
      <c r="D84" s="72"/>
      <c r="E84" s="72"/>
      <c r="F84" s="72"/>
      <c r="G84" s="72"/>
      <c r="H84" s="79"/>
      <c r="I84" s="79"/>
      <c r="J84" s="72"/>
      <c r="K84" s="72"/>
      <c r="L84" s="72"/>
      <c r="M84" s="72"/>
      <c r="N84" s="72"/>
      <c r="O84" s="72"/>
      <c r="P84" s="72"/>
      <c r="Q84" s="76"/>
    </row>
    <row r="85" spans="1:17" x14ac:dyDescent="0.25">
      <c r="A85" s="73"/>
      <c r="B85" s="81"/>
      <c r="C85" s="81"/>
      <c r="D85" s="81"/>
      <c r="E85" s="81"/>
      <c r="F85" s="81"/>
      <c r="G85" s="81"/>
      <c r="H85" s="37"/>
      <c r="I85" s="37"/>
      <c r="J85" s="81"/>
      <c r="K85" s="81"/>
      <c r="L85" s="81"/>
      <c r="M85" s="81"/>
      <c r="N85" s="81"/>
      <c r="O85" s="81"/>
      <c r="P85" s="81"/>
      <c r="Q85" s="77"/>
    </row>
    <row r="86" spans="1:17" x14ac:dyDescent="0.25">
      <c r="A86" s="73"/>
      <c r="B86" s="81"/>
      <c r="C86" s="81"/>
      <c r="D86" s="81"/>
      <c r="E86" s="81"/>
      <c r="F86" s="81"/>
      <c r="G86" s="81"/>
      <c r="H86" s="82"/>
      <c r="I86" s="82"/>
      <c r="J86" s="81"/>
      <c r="K86" s="81"/>
      <c r="L86" s="81"/>
      <c r="M86" s="81"/>
      <c r="N86" s="81"/>
      <c r="O86" s="81"/>
      <c r="P86" s="81"/>
      <c r="Q86" s="77"/>
    </row>
    <row r="87" spans="1:17" ht="15.75" thickBot="1" x14ac:dyDescent="0.3">
      <c r="A87" s="74"/>
      <c r="B87" s="75"/>
      <c r="C87" s="75"/>
      <c r="D87" s="75"/>
      <c r="E87" s="75"/>
      <c r="F87" s="75"/>
      <c r="G87" s="75"/>
      <c r="H87" s="80"/>
      <c r="I87" s="80"/>
      <c r="J87" s="75"/>
      <c r="K87" s="75"/>
      <c r="L87" s="75"/>
      <c r="M87" s="75"/>
      <c r="N87" s="75"/>
      <c r="O87" s="75"/>
      <c r="P87" s="75"/>
      <c r="Q87" s="77"/>
    </row>
    <row r="88" spans="1:17" x14ac:dyDescent="0.25">
      <c r="A88" s="71"/>
      <c r="B88" s="72"/>
      <c r="C88" s="72"/>
      <c r="D88" s="72"/>
      <c r="E88" s="72"/>
      <c r="F88" s="72"/>
      <c r="G88" s="72"/>
      <c r="H88" s="79"/>
      <c r="I88" s="79"/>
      <c r="J88" s="72"/>
      <c r="K88" s="72"/>
      <c r="L88" s="72"/>
      <c r="M88" s="72"/>
      <c r="N88" s="72"/>
      <c r="O88" s="72"/>
      <c r="P88" s="72"/>
      <c r="Q88" s="76"/>
    </row>
    <row r="89" spans="1:17" x14ac:dyDescent="0.25">
      <c r="A89" s="73"/>
      <c r="B89" s="81"/>
      <c r="C89" s="81"/>
      <c r="D89" s="81"/>
      <c r="E89" s="81"/>
      <c r="F89" s="81"/>
      <c r="G89" s="81"/>
      <c r="H89" s="82"/>
      <c r="I89" s="82"/>
      <c r="J89" s="81"/>
      <c r="K89" s="81"/>
      <c r="L89" s="81"/>
      <c r="M89" s="81"/>
      <c r="N89" s="81"/>
      <c r="O89" s="81"/>
      <c r="P89" s="81"/>
      <c r="Q89" s="77"/>
    </row>
    <row r="90" spans="1:17" x14ac:dyDescent="0.25">
      <c r="A90" s="73"/>
      <c r="B90" s="81"/>
      <c r="C90" s="81"/>
      <c r="D90" s="81"/>
      <c r="E90" s="81"/>
      <c r="F90" s="81"/>
      <c r="G90" s="81"/>
      <c r="H90" s="37"/>
      <c r="I90" s="37"/>
      <c r="J90" s="81"/>
      <c r="K90" s="81"/>
      <c r="L90" s="81"/>
      <c r="M90" s="81"/>
      <c r="N90" s="81"/>
      <c r="O90" s="81"/>
      <c r="P90" s="81"/>
      <c r="Q90" s="77"/>
    </row>
    <row r="91" spans="1:17" ht="15.75" thickBot="1" x14ac:dyDescent="0.3">
      <c r="A91" s="74"/>
      <c r="B91" s="75"/>
      <c r="C91" s="75"/>
      <c r="D91" s="75"/>
      <c r="E91" s="75"/>
      <c r="F91" s="75"/>
      <c r="G91" s="75"/>
      <c r="H91" s="80"/>
      <c r="I91" s="80"/>
      <c r="J91" s="75"/>
      <c r="K91" s="75"/>
      <c r="L91" s="75"/>
      <c r="M91" s="75"/>
      <c r="N91" s="75"/>
      <c r="O91" s="75"/>
      <c r="P91" s="75"/>
      <c r="Q91" s="7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S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5" ht="45.75" thickBot="1" x14ac:dyDescent="0.3">
      <c r="A1" s="30" t="s">
        <v>14</v>
      </c>
      <c r="B1" s="31" t="s">
        <v>11</v>
      </c>
      <c r="C1" s="31" t="s">
        <v>150</v>
      </c>
      <c r="D1" s="31" t="s">
        <v>151</v>
      </c>
      <c r="E1" s="31" t="s">
        <v>19</v>
      </c>
      <c r="F1" s="33" t="s">
        <v>38</v>
      </c>
      <c r="G1" s="34" t="s">
        <v>3</v>
      </c>
      <c r="H1" s="35" t="s">
        <v>45</v>
      </c>
      <c r="I1" s="30" t="s">
        <v>30</v>
      </c>
      <c r="J1" s="31" t="s">
        <v>31</v>
      </c>
      <c r="K1" s="31" t="s">
        <v>32</v>
      </c>
      <c r="L1" s="32" t="s">
        <v>33</v>
      </c>
      <c r="M1" s="31">
        <v>2018</v>
      </c>
      <c r="N1" s="31">
        <v>2019</v>
      </c>
      <c r="O1" s="31">
        <v>2020</v>
      </c>
      <c r="P1" s="31">
        <v>2021</v>
      </c>
      <c r="Q1" s="31">
        <v>2022</v>
      </c>
      <c r="R1" s="31">
        <v>2023</v>
      </c>
      <c r="S1" s="31">
        <v>2024</v>
      </c>
      <c r="T1" s="31">
        <v>2025</v>
      </c>
      <c r="U1" s="31">
        <v>2026</v>
      </c>
      <c r="V1" s="31">
        <v>2027</v>
      </c>
      <c r="W1" s="31">
        <v>2028</v>
      </c>
      <c r="X1" s="31">
        <v>2029</v>
      </c>
      <c r="Y1" s="31">
        <v>2030</v>
      </c>
      <c r="Z1" s="31">
        <v>2031</v>
      </c>
      <c r="AA1" s="31">
        <v>2032</v>
      </c>
      <c r="AB1" s="31">
        <v>2033</v>
      </c>
      <c r="AC1" s="31">
        <v>2034</v>
      </c>
      <c r="AD1" s="31">
        <v>2035</v>
      </c>
      <c r="AE1" s="31">
        <v>2036</v>
      </c>
      <c r="AF1" s="31">
        <v>2037</v>
      </c>
      <c r="AG1" s="31">
        <v>2038</v>
      </c>
      <c r="AH1" s="31">
        <v>2039</v>
      </c>
      <c r="AI1" s="31">
        <v>2040</v>
      </c>
      <c r="AJ1" s="31">
        <v>2041</v>
      </c>
      <c r="AK1" s="31">
        <v>2042</v>
      </c>
      <c r="AL1" s="31">
        <v>2043</v>
      </c>
      <c r="AM1" s="31">
        <v>2044</v>
      </c>
      <c r="AN1" s="31">
        <v>2045</v>
      </c>
      <c r="AO1" s="31">
        <v>2046</v>
      </c>
      <c r="AP1" s="31">
        <v>2047</v>
      </c>
      <c r="AQ1" s="31">
        <v>2048</v>
      </c>
      <c r="AR1" s="31">
        <v>2049</v>
      </c>
      <c r="AS1" s="32">
        <v>2050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Y178"/>
  <sheetViews>
    <sheetView zoomScale="89" zoomScaleNormal="89" workbookViewId="0">
      <pane ySplit="1" topLeftCell="A31" activePane="bottomLeft" state="frozen"/>
      <selection pane="bottomLeft" activeCell="A48" sqref="A48:AQ151"/>
    </sheetView>
  </sheetViews>
  <sheetFormatPr defaultColWidth="8.85546875" defaultRowHeight="15" x14ac:dyDescent="0.25"/>
  <cols>
    <col min="1" max="1" width="11.85546875" style="1" customWidth="1"/>
    <col min="2" max="2" width="40.28515625" bestFit="1" customWidth="1"/>
    <col min="3" max="3" width="31.42578125" bestFit="1" customWidth="1"/>
    <col min="4" max="4" width="26.5703125" customWidth="1"/>
    <col min="5" max="5" width="14.7109375" customWidth="1"/>
    <col min="6" max="6" width="14.5703125" customWidth="1"/>
    <col min="7" max="7" width="16.140625" bestFit="1" customWidth="1"/>
    <col min="8" max="8" width="10.5703125" customWidth="1"/>
    <col min="9" max="10" width="15.5703125" customWidth="1"/>
    <col min="11" max="14" width="13.28515625" bestFit="1" customWidth="1"/>
    <col min="15" max="16" width="14.28515625" bestFit="1" customWidth="1"/>
    <col min="17" max="43" width="13.28515625" bestFit="1" customWidth="1"/>
  </cols>
  <sheetData>
    <row r="1" spans="1:43" ht="30.75" thickBot="1" x14ac:dyDescent="0.3">
      <c r="A1" s="150" t="s">
        <v>14</v>
      </c>
      <c r="B1" s="151" t="s">
        <v>11</v>
      </c>
      <c r="C1" s="151" t="s">
        <v>20</v>
      </c>
      <c r="D1" s="152" t="s">
        <v>37</v>
      </c>
      <c r="E1" s="152" t="s">
        <v>38</v>
      </c>
      <c r="F1" s="151" t="s">
        <v>3</v>
      </c>
      <c r="G1" s="153" t="s">
        <v>45</v>
      </c>
      <c r="H1" s="154" t="s">
        <v>30</v>
      </c>
      <c r="I1" s="155" t="s">
        <v>41</v>
      </c>
      <c r="J1" s="156" t="s">
        <v>42</v>
      </c>
      <c r="K1" s="151">
        <v>2018</v>
      </c>
      <c r="L1" s="151">
        <v>2019</v>
      </c>
      <c r="M1" s="151">
        <v>2020</v>
      </c>
      <c r="N1" s="151">
        <v>2021</v>
      </c>
      <c r="O1" s="151">
        <v>2022</v>
      </c>
      <c r="P1" s="151">
        <v>2023</v>
      </c>
      <c r="Q1" s="151">
        <v>2024</v>
      </c>
      <c r="R1" s="151">
        <v>2025</v>
      </c>
      <c r="S1" s="151">
        <v>2026</v>
      </c>
      <c r="T1" s="151">
        <v>2027</v>
      </c>
      <c r="U1" s="151">
        <v>2028</v>
      </c>
      <c r="V1" s="151">
        <v>2029</v>
      </c>
      <c r="W1" s="151">
        <v>2030</v>
      </c>
      <c r="X1" s="151">
        <v>2031</v>
      </c>
      <c r="Y1" s="151">
        <v>2032</v>
      </c>
      <c r="Z1" s="151">
        <v>2033</v>
      </c>
      <c r="AA1" s="151">
        <v>2034</v>
      </c>
      <c r="AB1" s="151">
        <v>2035</v>
      </c>
      <c r="AC1" s="151">
        <v>2036</v>
      </c>
      <c r="AD1" s="151">
        <v>2037</v>
      </c>
      <c r="AE1" s="151">
        <v>2038</v>
      </c>
      <c r="AF1" s="151">
        <v>2039</v>
      </c>
      <c r="AG1" s="151">
        <v>2040</v>
      </c>
      <c r="AH1" s="151">
        <v>2041</v>
      </c>
      <c r="AI1" s="151">
        <v>2042</v>
      </c>
      <c r="AJ1" s="151">
        <v>2043</v>
      </c>
      <c r="AK1" s="151">
        <v>2044</v>
      </c>
      <c r="AL1" s="151">
        <v>2045</v>
      </c>
      <c r="AM1" s="151">
        <v>2046</v>
      </c>
      <c r="AN1" s="151">
        <v>2047</v>
      </c>
      <c r="AO1" s="151">
        <v>2048</v>
      </c>
      <c r="AP1" s="151">
        <v>2049</v>
      </c>
      <c r="AQ1" s="157">
        <v>2050</v>
      </c>
    </row>
    <row r="2" spans="1:43" ht="61.7" customHeight="1" thickBot="1" x14ac:dyDescent="0.3">
      <c r="A2" s="142" t="s">
        <v>6</v>
      </c>
      <c r="B2" s="143" t="s">
        <v>67</v>
      </c>
      <c r="C2" s="143" t="s">
        <v>152</v>
      </c>
      <c r="D2" s="158" t="s">
        <v>153</v>
      </c>
      <c r="E2" s="143" t="s">
        <v>7</v>
      </c>
      <c r="F2" s="143" t="s">
        <v>154</v>
      </c>
      <c r="G2" s="144" t="s">
        <v>155</v>
      </c>
      <c r="H2" s="159" t="s">
        <v>156</v>
      </c>
      <c r="I2" s="160" t="s">
        <v>156</v>
      </c>
      <c r="J2" s="161" t="s">
        <v>156</v>
      </c>
      <c r="K2" s="162">
        <v>1</v>
      </c>
      <c r="L2" s="143">
        <v>1</v>
      </c>
      <c r="M2" s="143">
        <v>1</v>
      </c>
      <c r="N2" s="143">
        <v>1</v>
      </c>
      <c r="O2" s="143">
        <v>1</v>
      </c>
      <c r="P2" s="143">
        <v>1</v>
      </c>
      <c r="Q2" s="143">
        <v>1</v>
      </c>
      <c r="R2" s="143">
        <v>1</v>
      </c>
      <c r="S2" s="143">
        <v>1</v>
      </c>
      <c r="T2" s="143">
        <v>1</v>
      </c>
      <c r="U2" s="143">
        <v>1</v>
      </c>
      <c r="V2" s="143">
        <v>1</v>
      </c>
      <c r="W2" s="143">
        <v>1</v>
      </c>
      <c r="X2" s="143">
        <v>1</v>
      </c>
      <c r="Y2" s="143">
        <v>1</v>
      </c>
      <c r="Z2" s="143">
        <v>1</v>
      </c>
      <c r="AA2" s="143">
        <v>1</v>
      </c>
      <c r="AB2" s="143">
        <v>1</v>
      </c>
      <c r="AC2" s="143">
        <v>1</v>
      </c>
      <c r="AD2" s="143">
        <v>1</v>
      </c>
      <c r="AE2" s="143">
        <v>1</v>
      </c>
      <c r="AF2" s="143">
        <v>1</v>
      </c>
      <c r="AG2" s="143">
        <v>1</v>
      </c>
      <c r="AH2" s="143">
        <v>1</v>
      </c>
      <c r="AI2" s="143">
        <v>1</v>
      </c>
      <c r="AJ2" s="143">
        <v>1</v>
      </c>
      <c r="AK2" s="143">
        <v>1</v>
      </c>
      <c r="AL2" s="143">
        <v>1</v>
      </c>
      <c r="AM2" s="143">
        <v>1</v>
      </c>
      <c r="AN2" s="143">
        <v>1</v>
      </c>
      <c r="AO2" s="143">
        <v>1</v>
      </c>
      <c r="AP2" s="143">
        <v>1</v>
      </c>
      <c r="AQ2" s="163">
        <v>1</v>
      </c>
    </row>
    <row r="3" spans="1:43" s="262" customFormat="1" ht="43.15" customHeight="1" thickBot="1" x14ac:dyDescent="0.3">
      <c r="A3" s="257" t="s">
        <v>6</v>
      </c>
      <c r="B3" s="258" t="s">
        <v>167</v>
      </c>
      <c r="C3" s="258" t="s">
        <v>162</v>
      </c>
      <c r="D3" s="259"/>
      <c r="E3" s="239" t="s">
        <v>7</v>
      </c>
      <c r="F3" s="239" t="s">
        <v>154</v>
      </c>
      <c r="G3" s="239" t="s">
        <v>158</v>
      </c>
      <c r="H3" s="260"/>
      <c r="I3" s="260"/>
      <c r="J3" s="261"/>
      <c r="K3" s="268">
        <v>-4.4117039365176813</v>
      </c>
      <c r="L3" s="268">
        <v>-4.2900340840567788</v>
      </c>
      <c r="M3" s="268">
        <v>-4.181052332133194</v>
      </c>
      <c r="N3" s="268">
        <v>-4.1326226470995175</v>
      </c>
      <c r="O3" s="268">
        <v>-4.0218827818415592</v>
      </c>
      <c r="P3" s="268">
        <v>-3.7022648378762146</v>
      </c>
      <c r="Q3" s="268">
        <v>-1.64</v>
      </c>
      <c r="R3" s="268">
        <v>-1.64</v>
      </c>
      <c r="S3" s="268">
        <v>-4.4311957525982617</v>
      </c>
      <c r="T3" s="268">
        <v>-4.4311957525982617</v>
      </c>
      <c r="U3" s="268">
        <v>-4.4311957525982617</v>
      </c>
      <c r="V3" s="268">
        <v>-4.4311957525982617</v>
      </c>
      <c r="W3" s="268">
        <v>-4.4311957525982617</v>
      </c>
      <c r="X3" s="268">
        <v>-4.4311957525982617</v>
      </c>
      <c r="Y3" s="268">
        <v>-4.4311957525982617</v>
      </c>
      <c r="Z3" s="268">
        <v>-4.4311957525982617</v>
      </c>
      <c r="AA3" s="268">
        <v>-4.4311957525982617</v>
      </c>
      <c r="AB3" s="268">
        <v>-4.4311957525982617</v>
      </c>
      <c r="AC3" s="268">
        <v>-4.4311957525982617</v>
      </c>
      <c r="AD3" s="268">
        <v>-4.4311957525982617</v>
      </c>
      <c r="AE3" s="268">
        <v>-4.4311957525982617</v>
      </c>
      <c r="AF3" s="268">
        <v>-4.4311957525982617</v>
      </c>
      <c r="AG3" s="268">
        <v>-4.4311957525982617</v>
      </c>
      <c r="AH3" s="268">
        <v>-4.4311957525982617</v>
      </c>
      <c r="AI3" s="268">
        <v>-4.4311957525982617</v>
      </c>
      <c r="AJ3" s="268">
        <v>-4.4311957525982617</v>
      </c>
      <c r="AK3" s="268">
        <v>-4.4311957525982617</v>
      </c>
      <c r="AL3" s="268">
        <v>-4.4311957525982617</v>
      </c>
      <c r="AM3" s="268">
        <v>-4.4311957525982617</v>
      </c>
      <c r="AN3" s="268">
        <v>-4.4311957525982617</v>
      </c>
      <c r="AO3" s="268">
        <v>-4.4311957525982617</v>
      </c>
      <c r="AP3" s="268">
        <v>-4.4311957525982617</v>
      </c>
      <c r="AQ3" s="268">
        <v>-4.4311957525982617</v>
      </c>
    </row>
    <row r="4" spans="1:43" s="262" customFormat="1" ht="43.15" customHeight="1" thickBot="1" x14ac:dyDescent="0.3">
      <c r="A4" s="257" t="s">
        <v>6</v>
      </c>
      <c r="B4" s="258" t="s">
        <v>167</v>
      </c>
      <c r="C4" s="258" t="s">
        <v>159</v>
      </c>
      <c r="D4" s="259"/>
      <c r="E4" s="239" t="s">
        <v>7</v>
      </c>
      <c r="F4" s="239" t="s">
        <v>154</v>
      </c>
      <c r="G4" s="239" t="s">
        <v>158</v>
      </c>
      <c r="H4" s="260"/>
      <c r="I4" s="260"/>
      <c r="J4" s="261"/>
      <c r="K4" s="268">
        <v>-4.4117039365176813</v>
      </c>
      <c r="L4" s="268">
        <v>-4.2900340840567788</v>
      </c>
      <c r="M4" s="268">
        <v>-4.181052332133194</v>
      </c>
      <c r="N4" s="268">
        <v>-4.1326226470995175</v>
      </c>
      <c r="O4" s="268">
        <v>-4.0218827818415592</v>
      </c>
      <c r="P4" s="268">
        <v>-3.7022648378762146</v>
      </c>
      <c r="Q4" s="268">
        <v>-1.64</v>
      </c>
      <c r="R4" s="268">
        <v>-1.64</v>
      </c>
      <c r="S4" s="268">
        <v>-4.4311957525982617</v>
      </c>
      <c r="T4" s="268">
        <v>-4.4311957525982617</v>
      </c>
      <c r="U4" s="268">
        <v>-4.4311957525982617</v>
      </c>
      <c r="V4" s="268">
        <v>-4.4311957525982617</v>
      </c>
      <c r="W4" s="268">
        <v>-4.4311957525982617</v>
      </c>
      <c r="X4" s="268">
        <v>-4.4311957525982617</v>
      </c>
      <c r="Y4" s="268">
        <v>-4.4311957525982617</v>
      </c>
      <c r="Z4" s="268">
        <v>-4.4311957525982617</v>
      </c>
      <c r="AA4" s="268">
        <v>-4.4311957525982617</v>
      </c>
      <c r="AB4" s="268">
        <v>-4.4311957525982617</v>
      </c>
      <c r="AC4" s="268">
        <v>-4.4311957525982617</v>
      </c>
      <c r="AD4" s="268">
        <v>-4.4311957525982617</v>
      </c>
      <c r="AE4" s="268">
        <v>-4.4311957525982617</v>
      </c>
      <c r="AF4" s="268">
        <v>-4.4311957525982617</v>
      </c>
      <c r="AG4" s="268">
        <v>-4.4311957525982617</v>
      </c>
      <c r="AH4" s="268">
        <v>-4.4311957525982617</v>
      </c>
      <c r="AI4" s="268">
        <v>-4.4311957525982617</v>
      </c>
      <c r="AJ4" s="268">
        <v>-4.4311957525982617</v>
      </c>
      <c r="AK4" s="268">
        <v>-4.4311957525982617</v>
      </c>
      <c r="AL4" s="268">
        <v>-4.4311957525982617</v>
      </c>
      <c r="AM4" s="268">
        <v>-4.4311957525982617</v>
      </c>
      <c r="AN4" s="268">
        <v>-4.4311957525982617</v>
      </c>
      <c r="AO4" s="268">
        <v>-4.4311957525982617</v>
      </c>
      <c r="AP4" s="268">
        <v>-4.4311957525982617</v>
      </c>
      <c r="AQ4" s="268">
        <v>-4.4311957525982617</v>
      </c>
    </row>
    <row r="5" spans="1:43" s="262" customFormat="1" ht="43.15" customHeight="1" thickBot="1" x14ac:dyDescent="0.3">
      <c r="A5" s="257" t="s">
        <v>6</v>
      </c>
      <c r="B5" s="258" t="s">
        <v>167</v>
      </c>
      <c r="C5" s="258" t="s">
        <v>157</v>
      </c>
      <c r="D5" s="259"/>
      <c r="E5" s="239" t="s">
        <v>7</v>
      </c>
      <c r="F5" s="239" t="s">
        <v>154</v>
      </c>
      <c r="G5" s="239" t="s">
        <v>158</v>
      </c>
      <c r="H5" s="260"/>
      <c r="I5" s="260"/>
      <c r="J5" s="261"/>
      <c r="K5" s="268">
        <v>-4.4117039365176813</v>
      </c>
      <c r="L5" s="268">
        <v>-4.2900340840567788</v>
      </c>
      <c r="M5" s="268">
        <v>-4.181052332133194</v>
      </c>
      <c r="N5" s="268">
        <v>-4.1326226470995175</v>
      </c>
      <c r="O5" s="268">
        <v>-4.0218827818415592</v>
      </c>
      <c r="P5" s="268">
        <v>-3.7022648378762146</v>
      </c>
      <c r="Q5" s="268">
        <v>-1.64</v>
      </c>
      <c r="R5" s="268">
        <v>-1.64</v>
      </c>
      <c r="S5" s="268">
        <v>-4.4311957525982617</v>
      </c>
      <c r="T5" s="268">
        <v>-4.4311957525982617</v>
      </c>
      <c r="U5" s="268">
        <v>-4.4311957525982617</v>
      </c>
      <c r="V5" s="268">
        <v>-4.4311957525982617</v>
      </c>
      <c r="W5" s="268">
        <v>-4.4311957525982617</v>
      </c>
      <c r="X5" s="268">
        <v>-4.4311957525982617</v>
      </c>
      <c r="Y5" s="268">
        <v>-4.4311957525982617</v>
      </c>
      <c r="Z5" s="268">
        <v>-4.4311957525982617</v>
      </c>
      <c r="AA5" s="268">
        <v>-4.4311957525982617</v>
      </c>
      <c r="AB5" s="268">
        <v>-4.4311957525982617</v>
      </c>
      <c r="AC5" s="268">
        <v>-4.4311957525982617</v>
      </c>
      <c r="AD5" s="268">
        <v>-4.4311957525982617</v>
      </c>
      <c r="AE5" s="268">
        <v>-4.4311957525982617</v>
      </c>
      <c r="AF5" s="268">
        <v>-4.4311957525982617</v>
      </c>
      <c r="AG5" s="268">
        <v>-4.4311957525982617</v>
      </c>
      <c r="AH5" s="268">
        <v>-4.4311957525982617</v>
      </c>
      <c r="AI5" s="268">
        <v>-4.4311957525982617</v>
      </c>
      <c r="AJ5" s="268">
        <v>-4.4311957525982617</v>
      </c>
      <c r="AK5" s="268">
        <v>-4.4311957525982617</v>
      </c>
      <c r="AL5" s="268">
        <v>-4.4311957525982617</v>
      </c>
      <c r="AM5" s="268">
        <v>-4.4311957525982617</v>
      </c>
      <c r="AN5" s="268">
        <v>-4.4311957525982617</v>
      </c>
      <c r="AO5" s="268">
        <v>-4.4311957525982617</v>
      </c>
      <c r="AP5" s="268">
        <v>-4.4311957525982617</v>
      </c>
      <c r="AQ5" s="268">
        <v>-4.4311957525982617</v>
      </c>
    </row>
    <row r="6" spans="1:43" s="262" customFormat="1" ht="43.15" customHeight="1" thickBot="1" x14ac:dyDescent="0.3">
      <c r="A6" s="257" t="s">
        <v>6</v>
      </c>
      <c r="B6" s="258" t="s">
        <v>167</v>
      </c>
      <c r="C6" s="258" t="s">
        <v>168</v>
      </c>
      <c r="D6" s="259"/>
      <c r="E6" s="239" t="s">
        <v>7</v>
      </c>
      <c r="F6" s="239" t="s">
        <v>154</v>
      </c>
      <c r="G6" s="239" t="s">
        <v>158</v>
      </c>
      <c r="H6" s="260"/>
      <c r="I6" s="260"/>
      <c r="J6" s="261"/>
      <c r="K6" s="268">
        <v>-4.4117039365176813</v>
      </c>
      <c r="L6" s="268">
        <v>-4.2900340840567788</v>
      </c>
      <c r="M6" s="268">
        <v>-4.181052332133194</v>
      </c>
      <c r="N6" s="268">
        <v>-4.1326226470995175</v>
      </c>
      <c r="O6" s="268">
        <v>-4.0218827818415592</v>
      </c>
      <c r="P6" s="268">
        <v>-3.7022648378762146</v>
      </c>
      <c r="Q6" s="268">
        <v>-1.64</v>
      </c>
      <c r="R6" s="268">
        <v>-1.64</v>
      </c>
      <c r="S6" s="268">
        <v>-4.4311957525982617</v>
      </c>
      <c r="T6" s="268">
        <v>-4.4311957525982617</v>
      </c>
      <c r="U6" s="268">
        <v>-4.4311957525982617</v>
      </c>
      <c r="V6" s="268">
        <v>-4.4311957525982617</v>
      </c>
      <c r="W6" s="268">
        <v>-4.4311957525982617</v>
      </c>
      <c r="X6" s="268">
        <v>-4.4311957525982617</v>
      </c>
      <c r="Y6" s="268">
        <v>-4.4311957525982617</v>
      </c>
      <c r="Z6" s="268">
        <v>-4.4311957525982617</v>
      </c>
      <c r="AA6" s="268">
        <v>-4.4311957525982617</v>
      </c>
      <c r="AB6" s="268">
        <v>-4.4311957525982617</v>
      </c>
      <c r="AC6" s="268">
        <v>-4.4311957525982617</v>
      </c>
      <c r="AD6" s="268">
        <v>-4.4311957525982617</v>
      </c>
      <c r="AE6" s="268">
        <v>-4.4311957525982617</v>
      </c>
      <c r="AF6" s="268">
        <v>-4.4311957525982617</v>
      </c>
      <c r="AG6" s="268">
        <v>-4.4311957525982617</v>
      </c>
      <c r="AH6" s="268">
        <v>-4.4311957525982617</v>
      </c>
      <c r="AI6" s="268">
        <v>-4.4311957525982617</v>
      </c>
      <c r="AJ6" s="268">
        <v>-4.4311957525982617</v>
      </c>
      <c r="AK6" s="268">
        <v>-4.4311957525982617</v>
      </c>
      <c r="AL6" s="268">
        <v>-4.4311957525982617</v>
      </c>
      <c r="AM6" s="268">
        <v>-4.4311957525982617</v>
      </c>
      <c r="AN6" s="268">
        <v>-4.4311957525982617</v>
      </c>
      <c r="AO6" s="268">
        <v>-4.4311957525982617</v>
      </c>
      <c r="AP6" s="268">
        <v>-4.4311957525982617</v>
      </c>
      <c r="AQ6" s="268">
        <v>-4.4311957525982617</v>
      </c>
    </row>
    <row r="7" spans="1:43" s="262" customFormat="1" ht="43.15" customHeight="1" thickBot="1" x14ac:dyDescent="0.3">
      <c r="A7" s="257" t="s">
        <v>6</v>
      </c>
      <c r="B7" s="258" t="s">
        <v>167</v>
      </c>
      <c r="C7" s="258" t="s">
        <v>160</v>
      </c>
      <c r="D7" s="259"/>
      <c r="E7" s="239" t="s">
        <v>7</v>
      </c>
      <c r="F7" s="239" t="s">
        <v>154</v>
      </c>
      <c r="G7" s="239" t="s">
        <v>158</v>
      </c>
      <c r="H7" s="260"/>
      <c r="I7" s="260"/>
      <c r="J7" s="261"/>
      <c r="K7" s="268">
        <v>-4.4117039365176813</v>
      </c>
      <c r="L7" s="268">
        <v>-4.2900340840567788</v>
      </c>
      <c r="M7" s="268">
        <v>-4.181052332133194</v>
      </c>
      <c r="N7" s="268">
        <v>-4.1326226470995175</v>
      </c>
      <c r="O7" s="268">
        <v>-4.0218827818415592</v>
      </c>
      <c r="P7" s="268">
        <v>-3.7022648378762146</v>
      </c>
      <c r="Q7" s="268">
        <v>-1.64</v>
      </c>
      <c r="R7" s="268">
        <v>-1.64</v>
      </c>
      <c r="S7" s="268">
        <v>-4.4311957525982617</v>
      </c>
      <c r="T7" s="268">
        <v>-4.4311957525982617</v>
      </c>
      <c r="U7" s="268">
        <v>-4.4311957525982617</v>
      </c>
      <c r="V7" s="268">
        <v>-4.4311957525982617</v>
      </c>
      <c r="W7" s="268">
        <v>-4.4311957525982617</v>
      </c>
      <c r="X7" s="268">
        <v>-4.4311957525982617</v>
      </c>
      <c r="Y7" s="268">
        <v>-4.4311957525982617</v>
      </c>
      <c r="Z7" s="268">
        <v>-4.4311957525982617</v>
      </c>
      <c r="AA7" s="268">
        <v>-4.4311957525982617</v>
      </c>
      <c r="AB7" s="268">
        <v>-4.4311957525982617</v>
      </c>
      <c r="AC7" s="268">
        <v>-4.4311957525982617</v>
      </c>
      <c r="AD7" s="268">
        <v>-4.4311957525982617</v>
      </c>
      <c r="AE7" s="268">
        <v>-4.4311957525982617</v>
      </c>
      <c r="AF7" s="268">
        <v>-4.4311957525982617</v>
      </c>
      <c r="AG7" s="268">
        <v>-4.4311957525982617</v>
      </c>
      <c r="AH7" s="268">
        <v>-4.4311957525982617</v>
      </c>
      <c r="AI7" s="268">
        <v>-4.4311957525982617</v>
      </c>
      <c r="AJ7" s="268">
        <v>-4.4311957525982617</v>
      </c>
      <c r="AK7" s="268">
        <v>-4.4311957525982617</v>
      </c>
      <c r="AL7" s="268">
        <v>-4.4311957525982617</v>
      </c>
      <c r="AM7" s="268">
        <v>-4.4311957525982617</v>
      </c>
      <c r="AN7" s="268">
        <v>-4.4311957525982617</v>
      </c>
      <c r="AO7" s="268">
        <v>-4.4311957525982617</v>
      </c>
      <c r="AP7" s="268">
        <v>-4.4311957525982617</v>
      </c>
      <c r="AQ7" s="268">
        <v>-4.4311957525982617</v>
      </c>
    </row>
    <row r="8" spans="1:43" s="262" customFormat="1" ht="43.15" customHeight="1" thickBot="1" x14ac:dyDescent="0.3">
      <c r="A8" s="257" t="s">
        <v>6</v>
      </c>
      <c r="B8" s="258" t="s">
        <v>167</v>
      </c>
      <c r="C8" s="258" t="s">
        <v>169</v>
      </c>
      <c r="D8" s="259"/>
      <c r="E8" s="239" t="s">
        <v>7</v>
      </c>
      <c r="F8" s="239" t="s">
        <v>154</v>
      </c>
      <c r="G8" s="239" t="s">
        <v>158</v>
      </c>
      <c r="H8" s="260"/>
      <c r="I8" s="260"/>
      <c r="J8" s="261"/>
      <c r="K8" s="268">
        <v>-4.4117039365176813</v>
      </c>
      <c r="L8" s="268">
        <v>-4.2900340840567788</v>
      </c>
      <c r="M8" s="268">
        <v>-4.181052332133194</v>
      </c>
      <c r="N8" s="268">
        <v>-4.1326226470995175</v>
      </c>
      <c r="O8" s="268">
        <v>-4.0218827818415592</v>
      </c>
      <c r="P8" s="268">
        <v>-3.7022648378762146</v>
      </c>
      <c r="Q8" s="268">
        <v>-1.64</v>
      </c>
      <c r="R8" s="268">
        <v>-1.64</v>
      </c>
      <c r="S8" s="268">
        <v>-4.4311957525982617</v>
      </c>
      <c r="T8" s="268">
        <v>-4.4311957525982617</v>
      </c>
      <c r="U8" s="268">
        <v>-4.4311957525982617</v>
      </c>
      <c r="V8" s="268">
        <v>-4.4311957525982617</v>
      </c>
      <c r="W8" s="268">
        <v>-4.4311957525982617</v>
      </c>
      <c r="X8" s="268">
        <v>-4.4311957525982617</v>
      </c>
      <c r="Y8" s="268">
        <v>-4.4311957525982617</v>
      </c>
      <c r="Z8" s="268">
        <v>-4.4311957525982617</v>
      </c>
      <c r="AA8" s="268">
        <v>-4.4311957525982617</v>
      </c>
      <c r="AB8" s="268">
        <v>-4.4311957525982617</v>
      </c>
      <c r="AC8" s="268">
        <v>-4.4311957525982617</v>
      </c>
      <c r="AD8" s="268">
        <v>-4.4311957525982617</v>
      </c>
      <c r="AE8" s="268">
        <v>-4.4311957525982617</v>
      </c>
      <c r="AF8" s="268">
        <v>-4.4311957525982617</v>
      </c>
      <c r="AG8" s="268">
        <v>-4.4311957525982617</v>
      </c>
      <c r="AH8" s="268">
        <v>-4.4311957525982617</v>
      </c>
      <c r="AI8" s="268">
        <v>-4.4311957525982617</v>
      </c>
      <c r="AJ8" s="268">
        <v>-4.4311957525982617</v>
      </c>
      <c r="AK8" s="268">
        <v>-4.4311957525982617</v>
      </c>
      <c r="AL8" s="268">
        <v>-4.4311957525982617</v>
      </c>
      <c r="AM8" s="268">
        <v>-4.4311957525982617</v>
      </c>
      <c r="AN8" s="268">
        <v>-4.4311957525982617</v>
      </c>
      <c r="AO8" s="268">
        <v>-4.4311957525982617</v>
      </c>
      <c r="AP8" s="268">
        <v>-4.4311957525982617</v>
      </c>
      <c r="AQ8" s="268">
        <v>-4.4311957525982617</v>
      </c>
    </row>
    <row r="9" spans="1:43" s="262" customFormat="1" ht="43.15" customHeight="1" thickBot="1" x14ac:dyDescent="0.3">
      <c r="A9" s="257" t="s">
        <v>6</v>
      </c>
      <c r="B9" s="258" t="s">
        <v>167</v>
      </c>
      <c r="C9" s="258" t="s">
        <v>175</v>
      </c>
      <c r="D9" s="259"/>
      <c r="E9" s="239" t="s">
        <v>7</v>
      </c>
      <c r="F9" s="239" t="s">
        <v>154</v>
      </c>
      <c r="G9" s="239" t="s">
        <v>158</v>
      </c>
      <c r="H9" s="260"/>
      <c r="I9" s="260"/>
      <c r="J9" s="261"/>
      <c r="K9" s="266">
        <v>0.55512329903254765</v>
      </c>
      <c r="L9" s="266">
        <v>2.2931705328636712E-2</v>
      </c>
      <c r="M9" s="266">
        <v>0.23544386725579336</v>
      </c>
      <c r="N9" s="266">
        <v>-0.13796007727554935</v>
      </c>
      <c r="O9" s="266">
        <v>0.4008356080855604</v>
      </c>
      <c r="P9" s="266">
        <v>0.28528405915593746</v>
      </c>
      <c r="Q9" s="266">
        <v>0.13</v>
      </c>
      <c r="R9" s="267">
        <v>0.13</v>
      </c>
      <c r="S9" s="266">
        <v>0.54854658300852877</v>
      </c>
      <c r="T9" s="267">
        <v>0.54854658300852877</v>
      </c>
      <c r="U9" s="267">
        <v>0.54854658300852877</v>
      </c>
      <c r="V9" s="267">
        <v>0.54854658300852877</v>
      </c>
      <c r="W9" s="267">
        <v>0.54854658300852877</v>
      </c>
      <c r="X9" s="267">
        <v>0.54854658300852877</v>
      </c>
      <c r="Y9" s="267">
        <v>0.54854658300852877</v>
      </c>
      <c r="Z9" s="267">
        <v>0.54854658300852877</v>
      </c>
      <c r="AA9" s="267">
        <v>0.54854658300852877</v>
      </c>
      <c r="AB9" s="267">
        <v>0.54854658300852877</v>
      </c>
      <c r="AC9" s="267">
        <v>0.54854658300852877</v>
      </c>
      <c r="AD9" s="267">
        <v>0.54854658300852877</v>
      </c>
      <c r="AE9" s="267">
        <v>0.54854658300852877</v>
      </c>
      <c r="AF9" s="267">
        <v>0.54854658300852877</v>
      </c>
      <c r="AG9" s="267">
        <v>0.54854658300852877</v>
      </c>
      <c r="AH9" s="267">
        <v>0.54854658300852877</v>
      </c>
      <c r="AI9" s="267">
        <v>0.54854658300852877</v>
      </c>
      <c r="AJ9" s="267">
        <v>0.54854658300852877</v>
      </c>
      <c r="AK9" s="267">
        <v>0.54854658300852877</v>
      </c>
      <c r="AL9" s="267">
        <v>0.54854658300852877</v>
      </c>
      <c r="AM9" s="267">
        <v>0.54854658300852877</v>
      </c>
      <c r="AN9" s="267">
        <v>0.54854658300852877</v>
      </c>
      <c r="AO9" s="267">
        <v>0.54854658300852877</v>
      </c>
      <c r="AP9" s="267">
        <v>0.54854658300852877</v>
      </c>
      <c r="AQ9" s="267">
        <v>0.54854658300852877</v>
      </c>
    </row>
    <row r="10" spans="1:43" s="262" customFormat="1" ht="43.15" customHeight="1" thickBot="1" x14ac:dyDescent="0.3">
      <c r="A10" s="257" t="s">
        <v>6</v>
      </c>
      <c r="B10" s="258" t="s">
        <v>167</v>
      </c>
      <c r="C10" s="258" t="s">
        <v>166</v>
      </c>
      <c r="D10" s="259"/>
      <c r="E10" s="239" t="s">
        <v>7</v>
      </c>
      <c r="F10" s="239" t="s">
        <v>154</v>
      </c>
      <c r="G10" s="239" t="s">
        <v>158</v>
      </c>
      <c r="H10" s="260"/>
      <c r="I10" s="260"/>
      <c r="J10" s="261"/>
      <c r="K10" s="266">
        <v>-2125.1881030718509</v>
      </c>
      <c r="L10" s="266">
        <v>-1972.369167434922</v>
      </c>
      <c r="M10" s="266">
        <v>-1960.776442845656</v>
      </c>
      <c r="N10" s="266">
        <v>-2160.3308225670539</v>
      </c>
      <c r="O10" s="266">
        <v>-2219.5908372799295</v>
      </c>
      <c r="P10" s="266">
        <v>-3090.8765054525365</v>
      </c>
      <c r="Q10" s="266">
        <v>-1365.19</v>
      </c>
      <c r="R10" s="267">
        <v>-1365.19</v>
      </c>
      <c r="S10" s="266">
        <v>-2063.3760543437934</v>
      </c>
      <c r="T10" s="267">
        <v>-2063.3760543437934</v>
      </c>
      <c r="U10" s="267">
        <v>-2063.3760543437934</v>
      </c>
      <c r="V10" s="267">
        <v>-2063.3760543437934</v>
      </c>
      <c r="W10" s="267">
        <v>-2063.3760543437934</v>
      </c>
      <c r="X10" s="267">
        <v>-2063.3760543437934</v>
      </c>
      <c r="Y10" s="267">
        <v>-2063.3760543437934</v>
      </c>
      <c r="Z10" s="267">
        <v>-2063.3760543437934</v>
      </c>
      <c r="AA10" s="267">
        <v>-2063.3760543437934</v>
      </c>
      <c r="AB10" s="267">
        <v>-2063.3760543437934</v>
      </c>
      <c r="AC10" s="267">
        <v>-2063.3760543437934</v>
      </c>
      <c r="AD10" s="267">
        <v>-2063.3760543437934</v>
      </c>
      <c r="AE10" s="267">
        <v>-2063.3760543437934</v>
      </c>
      <c r="AF10" s="267">
        <v>-2063.3760543437934</v>
      </c>
      <c r="AG10" s="267">
        <v>-2063.3760543437934</v>
      </c>
      <c r="AH10" s="267">
        <v>-2063.3760543437934</v>
      </c>
      <c r="AI10" s="267">
        <v>-2063.3760543437934</v>
      </c>
      <c r="AJ10" s="267">
        <v>-2063.3760543437934</v>
      </c>
      <c r="AK10" s="267">
        <v>-2063.3760543437934</v>
      </c>
      <c r="AL10" s="267">
        <v>-2063.3760543437934</v>
      </c>
      <c r="AM10" s="267">
        <v>-2063.3760543437934</v>
      </c>
      <c r="AN10" s="267">
        <v>-2063.3760543437934</v>
      </c>
      <c r="AO10" s="267">
        <v>-2063.3760543437934</v>
      </c>
      <c r="AP10" s="267">
        <v>-2063.3760543437934</v>
      </c>
      <c r="AQ10" s="267">
        <v>-2063.3760543437934</v>
      </c>
    </row>
    <row r="11" spans="1:43" s="262" customFormat="1" ht="43.15" customHeight="1" thickBot="1" x14ac:dyDescent="0.3">
      <c r="A11" s="257" t="s">
        <v>6</v>
      </c>
      <c r="B11" s="258" t="s">
        <v>167</v>
      </c>
      <c r="C11" s="258" t="s">
        <v>176</v>
      </c>
      <c r="D11" s="259"/>
      <c r="E11" s="239" t="s">
        <v>7</v>
      </c>
      <c r="F11" s="239" t="s">
        <v>154</v>
      </c>
      <c r="G11" s="239" t="s">
        <v>158</v>
      </c>
      <c r="H11" s="260"/>
      <c r="I11" s="260"/>
      <c r="J11" s="261"/>
      <c r="K11" s="266">
        <v>1479.2804895104896</v>
      </c>
      <c r="L11" s="266">
        <v>1256.1580419580418</v>
      </c>
      <c r="M11" s="266">
        <v>1857.8551748251748</v>
      </c>
      <c r="N11" s="266">
        <v>1382.4105594405596</v>
      </c>
      <c r="O11" s="266">
        <v>1406.9</v>
      </c>
      <c r="P11" s="266">
        <v>952.01972027972033</v>
      </c>
      <c r="Q11" s="266">
        <v>420.49</v>
      </c>
      <c r="R11" s="267">
        <v>420.49</v>
      </c>
      <c r="S11" s="266">
        <v>1579.4979020979022</v>
      </c>
      <c r="T11" s="267">
        <v>1579.4979020979022</v>
      </c>
      <c r="U11" s="267">
        <v>1579.4979020979022</v>
      </c>
      <c r="V11" s="267">
        <v>1579.4979020979022</v>
      </c>
      <c r="W11" s="267">
        <v>1579.4979020979022</v>
      </c>
      <c r="X11" s="267">
        <v>1579.4979020979022</v>
      </c>
      <c r="Y11" s="267">
        <v>1579.4979020979022</v>
      </c>
      <c r="Z11" s="267">
        <v>1579.4979020979022</v>
      </c>
      <c r="AA11" s="267">
        <v>1579.4979020979022</v>
      </c>
      <c r="AB11" s="267">
        <v>1579.4979020979022</v>
      </c>
      <c r="AC11" s="267">
        <v>1579.4979020979022</v>
      </c>
      <c r="AD11" s="267">
        <v>1579.4979020979022</v>
      </c>
      <c r="AE11" s="267">
        <v>1579.4979020979022</v>
      </c>
      <c r="AF11" s="267">
        <v>1579.4979020979022</v>
      </c>
      <c r="AG11" s="267">
        <v>1579.4979020979022</v>
      </c>
      <c r="AH11" s="267">
        <v>1579.4979020979022</v>
      </c>
      <c r="AI11" s="267">
        <v>1579.4979020979022</v>
      </c>
      <c r="AJ11" s="267">
        <v>1579.4979020979022</v>
      </c>
      <c r="AK11" s="267">
        <v>1579.4979020979022</v>
      </c>
      <c r="AL11" s="267">
        <v>1579.4979020979022</v>
      </c>
      <c r="AM11" s="267">
        <v>1579.4979020979022</v>
      </c>
      <c r="AN11" s="267">
        <v>1579.4979020979022</v>
      </c>
      <c r="AO11" s="267">
        <v>1579.4979020979022</v>
      </c>
      <c r="AP11" s="267">
        <v>1579.4979020979022</v>
      </c>
      <c r="AQ11" s="267">
        <v>1579.4979020979022</v>
      </c>
    </row>
    <row r="12" spans="1:43" s="227" customFormat="1" ht="43.15" customHeight="1" thickBot="1" x14ac:dyDescent="0.3">
      <c r="A12" s="225" t="s">
        <v>6</v>
      </c>
      <c r="B12" s="226" t="s">
        <v>58</v>
      </c>
      <c r="C12" s="227" t="s">
        <v>162</v>
      </c>
      <c r="D12" s="228"/>
      <c r="E12" s="226" t="s">
        <v>7</v>
      </c>
      <c r="F12" s="226" t="s">
        <v>154</v>
      </c>
      <c r="G12" s="226" t="s">
        <v>158</v>
      </c>
      <c r="H12" s="229"/>
      <c r="I12" s="229"/>
      <c r="J12" s="229"/>
      <c r="K12" s="256">
        <v>0.25362299999999999</v>
      </c>
      <c r="L12" s="256">
        <v>0.25843100000000002</v>
      </c>
      <c r="M12" s="256">
        <v>0.26203700000000002</v>
      </c>
      <c r="N12" s="256">
        <v>0.26384000000000002</v>
      </c>
      <c r="O12" s="256">
        <v>0.276461190168175</v>
      </c>
      <c r="P12" s="256">
        <v>0.276461190168175</v>
      </c>
      <c r="Q12" s="256">
        <v>0.276461190168175</v>
      </c>
      <c r="R12" s="256">
        <v>0.276461190168175</v>
      </c>
      <c r="S12" s="256">
        <v>0.277961190168175</v>
      </c>
      <c r="T12" s="256">
        <v>0.279461190168175</v>
      </c>
      <c r="U12" s="256">
        <v>0.280961190168175</v>
      </c>
      <c r="V12" s="256">
        <v>0.282461190168175</v>
      </c>
      <c r="W12" s="256">
        <v>0.283961190168175</v>
      </c>
      <c r="X12" s="256">
        <v>0.28546119016817501</v>
      </c>
      <c r="Y12" s="256">
        <v>0.28696119016817501</v>
      </c>
      <c r="Z12" s="256">
        <v>0.28846119016817501</v>
      </c>
      <c r="AA12" s="256">
        <v>0.28996119016817501</v>
      </c>
      <c r="AB12" s="256">
        <v>0.29146119016817501</v>
      </c>
      <c r="AC12" s="256">
        <v>0.29296119016817501</v>
      </c>
      <c r="AD12" s="256">
        <v>0.29446119016817501</v>
      </c>
      <c r="AE12" s="256">
        <v>0.29596119016817501</v>
      </c>
      <c r="AF12" s="256">
        <v>0.29746119016817502</v>
      </c>
      <c r="AG12" s="256">
        <v>0.29896119016817502</v>
      </c>
      <c r="AH12" s="256">
        <v>0.30046119016817502</v>
      </c>
      <c r="AI12" s="256">
        <v>0.30196119016817502</v>
      </c>
      <c r="AJ12" s="256">
        <v>0.30346119016817502</v>
      </c>
      <c r="AK12" s="256">
        <v>0.30496119016817502</v>
      </c>
      <c r="AL12" s="256">
        <v>0.30646119016817502</v>
      </c>
      <c r="AM12" s="256">
        <v>0.30796119016817503</v>
      </c>
      <c r="AN12" s="256">
        <v>0.30946119016817503</v>
      </c>
      <c r="AO12" s="256">
        <v>0.31096119016817503</v>
      </c>
      <c r="AP12" s="256">
        <v>0.31246119016817503</v>
      </c>
      <c r="AQ12" s="256">
        <v>0.31396119016817503</v>
      </c>
    </row>
    <row r="13" spans="1:43" s="232" customFormat="1" ht="43.15" customHeight="1" thickBot="1" x14ac:dyDescent="0.3">
      <c r="A13" s="230" t="s">
        <v>6</v>
      </c>
      <c r="B13" s="231" t="s">
        <v>58</v>
      </c>
      <c r="C13" s="270" t="s">
        <v>159</v>
      </c>
      <c r="D13" s="233"/>
      <c r="E13" s="231" t="s">
        <v>7</v>
      </c>
      <c r="F13" s="231" t="s">
        <v>154</v>
      </c>
      <c r="G13" s="231" t="s">
        <v>158</v>
      </c>
      <c r="H13" s="234"/>
      <c r="I13" s="234"/>
      <c r="J13" s="234"/>
      <c r="K13" s="254">
        <v>1.814427</v>
      </c>
      <c r="L13" s="254">
        <v>1.8060130000000001</v>
      </c>
      <c r="M13" s="254">
        <v>1.794594</v>
      </c>
      <c r="N13" s="254">
        <v>1.786781</v>
      </c>
      <c r="O13" s="254">
        <v>1.7837756791721164</v>
      </c>
      <c r="P13" s="254">
        <v>1.7837756791721164</v>
      </c>
      <c r="Q13" s="254">
        <v>1.7837756791721164</v>
      </c>
      <c r="R13" s="256">
        <v>1.7837756791721164</v>
      </c>
      <c r="S13" s="254">
        <v>1.7816756791721164</v>
      </c>
      <c r="T13" s="254">
        <v>1.7795756791721165</v>
      </c>
      <c r="U13" s="254">
        <v>1.7774756791721165</v>
      </c>
      <c r="V13" s="254">
        <v>1.7753756791721165</v>
      </c>
      <c r="W13" s="254">
        <v>1.7732756791721165</v>
      </c>
      <c r="X13" s="254">
        <v>1.7711756791721165</v>
      </c>
      <c r="Y13" s="254">
        <v>1.7690756791721165</v>
      </c>
      <c r="Z13" s="254">
        <v>1.7669756791721165</v>
      </c>
      <c r="AA13" s="254">
        <v>1.7648756791721165</v>
      </c>
      <c r="AB13" s="254">
        <v>1.7627756791721165</v>
      </c>
      <c r="AC13" s="254">
        <v>1.7606756791721165</v>
      </c>
      <c r="AD13" s="254">
        <v>1.7585756791721165</v>
      </c>
      <c r="AE13" s="254">
        <v>1.7564756791721166</v>
      </c>
      <c r="AF13" s="254">
        <v>1.7543756791721166</v>
      </c>
      <c r="AG13" s="254">
        <v>1.7522756791721166</v>
      </c>
      <c r="AH13" s="254">
        <v>1.7501756791721166</v>
      </c>
      <c r="AI13" s="254">
        <v>1.7480756791721166</v>
      </c>
      <c r="AJ13" s="254">
        <v>1.7459756791721166</v>
      </c>
      <c r="AK13" s="254">
        <v>1.7438756791721166</v>
      </c>
      <c r="AL13" s="254">
        <v>1.7417756791721166</v>
      </c>
      <c r="AM13" s="254">
        <v>1.7396756791721166</v>
      </c>
      <c r="AN13" s="254">
        <v>1.7375756791721166</v>
      </c>
      <c r="AO13" s="254">
        <v>1.7354756791721166</v>
      </c>
      <c r="AP13" s="254">
        <v>1.7333756791721167</v>
      </c>
      <c r="AQ13" s="254">
        <v>1.7312756791721167</v>
      </c>
    </row>
    <row r="14" spans="1:43" s="232" customFormat="1" ht="15.75" thickBot="1" x14ac:dyDescent="0.3">
      <c r="A14" s="230" t="s">
        <v>6</v>
      </c>
      <c r="B14" s="231" t="s">
        <v>58</v>
      </c>
      <c r="C14" s="270" t="s">
        <v>157</v>
      </c>
      <c r="D14" s="233"/>
      <c r="E14" s="231" t="s">
        <v>7</v>
      </c>
      <c r="F14" s="231" t="s">
        <v>154</v>
      </c>
      <c r="G14" s="231" t="s">
        <v>158</v>
      </c>
      <c r="H14" s="234"/>
      <c r="I14" s="234"/>
      <c r="J14" s="234"/>
      <c r="K14" s="254">
        <v>2.7916569999999998</v>
      </c>
      <c r="L14" s="254">
        <v>2.7525919999999999</v>
      </c>
      <c r="M14" s="254">
        <v>2.6906889999999999</v>
      </c>
      <c r="N14" s="254">
        <v>2.6432090000000001</v>
      </c>
      <c r="O14" s="254">
        <v>2.6011391979302325</v>
      </c>
      <c r="P14" s="254">
        <v>2.6011391979302325</v>
      </c>
      <c r="Q14" s="254">
        <v>2.6011391979302325</v>
      </c>
      <c r="R14" s="256">
        <v>2.6011391979302325</v>
      </c>
      <c r="S14" s="254">
        <v>2.5898391979302327</v>
      </c>
      <c r="T14" s="254">
        <v>2.5785391979302328</v>
      </c>
      <c r="U14" s="254">
        <v>2.5672391979302329</v>
      </c>
      <c r="V14" s="254">
        <v>2.5559391979302331</v>
      </c>
      <c r="W14" s="254">
        <v>2.5446391979302332</v>
      </c>
      <c r="X14" s="254">
        <v>2.5333391979302333</v>
      </c>
      <c r="Y14" s="254">
        <v>2.5220391979302335</v>
      </c>
      <c r="Z14" s="254">
        <v>2.5107391979302336</v>
      </c>
      <c r="AA14" s="254">
        <v>2.4994391979302337</v>
      </c>
      <c r="AB14" s="254">
        <v>2.4881391979302339</v>
      </c>
      <c r="AC14" s="254">
        <v>2.476839197930234</v>
      </c>
      <c r="AD14" s="254">
        <v>2.4655391979302341</v>
      </c>
      <c r="AE14" s="254">
        <v>2.4542391979302343</v>
      </c>
      <c r="AF14" s="254">
        <v>2.4429391979302344</v>
      </c>
      <c r="AG14" s="254">
        <v>2.4316391979302345</v>
      </c>
      <c r="AH14" s="254">
        <v>2.4203391979302347</v>
      </c>
      <c r="AI14" s="254">
        <v>2.4090391979302348</v>
      </c>
      <c r="AJ14" s="254">
        <v>2.3977391979302349</v>
      </c>
      <c r="AK14" s="254">
        <v>2.3864391979302351</v>
      </c>
      <c r="AL14" s="254">
        <v>2.3751391979302352</v>
      </c>
      <c r="AM14" s="254">
        <v>2.3638391979302353</v>
      </c>
      <c r="AN14" s="254">
        <v>2.3525391979302355</v>
      </c>
      <c r="AO14" s="254">
        <v>2.3412391979302356</v>
      </c>
      <c r="AP14" s="254">
        <v>2.3299391979302357</v>
      </c>
      <c r="AQ14" s="254">
        <v>2.3186391979302359</v>
      </c>
    </row>
    <row r="15" spans="1:43" s="232" customFormat="1" ht="15.75" thickBot="1" x14ac:dyDescent="0.3">
      <c r="A15" s="230" t="s">
        <v>6</v>
      </c>
      <c r="B15" s="231" t="s">
        <v>58</v>
      </c>
      <c r="C15" s="270" t="s">
        <v>168</v>
      </c>
      <c r="D15" s="233"/>
      <c r="E15" s="231" t="s">
        <v>7</v>
      </c>
      <c r="F15" s="231" t="s">
        <v>154</v>
      </c>
      <c r="G15" s="231" t="s">
        <v>158</v>
      </c>
      <c r="H15" s="234"/>
      <c r="I15" s="234"/>
      <c r="J15" s="234"/>
      <c r="K15" s="254">
        <v>1.009684</v>
      </c>
      <c r="L15" s="254">
        <v>1.0066790000000001</v>
      </c>
      <c r="M15" s="254">
        <v>1.0012700000000001</v>
      </c>
      <c r="N15" s="254">
        <v>1.001871</v>
      </c>
      <c r="O15" s="254">
        <v>0.99526028460546079</v>
      </c>
      <c r="P15" s="254">
        <v>0.99526028460546079</v>
      </c>
      <c r="Q15" s="254">
        <v>0.99526028460546079</v>
      </c>
      <c r="R15" s="256">
        <v>0.99526028460546079</v>
      </c>
      <c r="S15" s="254">
        <v>0.99466028460546074</v>
      </c>
      <c r="T15" s="254">
        <v>0.9940602846054607</v>
      </c>
      <c r="U15" s="254">
        <v>0.99346028460546065</v>
      </c>
      <c r="V15" s="254">
        <v>0.99286028460546061</v>
      </c>
      <c r="W15" s="254">
        <v>0.99226028460546056</v>
      </c>
      <c r="X15" s="254">
        <v>0.99166028460546052</v>
      </c>
      <c r="Y15" s="254">
        <v>0.99106028460546047</v>
      </c>
      <c r="Z15" s="254">
        <v>0.99046028460546043</v>
      </c>
      <c r="AA15" s="254">
        <v>0.98986028460546038</v>
      </c>
      <c r="AB15" s="254">
        <v>0.98926028460546034</v>
      </c>
      <c r="AC15" s="254">
        <v>0.98866028460546029</v>
      </c>
      <c r="AD15" s="254">
        <v>0.98806028460546025</v>
      </c>
      <c r="AE15" s="254">
        <v>0.9874602846054602</v>
      </c>
      <c r="AF15" s="254">
        <v>0.98686028460546016</v>
      </c>
      <c r="AG15" s="254">
        <v>0.98626028460546011</v>
      </c>
      <c r="AH15" s="254">
        <v>0.98566028460546007</v>
      </c>
      <c r="AI15" s="254">
        <v>0.98506028460546002</v>
      </c>
      <c r="AJ15" s="254">
        <v>0.98446028460545998</v>
      </c>
      <c r="AK15" s="254">
        <v>0.98386028460545993</v>
      </c>
      <c r="AL15" s="254">
        <v>0.98326028460545989</v>
      </c>
      <c r="AM15" s="254">
        <v>0.98266028460545984</v>
      </c>
      <c r="AN15" s="254">
        <v>0.9820602846054598</v>
      </c>
      <c r="AO15" s="254">
        <v>0.98146028460545975</v>
      </c>
      <c r="AP15" s="254">
        <v>0.98086028460545971</v>
      </c>
      <c r="AQ15" s="254">
        <v>0.98026028460545966</v>
      </c>
    </row>
    <row r="16" spans="1:43" s="232" customFormat="1" ht="15.75" thickBot="1" x14ac:dyDescent="0.3">
      <c r="A16" s="230" t="s">
        <v>6</v>
      </c>
      <c r="B16" s="231" t="s">
        <v>58</v>
      </c>
      <c r="C16" s="270" t="s">
        <v>160</v>
      </c>
      <c r="D16" s="233"/>
      <c r="E16" s="231" t="s">
        <v>7</v>
      </c>
      <c r="F16" s="231" t="s">
        <v>154</v>
      </c>
      <c r="G16" s="231" t="s">
        <v>158</v>
      </c>
      <c r="H16" s="234"/>
      <c r="I16" s="234"/>
      <c r="J16" s="234"/>
      <c r="K16" s="254">
        <v>5.9499000000000003E-2</v>
      </c>
      <c r="L16" s="254">
        <v>5.9499000000000003E-2</v>
      </c>
      <c r="M16" s="254">
        <v>5.9499000000000003E-2</v>
      </c>
      <c r="N16" s="254">
        <v>5.9499000000000003E-2</v>
      </c>
      <c r="O16" s="254">
        <v>6.0100258732212232E-2</v>
      </c>
      <c r="P16" s="254">
        <v>6.0100258732212232E-2</v>
      </c>
      <c r="Q16" s="254">
        <v>6.0100258732212232E-2</v>
      </c>
      <c r="R16" s="256">
        <v>6.0100258732212232E-2</v>
      </c>
      <c r="S16" s="254">
        <v>6.0100258732212232E-2</v>
      </c>
      <c r="T16" s="254">
        <v>6.0100258732212232E-2</v>
      </c>
      <c r="U16" s="254">
        <v>6.0100258732212232E-2</v>
      </c>
      <c r="V16" s="254">
        <v>6.0100258732212232E-2</v>
      </c>
      <c r="W16" s="254">
        <v>6.0100258732212232E-2</v>
      </c>
      <c r="X16" s="254">
        <v>6.0100258732212232E-2</v>
      </c>
      <c r="Y16" s="254">
        <v>6.0100258732212232E-2</v>
      </c>
      <c r="Z16" s="254">
        <v>6.0100258732212232E-2</v>
      </c>
      <c r="AA16" s="254">
        <v>6.0100258732212232E-2</v>
      </c>
      <c r="AB16" s="254">
        <v>6.0100258732212232E-2</v>
      </c>
      <c r="AC16" s="254">
        <v>6.0100258732212232E-2</v>
      </c>
      <c r="AD16" s="254">
        <v>6.0100258732212232E-2</v>
      </c>
      <c r="AE16" s="254">
        <v>6.0100258732212232E-2</v>
      </c>
      <c r="AF16" s="254">
        <v>6.0100258732212232E-2</v>
      </c>
      <c r="AG16" s="254">
        <v>6.0100258732212232E-2</v>
      </c>
      <c r="AH16" s="254">
        <v>6.0100258732212232E-2</v>
      </c>
      <c r="AI16" s="254">
        <v>6.0100258732212232E-2</v>
      </c>
      <c r="AJ16" s="254">
        <v>6.0100258732212232E-2</v>
      </c>
      <c r="AK16" s="254">
        <v>6.0100258732212232E-2</v>
      </c>
      <c r="AL16" s="254">
        <v>6.0100258732212232E-2</v>
      </c>
      <c r="AM16" s="254">
        <v>6.0100258732212232E-2</v>
      </c>
      <c r="AN16" s="254">
        <v>6.0100258732212232E-2</v>
      </c>
      <c r="AO16" s="254">
        <v>6.0100258732212232E-2</v>
      </c>
      <c r="AP16" s="254">
        <v>6.0100258732212232E-2</v>
      </c>
      <c r="AQ16" s="254">
        <v>6.0100258732212232E-2</v>
      </c>
    </row>
    <row r="17" spans="1:43" s="232" customFormat="1" ht="15.75" thickBot="1" x14ac:dyDescent="0.3">
      <c r="A17" s="230" t="s">
        <v>6</v>
      </c>
      <c r="B17" s="231" t="s">
        <v>58</v>
      </c>
      <c r="C17" s="270" t="s">
        <v>169</v>
      </c>
      <c r="D17" s="233"/>
      <c r="E17" s="231" t="s">
        <v>7</v>
      </c>
      <c r="F17" s="231" t="s">
        <v>154</v>
      </c>
      <c r="G17" s="231" t="s">
        <v>158</v>
      </c>
      <c r="H17" s="234"/>
      <c r="I17" s="234"/>
      <c r="J17" s="234"/>
      <c r="K17" s="254">
        <v>0.52407400000000004</v>
      </c>
      <c r="L17" s="254">
        <v>0.522872</v>
      </c>
      <c r="M17" s="254">
        <v>0.52166999999999997</v>
      </c>
      <c r="N17" s="254">
        <v>0.51986699999999997</v>
      </c>
      <c r="O17" s="254">
        <v>0.52106924320828829</v>
      </c>
      <c r="P17" s="254">
        <v>0.52106924320828829</v>
      </c>
      <c r="Q17" s="254">
        <v>0.52106924320828829</v>
      </c>
      <c r="R17" s="256">
        <v>0.52106924320828829</v>
      </c>
      <c r="S17" s="254">
        <v>0.52076924320828832</v>
      </c>
      <c r="T17" s="254">
        <v>0.52046924320828836</v>
      </c>
      <c r="U17" s="254">
        <v>0.52016924320828839</v>
      </c>
      <c r="V17" s="254">
        <v>0.51986924320828842</v>
      </c>
      <c r="W17" s="254">
        <v>0.51956924320828846</v>
      </c>
      <c r="X17" s="254">
        <v>0.51926924320828849</v>
      </c>
      <c r="Y17" s="254">
        <v>0.51896924320828852</v>
      </c>
      <c r="Z17" s="254">
        <v>0.51866924320828856</v>
      </c>
      <c r="AA17" s="254">
        <v>0.51836924320828859</v>
      </c>
      <c r="AB17" s="254">
        <v>0.51806924320828862</v>
      </c>
      <c r="AC17" s="254">
        <v>0.51776924320828865</v>
      </c>
      <c r="AD17" s="254">
        <v>0.51746924320828869</v>
      </c>
      <c r="AE17" s="254">
        <v>0.51716924320828872</v>
      </c>
      <c r="AF17" s="254">
        <v>0.51686924320828875</v>
      </c>
      <c r="AG17" s="254">
        <v>0.51656924320828879</v>
      </c>
      <c r="AH17" s="254">
        <v>0.51626924320828882</v>
      </c>
      <c r="AI17" s="254">
        <v>0.51596924320828885</v>
      </c>
      <c r="AJ17" s="254">
        <v>0.51566924320828889</v>
      </c>
      <c r="AK17" s="254">
        <v>0.51536924320828892</v>
      </c>
      <c r="AL17" s="254">
        <v>0.51506924320828895</v>
      </c>
      <c r="AM17" s="254">
        <v>0.51476924320828898</v>
      </c>
      <c r="AN17" s="254">
        <v>0.51446924320828902</v>
      </c>
      <c r="AO17" s="254">
        <v>0.51416924320828905</v>
      </c>
      <c r="AP17" s="254">
        <v>0.51386924320828908</v>
      </c>
      <c r="AQ17" s="254">
        <v>0.51356924320828912</v>
      </c>
    </row>
    <row r="18" spans="1:43" s="232" customFormat="1" ht="15.75" thickBot="1" x14ac:dyDescent="0.3">
      <c r="A18" s="230" t="s">
        <v>6</v>
      </c>
      <c r="B18" s="231" t="s">
        <v>58</v>
      </c>
      <c r="C18" s="232" t="s">
        <v>161</v>
      </c>
      <c r="D18" s="233"/>
      <c r="E18" s="231" t="s">
        <v>7</v>
      </c>
      <c r="F18" s="231" t="s">
        <v>154</v>
      </c>
      <c r="G18" s="231" t="s">
        <v>158</v>
      </c>
      <c r="H18" s="234"/>
      <c r="I18" s="234"/>
      <c r="J18" s="234"/>
      <c r="K18" s="254">
        <v>0.98023499999999997</v>
      </c>
      <c r="L18" s="254">
        <v>0.99345700000000003</v>
      </c>
      <c r="M18" s="254">
        <v>1.000669</v>
      </c>
      <c r="N18" s="254">
        <v>1.0048760000000001</v>
      </c>
      <c r="O18" s="254">
        <v>1.0018713130659913</v>
      </c>
      <c r="P18" s="254">
        <v>1.0018713130659913</v>
      </c>
      <c r="Q18" s="254">
        <v>1.0018713130659913</v>
      </c>
      <c r="R18" s="256">
        <v>1.0018713130659913</v>
      </c>
      <c r="S18" s="254">
        <v>1.0043880005659913</v>
      </c>
      <c r="T18" s="254">
        <v>1.0069046880659913</v>
      </c>
      <c r="U18" s="254">
        <v>1.0094213755659913</v>
      </c>
      <c r="V18" s="254">
        <v>1.0119380630659913</v>
      </c>
      <c r="W18" s="254">
        <v>1.0144547505659913</v>
      </c>
      <c r="X18" s="254">
        <v>1.0169714380659913</v>
      </c>
      <c r="Y18" s="254">
        <v>1.0194881255659913</v>
      </c>
      <c r="Z18" s="254">
        <v>1.0220048130659913</v>
      </c>
      <c r="AA18" s="254">
        <v>1.0245215005659913</v>
      </c>
      <c r="AB18" s="254">
        <v>1.0270381880659913</v>
      </c>
      <c r="AC18" s="254">
        <v>1.0295548755659913</v>
      </c>
      <c r="AD18" s="254">
        <v>1.0320715630659913</v>
      </c>
      <c r="AE18" s="254">
        <v>1.0345882505659914</v>
      </c>
      <c r="AF18" s="254">
        <v>1.0371049380659914</v>
      </c>
      <c r="AG18" s="254">
        <v>1.0396216255659914</v>
      </c>
      <c r="AH18" s="254">
        <v>1.0421383130659914</v>
      </c>
      <c r="AI18" s="254">
        <v>1.0446550005659914</v>
      </c>
      <c r="AJ18" s="254">
        <v>1.0471716880659914</v>
      </c>
      <c r="AK18" s="254">
        <v>1.0496883755659914</v>
      </c>
      <c r="AL18" s="254">
        <v>1.0522050630659914</v>
      </c>
      <c r="AM18" s="254">
        <v>1.0547217505659914</v>
      </c>
      <c r="AN18" s="254">
        <v>1.0572384380659914</v>
      </c>
      <c r="AO18" s="254">
        <v>1.0597551255659914</v>
      </c>
      <c r="AP18" s="254">
        <v>1.0622718130659914</v>
      </c>
      <c r="AQ18" s="254">
        <v>1.0647885005659914</v>
      </c>
    </row>
    <row r="19" spans="1:43" s="232" customFormat="1" ht="15.75" thickBot="1" x14ac:dyDescent="0.3">
      <c r="A19" s="230" t="s">
        <v>6</v>
      </c>
      <c r="B19" s="231" t="s">
        <v>58</v>
      </c>
      <c r="C19" s="232" t="s">
        <v>170</v>
      </c>
      <c r="D19" s="233"/>
      <c r="E19" s="231" t="s">
        <v>7</v>
      </c>
      <c r="F19" s="231" t="s">
        <v>154</v>
      </c>
      <c r="G19" s="231" t="s">
        <v>158</v>
      </c>
      <c r="H19" s="234"/>
      <c r="I19" s="234"/>
      <c r="J19" s="234"/>
      <c r="K19" s="254">
        <v>0.19953299999999999</v>
      </c>
      <c r="L19" s="254">
        <v>0.19652800000000001</v>
      </c>
      <c r="M19" s="254">
        <v>0.19652800000000001</v>
      </c>
      <c r="N19" s="254">
        <v>0.195326</v>
      </c>
      <c r="O19" s="254">
        <v>0.18931581500646741</v>
      </c>
      <c r="P19" s="254">
        <v>0.18931581500646741</v>
      </c>
      <c r="Q19" s="254">
        <v>0.18931581500646741</v>
      </c>
      <c r="R19" s="256">
        <v>0.18931581500646741</v>
      </c>
      <c r="S19" s="254">
        <v>0.18954119000646741</v>
      </c>
      <c r="T19" s="254">
        <v>0.18976656500646741</v>
      </c>
      <c r="U19" s="254">
        <v>0.18999194000646741</v>
      </c>
      <c r="V19" s="254">
        <v>0.19021731500646741</v>
      </c>
      <c r="W19" s="254">
        <v>0.19044269000646741</v>
      </c>
      <c r="X19" s="254">
        <v>0.19066806500646741</v>
      </c>
      <c r="Y19" s="254">
        <v>0.19089344000646741</v>
      </c>
      <c r="Z19" s="254">
        <v>0.19111881500646741</v>
      </c>
      <c r="AA19" s="254">
        <v>0.19134419000646741</v>
      </c>
      <c r="AB19" s="254">
        <v>0.19156956500646741</v>
      </c>
      <c r="AC19" s="254">
        <v>0.19179494000646741</v>
      </c>
      <c r="AD19" s="254">
        <v>0.19202031500646741</v>
      </c>
      <c r="AE19" s="254">
        <v>0.19224569000646741</v>
      </c>
      <c r="AF19" s="254">
        <v>0.19247106500646741</v>
      </c>
      <c r="AG19" s="254">
        <v>0.19269644000646741</v>
      </c>
      <c r="AH19" s="254">
        <v>0.19292181500646741</v>
      </c>
      <c r="AI19" s="254">
        <v>0.19314719000646741</v>
      </c>
      <c r="AJ19" s="254">
        <v>0.19337256500646741</v>
      </c>
      <c r="AK19" s="254">
        <v>0.19359794000646741</v>
      </c>
      <c r="AL19" s="254">
        <v>0.19382331500646741</v>
      </c>
      <c r="AM19" s="254">
        <v>0.19404869000646741</v>
      </c>
      <c r="AN19" s="254">
        <v>0.19427406500646741</v>
      </c>
      <c r="AO19" s="254">
        <v>0.19449944000646741</v>
      </c>
      <c r="AP19" s="254">
        <v>0.19472481500646741</v>
      </c>
      <c r="AQ19" s="254">
        <v>0.19495019000646741</v>
      </c>
    </row>
    <row r="20" spans="1:43" s="232" customFormat="1" ht="15.75" thickBot="1" x14ac:dyDescent="0.3">
      <c r="A20" s="230" t="s">
        <v>6</v>
      </c>
      <c r="B20" s="231" t="s">
        <v>58</v>
      </c>
      <c r="C20" s="232" t="s">
        <v>171</v>
      </c>
      <c r="D20" s="233"/>
      <c r="E20" s="231" t="s">
        <v>7</v>
      </c>
      <c r="F20" s="231" t="s">
        <v>154</v>
      </c>
      <c r="G20" s="231" t="s">
        <v>158</v>
      </c>
      <c r="H20" s="234"/>
      <c r="I20" s="234"/>
      <c r="J20" s="234"/>
      <c r="K20" s="254">
        <v>2.4039999999999999E-3</v>
      </c>
      <c r="L20" s="254">
        <v>2.4039999999999999E-3</v>
      </c>
      <c r="M20" s="254">
        <v>1.8029999999999999E-3</v>
      </c>
      <c r="N20" s="254">
        <v>1.8029999999999999E-3</v>
      </c>
      <c r="O20" s="254">
        <v>1.8030077619663647E-3</v>
      </c>
      <c r="P20" s="254">
        <v>1.8030077619663647E-3</v>
      </c>
      <c r="Q20" s="254">
        <v>1.8030077619663647E-3</v>
      </c>
      <c r="R20" s="256">
        <v>1.8030077619663647E-3</v>
      </c>
      <c r="S20" s="254">
        <v>1.7654452619663647E-3</v>
      </c>
      <c r="T20" s="254">
        <v>1.7278827619663646E-3</v>
      </c>
      <c r="U20" s="254">
        <v>1.6903202619663645E-3</v>
      </c>
      <c r="V20" s="254">
        <v>1.6527577619663645E-3</v>
      </c>
      <c r="W20" s="254">
        <v>1.6151952619663644E-3</v>
      </c>
      <c r="X20" s="254">
        <v>1.5776327619663644E-3</v>
      </c>
      <c r="Y20" s="254">
        <v>1.5400702619663643E-3</v>
      </c>
      <c r="Z20" s="254">
        <v>1.5025077619663643E-3</v>
      </c>
      <c r="AA20" s="254">
        <v>1.4649452619663642E-3</v>
      </c>
      <c r="AB20" s="254">
        <v>1.4273827619663642E-3</v>
      </c>
      <c r="AC20" s="254">
        <v>1.3898202619663641E-3</v>
      </c>
      <c r="AD20" s="254">
        <v>1.3522577619663641E-3</v>
      </c>
      <c r="AE20" s="254">
        <v>1.314695261966364E-3</v>
      </c>
      <c r="AF20" s="254">
        <v>1.277132761966364E-3</v>
      </c>
      <c r="AG20" s="254">
        <v>1.2395702619663639E-3</v>
      </c>
      <c r="AH20" s="254">
        <v>1.2020077619663639E-3</v>
      </c>
      <c r="AI20" s="254">
        <v>1.1644452619663638E-3</v>
      </c>
      <c r="AJ20" s="254">
        <v>1.1268827619663638E-3</v>
      </c>
      <c r="AK20" s="254">
        <v>1.0893202619663637E-3</v>
      </c>
      <c r="AL20" s="254">
        <v>1.0517577619663637E-3</v>
      </c>
      <c r="AM20" s="254">
        <v>1.0141952619663636E-3</v>
      </c>
      <c r="AN20" s="254">
        <v>9.7663276196636355E-4</v>
      </c>
      <c r="AO20" s="254">
        <v>9.390702619663635E-4</v>
      </c>
      <c r="AP20" s="254">
        <v>9.0150776196636345E-4</v>
      </c>
      <c r="AQ20" s="254">
        <v>8.6394526196636339E-4</v>
      </c>
    </row>
    <row r="21" spans="1:43" s="232" customFormat="1" ht="15.75" thickBot="1" x14ac:dyDescent="0.3">
      <c r="A21" s="230" t="s">
        <v>6</v>
      </c>
      <c r="B21" s="231" t="s">
        <v>58</v>
      </c>
      <c r="C21" s="232" t="s">
        <v>163</v>
      </c>
      <c r="D21" s="233"/>
      <c r="E21" s="231" t="s">
        <v>7</v>
      </c>
      <c r="F21" s="231" t="s">
        <v>154</v>
      </c>
      <c r="G21" s="231" t="s">
        <v>158</v>
      </c>
      <c r="H21" s="234"/>
      <c r="I21" s="234"/>
      <c r="J21" s="234"/>
      <c r="K21" s="254">
        <v>1.4880819999999999</v>
      </c>
      <c r="L21" s="254">
        <v>1.5229410000000001</v>
      </c>
      <c r="M21" s="254">
        <v>1.5704199999999999</v>
      </c>
      <c r="N21" s="254">
        <v>1.619702</v>
      </c>
      <c r="O21" s="254">
        <v>1.641939068564088</v>
      </c>
      <c r="P21" s="254">
        <v>1.641939068564088</v>
      </c>
      <c r="Q21" s="254">
        <v>1.641939068564088</v>
      </c>
      <c r="R21" s="256">
        <v>1.641939068564088</v>
      </c>
      <c r="S21" s="254">
        <v>1.652832256064088</v>
      </c>
      <c r="T21" s="254">
        <v>1.663725443564088</v>
      </c>
      <c r="U21" s="254">
        <v>1.674618631064088</v>
      </c>
      <c r="V21" s="254">
        <v>1.685511818564088</v>
      </c>
      <c r="W21" s="254">
        <v>1.6964050060640881</v>
      </c>
      <c r="X21" s="254">
        <v>1.7072981935640881</v>
      </c>
      <c r="Y21" s="254">
        <v>1.7181913810640881</v>
      </c>
      <c r="Z21" s="254">
        <v>1.7290845685640881</v>
      </c>
      <c r="AA21" s="254">
        <v>1.7399777560640881</v>
      </c>
      <c r="AB21" s="254">
        <v>1.7508709435640881</v>
      </c>
      <c r="AC21" s="254">
        <v>1.7617641310640881</v>
      </c>
      <c r="AD21" s="254">
        <v>1.7726573185640881</v>
      </c>
      <c r="AE21" s="254">
        <v>1.7835505060640882</v>
      </c>
      <c r="AF21" s="254">
        <v>1.7944436935640882</v>
      </c>
      <c r="AG21" s="254">
        <v>1.8053368810640882</v>
      </c>
      <c r="AH21" s="254">
        <v>1.8162300685640882</v>
      </c>
      <c r="AI21" s="254">
        <v>1.8271232560640882</v>
      </c>
      <c r="AJ21" s="254">
        <v>1.8380164435640882</v>
      </c>
      <c r="AK21" s="254">
        <v>1.8489096310640882</v>
      </c>
      <c r="AL21" s="254">
        <v>1.8598028185640882</v>
      </c>
      <c r="AM21" s="254">
        <v>1.8706960060640883</v>
      </c>
      <c r="AN21" s="254">
        <v>1.8815891935640883</v>
      </c>
      <c r="AO21" s="254">
        <v>1.8924823810640883</v>
      </c>
      <c r="AP21" s="254">
        <v>1.9033755685640883</v>
      </c>
      <c r="AQ21" s="254">
        <v>1.9142687560640883</v>
      </c>
    </row>
    <row r="22" spans="1:43" s="232" customFormat="1" ht="15.75" thickBot="1" x14ac:dyDescent="0.3">
      <c r="A22" s="230" t="s">
        <v>6</v>
      </c>
      <c r="B22" s="231" t="s">
        <v>58</v>
      </c>
      <c r="C22" s="232" t="s">
        <v>172</v>
      </c>
      <c r="D22" s="233"/>
      <c r="E22" s="231" t="s">
        <v>7</v>
      </c>
      <c r="F22" s="231" t="s">
        <v>154</v>
      </c>
      <c r="G22" s="231" t="s">
        <v>158</v>
      </c>
      <c r="H22" s="234"/>
      <c r="I22" s="234"/>
      <c r="J22" s="234"/>
      <c r="K22" s="254">
        <v>1.4772639999999999</v>
      </c>
      <c r="L22" s="254">
        <v>1.4754609999999999</v>
      </c>
      <c r="M22" s="254">
        <v>1.4874810000000001</v>
      </c>
      <c r="N22" s="254">
        <v>1.4856780000000001</v>
      </c>
      <c r="O22" s="254">
        <v>1.5073144890039278</v>
      </c>
      <c r="P22" s="254">
        <v>1.5073144890039278</v>
      </c>
      <c r="Q22" s="254">
        <v>1.5073144890039278</v>
      </c>
      <c r="R22" s="256">
        <v>1.5073144890039278</v>
      </c>
      <c r="S22" s="254">
        <v>1.5073144890039278</v>
      </c>
      <c r="T22" s="254">
        <v>1.5073144890039278</v>
      </c>
      <c r="U22" s="254">
        <v>1.5073144890039278</v>
      </c>
      <c r="V22" s="254">
        <v>1.5073144890039278</v>
      </c>
      <c r="W22" s="254">
        <v>1.5073144890039278</v>
      </c>
      <c r="X22" s="254">
        <v>1.5073144890039278</v>
      </c>
      <c r="Y22" s="254">
        <v>1.5019928015036308</v>
      </c>
      <c r="Z22" s="254">
        <v>1.5012039890036328</v>
      </c>
      <c r="AA22" s="254">
        <v>1.5004151765036331</v>
      </c>
      <c r="AB22" s="254">
        <v>1.4996263640036298</v>
      </c>
      <c r="AC22" s="254">
        <v>1.4988375515036318</v>
      </c>
      <c r="AD22" s="254">
        <v>1.4980487390036321</v>
      </c>
      <c r="AE22" s="254">
        <v>1.4972599265036324</v>
      </c>
      <c r="AF22" s="254">
        <v>1.4964711140036309</v>
      </c>
      <c r="AG22" s="254">
        <v>1.4956823015036311</v>
      </c>
      <c r="AH22" s="254">
        <v>1.4948934890036314</v>
      </c>
      <c r="AI22" s="254">
        <v>1.4941046765036334</v>
      </c>
      <c r="AJ22" s="254">
        <v>1.4933158640036319</v>
      </c>
      <c r="AK22" s="254">
        <v>1.4925270515036304</v>
      </c>
      <c r="AL22" s="254">
        <v>1.4917382390036324</v>
      </c>
      <c r="AM22" s="254">
        <v>1.4909494265036327</v>
      </c>
      <c r="AN22" s="254">
        <v>1.490160614003633</v>
      </c>
      <c r="AO22" s="254">
        <v>1.4893718015036315</v>
      </c>
      <c r="AP22" s="254">
        <v>1.4885829890036317</v>
      </c>
      <c r="AQ22" s="254">
        <v>1.487794176503632</v>
      </c>
    </row>
    <row r="23" spans="1:43" s="232" customFormat="1" ht="15.75" thickBot="1" x14ac:dyDescent="0.3">
      <c r="A23" s="230" t="s">
        <v>6</v>
      </c>
      <c r="B23" s="231" t="s">
        <v>58</v>
      </c>
      <c r="C23" s="232" t="s">
        <v>164</v>
      </c>
      <c r="D23" s="233"/>
      <c r="E23" s="231" t="s">
        <v>7</v>
      </c>
      <c r="F23" s="231" t="s">
        <v>154</v>
      </c>
      <c r="G23" s="231" t="s">
        <v>158</v>
      </c>
      <c r="H23" s="234"/>
      <c r="I23" s="234"/>
      <c r="J23" s="234"/>
      <c r="K23" s="254">
        <v>0.28788000000000002</v>
      </c>
      <c r="L23" s="254">
        <v>0.28848099999999999</v>
      </c>
      <c r="M23" s="254">
        <v>0.28727900000000001</v>
      </c>
      <c r="N23" s="254">
        <v>0.28727900000000001</v>
      </c>
      <c r="O23" s="254">
        <v>0.28547622897800717</v>
      </c>
      <c r="P23" s="254">
        <v>0.28547622897800717</v>
      </c>
      <c r="Q23" s="254">
        <v>0.28547622897800717</v>
      </c>
      <c r="R23" s="256">
        <v>0.28547622897800717</v>
      </c>
      <c r="S23" s="254">
        <v>0.28547622897800717</v>
      </c>
      <c r="T23" s="254">
        <v>0.28547622897800717</v>
      </c>
      <c r="U23" s="254">
        <v>0.28547622897800717</v>
      </c>
      <c r="V23" s="254">
        <v>0.28547622897800717</v>
      </c>
      <c r="W23" s="254">
        <v>0.28547622897800717</v>
      </c>
      <c r="X23" s="254">
        <v>0.28547622897800717</v>
      </c>
      <c r="Y23" s="254">
        <v>0.28547622897800717</v>
      </c>
      <c r="Z23" s="254">
        <v>0.28547622897800717</v>
      </c>
      <c r="AA23" s="254">
        <v>0.28547622897800717</v>
      </c>
      <c r="AB23" s="254">
        <v>0.28547622897800717</v>
      </c>
      <c r="AC23" s="254">
        <v>0.28547622897800717</v>
      </c>
      <c r="AD23" s="254">
        <v>0.28547622897800717</v>
      </c>
      <c r="AE23" s="254">
        <v>0.28547622897800717</v>
      </c>
      <c r="AF23" s="254">
        <v>0.28547622897800717</v>
      </c>
      <c r="AG23" s="254">
        <v>0.28547622897800717</v>
      </c>
      <c r="AH23" s="254">
        <v>0.28547622897800717</v>
      </c>
      <c r="AI23" s="254">
        <v>0.28547622897800717</v>
      </c>
      <c r="AJ23" s="254">
        <v>0.28547622897800717</v>
      </c>
      <c r="AK23" s="254">
        <v>0.28547622897800717</v>
      </c>
      <c r="AL23" s="254">
        <v>0.28547622897800717</v>
      </c>
      <c r="AM23" s="254">
        <v>0.28547622897800717</v>
      </c>
      <c r="AN23" s="254">
        <v>0.28547622897800717</v>
      </c>
      <c r="AO23" s="254">
        <v>0.28547622897800717</v>
      </c>
      <c r="AP23" s="254">
        <v>0.28547622897800717</v>
      </c>
      <c r="AQ23" s="254">
        <v>0.28547622897800717</v>
      </c>
    </row>
    <row r="24" spans="1:43" s="232" customFormat="1" ht="15.75" thickBot="1" x14ac:dyDescent="0.3">
      <c r="A24" s="230" t="s">
        <v>6</v>
      </c>
      <c r="B24" s="231" t="s">
        <v>58</v>
      </c>
      <c r="C24" s="232" t="s">
        <v>173</v>
      </c>
      <c r="D24" s="233"/>
      <c r="E24" s="231" t="s">
        <v>7</v>
      </c>
      <c r="F24" s="231" t="s">
        <v>154</v>
      </c>
      <c r="G24" s="231" t="s">
        <v>158</v>
      </c>
      <c r="H24" s="234"/>
      <c r="I24" s="234"/>
      <c r="J24" s="234"/>
      <c r="K24" s="254">
        <v>9.9165000000000003E-2</v>
      </c>
      <c r="L24" s="254">
        <v>0.100367</v>
      </c>
      <c r="M24" s="254">
        <v>0.10818</v>
      </c>
      <c r="N24" s="254">
        <v>0.110584</v>
      </c>
      <c r="O24" s="254">
        <v>0.1111854786545922</v>
      </c>
      <c r="P24" s="254">
        <v>0.1111854786545922</v>
      </c>
      <c r="Q24" s="254">
        <v>0.1111854786545922</v>
      </c>
      <c r="R24" s="256">
        <v>0.1111854786545922</v>
      </c>
      <c r="S24" s="254">
        <v>0.1111854786545922</v>
      </c>
      <c r="T24" s="254">
        <v>0.1111854786545922</v>
      </c>
      <c r="U24" s="254">
        <v>0.1111854786545922</v>
      </c>
      <c r="V24" s="254">
        <v>0.1111854786545922</v>
      </c>
      <c r="W24" s="254">
        <v>0.1111854786545922</v>
      </c>
      <c r="X24" s="254">
        <v>0.1111854786545922</v>
      </c>
      <c r="Y24" s="254">
        <v>0.1111854786545922</v>
      </c>
      <c r="Z24" s="254">
        <v>0.1111854786545922</v>
      </c>
      <c r="AA24" s="254">
        <v>0.1111854786545922</v>
      </c>
      <c r="AB24" s="254">
        <v>0.1111854786545922</v>
      </c>
      <c r="AC24" s="254">
        <v>0.1111854786545922</v>
      </c>
      <c r="AD24" s="254">
        <v>0.1111854786545922</v>
      </c>
      <c r="AE24" s="254">
        <v>0.1111854786545922</v>
      </c>
      <c r="AF24" s="254">
        <v>0.1111854786545922</v>
      </c>
      <c r="AG24" s="254">
        <v>0.1111854786545922</v>
      </c>
      <c r="AH24" s="254">
        <v>0.1111854786545922</v>
      </c>
      <c r="AI24" s="254">
        <v>0.1111854786545922</v>
      </c>
      <c r="AJ24" s="254">
        <v>0.1111854786545922</v>
      </c>
      <c r="AK24" s="254">
        <v>0.1111854786545922</v>
      </c>
      <c r="AL24" s="254">
        <v>0.1111854786545922</v>
      </c>
      <c r="AM24" s="254">
        <v>0.1111854786545922</v>
      </c>
      <c r="AN24" s="254">
        <v>0.1111854786545922</v>
      </c>
      <c r="AO24" s="254">
        <v>0.1111854786545922</v>
      </c>
      <c r="AP24" s="254">
        <v>0.1111854786545922</v>
      </c>
      <c r="AQ24" s="254">
        <v>0.1111854786545922</v>
      </c>
    </row>
    <row r="25" spans="1:43" s="232" customFormat="1" ht="15.75" thickBot="1" x14ac:dyDescent="0.3">
      <c r="A25" s="230" t="s">
        <v>6</v>
      </c>
      <c r="B25" s="231" t="s">
        <v>58</v>
      </c>
      <c r="C25" s="232" t="s">
        <v>165</v>
      </c>
      <c r="D25" s="233"/>
      <c r="E25" s="231" t="s">
        <v>7</v>
      </c>
      <c r="F25" s="231" t="s">
        <v>154</v>
      </c>
      <c r="G25" s="231" t="s">
        <v>158</v>
      </c>
      <c r="H25" s="234"/>
      <c r="I25" s="234"/>
      <c r="J25" s="234"/>
      <c r="K25" s="254">
        <v>0.15746299999999999</v>
      </c>
      <c r="L25" s="254">
        <v>0.15926599999999999</v>
      </c>
      <c r="M25" s="254">
        <v>0.16287199999999999</v>
      </c>
      <c r="N25" s="254">
        <v>0.164074</v>
      </c>
      <c r="O25" s="254">
        <v>0.16767972186287117</v>
      </c>
      <c r="P25" s="254">
        <v>0.16767972186287117</v>
      </c>
      <c r="Q25" s="254">
        <v>0.16767972186287117</v>
      </c>
      <c r="R25" s="256">
        <v>0.16767972186287117</v>
      </c>
      <c r="S25" s="254">
        <v>0.16767972186287117</v>
      </c>
      <c r="T25" s="254">
        <v>0.16767972186287117</v>
      </c>
      <c r="U25" s="254">
        <v>0.16767972186287117</v>
      </c>
      <c r="V25" s="254">
        <v>0.16767972186287117</v>
      </c>
      <c r="W25" s="254">
        <v>0.16767972186287117</v>
      </c>
      <c r="X25" s="254">
        <v>0.16767972186287117</v>
      </c>
      <c r="Y25" s="254">
        <v>0.16767972186287117</v>
      </c>
      <c r="Z25" s="254">
        <v>0.16767972186287117</v>
      </c>
      <c r="AA25" s="254">
        <v>0.16767972186287117</v>
      </c>
      <c r="AB25" s="254">
        <v>0.16767972186287117</v>
      </c>
      <c r="AC25" s="254">
        <v>0.16767972186287117</v>
      </c>
      <c r="AD25" s="254">
        <v>0.16767972186287117</v>
      </c>
      <c r="AE25" s="254">
        <v>0.16767972186287117</v>
      </c>
      <c r="AF25" s="254">
        <v>0.16767972186287117</v>
      </c>
      <c r="AG25" s="254">
        <v>0.16767972186287117</v>
      </c>
      <c r="AH25" s="254">
        <v>0.16767972186287117</v>
      </c>
      <c r="AI25" s="254">
        <v>0.16767972186287117</v>
      </c>
      <c r="AJ25" s="254">
        <v>0.16767972186287117</v>
      </c>
      <c r="AK25" s="254">
        <v>0.16767972186287117</v>
      </c>
      <c r="AL25" s="254">
        <v>0.16767972186287117</v>
      </c>
      <c r="AM25" s="254">
        <v>0.16767972186287117</v>
      </c>
      <c r="AN25" s="254">
        <v>0.16767972186287117</v>
      </c>
      <c r="AO25" s="254">
        <v>0.16767972186287117</v>
      </c>
      <c r="AP25" s="254">
        <v>0.16767972186287117</v>
      </c>
      <c r="AQ25" s="254">
        <v>0.16767972186287117</v>
      </c>
    </row>
    <row r="26" spans="1:43" s="232" customFormat="1" ht="15.75" thickBot="1" x14ac:dyDescent="0.3">
      <c r="A26" s="230" t="s">
        <v>6</v>
      </c>
      <c r="B26" s="231" t="s">
        <v>58</v>
      </c>
      <c r="C26" s="232" t="s">
        <v>174</v>
      </c>
      <c r="D26" s="233"/>
      <c r="E26" s="231" t="s">
        <v>7</v>
      </c>
      <c r="F26" s="231" t="s">
        <v>154</v>
      </c>
      <c r="G26" s="231" t="s">
        <v>158</v>
      </c>
      <c r="H26" s="234"/>
      <c r="I26" s="234"/>
      <c r="J26" s="234"/>
      <c r="K26" s="254">
        <v>4.8079999999999998E-3</v>
      </c>
      <c r="L26" s="254">
        <v>4.8079999999999998E-3</v>
      </c>
      <c r="M26" s="254">
        <v>4.8079999999999998E-3</v>
      </c>
      <c r="N26" s="254">
        <v>4.8079999999999998E-3</v>
      </c>
      <c r="O26" s="254">
        <v>5.409023285899095E-3</v>
      </c>
      <c r="P26" s="254">
        <v>5.409023285899095E-3</v>
      </c>
      <c r="Q26" s="254">
        <v>5.409023285899095E-3</v>
      </c>
      <c r="R26" s="256">
        <v>5.409023285899095E-3</v>
      </c>
      <c r="S26" s="254">
        <v>5.409023285899095E-3</v>
      </c>
      <c r="T26" s="254">
        <v>5.409023285899095E-3</v>
      </c>
      <c r="U26" s="254">
        <v>5.409023285899095E-3</v>
      </c>
      <c r="V26" s="254">
        <v>5.409023285899095E-3</v>
      </c>
      <c r="W26" s="254">
        <v>5.409023285899095E-3</v>
      </c>
      <c r="X26" s="254">
        <v>5.409023285899095E-3</v>
      </c>
      <c r="Y26" s="254">
        <v>5.409023285899095E-3</v>
      </c>
      <c r="Z26" s="254">
        <v>5.409023285899095E-3</v>
      </c>
      <c r="AA26" s="254">
        <v>5.409023285899095E-3</v>
      </c>
      <c r="AB26" s="254">
        <v>5.409023285899095E-3</v>
      </c>
      <c r="AC26" s="254">
        <v>5.409023285899095E-3</v>
      </c>
      <c r="AD26" s="254">
        <v>5.409023285899095E-3</v>
      </c>
      <c r="AE26" s="254">
        <v>5.409023285899095E-3</v>
      </c>
      <c r="AF26" s="254">
        <v>5.409023285899095E-3</v>
      </c>
      <c r="AG26" s="254">
        <v>5.409023285899095E-3</v>
      </c>
      <c r="AH26" s="254">
        <v>5.409023285899095E-3</v>
      </c>
      <c r="AI26" s="254">
        <v>5.409023285899095E-3</v>
      </c>
      <c r="AJ26" s="254">
        <v>5.409023285899095E-3</v>
      </c>
      <c r="AK26" s="254">
        <v>5.409023285899095E-3</v>
      </c>
      <c r="AL26" s="254">
        <v>5.409023285899095E-3</v>
      </c>
      <c r="AM26" s="254">
        <v>5.409023285899095E-3</v>
      </c>
      <c r="AN26" s="254">
        <v>5.409023285899095E-3</v>
      </c>
      <c r="AO26" s="254">
        <v>5.409023285899095E-3</v>
      </c>
      <c r="AP26" s="254">
        <v>5.409023285899095E-3</v>
      </c>
      <c r="AQ26" s="254">
        <v>5.409023285899095E-3</v>
      </c>
    </row>
    <row r="27" spans="1:43" s="232" customFormat="1" ht="15.75" thickBot="1" x14ac:dyDescent="0.3">
      <c r="A27" s="230" t="s">
        <v>6</v>
      </c>
      <c r="B27" s="231" t="s">
        <v>58</v>
      </c>
      <c r="C27" s="168" t="s">
        <v>175</v>
      </c>
      <c r="D27" s="233"/>
      <c r="E27" s="231" t="s">
        <v>7</v>
      </c>
      <c r="F27" s="231" t="s">
        <v>154</v>
      </c>
      <c r="G27" s="231" t="s">
        <v>158</v>
      </c>
      <c r="H27" s="234"/>
      <c r="I27" s="234"/>
      <c r="J27" s="234"/>
      <c r="K27" s="252">
        <v>6.4371639999999992</v>
      </c>
      <c r="L27" s="252">
        <v>6.3902859999999997</v>
      </c>
      <c r="M27" s="252">
        <v>6.3139589999999997</v>
      </c>
      <c r="N27" s="252">
        <v>6.2592669999999986</v>
      </c>
      <c r="O27" s="252">
        <v>6.2220058538164844</v>
      </c>
      <c r="P27" s="252">
        <v>6.2220058538164844</v>
      </c>
      <c r="Q27" s="252">
        <v>6.2220058538164844</v>
      </c>
      <c r="R27" s="256">
        <v>6.2220058538164844</v>
      </c>
      <c r="S27" s="252">
        <v>6.2092058538164849</v>
      </c>
      <c r="T27" s="252">
        <v>6.1964058538164846</v>
      </c>
      <c r="U27" s="252">
        <v>6.1836058538164851</v>
      </c>
      <c r="V27" s="252">
        <v>6.1708058538164847</v>
      </c>
      <c r="W27" s="252">
        <v>6.1580058538164852</v>
      </c>
      <c r="X27" s="252">
        <v>6.1452058538164858</v>
      </c>
      <c r="Y27" s="252">
        <v>6.1324058538164845</v>
      </c>
      <c r="Z27" s="252">
        <v>6.1196058538164859</v>
      </c>
      <c r="AA27" s="252">
        <v>6.1068058538164856</v>
      </c>
      <c r="AB27" s="252">
        <v>6.094005853816487</v>
      </c>
      <c r="AC27" s="252">
        <v>6.0812058538164857</v>
      </c>
      <c r="AD27" s="252">
        <v>6.0684058538164853</v>
      </c>
      <c r="AE27" s="252">
        <v>6.0556058538164867</v>
      </c>
      <c r="AF27" s="252">
        <v>6.0428058538164864</v>
      </c>
      <c r="AG27" s="252">
        <v>6.030005853816486</v>
      </c>
      <c r="AH27" s="252">
        <v>6.0172058538164865</v>
      </c>
      <c r="AI27" s="252">
        <v>6.0044058538164871</v>
      </c>
      <c r="AJ27" s="252">
        <v>5.9916058538164876</v>
      </c>
      <c r="AK27" s="252">
        <v>5.9788058538164872</v>
      </c>
      <c r="AL27" s="252">
        <v>5.966005853816486</v>
      </c>
      <c r="AM27" s="252">
        <v>5.9532058538164883</v>
      </c>
      <c r="AN27" s="252">
        <v>5.940405853816487</v>
      </c>
      <c r="AO27" s="252">
        <v>5.9276058538164875</v>
      </c>
      <c r="AP27" s="252">
        <v>5.9148058538164872</v>
      </c>
      <c r="AQ27" s="252">
        <v>5.9020058538164886</v>
      </c>
    </row>
    <row r="28" spans="1:43" s="232" customFormat="1" ht="15.75" thickBot="1" x14ac:dyDescent="0.3">
      <c r="A28" s="230" t="s">
        <v>6</v>
      </c>
      <c r="B28" s="231" t="s">
        <v>58</v>
      </c>
      <c r="C28" s="168" t="s">
        <v>166</v>
      </c>
      <c r="D28" s="233"/>
      <c r="E28" s="231" t="s">
        <v>7</v>
      </c>
      <c r="F28" s="231" t="s">
        <v>154</v>
      </c>
      <c r="G28" s="231" t="s">
        <v>158</v>
      </c>
      <c r="H28" s="234"/>
      <c r="I28" s="234"/>
      <c r="J28" s="234"/>
      <c r="K28" s="252">
        <v>1.5E-3</v>
      </c>
      <c r="L28" s="252">
        <v>1.5E-3</v>
      </c>
      <c r="M28" s="252">
        <v>1.5E-3</v>
      </c>
      <c r="N28" s="252">
        <v>1.5E-3</v>
      </c>
      <c r="O28" s="252">
        <v>1.5E-3</v>
      </c>
      <c r="P28" s="252">
        <v>1.5E-3</v>
      </c>
      <c r="Q28" s="252">
        <v>1.5E-3</v>
      </c>
      <c r="R28" s="256">
        <v>1.5E-3</v>
      </c>
      <c r="S28" s="252">
        <v>1.5E-3</v>
      </c>
      <c r="T28" s="252">
        <v>1.5E-3</v>
      </c>
      <c r="U28" s="252">
        <v>1.5E-3</v>
      </c>
      <c r="V28" s="252">
        <v>1.5E-3</v>
      </c>
      <c r="W28" s="252">
        <v>1.5E-3</v>
      </c>
      <c r="X28" s="252">
        <v>1.5E-3</v>
      </c>
      <c r="Y28" s="252">
        <v>1.5E-3</v>
      </c>
      <c r="Z28" s="252">
        <v>1.5E-3</v>
      </c>
      <c r="AA28" s="252">
        <v>1.5E-3</v>
      </c>
      <c r="AB28" s="252">
        <v>1.5E-3</v>
      </c>
      <c r="AC28" s="252">
        <v>1.5E-3</v>
      </c>
      <c r="AD28" s="252">
        <v>1.5E-3</v>
      </c>
      <c r="AE28" s="252">
        <v>1.5E-3</v>
      </c>
      <c r="AF28" s="252">
        <v>1.5E-3</v>
      </c>
      <c r="AG28" s="252">
        <v>1.5E-3</v>
      </c>
      <c r="AH28" s="252">
        <v>1.5E-3</v>
      </c>
      <c r="AI28" s="252">
        <v>1.5E-3</v>
      </c>
      <c r="AJ28" s="252">
        <v>1.5E-3</v>
      </c>
      <c r="AK28" s="252">
        <v>1.5E-3</v>
      </c>
      <c r="AL28" s="252">
        <v>1.5E-3</v>
      </c>
      <c r="AM28" s="252">
        <v>1.5E-3</v>
      </c>
      <c r="AN28" s="252">
        <v>1.5E-3</v>
      </c>
      <c r="AO28" s="252">
        <v>1.5E-3</v>
      </c>
      <c r="AP28" s="252">
        <v>1.5E-3</v>
      </c>
      <c r="AQ28" s="252">
        <v>1.5E-3</v>
      </c>
    </row>
    <row r="29" spans="1:43" s="237" customFormat="1" ht="15.75" thickBot="1" x14ac:dyDescent="0.3">
      <c r="A29" s="235" t="s">
        <v>6</v>
      </c>
      <c r="B29" s="236" t="s">
        <v>58</v>
      </c>
      <c r="C29" s="168" t="s">
        <v>176</v>
      </c>
      <c r="D29" s="236" t="s">
        <v>156</v>
      </c>
      <c r="E29" s="236" t="s">
        <v>7</v>
      </c>
      <c r="F29" s="236" t="s">
        <v>154</v>
      </c>
      <c r="G29" s="236" t="s">
        <v>158</v>
      </c>
      <c r="H29" s="236" t="s">
        <v>156</v>
      </c>
      <c r="I29" s="236" t="s">
        <v>156</v>
      </c>
      <c r="J29" s="236" t="s">
        <v>156</v>
      </c>
      <c r="K29" s="253">
        <v>1.43E-2</v>
      </c>
      <c r="L29" s="253">
        <v>1.43E-2</v>
      </c>
      <c r="M29" s="253">
        <v>1.43E-2</v>
      </c>
      <c r="N29" s="253">
        <v>1.43E-2</v>
      </c>
      <c r="O29" s="253">
        <v>1.43E-2</v>
      </c>
      <c r="P29" s="253">
        <v>1.43E-2</v>
      </c>
      <c r="Q29" s="253">
        <v>1.43E-2</v>
      </c>
      <c r="R29" s="256">
        <v>1.43E-2</v>
      </c>
      <c r="S29" s="253">
        <v>1.43E-2</v>
      </c>
      <c r="T29" s="253">
        <v>1.43E-2</v>
      </c>
      <c r="U29" s="253">
        <v>1.43E-2</v>
      </c>
      <c r="V29" s="253">
        <v>1.43E-2</v>
      </c>
      <c r="W29" s="253">
        <v>1.43E-2</v>
      </c>
      <c r="X29" s="253">
        <v>1.43E-2</v>
      </c>
      <c r="Y29" s="253">
        <v>1.43E-2</v>
      </c>
      <c r="Z29" s="253">
        <v>1.43E-2</v>
      </c>
      <c r="AA29" s="253">
        <v>1.43E-2</v>
      </c>
      <c r="AB29" s="253">
        <v>1.43E-2</v>
      </c>
      <c r="AC29" s="253">
        <v>1.43E-2</v>
      </c>
      <c r="AD29" s="253">
        <v>1.43E-2</v>
      </c>
      <c r="AE29" s="253">
        <v>1.43E-2</v>
      </c>
      <c r="AF29" s="253">
        <v>1.43E-2</v>
      </c>
      <c r="AG29" s="253">
        <v>1.43E-2</v>
      </c>
      <c r="AH29" s="253">
        <v>1.43E-2</v>
      </c>
      <c r="AI29" s="253">
        <v>1.43E-2</v>
      </c>
      <c r="AJ29" s="253">
        <v>1.43E-2</v>
      </c>
      <c r="AK29" s="253">
        <v>1.43E-2</v>
      </c>
      <c r="AL29" s="253">
        <v>1.43E-2</v>
      </c>
      <c r="AM29" s="253">
        <v>1.43E-2</v>
      </c>
      <c r="AN29" s="253">
        <v>1.43E-2</v>
      </c>
      <c r="AO29" s="253">
        <v>1.43E-2</v>
      </c>
      <c r="AP29" s="253">
        <v>1.43E-2</v>
      </c>
      <c r="AQ29" s="253">
        <v>1.43E-2</v>
      </c>
    </row>
    <row r="30" spans="1:43" s="240" customFormat="1" ht="43.15" customHeight="1" thickBot="1" x14ac:dyDescent="0.3">
      <c r="A30" s="238" t="s">
        <v>6</v>
      </c>
      <c r="B30" s="239" t="s">
        <v>46</v>
      </c>
      <c r="C30" s="240" t="s">
        <v>162</v>
      </c>
      <c r="D30" s="241"/>
      <c r="E30" s="239" t="s">
        <v>7</v>
      </c>
      <c r="F30" s="239" t="s">
        <v>154</v>
      </c>
      <c r="G30" s="239" t="s">
        <v>158</v>
      </c>
      <c r="H30" s="242"/>
      <c r="I30" s="242"/>
      <c r="J30" s="242"/>
      <c r="K30" s="256">
        <v>0.25362299999999999</v>
      </c>
      <c r="L30" s="256">
        <v>0.25843100000000002</v>
      </c>
      <c r="M30" s="256">
        <v>0.26203700000000002</v>
      </c>
      <c r="N30" s="256">
        <v>0.26384000000000002</v>
      </c>
      <c r="O30" s="256">
        <v>0.276461190168175</v>
      </c>
      <c r="P30" s="256">
        <v>0.276461190168175</v>
      </c>
      <c r="Q30" s="256">
        <v>0.276461190168175</v>
      </c>
      <c r="R30" s="256">
        <v>0.276461190168175</v>
      </c>
      <c r="S30" s="256">
        <v>0.277961190168175</v>
      </c>
      <c r="T30" s="256">
        <v>0.279461190168175</v>
      </c>
      <c r="U30" s="256">
        <v>0.280961190168175</v>
      </c>
      <c r="V30" s="256">
        <v>0.282461190168175</v>
      </c>
      <c r="W30" s="256">
        <v>0.283961190168175</v>
      </c>
      <c r="X30" s="256">
        <v>0.28546119016817501</v>
      </c>
      <c r="Y30" s="256">
        <v>0.28696119016817501</v>
      </c>
      <c r="Z30" s="256">
        <v>0.28846119016817501</v>
      </c>
      <c r="AA30" s="256">
        <v>0.28996119016817501</v>
      </c>
      <c r="AB30" s="256">
        <v>0.29146119016817501</v>
      </c>
      <c r="AC30" s="256">
        <v>0.29296119016817501</v>
      </c>
      <c r="AD30" s="256">
        <v>0.29446119016817501</v>
      </c>
      <c r="AE30" s="256">
        <v>0.29596119016817501</v>
      </c>
      <c r="AF30" s="256">
        <v>0.29746119016817502</v>
      </c>
      <c r="AG30" s="256">
        <v>0.29896119016817502</v>
      </c>
      <c r="AH30" s="256">
        <v>0.30046119016817502</v>
      </c>
      <c r="AI30" s="256">
        <v>0.30196119016817502</v>
      </c>
      <c r="AJ30" s="256">
        <v>0.30346119016817502</v>
      </c>
      <c r="AK30" s="256">
        <v>0.30496119016817502</v>
      </c>
      <c r="AL30" s="256">
        <v>0.30646119016817502</v>
      </c>
      <c r="AM30" s="256">
        <v>0.30796119016817503</v>
      </c>
      <c r="AN30" s="256">
        <v>0.30946119016817503</v>
      </c>
      <c r="AO30" s="256">
        <v>0.31096119016817503</v>
      </c>
      <c r="AP30" s="256">
        <v>0.31246119016817503</v>
      </c>
      <c r="AQ30" s="256">
        <v>0.31396119016817503</v>
      </c>
    </row>
    <row r="31" spans="1:43" s="245" customFormat="1" ht="43.15" customHeight="1" thickBot="1" x14ac:dyDescent="0.3">
      <c r="A31" s="243" t="s">
        <v>6</v>
      </c>
      <c r="B31" s="244" t="s">
        <v>46</v>
      </c>
      <c r="C31" s="269" t="s">
        <v>159</v>
      </c>
      <c r="D31" s="246"/>
      <c r="E31" s="244" t="s">
        <v>7</v>
      </c>
      <c r="F31" s="244" t="s">
        <v>154</v>
      </c>
      <c r="G31" s="244" t="s">
        <v>158</v>
      </c>
      <c r="H31" s="247"/>
      <c r="I31" s="247"/>
      <c r="J31" s="247"/>
      <c r="K31" s="254">
        <v>1.814427</v>
      </c>
      <c r="L31" s="254">
        <v>1.8060130000000001</v>
      </c>
      <c r="M31" s="254">
        <v>1.794594</v>
      </c>
      <c r="N31" s="254">
        <v>1.786781</v>
      </c>
      <c r="O31" s="254">
        <v>1.7837756791721164</v>
      </c>
      <c r="P31" s="254">
        <v>1.7837756791721164</v>
      </c>
      <c r="Q31" s="254">
        <v>1.7837756791721164</v>
      </c>
      <c r="R31" s="256">
        <v>1.7837756791721164</v>
      </c>
      <c r="S31" s="254">
        <v>1.7816756791721164</v>
      </c>
      <c r="T31" s="254">
        <v>1.7795756791721165</v>
      </c>
      <c r="U31" s="254">
        <v>1.7774756791721165</v>
      </c>
      <c r="V31" s="254">
        <v>1.7753756791721165</v>
      </c>
      <c r="W31" s="254">
        <v>1.7732756791721165</v>
      </c>
      <c r="X31" s="254">
        <v>1.7711756791721165</v>
      </c>
      <c r="Y31" s="254">
        <v>1.7690756791721165</v>
      </c>
      <c r="Z31" s="254">
        <v>1.7669756791721165</v>
      </c>
      <c r="AA31" s="254">
        <v>1.7648756791721165</v>
      </c>
      <c r="AB31" s="254">
        <v>1.7627756791721165</v>
      </c>
      <c r="AC31" s="254">
        <v>1.7606756791721165</v>
      </c>
      <c r="AD31" s="254">
        <v>1.7585756791721165</v>
      </c>
      <c r="AE31" s="254">
        <v>1.7564756791721166</v>
      </c>
      <c r="AF31" s="254">
        <v>1.7543756791721166</v>
      </c>
      <c r="AG31" s="254">
        <v>1.7522756791721166</v>
      </c>
      <c r="AH31" s="254">
        <v>1.7501756791721166</v>
      </c>
      <c r="AI31" s="254">
        <v>1.7480756791721166</v>
      </c>
      <c r="AJ31" s="254">
        <v>1.7459756791721166</v>
      </c>
      <c r="AK31" s="254">
        <v>1.7438756791721166</v>
      </c>
      <c r="AL31" s="254">
        <v>1.7417756791721166</v>
      </c>
      <c r="AM31" s="254">
        <v>1.7396756791721166</v>
      </c>
      <c r="AN31" s="254">
        <v>1.7375756791721166</v>
      </c>
      <c r="AO31" s="254">
        <v>1.7354756791721166</v>
      </c>
      <c r="AP31" s="254">
        <v>1.7333756791721167</v>
      </c>
      <c r="AQ31" s="254">
        <v>1.7312756791721167</v>
      </c>
    </row>
    <row r="32" spans="1:43" s="245" customFormat="1" ht="15.75" thickBot="1" x14ac:dyDescent="0.3">
      <c r="A32" s="243" t="s">
        <v>6</v>
      </c>
      <c r="B32" s="244" t="s">
        <v>46</v>
      </c>
      <c r="C32" s="269" t="s">
        <v>157</v>
      </c>
      <c r="D32" s="246"/>
      <c r="E32" s="244" t="s">
        <v>7</v>
      </c>
      <c r="F32" s="244" t="s">
        <v>154</v>
      </c>
      <c r="G32" s="244" t="s">
        <v>158</v>
      </c>
      <c r="H32" s="247"/>
      <c r="I32" s="247"/>
      <c r="J32" s="247"/>
      <c r="K32" s="254">
        <v>2.7916569999999998</v>
      </c>
      <c r="L32" s="254">
        <v>2.7525919999999999</v>
      </c>
      <c r="M32" s="254">
        <v>2.6906889999999999</v>
      </c>
      <c r="N32" s="254">
        <v>2.6432090000000001</v>
      </c>
      <c r="O32" s="254">
        <v>2.6011391979302325</v>
      </c>
      <c r="P32" s="254">
        <v>2.6011391979302325</v>
      </c>
      <c r="Q32" s="254">
        <v>2.6011391979302325</v>
      </c>
      <c r="R32" s="256">
        <v>2.6011391979302325</v>
      </c>
      <c r="S32" s="254">
        <v>2.5898391979302327</v>
      </c>
      <c r="T32" s="254">
        <v>2.5785391979302328</v>
      </c>
      <c r="U32" s="254">
        <v>2.5672391979302329</v>
      </c>
      <c r="V32" s="254">
        <v>2.5559391979302331</v>
      </c>
      <c r="W32" s="254">
        <v>2.5446391979302332</v>
      </c>
      <c r="X32" s="254">
        <v>2.5333391979302333</v>
      </c>
      <c r="Y32" s="254">
        <v>2.5220391979302335</v>
      </c>
      <c r="Z32" s="254">
        <v>2.5107391979302336</v>
      </c>
      <c r="AA32" s="254">
        <v>2.4994391979302337</v>
      </c>
      <c r="AB32" s="254">
        <v>2.4881391979302339</v>
      </c>
      <c r="AC32" s="254">
        <v>2.476839197930234</v>
      </c>
      <c r="AD32" s="254">
        <v>2.4655391979302341</v>
      </c>
      <c r="AE32" s="254">
        <v>2.4542391979302343</v>
      </c>
      <c r="AF32" s="254">
        <v>2.4429391979302344</v>
      </c>
      <c r="AG32" s="254">
        <v>2.4316391979302345</v>
      </c>
      <c r="AH32" s="254">
        <v>2.4203391979302347</v>
      </c>
      <c r="AI32" s="254">
        <v>2.4090391979302348</v>
      </c>
      <c r="AJ32" s="254">
        <v>2.3977391979302349</v>
      </c>
      <c r="AK32" s="254">
        <v>2.3864391979302351</v>
      </c>
      <c r="AL32" s="254">
        <v>2.3751391979302352</v>
      </c>
      <c r="AM32" s="254">
        <v>2.3638391979302353</v>
      </c>
      <c r="AN32" s="254">
        <v>2.3525391979302355</v>
      </c>
      <c r="AO32" s="254">
        <v>2.3412391979302356</v>
      </c>
      <c r="AP32" s="254">
        <v>2.3299391979302357</v>
      </c>
      <c r="AQ32" s="254">
        <v>2.3186391979302359</v>
      </c>
    </row>
    <row r="33" spans="1:43" s="245" customFormat="1" ht="15.75" thickBot="1" x14ac:dyDescent="0.3">
      <c r="A33" s="243" t="s">
        <v>6</v>
      </c>
      <c r="B33" s="244" t="s">
        <v>46</v>
      </c>
      <c r="C33" s="269" t="s">
        <v>168</v>
      </c>
      <c r="D33" s="246"/>
      <c r="E33" s="244" t="s">
        <v>7</v>
      </c>
      <c r="F33" s="244" t="s">
        <v>154</v>
      </c>
      <c r="G33" s="244" t="s">
        <v>158</v>
      </c>
      <c r="H33" s="247"/>
      <c r="I33" s="247"/>
      <c r="J33" s="247"/>
      <c r="K33" s="254">
        <v>1.009684</v>
      </c>
      <c r="L33" s="254">
        <v>1.0066790000000001</v>
      </c>
      <c r="M33" s="254">
        <v>1.0012700000000001</v>
      </c>
      <c r="N33" s="254">
        <v>1.001871</v>
      </c>
      <c r="O33" s="254">
        <v>0.99526028460546079</v>
      </c>
      <c r="P33" s="254">
        <v>0.99526028460546079</v>
      </c>
      <c r="Q33" s="254">
        <v>0.99526028460546079</v>
      </c>
      <c r="R33" s="256">
        <v>0.99526028460546079</v>
      </c>
      <c r="S33" s="254">
        <v>0.99466028460546074</v>
      </c>
      <c r="T33" s="254">
        <v>0.9940602846054607</v>
      </c>
      <c r="U33" s="254">
        <v>0.99346028460546065</v>
      </c>
      <c r="V33" s="254">
        <v>0.99286028460546061</v>
      </c>
      <c r="W33" s="254">
        <v>0.99226028460546056</v>
      </c>
      <c r="X33" s="254">
        <v>0.99166028460546052</v>
      </c>
      <c r="Y33" s="254">
        <v>0.99106028460546047</v>
      </c>
      <c r="Z33" s="254">
        <v>0.99046028460546043</v>
      </c>
      <c r="AA33" s="254">
        <v>0.98986028460546038</v>
      </c>
      <c r="AB33" s="254">
        <v>0.98926028460546034</v>
      </c>
      <c r="AC33" s="254">
        <v>0.98866028460546029</v>
      </c>
      <c r="AD33" s="254">
        <v>0.98806028460546025</v>
      </c>
      <c r="AE33" s="254">
        <v>0.9874602846054602</v>
      </c>
      <c r="AF33" s="254">
        <v>0.98686028460546016</v>
      </c>
      <c r="AG33" s="254">
        <v>0.98626028460546011</v>
      </c>
      <c r="AH33" s="254">
        <v>0.98566028460546007</v>
      </c>
      <c r="AI33" s="254">
        <v>0.98506028460546002</v>
      </c>
      <c r="AJ33" s="254">
        <v>0.98446028460545998</v>
      </c>
      <c r="AK33" s="254">
        <v>0.98386028460545993</v>
      </c>
      <c r="AL33" s="254">
        <v>0.98326028460545989</v>
      </c>
      <c r="AM33" s="254">
        <v>0.98266028460545984</v>
      </c>
      <c r="AN33" s="254">
        <v>0.9820602846054598</v>
      </c>
      <c r="AO33" s="254">
        <v>0.98146028460545975</v>
      </c>
      <c r="AP33" s="254">
        <v>0.98086028460545971</v>
      </c>
      <c r="AQ33" s="254">
        <v>0.98026028460545966</v>
      </c>
    </row>
    <row r="34" spans="1:43" s="245" customFormat="1" ht="15.75" thickBot="1" x14ac:dyDescent="0.3">
      <c r="A34" s="243" t="s">
        <v>6</v>
      </c>
      <c r="B34" s="244" t="s">
        <v>46</v>
      </c>
      <c r="C34" s="269" t="s">
        <v>160</v>
      </c>
      <c r="D34" s="246"/>
      <c r="E34" s="244" t="s">
        <v>7</v>
      </c>
      <c r="F34" s="244" t="s">
        <v>154</v>
      </c>
      <c r="G34" s="244" t="s">
        <v>158</v>
      </c>
      <c r="H34" s="247"/>
      <c r="I34" s="247"/>
      <c r="J34" s="247"/>
      <c r="K34" s="254">
        <v>5.9499000000000003E-2</v>
      </c>
      <c r="L34" s="254">
        <v>5.9499000000000003E-2</v>
      </c>
      <c r="M34" s="254">
        <v>5.9499000000000003E-2</v>
      </c>
      <c r="N34" s="254">
        <v>5.9499000000000003E-2</v>
      </c>
      <c r="O34" s="254">
        <v>6.0100258732212232E-2</v>
      </c>
      <c r="P34" s="254">
        <v>6.0100258732212232E-2</v>
      </c>
      <c r="Q34" s="254">
        <v>6.0100258732212232E-2</v>
      </c>
      <c r="R34" s="256">
        <v>6.0100258732212232E-2</v>
      </c>
      <c r="S34" s="254">
        <v>6.0100258732212232E-2</v>
      </c>
      <c r="T34" s="254">
        <v>6.0100258732212232E-2</v>
      </c>
      <c r="U34" s="254">
        <v>6.0100258732212232E-2</v>
      </c>
      <c r="V34" s="254">
        <v>6.0100258732212232E-2</v>
      </c>
      <c r="W34" s="254">
        <v>6.0100258732212232E-2</v>
      </c>
      <c r="X34" s="254">
        <v>6.0100258732212232E-2</v>
      </c>
      <c r="Y34" s="254">
        <v>6.0100258732212232E-2</v>
      </c>
      <c r="Z34" s="254">
        <v>6.0100258732212232E-2</v>
      </c>
      <c r="AA34" s="254">
        <v>6.0100258732212232E-2</v>
      </c>
      <c r="AB34" s="254">
        <v>6.0100258732212232E-2</v>
      </c>
      <c r="AC34" s="254">
        <v>6.0100258732212232E-2</v>
      </c>
      <c r="AD34" s="254">
        <v>6.0100258732212232E-2</v>
      </c>
      <c r="AE34" s="254">
        <v>6.0100258732212232E-2</v>
      </c>
      <c r="AF34" s="254">
        <v>6.0100258732212232E-2</v>
      </c>
      <c r="AG34" s="254">
        <v>6.0100258732212232E-2</v>
      </c>
      <c r="AH34" s="254">
        <v>6.0100258732212232E-2</v>
      </c>
      <c r="AI34" s="254">
        <v>6.0100258732212232E-2</v>
      </c>
      <c r="AJ34" s="254">
        <v>6.0100258732212232E-2</v>
      </c>
      <c r="AK34" s="254">
        <v>6.0100258732212232E-2</v>
      </c>
      <c r="AL34" s="254">
        <v>6.0100258732212232E-2</v>
      </c>
      <c r="AM34" s="254">
        <v>6.0100258732212232E-2</v>
      </c>
      <c r="AN34" s="254">
        <v>6.0100258732212232E-2</v>
      </c>
      <c r="AO34" s="254">
        <v>6.0100258732212232E-2</v>
      </c>
      <c r="AP34" s="254">
        <v>6.0100258732212232E-2</v>
      </c>
      <c r="AQ34" s="254">
        <v>6.0100258732212232E-2</v>
      </c>
    </row>
    <row r="35" spans="1:43" s="245" customFormat="1" ht="15.75" thickBot="1" x14ac:dyDescent="0.3">
      <c r="A35" s="243" t="s">
        <v>6</v>
      </c>
      <c r="B35" s="244" t="s">
        <v>46</v>
      </c>
      <c r="C35" s="269" t="s">
        <v>169</v>
      </c>
      <c r="D35" s="246"/>
      <c r="E35" s="244" t="s">
        <v>7</v>
      </c>
      <c r="F35" s="244" t="s">
        <v>154</v>
      </c>
      <c r="G35" s="244" t="s">
        <v>158</v>
      </c>
      <c r="H35" s="247"/>
      <c r="I35" s="247"/>
      <c r="J35" s="247"/>
      <c r="K35" s="254">
        <v>0.52407400000000004</v>
      </c>
      <c r="L35" s="254">
        <v>0.522872</v>
      </c>
      <c r="M35" s="254">
        <v>0.52166999999999997</v>
      </c>
      <c r="N35" s="254">
        <v>0.51986699999999997</v>
      </c>
      <c r="O35" s="254">
        <v>0.52106924320828829</v>
      </c>
      <c r="P35" s="254">
        <v>0.52106924320828829</v>
      </c>
      <c r="Q35" s="254">
        <v>0.52106924320828829</v>
      </c>
      <c r="R35" s="256">
        <v>0.52106924320828829</v>
      </c>
      <c r="S35" s="254">
        <v>0.52076924320828832</v>
      </c>
      <c r="T35" s="254">
        <v>0.52046924320828836</v>
      </c>
      <c r="U35" s="254">
        <v>0.52016924320828839</v>
      </c>
      <c r="V35" s="254">
        <v>0.51986924320828842</v>
      </c>
      <c r="W35" s="254">
        <v>0.51956924320828846</v>
      </c>
      <c r="X35" s="254">
        <v>0.51926924320828849</v>
      </c>
      <c r="Y35" s="254">
        <v>0.51896924320828852</v>
      </c>
      <c r="Z35" s="254">
        <v>0.51866924320828856</v>
      </c>
      <c r="AA35" s="254">
        <v>0.51836924320828859</v>
      </c>
      <c r="AB35" s="254">
        <v>0.51806924320828862</v>
      </c>
      <c r="AC35" s="254">
        <v>0.51776924320828865</v>
      </c>
      <c r="AD35" s="254">
        <v>0.51746924320828869</v>
      </c>
      <c r="AE35" s="254">
        <v>0.51716924320828872</v>
      </c>
      <c r="AF35" s="254">
        <v>0.51686924320828875</v>
      </c>
      <c r="AG35" s="254">
        <v>0.51656924320828879</v>
      </c>
      <c r="AH35" s="254">
        <v>0.51626924320828882</v>
      </c>
      <c r="AI35" s="254">
        <v>0.51596924320828885</v>
      </c>
      <c r="AJ35" s="254">
        <v>0.51566924320828889</v>
      </c>
      <c r="AK35" s="254">
        <v>0.51536924320828892</v>
      </c>
      <c r="AL35" s="254">
        <v>0.51506924320828895</v>
      </c>
      <c r="AM35" s="254">
        <v>0.51476924320828898</v>
      </c>
      <c r="AN35" s="254">
        <v>0.51446924320828902</v>
      </c>
      <c r="AO35" s="254">
        <v>0.51416924320828905</v>
      </c>
      <c r="AP35" s="254">
        <v>0.51386924320828908</v>
      </c>
      <c r="AQ35" s="254">
        <v>0.51356924320828912</v>
      </c>
    </row>
    <row r="36" spans="1:43" s="245" customFormat="1" ht="15.75" thickBot="1" x14ac:dyDescent="0.3">
      <c r="A36" s="243" t="s">
        <v>6</v>
      </c>
      <c r="B36" s="244" t="s">
        <v>46</v>
      </c>
      <c r="C36" s="245" t="s">
        <v>161</v>
      </c>
      <c r="D36" s="246"/>
      <c r="E36" s="244" t="s">
        <v>7</v>
      </c>
      <c r="F36" s="244" t="s">
        <v>154</v>
      </c>
      <c r="G36" s="244" t="s">
        <v>158</v>
      </c>
      <c r="H36" s="247"/>
      <c r="I36" s="247"/>
      <c r="J36" s="247"/>
      <c r="K36" s="254">
        <v>0.98023499999999997</v>
      </c>
      <c r="L36" s="254">
        <v>0.99345700000000003</v>
      </c>
      <c r="M36" s="254">
        <v>1.000669</v>
      </c>
      <c r="N36" s="254">
        <v>1.0048760000000001</v>
      </c>
      <c r="O36" s="254">
        <v>1.0018713130659913</v>
      </c>
      <c r="P36" s="254">
        <v>1.0018713130659913</v>
      </c>
      <c r="Q36" s="254">
        <v>1.0018713130659913</v>
      </c>
      <c r="R36" s="256">
        <v>1.0018713130659913</v>
      </c>
      <c r="S36" s="254">
        <v>1.0043880005659913</v>
      </c>
      <c r="T36" s="254">
        <v>1.0069046880659913</v>
      </c>
      <c r="U36" s="254">
        <v>1.0094213755659913</v>
      </c>
      <c r="V36" s="254">
        <v>1.0119380630659913</v>
      </c>
      <c r="W36" s="254">
        <v>1.0144547505659913</v>
      </c>
      <c r="X36" s="254">
        <v>1.0169714380659913</v>
      </c>
      <c r="Y36" s="254">
        <v>1.0194881255659913</v>
      </c>
      <c r="Z36" s="254">
        <v>1.0220048130659913</v>
      </c>
      <c r="AA36" s="254">
        <v>1.0245215005659913</v>
      </c>
      <c r="AB36" s="254">
        <v>1.0270381880659913</v>
      </c>
      <c r="AC36" s="254">
        <v>1.0295548755659913</v>
      </c>
      <c r="AD36" s="254">
        <v>1.0320715630659913</v>
      </c>
      <c r="AE36" s="254">
        <v>1.0345882505659914</v>
      </c>
      <c r="AF36" s="254">
        <v>1.0371049380659914</v>
      </c>
      <c r="AG36" s="254">
        <v>1.0396216255659914</v>
      </c>
      <c r="AH36" s="254">
        <v>1.0421383130659914</v>
      </c>
      <c r="AI36" s="254">
        <v>1.0446550005659914</v>
      </c>
      <c r="AJ36" s="254">
        <v>1.0471716880659914</v>
      </c>
      <c r="AK36" s="254">
        <v>1.0496883755659914</v>
      </c>
      <c r="AL36" s="254">
        <v>1.0522050630659914</v>
      </c>
      <c r="AM36" s="254">
        <v>1.0547217505659914</v>
      </c>
      <c r="AN36" s="254">
        <v>1.0572384380659914</v>
      </c>
      <c r="AO36" s="254">
        <v>1.0597551255659914</v>
      </c>
      <c r="AP36" s="254">
        <v>1.0622718130659914</v>
      </c>
      <c r="AQ36" s="254">
        <v>1.0647885005659914</v>
      </c>
    </row>
    <row r="37" spans="1:43" s="245" customFormat="1" ht="15.75" thickBot="1" x14ac:dyDescent="0.3">
      <c r="A37" s="243" t="s">
        <v>6</v>
      </c>
      <c r="B37" s="244" t="s">
        <v>46</v>
      </c>
      <c r="C37" s="245" t="s">
        <v>170</v>
      </c>
      <c r="D37" s="246"/>
      <c r="E37" s="244" t="s">
        <v>7</v>
      </c>
      <c r="F37" s="244" t="s">
        <v>154</v>
      </c>
      <c r="G37" s="244" t="s">
        <v>158</v>
      </c>
      <c r="H37" s="247"/>
      <c r="I37" s="247"/>
      <c r="J37" s="247"/>
      <c r="K37" s="254">
        <v>0.19953299999999999</v>
      </c>
      <c r="L37" s="254">
        <v>0.19652800000000001</v>
      </c>
      <c r="M37" s="254">
        <v>0.19652800000000001</v>
      </c>
      <c r="N37" s="254">
        <v>0.195326</v>
      </c>
      <c r="O37" s="254">
        <v>0.18931581500646741</v>
      </c>
      <c r="P37" s="254">
        <v>0.18931581500646741</v>
      </c>
      <c r="Q37" s="254">
        <v>0.18931581500646741</v>
      </c>
      <c r="R37" s="256">
        <v>0.18931581500646741</v>
      </c>
      <c r="S37" s="254">
        <v>0.18954119000646741</v>
      </c>
      <c r="T37" s="254">
        <v>0.18976656500646741</v>
      </c>
      <c r="U37" s="254">
        <v>0.18999194000646741</v>
      </c>
      <c r="V37" s="254">
        <v>0.19021731500646741</v>
      </c>
      <c r="W37" s="254">
        <v>0.19044269000646741</v>
      </c>
      <c r="X37" s="254">
        <v>0.19066806500646741</v>
      </c>
      <c r="Y37" s="254">
        <v>0.19089344000646741</v>
      </c>
      <c r="Z37" s="254">
        <v>0.19111881500646741</v>
      </c>
      <c r="AA37" s="254">
        <v>0.19134419000646741</v>
      </c>
      <c r="AB37" s="254">
        <v>0.19156956500646741</v>
      </c>
      <c r="AC37" s="254">
        <v>0.19179494000646741</v>
      </c>
      <c r="AD37" s="254">
        <v>0.19202031500646741</v>
      </c>
      <c r="AE37" s="254">
        <v>0.19224569000646741</v>
      </c>
      <c r="AF37" s="254">
        <v>0.19247106500646741</v>
      </c>
      <c r="AG37" s="254">
        <v>0.19269644000646741</v>
      </c>
      <c r="AH37" s="254">
        <v>0.19292181500646741</v>
      </c>
      <c r="AI37" s="254">
        <v>0.19314719000646741</v>
      </c>
      <c r="AJ37" s="254">
        <v>0.19337256500646741</v>
      </c>
      <c r="AK37" s="254">
        <v>0.19359794000646741</v>
      </c>
      <c r="AL37" s="254">
        <v>0.19382331500646741</v>
      </c>
      <c r="AM37" s="254">
        <v>0.19404869000646741</v>
      </c>
      <c r="AN37" s="254">
        <v>0.19427406500646741</v>
      </c>
      <c r="AO37" s="254">
        <v>0.19449944000646741</v>
      </c>
      <c r="AP37" s="254">
        <v>0.19472481500646741</v>
      </c>
      <c r="AQ37" s="254">
        <v>0.19495019000646741</v>
      </c>
    </row>
    <row r="38" spans="1:43" s="245" customFormat="1" ht="15.75" thickBot="1" x14ac:dyDescent="0.3">
      <c r="A38" s="243" t="s">
        <v>6</v>
      </c>
      <c r="B38" s="244" t="s">
        <v>46</v>
      </c>
      <c r="C38" s="245" t="s">
        <v>171</v>
      </c>
      <c r="D38" s="246"/>
      <c r="E38" s="244" t="s">
        <v>7</v>
      </c>
      <c r="F38" s="244" t="s">
        <v>154</v>
      </c>
      <c r="G38" s="244" t="s">
        <v>158</v>
      </c>
      <c r="H38" s="247"/>
      <c r="I38" s="247"/>
      <c r="J38" s="247"/>
      <c r="K38" s="254">
        <v>2.4039999999999999E-3</v>
      </c>
      <c r="L38" s="254">
        <v>2.4039999999999999E-3</v>
      </c>
      <c r="M38" s="254">
        <v>1.8029999999999999E-3</v>
      </c>
      <c r="N38" s="254">
        <v>1.8029999999999999E-3</v>
      </c>
      <c r="O38" s="254">
        <v>1.8030077619663647E-3</v>
      </c>
      <c r="P38" s="254">
        <v>1.8030077619663647E-3</v>
      </c>
      <c r="Q38" s="254">
        <v>1.8030077619663647E-3</v>
      </c>
      <c r="R38" s="256">
        <v>1.8030077619663647E-3</v>
      </c>
      <c r="S38" s="254">
        <v>1.7654452619663647E-3</v>
      </c>
      <c r="T38" s="254">
        <v>1.7278827619663646E-3</v>
      </c>
      <c r="U38" s="254">
        <v>1.6903202619663645E-3</v>
      </c>
      <c r="V38" s="254">
        <v>1.6527577619663645E-3</v>
      </c>
      <c r="W38" s="254">
        <v>1.6151952619663644E-3</v>
      </c>
      <c r="X38" s="254">
        <v>1.5776327619663644E-3</v>
      </c>
      <c r="Y38" s="254">
        <v>1.5400702619663643E-3</v>
      </c>
      <c r="Z38" s="254">
        <v>1.5025077619663643E-3</v>
      </c>
      <c r="AA38" s="254">
        <v>1.4649452619663642E-3</v>
      </c>
      <c r="AB38" s="254">
        <v>1.4273827619663642E-3</v>
      </c>
      <c r="AC38" s="254">
        <v>1.3898202619663641E-3</v>
      </c>
      <c r="AD38" s="254">
        <v>1.3522577619663641E-3</v>
      </c>
      <c r="AE38" s="254">
        <v>1.314695261966364E-3</v>
      </c>
      <c r="AF38" s="254">
        <v>1.277132761966364E-3</v>
      </c>
      <c r="AG38" s="254">
        <v>1.2395702619663639E-3</v>
      </c>
      <c r="AH38" s="254">
        <v>1.2020077619663639E-3</v>
      </c>
      <c r="AI38" s="254">
        <v>1.1644452619663638E-3</v>
      </c>
      <c r="AJ38" s="254">
        <v>1.1268827619663638E-3</v>
      </c>
      <c r="AK38" s="254">
        <v>1.0893202619663637E-3</v>
      </c>
      <c r="AL38" s="254">
        <v>1.0517577619663637E-3</v>
      </c>
      <c r="AM38" s="254">
        <v>1.0141952619663636E-3</v>
      </c>
      <c r="AN38" s="254">
        <v>9.7663276196636355E-4</v>
      </c>
      <c r="AO38" s="254">
        <v>9.390702619663635E-4</v>
      </c>
      <c r="AP38" s="254">
        <v>9.0150776196636345E-4</v>
      </c>
      <c r="AQ38" s="254">
        <v>8.6394526196636339E-4</v>
      </c>
    </row>
    <row r="39" spans="1:43" s="245" customFormat="1" ht="15.75" thickBot="1" x14ac:dyDescent="0.3">
      <c r="A39" s="243" t="s">
        <v>6</v>
      </c>
      <c r="B39" s="244" t="s">
        <v>46</v>
      </c>
      <c r="C39" s="245" t="s">
        <v>163</v>
      </c>
      <c r="D39" s="246"/>
      <c r="E39" s="244" t="s">
        <v>7</v>
      </c>
      <c r="F39" s="244" t="s">
        <v>154</v>
      </c>
      <c r="G39" s="244" t="s">
        <v>158</v>
      </c>
      <c r="H39" s="247"/>
      <c r="I39" s="247"/>
      <c r="J39" s="247"/>
      <c r="K39" s="254">
        <v>1.4880819999999999</v>
      </c>
      <c r="L39" s="254">
        <v>1.5229410000000001</v>
      </c>
      <c r="M39" s="254">
        <v>1.5704199999999999</v>
      </c>
      <c r="N39" s="254">
        <v>1.619702</v>
      </c>
      <c r="O39" s="254">
        <v>1.641939068564088</v>
      </c>
      <c r="P39" s="254">
        <v>1.641939068564088</v>
      </c>
      <c r="Q39" s="254">
        <v>1.641939068564088</v>
      </c>
      <c r="R39" s="256">
        <v>1.641939068564088</v>
      </c>
      <c r="S39" s="254">
        <v>1.652832256064088</v>
      </c>
      <c r="T39" s="254">
        <v>1.663725443564088</v>
      </c>
      <c r="U39" s="254">
        <v>1.674618631064088</v>
      </c>
      <c r="V39" s="254">
        <v>1.685511818564088</v>
      </c>
      <c r="W39" s="254">
        <v>1.6964050060640881</v>
      </c>
      <c r="X39" s="254">
        <v>1.7072981935640881</v>
      </c>
      <c r="Y39" s="254">
        <v>1.7181913810640881</v>
      </c>
      <c r="Z39" s="254">
        <v>1.7290845685640881</v>
      </c>
      <c r="AA39" s="254">
        <v>1.7399777560640881</v>
      </c>
      <c r="AB39" s="254">
        <v>1.7508709435640881</v>
      </c>
      <c r="AC39" s="254">
        <v>1.7617641310640881</v>
      </c>
      <c r="AD39" s="254">
        <v>1.7726573185640881</v>
      </c>
      <c r="AE39" s="254">
        <v>1.7835505060640882</v>
      </c>
      <c r="AF39" s="254">
        <v>1.7944436935640882</v>
      </c>
      <c r="AG39" s="254">
        <v>1.8053368810640882</v>
      </c>
      <c r="AH39" s="254">
        <v>1.8162300685640882</v>
      </c>
      <c r="AI39" s="254">
        <v>1.8271232560640882</v>
      </c>
      <c r="AJ39" s="254">
        <v>1.8380164435640882</v>
      </c>
      <c r="AK39" s="254">
        <v>1.8489096310640882</v>
      </c>
      <c r="AL39" s="254">
        <v>1.8598028185640882</v>
      </c>
      <c r="AM39" s="254">
        <v>1.8706960060640883</v>
      </c>
      <c r="AN39" s="254">
        <v>1.8815891935640883</v>
      </c>
      <c r="AO39" s="254">
        <v>1.8924823810640883</v>
      </c>
      <c r="AP39" s="254">
        <v>1.9033755685640883</v>
      </c>
      <c r="AQ39" s="254">
        <v>1.9142687560640883</v>
      </c>
    </row>
    <row r="40" spans="1:43" s="245" customFormat="1" ht="15.75" thickBot="1" x14ac:dyDescent="0.3">
      <c r="A40" s="243" t="s">
        <v>6</v>
      </c>
      <c r="B40" s="244" t="s">
        <v>46</v>
      </c>
      <c r="C40" s="245" t="s">
        <v>172</v>
      </c>
      <c r="D40" s="246"/>
      <c r="E40" s="244" t="s">
        <v>7</v>
      </c>
      <c r="F40" s="244" t="s">
        <v>154</v>
      </c>
      <c r="G40" s="244" t="s">
        <v>158</v>
      </c>
      <c r="H40" s="247"/>
      <c r="I40" s="247"/>
      <c r="J40" s="247"/>
      <c r="K40" s="254">
        <v>1.4772639999999999</v>
      </c>
      <c r="L40" s="254">
        <v>1.4754609999999999</v>
      </c>
      <c r="M40" s="254">
        <v>1.4874810000000001</v>
      </c>
      <c r="N40" s="254">
        <v>1.4856780000000001</v>
      </c>
      <c r="O40" s="254">
        <v>1.5073144890039278</v>
      </c>
      <c r="P40" s="254">
        <v>1.5073144890039278</v>
      </c>
      <c r="Q40" s="254">
        <v>1.5073144890039278</v>
      </c>
      <c r="R40" s="256">
        <v>1.5073144890039278</v>
      </c>
      <c r="S40" s="254">
        <v>1.5073144890039278</v>
      </c>
      <c r="T40" s="254">
        <v>1.5073144890039278</v>
      </c>
      <c r="U40" s="254">
        <v>1.5073144890039278</v>
      </c>
      <c r="V40" s="254">
        <v>1.5073144890039278</v>
      </c>
      <c r="W40" s="254">
        <v>1.5073144890039278</v>
      </c>
      <c r="X40" s="254">
        <v>1.5073144890039278</v>
      </c>
      <c r="Y40" s="254">
        <v>1.5019928015036308</v>
      </c>
      <c r="Z40" s="254">
        <v>1.5012039890036328</v>
      </c>
      <c r="AA40" s="254">
        <v>1.5004151765036331</v>
      </c>
      <c r="AB40" s="254">
        <v>1.4996263640036298</v>
      </c>
      <c r="AC40" s="254">
        <v>1.4988375515036318</v>
      </c>
      <c r="AD40" s="254">
        <v>1.4980487390036321</v>
      </c>
      <c r="AE40" s="254">
        <v>1.4972599265036324</v>
      </c>
      <c r="AF40" s="254">
        <v>1.4964711140036309</v>
      </c>
      <c r="AG40" s="254">
        <v>1.4956823015036311</v>
      </c>
      <c r="AH40" s="254">
        <v>1.4948934890036314</v>
      </c>
      <c r="AI40" s="254">
        <v>1.4941046765036334</v>
      </c>
      <c r="AJ40" s="254">
        <v>1.4933158640036319</v>
      </c>
      <c r="AK40" s="254">
        <v>1.4925270515036304</v>
      </c>
      <c r="AL40" s="254">
        <v>1.4917382390036324</v>
      </c>
      <c r="AM40" s="254">
        <v>1.4909494265036327</v>
      </c>
      <c r="AN40" s="254">
        <v>1.490160614003633</v>
      </c>
      <c r="AO40" s="254">
        <v>1.4893718015036315</v>
      </c>
      <c r="AP40" s="254">
        <v>1.4885829890036317</v>
      </c>
      <c r="AQ40" s="254">
        <v>1.487794176503632</v>
      </c>
    </row>
    <row r="41" spans="1:43" s="245" customFormat="1" ht="15.75" thickBot="1" x14ac:dyDescent="0.3">
      <c r="A41" s="243" t="s">
        <v>6</v>
      </c>
      <c r="B41" s="244" t="s">
        <v>46</v>
      </c>
      <c r="C41" s="245" t="s">
        <v>164</v>
      </c>
      <c r="D41" s="246"/>
      <c r="E41" s="244" t="s">
        <v>7</v>
      </c>
      <c r="F41" s="244" t="s">
        <v>154</v>
      </c>
      <c r="G41" s="244" t="s">
        <v>158</v>
      </c>
      <c r="H41" s="247"/>
      <c r="I41" s="247"/>
      <c r="J41" s="247"/>
      <c r="K41" s="254">
        <v>0.28788000000000002</v>
      </c>
      <c r="L41" s="254">
        <v>0.28848099999999999</v>
      </c>
      <c r="M41" s="254">
        <v>0.28727900000000001</v>
      </c>
      <c r="N41" s="254">
        <v>0.28727900000000001</v>
      </c>
      <c r="O41" s="254">
        <v>0.28547622897800717</v>
      </c>
      <c r="P41" s="254">
        <v>0.28547622897800717</v>
      </c>
      <c r="Q41" s="254">
        <v>0.28547622897800717</v>
      </c>
      <c r="R41" s="256">
        <v>0.28547622897800717</v>
      </c>
      <c r="S41" s="254">
        <v>0.28547622897800717</v>
      </c>
      <c r="T41" s="254">
        <v>0.28547622897800717</v>
      </c>
      <c r="U41" s="254">
        <v>0.28547622897800717</v>
      </c>
      <c r="V41" s="254">
        <v>0.28547622897800717</v>
      </c>
      <c r="W41" s="254">
        <v>0.28547622897800717</v>
      </c>
      <c r="X41" s="254">
        <v>0.28547622897800717</v>
      </c>
      <c r="Y41" s="254">
        <v>0.28547622897800717</v>
      </c>
      <c r="Z41" s="254">
        <v>0.28547622897800717</v>
      </c>
      <c r="AA41" s="254">
        <v>0.28547622897800717</v>
      </c>
      <c r="AB41" s="254">
        <v>0.28547622897800717</v>
      </c>
      <c r="AC41" s="254">
        <v>0.28547622897800717</v>
      </c>
      <c r="AD41" s="254">
        <v>0.28547622897800717</v>
      </c>
      <c r="AE41" s="254">
        <v>0.28547622897800717</v>
      </c>
      <c r="AF41" s="254">
        <v>0.28547622897800717</v>
      </c>
      <c r="AG41" s="254">
        <v>0.28547622897800717</v>
      </c>
      <c r="AH41" s="254">
        <v>0.28547622897800717</v>
      </c>
      <c r="AI41" s="254">
        <v>0.28547622897800717</v>
      </c>
      <c r="AJ41" s="254">
        <v>0.28547622897800717</v>
      </c>
      <c r="AK41" s="254">
        <v>0.28547622897800717</v>
      </c>
      <c r="AL41" s="254">
        <v>0.28547622897800717</v>
      </c>
      <c r="AM41" s="254">
        <v>0.28547622897800717</v>
      </c>
      <c r="AN41" s="254">
        <v>0.28547622897800717</v>
      </c>
      <c r="AO41" s="254">
        <v>0.28547622897800717</v>
      </c>
      <c r="AP41" s="254">
        <v>0.28547622897800717</v>
      </c>
      <c r="AQ41" s="254">
        <v>0.28547622897800717</v>
      </c>
    </row>
    <row r="42" spans="1:43" s="245" customFormat="1" ht="15.75" thickBot="1" x14ac:dyDescent="0.3">
      <c r="A42" s="243" t="s">
        <v>6</v>
      </c>
      <c r="B42" s="244" t="s">
        <v>46</v>
      </c>
      <c r="C42" s="245" t="s">
        <v>173</v>
      </c>
      <c r="D42" s="246"/>
      <c r="E42" s="244" t="s">
        <v>7</v>
      </c>
      <c r="F42" s="244" t="s">
        <v>154</v>
      </c>
      <c r="G42" s="244" t="s">
        <v>158</v>
      </c>
      <c r="H42" s="247"/>
      <c r="I42" s="247"/>
      <c r="J42" s="247"/>
      <c r="K42" s="254">
        <v>9.9165000000000003E-2</v>
      </c>
      <c r="L42" s="254">
        <v>0.100367</v>
      </c>
      <c r="M42" s="254">
        <v>0.10818</v>
      </c>
      <c r="N42" s="254">
        <v>0.110584</v>
      </c>
      <c r="O42" s="254">
        <v>0.1111854786545922</v>
      </c>
      <c r="P42" s="254">
        <v>0.1111854786545922</v>
      </c>
      <c r="Q42" s="254">
        <v>0.1111854786545922</v>
      </c>
      <c r="R42" s="256">
        <v>0.1111854786545922</v>
      </c>
      <c r="S42" s="254">
        <v>0.1111854786545922</v>
      </c>
      <c r="T42" s="254">
        <v>0.1111854786545922</v>
      </c>
      <c r="U42" s="254">
        <v>0.1111854786545922</v>
      </c>
      <c r="V42" s="254">
        <v>0.1111854786545922</v>
      </c>
      <c r="W42" s="254">
        <v>0.1111854786545922</v>
      </c>
      <c r="X42" s="254">
        <v>0.1111854786545922</v>
      </c>
      <c r="Y42" s="254">
        <v>0.1111854786545922</v>
      </c>
      <c r="Z42" s="254">
        <v>0.1111854786545922</v>
      </c>
      <c r="AA42" s="254">
        <v>0.1111854786545922</v>
      </c>
      <c r="AB42" s="254">
        <v>0.1111854786545922</v>
      </c>
      <c r="AC42" s="254">
        <v>0.1111854786545922</v>
      </c>
      <c r="AD42" s="254">
        <v>0.1111854786545922</v>
      </c>
      <c r="AE42" s="254">
        <v>0.1111854786545922</v>
      </c>
      <c r="AF42" s="254">
        <v>0.1111854786545922</v>
      </c>
      <c r="AG42" s="254">
        <v>0.1111854786545922</v>
      </c>
      <c r="AH42" s="254">
        <v>0.1111854786545922</v>
      </c>
      <c r="AI42" s="254">
        <v>0.1111854786545922</v>
      </c>
      <c r="AJ42" s="254">
        <v>0.1111854786545922</v>
      </c>
      <c r="AK42" s="254">
        <v>0.1111854786545922</v>
      </c>
      <c r="AL42" s="254">
        <v>0.1111854786545922</v>
      </c>
      <c r="AM42" s="254">
        <v>0.1111854786545922</v>
      </c>
      <c r="AN42" s="254">
        <v>0.1111854786545922</v>
      </c>
      <c r="AO42" s="254">
        <v>0.1111854786545922</v>
      </c>
      <c r="AP42" s="254">
        <v>0.1111854786545922</v>
      </c>
      <c r="AQ42" s="254">
        <v>0.1111854786545922</v>
      </c>
    </row>
    <row r="43" spans="1:43" s="245" customFormat="1" ht="15.75" thickBot="1" x14ac:dyDescent="0.3">
      <c r="A43" s="243" t="s">
        <v>6</v>
      </c>
      <c r="B43" s="244" t="s">
        <v>46</v>
      </c>
      <c r="C43" s="245" t="s">
        <v>165</v>
      </c>
      <c r="D43" s="246"/>
      <c r="E43" s="244" t="s">
        <v>7</v>
      </c>
      <c r="F43" s="244" t="s">
        <v>154</v>
      </c>
      <c r="G43" s="244" t="s">
        <v>158</v>
      </c>
      <c r="H43" s="247"/>
      <c r="I43" s="247"/>
      <c r="J43" s="247"/>
      <c r="K43" s="254">
        <v>0.15746299999999999</v>
      </c>
      <c r="L43" s="254">
        <v>0.15926599999999999</v>
      </c>
      <c r="M43" s="254">
        <v>0.16287199999999999</v>
      </c>
      <c r="N43" s="254">
        <v>0.164074</v>
      </c>
      <c r="O43" s="254">
        <v>0.16767972186287117</v>
      </c>
      <c r="P43" s="254">
        <v>0.16767972186287117</v>
      </c>
      <c r="Q43" s="254">
        <v>0.16767972186287117</v>
      </c>
      <c r="R43" s="256">
        <v>0.16767972186287117</v>
      </c>
      <c r="S43" s="254">
        <v>0.16767972186287117</v>
      </c>
      <c r="T43" s="254">
        <v>0.16767972186287117</v>
      </c>
      <c r="U43" s="254">
        <v>0.16767972186287117</v>
      </c>
      <c r="V43" s="254">
        <v>0.16767972186287117</v>
      </c>
      <c r="W43" s="254">
        <v>0.16767972186287117</v>
      </c>
      <c r="X43" s="254">
        <v>0.16767972186287117</v>
      </c>
      <c r="Y43" s="254">
        <v>0.16767972186287117</v>
      </c>
      <c r="Z43" s="254">
        <v>0.16767972186287117</v>
      </c>
      <c r="AA43" s="254">
        <v>0.16767972186287117</v>
      </c>
      <c r="AB43" s="254">
        <v>0.16767972186287117</v>
      </c>
      <c r="AC43" s="254">
        <v>0.16767972186287117</v>
      </c>
      <c r="AD43" s="254">
        <v>0.16767972186287117</v>
      </c>
      <c r="AE43" s="254">
        <v>0.16767972186287117</v>
      </c>
      <c r="AF43" s="254">
        <v>0.16767972186287117</v>
      </c>
      <c r="AG43" s="254">
        <v>0.16767972186287117</v>
      </c>
      <c r="AH43" s="254">
        <v>0.16767972186287117</v>
      </c>
      <c r="AI43" s="254">
        <v>0.16767972186287117</v>
      </c>
      <c r="AJ43" s="254">
        <v>0.16767972186287117</v>
      </c>
      <c r="AK43" s="254">
        <v>0.16767972186287117</v>
      </c>
      <c r="AL43" s="254">
        <v>0.16767972186287117</v>
      </c>
      <c r="AM43" s="254">
        <v>0.16767972186287117</v>
      </c>
      <c r="AN43" s="254">
        <v>0.16767972186287117</v>
      </c>
      <c r="AO43" s="254">
        <v>0.16767972186287117</v>
      </c>
      <c r="AP43" s="254">
        <v>0.16767972186287117</v>
      </c>
      <c r="AQ43" s="254">
        <v>0.16767972186287117</v>
      </c>
    </row>
    <row r="44" spans="1:43" s="245" customFormat="1" ht="15.75" thickBot="1" x14ac:dyDescent="0.3">
      <c r="A44" s="243" t="s">
        <v>6</v>
      </c>
      <c r="B44" s="244" t="s">
        <v>46</v>
      </c>
      <c r="C44" s="245" t="s">
        <v>174</v>
      </c>
      <c r="D44" s="246"/>
      <c r="E44" s="244" t="s">
        <v>7</v>
      </c>
      <c r="F44" s="244" t="s">
        <v>154</v>
      </c>
      <c r="G44" s="244" t="s">
        <v>158</v>
      </c>
      <c r="H44" s="247"/>
      <c r="I44" s="247"/>
      <c r="J44" s="247"/>
      <c r="K44" s="254">
        <v>4.8079999999999998E-3</v>
      </c>
      <c r="L44" s="254">
        <v>4.8079999999999998E-3</v>
      </c>
      <c r="M44" s="254">
        <v>4.8079999999999998E-3</v>
      </c>
      <c r="N44" s="254">
        <v>4.8079999999999998E-3</v>
      </c>
      <c r="O44" s="254">
        <v>5.409023285899095E-3</v>
      </c>
      <c r="P44" s="254">
        <v>5.409023285899095E-3</v>
      </c>
      <c r="Q44" s="254">
        <v>5.409023285899095E-3</v>
      </c>
      <c r="R44" s="256">
        <v>5.409023285899095E-3</v>
      </c>
      <c r="S44" s="254">
        <v>5.409023285899095E-3</v>
      </c>
      <c r="T44" s="254">
        <v>5.409023285899095E-3</v>
      </c>
      <c r="U44" s="254">
        <v>5.409023285899095E-3</v>
      </c>
      <c r="V44" s="254">
        <v>5.409023285899095E-3</v>
      </c>
      <c r="W44" s="254">
        <v>5.409023285899095E-3</v>
      </c>
      <c r="X44" s="254">
        <v>5.409023285899095E-3</v>
      </c>
      <c r="Y44" s="254">
        <v>5.409023285899095E-3</v>
      </c>
      <c r="Z44" s="254">
        <v>5.409023285899095E-3</v>
      </c>
      <c r="AA44" s="254">
        <v>5.409023285899095E-3</v>
      </c>
      <c r="AB44" s="254">
        <v>5.409023285899095E-3</v>
      </c>
      <c r="AC44" s="254">
        <v>5.409023285899095E-3</v>
      </c>
      <c r="AD44" s="254">
        <v>5.409023285899095E-3</v>
      </c>
      <c r="AE44" s="254">
        <v>5.409023285899095E-3</v>
      </c>
      <c r="AF44" s="254">
        <v>5.409023285899095E-3</v>
      </c>
      <c r="AG44" s="254">
        <v>5.409023285899095E-3</v>
      </c>
      <c r="AH44" s="254">
        <v>5.409023285899095E-3</v>
      </c>
      <c r="AI44" s="254">
        <v>5.409023285899095E-3</v>
      </c>
      <c r="AJ44" s="254">
        <v>5.409023285899095E-3</v>
      </c>
      <c r="AK44" s="254">
        <v>5.409023285899095E-3</v>
      </c>
      <c r="AL44" s="254">
        <v>5.409023285899095E-3</v>
      </c>
      <c r="AM44" s="254">
        <v>5.409023285899095E-3</v>
      </c>
      <c r="AN44" s="254">
        <v>5.409023285899095E-3</v>
      </c>
      <c r="AO44" s="254">
        <v>5.409023285899095E-3</v>
      </c>
      <c r="AP44" s="254">
        <v>5.409023285899095E-3</v>
      </c>
      <c r="AQ44" s="254">
        <v>5.409023285899095E-3</v>
      </c>
    </row>
    <row r="45" spans="1:43" s="245" customFormat="1" ht="15.75" thickBot="1" x14ac:dyDescent="0.3">
      <c r="A45" s="243" t="s">
        <v>6</v>
      </c>
      <c r="B45" s="244" t="s">
        <v>46</v>
      </c>
      <c r="C45" s="168" t="s">
        <v>175</v>
      </c>
      <c r="D45" s="246"/>
      <c r="E45" s="244" t="s">
        <v>7</v>
      </c>
      <c r="F45" s="244" t="s">
        <v>154</v>
      </c>
      <c r="G45" s="244" t="s">
        <v>158</v>
      </c>
      <c r="H45" s="247"/>
      <c r="I45" s="247"/>
      <c r="J45" s="247"/>
      <c r="K45" s="252">
        <v>6.4371639999999992</v>
      </c>
      <c r="L45" s="252">
        <v>6.3902859999999997</v>
      </c>
      <c r="M45" s="252">
        <v>6.3139589999999997</v>
      </c>
      <c r="N45" s="252">
        <v>6.2592669999999986</v>
      </c>
      <c r="O45" s="252">
        <v>6.2220058538164844</v>
      </c>
      <c r="P45" s="252">
        <v>6.2220058538164844</v>
      </c>
      <c r="Q45" s="252">
        <v>6.2220058538164844</v>
      </c>
      <c r="R45" s="256">
        <v>6.2220058538164844</v>
      </c>
      <c r="S45" s="252">
        <v>6.2092058538164849</v>
      </c>
      <c r="T45" s="252">
        <v>6.1964058538164846</v>
      </c>
      <c r="U45" s="252">
        <v>6.1836058538164851</v>
      </c>
      <c r="V45" s="252">
        <v>6.1708058538164847</v>
      </c>
      <c r="W45" s="252">
        <v>6.1580058538164852</v>
      </c>
      <c r="X45" s="252">
        <v>6.1452058538164858</v>
      </c>
      <c r="Y45" s="252">
        <v>6.1324058538164845</v>
      </c>
      <c r="Z45" s="252">
        <v>6.1196058538164859</v>
      </c>
      <c r="AA45" s="252">
        <v>6.1068058538164856</v>
      </c>
      <c r="AB45" s="252">
        <v>6.094005853816487</v>
      </c>
      <c r="AC45" s="252">
        <v>6.0812058538164857</v>
      </c>
      <c r="AD45" s="252">
        <v>6.0684058538164853</v>
      </c>
      <c r="AE45" s="252">
        <v>6.0556058538164867</v>
      </c>
      <c r="AF45" s="252">
        <v>6.0428058538164864</v>
      </c>
      <c r="AG45" s="252">
        <v>6.030005853816486</v>
      </c>
      <c r="AH45" s="252">
        <v>6.0172058538164865</v>
      </c>
      <c r="AI45" s="252">
        <v>6.0044058538164871</v>
      </c>
      <c r="AJ45" s="252">
        <v>5.9916058538164876</v>
      </c>
      <c r="AK45" s="252">
        <v>5.9788058538164872</v>
      </c>
      <c r="AL45" s="252">
        <v>5.966005853816486</v>
      </c>
      <c r="AM45" s="252">
        <v>5.9532058538164883</v>
      </c>
      <c r="AN45" s="252">
        <v>5.940405853816487</v>
      </c>
      <c r="AO45" s="252">
        <v>5.9276058538164875</v>
      </c>
      <c r="AP45" s="252">
        <v>5.9148058538164872</v>
      </c>
      <c r="AQ45" s="252">
        <v>5.9020058538164886</v>
      </c>
    </row>
    <row r="46" spans="1:43" s="245" customFormat="1" ht="15.75" thickBot="1" x14ac:dyDescent="0.3">
      <c r="A46" s="243" t="s">
        <v>6</v>
      </c>
      <c r="B46" s="244" t="s">
        <v>46</v>
      </c>
      <c r="C46" s="168" t="s">
        <v>166</v>
      </c>
      <c r="D46" s="246"/>
      <c r="E46" s="244" t="s">
        <v>7</v>
      </c>
      <c r="F46" s="244" t="s">
        <v>154</v>
      </c>
      <c r="G46" s="244" t="s">
        <v>158</v>
      </c>
      <c r="H46" s="247"/>
      <c r="I46" s="247"/>
      <c r="J46" s="247"/>
      <c r="K46" s="252">
        <v>1.5E-3</v>
      </c>
      <c r="L46" s="252">
        <v>1.5E-3</v>
      </c>
      <c r="M46" s="252">
        <v>1.5E-3</v>
      </c>
      <c r="N46" s="252">
        <v>1.5E-3</v>
      </c>
      <c r="O46" s="252">
        <v>1.5E-3</v>
      </c>
      <c r="P46" s="252">
        <v>1.5E-3</v>
      </c>
      <c r="Q46" s="252">
        <v>1.5E-3</v>
      </c>
      <c r="R46" s="256">
        <v>1.5E-3</v>
      </c>
      <c r="S46" s="252">
        <v>1.5E-3</v>
      </c>
      <c r="T46" s="252">
        <v>1.5E-3</v>
      </c>
      <c r="U46" s="252">
        <v>1.5E-3</v>
      </c>
      <c r="V46" s="252">
        <v>1.5E-3</v>
      </c>
      <c r="W46" s="252">
        <v>1.5E-3</v>
      </c>
      <c r="X46" s="252">
        <v>1.5E-3</v>
      </c>
      <c r="Y46" s="252">
        <v>1.5E-3</v>
      </c>
      <c r="Z46" s="252">
        <v>1.5E-3</v>
      </c>
      <c r="AA46" s="252">
        <v>1.5E-3</v>
      </c>
      <c r="AB46" s="252">
        <v>1.5E-3</v>
      </c>
      <c r="AC46" s="252">
        <v>1.5E-3</v>
      </c>
      <c r="AD46" s="252">
        <v>1.5E-3</v>
      </c>
      <c r="AE46" s="252">
        <v>1.5E-3</v>
      </c>
      <c r="AF46" s="252">
        <v>1.5E-3</v>
      </c>
      <c r="AG46" s="252">
        <v>1.5E-3</v>
      </c>
      <c r="AH46" s="252">
        <v>1.5E-3</v>
      </c>
      <c r="AI46" s="252">
        <v>1.5E-3</v>
      </c>
      <c r="AJ46" s="252">
        <v>1.5E-3</v>
      </c>
      <c r="AK46" s="252">
        <v>1.5E-3</v>
      </c>
      <c r="AL46" s="252">
        <v>1.5E-3</v>
      </c>
      <c r="AM46" s="252">
        <v>1.5E-3</v>
      </c>
      <c r="AN46" s="252">
        <v>1.5E-3</v>
      </c>
      <c r="AO46" s="252">
        <v>1.5E-3</v>
      </c>
      <c r="AP46" s="252">
        <v>1.5E-3</v>
      </c>
      <c r="AQ46" s="252">
        <v>1.5E-3</v>
      </c>
    </row>
    <row r="47" spans="1:43" s="250" customFormat="1" ht="15.75" thickBot="1" x14ac:dyDescent="0.3">
      <c r="A47" s="248" t="s">
        <v>6</v>
      </c>
      <c r="B47" s="249" t="s">
        <v>46</v>
      </c>
      <c r="C47" s="168" t="s">
        <v>176</v>
      </c>
      <c r="D47" s="249" t="s">
        <v>156</v>
      </c>
      <c r="E47" s="249" t="s">
        <v>7</v>
      </c>
      <c r="F47" s="249" t="s">
        <v>154</v>
      </c>
      <c r="G47" s="249" t="s">
        <v>158</v>
      </c>
      <c r="H47" s="249" t="s">
        <v>156</v>
      </c>
      <c r="I47" s="249" t="s">
        <v>156</v>
      </c>
      <c r="J47" s="249" t="s">
        <v>156</v>
      </c>
      <c r="K47" s="253">
        <v>1.43E-2</v>
      </c>
      <c r="L47" s="253">
        <v>1.43E-2</v>
      </c>
      <c r="M47" s="253">
        <v>1.43E-2</v>
      </c>
      <c r="N47" s="253">
        <v>1.43E-2</v>
      </c>
      <c r="O47" s="253">
        <v>1.43E-2</v>
      </c>
      <c r="P47" s="253">
        <v>1.43E-2</v>
      </c>
      <c r="Q47" s="253">
        <v>1.43E-2</v>
      </c>
      <c r="R47" s="256">
        <v>1.43E-2</v>
      </c>
      <c r="S47" s="253">
        <v>1.43E-2</v>
      </c>
      <c r="T47" s="253">
        <v>1.43E-2</v>
      </c>
      <c r="U47" s="253">
        <v>1.43E-2</v>
      </c>
      <c r="V47" s="253">
        <v>1.43E-2</v>
      </c>
      <c r="W47" s="253">
        <v>1.43E-2</v>
      </c>
      <c r="X47" s="253">
        <v>1.43E-2</v>
      </c>
      <c r="Y47" s="253">
        <v>1.43E-2</v>
      </c>
      <c r="Z47" s="253">
        <v>1.43E-2</v>
      </c>
      <c r="AA47" s="253">
        <v>1.43E-2</v>
      </c>
      <c r="AB47" s="253">
        <v>1.43E-2</v>
      </c>
      <c r="AC47" s="253">
        <v>1.43E-2</v>
      </c>
      <c r="AD47" s="253">
        <v>1.43E-2</v>
      </c>
      <c r="AE47" s="253">
        <v>1.43E-2</v>
      </c>
      <c r="AF47" s="253">
        <v>1.43E-2</v>
      </c>
      <c r="AG47" s="253">
        <v>1.43E-2</v>
      </c>
      <c r="AH47" s="253">
        <v>1.43E-2</v>
      </c>
      <c r="AI47" s="253">
        <v>1.43E-2</v>
      </c>
      <c r="AJ47" s="253">
        <v>1.43E-2</v>
      </c>
      <c r="AK47" s="253">
        <v>1.43E-2</v>
      </c>
      <c r="AL47" s="253">
        <v>1.43E-2</v>
      </c>
      <c r="AM47" s="253">
        <v>1.43E-2</v>
      </c>
      <c r="AN47" s="253">
        <v>1.43E-2</v>
      </c>
      <c r="AO47" s="253">
        <v>1.43E-2</v>
      </c>
      <c r="AP47" s="253">
        <v>1.43E-2</v>
      </c>
      <c r="AQ47" s="253">
        <v>1.43E-2</v>
      </c>
    </row>
    <row r="48" spans="1:43" s="227" customFormat="1" ht="43.15" customHeight="1" thickBot="1" x14ac:dyDescent="0.3">
      <c r="A48" s="225"/>
      <c r="B48" s="226"/>
      <c r="D48" s="228"/>
      <c r="E48" s="226"/>
      <c r="F48" s="226"/>
      <c r="G48" s="226"/>
      <c r="H48" s="229"/>
      <c r="I48" s="229"/>
      <c r="J48" s="229"/>
      <c r="K48" s="272"/>
      <c r="L48" s="272"/>
      <c r="M48" s="272"/>
      <c r="N48" s="272"/>
      <c r="O48" s="272"/>
      <c r="P48" s="272"/>
      <c r="Q48" s="272"/>
      <c r="R48" s="272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  <c r="AN48" s="273"/>
      <c r="AO48" s="273"/>
      <c r="AP48" s="273"/>
      <c r="AQ48" s="273"/>
    </row>
    <row r="49" spans="1:43" s="232" customFormat="1" ht="43.15" customHeight="1" thickBot="1" x14ac:dyDescent="0.3">
      <c r="A49" s="230"/>
      <c r="B49" s="231"/>
      <c r="C49" s="270"/>
      <c r="D49" s="233"/>
      <c r="E49" s="231"/>
      <c r="F49" s="231"/>
      <c r="G49" s="231"/>
      <c r="H49" s="234"/>
      <c r="I49" s="234"/>
      <c r="J49" s="234"/>
      <c r="K49" s="274"/>
      <c r="L49" s="274"/>
      <c r="M49" s="274"/>
      <c r="N49" s="274"/>
      <c r="O49" s="274"/>
      <c r="P49" s="274"/>
      <c r="Q49" s="274"/>
      <c r="R49" s="272"/>
      <c r="S49" s="275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</row>
    <row r="50" spans="1:43" s="232" customFormat="1" ht="15.75" thickBot="1" x14ac:dyDescent="0.3">
      <c r="A50" s="230"/>
      <c r="B50" s="231"/>
      <c r="C50" s="270"/>
      <c r="D50" s="233"/>
      <c r="E50" s="231"/>
      <c r="F50" s="231"/>
      <c r="G50" s="231"/>
      <c r="H50" s="234"/>
      <c r="I50" s="234"/>
      <c r="J50" s="234"/>
      <c r="K50" s="274"/>
      <c r="L50" s="274"/>
      <c r="M50" s="274"/>
      <c r="N50" s="274"/>
      <c r="O50" s="274"/>
      <c r="P50" s="274"/>
      <c r="Q50" s="274"/>
      <c r="R50" s="272"/>
      <c r="S50" s="275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</row>
    <row r="51" spans="1:43" s="232" customFormat="1" ht="15.75" thickBot="1" x14ac:dyDescent="0.3">
      <c r="A51" s="230"/>
      <c r="B51" s="231"/>
      <c r="C51" s="270"/>
      <c r="D51" s="233"/>
      <c r="E51" s="231"/>
      <c r="F51" s="231"/>
      <c r="G51" s="231"/>
      <c r="H51" s="234"/>
      <c r="I51" s="234"/>
      <c r="J51" s="234"/>
      <c r="K51" s="274"/>
      <c r="L51" s="274"/>
      <c r="M51" s="274"/>
      <c r="N51" s="274"/>
      <c r="O51" s="274"/>
      <c r="P51" s="274"/>
      <c r="Q51" s="274"/>
      <c r="R51" s="272"/>
      <c r="S51" s="275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</row>
    <row r="52" spans="1:43" s="232" customFormat="1" ht="15.75" thickBot="1" x14ac:dyDescent="0.3">
      <c r="A52" s="230"/>
      <c r="B52" s="231"/>
      <c r="C52" s="270"/>
      <c r="D52" s="233"/>
      <c r="E52" s="231"/>
      <c r="F52" s="231"/>
      <c r="G52" s="231"/>
      <c r="H52" s="234"/>
      <c r="I52" s="234"/>
      <c r="J52" s="234"/>
      <c r="K52" s="274"/>
      <c r="L52" s="274"/>
      <c r="M52" s="274"/>
      <c r="N52" s="274"/>
      <c r="O52" s="274"/>
      <c r="P52" s="274"/>
      <c r="Q52" s="274"/>
      <c r="R52" s="272"/>
      <c r="S52" s="275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  <c r="AN52" s="273"/>
      <c r="AO52" s="273"/>
      <c r="AP52" s="273"/>
      <c r="AQ52" s="273"/>
    </row>
    <row r="53" spans="1:43" s="232" customFormat="1" ht="15.75" thickBot="1" x14ac:dyDescent="0.3">
      <c r="A53" s="230"/>
      <c r="B53" s="231"/>
      <c r="C53" s="270"/>
      <c r="D53" s="233"/>
      <c r="E53" s="231"/>
      <c r="F53" s="231"/>
      <c r="G53" s="231"/>
      <c r="H53" s="234"/>
      <c r="I53" s="234"/>
      <c r="J53" s="234"/>
      <c r="K53" s="274"/>
      <c r="L53" s="274"/>
      <c r="M53" s="274"/>
      <c r="N53" s="274"/>
      <c r="O53" s="274"/>
      <c r="P53" s="274"/>
      <c r="Q53" s="274"/>
      <c r="R53" s="272"/>
      <c r="S53" s="275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  <c r="AN53" s="273"/>
      <c r="AO53" s="273"/>
      <c r="AP53" s="273"/>
      <c r="AQ53" s="273"/>
    </row>
    <row r="54" spans="1:43" s="232" customFormat="1" ht="15.75" thickBot="1" x14ac:dyDescent="0.3">
      <c r="A54" s="230"/>
      <c r="B54" s="231"/>
      <c r="D54" s="233"/>
      <c r="E54" s="231"/>
      <c r="F54" s="231"/>
      <c r="G54" s="231"/>
      <c r="H54" s="234"/>
      <c r="I54" s="234"/>
      <c r="J54" s="234"/>
      <c r="K54" s="254"/>
      <c r="L54" s="254"/>
      <c r="M54" s="254"/>
      <c r="N54" s="254"/>
      <c r="O54" s="254"/>
      <c r="P54" s="254"/>
      <c r="Q54" s="254"/>
      <c r="R54" s="256"/>
      <c r="S54" s="252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</row>
    <row r="55" spans="1:43" s="232" customFormat="1" ht="15.75" thickBot="1" x14ac:dyDescent="0.3">
      <c r="A55" s="230"/>
      <c r="B55" s="231"/>
      <c r="D55" s="233"/>
      <c r="E55" s="231"/>
      <c r="F55" s="231"/>
      <c r="G55" s="231"/>
      <c r="H55" s="234"/>
      <c r="I55" s="234"/>
      <c r="J55" s="234"/>
      <c r="K55" s="254"/>
      <c r="L55" s="254"/>
      <c r="M55" s="254"/>
      <c r="N55" s="254"/>
      <c r="O55" s="254"/>
      <c r="P55" s="254"/>
      <c r="Q55" s="254"/>
      <c r="R55" s="256"/>
      <c r="S55" s="252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</row>
    <row r="56" spans="1:43" s="232" customFormat="1" ht="15.75" thickBot="1" x14ac:dyDescent="0.3">
      <c r="A56" s="230"/>
      <c r="B56" s="231"/>
      <c r="D56" s="233"/>
      <c r="E56" s="231"/>
      <c r="F56" s="231"/>
      <c r="G56" s="231"/>
      <c r="H56" s="234"/>
      <c r="I56" s="234"/>
      <c r="J56" s="234"/>
      <c r="K56" s="254"/>
      <c r="L56" s="254"/>
      <c r="M56" s="254"/>
      <c r="N56" s="254"/>
      <c r="O56" s="254"/>
      <c r="P56" s="254"/>
      <c r="Q56" s="254"/>
      <c r="R56" s="256"/>
      <c r="S56" s="252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</row>
    <row r="57" spans="1:43" s="232" customFormat="1" ht="15.75" thickBot="1" x14ac:dyDescent="0.3">
      <c r="A57" s="230"/>
      <c r="B57" s="231"/>
      <c r="D57" s="233"/>
      <c r="E57" s="231"/>
      <c r="F57" s="231"/>
      <c r="G57" s="231"/>
      <c r="H57" s="234"/>
      <c r="I57" s="234"/>
      <c r="J57" s="234"/>
      <c r="K57" s="254"/>
      <c r="L57" s="254"/>
      <c r="M57" s="254"/>
      <c r="N57" s="254"/>
      <c r="O57" s="254"/>
      <c r="P57" s="254"/>
      <c r="Q57" s="254"/>
      <c r="R57" s="256"/>
      <c r="S57" s="252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</row>
    <row r="58" spans="1:43" s="232" customFormat="1" ht="15.75" thickBot="1" x14ac:dyDescent="0.3">
      <c r="A58" s="230"/>
      <c r="B58" s="231"/>
      <c r="D58" s="233"/>
      <c r="E58" s="231"/>
      <c r="F58" s="231"/>
      <c r="G58" s="231"/>
      <c r="H58" s="234"/>
      <c r="I58" s="234"/>
      <c r="J58" s="234"/>
      <c r="K58" s="254"/>
      <c r="L58" s="254"/>
      <c r="M58" s="254"/>
      <c r="N58" s="254"/>
      <c r="O58" s="254"/>
      <c r="P58" s="254"/>
      <c r="Q58" s="254"/>
      <c r="R58" s="256"/>
      <c r="S58" s="252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</row>
    <row r="59" spans="1:43" s="232" customFormat="1" ht="15.75" thickBot="1" x14ac:dyDescent="0.3">
      <c r="A59" s="230"/>
      <c r="B59" s="231"/>
      <c r="D59" s="233"/>
      <c r="E59" s="231"/>
      <c r="F59" s="231"/>
      <c r="G59" s="231"/>
      <c r="H59" s="234"/>
      <c r="I59" s="234"/>
      <c r="J59" s="234"/>
      <c r="K59" s="254"/>
      <c r="L59" s="254"/>
      <c r="M59" s="254"/>
      <c r="N59" s="254"/>
      <c r="O59" s="254"/>
      <c r="P59" s="254"/>
      <c r="Q59" s="254"/>
      <c r="R59" s="256"/>
      <c r="S59" s="252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</row>
    <row r="60" spans="1:43" s="232" customFormat="1" ht="15.75" thickBot="1" x14ac:dyDescent="0.3">
      <c r="A60" s="230"/>
      <c r="B60" s="231"/>
      <c r="D60" s="233"/>
      <c r="E60" s="231"/>
      <c r="F60" s="231"/>
      <c r="G60" s="231"/>
      <c r="H60" s="234"/>
      <c r="I60" s="234"/>
      <c r="J60" s="234"/>
      <c r="K60" s="254"/>
      <c r="L60" s="254"/>
      <c r="M60" s="254"/>
      <c r="N60" s="254"/>
      <c r="O60" s="254"/>
      <c r="P60" s="254"/>
      <c r="Q60" s="254"/>
      <c r="R60" s="256"/>
      <c r="S60" s="252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</row>
    <row r="61" spans="1:43" s="232" customFormat="1" ht="15.75" thickBot="1" x14ac:dyDescent="0.3">
      <c r="A61" s="230"/>
      <c r="B61" s="231"/>
      <c r="D61" s="233"/>
      <c r="E61" s="231"/>
      <c r="F61" s="231"/>
      <c r="G61" s="231"/>
      <c r="H61" s="234"/>
      <c r="I61" s="234"/>
      <c r="J61" s="234"/>
      <c r="K61" s="254"/>
      <c r="L61" s="254"/>
      <c r="M61" s="254"/>
      <c r="N61" s="254"/>
      <c r="O61" s="254"/>
      <c r="P61" s="254"/>
      <c r="Q61" s="254"/>
      <c r="R61" s="256"/>
      <c r="S61" s="252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</row>
    <row r="62" spans="1:43" s="232" customFormat="1" ht="28.9" customHeight="1" thickBot="1" x14ac:dyDescent="0.3">
      <c r="A62" s="230"/>
      <c r="B62" s="231"/>
      <c r="D62" s="233"/>
      <c r="E62" s="231"/>
      <c r="F62" s="231"/>
      <c r="G62" s="231"/>
      <c r="H62" s="234"/>
      <c r="I62" s="234"/>
      <c r="J62" s="234"/>
      <c r="K62" s="254"/>
      <c r="L62" s="254"/>
      <c r="M62" s="254"/>
      <c r="N62" s="254"/>
      <c r="O62" s="254"/>
      <c r="P62" s="254"/>
      <c r="Q62" s="254"/>
      <c r="R62" s="256"/>
      <c r="S62" s="252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</row>
    <row r="63" spans="1:43" s="232" customFormat="1" ht="15.75" thickBot="1" x14ac:dyDescent="0.3">
      <c r="A63" s="230"/>
      <c r="B63" s="231"/>
      <c r="C63" s="168"/>
      <c r="D63" s="233"/>
      <c r="E63" s="231"/>
      <c r="F63" s="231"/>
      <c r="G63" s="231"/>
      <c r="H63" s="234"/>
      <c r="I63" s="234"/>
      <c r="J63" s="234"/>
      <c r="K63" s="252"/>
      <c r="L63" s="252"/>
      <c r="M63" s="252"/>
      <c r="N63" s="252"/>
      <c r="O63" s="252"/>
      <c r="P63" s="252"/>
      <c r="Q63" s="252"/>
      <c r="R63" s="256"/>
      <c r="S63" s="254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</row>
    <row r="64" spans="1:43" s="232" customFormat="1" ht="15.75" thickBot="1" x14ac:dyDescent="0.3">
      <c r="A64" s="230"/>
      <c r="B64" s="231"/>
      <c r="C64" s="168"/>
      <c r="D64" s="233"/>
      <c r="E64" s="231"/>
      <c r="F64" s="231"/>
      <c r="G64" s="231"/>
      <c r="H64" s="234"/>
      <c r="I64" s="234"/>
      <c r="J64" s="234"/>
      <c r="K64" s="252"/>
      <c r="L64" s="252"/>
      <c r="M64" s="252"/>
      <c r="N64" s="252"/>
      <c r="O64" s="252"/>
      <c r="P64" s="252"/>
      <c r="Q64" s="252"/>
      <c r="R64" s="256"/>
      <c r="S64" s="254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</row>
    <row r="65" spans="1:43" s="237" customFormat="1" ht="15.75" thickBot="1" x14ac:dyDescent="0.3">
      <c r="A65" s="235"/>
      <c r="B65" s="236"/>
      <c r="C65" s="168"/>
      <c r="D65" s="236"/>
      <c r="E65" s="236"/>
      <c r="F65" s="236"/>
      <c r="G65" s="236"/>
      <c r="H65" s="236"/>
      <c r="I65" s="236"/>
      <c r="J65" s="236"/>
      <c r="K65" s="253"/>
      <c r="L65" s="253"/>
      <c r="M65" s="253"/>
      <c r="N65" s="253"/>
      <c r="O65" s="253"/>
      <c r="P65" s="253"/>
      <c r="Q65" s="253"/>
      <c r="R65" s="256"/>
      <c r="S65" s="255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</row>
    <row r="66" spans="1:43" s="240" customFormat="1" ht="43.15" customHeight="1" thickBot="1" x14ac:dyDescent="0.3">
      <c r="A66" s="238"/>
      <c r="B66" s="239"/>
      <c r="D66" s="241"/>
      <c r="E66" s="239"/>
      <c r="F66" s="239"/>
      <c r="G66" s="239"/>
      <c r="H66" s="242"/>
      <c r="I66" s="242"/>
      <c r="J66" s="242"/>
      <c r="K66" s="272"/>
      <c r="L66" s="272"/>
      <c r="M66" s="272"/>
      <c r="N66" s="272"/>
      <c r="O66" s="272"/>
      <c r="P66" s="272"/>
      <c r="Q66" s="272"/>
      <c r="R66" s="272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  <c r="AM66" s="273"/>
      <c r="AN66" s="273"/>
      <c r="AO66" s="273"/>
      <c r="AP66" s="273"/>
      <c r="AQ66" s="273"/>
    </row>
    <row r="67" spans="1:43" s="245" customFormat="1" ht="43.15" customHeight="1" thickBot="1" x14ac:dyDescent="0.3">
      <c r="A67" s="243"/>
      <c r="B67" s="244"/>
      <c r="C67" s="269"/>
      <c r="D67" s="246"/>
      <c r="E67" s="244"/>
      <c r="F67" s="244"/>
      <c r="G67" s="244"/>
      <c r="H67" s="247"/>
      <c r="I67" s="247"/>
      <c r="J67" s="247"/>
      <c r="K67" s="274"/>
      <c r="L67" s="274"/>
      <c r="M67" s="274"/>
      <c r="N67" s="274"/>
      <c r="O67" s="274"/>
      <c r="P67" s="274"/>
      <c r="Q67" s="274"/>
      <c r="R67" s="272"/>
      <c r="S67" s="275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3"/>
      <c r="AM67" s="273"/>
      <c r="AN67" s="273"/>
      <c r="AO67" s="273"/>
      <c r="AP67" s="273"/>
      <c r="AQ67" s="273"/>
    </row>
    <row r="68" spans="1:43" s="245" customFormat="1" ht="15.75" thickBot="1" x14ac:dyDescent="0.3">
      <c r="A68" s="243"/>
      <c r="B68" s="244"/>
      <c r="C68" s="269"/>
      <c r="D68" s="246"/>
      <c r="E68" s="244"/>
      <c r="F68" s="244"/>
      <c r="G68" s="244"/>
      <c r="H68" s="247"/>
      <c r="I68" s="247"/>
      <c r="J68" s="247"/>
      <c r="K68" s="274"/>
      <c r="L68" s="274"/>
      <c r="M68" s="274"/>
      <c r="N68" s="274"/>
      <c r="O68" s="274"/>
      <c r="P68" s="274"/>
      <c r="Q68" s="274"/>
      <c r="R68" s="272"/>
      <c r="S68" s="275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3"/>
      <c r="AM68" s="273"/>
      <c r="AN68" s="273"/>
      <c r="AO68" s="273"/>
      <c r="AP68" s="273"/>
      <c r="AQ68" s="273"/>
    </row>
    <row r="69" spans="1:43" s="245" customFormat="1" ht="15.75" thickBot="1" x14ac:dyDescent="0.3">
      <c r="A69" s="243"/>
      <c r="B69" s="244"/>
      <c r="C69" s="269"/>
      <c r="D69" s="246"/>
      <c r="E69" s="244"/>
      <c r="F69" s="244"/>
      <c r="G69" s="244"/>
      <c r="H69" s="247"/>
      <c r="I69" s="247"/>
      <c r="J69" s="247"/>
      <c r="K69" s="274"/>
      <c r="L69" s="274"/>
      <c r="M69" s="274"/>
      <c r="N69" s="274"/>
      <c r="O69" s="274"/>
      <c r="P69" s="274"/>
      <c r="Q69" s="274"/>
      <c r="R69" s="272"/>
      <c r="S69" s="275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</row>
    <row r="70" spans="1:43" s="245" customFormat="1" ht="15.75" thickBot="1" x14ac:dyDescent="0.3">
      <c r="A70" s="243"/>
      <c r="B70" s="244"/>
      <c r="C70" s="269"/>
      <c r="D70" s="246"/>
      <c r="E70" s="244"/>
      <c r="F70" s="244"/>
      <c r="G70" s="244"/>
      <c r="H70" s="247"/>
      <c r="I70" s="247"/>
      <c r="J70" s="247"/>
      <c r="K70" s="274"/>
      <c r="L70" s="274"/>
      <c r="M70" s="274"/>
      <c r="N70" s="274"/>
      <c r="O70" s="274"/>
      <c r="P70" s="274"/>
      <c r="Q70" s="274"/>
      <c r="R70" s="272"/>
      <c r="S70" s="275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</row>
    <row r="71" spans="1:43" s="245" customFormat="1" ht="15.75" thickBot="1" x14ac:dyDescent="0.3">
      <c r="A71" s="243"/>
      <c r="B71" s="244"/>
      <c r="C71" s="269"/>
      <c r="D71" s="246"/>
      <c r="E71" s="244"/>
      <c r="F71" s="244"/>
      <c r="G71" s="244"/>
      <c r="H71" s="247"/>
      <c r="I71" s="247"/>
      <c r="J71" s="247"/>
      <c r="K71" s="274"/>
      <c r="L71" s="274"/>
      <c r="M71" s="274"/>
      <c r="N71" s="274"/>
      <c r="O71" s="274"/>
      <c r="P71" s="274"/>
      <c r="Q71" s="274"/>
      <c r="R71" s="272"/>
      <c r="S71" s="275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3"/>
      <c r="AM71" s="273"/>
      <c r="AN71" s="273"/>
      <c r="AO71" s="273"/>
      <c r="AP71" s="273"/>
      <c r="AQ71" s="273"/>
    </row>
    <row r="72" spans="1:43" s="245" customFormat="1" ht="15.75" thickBot="1" x14ac:dyDescent="0.3">
      <c r="A72" s="243"/>
      <c r="B72" s="244"/>
      <c r="D72" s="246"/>
      <c r="E72" s="244"/>
      <c r="F72" s="244"/>
      <c r="G72" s="244"/>
      <c r="H72" s="247"/>
      <c r="I72" s="247"/>
      <c r="J72" s="247"/>
      <c r="K72" s="254"/>
      <c r="L72" s="254"/>
      <c r="M72" s="254"/>
      <c r="N72" s="254"/>
      <c r="O72" s="254"/>
      <c r="P72" s="254"/>
      <c r="Q72" s="254"/>
      <c r="R72" s="256"/>
      <c r="S72" s="252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</row>
    <row r="73" spans="1:43" s="245" customFormat="1" ht="15.75" thickBot="1" x14ac:dyDescent="0.3">
      <c r="A73" s="243"/>
      <c r="B73" s="244"/>
      <c r="D73" s="246"/>
      <c r="E73" s="244"/>
      <c r="F73" s="244"/>
      <c r="G73" s="244"/>
      <c r="H73" s="247"/>
      <c r="I73" s="247"/>
      <c r="J73" s="247"/>
      <c r="K73" s="254"/>
      <c r="L73" s="254"/>
      <c r="M73" s="254"/>
      <c r="N73" s="254"/>
      <c r="O73" s="254"/>
      <c r="P73" s="254"/>
      <c r="Q73" s="254"/>
      <c r="R73" s="256"/>
      <c r="S73" s="252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</row>
    <row r="74" spans="1:43" s="245" customFormat="1" ht="15.75" thickBot="1" x14ac:dyDescent="0.3">
      <c r="A74" s="243"/>
      <c r="B74" s="244"/>
      <c r="D74" s="246"/>
      <c r="E74" s="244"/>
      <c r="F74" s="244"/>
      <c r="G74" s="244"/>
      <c r="H74" s="247"/>
      <c r="I74" s="247"/>
      <c r="J74" s="247"/>
      <c r="K74" s="254"/>
      <c r="L74" s="254"/>
      <c r="M74" s="254"/>
      <c r="N74" s="254"/>
      <c r="O74" s="254"/>
      <c r="P74" s="254"/>
      <c r="Q74" s="254"/>
      <c r="R74" s="256"/>
      <c r="S74" s="252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</row>
    <row r="75" spans="1:43" s="245" customFormat="1" ht="15.75" thickBot="1" x14ac:dyDescent="0.3">
      <c r="A75" s="243"/>
      <c r="B75" s="244"/>
      <c r="D75" s="246"/>
      <c r="E75" s="244"/>
      <c r="F75" s="244"/>
      <c r="G75" s="244"/>
      <c r="H75" s="247"/>
      <c r="I75" s="247"/>
      <c r="J75" s="247"/>
      <c r="K75" s="254"/>
      <c r="L75" s="254"/>
      <c r="M75" s="254"/>
      <c r="N75" s="254"/>
      <c r="O75" s="254"/>
      <c r="P75" s="254"/>
      <c r="Q75" s="254"/>
      <c r="R75" s="256"/>
      <c r="S75" s="252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  <c r="AP75" s="251"/>
      <c r="AQ75" s="251"/>
    </row>
    <row r="76" spans="1:43" s="245" customFormat="1" ht="15.75" thickBot="1" x14ac:dyDescent="0.3">
      <c r="A76" s="243"/>
      <c r="B76" s="244"/>
      <c r="D76" s="246"/>
      <c r="E76" s="244"/>
      <c r="F76" s="244"/>
      <c r="G76" s="244"/>
      <c r="H76" s="247"/>
      <c r="I76" s="247"/>
      <c r="J76" s="247"/>
      <c r="K76" s="254"/>
      <c r="L76" s="254"/>
      <c r="M76" s="254"/>
      <c r="N76" s="254"/>
      <c r="O76" s="254"/>
      <c r="P76" s="254"/>
      <c r="Q76" s="254"/>
      <c r="R76" s="256"/>
      <c r="S76" s="252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</row>
    <row r="77" spans="1:43" s="245" customFormat="1" ht="15.75" thickBot="1" x14ac:dyDescent="0.3">
      <c r="A77" s="243"/>
      <c r="B77" s="244"/>
      <c r="D77" s="246"/>
      <c r="E77" s="244"/>
      <c r="F77" s="244"/>
      <c r="G77" s="244"/>
      <c r="H77" s="247"/>
      <c r="I77" s="247"/>
      <c r="J77" s="247"/>
      <c r="K77" s="254"/>
      <c r="L77" s="254"/>
      <c r="M77" s="254"/>
      <c r="N77" s="254"/>
      <c r="O77" s="254"/>
      <c r="P77" s="254"/>
      <c r="Q77" s="254"/>
      <c r="R77" s="256"/>
      <c r="S77" s="252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</row>
    <row r="78" spans="1:43" s="245" customFormat="1" ht="15.75" thickBot="1" x14ac:dyDescent="0.3">
      <c r="A78" s="243"/>
      <c r="B78" s="244"/>
      <c r="D78" s="246"/>
      <c r="E78" s="244"/>
      <c r="F78" s="244"/>
      <c r="G78" s="244"/>
      <c r="H78" s="247"/>
      <c r="I78" s="247"/>
      <c r="J78" s="247"/>
      <c r="K78" s="254"/>
      <c r="L78" s="254"/>
      <c r="M78" s="254"/>
      <c r="N78" s="254"/>
      <c r="O78" s="254"/>
      <c r="P78" s="254"/>
      <c r="Q78" s="254"/>
      <c r="R78" s="256"/>
      <c r="S78" s="252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  <c r="AP78" s="251"/>
      <c r="AQ78" s="251"/>
    </row>
    <row r="79" spans="1:43" s="245" customFormat="1" ht="15.75" thickBot="1" x14ac:dyDescent="0.3">
      <c r="A79" s="243"/>
      <c r="B79" s="244"/>
      <c r="D79" s="246"/>
      <c r="E79" s="244"/>
      <c r="F79" s="244"/>
      <c r="G79" s="244"/>
      <c r="H79" s="247"/>
      <c r="I79" s="247"/>
      <c r="J79" s="247"/>
      <c r="K79" s="254"/>
      <c r="L79" s="254"/>
      <c r="M79" s="254"/>
      <c r="N79" s="254"/>
      <c r="O79" s="254"/>
      <c r="P79" s="254"/>
      <c r="Q79" s="254"/>
      <c r="R79" s="256"/>
      <c r="S79" s="252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51"/>
      <c r="AP79" s="251"/>
      <c r="AQ79" s="251"/>
    </row>
    <row r="80" spans="1:43" s="245" customFormat="1" ht="15.75" thickBot="1" x14ac:dyDescent="0.3">
      <c r="A80" s="243"/>
      <c r="B80" s="244"/>
      <c r="D80" s="246"/>
      <c r="E80" s="244"/>
      <c r="F80" s="244"/>
      <c r="G80" s="244"/>
      <c r="H80" s="247"/>
      <c r="I80" s="247"/>
      <c r="J80" s="247"/>
      <c r="K80" s="254"/>
      <c r="L80" s="254"/>
      <c r="M80" s="254"/>
      <c r="N80" s="254"/>
      <c r="O80" s="254"/>
      <c r="P80" s="254"/>
      <c r="Q80" s="254"/>
      <c r="R80" s="256"/>
      <c r="S80" s="252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</row>
    <row r="81" spans="1:51" s="245" customFormat="1" ht="15.75" thickBot="1" x14ac:dyDescent="0.3">
      <c r="A81" s="243"/>
      <c r="B81" s="244"/>
      <c r="C81" s="168"/>
      <c r="D81" s="246"/>
      <c r="E81" s="244"/>
      <c r="F81" s="244"/>
      <c r="G81" s="244"/>
      <c r="H81" s="247"/>
      <c r="I81" s="247"/>
      <c r="J81" s="247"/>
      <c r="K81" s="252"/>
      <c r="L81" s="252"/>
      <c r="M81" s="252"/>
      <c r="N81" s="252"/>
      <c r="O81" s="252"/>
      <c r="P81" s="252"/>
      <c r="Q81" s="252"/>
      <c r="R81" s="256"/>
      <c r="S81" s="254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32"/>
      <c r="AS81" s="232"/>
      <c r="AT81" s="232"/>
      <c r="AU81" s="232"/>
      <c r="AV81" s="232"/>
      <c r="AW81" s="232"/>
      <c r="AX81" s="232"/>
      <c r="AY81" s="232"/>
    </row>
    <row r="82" spans="1:51" s="245" customFormat="1" ht="15.75" thickBot="1" x14ac:dyDescent="0.3">
      <c r="A82" s="243"/>
      <c r="B82" s="244"/>
      <c r="C82" s="168"/>
      <c r="D82" s="246"/>
      <c r="E82" s="244"/>
      <c r="F82" s="244"/>
      <c r="G82" s="244"/>
      <c r="H82" s="247"/>
      <c r="I82" s="247"/>
      <c r="J82" s="247"/>
      <c r="K82" s="252"/>
      <c r="L82" s="252"/>
      <c r="M82" s="252"/>
      <c r="N82" s="252"/>
      <c r="O82" s="252"/>
      <c r="P82" s="252"/>
      <c r="Q82" s="252"/>
      <c r="R82" s="256"/>
      <c r="S82" s="254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32"/>
      <c r="AS82" s="232"/>
      <c r="AT82" s="232"/>
      <c r="AU82" s="232"/>
      <c r="AV82" s="232"/>
      <c r="AW82" s="232"/>
      <c r="AX82" s="232"/>
      <c r="AY82" s="232"/>
    </row>
    <row r="83" spans="1:51" s="265" customFormat="1" ht="15.75" thickBot="1" x14ac:dyDescent="0.3">
      <c r="A83" s="263"/>
      <c r="B83" s="264"/>
      <c r="C83" s="168"/>
      <c r="D83" s="264"/>
      <c r="E83" s="264"/>
      <c r="F83" s="264"/>
      <c r="G83" s="264"/>
      <c r="H83" s="264"/>
      <c r="I83" s="264"/>
      <c r="J83" s="264"/>
      <c r="K83" s="253"/>
      <c r="L83" s="253"/>
      <c r="M83" s="253"/>
      <c r="N83" s="253"/>
      <c r="O83" s="253"/>
      <c r="P83" s="253"/>
      <c r="Q83" s="253"/>
      <c r="R83" s="256"/>
      <c r="S83" s="255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37"/>
      <c r="AS83" s="237"/>
      <c r="AT83" s="237"/>
      <c r="AU83" s="237"/>
      <c r="AV83" s="237"/>
      <c r="AW83" s="237"/>
      <c r="AX83" s="237"/>
      <c r="AY83" s="237"/>
    </row>
    <row r="84" spans="1:51" ht="26.45" customHeight="1" thickBot="1" x14ac:dyDescent="0.3">
      <c r="A84" s="176"/>
      <c r="B84" s="177"/>
      <c r="C84" s="177"/>
      <c r="D84" s="178"/>
      <c r="E84" s="177"/>
      <c r="F84" s="177"/>
      <c r="G84" s="179"/>
      <c r="H84" s="164"/>
      <c r="I84" s="165"/>
      <c r="J84" s="166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67"/>
    </row>
    <row r="85" spans="1:51" ht="15.75" thickBot="1" x14ac:dyDescent="0.3">
      <c r="A85" s="180"/>
      <c r="B85" s="181"/>
      <c r="C85" s="181"/>
      <c r="D85" s="182"/>
      <c r="E85" s="181"/>
      <c r="F85" s="181"/>
      <c r="G85" s="183"/>
      <c r="H85" s="184"/>
      <c r="I85" s="185"/>
      <c r="J85" s="186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8"/>
    </row>
    <row r="86" spans="1:51" x14ac:dyDescent="0.25">
      <c r="A86" s="171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70"/>
    </row>
    <row r="87" spans="1:51" x14ac:dyDescent="0.25">
      <c r="A87" s="172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4"/>
    </row>
    <row r="88" spans="1:51" x14ac:dyDescent="0.25">
      <c r="A88" s="172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4"/>
    </row>
    <row r="89" spans="1:51" x14ac:dyDescent="0.25">
      <c r="A89" s="172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4"/>
    </row>
    <row r="90" spans="1:51" x14ac:dyDescent="0.25">
      <c r="A90" s="172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4"/>
    </row>
    <row r="91" spans="1:51" x14ac:dyDescent="0.25">
      <c r="A91" s="172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4"/>
    </row>
    <row r="92" spans="1:51" x14ac:dyDescent="0.25">
      <c r="A92" s="172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  <c r="AQ92" s="174"/>
    </row>
    <row r="93" spans="1:51" ht="15.75" thickBot="1" x14ac:dyDescent="0.3">
      <c r="A93" s="175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63"/>
    </row>
    <row r="94" spans="1:51" x14ac:dyDescent="0.25">
      <c r="A94" s="172"/>
      <c r="B94" s="173"/>
      <c r="C94" s="173"/>
      <c r="D94" s="173"/>
      <c r="E94" s="173"/>
      <c r="F94" s="173"/>
      <c r="G94" s="169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  <c r="AQ94" s="174"/>
    </row>
    <row r="95" spans="1:51" x14ac:dyDescent="0.25">
      <c r="A95" s="172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4"/>
    </row>
    <row r="96" spans="1:51" x14ac:dyDescent="0.25">
      <c r="A96" s="172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4"/>
    </row>
    <row r="97" spans="1:43" x14ac:dyDescent="0.25">
      <c r="A97" s="172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4"/>
    </row>
    <row r="98" spans="1:43" x14ac:dyDescent="0.25">
      <c r="A98" s="172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4"/>
    </row>
    <row r="99" spans="1:43" x14ac:dyDescent="0.25">
      <c r="A99" s="172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4"/>
    </row>
    <row r="100" spans="1:43" x14ac:dyDescent="0.25">
      <c r="A100" s="172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4"/>
    </row>
    <row r="101" spans="1:43" ht="15.75" thickBot="1" x14ac:dyDescent="0.3">
      <c r="A101" s="172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4"/>
    </row>
    <row r="102" spans="1:43" x14ac:dyDescent="0.25">
      <c r="A102" s="69"/>
      <c r="B102" s="70"/>
      <c r="C102" s="70"/>
      <c r="D102" s="212"/>
      <c r="E102" s="70"/>
      <c r="F102" s="70"/>
      <c r="G102" s="70"/>
      <c r="H102" s="213"/>
      <c r="I102" s="213"/>
      <c r="J102" s="213"/>
      <c r="K102" s="20"/>
      <c r="L102" s="20"/>
      <c r="M102" s="20"/>
      <c r="N102" s="20"/>
      <c r="O102" s="20"/>
      <c r="P102" s="20"/>
      <c r="Q102" s="20"/>
      <c r="R102" s="20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5"/>
    </row>
    <row r="103" spans="1:43" x14ac:dyDescent="0.25">
      <c r="A103" s="7"/>
      <c r="B103" s="6"/>
      <c r="C103" s="6"/>
      <c r="D103" s="211"/>
      <c r="E103" s="6"/>
      <c r="F103" s="6"/>
      <c r="G103" s="6"/>
      <c r="H103" s="209"/>
      <c r="I103" s="209"/>
      <c r="J103" s="209"/>
      <c r="K103" s="97"/>
      <c r="L103" s="97"/>
      <c r="M103" s="97"/>
      <c r="N103" s="97"/>
      <c r="O103" s="97"/>
      <c r="P103" s="97"/>
      <c r="Q103" s="97"/>
      <c r="R103" s="97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0"/>
      <c r="AN103" s="210"/>
      <c r="AO103" s="210"/>
      <c r="AP103" s="210"/>
      <c r="AQ103" s="216"/>
    </row>
    <row r="104" spans="1:43" x14ac:dyDescent="0.25">
      <c r="A104" s="7"/>
      <c r="B104" s="6"/>
      <c r="C104" s="6"/>
      <c r="D104" s="211"/>
      <c r="E104" s="6"/>
      <c r="F104" s="6"/>
      <c r="G104" s="6"/>
      <c r="H104" s="209"/>
      <c r="I104" s="209"/>
      <c r="J104" s="209"/>
      <c r="K104" s="97"/>
      <c r="L104" s="97"/>
      <c r="M104" s="97"/>
      <c r="N104" s="97"/>
      <c r="O104" s="97"/>
      <c r="P104" s="97"/>
      <c r="Q104" s="97"/>
      <c r="R104" s="97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  <c r="AH104" s="210"/>
      <c r="AI104" s="210"/>
      <c r="AJ104" s="210"/>
      <c r="AK104" s="210"/>
      <c r="AL104" s="210"/>
      <c r="AM104" s="210"/>
      <c r="AN104" s="210"/>
      <c r="AO104" s="210"/>
      <c r="AP104" s="210"/>
      <c r="AQ104" s="216"/>
    </row>
    <row r="105" spans="1:43" x14ac:dyDescent="0.25">
      <c r="A105" s="7"/>
      <c r="B105" s="6"/>
      <c r="C105" s="6"/>
      <c r="D105" s="208"/>
      <c r="E105" s="6"/>
      <c r="F105" s="6"/>
      <c r="G105" s="6"/>
      <c r="H105" s="209"/>
      <c r="I105" s="209"/>
      <c r="J105" s="209"/>
      <c r="K105" s="97"/>
      <c r="L105" s="97"/>
      <c r="M105" s="97"/>
      <c r="N105" s="97"/>
      <c r="O105" s="97"/>
      <c r="P105" s="97"/>
      <c r="Q105" s="97"/>
      <c r="R105" s="97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  <c r="AH105" s="210"/>
      <c r="AI105" s="210"/>
      <c r="AJ105" s="210"/>
      <c r="AK105" s="210"/>
      <c r="AL105" s="210"/>
      <c r="AM105" s="210"/>
      <c r="AN105" s="210"/>
      <c r="AO105" s="210"/>
      <c r="AP105" s="210"/>
      <c r="AQ105" s="216"/>
    </row>
    <row r="106" spans="1:43" x14ac:dyDescent="0.25">
      <c r="A106" s="7"/>
      <c r="B106" s="6"/>
      <c r="C106" s="6"/>
      <c r="D106" s="208"/>
      <c r="E106" s="6"/>
      <c r="F106" s="6"/>
      <c r="G106" s="6"/>
      <c r="H106" s="209"/>
      <c r="I106" s="209"/>
      <c r="J106" s="209"/>
      <c r="K106" s="97"/>
      <c r="L106" s="97"/>
      <c r="M106" s="97"/>
      <c r="N106" s="97"/>
      <c r="O106" s="97"/>
      <c r="P106" s="97"/>
      <c r="Q106" s="97"/>
      <c r="R106" s="97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6"/>
    </row>
    <row r="107" spans="1:43" x14ac:dyDescent="0.25">
      <c r="A107" s="7"/>
      <c r="B107" s="6"/>
      <c r="C107" s="6"/>
      <c r="D107" s="208"/>
      <c r="E107" s="6"/>
      <c r="F107" s="6"/>
      <c r="G107" s="6"/>
      <c r="H107" s="209"/>
      <c r="I107" s="209"/>
      <c r="J107" s="209"/>
      <c r="K107" s="97"/>
      <c r="L107" s="97"/>
      <c r="M107" s="97"/>
      <c r="N107" s="97"/>
      <c r="O107" s="97"/>
      <c r="P107" s="97"/>
      <c r="Q107" s="97"/>
      <c r="R107" s="97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6"/>
    </row>
    <row r="108" spans="1:43" x14ac:dyDescent="0.25">
      <c r="A108" s="7"/>
      <c r="B108" s="6"/>
      <c r="C108" s="6"/>
      <c r="D108" s="208"/>
      <c r="E108" s="6"/>
      <c r="F108" s="6"/>
      <c r="G108" s="6"/>
      <c r="H108" s="209"/>
      <c r="I108" s="209"/>
      <c r="J108" s="209"/>
      <c r="K108" s="97"/>
      <c r="L108" s="97"/>
      <c r="M108" s="97"/>
      <c r="N108" s="97"/>
      <c r="O108" s="97"/>
      <c r="P108" s="97"/>
      <c r="Q108" s="97"/>
      <c r="R108" s="97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 s="210"/>
      <c r="AK108" s="210"/>
      <c r="AL108" s="210"/>
      <c r="AM108" s="210"/>
      <c r="AN108" s="210"/>
      <c r="AO108" s="210"/>
      <c r="AP108" s="210"/>
      <c r="AQ108" s="216"/>
    </row>
    <row r="109" spans="1:43" x14ac:dyDescent="0.25">
      <c r="A109" s="7"/>
      <c r="B109" s="6"/>
      <c r="C109" s="6"/>
      <c r="D109" s="208"/>
      <c r="E109" s="6"/>
      <c r="F109" s="6"/>
      <c r="G109" s="6"/>
      <c r="H109" s="209"/>
      <c r="I109" s="209"/>
      <c r="J109" s="209"/>
      <c r="K109" s="97"/>
      <c r="L109" s="97"/>
      <c r="M109" s="97"/>
      <c r="N109" s="97"/>
      <c r="O109" s="97"/>
      <c r="P109" s="97"/>
      <c r="Q109" s="97"/>
      <c r="R109" s="97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  <c r="AH109" s="210"/>
      <c r="AI109" s="210"/>
      <c r="AJ109" s="210"/>
      <c r="AK109" s="210"/>
      <c r="AL109" s="210"/>
      <c r="AM109" s="210"/>
      <c r="AN109" s="210"/>
      <c r="AO109" s="210"/>
      <c r="AP109" s="210"/>
      <c r="AQ109" s="216"/>
    </row>
    <row r="110" spans="1:43" x14ac:dyDescent="0.25">
      <c r="A110" s="7"/>
      <c r="B110" s="6"/>
      <c r="C110" s="6"/>
      <c r="D110" s="208"/>
      <c r="E110" s="6"/>
      <c r="F110" s="6"/>
      <c r="G110" s="6"/>
      <c r="H110" s="209"/>
      <c r="I110" s="209"/>
      <c r="J110" s="209"/>
      <c r="K110" s="97"/>
      <c r="L110" s="97"/>
      <c r="M110" s="97"/>
      <c r="N110" s="97"/>
      <c r="O110" s="97"/>
      <c r="P110" s="97"/>
      <c r="Q110" s="97"/>
      <c r="R110" s="97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 s="210"/>
      <c r="AK110" s="210"/>
      <c r="AL110" s="210"/>
      <c r="AM110" s="210"/>
      <c r="AN110" s="210"/>
      <c r="AO110" s="210"/>
      <c r="AP110" s="210"/>
      <c r="AQ110" s="216"/>
    </row>
    <row r="111" spans="1:43" x14ac:dyDescent="0.25">
      <c r="A111" s="7"/>
      <c r="B111" s="6"/>
      <c r="C111" s="6"/>
      <c r="D111" s="208"/>
      <c r="E111" s="6"/>
      <c r="F111" s="6"/>
      <c r="G111" s="6"/>
      <c r="H111" s="209"/>
      <c r="I111" s="209"/>
      <c r="J111" s="209"/>
      <c r="K111" s="97"/>
      <c r="L111" s="97"/>
      <c r="M111" s="97"/>
      <c r="N111" s="97"/>
      <c r="O111" s="97"/>
      <c r="P111" s="97"/>
      <c r="Q111" s="97"/>
      <c r="R111" s="97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0"/>
      <c r="AM111" s="210"/>
      <c r="AN111" s="210"/>
      <c r="AO111" s="210"/>
      <c r="AP111" s="210"/>
      <c r="AQ111" s="216"/>
    </row>
    <row r="112" spans="1:43" x14ac:dyDescent="0.25">
      <c r="A112" s="7"/>
      <c r="B112" s="6"/>
      <c r="C112" s="6"/>
      <c r="D112" s="208"/>
      <c r="E112" s="6"/>
      <c r="F112" s="6"/>
      <c r="G112" s="6"/>
      <c r="H112" s="209"/>
      <c r="I112" s="209"/>
      <c r="J112" s="209"/>
      <c r="K112" s="97"/>
      <c r="L112" s="97"/>
      <c r="M112" s="97"/>
      <c r="N112" s="97"/>
      <c r="O112" s="97"/>
      <c r="P112" s="97"/>
      <c r="Q112" s="97"/>
      <c r="R112" s="97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 s="210"/>
      <c r="AK112" s="210"/>
      <c r="AL112" s="210"/>
      <c r="AM112" s="210"/>
      <c r="AN112" s="210"/>
      <c r="AO112" s="210"/>
      <c r="AP112" s="210"/>
      <c r="AQ112" s="216"/>
    </row>
    <row r="113" spans="1:43" x14ac:dyDescent="0.25">
      <c r="A113" s="7"/>
      <c r="B113" s="6"/>
      <c r="C113" s="6"/>
      <c r="D113" s="208"/>
      <c r="E113" s="6"/>
      <c r="F113" s="6"/>
      <c r="G113" s="6"/>
      <c r="H113" s="209"/>
      <c r="I113" s="209"/>
      <c r="J113" s="209"/>
      <c r="K113" s="97"/>
      <c r="L113" s="97"/>
      <c r="M113" s="97"/>
      <c r="N113" s="97"/>
      <c r="O113" s="97"/>
      <c r="P113" s="97"/>
      <c r="Q113" s="97"/>
      <c r="R113" s="97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210"/>
      <c r="AJ113" s="210"/>
      <c r="AK113" s="210"/>
      <c r="AL113" s="210"/>
      <c r="AM113" s="210"/>
      <c r="AN113" s="210"/>
      <c r="AO113" s="210"/>
      <c r="AP113" s="210"/>
      <c r="AQ113" s="216"/>
    </row>
    <row r="114" spans="1:43" x14ac:dyDescent="0.25">
      <c r="A114" s="7"/>
      <c r="B114" s="6"/>
      <c r="C114" s="6"/>
      <c r="D114" s="208"/>
      <c r="E114" s="6"/>
      <c r="F114" s="6"/>
      <c r="G114" s="6"/>
      <c r="H114" s="209"/>
      <c r="I114" s="209"/>
      <c r="J114" s="209"/>
      <c r="K114" s="97"/>
      <c r="L114" s="97"/>
      <c r="M114" s="97"/>
      <c r="N114" s="97"/>
      <c r="O114" s="97"/>
      <c r="P114" s="97"/>
      <c r="Q114" s="97"/>
      <c r="R114" s="97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0"/>
      <c r="AI114" s="210"/>
      <c r="AJ114" s="210"/>
      <c r="AK114" s="210"/>
      <c r="AL114" s="210"/>
      <c r="AM114" s="210"/>
      <c r="AN114" s="210"/>
      <c r="AO114" s="210"/>
      <c r="AP114" s="210"/>
      <c r="AQ114" s="216"/>
    </row>
    <row r="115" spans="1:43" x14ac:dyDescent="0.25">
      <c r="A115" s="7"/>
      <c r="B115" s="6"/>
      <c r="C115" s="6"/>
      <c r="D115" s="208"/>
      <c r="E115" s="6"/>
      <c r="F115" s="6"/>
      <c r="G115" s="6"/>
      <c r="H115" s="209"/>
      <c r="I115" s="209"/>
      <c r="J115" s="209"/>
      <c r="K115" s="97"/>
      <c r="L115" s="97"/>
      <c r="M115" s="97"/>
      <c r="N115" s="97"/>
      <c r="O115" s="97"/>
      <c r="P115" s="97"/>
      <c r="Q115" s="97"/>
      <c r="R115" s="97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 s="210"/>
      <c r="AK115" s="210"/>
      <c r="AL115" s="210"/>
      <c r="AM115" s="210"/>
      <c r="AN115" s="210"/>
      <c r="AO115" s="210"/>
      <c r="AP115" s="210"/>
      <c r="AQ115" s="216"/>
    </row>
    <row r="116" spans="1:43" x14ac:dyDescent="0.25">
      <c r="A116" s="7"/>
      <c r="B116" s="6"/>
      <c r="C116" s="6"/>
      <c r="D116" s="208"/>
      <c r="E116" s="6"/>
      <c r="F116" s="6"/>
      <c r="G116" s="6"/>
      <c r="H116" s="209"/>
      <c r="I116" s="209"/>
      <c r="J116" s="209"/>
      <c r="K116" s="97"/>
      <c r="L116" s="97"/>
      <c r="M116" s="97"/>
      <c r="N116" s="97"/>
      <c r="O116" s="97"/>
      <c r="P116" s="97"/>
      <c r="Q116" s="97"/>
      <c r="R116" s="97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 s="210"/>
      <c r="AK116" s="210"/>
      <c r="AL116" s="210"/>
      <c r="AM116" s="210"/>
      <c r="AN116" s="210"/>
      <c r="AO116" s="210"/>
      <c r="AP116" s="210"/>
      <c r="AQ116" s="216"/>
    </row>
    <row r="117" spans="1:43" x14ac:dyDescent="0.25">
      <c r="A117" s="7"/>
      <c r="B117" s="6"/>
      <c r="C117" s="6"/>
      <c r="D117" s="208"/>
      <c r="E117" s="6"/>
      <c r="F117" s="6"/>
      <c r="G117" s="6"/>
      <c r="H117" s="209"/>
      <c r="I117" s="209"/>
      <c r="J117" s="209"/>
      <c r="K117" s="97"/>
      <c r="L117" s="97"/>
      <c r="M117" s="97"/>
      <c r="N117" s="97"/>
      <c r="O117" s="97"/>
      <c r="P117" s="97"/>
      <c r="Q117" s="97"/>
      <c r="R117" s="97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0"/>
      <c r="AJ117" s="210"/>
      <c r="AK117" s="210"/>
      <c r="AL117" s="210"/>
      <c r="AM117" s="210"/>
      <c r="AN117" s="210"/>
      <c r="AO117" s="210"/>
      <c r="AP117" s="210"/>
      <c r="AQ117" s="216"/>
    </row>
    <row r="118" spans="1:43" x14ac:dyDescent="0.25">
      <c r="A118" s="7"/>
      <c r="B118" s="6"/>
      <c r="C118" s="6"/>
      <c r="D118" s="208"/>
      <c r="E118" s="6"/>
      <c r="F118" s="6"/>
      <c r="G118" s="6"/>
      <c r="H118" s="209"/>
      <c r="I118" s="209"/>
      <c r="J118" s="209"/>
      <c r="K118" s="97"/>
      <c r="L118" s="97"/>
      <c r="M118" s="97"/>
      <c r="N118" s="97"/>
      <c r="O118" s="97"/>
      <c r="P118" s="97"/>
      <c r="Q118" s="97"/>
      <c r="R118" s="97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6"/>
    </row>
    <row r="119" spans="1:43" x14ac:dyDescent="0.25">
      <c r="A119" s="7"/>
      <c r="B119" s="6"/>
      <c r="C119" s="6"/>
      <c r="D119" s="211"/>
      <c r="E119" s="6"/>
      <c r="F119" s="6"/>
      <c r="G119" s="6"/>
      <c r="H119" s="209"/>
      <c r="I119" s="209"/>
      <c r="J119" s="209"/>
      <c r="K119" s="97"/>
      <c r="L119" s="97"/>
      <c r="M119" s="97"/>
      <c r="N119" s="97"/>
      <c r="O119" s="97"/>
      <c r="P119" s="97"/>
      <c r="Q119" s="97"/>
      <c r="R119" s="97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6"/>
    </row>
    <row r="120" spans="1:43" x14ac:dyDescent="0.25">
      <c r="A120" s="7"/>
      <c r="B120" s="6"/>
      <c r="C120" s="6"/>
      <c r="D120" s="208"/>
      <c r="E120" s="6"/>
      <c r="F120" s="6"/>
      <c r="G120" s="6"/>
      <c r="H120" s="209"/>
      <c r="I120" s="209"/>
      <c r="J120" s="209"/>
      <c r="K120" s="97"/>
      <c r="L120" s="97"/>
      <c r="M120" s="97"/>
      <c r="N120" s="97"/>
      <c r="O120" s="97"/>
      <c r="P120" s="97"/>
      <c r="Q120" s="97"/>
      <c r="R120" s="97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6"/>
    </row>
    <row r="121" spans="1:43" x14ac:dyDescent="0.25">
      <c r="A121" s="7"/>
      <c r="B121" s="6"/>
      <c r="C121" s="6"/>
      <c r="D121" s="208"/>
      <c r="E121" s="6"/>
      <c r="F121" s="6"/>
      <c r="G121" s="6"/>
      <c r="H121" s="209"/>
      <c r="I121" s="209"/>
      <c r="J121" s="209"/>
      <c r="K121" s="97"/>
      <c r="L121" s="97"/>
      <c r="M121" s="97"/>
      <c r="N121" s="97"/>
      <c r="O121" s="97"/>
      <c r="P121" s="97"/>
      <c r="Q121" s="97"/>
      <c r="R121" s="97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6"/>
    </row>
    <row r="122" spans="1:43" x14ac:dyDescent="0.25">
      <c r="A122" s="7"/>
      <c r="B122" s="6"/>
      <c r="C122" s="6"/>
      <c r="D122" s="208"/>
      <c r="E122" s="6"/>
      <c r="F122" s="6"/>
      <c r="G122" s="6"/>
      <c r="H122" s="209"/>
      <c r="I122" s="209"/>
      <c r="J122" s="209"/>
      <c r="K122" s="97"/>
      <c r="L122" s="97"/>
      <c r="M122" s="97"/>
      <c r="N122" s="97"/>
      <c r="O122" s="97"/>
      <c r="P122" s="97"/>
      <c r="Q122" s="97"/>
      <c r="R122" s="97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6"/>
    </row>
    <row r="123" spans="1:43" x14ac:dyDescent="0.25">
      <c r="A123" s="7"/>
      <c r="B123" s="6"/>
      <c r="C123" s="6"/>
      <c r="D123" s="208"/>
      <c r="E123" s="6"/>
      <c r="F123" s="6"/>
      <c r="G123" s="6"/>
      <c r="H123" s="209"/>
      <c r="I123" s="209"/>
      <c r="J123" s="209"/>
      <c r="K123" s="97"/>
      <c r="L123" s="97"/>
      <c r="M123" s="97"/>
      <c r="N123" s="97"/>
      <c r="O123" s="97"/>
      <c r="P123" s="97"/>
      <c r="Q123" s="97"/>
      <c r="R123" s="97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6"/>
    </row>
    <row r="124" spans="1:43" x14ac:dyDescent="0.25">
      <c r="A124" s="7"/>
      <c r="B124" s="6"/>
      <c r="C124" s="6"/>
      <c r="D124" s="208"/>
      <c r="E124" s="6"/>
      <c r="F124" s="6"/>
      <c r="G124" s="6"/>
      <c r="H124" s="209"/>
      <c r="I124" s="209"/>
      <c r="J124" s="209"/>
      <c r="K124" s="97"/>
      <c r="L124" s="97"/>
      <c r="M124" s="97"/>
      <c r="N124" s="97"/>
      <c r="O124" s="97"/>
      <c r="P124" s="97"/>
      <c r="Q124" s="97"/>
      <c r="R124" s="97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6"/>
    </row>
    <row r="125" spans="1:43" x14ac:dyDescent="0.25">
      <c r="A125" s="7"/>
      <c r="B125" s="6"/>
      <c r="C125" s="6"/>
      <c r="D125" s="208"/>
      <c r="E125" s="6"/>
      <c r="F125" s="6"/>
      <c r="G125" s="6"/>
      <c r="H125" s="209"/>
      <c r="I125" s="209"/>
      <c r="J125" s="209"/>
      <c r="K125" s="97"/>
      <c r="L125" s="97"/>
      <c r="M125" s="97"/>
      <c r="N125" s="97"/>
      <c r="O125" s="97"/>
      <c r="P125" s="97"/>
      <c r="Q125" s="97"/>
      <c r="R125" s="97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6"/>
    </row>
    <row r="126" spans="1:43" ht="15.75" thickBot="1" x14ac:dyDescent="0.3">
      <c r="A126" s="8"/>
      <c r="B126" s="9"/>
      <c r="C126" s="9"/>
      <c r="D126" s="217"/>
      <c r="E126" s="9"/>
      <c r="F126" s="9"/>
      <c r="G126" s="9"/>
      <c r="H126" s="218"/>
      <c r="I126" s="218"/>
      <c r="J126" s="218"/>
      <c r="K126" s="5"/>
      <c r="L126" s="5"/>
      <c r="M126" s="5"/>
      <c r="N126" s="5"/>
      <c r="O126" s="5"/>
      <c r="P126" s="5"/>
      <c r="Q126" s="5"/>
      <c r="R126" s="5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  <c r="AP126" s="219"/>
      <c r="AQ126" s="220"/>
    </row>
    <row r="127" spans="1:43" x14ac:dyDescent="0.25">
      <c r="A127" s="21"/>
      <c r="B127" s="22"/>
      <c r="C127" s="22"/>
      <c r="D127" s="221"/>
      <c r="E127" s="22"/>
      <c r="F127" s="22"/>
      <c r="G127" s="22"/>
      <c r="H127" s="207"/>
      <c r="I127" s="207"/>
      <c r="J127" s="207"/>
      <c r="K127" s="222"/>
      <c r="L127" s="222"/>
      <c r="M127" s="222"/>
      <c r="N127" s="222"/>
      <c r="O127" s="222"/>
      <c r="P127" s="222"/>
      <c r="Q127" s="222"/>
      <c r="R127" s="222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  <c r="AG127" s="223"/>
      <c r="AH127" s="223"/>
      <c r="AI127" s="223"/>
      <c r="AJ127" s="223"/>
      <c r="AK127" s="223"/>
      <c r="AL127" s="223"/>
      <c r="AM127" s="223"/>
      <c r="AN127" s="223"/>
      <c r="AO127" s="223"/>
      <c r="AP127" s="223"/>
      <c r="AQ127" s="224"/>
    </row>
    <row r="128" spans="1:43" x14ac:dyDescent="0.25">
      <c r="A128" s="7"/>
      <c r="B128" s="6"/>
      <c r="C128" s="6"/>
      <c r="D128" s="211"/>
      <c r="E128" s="6"/>
      <c r="F128" s="6"/>
      <c r="G128" s="6"/>
      <c r="H128" s="209"/>
      <c r="I128" s="209"/>
      <c r="J128" s="209"/>
      <c r="K128" s="97"/>
      <c r="L128" s="97"/>
      <c r="M128" s="97"/>
      <c r="N128" s="97"/>
      <c r="O128" s="97"/>
      <c r="P128" s="97"/>
      <c r="Q128" s="97"/>
      <c r="R128" s="97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210"/>
      <c r="AJ128" s="210"/>
      <c r="AK128" s="210"/>
      <c r="AL128" s="210"/>
      <c r="AM128" s="210"/>
      <c r="AN128" s="210"/>
      <c r="AO128" s="210"/>
      <c r="AP128" s="210"/>
      <c r="AQ128" s="216"/>
    </row>
    <row r="129" spans="1:43" x14ac:dyDescent="0.25">
      <c r="A129" s="7"/>
      <c r="B129" s="6"/>
      <c r="C129" s="6"/>
      <c r="D129" s="211"/>
      <c r="E129" s="6"/>
      <c r="F129" s="6"/>
      <c r="G129" s="6"/>
      <c r="H129" s="209"/>
      <c r="I129" s="209"/>
      <c r="J129" s="209"/>
      <c r="K129" s="97"/>
      <c r="L129" s="97"/>
      <c r="M129" s="97"/>
      <c r="N129" s="97"/>
      <c r="O129" s="97"/>
      <c r="P129" s="97"/>
      <c r="Q129" s="97"/>
      <c r="R129" s="97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210"/>
      <c r="AJ129" s="210"/>
      <c r="AK129" s="210"/>
      <c r="AL129" s="210"/>
      <c r="AM129" s="210"/>
      <c r="AN129" s="210"/>
      <c r="AO129" s="210"/>
      <c r="AP129" s="210"/>
      <c r="AQ129" s="216"/>
    </row>
    <row r="130" spans="1:43" x14ac:dyDescent="0.25">
      <c r="A130" s="7"/>
      <c r="B130" s="6"/>
      <c r="C130" s="6"/>
      <c r="D130" s="208"/>
      <c r="E130" s="6"/>
      <c r="F130" s="6"/>
      <c r="G130" s="6"/>
      <c r="H130" s="209"/>
      <c r="I130" s="209"/>
      <c r="J130" s="209"/>
      <c r="K130" s="97"/>
      <c r="L130" s="97"/>
      <c r="M130" s="97"/>
      <c r="N130" s="97"/>
      <c r="O130" s="97"/>
      <c r="P130" s="97"/>
      <c r="Q130" s="97"/>
      <c r="R130" s="97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  <c r="AI130" s="210"/>
      <c r="AJ130" s="210"/>
      <c r="AK130" s="210"/>
      <c r="AL130" s="210"/>
      <c r="AM130" s="210"/>
      <c r="AN130" s="210"/>
      <c r="AO130" s="210"/>
      <c r="AP130" s="210"/>
      <c r="AQ130" s="216"/>
    </row>
    <row r="131" spans="1:43" x14ac:dyDescent="0.25">
      <c r="A131" s="7"/>
      <c r="B131" s="6"/>
      <c r="C131" s="6"/>
      <c r="D131" s="208"/>
      <c r="E131" s="6"/>
      <c r="F131" s="6"/>
      <c r="G131" s="6"/>
      <c r="H131" s="209"/>
      <c r="I131" s="209"/>
      <c r="J131" s="209"/>
      <c r="K131" s="97"/>
      <c r="L131" s="97"/>
      <c r="M131" s="97"/>
      <c r="N131" s="97"/>
      <c r="O131" s="97"/>
      <c r="P131" s="97"/>
      <c r="Q131" s="97"/>
      <c r="R131" s="97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0"/>
      <c r="AJ131" s="210"/>
      <c r="AK131" s="210"/>
      <c r="AL131" s="210"/>
      <c r="AM131" s="210"/>
      <c r="AN131" s="210"/>
      <c r="AO131" s="210"/>
      <c r="AP131" s="210"/>
      <c r="AQ131" s="216"/>
    </row>
    <row r="132" spans="1:43" x14ac:dyDescent="0.25">
      <c r="A132" s="7"/>
      <c r="B132" s="6"/>
      <c r="C132" s="6"/>
      <c r="D132" s="208"/>
      <c r="E132" s="6"/>
      <c r="F132" s="6"/>
      <c r="G132" s="6"/>
      <c r="H132" s="209"/>
      <c r="I132" s="209"/>
      <c r="J132" s="209"/>
      <c r="K132" s="97"/>
      <c r="L132" s="97"/>
      <c r="M132" s="97"/>
      <c r="N132" s="97"/>
      <c r="O132" s="97"/>
      <c r="P132" s="97"/>
      <c r="Q132" s="97"/>
      <c r="R132" s="97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0"/>
      <c r="AJ132" s="210"/>
      <c r="AK132" s="210"/>
      <c r="AL132" s="210"/>
      <c r="AM132" s="210"/>
      <c r="AN132" s="210"/>
      <c r="AO132" s="210"/>
      <c r="AP132" s="210"/>
      <c r="AQ132" s="216"/>
    </row>
    <row r="133" spans="1:43" x14ac:dyDescent="0.25">
      <c r="A133" s="7"/>
      <c r="B133" s="6"/>
      <c r="C133" s="6"/>
      <c r="D133" s="208"/>
      <c r="E133" s="6"/>
      <c r="F133" s="6"/>
      <c r="G133" s="6"/>
      <c r="H133" s="209"/>
      <c r="I133" s="209"/>
      <c r="J133" s="209"/>
      <c r="K133" s="97"/>
      <c r="L133" s="97"/>
      <c r="M133" s="97"/>
      <c r="N133" s="97"/>
      <c r="O133" s="97"/>
      <c r="P133" s="97"/>
      <c r="Q133" s="97"/>
      <c r="R133" s="97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  <c r="AI133" s="210"/>
      <c r="AJ133" s="210"/>
      <c r="AK133" s="210"/>
      <c r="AL133" s="210"/>
      <c r="AM133" s="210"/>
      <c r="AN133" s="210"/>
      <c r="AO133" s="210"/>
      <c r="AP133" s="210"/>
      <c r="AQ133" s="216"/>
    </row>
    <row r="134" spans="1:43" x14ac:dyDescent="0.25">
      <c r="A134" s="7"/>
      <c r="B134" s="6"/>
      <c r="C134" s="6"/>
      <c r="D134" s="208"/>
      <c r="E134" s="6"/>
      <c r="F134" s="6"/>
      <c r="G134" s="6"/>
      <c r="H134" s="209"/>
      <c r="I134" s="209"/>
      <c r="J134" s="209"/>
      <c r="K134" s="97"/>
      <c r="L134" s="97"/>
      <c r="M134" s="97"/>
      <c r="N134" s="97"/>
      <c r="O134" s="97"/>
      <c r="P134" s="97"/>
      <c r="Q134" s="97"/>
      <c r="R134" s="97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  <c r="AI134" s="210"/>
      <c r="AJ134" s="210"/>
      <c r="AK134" s="210"/>
      <c r="AL134" s="210"/>
      <c r="AM134" s="210"/>
      <c r="AN134" s="210"/>
      <c r="AO134" s="210"/>
      <c r="AP134" s="210"/>
      <c r="AQ134" s="216"/>
    </row>
    <row r="135" spans="1:43" x14ac:dyDescent="0.25">
      <c r="A135" s="7"/>
      <c r="B135" s="6"/>
      <c r="C135" s="6"/>
      <c r="D135" s="208"/>
      <c r="E135" s="6"/>
      <c r="F135" s="6"/>
      <c r="G135" s="6"/>
      <c r="H135" s="209"/>
      <c r="I135" s="209"/>
      <c r="J135" s="209"/>
      <c r="K135" s="97"/>
      <c r="L135" s="97"/>
      <c r="M135" s="97"/>
      <c r="N135" s="97"/>
      <c r="O135" s="97"/>
      <c r="P135" s="97"/>
      <c r="Q135" s="97"/>
      <c r="R135" s="97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  <c r="AI135" s="210"/>
      <c r="AJ135" s="210"/>
      <c r="AK135" s="210"/>
      <c r="AL135" s="210"/>
      <c r="AM135" s="210"/>
      <c r="AN135" s="210"/>
      <c r="AO135" s="210"/>
      <c r="AP135" s="210"/>
      <c r="AQ135" s="216"/>
    </row>
    <row r="136" spans="1:43" x14ac:dyDescent="0.25">
      <c r="A136" s="7"/>
      <c r="B136" s="6"/>
      <c r="C136" s="6"/>
      <c r="D136" s="208"/>
      <c r="E136" s="6"/>
      <c r="F136" s="6"/>
      <c r="G136" s="6"/>
      <c r="H136" s="209"/>
      <c r="I136" s="209"/>
      <c r="J136" s="209"/>
      <c r="K136" s="97"/>
      <c r="L136" s="97"/>
      <c r="M136" s="97"/>
      <c r="N136" s="97"/>
      <c r="O136" s="97"/>
      <c r="P136" s="97"/>
      <c r="Q136" s="97"/>
      <c r="R136" s="97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 s="210"/>
      <c r="AK136" s="210"/>
      <c r="AL136" s="210"/>
      <c r="AM136" s="210"/>
      <c r="AN136" s="210"/>
      <c r="AO136" s="210"/>
      <c r="AP136" s="210"/>
      <c r="AQ136" s="216"/>
    </row>
    <row r="137" spans="1:43" x14ac:dyDescent="0.25">
      <c r="A137" s="7"/>
      <c r="B137" s="6"/>
      <c r="C137" s="6"/>
      <c r="D137" s="208"/>
      <c r="E137" s="6"/>
      <c r="F137" s="6"/>
      <c r="G137" s="6"/>
      <c r="H137" s="209"/>
      <c r="I137" s="209"/>
      <c r="J137" s="209"/>
      <c r="K137" s="97"/>
      <c r="L137" s="97"/>
      <c r="M137" s="97"/>
      <c r="N137" s="97"/>
      <c r="O137" s="97"/>
      <c r="P137" s="97"/>
      <c r="Q137" s="97"/>
      <c r="R137" s="97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  <c r="AI137" s="210"/>
      <c r="AJ137" s="210"/>
      <c r="AK137" s="210"/>
      <c r="AL137" s="210"/>
      <c r="AM137" s="210"/>
      <c r="AN137" s="210"/>
      <c r="AO137" s="210"/>
      <c r="AP137" s="210"/>
      <c r="AQ137" s="216"/>
    </row>
    <row r="138" spans="1:43" x14ac:dyDescent="0.25">
      <c r="A138" s="7"/>
      <c r="B138" s="6"/>
      <c r="C138" s="6"/>
      <c r="D138" s="208"/>
      <c r="E138" s="6"/>
      <c r="F138" s="6"/>
      <c r="G138" s="6"/>
      <c r="H138" s="209"/>
      <c r="I138" s="209"/>
      <c r="J138" s="209"/>
      <c r="K138" s="97"/>
      <c r="L138" s="97"/>
      <c r="M138" s="97"/>
      <c r="N138" s="97"/>
      <c r="O138" s="97"/>
      <c r="P138" s="97"/>
      <c r="Q138" s="97"/>
      <c r="R138" s="97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10"/>
      <c r="AJ138" s="210"/>
      <c r="AK138" s="210"/>
      <c r="AL138" s="210"/>
      <c r="AM138" s="210"/>
      <c r="AN138" s="210"/>
      <c r="AO138" s="210"/>
      <c r="AP138" s="210"/>
      <c r="AQ138" s="216"/>
    </row>
    <row r="139" spans="1:43" x14ac:dyDescent="0.25">
      <c r="A139" s="7"/>
      <c r="B139" s="6"/>
      <c r="C139" s="6"/>
      <c r="D139" s="208"/>
      <c r="E139" s="6"/>
      <c r="F139" s="6"/>
      <c r="G139" s="6"/>
      <c r="H139" s="209"/>
      <c r="I139" s="209"/>
      <c r="J139" s="209"/>
      <c r="K139" s="97"/>
      <c r="L139" s="97"/>
      <c r="M139" s="97"/>
      <c r="N139" s="97"/>
      <c r="O139" s="97"/>
      <c r="P139" s="97"/>
      <c r="Q139" s="97"/>
      <c r="R139" s="97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  <c r="AI139" s="210"/>
      <c r="AJ139" s="210"/>
      <c r="AK139" s="210"/>
      <c r="AL139" s="210"/>
      <c r="AM139" s="210"/>
      <c r="AN139" s="210"/>
      <c r="AO139" s="210"/>
      <c r="AP139" s="210"/>
      <c r="AQ139" s="216"/>
    </row>
    <row r="140" spans="1:43" x14ac:dyDescent="0.25">
      <c r="A140" s="7"/>
      <c r="B140" s="6"/>
      <c r="C140" s="6"/>
      <c r="D140" s="208"/>
      <c r="E140" s="6"/>
      <c r="F140" s="6"/>
      <c r="G140" s="6"/>
      <c r="H140" s="209"/>
      <c r="I140" s="209"/>
      <c r="J140" s="209"/>
      <c r="K140" s="97"/>
      <c r="L140" s="97"/>
      <c r="M140" s="97"/>
      <c r="N140" s="97"/>
      <c r="O140" s="97"/>
      <c r="P140" s="97"/>
      <c r="Q140" s="97"/>
      <c r="R140" s="97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  <c r="AI140" s="210"/>
      <c r="AJ140" s="210"/>
      <c r="AK140" s="210"/>
      <c r="AL140" s="210"/>
      <c r="AM140" s="210"/>
      <c r="AN140" s="210"/>
      <c r="AO140" s="210"/>
      <c r="AP140" s="210"/>
      <c r="AQ140" s="216"/>
    </row>
    <row r="141" spans="1:43" x14ac:dyDescent="0.25">
      <c r="A141" s="7"/>
      <c r="B141" s="6"/>
      <c r="C141" s="6"/>
      <c r="D141" s="208"/>
      <c r="E141" s="6"/>
      <c r="F141" s="6"/>
      <c r="G141" s="6"/>
      <c r="H141" s="209"/>
      <c r="I141" s="209"/>
      <c r="J141" s="209"/>
      <c r="K141" s="97"/>
      <c r="L141" s="97"/>
      <c r="M141" s="97"/>
      <c r="N141" s="97"/>
      <c r="O141" s="97"/>
      <c r="P141" s="97"/>
      <c r="Q141" s="97"/>
      <c r="R141" s="97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0"/>
      <c r="AJ141" s="210"/>
      <c r="AK141" s="210"/>
      <c r="AL141" s="210"/>
      <c r="AM141" s="210"/>
      <c r="AN141" s="210"/>
      <c r="AO141" s="210"/>
      <c r="AP141" s="210"/>
      <c r="AQ141" s="216"/>
    </row>
    <row r="142" spans="1:43" x14ac:dyDescent="0.25">
      <c r="A142" s="7"/>
      <c r="B142" s="6"/>
      <c r="C142" s="6"/>
      <c r="D142" s="208"/>
      <c r="E142" s="6"/>
      <c r="F142" s="6"/>
      <c r="G142" s="6"/>
      <c r="H142" s="209"/>
      <c r="I142" s="209"/>
      <c r="J142" s="209"/>
      <c r="K142" s="97"/>
      <c r="L142" s="97"/>
      <c r="M142" s="97"/>
      <c r="N142" s="97"/>
      <c r="O142" s="97"/>
      <c r="P142" s="97"/>
      <c r="Q142" s="97"/>
      <c r="R142" s="97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  <c r="AI142" s="210"/>
      <c r="AJ142" s="210"/>
      <c r="AK142" s="210"/>
      <c r="AL142" s="210"/>
      <c r="AM142" s="210"/>
      <c r="AN142" s="210"/>
      <c r="AO142" s="210"/>
      <c r="AP142" s="210"/>
      <c r="AQ142" s="216"/>
    </row>
    <row r="143" spans="1:43" x14ac:dyDescent="0.25">
      <c r="A143" s="7"/>
      <c r="B143" s="6"/>
      <c r="C143" s="6"/>
      <c r="D143" s="208"/>
      <c r="E143" s="6"/>
      <c r="F143" s="6"/>
      <c r="G143" s="6"/>
      <c r="H143" s="209"/>
      <c r="I143" s="209"/>
      <c r="J143" s="209"/>
      <c r="K143" s="97"/>
      <c r="L143" s="97"/>
      <c r="M143" s="97"/>
      <c r="N143" s="97"/>
      <c r="O143" s="97"/>
      <c r="P143" s="97"/>
      <c r="Q143" s="97"/>
      <c r="R143" s="97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  <c r="AI143" s="210"/>
      <c r="AJ143" s="210"/>
      <c r="AK143" s="210"/>
      <c r="AL143" s="210"/>
      <c r="AM143" s="210"/>
      <c r="AN143" s="210"/>
      <c r="AO143" s="210"/>
      <c r="AP143" s="210"/>
      <c r="AQ143" s="216"/>
    </row>
    <row r="144" spans="1:43" x14ac:dyDescent="0.25">
      <c r="A144" s="7"/>
      <c r="B144" s="6"/>
      <c r="C144" s="6"/>
      <c r="D144" s="211"/>
      <c r="E144" s="6"/>
      <c r="F144" s="6"/>
      <c r="G144" s="6"/>
      <c r="H144" s="209"/>
      <c r="I144" s="209"/>
      <c r="J144" s="209"/>
      <c r="K144" s="97"/>
      <c r="L144" s="97"/>
      <c r="M144" s="97"/>
      <c r="N144" s="97"/>
      <c r="O144" s="97"/>
      <c r="P144" s="97"/>
      <c r="Q144" s="97"/>
      <c r="R144" s="97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  <c r="AI144" s="210"/>
      <c r="AJ144" s="210"/>
      <c r="AK144" s="210"/>
      <c r="AL144" s="210"/>
      <c r="AM144" s="210"/>
      <c r="AN144" s="210"/>
      <c r="AO144" s="210"/>
      <c r="AP144" s="210"/>
      <c r="AQ144" s="216"/>
    </row>
    <row r="145" spans="1:43" x14ac:dyDescent="0.25">
      <c r="A145" s="7"/>
      <c r="B145" s="6"/>
      <c r="C145" s="6"/>
      <c r="D145" s="208"/>
      <c r="E145" s="6"/>
      <c r="F145" s="6"/>
      <c r="G145" s="6"/>
      <c r="H145" s="209"/>
      <c r="I145" s="209"/>
      <c r="J145" s="209"/>
      <c r="K145" s="97"/>
      <c r="L145" s="97"/>
      <c r="M145" s="97"/>
      <c r="N145" s="97"/>
      <c r="O145" s="97"/>
      <c r="P145" s="97"/>
      <c r="Q145" s="97"/>
      <c r="R145" s="97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0"/>
      <c r="AJ145" s="210"/>
      <c r="AK145" s="210"/>
      <c r="AL145" s="210"/>
      <c r="AM145" s="210"/>
      <c r="AN145" s="210"/>
      <c r="AO145" s="210"/>
      <c r="AP145" s="210"/>
      <c r="AQ145" s="216"/>
    </row>
    <row r="146" spans="1:43" x14ac:dyDescent="0.25">
      <c r="A146" s="7"/>
      <c r="B146" s="6"/>
      <c r="C146" s="6"/>
      <c r="D146" s="208"/>
      <c r="E146" s="6"/>
      <c r="F146" s="6"/>
      <c r="G146" s="6"/>
      <c r="H146" s="209"/>
      <c r="I146" s="209"/>
      <c r="J146" s="209"/>
      <c r="K146" s="97"/>
      <c r="L146" s="97"/>
      <c r="M146" s="97"/>
      <c r="N146" s="97"/>
      <c r="O146" s="97"/>
      <c r="P146" s="97"/>
      <c r="Q146" s="97"/>
      <c r="R146" s="97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0"/>
      <c r="AJ146" s="210"/>
      <c r="AK146" s="210"/>
      <c r="AL146" s="210"/>
      <c r="AM146" s="210"/>
      <c r="AN146" s="210"/>
      <c r="AO146" s="210"/>
      <c r="AP146" s="210"/>
      <c r="AQ146" s="216"/>
    </row>
    <row r="147" spans="1:43" x14ac:dyDescent="0.25">
      <c r="A147" s="7"/>
      <c r="B147" s="6"/>
      <c r="C147" s="6"/>
      <c r="D147" s="208"/>
      <c r="E147" s="6"/>
      <c r="F147" s="6"/>
      <c r="G147" s="6"/>
      <c r="H147" s="209"/>
      <c r="I147" s="209"/>
      <c r="J147" s="209"/>
      <c r="K147" s="97"/>
      <c r="L147" s="97"/>
      <c r="M147" s="97"/>
      <c r="N147" s="97"/>
      <c r="O147" s="97"/>
      <c r="P147" s="97"/>
      <c r="Q147" s="97"/>
      <c r="R147" s="97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 s="210"/>
      <c r="AK147" s="210"/>
      <c r="AL147" s="210"/>
      <c r="AM147" s="210"/>
      <c r="AN147" s="210"/>
      <c r="AO147" s="210"/>
      <c r="AP147" s="210"/>
      <c r="AQ147" s="216"/>
    </row>
    <row r="148" spans="1:43" x14ac:dyDescent="0.25">
      <c r="A148" s="7"/>
      <c r="B148" s="6"/>
      <c r="C148" s="6"/>
      <c r="D148" s="208"/>
      <c r="E148" s="6"/>
      <c r="F148" s="6"/>
      <c r="G148" s="6"/>
      <c r="H148" s="209"/>
      <c r="I148" s="209"/>
      <c r="J148" s="209"/>
      <c r="K148" s="97"/>
      <c r="L148" s="97"/>
      <c r="M148" s="97"/>
      <c r="N148" s="97"/>
      <c r="O148" s="97"/>
      <c r="P148" s="97"/>
      <c r="Q148" s="97"/>
      <c r="R148" s="97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  <c r="AI148" s="210"/>
      <c r="AJ148" s="210"/>
      <c r="AK148" s="210"/>
      <c r="AL148" s="210"/>
      <c r="AM148" s="210"/>
      <c r="AN148" s="210"/>
      <c r="AO148" s="210"/>
      <c r="AP148" s="210"/>
      <c r="AQ148" s="216"/>
    </row>
    <row r="149" spans="1:43" x14ac:dyDescent="0.25">
      <c r="A149" s="7"/>
      <c r="B149" s="6"/>
      <c r="C149" s="6"/>
      <c r="D149" s="208"/>
      <c r="E149" s="6"/>
      <c r="F149" s="6"/>
      <c r="G149" s="6"/>
      <c r="H149" s="209"/>
      <c r="I149" s="209"/>
      <c r="J149" s="209"/>
      <c r="K149" s="97"/>
      <c r="L149" s="97"/>
      <c r="M149" s="97"/>
      <c r="N149" s="97"/>
      <c r="O149" s="97"/>
      <c r="P149" s="97"/>
      <c r="Q149" s="97"/>
      <c r="R149" s="97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  <c r="AI149" s="210"/>
      <c r="AJ149" s="210"/>
      <c r="AK149" s="210"/>
      <c r="AL149" s="210"/>
      <c r="AM149" s="210"/>
      <c r="AN149" s="210"/>
      <c r="AO149" s="210"/>
      <c r="AP149" s="210"/>
      <c r="AQ149" s="216"/>
    </row>
    <row r="150" spans="1:43" x14ac:dyDescent="0.25">
      <c r="A150" s="7"/>
      <c r="B150" s="6"/>
      <c r="C150" s="6"/>
      <c r="D150" s="208"/>
      <c r="E150" s="6"/>
      <c r="F150" s="6"/>
      <c r="G150" s="6"/>
      <c r="H150" s="209"/>
      <c r="I150" s="209"/>
      <c r="J150" s="209"/>
      <c r="K150" s="97"/>
      <c r="L150" s="97"/>
      <c r="M150" s="97"/>
      <c r="N150" s="97"/>
      <c r="O150" s="97"/>
      <c r="P150" s="97"/>
      <c r="Q150" s="97"/>
      <c r="R150" s="97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  <c r="AI150" s="210"/>
      <c r="AJ150" s="210"/>
      <c r="AK150" s="210"/>
      <c r="AL150" s="210"/>
      <c r="AM150" s="210"/>
      <c r="AN150" s="210"/>
      <c r="AO150" s="210"/>
      <c r="AP150" s="210"/>
      <c r="AQ150" s="216"/>
    </row>
    <row r="151" spans="1:43" ht="15.75" thickBot="1" x14ac:dyDescent="0.3">
      <c r="A151" s="8"/>
      <c r="B151" s="9"/>
      <c r="C151" s="9"/>
      <c r="D151" s="217"/>
      <c r="E151" s="9"/>
      <c r="F151" s="9"/>
      <c r="G151" s="9"/>
      <c r="H151" s="218"/>
      <c r="I151" s="218"/>
      <c r="J151" s="218"/>
      <c r="K151" s="5"/>
      <c r="L151" s="5"/>
      <c r="M151" s="5"/>
      <c r="N151" s="5"/>
      <c r="O151" s="5"/>
      <c r="P151" s="5"/>
      <c r="Q151" s="5"/>
      <c r="R151" s="5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  <c r="AP151" s="219"/>
      <c r="AQ151" s="220"/>
    </row>
    <row r="156" spans="1:43" x14ac:dyDescent="0.25"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  <c r="AO156" s="271"/>
      <c r="AP156" s="271"/>
      <c r="AQ156" s="271"/>
    </row>
    <row r="157" spans="1:43" x14ac:dyDescent="0.25"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  <c r="AO157" s="271"/>
      <c r="AP157" s="271"/>
      <c r="AQ157" s="271"/>
    </row>
    <row r="158" spans="1:43" x14ac:dyDescent="0.25"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  <c r="AO158" s="271"/>
      <c r="AP158" s="271"/>
      <c r="AQ158" s="271"/>
    </row>
    <row r="159" spans="1:43" x14ac:dyDescent="0.25"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  <c r="AO159" s="271"/>
      <c r="AP159" s="271"/>
      <c r="AQ159" s="271"/>
    </row>
    <row r="160" spans="1:43" x14ac:dyDescent="0.25"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</row>
    <row r="163" spans="11:43" x14ac:dyDescent="0.25"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  <c r="AO163" s="271"/>
      <c r="AP163" s="271"/>
      <c r="AQ163" s="271"/>
    </row>
    <row r="164" spans="11:43" x14ac:dyDescent="0.25"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  <c r="AB164" s="271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1"/>
      <c r="AN164" s="271"/>
      <c r="AO164" s="271"/>
      <c r="AP164" s="271"/>
      <c r="AQ164" s="271"/>
    </row>
    <row r="165" spans="11:43" x14ac:dyDescent="0.25"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  <c r="AB165" s="271"/>
      <c r="AC165" s="271"/>
      <c r="AD165" s="271"/>
      <c r="AE165" s="271"/>
      <c r="AF165" s="271"/>
      <c r="AG165" s="271"/>
      <c r="AH165" s="271"/>
      <c r="AI165" s="271"/>
      <c r="AJ165" s="271"/>
      <c r="AK165" s="271"/>
      <c r="AL165" s="271"/>
      <c r="AM165" s="271"/>
      <c r="AN165" s="271"/>
      <c r="AO165" s="271"/>
      <c r="AP165" s="271"/>
      <c r="AQ165" s="271"/>
    </row>
    <row r="166" spans="11:43" x14ac:dyDescent="0.25"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  <c r="AB166" s="271"/>
      <c r="AC166" s="271"/>
      <c r="AD166" s="271"/>
      <c r="AE166" s="271"/>
      <c r="AF166" s="271"/>
      <c r="AG166" s="271"/>
      <c r="AH166" s="271"/>
      <c r="AI166" s="271"/>
      <c r="AJ166" s="271"/>
      <c r="AK166" s="271"/>
      <c r="AL166" s="271"/>
      <c r="AM166" s="271"/>
      <c r="AN166" s="271"/>
      <c r="AO166" s="271"/>
      <c r="AP166" s="271"/>
      <c r="AQ166" s="271"/>
    </row>
    <row r="167" spans="11:43" x14ac:dyDescent="0.25"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1"/>
      <c r="AN167" s="271"/>
      <c r="AO167" s="271"/>
      <c r="AP167" s="271"/>
      <c r="AQ167" s="271"/>
    </row>
    <row r="170" spans="11:43" x14ac:dyDescent="0.25"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1"/>
      <c r="AL170" s="271"/>
      <c r="AM170" s="271"/>
      <c r="AN170" s="271"/>
      <c r="AO170" s="271"/>
      <c r="AP170" s="271"/>
      <c r="AQ170" s="271"/>
    </row>
    <row r="171" spans="11:43" x14ac:dyDescent="0.25"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271"/>
    </row>
    <row r="172" spans="11:43" x14ac:dyDescent="0.25"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1"/>
      <c r="AL172" s="271"/>
      <c r="AM172" s="271"/>
      <c r="AN172" s="271"/>
      <c r="AO172" s="271"/>
      <c r="AP172" s="271"/>
      <c r="AQ172" s="271"/>
    </row>
    <row r="173" spans="11:43" x14ac:dyDescent="0.25"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1"/>
      <c r="AL173" s="271"/>
      <c r="AM173" s="271"/>
      <c r="AN173" s="271"/>
      <c r="AO173" s="271"/>
      <c r="AP173" s="271"/>
      <c r="AQ173" s="271"/>
    </row>
    <row r="174" spans="11:43" x14ac:dyDescent="0.25"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1"/>
      <c r="AL174" s="271"/>
      <c r="AM174" s="271"/>
      <c r="AN174" s="271"/>
      <c r="AO174" s="271"/>
      <c r="AP174" s="271"/>
      <c r="AQ174" s="271"/>
    </row>
    <row r="177" spans="11:43" x14ac:dyDescent="0.25"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1"/>
      <c r="AL177" s="271"/>
      <c r="AM177" s="271"/>
      <c r="AN177" s="271"/>
      <c r="AO177" s="271"/>
      <c r="AP177" s="271"/>
      <c r="AQ177" s="271"/>
    </row>
    <row r="178" spans="11:43" x14ac:dyDescent="0.25"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1"/>
      <c r="AL178" s="271"/>
      <c r="AM178" s="271"/>
      <c r="AN178" s="271"/>
      <c r="AO178" s="271"/>
      <c r="AP178" s="271"/>
      <c r="AQ178" s="271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B66-763C-4E95-8DA9-9B3DCD1B37A1}">
  <dimension ref="A1:AS25"/>
  <sheetViews>
    <sheetView topLeftCell="O1" workbookViewId="0">
      <selection activeCell="AB16" sqref="AB16"/>
    </sheetView>
  </sheetViews>
  <sheetFormatPr defaultColWidth="11.42578125" defaultRowHeight="15" x14ac:dyDescent="0.25"/>
  <cols>
    <col min="1" max="1" width="17.7109375" customWidth="1"/>
    <col min="45" max="45" width="19.28515625" customWidth="1"/>
  </cols>
  <sheetData>
    <row r="1" spans="1:43" s="240" customFormat="1" ht="43.15" customHeight="1" thickBot="1" x14ac:dyDescent="0.3">
      <c r="A1" s="238" t="s">
        <v>6</v>
      </c>
      <c r="B1" s="227" t="s">
        <v>162</v>
      </c>
      <c r="C1" s="256">
        <v>0.25362299999999999</v>
      </c>
      <c r="D1" s="256">
        <v>0.25843100000000002</v>
      </c>
      <c r="E1" s="256">
        <v>0.26203700000000002</v>
      </c>
      <c r="F1" s="256">
        <v>0.26384000000000002</v>
      </c>
      <c r="G1" s="256">
        <v>0.276461190168175</v>
      </c>
      <c r="H1" s="256">
        <v>0.276461190168175</v>
      </c>
      <c r="I1" s="256">
        <v>0.276461190168175</v>
      </c>
      <c r="J1" s="256">
        <v>0.276461190168175</v>
      </c>
      <c r="K1" s="256">
        <v>0.277961190168175</v>
      </c>
      <c r="L1" s="256">
        <v>0.279461190168175</v>
      </c>
      <c r="M1" s="256">
        <v>0.280961190168175</v>
      </c>
      <c r="N1" s="256">
        <v>0.282461190168175</v>
      </c>
      <c r="O1" s="256">
        <v>0.283961190168175</v>
      </c>
      <c r="P1" s="256">
        <v>0.28546119016817501</v>
      </c>
      <c r="Q1" s="256">
        <v>0.28696119016817501</v>
      </c>
      <c r="R1" s="256">
        <v>0.28846119016817501</v>
      </c>
      <c r="S1" s="256">
        <v>0.28996119016817501</v>
      </c>
      <c r="T1" s="256">
        <v>0.29146119016817501</v>
      </c>
      <c r="U1" s="256">
        <v>0.29296119016817501</v>
      </c>
      <c r="V1" s="256">
        <v>0.29446119016817501</v>
      </c>
      <c r="W1" s="256">
        <v>0.29596119016817501</v>
      </c>
      <c r="X1" s="256">
        <v>0.29746119016817502</v>
      </c>
      <c r="Y1" s="256">
        <v>0.29896119016817502</v>
      </c>
      <c r="Z1" s="256">
        <v>0.30046119016817502</v>
      </c>
      <c r="AA1" s="256">
        <v>0.30196119016817502</v>
      </c>
      <c r="AB1" s="256">
        <v>0.30346119016817502</v>
      </c>
      <c r="AC1" s="256">
        <v>0.30496119016817502</v>
      </c>
      <c r="AD1" s="256">
        <v>0.30646119016817502</v>
      </c>
      <c r="AE1" s="256">
        <v>0.30796119016817503</v>
      </c>
      <c r="AF1" s="256">
        <v>0.30946119016817503</v>
      </c>
      <c r="AG1" s="256">
        <v>0.31096119016817503</v>
      </c>
      <c r="AH1" s="256">
        <v>0.31246119016817503</v>
      </c>
      <c r="AI1" s="256">
        <v>0.31396119016817503</v>
      </c>
    </row>
    <row r="2" spans="1:43" s="245" customFormat="1" ht="43.15" customHeight="1" thickBot="1" x14ac:dyDescent="0.3">
      <c r="A2" s="243" t="s">
        <v>6</v>
      </c>
      <c r="B2" s="270" t="s">
        <v>159</v>
      </c>
      <c r="C2" s="254">
        <v>1.814427</v>
      </c>
      <c r="D2" s="254">
        <v>1.8060130000000001</v>
      </c>
      <c r="E2" s="254">
        <v>1.794594</v>
      </c>
      <c r="F2" s="254">
        <v>1.786781</v>
      </c>
      <c r="G2" s="254">
        <v>1.7837756791721164</v>
      </c>
      <c r="H2" s="254">
        <v>1.7837756791721164</v>
      </c>
      <c r="I2" s="254">
        <v>1.7837756791721164</v>
      </c>
      <c r="J2" s="256">
        <v>1.7837756791721164</v>
      </c>
      <c r="K2" s="254">
        <v>1.7816756791721164</v>
      </c>
      <c r="L2" s="254">
        <v>1.7795756791721165</v>
      </c>
      <c r="M2" s="254">
        <v>1.7774756791721165</v>
      </c>
      <c r="N2" s="254">
        <v>1.7753756791721165</v>
      </c>
      <c r="O2" s="254">
        <v>1.7732756791721165</v>
      </c>
      <c r="P2" s="254">
        <v>1.7711756791721165</v>
      </c>
      <c r="Q2" s="254">
        <v>1.7690756791721165</v>
      </c>
      <c r="R2" s="254">
        <v>1.7669756791721165</v>
      </c>
      <c r="S2" s="254">
        <v>1.7648756791721165</v>
      </c>
      <c r="T2" s="254">
        <v>1.7627756791721165</v>
      </c>
      <c r="U2" s="254">
        <v>1.7606756791721165</v>
      </c>
      <c r="V2" s="254">
        <v>1.7585756791721165</v>
      </c>
      <c r="W2" s="254">
        <v>1.7564756791721166</v>
      </c>
      <c r="X2" s="254">
        <v>1.7543756791721166</v>
      </c>
      <c r="Y2" s="254">
        <v>1.7522756791721166</v>
      </c>
      <c r="Z2" s="254">
        <v>1.7501756791721166</v>
      </c>
      <c r="AA2" s="254">
        <v>1.7480756791721166</v>
      </c>
      <c r="AB2" s="254">
        <v>1.7459756791721166</v>
      </c>
      <c r="AC2" s="254">
        <v>1.7438756791721166</v>
      </c>
      <c r="AD2" s="254">
        <v>1.7417756791721166</v>
      </c>
      <c r="AE2" s="254">
        <v>1.7396756791721166</v>
      </c>
      <c r="AF2" s="254">
        <v>1.7375756791721166</v>
      </c>
      <c r="AG2" s="254">
        <v>1.7354756791721166</v>
      </c>
      <c r="AH2" s="254">
        <v>1.7333756791721167</v>
      </c>
      <c r="AI2" s="254">
        <v>1.7312756791721167</v>
      </c>
    </row>
    <row r="3" spans="1:43" s="245" customFormat="1" ht="15.75" thickBot="1" x14ac:dyDescent="0.3">
      <c r="A3" s="243" t="s">
        <v>6</v>
      </c>
      <c r="B3" s="270" t="s">
        <v>157</v>
      </c>
      <c r="C3" s="254">
        <v>2.7916569999999998</v>
      </c>
      <c r="D3" s="254">
        <v>2.7525919999999999</v>
      </c>
      <c r="E3" s="254">
        <v>2.6906889999999999</v>
      </c>
      <c r="F3" s="254">
        <v>2.6432090000000001</v>
      </c>
      <c r="G3" s="254">
        <v>2.6011391979302325</v>
      </c>
      <c r="H3" s="254">
        <v>2.6011391979302325</v>
      </c>
      <c r="I3" s="254">
        <v>2.6011391979302325</v>
      </c>
      <c r="J3" s="256">
        <v>2.6011391979302325</v>
      </c>
      <c r="K3" s="254">
        <v>2.5898391979302327</v>
      </c>
      <c r="L3" s="254">
        <v>2.5785391979302328</v>
      </c>
      <c r="M3" s="254">
        <v>2.5672391979302329</v>
      </c>
      <c r="N3" s="254">
        <v>2.5559391979302331</v>
      </c>
      <c r="O3" s="254">
        <v>2.5446391979302332</v>
      </c>
      <c r="P3" s="254">
        <v>2.5333391979302333</v>
      </c>
      <c r="Q3" s="254">
        <v>2.5220391979302335</v>
      </c>
      <c r="R3" s="254">
        <v>2.5107391979302336</v>
      </c>
      <c r="S3" s="254">
        <v>2.4994391979302337</v>
      </c>
      <c r="T3" s="254">
        <v>2.4881391979302339</v>
      </c>
      <c r="U3" s="254">
        <v>2.476839197930234</v>
      </c>
      <c r="V3" s="254">
        <v>2.4655391979302341</v>
      </c>
      <c r="W3" s="254">
        <v>2.4542391979302343</v>
      </c>
      <c r="X3" s="254">
        <v>2.4429391979302344</v>
      </c>
      <c r="Y3" s="254">
        <v>2.4316391979302345</v>
      </c>
      <c r="Z3" s="254">
        <v>2.4203391979302347</v>
      </c>
      <c r="AA3" s="254">
        <v>2.4090391979302348</v>
      </c>
      <c r="AB3" s="254">
        <v>2.3977391979302349</v>
      </c>
      <c r="AC3" s="254">
        <v>2.3864391979302351</v>
      </c>
      <c r="AD3" s="254">
        <v>2.3751391979302352</v>
      </c>
      <c r="AE3" s="254">
        <v>2.3638391979302353</v>
      </c>
      <c r="AF3" s="254">
        <v>2.3525391979302355</v>
      </c>
      <c r="AG3" s="254">
        <v>2.3412391979302356</v>
      </c>
      <c r="AH3" s="254">
        <v>2.3299391979302357</v>
      </c>
      <c r="AI3" s="254">
        <v>2.3186391979302359</v>
      </c>
    </row>
    <row r="4" spans="1:43" s="245" customFormat="1" ht="15.75" thickBot="1" x14ac:dyDescent="0.3">
      <c r="A4" s="243" t="s">
        <v>6</v>
      </c>
      <c r="B4" s="270" t="s">
        <v>168</v>
      </c>
      <c r="C4" s="254">
        <v>1.009684</v>
      </c>
      <c r="D4" s="254">
        <v>1.0066790000000001</v>
      </c>
      <c r="E4" s="254">
        <v>1.0012700000000001</v>
      </c>
      <c r="F4" s="254">
        <v>1.001871</v>
      </c>
      <c r="G4" s="254">
        <v>0.99526028460546079</v>
      </c>
      <c r="H4" s="254">
        <v>0.99526028460546079</v>
      </c>
      <c r="I4" s="254">
        <v>0.99526028460546079</v>
      </c>
      <c r="J4" s="256">
        <v>0.99526028460546079</v>
      </c>
      <c r="K4" s="254">
        <v>0.99466028460546074</v>
      </c>
      <c r="L4" s="254">
        <v>0.9940602846054607</v>
      </c>
      <c r="M4" s="254">
        <v>0.99346028460546065</v>
      </c>
      <c r="N4" s="254">
        <v>0.99286028460546061</v>
      </c>
      <c r="O4" s="254">
        <v>0.99226028460546056</v>
      </c>
      <c r="P4" s="254">
        <v>0.99166028460546052</v>
      </c>
      <c r="Q4" s="254">
        <v>0.99106028460546047</v>
      </c>
      <c r="R4" s="254">
        <v>0.99046028460546043</v>
      </c>
      <c r="S4" s="254">
        <v>0.98986028460546038</v>
      </c>
      <c r="T4" s="254">
        <v>0.98926028460546034</v>
      </c>
      <c r="U4" s="254">
        <v>0.98866028460546029</v>
      </c>
      <c r="V4" s="254">
        <v>0.98806028460546025</v>
      </c>
      <c r="W4" s="254">
        <v>0.9874602846054602</v>
      </c>
      <c r="X4" s="254">
        <v>0.98686028460546016</v>
      </c>
      <c r="Y4" s="254">
        <v>0.98626028460546011</v>
      </c>
      <c r="Z4" s="254">
        <v>0.98566028460546007</v>
      </c>
      <c r="AA4" s="254">
        <v>0.98506028460546002</v>
      </c>
      <c r="AB4" s="254">
        <v>0.98446028460545998</v>
      </c>
      <c r="AC4" s="254">
        <v>0.98386028460545993</v>
      </c>
      <c r="AD4" s="254">
        <v>0.98326028460545989</v>
      </c>
      <c r="AE4" s="254">
        <v>0.98266028460545984</v>
      </c>
      <c r="AF4" s="254">
        <v>0.9820602846054598</v>
      </c>
      <c r="AG4" s="254">
        <v>0.98146028460545975</v>
      </c>
      <c r="AH4" s="254">
        <v>0.98086028460545971</v>
      </c>
      <c r="AI4" s="254">
        <v>0.98026028460545966</v>
      </c>
    </row>
    <row r="5" spans="1:43" s="245" customFormat="1" ht="15.75" thickBot="1" x14ac:dyDescent="0.3">
      <c r="A5" s="243" t="s">
        <v>6</v>
      </c>
      <c r="B5" s="270" t="s">
        <v>160</v>
      </c>
      <c r="C5" s="254">
        <v>5.9499000000000003E-2</v>
      </c>
      <c r="D5" s="254">
        <v>5.9499000000000003E-2</v>
      </c>
      <c r="E5" s="254">
        <v>5.9499000000000003E-2</v>
      </c>
      <c r="F5" s="254">
        <v>5.9499000000000003E-2</v>
      </c>
      <c r="G5" s="254">
        <v>6.0100258732212232E-2</v>
      </c>
      <c r="H5" s="254">
        <v>6.0100258732212232E-2</v>
      </c>
      <c r="I5" s="254">
        <v>6.0100258732212232E-2</v>
      </c>
      <c r="J5" s="256">
        <v>6.0100258732212232E-2</v>
      </c>
      <c r="K5" s="254">
        <v>6.0100258732212232E-2</v>
      </c>
      <c r="L5" s="254">
        <v>6.0100258732212232E-2</v>
      </c>
      <c r="M5" s="254">
        <v>6.0100258732212232E-2</v>
      </c>
      <c r="N5" s="254">
        <v>6.0100258732212232E-2</v>
      </c>
      <c r="O5" s="254">
        <v>6.0100258732212232E-2</v>
      </c>
      <c r="P5" s="254">
        <v>6.0100258732212232E-2</v>
      </c>
      <c r="Q5" s="254">
        <v>6.0100258732212232E-2</v>
      </c>
      <c r="R5" s="254">
        <v>6.0100258732212232E-2</v>
      </c>
      <c r="S5" s="254">
        <v>6.0100258732212232E-2</v>
      </c>
      <c r="T5" s="254">
        <v>6.0100258732212232E-2</v>
      </c>
      <c r="U5" s="254">
        <v>6.0100258732212232E-2</v>
      </c>
      <c r="V5" s="254">
        <v>6.0100258732212232E-2</v>
      </c>
      <c r="W5" s="254">
        <v>6.0100258732212232E-2</v>
      </c>
      <c r="X5" s="254">
        <v>6.0100258732212232E-2</v>
      </c>
      <c r="Y5" s="254">
        <v>6.0100258732212232E-2</v>
      </c>
      <c r="Z5" s="254">
        <v>6.0100258732212232E-2</v>
      </c>
      <c r="AA5" s="254">
        <v>6.0100258732212232E-2</v>
      </c>
      <c r="AB5" s="254">
        <v>6.0100258732212232E-2</v>
      </c>
      <c r="AC5" s="254">
        <v>6.0100258732212232E-2</v>
      </c>
      <c r="AD5" s="254">
        <v>6.0100258732212232E-2</v>
      </c>
      <c r="AE5" s="254">
        <v>6.0100258732212232E-2</v>
      </c>
      <c r="AF5" s="254">
        <v>6.0100258732212232E-2</v>
      </c>
      <c r="AG5" s="254">
        <v>6.0100258732212232E-2</v>
      </c>
      <c r="AH5" s="254">
        <v>6.0100258732212232E-2</v>
      </c>
      <c r="AI5" s="254">
        <v>6.0100258732212232E-2</v>
      </c>
    </row>
    <row r="6" spans="1:43" s="245" customFormat="1" x14ac:dyDescent="0.25">
      <c r="A6" s="243" t="s">
        <v>6</v>
      </c>
      <c r="B6" s="270" t="s">
        <v>169</v>
      </c>
      <c r="C6" s="254">
        <v>0.52407400000000004</v>
      </c>
      <c r="D6" s="254">
        <v>0.522872</v>
      </c>
      <c r="E6" s="254">
        <v>0.52166999999999997</v>
      </c>
      <c r="F6" s="254">
        <v>0.51986699999999997</v>
      </c>
      <c r="G6" s="254">
        <v>0.52106924320828829</v>
      </c>
      <c r="H6" s="254">
        <v>0.52106924320828829</v>
      </c>
      <c r="I6" s="254">
        <v>0.52106924320828829</v>
      </c>
      <c r="J6" s="256">
        <v>0.52106924320828829</v>
      </c>
      <c r="K6" s="254">
        <v>0.52076924320828832</v>
      </c>
      <c r="L6" s="254">
        <v>0.52046924320828836</v>
      </c>
      <c r="M6" s="254">
        <v>0.52016924320828839</v>
      </c>
      <c r="N6" s="254">
        <v>0.51986924320828842</v>
      </c>
      <c r="O6" s="254">
        <v>0.51956924320828846</v>
      </c>
      <c r="P6" s="254">
        <v>0.51926924320828849</v>
      </c>
      <c r="Q6" s="254">
        <v>0.51896924320828852</v>
      </c>
      <c r="R6" s="254">
        <v>0.51866924320828856</v>
      </c>
      <c r="S6" s="254">
        <v>0.51836924320828859</v>
      </c>
      <c r="T6" s="254">
        <v>0.51806924320828862</v>
      </c>
      <c r="U6" s="254">
        <v>0.51776924320828865</v>
      </c>
      <c r="V6" s="254">
        <v>0.51746924320828869</v>
      </c>
      <c r="W6" s="254">
        <v>0.51716924320828872</v>
      </c>
      <c r="X6" s="254">
        <v>0.51686924320828875</v>
      </c>
      <c r="Y6" s="254">
        <v>0.51656924320828879</v>
      </c>
      <c r="Z6" s="254">
        <v>0.51626924320828882</v>
      </c>
      <c r="AA6" s="254">
        <v>0.51596924320828885</v>
      </c>
      <c r="AB6" s="254">
        <v>0.51566924320828889</v>
      </c>
      <c r="AC6" s="254">
        <v>0.51536924320828892</v>
      </c>
      <c r="AD6" s="254">
        <v>0.51506924320828895</v>
      </c>
      <c r="AE6" s="254">
        <v>0.51476924320828898</v>
      </c>
      <c r="AF6" s="254">
        <v>0.51446924320828902</v>
      </c>
      <c r="AG6" s="254">
        <v>0.51416924320828905</v>
      </c>
      <c r="AH6" s="254">
        <v>0.51386924320828908</v>
      </c>
      <c r="AI6" s="254">
        <v>0.51356924320828912</v>
      </c>
    </row>
    <row r="7" spans="1:43" ht="15.75" thickBot="1" x14ac:dyDescent="0.3"/>
    <row r="8" spans="1:43" s="227" customFormat="1" ht="43.15" customHeight="1" thickBot="1" x14ac:dyDescent="0.3">
      <c r="A8" s="225"/>
      <c r="C8" s="272"/>
      <c r="D8" s="272"/>
      <c r="E8" s="272"/>
      <c r="F8" s="272"/>
      <c r="G8" s="272"/>
      <c r="H8" s="272"/>
      <c r="I8" s="272"/>
      <c r="J8" s="272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</row>
    <row r="9" spans="1:43" s="232" customFormat="1" ht="43.15" customHeight="1" thickBot="1" x14ac:dyDescent="0.3">
      <c r="A9" s="230"/>
      <c r="B9" s="270"/>
      <c r="C9" s="274"/>
      <c r="D9" s="274"/>
      <c r="E9" s="274"/>
      <c r="F9" s="274"/>
      <c r="G9" s="274"/>
      <c r="H9" s="274"/>
      <c r="I9" s="274"/>
      <c r="J9" s="272"/>
      <c r="K9" s="27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</row>
    <row r="10" spans="1:43" s="232" customFormat="1" ht="15.75" thickBot="1" x14ac:dyDescent="0.3">
      <c r="A10" s="230"/>
      <c r="B10" s="270"/>
      <c r="C10" s="274"/>
      <c r="D10" s="274"/>
      <c r="E10" s="274"/>
      <c r="F10" s="274"/>
      <c r="G10" s="274"/>
      <c r="H10" s="274"/>
      <c r="I10" s="274"/>
      <c r="J10" s="272"/>
      <c r="K10" s="275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</row>
    <row r="11" spans="1:43" s="232" customFormat="1" ht="15.75" thickBot="1" x14ac:dyDescent="0.3">
      <c r="A11" s="230"/>
      <c r="B11" s="270"/>
      <c r="C11" s="274"/>
      <c r="D11" s="274"/>
      <c r="E11" s="274"/>
      <c r="F11" s="274"/>
      <c r="G11" s="274"/>
      <c r="H11" s="274"/>
      <c r="I11" s="274"/>
      <c r="J11" s="272"/>
      <c r="K11" s="275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</row>
    <row r="12" spans="1:43" s="232" customFormat="1" ht="15.75" thickBot="1" x14ac:dyDescent="0.3">
      <c r="A12" s="230"/>
      <c r="B12" s="270"/>
      <c r="C12" s="274"/>
      <c r="D12" s="274"/>
      <c r="E12" s="274"/>
      <c r="F12" s="274"/>
      <c r="G12" s="274"/>
      <c r="H12" s="274"/>
      <c r="I12" s="274"/>
      <c r="J12" s="272"/>
      <c r="K12" s="275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</row>
    <row r="13" spans="1:43" s="232" customFormat="1" x14ac:dyDescent="0.25">
      <c r="A13" s="230"/>
      <c r="B13" s="270"/>
      <c r="C13" s="274"/>
      <c r="D13" s="274"/>
      <c r="E13" s="274"/>
      <c r="F13" s="274"/>
      <c r="G13" s="274"/>
      <c r="H13" s="274"/>
      <c r="I13" s="274"/>
      <c r="J13" s="272"/>
      <c r="K13" s="275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</row>
    <row r="14" spans="1:43" ht="15.75" thickBot="1" x14ac:dyDescent="0.3"/>
    <row r="15" spans="1:43" s="232" customFormat="1" ht="15.75" thickBot="1" x14ac:dyDescent="0.3">
      <c r="A15" s="230"/>
      <c r="B15" s="231"/>
      <c r="D15" s="233"/>
      <c r="E15" s="231"/>
      <c r="F15" s="231"/>
      <c r="G15" s="231"/>
      <c r="H15" s="234"/>
      <c r="I15" s="234"/>
      <c r="J15" s="234"/>
      <c r="K15" s="254"/>
      <c r="L15" s="254"/>
      <c r="M15" s="254"/>
      <c r="N15" s="254"/>
      <c r="O15" s="254"/>
      <c r="P15" s="254"/>
      <c r="Q15" s="254"/>
      <c r="R15" s="256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</row>
    <row r="16" spans="1:43" s="232" customFormat="1" x14ac:dyDescent="0.25">
      <c r="A16" s="230"/>
      <c r="B16" s="231"/>
      <c r="D16" s="233"/>
      <c r="E16" s="231"/>
      <c r="F16" s="231"/>
      <c r="G16" s="231"/>
      <c r="H16" s="234"/>
      <c r="I16" s="234"/>
      <c r="J16" s="234"/>
      <c r="K16" s="254"/>
      <c r="L16" s="254"/>
      <c r="M16" s="254"/>
      <c r="N16" s="254"/>
      <c r="O16" s="254"/>
      <c r="P16" s="254"/>
      <c r="Q16" s="254"/>
      <c r="R16" s="256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</row>
    <row r="18" spans="1:45" x14ac:dyDescent="0.25"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6"/>
    </row>
    <row r="19" spans="1:45" x14ac:dyDescent="0.25"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6"/>
    </row>
    <row r="20" spans="1:45" ht="15.75" thickBot="1" x14ac:dyDescent="0.3">
      <c r="AS20" s="276"/>
    </row>
    <row r="21" spans="1:45" s="245" customFormat="1" ht="15.75" thickBot="1" x14ac:dyDescent="0.3">
      <c r="A21" s="243"/>
      <c r="B21" s="244"/>
      <c r="D21" s="246"/>
      <c r="E21" s="244"/>
      <c r="F21" s="244"/>
      <c r="G21" s="244"/>
      <c r="H21" s="247"/>
      <c r="I21" s="247"/>
      <c r="J21" s="247"/>
      <c r="K21" s="254"/>
      <c r="L21" s="254"/>
      <c r="M21" s="254"/>
      <c r="N21" s="254"/>
      <c r="O21" s="254"/>
      <c r="P21" s="254"/>
      <c r="Q21" s="254"/>
      <c r="R21" s="256"/>
      <c r="S21" s="252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S21" s="277"/>
    </row>
    <row r="22" spans="1:45" s="245" customFormat="1" x14ac:dyDescent="0.25">
      <c r="A22" s="243"/>
      <c r="B22" s="244"/>
      <c r="D22" s="246"/>
      <c r="E22" s="244"/>
      <c r="F22" s="244"/>
      <c r="G22" s="244"/>
      <c r="H22" s="247"/>
      <c r="I22" s="247"/>
      <c r="J22" s="247"/>
      <c r="K22" s="254"/>
      <c r="L22" s="254"/>
      <c r="M22" s="254"/>
      <c r="N22" s="254"/>
      <c r="O22" s="254"/>
      <c r="P22" s="254"/>
      <c r="Q22" s="254"/>
      <c r="R22" s="256"/>
      <c r="S22" s="252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S22" s="277"/>
    </row>
    <row r="23" spans="1:45" x14ac:dyDescent="0.25">
      <c r="AS23" s="276"/>
    </row>
    <row r="24" spans="1:45" x14ac:dyDescent="0.25"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6"/>
    </row>
    <row r="25" spans="1:45" x14ac:dyDescent="0.25"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79"/>
  <sheetViews>
    <sheetView tabSelected="1" topLeftCell="F1" zoomScale="78" zoomScaleNormal="85" workbookViewId="0">
      <pane ySplit="1" topLeftCell="A37" activePane="bottomLeft" state="frozen"/>
      <selection pane="bottomLeft" activeCell="A2" sqref="A2:AS79"/>
    </sheetView>
  </sheetViews>
  <sheetFormatPr defaultColWidth="8.85546875" defaultRowHeight="15" x14ac:dyDescent="0.25"/>
  <cols>
    <col min="1" max="1" width="11" bestFit="1" customWidth="1"/>
    <col min="2" max="2" width="37.5703125" customWidth="1"/>
    <col min="3" max="3" width="16.85546875" bestFit="1" customWidth="1"/>
    <col min="4" max="4" width="10" customWidth="1"/>
    <col min="5" max="5" width="30.85546875" bestFit="1" customWidth="1"/>
    <col min="6" max="6" width="12.42578125" customWidth="1"/>
    <col min="12" max="12" width="9.85546875" customWidth="1"/>
    <col min="13" max="18" width="11.140625" bestFit="1" customWidth="1"/>
    <col min="19" max="19" width="12.140625" bestFit="1" customWidth="1"/>
    <col min="20" max="22" width="7.42578125" bestFit="1" customWidth="1"/>
    <col min="23" max="24" width="7.140625" bestFit="1" customWidth="1"/>
    <col min="25" max="34" width="7" bestFit="1" customWidth="1"/>
    <col min="35" max="39" width="6.42578125" bestFit="1" customWidth="1"/>
    <col min="40" max="45" width="7.42578125" bestFit="1" customWidth="1"/>
  </cols>
  <sheetData>
    <row r="1" spans="1:45" ht="45.75" thickBot="1" x14ac:dyDescent="0.3">
      <c r="A1" s="10" t="s">
        <v>14</v>
      </c>
      <c r="B1" s="11" t="s">
        <v>11</v>
      </c>
      <c r="C1" s="11" t="s">
        <v>150</v>
      </c>
      <c r="D1" s="11" t="s">
        <v>151</v>
      </c>
      <c r="E1" s="11" t="s">
        <v>19</v>
      </c>
      <c r="F1" s="19" t="s">
        <v>38</v>
      </c>
      <c r="G1" s="11" t="s">
        <v>3</v>
      </c>
      <c r="H1" s="11" t="s">
        <v>45</v>
      </c>
      <c r="I1" s="11" t="s">
        <v>30</v>
      </c>
      <c r="J1" s="11" t="s">
        <v>31</v>
      </c>
      <c r="K1" s="11" t="s">
        <v>32</v>
      </c>
      <c r="L1" s="11" t="s">
        <v>33</v>
      </c>
      <c r="M1" s="11">
        <v>2018</v>
      </c>
      <c r="N1" s="11">
        <v>2019</v>
      </c>
      <c r="O1" s="11">
        <v>2020</v>
      </c>
      <c r="P1" s="11">
        <v>2021</v>
      </c>
      <c r="Q1" s="11">
        <v>2022</v>
      </c>
      <c r="R1" s="11">
        <v>2023</v>
      </c>
      <c r="S1" s="11">
        <v>2024</v>
      </c>
      <c r="T1" s="11">
        <v>2025</v>
      </c>
      <c r="U1" s="11">
        <v>2026</v>
      </c>
      <c r="V1" s="11">
        <v>2027</v>
      </c>
      <c r="W1" s="11">
        <v>2028</v>
      </c>
      <c r="X1" s="11">
        <v>2029</v>
      </c>
      <c r="Y1" s="11">
        <v>2030</v>
      </c>
      <c r="Z1" s="11">
        <v>2031</v>
      </c>
      <c r="AA1" s="11">
        <v>2032</v>
      </c>
      <c r="AB1" s="11">
        <v>2033</v>
      </c>
      <c r="AC1" s="11">
        <v>2034</v>
      </c>
      <c r="AD1" s="11">
        <v>2035</v>
      </c>
      <c r="AE1" s="11">
        <v>2036</v>
      </c>
      <c r="AF1" s="11">
        <v>2037</v>
      </c>
      <c r="AG1" s="11">
        <v>2038</v>
      </c>
      <c r="AH1" s="11">
        <v>2039</v>
      </c>
      <c r="AI1" s="11">
        <v>2040</v>
      </c>
      <c r="AJ1" s="11">
        <v>2041</v>
      </c>
      <c r="AK1" s="11">
        <v>2042</v>
      </c>
      <c r="AL1" s="11">
        <v>2043</v>
      </c>
      <c r="AM1" s="11">
        <v>2044</v>
      </c>
      <c r="AN1" s="11">
        <v>2045</v>
      </c>
      <c r="AO1" s="11">
        <v>2046</v>
      </c>
      <c r="AP1" s="11">
        <v>2047</v>
      </c>
      <c r="AQ1" s="11">
        <v>2048</v>
      </c>
      <c r="AR1" s="11">
        <v>2049</v>
      </c>
      <c r="AS1" s="12">
        <v>2050</v>
      </c>
    </row>
    <row r="2" spans="1:45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2"/>
    </row>
    <row r="3" spans="1:45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4"/>
    </row>
    <row r="4" spans="1:45" x14ac:dyDescent="0.25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4"/>
    </row>
    <row r="5" spans="1:45" x14ac:dyDescent="0.2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4"/>
    </row>
    <row r="6" spans="1:45" x14ac:dyDescent="0.25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4"/>
    </row>
    <row r="7" spans="1:45" x14ac:dyDescent="0.25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4"/>
    </row>
    <row r="8" spans="1:45" x14ac:dyDescent="0.2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4"/>
    </row>
    <row r="9" spans="1:45" x14ac:dyDescent="0.25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4"/>
    </row>
    <row r="10" spans="1:45" x14ac:dyDescent="0.25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4"/>
    </row>
    <row r="11" spans="1:45" x14ac:dyDescent="0.25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4"/>
    </row>
    <row r="12" spans="1:45" x14ac:dyDescent="0.25">
      <c r="A12" s="6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6"/>
    </row>
    <row r="13" spans="1:45" x14ac:dyDescent="0.25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4"/>
    </row>
    <row r="14" spans="1:45" x14ac:dyDescent="0.25">
      <c r="A14" s="61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6"/>
    </row>
    <row r="15" spans="1:45" x14ac:dyDescent="0.2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4"/>
    </row>
    <row r="16" spans="1:45" x14ac:dyDescent="0.25">
      <c r="A16" s="6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6"/>
    </row>
    <row r="17" spans="1:45" x14ac:dyDescent="0.25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4"/>
    </row>
    <row r="18" spans="1:45" x14ac:dyDescent="0.25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4"/>
    </row>
    <row r="19" spans="1:45" x14ac:dyDescent="0.25">
      <c r="A19" s="61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6"/>
    </row>
    <row r="20" spans="1:45" x14ac:dyDescent="0.25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4"/>
    </row>
    <row r="21" spans="1:45" x14ac:dyDescent="0.25">
      <c r="A21" s="6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6"/>
    </row>
    <row r="22" spans="1:45" x14ac:dyDescent="0.25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4"/>
    </row>
    <row r="23" spans="1:45" x14ac:dyDescent="0.25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4"/>
    </row>
    <row r="24" spans="1:45" x14ac:dyDescent="0.25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4"/>
    </row>
    <row r="25" spans="1:45" x14ac:dyDescent="0.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4"/>
    </row>
    <row r="26" spans="1:45" x14ac:dyDescent="0.25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4"/>
    </row>
    <row r="27" spans="1:45" x14ac:dyDescent="0.25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4"/>
    </row>
    <row r="28" spans="1:45" x14ac:dyDescent="0.25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4"/>
    </row>
    <row r="29" spans="1:45" x14ac:dyDescent="0.25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4"/>
    </row>
    <row r="30" spans="1:45" x14ac:dyDescent="0.25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4"/>
    </row>
    <row r="31" spans="1:45" x14ac:dyDescent="0.25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4"/>
    </row>
    <row r="32" spans="1:45" x14ac:dyDescent="0.25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4"/>
    </row>
    <row r="33" spans="1:45" x14ac:dyDescent="0.25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4"/>
    </row>
    <row r="34" spans="1:45" x14ac:dyDescent="0.25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4"/>
    </row>
    <row r="35" spans="1:45" x14ac:dyDescent="0.2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4"/>
    </row>
    <row r="36" spans="1:45" x14ac:dyDescent="0.25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4"/>
    </row>
    <row r="37" spans="1:45" x14ac:dyDescent="0.25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4"/>
    </row>
    <row r="38" spans="1:45" x14ac:dyDescent="0.25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4"/>
    </row>
    <row r="39" spans="1:45" x14ac:dyDescent="0.25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4"/>
    </row>
    <row r="40" spans="1:45" ht="15.75" thickBot="1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8"/>
    </row>
    <row r="41" spans="1:45" x14ac:dyDescent="0.25">
      <c r="A41" s="63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30"/>
    </row>
    <row r="42" spans="1:45" x14ac:dyDescent="0.25">
      <c r="A42" s="62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2"/>
    </row>
    <row r="43" spans="1:45" x14ac:dyDescent="0.25">
      <c r="A43" s="62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2"/>
    </row>
    <row r="44" spans="1:45" x14ac:dyDescent="0.25">
      <c r="A44" s="62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2"/>
    </row>
    <row r="45" spans="1:45" x14ac:dyDescent="0.25">
      <c r="A45" s="62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2"/>
    </row>
    <row r="46" spans="1:45" x14ac:dyDescent="0.25">
      <c r="A46" s="62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2"/>
    </row>
    <row r="47" spans="1:45" x14ac:dyDescent="0.25">
      <c r="A47" s="62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2"/>
    </row>
    <row r="48" spans="1:45" x14ac:dyDescent="0.25">
      <c r="A48" s="62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2"/>
    </row>
    <row r="49" spans="1:45" x14ac:dyDescent="0.25">
      <c r="A49" s="62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2"/>
    </row>
    <row r="50" spans="1:45" x14ac:dyDescent="0.25">
      <c r="A50" s="62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2"/>
    </row>
    <row r="51" spans="1:45" x14ac:dyDescent="0.25">
      <c r="A51" s="62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4"/>
    </row>
    <row r="52" spans="1:45" x14ac:dyDescent="0.25">
      <c r="A52" s="62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2"/>
    </row>
    <row r="53" spans="1:45" x14ac:dyDescent="0.25">
      <c r="A53" s="62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4"/>
    </row>
    <row r="54" spans="1:45" x14ac:dyDescent="0.25">
      <c r="A54" s="62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2"/>
    </row>
    <row r="55" spans="1:45" x14ac:dyDescent="0.25">
      <c r="A55" s="62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4"/>
    </row>
    <row r="56" spans="1:45" x14ac:dyDescent="0.25">
      <c r="A56" s="62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2"/>
    </row>
    <row r="57" spans="1:45" x14ac:dyDescent="0.25">
      <c r="A57" s="62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2"/>
    </row>
    <row r="58" spans="1:45" x14ac:dyDescent="0.25">
      <c r="A58" s="62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4"/>
    </row>
    <row r="59" spans="1:45" x14ac:dyDescent="0.25">
      <c r="A59" s="62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2"/>
    </row>
    <row r="60" spans="1:45" x14ac:dyDescent="0.25">
      <c r="A60" s="62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4"/>
    </row>
    <row r="61" spans="1:45" x14ac:dyDescent="0.25">
      <c r="A61" s="62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2"/>
    </row>
    <row r="62" spans="1:45" x14ac:dyDescent="0.25">
      <c r="A62" s="62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2"/>
    </row>
    <row r="63" spans="1:45" x14ac:dyDescent="0.25">
      <c r="A63" s="62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2"/>
    </row>
    <row r="64" spans="1:45" x14ac:dyDescent="0.25">
      <c r="A64" s="62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2"/>
    </row>
    <row r="65" spans="1:45" x14ac:dyDescent="0.25">
      <c r="A65" s="62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2"/>
    </row>
    <row r="66" spans="1:45" x14ac:dyDescent="0.25">
      <c r="A66" s="62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2"/>
    </row>
    <row r="67" spans="1:45" x14ac:dyDescent="0.25">
      <c r="A67" s="62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2"/>
    </row>
    <row r="68" spans="1:45" x14ac:dyDescent="0.25">
      <c r="A68" s="62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2"/>
    </row>
    <row r="69" spans="1:45" x14ac:dyDescent="0.25">
      <c r="A69" s="62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2"/>
    </row>
    <row r="70" spans="1:45" x14ac:dyDescent="0.25">
      <c r="A70" s="62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2"/>
    </row>
    <row r="71" spans="1:45" x14ac:dyDescent="0.25">
      <c r="A71" s="62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2"/>
    </row>
    <row r="72" spans="1:45" x14ac:dyDescent="0.25">
      <c r="A72" s="62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2"/>
    </row>
    <row r="73" spans="1:45" x14ac:dyDescent="0.25">
      <c r="A73" s="62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2"/>
    </row>
    <row r="74" spans="1:45" x14ac:dyDescent="0.25">
      <c r="A74" s="62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2"/>
    </row>
    <row r="75" spans="1:45" x14ac:dyDescent="0.25">
      <c r="A75" s="62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2"/>
    </row>
    <row r="76" spans="1:45" x14ac:dyDescent="0.25">
      <c r="A76" s="62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2"/>
    </row>
    <row r="77" spans="1:45" x14ac:dyDescent="0.25">
      <c r="A77" s="62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2"/>
    </row>
    <row r="78" spans="1:45" x14ac:dyDescent="0.25">
      <c r="A78" s="62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2"/>
    </row>
    <row r="79" spans="1:45" ht="15.75" thickBot="1" x14ac:dyDescent="0.3">
      <c r="A79" s="64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F1E3411D7E7846976F93E821C2CC95" ma:contentTypeVersion="13" ma:contentTypeDescription="Crear nuevo documento." ma:contentTypeScope="" ma:versionID="bf56f9a7fa2be0dc2dd7c558ea68c50d">
  <xsd:schema xmlns:xsd="http://www.w3.org/2001/XMLSchema" xmlns:xs="http://www.w3.org/2001/XMLSchema" xmlns:p="http://schemas.microsoft.com/office/2006/metadata/properties" xmlns:ns2="2ad01661-8ec0-4cda-9041-ce6b6c43d122" xmlns:ns3="aa8af366-95fc-4ecf-b09f-78c0cf50c20b" targetNamespace="http://schemas.microsoft.com/office/2006/metadata/properties" ma:root="true" ma:fieldsID="4993e8e448d5aa23e96fe80c2fad0299" ns2:_="" ns3:_="">
    <xsd:import namespace="2ad01661-8ec0-4cda-9041-ce6b6c43d122"/>
    <xsd:import namespace="aa8af366-95fc-4ecf-b09f-78c0cf50c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01661-8ec0-4cda-9041-ce6b6c43d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af366-95fc-4ecf-b09f-78c0cf50c2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2F5D46-265A-4C1A-AE8A-88E60744B1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d01661-8ec0-4cda-9041-ce6b6c43d122"/>
    <ds:schemaRef ds:uri="aa8af366-95fc-4ecf-b09f-78c0cf50c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Hoja1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0x010100B4F1E3411D7E7846976F93E821C2CC95</vt:lpwstr>
  </property>
</Properties>
</file>