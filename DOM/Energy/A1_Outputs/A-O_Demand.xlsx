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dominicana_2025\Desglosados\RD_model_NDC_Energy_A4\A1_Outputs\"/>
    </mc:Choice>
  </mc:AlternateContent>
  <xr:revisionPtr revIDLastSave="0" documentId="13_ncr:1_{2A4AADF8-9708-4A6C-85E3-E0C38DF17D6D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Demand_Projection" sheetId="1" r:id="rId1"/>
  </sheets>
  <definedNames>
    <definedName name="_xlnm._FilterDatabase" localSheetId="0" hidden="1">Demand_Projection!$A$1:$AO$55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7" i="1" l="1"/>
  <c r="I53" i="1" l="1"/>
  <c r="I54" i="1" s="1"/>
  <c r="I50" i="1"/>
  <c r="I51" i="1" s="1"/>
  <c r="I48" i="1"/>
  <c r="I49" i="1" s="1"/>
  <c r="I42" i="1"/>
  <c r="I44" i="1" s="1"/>
  <c r="I46" i="1" s="1"/>
  <c r="I37" i="1"/>
  <c r="I38" i="1" s="1"/>
  <c r="I41" i="1" l="1"/>
  <c r="I40" i="1"/>
  <c r="I39" i="1"/>
  <c r="I43" i="1"/>
  <c r="I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Luis Fernando Victor</author>
    <author>tc={75DC1BFC-45D3-47B0-AFC1-5C1D76C57622}</author>
    <author>tc={4D6D7A47-D0D7-47F7-BEF6-85B198723680}</author>
  </authors>
  <commentList>
    <comment ref="E38" authorId="0" shapeId="0" xr:uid="{ABAD25AF-C170-496D-8268-09D28BFC4388}">
      <text>
        <r>
          <rPr>
            <b/>
            <sz val="9"/>
            <color indexed="81"/>
            <rFont val="Tahoma"/>
            <family val="2"/>
          </rPr>
          <t>Encuesta de transporte de SEPSE 2013 //
pasajero // km</t>
        </r>
      </text>
    </comment>
    <comment ref="F38" authorId="0" shapeId="0" xr:uid="{7A95DF96-0FDD-4DF9-8B41-F403D2BA16B0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39" authorId="0" shapeId="0" xr:uid="{4F1460E7-7EF4-41CD-AD04-5B2C5D2FC862}">
      <text>
        <r>
          <rPr>
            <b/>
            <sz val="9"/>
            <color indexed="81"/>
            <rFont val="Tahoma"/>
            <family val="2"/>
          </rPr>
          <t>Encuesta de transporte de SEPSE 2013 //
pasajero // km</t>
        </r>
      </text>
    </comment>
    <comment ref="F39" authorId="0" shapeId="0" xr:uid="{DE4F8225-2897-4332-A788-135980DD56DD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40" authorId="0" shapeId="0" xr:uid="{28EA8FA6-D52A-4751-920D-2336BFB0A70C}">
      <text>
        <r>
          <rPr>
            <b/>
            <sz val="9"/>
            <color indexed="81"/>
            <rFont val="Tahoma"/>
            <family val="2"/>
          </rPr>
          <t>Usamos el 1.6 de la encuensta de transporte de SEPSE para SUVs (o Jeep). //
pasajero // km
Aunque el minivan es 2.3, son menos vehiculos, entonces simplificamos dejando el 1.6.</t>
        </r>
      </text>
    </comment>
    <comment ref="F40" authorId="0" shapeId="0" xr:uid="{943D92B8-8DB6-4AF9-A850-D9CC35A63E38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D41" authorId="1" shapeId="0" xr:uid="{BF4574A1-7B65-41A7-8476-9A85EBB1B66E}">
      <text>
        <r>
          <rPr>
            <b/>
            <sz val="9"/>
            <color indexed="81"/>
            <rFont val="Tahoma"/>
            <family val="2"/>
          </rPr>
          <t>Supuesto, porque es el dato del 2023</t>
        </r>
      </text>
    </comment>
    <comment ref="E41" authorId="0" shapeId="0" xr:uid="{ED7D24DF-4641-48F7-8B1E-591A41B1B2A6}">
      <text>
        <r>
          <rPr>
            <b/>
            <sz val="9"/>
            <color indexed="81"/>
            <rFont val="Tahoma"/>
            <family val="2"/>
          </rPr>
          <t>Encuesta de transporte de SEPSE 2013 //
pasajero // km</t>
        </r>
      </text>
    </comment>
    <comment ref="F41" authorId="0" shapeId="0" xr:uid="{E46BA32F-221C-4B55-AC1B-D26F98E4AAFC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D43" authorId="2" shapeId="0" xr:uid="{75DC1BFC-45D3-47B0-AFC1-5C1D76C57622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tomó como el 40 % del total de la flota de buses</t>
      </text>
    </comment>
    <comment ref="E43" authorId="0" shapeId="0" xr:uid="{2DEF9532-837C-4B95-8A7E-0212A188D6CD}">
      <text>
        <r>
          <rPr>
            <b/>
            <sz val="9"/>
            <color indexed="81"/>
            <rFont val="Tahoma"/>
            <family val="2"/>
          </rPr>
          <t>26 is the occupancy per trip (50% of the 52 capacity of CTP)
0.55 is the ratio of distance used in trips, estimated to match the estimaed household expenses / operator revenue in 2018</t>
        </r>
      </text>
    </comment>
    <comment ref="F43" authorId="0" shapeId="0" xr:uid="{EE68C304-EC63-40AD-91E6-EDCA8E0B180D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44" authorId="0" shapeId="0" xr:uid="{182032DC-C13C-4FF8-86DE-010396DEAC50}">
      <text>
        <r>
          <rPr>
            <b/>
            <sz val="9"/>
            <color indexed="81"/>
            <rFont val="Tahoma"/>
            <family val="2"/>
          </rPr>
          <t>8.43 - encuesta de transporte de SEPSE 2013 //
0.55 of effective distance, assuming it is equal to buses
pasajero / veh</t>
        </r>
      </text>
    </comment>
    <comment ref="F44" authorId="0" shapeId="0" xr:uid="{E53589DB-0628-4106-8C4C-8DE60AD8F33D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D49" authorId="3" shapeId="0" xr:uid="{4D6D7A47-D0D7-47F7-BEF6-85B198723680}">
      <text>
        <t>[Threaded comment]
Your version of Excel allows you to read this threaded comment; however, any edits to it will get removed if the file is opened in a newer version of Excel. Learn more: https://go.microsoft.com/fwlink/?linkid=870924
Comment:
    Se tomó como el 60% del total de flota de buses</t>
      </text>
    </comment>
    <comment ref="E49" authorId="0" shapeId="0" xr:uid="{1DC5866C-3F05-4AEA-972D-C5978858EB8B}">
      <text>
        <r>
          <rPr>
            <b/>
            <sz val="9"/>
            <color indexed="81"/>
            <rFont val="Tahoma"/>
            <family val="2"/>
          </rPr>
          <t>26 is the occupancy per trip (50% of the 52 capacity of CTP)
0.55 is the ratio of distance used in trips, estimated to match the estimaed household expenses / operator revenue in 2018</t>
        </r>
      </text>
    </comment>
    <comment ref="F49" authorId="0" shapeId="0" xr:uid="{A25F590C-C8DC-4420-81DC-2033566F10B4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51" authorId="0" shapeId="0" xr:uid="{EB098D01-E1F8-4574-8CE5-71C4E5E2B003}">
      <text>
        <r>
          <rPr>
            <b/>
            <sz val="9"/>
            <color indexed="81"/>
            <rFont val="Tahoma"/>
            <family val="2"/>
          </rPr>
          <t>Encuesta de transporte de SEPSE 2013 //
Ton / vehículo</t>
        </r>
      </text>
    </comment>
    <comment ref="F51" authorId="0" shapeId="0" xr:uid="{3509FAB2-41D9-40D0-9B76-258843471BAC}">
      <text>
        <r>
          <rPr>
            <b/>
            <sz val="9"/>
            <color indexed="81"/>
            <rFont val="Tahoma"/>
            <family val="2"/>
          </rPr>
          <t>RITEVE 2018</t>
        </r>
      </text>
    </comment>
    <comment ref="E54" authorId="0" shapeId="0" xr:uid="{414D25A9-4ADE-47F2-A5C9-53D67832B035}">
      <text>
        <r>
          <rPr>
            <b/>
            <sz val="9"/>
            <color indexed="81"/>
            <rFont val="Tahoma"/>
            <family val="2"/>
          </rPr>
          <t>Encuesta de transporte de SEPSE 2013 //
Ton / vehículo</t>
        </r>
      </text>
    </comment>
    <comment ref="F54" authorId="0" shapeId="0" xr:uid="{AA70DFC7-1B7E-493D-B68C-C3D3E4BA08A8}">
      <text>
        <r>
          <rPr>
            <b/>
            <sz val="9"/>
            <color indexed="81"/>
            <rFont val="Tahoma"/>
            <family val="2"/>
          </rPr>
          <t>RITEVE 2018</t>
        </r>
      </text>
    </comment>
  </commentList>
</comments>
</file>

<file path=xl/sharedStrings.xml><?xml version="1.0" encoding="utf-8"?>
<sst xmlns="http://schemas.openxmlformats.org/spreadsheetml/2006/main" count="369" uniqueCount="95">
  <si>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</si>
  <si>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</si>
  <si>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</si>
  <si>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</si>
  <si>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</si>
  <si>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</si>
  <si>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</si>
  <si>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</si>
  <si>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Demand</t>
  </si>
  <si>
    <t>E5COMDSL</t>
  </si>
  <si>
    <t>not needed</t>
  </si>
  <si>
    <t>User defined</t>
  </si>
  <si>
    <t>E5COMGSL</t>
  </si>
  <si>
    <t>E5COMNGS</t>
  </si>
  <si>
    <t>E5COMLPG</t>
  </si>
  <si>
    <t>E5COMELE</t>
  </si>
  <si>
    <t>E5COMFIR</t>
  </si>
  <si>
    <t>E5INDDSL</t>
  </si>
  <si>
    <t>E5INDGSL</t>
  </si>
  <si>
    <t>E5INDNGS</t>
  </si>
  <si>
    <t>E5INDLPG</t>
  </si>
  <si>
    <t>E5INDELE</t>
  </si>
  <si>
    <t>E5INDHYD</t>
  </si>
  <si>
    <t>E5INDCOK</t>
  </si>
  <si>
    <t>E5INDBIM</t>
  </si>
  <si>
    <t>E5INDCOA</t>
  </si>
  <si>
    <t>E5INDFOI</t>
  </si>
  <si>
    <t>E5RESLPG</t>
  </si>
  <si>
    <t>E5RESELE</t>
  </si>
  <si>
    <t>E5RESKER</t>
  </si>
  <si>
    <t>E5RESFIR</t>
  </si>
  <si>
    <t>E5RESBIM</t>
  </si>
  <si>
    <t>E5CONGSL</t>
  </si>
  <si>
    <t>E5CONLPG</t>
  </si>
  <si>
    <t>E5EXPNGS</t>
  </si>
  <si>
    <t>E5EXPKER</t>
  </si>
  <si>
    <t>E5EXPBIM</t>
  </si>
  <si>
    <t>Flat</t>
  </si>
  <si>
    <t>E5TOTDSL</t>
  </si>
  <si>
    <t>E5TOTGSL</t>
  </si>
  <si>
    <t>E5TOTELE</t>
  </si>
  <si>
    <t>E5TACGSL</t>
  </si>
  <si>
    <t>E5TACKER</t>
  </si>
  <si>
    <t>E5AGRDSL</t>
  </si>
  <si>
    <t>E5AGRELE</t>
  </si>
  <si>
    <t>E5AGRLPG</t>
  </si>
  <si>
    <t>E6TDPASPRI</t>
  </si>
  <si>
    <t>Transport Demand - Passsenger Private</t>
  </si>
  <si>
    <t>GDP coupling joint with E6TDPASPRI</t>
  </si>
  <si>
    <t>Use passenger file</t>
  </si>
  <si>
    <t>Share</t>
  </si>
  <si>
    <t>Techs_Auto</t>
  </si>
  <si>
    <t>Automobiles</t>
  </si>
  <si>
    <t> </t>
  </si>
  <si>
    <t>Techs_Motos</t>
  </si>
  <si>
    <t>Motorcycle</t>
  </si>
  <si>
    <t>Techs_SUV</t>
  </si>
  <si>
    <t>Jeep</t>
  </si>
  <si>
    <t>E6TDPASPUB</t>
  </si>
  <si>
    <t>Transport Demand - Passenger Public</t>
  </si>
  <si>
    <t>GDP coupling joint with E6TDPASPUB</t>
  </si>
  <si>
    <t>Techs_Taxi</t>
  </si>
  <si>
    <t>Taxi Conchos</t>
  </si>
  <si>
    <t>Techs_Buses_Pub</t>
  </si>
  <si>
    <t>Bus Public</t>
  </si>
  <si>
    <t>Techs_Buses_Micro</t>
  </si>
  <si>
    <t>Minibus Guagua</t>
  </si>
  <si>
    <t>Techs_Telef</t>
  </si>
  <si>
    <t>Aerial Tramway</t>
  </si>
  <si>
    <t>not considered</t>
  </si>
  <si>
    <t>Techs_Trains</t>
  </si>
  <si>
    <t>Rail</t>
  </si>
  <si>
    <t>E6TDPASTUR</t>
  </si>
  <si>
    <t>Transport Demand - Passsenger Tourism</t>
  </si>
  <si>
    <t>GDP coupling joint with E6TDPASTUR</t>
  </si>
  <si>
    <t>Techs_Buses_Tur</t>
  </si>
  <si>
    <t>Bus Tourism</t>
  </si>
  <si>
    <t>E6TDFREHEA</t>
  </si>
  <si>
    <t>Transport Demand - Heavy Freight</t>
  </si>
  <si>
    <t>GDP coupling joint with E6TDFREHEA</t>
  </si>
  <si>
    <t>Use freight file</t>
  </si>
  <si>
    <t>Techs_He_Freight</t>
  </si>
  <si>
    <t>Heavy Truck</t>
  </si>
  <si>
    <t>Techs_Trains_Freight</t>
  </si>
  <si>
    <t>Rail Freight</t>
  </si>
  <si>
    <t>E6TDFRELIG</t>
  </si>
  <si>
    <t>Transport Demand - Light Freight</t>
  </si>
  <si>
    <t>GDP coupling joint with E6TDFRELIG</t>
  </si>
  <si>
    <t>Techs_Li_Freight</t>
  </si>
  <si>
    <t>Light Truck</t>
  </si>
  <si>
    <t>E6TRNOMOT</t>
  </si>
  <si>
    <t>Transport Demand non motorized reductions</t>
  </si>
  <si>
    <t>E5COMBIM</t>
  </si>
  <si>
    <t>Techs_Bus_Efi</t>
  </si>
  <si>
    <t>Bus diesel eficiente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</si>
</sst>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B05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4" fillId="4" borderId="2" xfId="0" applyFont="1" applyFill="1" applyBorder="1"/>
    <xf numFmtId="0" fontId="0" fillId="2" borderId="1" xfId="0" applyFill="1" applyBorder="1"/>
    <xf numFmtId="0" fontId="4" fillId="0" borderId="1" xfId="0" applyFont="1" applyBorder="1"/>
    <xf numFmtId="0" fontId="4" fillId="0" borderId="2" xfId="0" applyFont="1" applyBorder="1"/>
    <xf numFmtId="164" fontId="7" fillId="0" borderId="1" xfId="0" applyNumberFormat="1" applyFont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2" fontId="0" fillId="2" borderId="1" xfId="0" applyNumberFormat="1" applyFill="1" applyBorder="1"/>
    <xf numFmtId="0" fontId="4" fillId="4" borderId="1" xfId="0" applyFont="1" applyFill="1" applyBorder="1"/>
    <xf numFmtId="0" fontId="0" fillId="0" borderId="1" xfId="0" applyBorder="1"/>
    <xf numFmtId="3" fontId="4" fillId="4" borderId="1" xfId="0" applyNumberFormat="1" applyFont="1" applyFill="1" applyBorder="1"/>
    <xf numFmtId="0" fontId="3" fillId="3" borderId="1" xfId="0" applyFont="1" applyFill="1" applyBorder="1"/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2" fontId="0" fillId="2" borderId="7" xfId="0" applyNumberFormat="1" applyFill="1" applyBorder="1"/>
    <xf numFmtId="0" fontId="0" fillId="2" borderId="8" xfId="0" applyFill="1" applyBorder="1"/>
    <xf numFmtId="0" fontId="0" fillId="2" borderId="9" xfId="0" applyFill="1" applyBorder="1"/>
    <xf numFmtId="164" fontId="7" fillId="0" borderId="2" xfId="0" applyNumberFormat="1" applyFont="1" applyBorder="1" applyAlignment="1">
      <alignment horizontal="center" vertical="center"/>
    </xf>
    <xf numFmtId="0" fontId="0" fillId="0" borderId="2" xfId="0" applyBorder="1"/>
    <xf numFmtId="2" fontId="0" fillId="5" borderId="4" xfId="0" applyNumberFormat="1" applyFill="1" applyBorder="1"/>
    <xf numFmtId="2" fontId="0" fillId="5" borderId="5" xfId="0" applyNumberFormat="1" applyFill="1" applyBorder="1"/>
    <xf numFmtId="2" fontId="0" fillId="5" borderId="1" xfId="0" applyNumberFormat="1" applyFill="1" applyBorder="1"/>
    <xf numFmtId="2" fontId="0" fillId="5" borderId="7" xfId="0" applyNumberFormat="1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0" fontId="0" fillId="6" borderId="1" xfId="0" applyFill="1" applyBorder="1"/>
    <xf numFmtId="0" fontId="0" fillId="5" borderId="6" xfId="0" applyFill="1" applyBorder="1"/>
    <xf numFmtId="0" fontId="0" fillId="5" borderId="1" xfId="0" applyFill="1" applyBorder="1"/>
    <xf numFmtId="2" fontId="0" fillId="0" borderId="0" xfId="0" applyNumberFormat="1"/>
    <xf numFmtId="0" fontId="4" fillId="5" borderId="1" xfId="0" applyFont="1" applyFill="1" applyBorder="1"/>
    <xf numFmtId="0" fontId="4" fillId="7" borderId="14" xfId="0" applyFont="1" applyFill="1" applyBorder="1" applyAlignment="1">
      <alignment horizontal="left" vertical="center"/>
    </xf>
    <xf numFmtId="3" fontId="4" fillId="7" borderId="1" xfId="0" applyNumberFormat="1" applyFont="1" applyFill="1" applyBorder="1"/>
    <xf numFmtId="0" fontId="4" fillId="7" borderId="1" xfId="0" applyFont="1" applyFill="1" applyBorder="1"/>
    <xf numFmtId="10" fontId="4" fillId="5" borderId="1" xfId="1" applyNumberFormat="1" applyFont="1" applyFill="1" applyBorder="1" applyAlignment="1">
      <alignment horizontal="center"/>
    </xf>
    <xf numFmtId="2" fontId="0" fillId="8" borderId="1" xfId="0" applyNumberFormat="1" applyFill="1" applyBorder="1"/>
    <xf numFmtId="2" fontId="0" fillId="8" borderId="7" xfId="0" applyNumberForma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orena Delgado" id="{3BE6D282-6398-4AF0-B9E1-8965723650C2}" userId="b73d4c02dbbf8c9f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3" dT="2024-02-22T22:19:58.65" personId="{3BE6D282-6398-4AF0-B9E1-8965723650C2}" id="{75DC1BFC-45D3-47B0-AFC1-5C1D76C57622}">
    <text>Se tomó como el 40 % del total de la flota de buses</text>
  </threadedComment>
  <threadedComment ref="D49" dT="2024-02-22T22:19:31.67" personId="{3BE6D282-6398-4AF0-B9E1-8965723650C2}" id="{4D6D7A47-D0D7-47F7-BEF6-85B198723680}">
    <text>Se tomó como el 60% del total de flota de buses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7"/>
  <sheetViews>
    <sheetView tabSelected="1" zoomScaleNormal="100" workbookViewId="0">
      <pane ySplit="1" topLeftCell="A2" activePane="bottomLeft" state="frozen"/>
      <selection pane="bottomLeft" activeCell="I6" sqref="I6:AO6"/>
    </sheetView>
  </sheetViews>
  <sheetFormatPr defaultColWidth="8.88671875" defaultRowHeight="14.4" x14ac:dyDescent="0.3"/>
  <cols>
    <col min="1" max="1" width="17.77734375" bestFit="1" customWidth="1"/>
    <col min="2" max="2" width="25.6640625" bestFit="1" customWidth="1"/>
    <col min="3" max="3" width="49.6640625" bestFit="1" customWidth="1"/>
    <col min="4" max="4" width="16.44140625" customWidth="1"/>
    <col min="5" max="5" width="20.33203125" customWidth="1"/>
    <col min="6" max="6" width="27.33203125" customWidth="1"/>
    <col min="7" max="7" width="36.109375" bestFit="1" customWidth="1"/>
    <col min="8" max="8" width="25.109375" bestFit="1" customWidth="1"/>
    <col min="9" max="13" width="14.109375" bestFit="1" customWidth="1"/>
    <col min="14" max="41" width="12.88671875" bestFit="1" customWidth="1"/>
  </cols>
  <sheetData>
    <row r="1" spans="1:41" ht="15" thickBot="1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>
        <v>2018</v>
      </c>
      <c r="J1" s="14">
        <v>2019</v>
      </c>
      <c r="K1" s="14">
        <v>2020</v>
      </c>
      <c r="L1" s="14">
        <v>2021</v>
      </c>
      <c r="M1" s="14">
        <v>2022</v>
      </c>
      <c r="N1" s="14">
        <v>2023</v>
      </c>
      <c r="O1" s="14">
        <v>2024</v>
      </c>
      <c r="P1" s="14">
        <v>2025</v>
      </c>
      <c r="Q1" s="14">
        <v>2026</v>
      </c>
      <c r="R1" s="14">
        <v>2027</v>
      </c>
      <c r="S1" s="14">
        <v>2028</v>
      </c>
      <c r="T1" s="14">
        <v>2029</v>
      </c>
      <c r="U1" s="14">
        <v>2030</v>
      </c>
      <c r="V1" s="14">
        <v>2031</v>
      </c>
      <c r="W1" s="14">
        <v>2032</v>
      </c>
      <c r="X1" s="14">
        <v>2033</v>
      </c>
      <c r="Y1" s="14">
        <v>2034</v>
      </c>
      <c r="Z1" s="14">
        <v>2035</v>
      </c>
      <c r="AA1" s="14">
        <v>2036</v>
      </c>
      <c r="AB1" s="14">
        <v>2037</v>
      </c>
      <c r="AC1" s="14">
        <v>2038</v>
      </c>
      <c r="AD1" s="14">
        <v>2039</v>
      </c>
      <c r="AE1" s="14">
        <v>2040</v>
      </c>
      <c r="AF1" s="14">
        <v>2041</v>
      </c>
      <c r="AG1" s="14">
        <v>2042</v>
      </c>
      <c r="AH1" s="14">
        <v>2043</v>
      </c>
      <c r="AI1" s="14">
        <v>2044</v>
      </c>
      <c r="AJ1" s="14">
        <v>2045</v>
      </c>
      <c r="AK1" s="14">
        <v>2046</v>
      </c>
      <c r="AL1" s="14">
        <v>2047</v>
      </c>
      <c r="AM1" s="14">
        <v>2048</v>
      </c>
      <c r="AN1" s="14">
        <v>2049</v>
      </c>
      <c r="AO1" s="15">
        <v>2050</v>
      </c>
    </row>
    <row r="2" spans="1:41" s="1" customFormat="1" x14ac:dyDescent="0.3">
      <c r="A2" s="16" t="s">
        <v>8</v>
      </c>
      <c r="B2" s="17" t="s">
        <v>9</v>
      </c>
      <c r="C2" s="17" t="s">
        <v>9</v>
      </c>
      <c r="D2" s="17" t="s">
        <v>10</v>
      </c>
      <c r="E2" s="17" t="s">
        <v>10</v>
      </c>
      <c r="F2" s="17" t="s">
        <v>10</v>
      </c>
      <c r="G2" s="17" t="s">
        <v>11</v>
      </c>
      <c r="H2" s="17">
        <v>0</v>
      </c>
      <c r="I2" s="24">
        <v>5.6501259437200732E-2</v>
      </c>
      <c r="J2" s="24">
        <v>6.9669845470262406E-2</v>
      </c>
      <c r="K2" s="24">
        <v>6.6116623323186935E-2</v>
      </c>
      <c r="L2" s="24">
        <v>6.8384630615445224E-2</v>
      </c>
      <c r="M2" s="24">
        <v>7.1983694079706367E-2</v>
      </c>
      <c r="N2" s="24">
        <v>7.1662423206950779E-2</v>
      </c>
      <c r="O2" s="24">
        <v>7.4109844783536855E-2</v>
      </c>
      <c r="P2" s="24">
        <v>7.6563634384536158E-2</v>
      </c>
      <c r="Q2" s="24">
        <v>7.8881516622018186E-2</v>
      </c>
      <c r="R2" s="24">
        <v>8.1233129640968529E-2</v>
      </c>
      <c r="S2" s="24">
        <v>8.3726479490298406E-2</v>
      </c>
      <c r="T2" s="24">
        <v>8.6126603252669381E-2</v>
      </c>
      <c r="U2" s="24">
        <v>8.8515845362517165E-2</v>
      </c>
      <c r="V2" s="24">
        <v>9.0681833639872367E-2</v>
      </c>
      <c r="W2" s="24">
        <v>9.2888348283106284E-2</v>
      </c>
      <c r="X2" s="24">
        <v>9.5135916743239679E-2</v>
      </c>
      <c r="Y2" s="24">
        <v>9.7425070365469948E-2</v>
      </c>
      <c r="Z2" s="24">
        <v>9.975634439623271E-2</v>
      </c>
      <c r="AA2" s="24">
        <v>0.1017238258029084</v>
      </c>
      <c r="AB2" s="24">
        <v>0.10372101026798164</v>
      </c>
      <c r="AC2" s="24">
        <v>0.10574821005678385</v>
      </c>
      <c r="AD2" s="24">
        <v>0.10780573929887836</v>
      </c>
      <c r="AE2" s="24">
        <v>0.10989391399079623</v>
      </c>
      <c r="AF2" s="24">
        <v>0.11159107139618947</v>
      </c>
      <c r="AG2" s="24">
        <v>0.11330831134421231</v>
      </c>
      <c r="AH2" s="24">
        <v>0.11504579947728411</v>
      </c>
      <c r="AI2" s="24">
        <v>0.11680370221442644</v>
      </c>
      <c r="AJ2" s="24">
        <v>0.11858218675215947</v>
      </c>
      <c r="AK2" s="24">
        <v>0.11996383190082577</v>
      </c>
      <c r="AL2" s="24">
        <v>0.12135782233157576</v>
      </c>
      <c r="AM2" s="24">
        <v>0.12276423499975614</v>
      </c>
      <c r="AN2" s="24">
        <v>0.12418314713362777</v>
      </c>
      <c r="AO2" s="25">
        <v>0.12561463623460348</v>
      </c>
    </row>
    <row r="3" spans="1:41" s="1" customFormat="1" x14ac:dyDescent="0.3">
      <c r="A3" s="18" t="s">
        <v>8</v>
      </c>
      <c r="B3" s="3" t="s">
        <v>12</v>
      </c>
      <c r="C3" s="3" t="s">
        <v>12</v>
      </c>
      <c r="D3" s="3" t="s">
        <v>10</v>
      </c>
      <c r="E3" s="3" t="s">
        <v>10</v>
      </c>
      <c r="F3" s="3" t="s">
        <v>10</v>
      </c>
      <c r="G3" s="3" t="s">
        <v>11</v>
      </c>
      <c r="H3" s="3">
        <v>0</v>
      </c>
      <c r="I3" s="26">
        <v>3.199895660438392E-2</v>
      </c>
      <c r="J3" s="26">
        <v>3.232694569998866E-2</v>
      </c>
      <c r="K3" s="26">
        <v>2.9263736297419501E-2</v>
      </c>
      <c r="L3" s="26">
        <v>3.7616805481407375E-2</v>
      </c>
      <c r="M3" s="26">
        <v>4.0776951050444814E-2</v>
      </c>
      <c r="N3" s="26">
        <v>4.0594959186596002E-2</v>
      </c>
      <c r="O3" s="26">
        <v>4.1981361914382488E-2</v>
      </c>
      <c r="P3" s="26">
        <v>4.3371371967732164E-2</v>
      </c>
      <c r="Q3" s="26">
        <v>4.4684393920090486E-2</v>
      </c>
      <c r="R3" s="26">
        <v>4.6016523511232997E-2</v>
      </c>
      <c r="S3" s="26">
        <v>4.7428943449631535E-2</v>
      </c>
      <c r="T3" s="26">
        <v>4.878855315603034E-2</v>
      </c>
      <c r="U3" s="26">
        <v>5.0141998680138147E-2</v>
      </c>
      <c r="V3" s="26">
        <v>5.1368976526867609E-2</v>
      </c>
      <c r="W3" s="26">
        <v>5.261891153992225E-2</v>
      </c>
      <c r="X3" s="26">
        <v>5.3892102507030741E-2</v>
      </c>
      <c r="Y3" s="26">
        <v>5.5188850421874804E-2</v>
      </c>
      <c r="Z3" s="26">
        <v>5.6509458488089429E-2</v>
      </c>
      <c r="AA3" s="26">
        <v>5.7623987188489822E-2</v>
      </c>
      <c r="AB3" s="26">
        <v>5.8755341923922323E-2</v>
      </c>
      <c r="AC3" s="26">
        <v>5.9903699584838259E-2</v>
      </c>
      <c r="AD3" s="26">
        <v>6.1069238117729421E-2</v>
      </c>
      <c r="AE3" s="26">
        <v>6.2252136526677812E-2</v>
      </c>
      <c r="AF3" s="26">
        <v>6.3213533483716319E-2</v>
      </c>
      <c r="AG3" s="26">
        <v>6.4186306695728182E-2</v>
      </c>
      <c r="AH3" s="26">
        <v>6.5170549994975194E-2</v>
      </c>
      <c r="AI3" s="26">
        <v>6.6166357653644731E-2</v>
      </c>
      <c r="AJ3" s="26">
        <v>6.7173824384357539E-2</v>
      </c>
      <c r="AK3" s="26">
        <v>6.7956491588597803E-2</v>
      </c>
      <c r="AL3" s="26">
        <v>6.8746152084439266E-2</v>
      </c>
      <c r="AM3" s="26">
        <v>6.9542849465149048E-2</v>
      </c>
      <c r="AN3" s="26">
        <v>7.0346627478593313E-2</v>
      </c>
      <c r="AO3" s="27">
        <v>7.1157530027371907E-2</v>
      </c>
    </row>
    <row r="4" spans="1:41" s="1" customFormat="1" x14ac:dyDescent="0.3">
      <c r="A4" s="18" t="s">
        <v>8</v>
      </c>
      <c r="B4" s="3" t="s">
        <v>13</v>
      </c>
      <c r="C4" s="3" t="s">
        <v>13</v>
      </c>
      <c r="D4" s="3" t="s">
        <v>10</v>
      </c>
      <c r="E4" s="3" t="s">
        <v>10</v>
      </c>
      <c r="F4" s="3" t="s">
        <v>10</v>
      </c>
      <c r="G4" s="3" t="s">
        <v>11</v>
      </c>
      <c r="H4" s="3">
        <v>0</v>
      </c>
      <c r="I4" s="26">
        <v>9.5165964000000006E-2</v>
      </c>
      <c r="J4" s="26">
        <v>9.3595677786691409E-2</v>
      </c>
      <c r="K4" s="26">
        <v>5.7632323433804776E-2</v>
      </c>
      <c r="L4" s="26">
        <v>7.7001638388128901E-2</v>
      </c>
      <c r="M4" s="26">
        <v>9.5896549923377358E-2</v>
      </c>
      <c r="N4" s="26">
        <v>9.5468553434977926E-2</v>
      </c>
      <c r="O4" s="26">
        <v>9.8729004130141726E-2</v>
      </c>
      <c r="P4" s="26">
        <v>0.10199793829616466</v>
      </c>
      <c r="Q4" s="26">
        <v>0.10508581691291197</v>
      </c>
      <c r="R4" s="26">
        <v>0.10821863161706607</v>
      </c>
      <c r="S4" s="26">
        <v>0.11154026787593814</v>
      </c>
      <c r="T4" s="26">
        <v>0.11473770850666816</v>
      </c>
      <c r="U4" s="26">
        <v>0.11792065261915496</v>
      </c>
      <c r="V4" s="26">
        <v>0.12080617837090157</v>
      </c>
      <c r="W4" s="26">
        <v>0.12374569327558604</v>
      </c>
      <c r="X4" s="26">
        <v>0.12673990000252525</v>
      </c>
      <c r="Y4" s="26">
        <v>0.12978950640885129</v>
      </c>
      <c r="Z4" s="26">
        <v>0.13289522554891886</v>
      </c>
      <c r="AA4" s="26">
        <v>0.13551630079867855</v>
      </c>
      <c r="AB4" s="26">
        <v>0.13817694641029468</v>
      </c>
      <c r="AC4" s="26">
        <v>0.14087757838308942</v>
      </c>
      <c r="AD4" s="26">
        <v>0.1436186151999114</v>
      </c>
      <c r="AE4" s="26">
        <v>0.14640047783078031</v>
      </c>
      <c r="AF4" s="26">
        <v>0.14866142792419881</v>
      </c>
      <c r="AG4" s="26">
        <v>0.15094913194538512</v>
      </c>
      <c r="AH4" s="26">
        <v>0.1532638105628773</v>
      </c>
      <c r="AI4" s="26">
        <v>0.15560568547980155</v>
      </c>
      <c r="AJ4" s="26">
        <v>0.15797497943506622</v>
      </c>
      <c r="AK4" s="26">
        <v>0.15981560465817246</v>
      </c>
      <c r="AL4" s="26">
        <v>0.16167267624423343</v>
      </c>
      <c r="AM4" s="26">
        <v>0.16354629671302584</v>
      </c>
      <c r="AN4" s="26">
        <v>0.16543656894790226</v>
      </c>
      <c r="AO4" s="27">
        <v>0.16734359619610775</v>
      </c>
    </row>
    <row r="5" spans="1:41" s="1" customFormat="1" x14ac:dyDescent="0.3">
      <c r="A5" s="18" t="s">
        <v>8</v>
      </c>
      <c r="B5" s="3" t="s">
        <v>14</v>
      </c>
      <c r="C5" s="3" t="s">
        <v>14</v>
      </c>
      <c r="D5" s="3" t="s">
        <v>10</v>
      </c>
      <c r="E5" s="3" t="s">
        <v>10</v>
      </c>
      <c r="F5" s="3" t="s">
        <v>10</v>
      </c>
      <c r="G5" s="3" t="s">
        <v>11</v>
      </c>
      <c r="H5" s="3">
        <v>0</v>
      </c>
      <c r="I5" s="26">
        <v>2.0534974202126839</v>
      </c>
      <c r="J5" s="26">
        <v>2.1225560451726362</v>
      </c>
      <c r="K5" s="26">
        <v>1.8655026446480134</v>
      </c>
      <c r="L5" s="26">
        <v>2.0702518836542794</v>
      </c>
      <c r="M5" s="26">
        <v>2.049352855707069</v>
      </c>
      <c r="N5" s="26">
        <v>2.0402063762306457</v>
      </c>
      <c r="O5" s="26">
        <v>2.1098836894224644</v>
      </c>
      <c r="P5" s="26">
        <v>2.1797422982421795</v>
      </c>
      <c r="Q5" s="26">
        <v>2.2457316676862749</v>
      </c>
      <c r="R5" s="26">
        <v>2.3126813417411722</v>
      </c>
      <c r="S5" s="26">
        <v>2.3836662182375496</v>
      </c>
      <c r="T5" s="26">
        <v>2.4519969777150914</v>
      </c>
      <c r="U5" s="26">
        <v>2.5200179400092804</v>
      </c>
      <c r="V5" s="26">
        <v>2.5816829367613341</v>
      </c>
      <c r="W5" s="26">
        <v>2.6445017062490992</v>
      </c>
      <c r="X5" s="26">
        <v>2.7084892648352326</v>
      </c>
      <c r="Y5" s="26">
        <v>2.7736607397483595</v>
      </c>
      <c r="Z5" s="26">
        <v>2.8400313692841155</v>
      </c>
      <c r="AA5" s="26">
        <v>2.8960449386190921</v>
      </c>
      <c r="AB5" s="26">
        <v>2.952904144571201</v>
      </c>
      <c r="AC5" s="26">
        <v>3.0106178772350236</v>
      </c>
      <c r="AD5" s="26">
        <v>3.0691950797792309</v>
      </c>
      <c r="AE5" s="26">
        <v>3.1286447485244691</v>
      </c>
      <c r="AF5" s="26">
        <v>3.176962279595823</v>
      </c>
      <c r="AG5" s="26">
        <v>3.2258515542629174</v>
      </c>
      <c r="AH5" s="26">
        <v>3.2753172883127024</v>
      </c>
      <c r="AI5" s="26">
        <v>3.3253642196417461</v>
      </c>
      <c r="AJ5" s="26">
        <v>3.3759971082817524</v>
      </c>
      <c r="AK5" s="26">
        <v>3.4153321058418644</v>
      </c>
      <c r="AL5" s="26">
        <v>3.4550185696529958</v>
      </c>
      <c r="AM5" s="26">
        <v>3.4950586906093695</v>
      </c>
      <c r="AN5" s="26">
        <v>3.5354546673749883</v>
      </c>
      <c r="AO5" s="27">
        <v>3.5762087063904042</v>
      </c>
    </row>
    <row r="6" spans="1:41" s="1" customFormat="1" x14ac:dyDescent="0.3">
      <c r="A6" s="18" t="s">
        <v>8</v>
      </c>
      <c r="B6" s="3" t="s">
        <v>15</v>
      </c>
      <c r="C6" s="30" t="s">
        <v>15</v>
      </c>
      <c r="D6" s="3" t="s">
        <v>10</v>
      </c>
      <c r="E6" s="3" t="s">
        <v>10</v>
      </c>
      <c r="F6" s="3" t="s">
        <v>10</v>
      </c>
      <c r="G6" s="3" t="s">
        <v>11</v>
      </c>
      <c r="H6" s="3">
        <v>0</v>
      </c>
      <c r="I6" s="39">
        <v>14.596345493518628</v>
      </c>
      <c r="J6" s="39">
        <v>15.652534892568365</v>
      </c>
      <c r="K6" s="39">
        <v>12.125781629703091</v>
      </c>
      <c r="L6" s="39">
        <v>15.512829671845445</v>
      </c>
      <c r="M6" s="39">
        <v>16.570493850832676</v>
      </c>
      <c r="N6" s="39">
        <v>17.137204740531157</v>
      </c>
      <c r="O6" s="39">
        <v>17.723297142657323</v>
      </c>
      <c r="P6" s="39">
        <v>18.329433904936202</v>
      </c>
      <c r="Q6" s="39">
        <v>18.956300544485021</v>
      </c>
      <c r="R6" s="39">
        <v>19.604606023106406</v>
      </c>
      <c r="S6" s="39">
        <v>20.275083549096649</v>
      </c>
      <c r="T6" s="39">
        <v>20.968491406475753</v>
      </c>
      <c r="U6" s="39">
        <v>21.685613812577227</v>
      </c>
      <c r="V6" s="39">
        <v>22.427261804967365</v>
      </c>
      <c r="W6" s="39">
        <v>23.194274158697251</v>
      </c>
      <c r="X6" s="39">
        <v>23.987518334924697</v>
      </c>
      <c r="Y6" s="39">
        <v>24.807891461979125</v>
      </c>
      <c r="Z6" s="39">
        <v>25.656321349978811</v>
      </c>
      <c r="AA6" s="39">
        <v>26.533767540148087</v>
      </c>
      <c r="AB6" s="39">
        <v>27.441222390021153</v>
      </c>
      <c r="AC6" s="39">
        <v>28.379712195759875</v>
      </c>
      <c r="AD6" s="39">
        <v>29.35029835285486</v>
      </c>
      <c r="AE6" s="39">
        <v>30.354078556522502</v>
      </c>
      <c r="AF6" s="39">
        <v>31.392188043155571</v>
      </c>
      <c r="AG6" s="39">
        <v>32.465800874231491</v>
      </c>
      <c r="AH6" s="39">
        <v>33.576131264130204</v>
      </c>
      <c r="AI6" s="39">
        <v>34.724434953363456</v>
      </c>
      <c r="AJ6" s="39">
        <v>35.912010628768492</v>
      </c>
      <c r="AK6" s="39">
        <v>37.140201392272374</v>
      </c>
      <c r="AL6" s="39">
        <v>38.410396279888083</v>
      </c>
      <c r="AM6" s="39">
        <v>39.724031832660259</v>
      </c>
      <c r="AN6" s="39">
        <v>41.08259372133724</v>
      </c>
      <c r="AO6" s="40">
        <v>42.487618426606971</v>
      </c>
    </row>
    <row r="7" spans="1:41" s="1" customFormat="1" x14ac:dyDescent="0.3">
      <c r="A7" s="18" t="s">
        <v>8</v>
      </c>
      <c r="B7" s="3" t="s">
        <v>16</v>
      </c>
      <c r="C7" s="3" t="s">
        <v>16</v>
      </c>
      <c r="D7" s="3" t="s">
        <v>10</v>
      </c>
      <c r="E7" s="3" t="s">
        <v>10</v>
      </c>
      <c r="F7" s="3" t="s">
        <v>10</v>
      </c>
      <c r="G7" s="3" t="s">
        <v>11</v>
      </c>
      <c r="H7" s="3">
        <v>0</v>
      </c>
      <c r="I7" s="26">
        <v>2.4702119447104948E-2</v>
      </c>
      <c r="J7" s="26">
        <v>2.6101924891565573E-2</v>
      </c>
      <c r="K7" s="26">
        <v>2.063999815365657E-2</v>
      </c>
      <c r="L7" s="26">
        <v>3.1450961708246669E-2</v>
      </c>
      <c r="M7" s="26">
        <v>3.3972951986759578E-2</v>
      </c>
      <c r="N7" s="26">
        <v>3.3972951986759578E-2</v>
      </c>
      <c r="O7" s="26">
        <v>3.3972951986759578E-2</v>
      </c>
      <c r="P7" s="26">
        <v>3.3972951986759578E-2</v>
      </c>
      <c r="Q7" s="26">
        <v>3.3972951986759578E-2</v>
      </c>
      <c r="R7" s="26">
        <v>3.3972951986759578E-2</v>
      </c>
      <c r="S7" s="26">
        <v>3.3972951986759578E-2</v>
      </c>
      <c r="T7" s="26">
        <v>3.3972951986759578E-2</v>
      </c>
      <c r="U7" s="26">
        <v>3.3972951986759578E-2</v>
      </c>
      <c r="V7" s="26">
        <v>3.3972951986759578E-2</v>
      </c>
      <c r="W7" s="26">
        <v>3.3972951986759578E-2</v>
      </c>
      <c r="X7" s="26">
        <v>3.3972951986759578E-2</v>
      </c>
      <c r="Y7" s="26">
        <v>3.3972951986759578E-2</v>
      </c>
      <c r="Z7" s="26">
        <v>3.3972951986759578E-2</v>
      </c>
      <c r="AA7" s="26">
        <v>3.3972951986759578E-2</v>
      </c>
      <c r="AB7" s="26">
        <v>3.3972951986759578E-2</v>
      </c>
      <c r="AC7" s="26">
        <v>3.3972951986759578E-2</v>
      </c>
      <c r="AD7" s="26">
        <v>3.3972951986759578E-2</v>
      </c>
      <c r="AE7" s="26">
        <v>3.3972951986759578E-2</v>
      </c>
      <c r="AF7" s="26">
        <v>3.3972951986759578E-2</v>
      </c>
      <c r="AG7" s="26">
        <v>3.3972951986759578E-2</v>
      </c>
      <c r="AH7" s="26">
        <v>3.3972951986759578E-2</v>
      </c>
      <c r="AI7" s="26">
        <v>3.3972951986759578E-2</v>
      </c>
      <c r="AJ7" s="26">
        <v>3.3972951986759578E-2</v>
      </c>
      <c r="AK7" s="26">
        <v>3.3972951986759578E-2</v>
      </c>
      <c r="AL7" s="26">
        <v>3.3972951986759578E-2</v>
      </c>
      <c r="AM7" s="26">
        <v>3.3972951986759578E-2</v>
      </c>
      <c r="AN7" s="26">
        <v>3.3972951986759578E-2</v>
      </c>
      <c r="AO7" s="27">
        <v>3.3972951986759578E-2</v>
      </c>
    </row>
    <row r="8" spans="1:41" s="1" customFormat="1" x14ac:dyDescent="0.3">
      <c r="A8" s="31" t="s">
        <v>8</v>
      </c>
      <c r="B8" s="32" t="s">
        <v>92</v>
      </c>
      <c r="C8" s="32" t="s">
        <v>92</v>
      </c>
      <c r="D8" s="3" t="s">
        <v>10</v>
      </c>
      <c r="E8" s="3" t="s">
        <v>10</v>
      </c>
      <c r="F8" s="3" t="s">
        <v>10</v>
      </c>
      <c r="G8" s="3" t="s">
        <v>11</v>
      </c>
      <c r="H8" s="3">
        <v>0</v>
      </c>
      <c r="I8" s="26">
        <v>3.3578136000000001E-2</v>
      </c>
      <c r="J8" s="26">
        <v>3.7142144499535179E-2</v>
      </c>
      <c r="K8" s="26">
        <v>3.3277419433556575E-2</v>
      </c>
      <c r="L8" s="26">
        <v>5.328854719586533E-2</v>
      </c>
      <c r="M8" s="26">
        <v>5.4526901346494724E-2</v>
      </c>
      <c r="N8" s="26">
        <v>5.4526901346494724E-2</v>
      </c>
      <c r="O8" s="26">
        <v>5.4526901346494724E-2</v>
      </c>
      <c r="P8" s="26">
        <v>5.4526901346494724E-2</v>
      </c>
      <c r="Q8" s="26">
        <v>5.4526901346494724E-2</v>
      </c>
      <c r="R8" s="26">
        <v>5.4526901346494724E-2</v>
      </c>
      <c r="S8" s="26">
        <v>5.4526901346494724E-2</v>
      </c>
      <c r="T8" s="26">
        <v>5.4526901346494724E-2</v>
      </c>
      <c r="U8" s="26">
        <v>5.4526901346494724E-2</v>
      </c>
      <c r="V8" s="26">
        <v>5.4526901346494724E-2</v>
      </c>
      <c r="W8" s="26">
        <v>5.4526901346494724E-2</v>
      </c>
      <c r="X8" s="26">
        <v>5.4526901346494724E-2</v>
      </c>
      <c r="Y8" s="26">
        <v>5.4526901346494724E-2</v>
      </c>
      <c r="Z8" s="26">
        <v>5.4526901346494724E-2</v>
      </c>
      <c r="AA8" s="26">
        <v>5.4526901346494724E-2</v>
      </c>
      <c r="AB8" s="26">
        <v>5.4526901346494724E-2</v>
      </c>
      <c r="AC8" s="26">
        <v>5.4526901346494724E-2</v>
      </c>
      <c r="AD8" s="26">
        <v>5.4526901346494724E-2</v>
      </c>
      <c r="AE8" s="26">
        <v>5.4526901346494724E-2</v>
      </c>
      <c r="AF8" s="26">
        <v>5.4526901346494724E-2</v>
      </c>
      <c r="AG8" s="26">
        <v>5.4526901346494724E-2</v>
      </c>
      <c r="AH8" s="26">
        <v>5.4526901346494724E-2</v>
      </c>
      <c r="AI8" s="26">
        <v>5.4526901346494724E-2</v>
      </c>
      <c r="AJ8" s="26">
        <v>5.4526901346494724E-2</v>
      </c>
      <c r="AK8" s="26">
        <v>5.4526901346494724E-2</v>
      </c>
      <c r="AL8" s="26">
        <v>5.4526901346494724E-2</v>
      </c>
      <c r="AM8" s="26">
        <v>5.4526901346494724E-2</v>
      </c>
      <c r="AN8" s="26">
        <v>5.4526901346494724E-2</v>
      </c>
      <c r="AO8" s="27">
        <v>5.4526901346494724E-2</v>
      </c>
    </row>
    <row r="9" spans="1:41" s="1" customFormat="1" x14ac:dyDescent="0.3">
      <c r="A9" s="18" t="s">
        <v>8</v>
      </c>
      <c r="B9" s="3" t="s">
        <v>17</v>
      </c>
      <c r="C9" s="3" t="s">
        <v>17</v>
      </c>
      <c r="D9" s="3" t="s">
        <v>10</v>
      </c>
      <c r="E9" s="3" t="s">
        <v>10</v>
      </c>
      <c r="F9" s="3" t="s">
        <v>10</v>
      </c>
      <c r="G9" s="3" t="s">
        <v>11</v>
      </c>
      <c r="H9" s="3">
        <v>0</v>
      </c>
      <c r="I9" s="26">
        <v>2.4355561210878323</v>
      </c>
      <c r="J9" s="26">
        <v>3.0032041812968795</v>
      </c>
      <c r="K9" s="26">
        <v>2.8500381804661683</v>
      </c>
      <c r="L9" s="26">
        <v>2.9478034178848334</v>
      </c>
      <c r="M9" s="26">
        <v>3.102945464944999</v>
      </c>
      <c r="N9" s="26">
        <v>3.0938366269496278</v>
      </c>
      <c r="O9" s="26">
        <v>3.2072146088792763</v>
      </c>
      <c r="P9" s="26">
        <v>3.3211617648981981</v>
      </c>
      <c r="Q9" s="26">
        <v>3.4290497064154795</v>
      </c>
      <c r="R9" s="26">
        <v>3.5387425854316468</v>
      </c>
      <c r="S9" s="26">
        <v>3.6552927947067952</v>
      </c>
      <c r="T9" s="26">
        <v>3.7677292194240728</v>
      </c>
      <c r="U9" s="26">
        <v>3.8798836862409285</v>
      </c>
      <c r="V9" s="26">
        <v>3.9817587368364125</v>
      </c>
      <c r="W9" s="26">
        <v>4.0857209492589428</v>
      </c>
      <c r="X9" s="26">
        <v>4.1918011763660861</v>
      </c>
      <c r="Y9" s="26">
        <v>4.3000305530223599</v>
      </c>
      <c r="Z9" s="26">
        <v>4.4104404971034636</v>
      </c>
      <c r="AA9" s="26">
        <v>4.5037801386979375</v>
      </c>
      <c r="AB9" s="26">
        <v>4.598662771274161</v>
      </c>
      <c r="AC9" s="26">
        <v>4.6951068186988856</v>
      </c>
      <c r="AD9" s="26">
        <v>4.793130841010866</v>
      </c>
      <c r="AE9" s="26">
        <v>4.8927535348133491</v>
      </c>
      <c r="AF9" s="26">
        <v>4.9738339328620604</v>
      </c>
      <c r="AG9" s="26">
        <v>5.0559648868267404</v>
      </c>
      <c r="AH9" s="26">
        <v>5.1391562383328946</v>
      </c>
      <c r="AI9" s="26">
        <v>5.2234178861308491</v>
      </c>
      <c r="AJ9" s="26">
        <v>5.3087597862251998</v>
      </c>
      <c r="AK9" s="26">
        <v>5.3751316765668893</v>
      </c>
      <c r="AL9" s="26">
        <v>5.4421529416843253</v>
      </c>
      <c r="AM9" s="26">
        <v>5.5098281791437076</v>
      </c>
      <c r="AN9" s="26">
        <v>5.5781620066970383</v>
      </c>
      <c r="AO9" s="27">
        <v>5.6471590623167174</v>
      </c>
    </row>
    <row r="10" spans="1:41" s="1" customFormat="1" x14ac:dyDescent="0.3">
      <c r="A10" s="18" t="s">
        <v>8</v>
      </c>
      <c r="B10" s="3" t="s">
        <v>18</v>
      </c>
      <c r="C10" s="3" t="s">
        <v>18</v>
      </c>
      <c r="D10" s="3" t="s">
        <v>10</v>
      </c>
      <c r="E10" s="3" t="s">
        <v>10</v>
      </c>
      <c r="F10" s="3" t="s">
        <v>10</v>
      </c>
      <c r="G10" s="3" t="s">
        <v>11</v>
      </c>
      <c r="H10" s="3">
        <v>0</v>
      </c>
      <c r="I10" s="26">
        <v>6.2680829689083176E-4</v>
      </c>
      <c r="J10" s="26">
        <v>6.3323307782842662E-4</v>
      </c>
      <c r="K10" s="26">
        <v>5.7322971295679492E-4</v>
      </c>
      <c r="L10" s="26">
        <v>7.3685295648184845E-4</v>
      </c>
      <c r="M10" s="26">
        <v>7.9875514556085401E-4</v>
      </c>
      <c r="N10" s="26">
        <v>7.9641036338498942E-4</v>
      </c>
      <c r="O10" s="26">
        <v>8.2559593802131886E-4</v>
      </c>
      <c r="P10" s="26">
        <v>8.5492802852061244E-4</v>
      </c>
      <c r="Q10" s="26">
        <v>8.8270036593500023E-4</v>
      </c>
      <c r="R10" s="26">
        <v>9.1093732740770241E-4</v>
      </c>
      <c r="S10" s="26">
        <v>9.4093949161794884E-4</v>
      </c>
      <c r="T10" s="26">
        <v>9.6988269213693797E-4</v>
      </c>
      <c r="U10" s="26">
        <v>9.9875331151444793E-4</v>
      </c>
      <c r="V10" s="26">
        <v>1.0249778203840737E-3</v>
      </c>
      <c r="W10" s="26">
        <v>1.0517396030368857E-3</v>
      </c>
      <c r="X10" s="26">
        <v>1.0790466015650072E-3</v>
      </c>
      <c r="Y10" s="26">
        <v>1.10690683065433E-3</v>
      </c>
      <c r="Z10" s="26">
        <v>1.1353283778430204E-3</v>
      </c>
      <c r="AA10" s="26">
        <v>1.159355715690453E-3</v>
      </c>
      <c r="AB10" s="26">
        <v>1.18378024775227E-3</v>
      </c>
      <c r="AC10" s="26">
        <v>1.2086067166701114E-3</v>
      </c>
      <c r="AD10" s="26">
        <v>1.2338399001387914E-3</v>
      </c>
      <c r="AE10" s="26">
        <v>1.259484611007333E-3</v>
      </c>
      <c r="AF10" s="26">
        <v>1.2803561944357831E-3</v>
      </c>
      <c r="AG10" s="26">
        <v>1.3014982102495457E-3</v>
      </c>
      <c r="AH10" s="26">
        <v>1.3229131918637588E-3</v>
      </c>
      <c r="AI10" s="26">
        <v>1.3446036873985378E-3</v>
      </c>
      <c r="AJ10" s="26">
        <v>1.3665722597122996E-3</v>
      </c>
      <c r="AK10" s="26">
        <v>1.3836576031480614E-3</v>
      </c>
      <c r="AL10" s="26">
        <v>1.4009101075763012E-3</v>
      </c>
      <c r="AM10" s="26">
        <v>1.4183309564949891E-3</v>
      </c>
      <c r="AN10" s="26">
        <v>1.4359213385982911E-3</v>
      </c>
      <c r="AO10" s="27">
        <v>1.4536824477854756E-3</v>
      </c>
    </row>
    <row r="11" spans="1:41" s="1" customFormat="1" x14ac:dyDescent="0.3">
      <c r="A11" s="18" t="s">
        <v>8</v>
      </c>
      <c r="B11" s="3" t="s">
        <v>19</v>
      </c>
      <c r="C11" s="3" t="s">
        <v>19</v>
      </c>
      <c r="D11" s="3" t="s">
        <v>10</v>
      </c>
      <c r="E11" s="3" t="s">
        <v>10</v>
      </c>
      <c r="F11" s="3" t="s">
        <v>10</v>
      </c>
      <c r="G11" s="3" t="s">
        <v>11</v>
      </c>
      <c r="H11" s="3">
        <v>0</v>
      </c>
      <c r="I11" s="26">
        <v>3.9305544146814522</v>
      </c>
      <c r="J11" s="26">
        <v>3.8602018314318265</v>
      </c>
      <c r="K11" s="26">
        <v>3.6127617690067293</v>
      </c>
      <c r="L11" s="26">
        <v>4.2066976074101676</v>
      </c>
      <c r="M11" s="26">
        <v>5.967978661874791</v>
      </c>
      <c r="N11" s="26">
        <v>5.9504593882024084</v>
      </c>
      <c r="O11" s="26">
        <v>6.1685223172892272</v>
      </c>
      <c r="P11" s="26">
        <v>6.3876799542457299</v>
      </c>
      <c r="Q11" s="26">
        <v>6.5951837406070357</v>
      </c>
      <c r="R11" s="26">
        <v>6.8061590119174209</v>
      </c>
      <c r="S11" s="26">
        <v>7.0303231713746861</v>
      </c>
      <c r="T11" s="26">
        <v>7.2465751780924705</v>
      </c>
      <c r="U11" s="26">
        <v>7.462284887579357</v>
      </c>
      <c r="V11" s="26">
        <v>7.6582239187353682</v>
      </c>
      <c r="W11" s="26">
        <v>7.8581772444990081</v>
      </c>
      <c r="X11" s="26">
        <v>8.0622042050029634</v>
      </c>
      <c r="Y11" s="26">
        <v>8.2703646827714969</v>
      </c>
      <c r="Z11" s="26">
        <v>8.4827191046519008</v>
      </c>
      <c r="AA11" s="26">
        <v>8.662241753578872</v>
      </c>
      <c r="AB11" s="26">
        <v>8.8447320786569659</v>
      </c>
      <c r="AC11" s="26">
        <v>9.0302255150057746</v>
      </c>
      <c r="AD11" s="26">
        <v>9.2187577596481738</v>
      </c>
      <c r="AE11" s="26">
        <v>9.4103647722652148</v>
      </c>
      <c r="AF11" s="26">
        <v>9.566308887596163</v>
      </c>
      <c r="AG11" s="26">
        <v>9.7242735654411607</v>
      </c>
      <c r="AH11" s="26">
        <v>9.8842777344638524</v>
      </c>
      <c r="AI11" s="26">
        <v>10.046340433197591</v>
      </c>
      <c r="AJ11" s="26">
        <v>10.21048081029441</v>
      </c>
      <c r="AK11" s="26">
        <v>10.338135656240764</v>
      </c>
      <c r="AL11" s="26">
        <v>10.467039462199146</v>
      </c>
      <c r="AM11" s="26">
        <v>10.597201070792568</v>
      </c>
      <c r="AN11" s="26">
        <v>10.72862936346794</v>
      </c>
      <c r="AO11" s="27">
        <v>10.86133326056261</v>
      </c>
    </row>
    <row r="12" spans="1:41" s="1" customFormat="1" x14ac:dyDescent="0.3">
      <c r="A12" s="18" t="s">
        <v>8</v>
      </c>
      <c r="B12" s="3" t="s">
        <v>20</v>
      </c>
      <c r="C12" s="3" t="s">
        <v>20</v>
      </c>
      <c r="D12" s="3" t="s">
        <v>10</v>
      </c>
      <c r="E12" s="3" t="s">
        <v>10</v>
      </c>
      <c r="F12" s="3" t="s">
        <v>10</v>
      </c>
      <c r="G12" s="3" t="s">
        <v>11</v>
      </c>
      <c r="H12" s="3">
        <v>0</v>
      </c>
      <c r="I12" s="26">
        <v>0.93368899385998405</v>
      </c>
      <c r="J12" s="26">
        <v>0.96508873043697685</v>
      </c>
      <c r="K12" s="26">
        <v>0.84821109107804105</v>
      </c>
      <c r="L12" s="26">
        <v>0.94130695235336648</v>
      </c>
      <c r="M12" s="26">
        <v>0.9318045336093187</v>
      </c>
      <c r="N12" s="26">
        <v>0.92906917888398188</v>
      </c>
      <c r="O12" s="26">
        <v>0.96311622185236179</v>
      </c>
      <c r="P12" s="26">
        <v>0.99733418596737144</v>
      </c>
      <c r="Q12" s="26">
        <v>1.0297325874743608</v>
      </c>
      <c r="R12" s="26">
        <v>1.0626730059015133</v>
      </c>
      <c r="S12" s="26">
        <v>1.0976726585291894</v>
      </c>
      <c r="T12" s="26">
        <v>1.1314369548979104</v>
      </c>
      <c r="U12" s="26">
        <v>1.1651165802168602</v>
      </c>
      <c r="V12" s="26">
        <v>1.1957093299377235</v>
      </c>
      <c r="W12" s="26">
        <v>1.2269288476359135</v>
      </c>
      <c r="X12" s="26">
        <v>1.2587843983252305</v>
      </c>
      <c r="Y12" s="26">
        <v>1.2912853317052551</v>
      </c>
      <c r="Z12" s="26">
        <v>1.3244410824629136</v>
      </c>
      <c r="AA12" s="26">
        <v>1.3524706763393697</v>
      </c>
      <c r="AB12" s="26">
        <v>1.3809636254401942</v>
      </c>
      <c r="AC12" s="26">
        <v>1.4099254623932596</v>
      </c>
      <c r="AD12" s="26">
        <v>1.4393617607184521</v>
      </c>
      <c r="AE12" s="26">
        <v>1.4692781349455357</v>
      </c>
      <c r="AF12" s="26">
        <v>1.4936263174521776</v>
      </c>
      <c r="AG12" s="26">
        <v>1.518289978518262</v>
      </c>
      <c r="AH12" s="26">
        <v>1.5432720735522445</v>
      </c>
      <c r="AI12" s="26">
        <v>1.5685755751169803</v>
      </c>
      <c r="AJ12" s="26">
        <v>1.5942034729685977</v>
      </c>
      <c r="AK12" s="26">
        <v>1.6141347379628739</v>
      </c>
      <c r="AL12" s="26">
        <v>1.6342610081117324</v>
      </c>
      <c r="AM12" s="26">
        <v>1.654583664049502</v>
      </c>
      <c r="AN12" s="26">
        <v>1.6751040924722422</v>
      </c>
      <c r="AO12" s="27">
        <v>1.6958236861481339</v>
      </c>
    </row>
    <row r="13" spans="1:41" s="1" customFormat="1" x14ac:dyDescent="0.3">
      <c r="A13" s="18" t="s">
        <v>8</v>
      </c>
      <c r="B13" s="3" t="s">
        <v>21</v>
      </c>
      <c r="C13" s="30" t="s">
        <v>21</v>
      </c>
      <c r="D13" s="3" t="s">
        <v>10</v>
      </c>
      <c r="E13" s="3" t="s">
        <v>10</v>
      </c>
      <c r="F13" s="3" t="s">
        <v>10</v>
      </c>
      <c r="G13" s="3" t="s">
        <v>11</v>
      </c>
      <c r="H13" s="3">
        <v>0</v>
      </c>
      <c r="I13" s="39">
        <v>25.85497383515396</v>
      </c>
      <c r="J13" s="39">
        <v>29.836862537801434</v>
      </c>
      <c r="K13" s="39">
        <v>28.98166571555684</v>
      </c>
      <c r="L13" s="39">
        <v>33.482629397850246</v>
      </c>
      <c r="M13" s="39">
        <v>33.448655558408866</v>
      </c>
      <c r="N13" s="39">
        <v>34.592599578506444</v>
      </c>
      <c r="O13" s="39">
        <v>35.775666484091367</v>
      </c>
      <c r="P13" s="39">
        <v>36.999194277847295</v>
      </c>
      <c r="Q13" s="39">
        <v>38.264566722149667</v>
      </c>
      <c r="R13" s="39">
        <v>39.573214904047191</v>
      </c>
      <c r="S13" s="39">
        <v>40.926618853765603</v>
      </c>
      <c r="T13" s="39">
        <v>42.32630921856439</v>
      </c>
      <c r="U13" s="39">
        <v>43.773868993839294</v>
      </c>
      <c r="V13" s="39">
        <v>45.270935313428602</v>
      </c>
      <c r="W13" s="39">
        <v>46.819201301147856</v>
      </c>
      <c r="X13" s="39">
        <v>48.42041798564712</v>
      </c>
      <c r="Y13" s="39">
        <v>50.076396280756242</v>
      </c>
      <c r="Z13" s="39">
        <v>51.789009033558102</v>
      </c>
      <c r="AA13" s="39">
        <v>53.560193142505781</v>
      </c>
      <c r="AB13" s="39">
        <v>55.391951747979491</v>
      </c>
      <c r="AC13" s="39">
        <v>57.286356497760387</v>
      </c>
      <c r="AD13" s="39">
        <v>59.245549889983799</v>
      </c>
      <c r="AE13" s="39">
        <v>61.271747696221247</v>
      </c>
      <c r="AF13" s="39">
        <v>63.367241467432009</v>
      </c>
      <c r="AG13" s="39">
        <v>65.534401125618189</v>
      </c>
      <c r="AH13" s="39">
        <v>67.77567764411431</v>
      </c>
      <c r="AI13" s="39">
        <v>70.093605819543029</v>
      </c>
      <c r="AJ13" s="39">
        <v>72.490807138571398</v>
      </c>
      <c r="AK13" s="39">
        <v>74.969992742710545</v>
      </c>
      <c r="AL13" s="39">
        <v>77.533966494511247</v>
      </c>
      <c r="AM13" s="39">
        <v>80.185628148623522</v>
      </c>
      <c r="AN13" s="39">
        <v>82.92797663130645</v>
      </c>
      <c r="AO13" s="40">
        <v>85.764113432097133</v>
      </c>
    </row>
    <row r="14" spans="1:41" s="1" customFormat="1" x14ac:dyDescent="0.3">
      <c r="A14" s="18" t="s">
        <v>8</v>
      </c>
      <c r="B14" s="3" t="s">
        <v>22</v>
      </c>
      <c r="C14" s="3" t="s">
        <v>22</v>
      </c>
      <c r="D14" s="3" t="s">
        <v>10</v>
      </c>
      <c r="E14" s="3" t="s">
        <v>10</v>
      </c>
      <c r="F14" s="3" t="s">
        <v>10</v>
      </c>
      <c r="G14" s="3" t="s">
        <v>11</v>
      </c>
      <c r="H14" s="3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  <c r="AI14" s="26">
        <v>0</v>
      </c>
      <c r="AJ14" s="26">
        <v>0</v>
      </c>
      <c r="AK14" s="26">
        <v>0</v>
      </c>
      <c r="AL14" s="26">
        <v>0</v>
      </c>
      <c r="AM14" s="26">
        <v>0</v>
      </c>
      <c r="AN14" s="26">
        <v>0</v>
      </c>
      <c r="AO14" s="27">
        <v>0</v>
      </c>
    </row>
    <row r="15" spans="1:41" s="1" customFormat="1" x14ac:dyDescent="0.3">
      <c r="A15" s="18" t="s">
        <v>8</v>
      </c>
      <c r="B15" s="3" t="s">
        <v>23</v>
      </c>
      <c r="C15" s="3" t="s">
        <v>23</v>
      </c>
      <c r="D15" s="3" t="s">
        <v>10</v>
      </c>
      <c r="E15" s="3" t="s">
        <v>10</v>
      </c>
      <c r="F15" s="3" t="s">
        <v>10</v>
      </c>
      <c r="G15" s="3" t="s">
        <v>11</v>
      </c>
      <c r="H15" s="3">
        <v>0</v>
      </c>
      <c r="I15" s="26">
        <v>7.9675700366932061</v>
      </c>
      <c r="J15" s="26">
        <v>7.5451102801209426</v>
      </c>
      <c r="K15" s="26">
        <v>6.95838050040763</v>
      </c>
      <c r="L15" s="26">
        <v>7.3992419399456786</v>
      </c>
      <c r="M15" s="26">
        <v>7.9389821726723033</v>
      </c>
      <c r="N15" s="26">
        <v>7.9156769282598649</v>
      </c>
      <c r="O15" s="26">
        <v>8.2057580100841623</v>
      </c>
      <c r="P15" s="26">
        <v>8.4972953414619692</v>
      </c>
      <c r="Q15" s="26">
        <v>8.7733299846835155</v>
      </c>
      <c r="R15" s="26">
        <v>9.0539826164544355</v>
      </c>
      <c r="S15" s="26">
        <v>9.3521799402907515</v>
      </c>
      <c r="T15" s="26">
        <v>9.6398520187961019</v>
      </c>
      <c r="U15" s="26">
        <v>9.9268026992716827</v>
      </c>
      <c r="V15" s="26">
        <v>10.187453174652168</v>
      </c>
      <c r="W15" s="26">
        <v>10.453443718275425</v>
      </c>
      <c r="X15" s="26">
        <v>10.724853268134067</v>
      </c>
      <c r="Y15" s="26">
        <v>11.001761483744239</v>
      </c>
      <c r="Z15" s="26">
        <v>11.284248748714964</v>
      </c>
      <c r="AA15" s="26">
        <v>11.523061115543101</v>
      </c>
      <c r="AB15" s="26">
        <v>11.765821272635391</v>
      </c>
      <c r="AC15" s="26">
        <v>12.012576358026111</v>
      </c>
      <c r="AD15" s="26">
        <v>12.263373858149832</v>
      </c>
      <c r="AE15" s="26">
        <v>12.518261608845613</v>
      </c>
      <c r="AF15" s="26">
        <v>12.72570832098862</v>
      </c>
      <c r="AG15" s="26">
        <v>12.935842913013015</v>
      </c>
      <c r="AH15" s="26">
        <v>13.148690565022775</v>
      </c>
      <c r="AI15" s="26">
        <v>13.364276603277498</v>
      </c>
      <c r="AJ15" s="26">
        <v>13.58262650052361</v>
      </c>
      <c r="AK15" s="26">
        <v>13.752441039690373</v>
      </c>
      <c r="AL15" s="26">
        <v>13.923917024353448</v>
      </c>
      <c r="AM15" s="26">
        <v>14.097066217528496</v>
      </c>
      <c r="AN15" s="26">
        <v>14.271900433877178</v>
      </c>
      <c r="AO15" s="27">
        <v>14.448431539795671</v>
      </c>
    </row>
    <row r="16" spans="1:41" s="1" customFormat="1" x14ac:dyDescent="0.3">
      <c r="A16" s="18" t="s">
        <v>8</v>
      </c>
      <c r="B16" s="3" t="s">
        <v>24</v>
      </c>
      <c r="C16" s="3" t="s">
        <v>24</v>
      </c>
      <c r="D16" s="3" t="s">
        <v>10</v>
      </c>
      <c r="E16" s="3" t="s">
        <v>10</v>
      </c>
      <c r="F16" s="3" t="s">
        <v>10</v>
      </c>
      <c r="G16" s="3" t="s">
        <v>11</v>
      </c>
      <c r="H16" s="3">
        <v>0</v>
      </c>
      <c r="I16" s="26">
        <v>6.2773529455139307</v>
      </c>
      <c r="J16" s="26">
        <v>6.5654501654685138</v>
      </c>
      <c r="K16" s="26">
        <v>5.806427330907967</v>
      </c>
      <c r="L16" s="26">
        <v>6.2830976300141534</v>
      </c>
      <c r="M16" s="26">
        <v>6.6929090347836633</v>
      </c>
      <c r="N16" s="26">
        <v>6.6732616949240562</v>
      </c>
      <c r="O16" s="26">
        <v>6.9178127281842983</v>
      </c>
      <c r="P16" s="26">
        <v>7.163591443480045</v>
      </c>
      <c r="Q16" s="26">
        <v>7.396300714939323</v>
      </c>
      <c r="R16" s="26">
        <v>7.632903152627267</v>
      </c>
      <c r="S16" s="26">
        <v>7.8842965327160126</v>
      </c>
      <c r="T16" s="26">
        <v>8.1268166708655816</v>
      </c>
      <c r="U16" s="26">
        <v>8.3687286389391762</v>
      </c>
      <c r="V16" s="26">
        <v>8.5884683843689729</v>
      </c>
      <c r="W16" s="26">
        <v>8.8127100407756505</v>
      </c>
      <c r="X16" s="26">
        <v>9.0415201563378602</v>
      </c>
      <c r="Y16" s="26">
        <v>9.2749658875101346</v>
      </c>
      <c r="Z16" s="26">
        <v>9.5131150011889574</v>
      </c>
      <c r="AA16" s="26">
        <v>9.7144442664270105</v>
      </c>
      <c r="AB16" s="26">
        <v>9.9191016914406731</v>
      </c>
      <c r="AC16" s="26">
        <v>10.127127015653546</v>
      </c>
      <c r="AD16" s="26">
        <v>10.338560272205902</v>
      </c>
      <c r="AE16" s="26">
        <v>10.553441788801278</v>
      </c>
      <c r="AF16" s="26">
        <v>10.728328435948232</v>
      </c>
      <c r="AG16" s="26">
        <v>10.90548108333946</v>
      </c>
      <c r="AH16" s="26">
        <v>11.084920958903394</v>
      </c>
      <c r="AI16" s="26">
        <v>11.266669413784049</v>
      </c>
      <c r="AJ16" s="26">
        <v>11.450747922620236</v>
      </c>
      <c r="AK16" s="26">
        <v>11.593909002807456</v>
      </c>
      <c r="AL16" s="26">
        <v>11.738470754180378</v>
      </c>
      <c r="AM16" s="26">
        <v>11.884443093475442</v>
      </c>
      <c r="AN16" s="26">
        <v>12.031835980968919</v>
      </c>
      <c r="AO16" s="27">
        <v>12.180659420551544</v>
      </c>
    </row>
    <row r="17" spans="1:41" s="1" customFormat="1" x14ac:dyDescent="0.3">
      <c r="A17" s="18" t="s">
        <v>8</v>
      </c>
      <c r="B17" s="3" t="s">
        <v>25</v>
      </c>
      <c r="C17" s="3" t="s">
        <v>25</v>
      </c>
      <c r="D17" s="3" t="s">
        <v>10</v>
      </c>
      <c r="E17" s="3" t="s">
        <v>10</v>
      </c>
      <c r="F17" s="3" t="s">
        <v>10</v>
      </c>
      <c r="G17" s="3" t="s">
        <v>11</v>
      </c>
      <c r="H17" s="3">
        <v>0</v>
      </c>
      <c r="I17" s="26">
        <v>4.0706439947249828</v>
      </c>
      <c r="J17" s="26">
        <v>3.8556223627679822</v>
      </c>
      <c r="K17" s="26">
        <v>3.555176401440884</v>
      </c>
      <c r="L17" s="26">
        <v>3.7812015184273116</v>
      </c>
      <c r="M17" s="26">
        <v>1.9250574024186652E-2</v>
      </c>
      <c r="N17" s="26">
        <v>1.919406308576211E-2</v>
      </c>
      <c r="O17" s="26">
        <v>1.9897456444912972E-2</v>
      </c>
      <c r="P17" s="26">
        <v>2.0604380941836635E-2</v>
      </c>
      <c r="Q17" s="26">
        <v>2.1273714266562778E-2</v>
      </c>
      <c r="R17" s="26">
        <v>2.1954245365572701E-2</v>
      </c>
      <c r="S17" s="26">
        <v>2.2677319121309967E-2</v>
      </c>
      <c r="T17" s="26">
        <v>2.3374871089750122E-2</v>
      </c>
      <c r="U17" s="26">
        <v>2.407067380043016E-2</v>
      </c>
      <c r="V17" s="26">
        <v>2.4702703342960611E-2</v>
      </c>
      <c r="W17" s="26">
        <v>2.5347681570444095E-2</v>
      </c>
      <c r="X17" s="26">
        <v>2.6005799893018218E-2</v>
      </c>
      <c r="Y17" s="26">
        <v>2.6677251470382666E-2</v>
      </c>
      <c r="Z17" s="26">
        <v>2.7362231218029397E-2</v>
      </c>
      <c r="AA17" s="26">
        <v>2.7941307357202641E-2</v>
      </c>
      <c r="AB17" s="26">
        <v>2.8529956162878855E-2</v>
      </c>
      <c r="AC17" s="26">
        <v>2.9128291936135746E-2</v>
      </c>
      <c r="AD17" s="26">
        <v>2.9736429822857756E-2</v>
      </c>
      <c r="AE17" s="26">
        <v>3.0354485816171055E-2</v>
      </c>
      <c r="AF17" s="26">
        <v>3.0857506002049475E-2</v>
      </c>
      <c r="AG17" s="26">
        <v>3.1367043803095608E-2</v>
      </c>
      <c r="AH17" s="26">
        <v>3.1883160276438061E-2</v>
      </c>
      <c r="AI17" s="26">
        <v>3.2405916833605983E-2</v>
      </c>
      <c r="AJ17" s="26">
        <v>3.2935375241332193E-2</v>
      </c>
      <c r="AK17" s="26">
        <v>3.3347144317708965E-2</v>
      </c>
      <c r="AL17" s="26">
        <v>3.3762942094342045E-2</v>
      </c>
      <c r="AM17" s="26">
        <v>3.4182797094384515E-2</v>
      </c>
      <c r="AN17" s="26">
        <v>3.4606737966221497E-2</v>
      </c>
      <c r="AO17" s="27">
        <v>3.5034793483684837E-2</v>
      </c>
    </row>
    <row r="18" spans="1:41" s="1" customFormat="1" x14ac:dyDescent="0.3">
      <c r="A18" s="18" t="s">
        <v>8</v>
      </c>
      <c r="B18" s="3" t="s">
        <v>26</v>
      </c>
      <c r="C18" s="3" t="s">
        <v>26</v>
      </c>
      <c r="D18" s="3" t="s">
        <v>10</v>
      </c>
      <c r="E18" s="3" t="s">
        <v>10</v>
      </c>
      <c r="F18" s="3" t="s">
        <v>10</v>
      </c>
      <c r="G18" s="3" t="s">
        <v>11</v>
      </c>
      <c r="H18" s="3">
        <v>0</v>
      </c>
      <c r="I18" s="26">
        <v>20.408004043101865</v>
      </c>
      <c r="J18" s="26">
        <v>27.025180507125739</v>
      </c>
      <c r="K18" s="26">
        <v>20.237076252547052</v>
      </c>
      <c r="L18" s="26">
        <v>17.857118337322746</v>
      </c>
      <c r="M18" s="26">
        <v>17.055950188442701</v>
      </c>
      <c r="N18" s="26">
        <v>17.005881668425577</v>
      </c>
      <c r="O18" s="26">
        <v>17.629086050875951</v>
      </c>
      <c r="P18" s="26">
        <v>18.255419010681255</v>
      </c>
      <c r="Q18" s="26">
        <v>18.8484463059531</v>
      </c>
      <c r="R18" s="26">
        <v>19.45139479527171</v>
      </c>
      <c r="S18" s="26">
        <v>20.092035949396777</v>
      </c>
      <c r="T18" s="26">
        <v>20.710064877397439</v>
      </c>
      <c r="U18" s="26">
        <v>21.326543968329045</v>
      </c>
      <c r="V18" s="26">
        <v>21.886520225737247</v>
      </c>
      <c r="W18" s="26">
        <v>22.457968978733753</v>
      </c>
      <c r="X18" s="26">
        <v>23.041059816119834</v>
      </c>
      <c r="Y18" s="26">
        <v>23.635963876803459</v>
      </c>
      <c r="Z18" s="26">
        <v>24.242853855319218</v>
      </c>
      <c r="AA18" s="26">
        <v>24.755913557988102</v>
      </c>
      <c r="AB18" s="26">
        <v>25.277454614139749</v>
      </c>
      <c r="AC18" s="26">
        <v>25.807578294182274</v>
      </c>
      <c r="AD18" s="26">
        <v>26.346386617019995</v>
      </c>
      <c r="AE18" s="26">
        <v>26.893982352210831</v>
      </c>
      <c r="AF18" s="26">
        <v>27.3396567109777</v>
      </c>
      <c r="AG18" s="26">
        <v>27.791105657011851</v>
      </c>
      <c r="AH18" s="26">
        <v>28.248383286744009</v>
      </c>
      <c r="AI18" s="26">
        <v>28.711544010602712</v>
      </c>
      <c r="AJ18" s="26">
        <v>29.180642553725868</v>
      </c>
      <c r="AK18" s="26">
        <v>29.545468706286272</v>
      </c>
      <c r="AL18" s="26">
        <v>29.913864275052628</v>
      </c>
      <c r="AM18" s="26">
        <v>30.285854531452031</v>
      </c>
      <c r="AN18" s="26">
        <v>30.661464857866807</v>
      </c>
      <c r="AO18" s="27">
        <v>31.040720747824679</v>
      </c>
    </row>
    <row r="19" spans="1:41" s="1" customFormat="1" x14ac:dyDescent="0.3">
      <c r="A19" s="18" t="s">
        <v>8</v>
      </c>
      <c r="B19" s="3" t="s">
        <v>27</v>
      </c>
      <c r="C19" s="3" t="s">
        <v>27</v>
      </c>
      <c r="D19" s="3" t="s">
        <v>10</v>
      </c>
      <c r="E19" s="3" t="s">
        <v>10</v>
      </c>
      <c r="F19" s="3" t="s">
        <v>10</v>
      </c>
      <c r="G19" s="3" t="s">
        <v>11</v>
      </c>
      <c r="H19" s="3">
        <v>0</v>
      </c>
      <c r="I19" s="26">
        <v>21.649174516748413</v>
      </c>
      <c r="J19" s="26">
        <v>22.377231055280532</v>
      </c>
      <c r="K19" s="26">
        <v>19.667223302991843</v>
      </c>
      <c r="L19" s="26">
        <v>21.825809899589071</v>
      </c>
      <c r="M19" s="26">
        <v>21.605480086263718</v>
      </c>
      <c r="N19" s="26">
        <v>21.924515653272564</v>
      </c>
      <c r="O19" s="26">
        <v>22.839311847847767</v>
      </c>
      <c r="P19" s="26">
        <v>23.763204426776007</v>
      </c>
      <c r="Q19" s="26">
        <v>24.642127523392869</v>
      </c>
      <c r="R19" s="26">
        <v>25.539651069510608</v>
      </c>
      <c r="S19" s="26">
        <v>26.497378751366938</v>
      </c>
      <c r="T19" s="26">
        <v>27.425384712795353</v>
      </c>
      <c r="U19" s="26">
        <v>28.354891608112268</v>
      </c>
      <c r="V19" s="26">
        <v>29.202587577583607</v>
      </c>
      <c r="W19" s="26">
        <v>30.070717852787734</v>
      </c>
      <c r="X19" s="26">
        <v>30.959658020585358</v>
      </c>
      <c r="Y19" s="26">
        <v>31.869788444695445</v>
      </c>
      <c r="Z19" s="26">
        <v>32.801494299702547</v>
      </c>
      <c r="AA19" s="26">
        <v>33.59188311522113</v>
      </c>
      <c r="AB19" s="26">
        <v>34.397645316602187</v>
      </c>
      <c r="AC19" s="26">
        <v>35.219009147208325</v>
      </c>
      <c r="AD19" s="26">
        <v>36.056205197724374</v>
      </c>
      <c r="AE19" s="26">
        <v>36.90946641968425</v>
      </c>
      <c r="AF19" s="26">
        <v>37.605873688045385</v>
      </c>
      <c r="AG19" s="26">
        <v>38.312897865010285</v>
      </c>
      <c r="AH19" s="26">
        <v>39.030662618475503</v>
      </c>
      <c r="AI19" s="26">
        <v>39.759292615146819</v>
      </c>
      <c r="AJ19" s="26">
        <v>40.498913525064005</v>
      </c>
      <c r="AK19" s="26">
        <v>41.075411094215568</v>
      </c>
      <c r="AL19" s="26">
        <v>41.658545180062269</v>
      </c>
      <c r="AM19" s="26">
        <v>42.248374205623854</v>
      </c>
      <c r="AN19" s="26">
        <v>42.844956950838785</v>
      </c>
      <c r="AO19" s="27">
        <v>43.448352553788091</v>
      </c>
    </row>
    <row r="20" spans="1:41" s="1" customFormat="1" x14ac:dyDescent="0.3">
      <c r="A20" s="18" t="s">
        <v>8</v>
      </c>
      <c r="B20" s="3" t="s">
        <v>28</v>
      </c>
      <c r="C20" s="30" t="s">
        <v>28</v>
      </c>
      <c r="D20" s="3" t="s">
        <v>10</v>
      </c>
      <c r="E20" s="3" t="s">
        <v>10</v>
      </c>
      <c r="F20" s="3" t="s">
        <v>10</v>
      </c>
      <c r="G20" s="3" t="s">
        <v>11</v>
      </c>
      <c r="H20" s="3">
        <v>0</v>
      </c>
      <c r="I20" s="39">
        <v>21.242188442147917</v>
      </c>
      <c r="J20" s="39">
        <v>22.509372210253847</v>
      </c>
      <c r="K20" s="39">
        <v>26.145588685042163</v>
      </c>
      <c r="L20" s="39">
        <v>25.439347529370227</v>
      </c>
      <c r="M20" s="39">
        <v>27.766969471095848</v>
      </c>
      <c r="N20" s="39">
        <v>28.716599827007322</v>
      </c>
      <c r="O20" s="39">
        <v>29.698707541090975</v>
      </c>
      <c r="P20" s="39">
        <v>30.714403338996284</v>
      </c>
      <c r="Q20" s="39">
        <v>31.764835933189961</v>
      </c>
      <c r="R20" s="39">
        <v>32.851193322105054</v>
      </c>
      <c r="S20" s="39">
        <v>33.974704133721055</v>
      </c>
      <c r="T20" s="39">
        <v>35.13663901509431</v>
      </c>
      <c r="U20" s="39">
        <v>36.338312069410534</v>
      </c>
      <c r="V20" s="39">
        <v>37.581082342184374</v>
      </c>
      <c r="W20" s="39">
        <v>38.86635535828708</v>
      </c>
      <c r="X20" s="39">
        <v>40.195584711540498</v>
      </c>
      <c r="Y20" s="39">
        <v>41.570273708675181</v>
      </c>
      <c r="Z20" s="39">
        <v>42.991977069511869</v>
      </c>
      <c r="AA20" s="39">
        <v>44.462302685289174</v>
      </c>
      <c r="AB20" s="39">
        <v>45.982913437126065</v>
      </c>
      <c r="AC20" s="39">
        <v>47.555529076675775</v>
      </c>
      <c r="AD20" s="39">
        <v>49.181928171098086</v>
      </c>
      <c r="AE20" s="39">
        <v>50.863950114549638</v>
      </c>
      <c r="AF20" s="39">
        <v>52.603497208467232</v>
      </c>
      <c r="AG20" s="39">
        <v>54.402536812996814</v>
      </c>
      <c r="AH20" s="39">
        <v>56.263103572001299</v>
      </c>
      <c r="AI20" s="39">
        <v>58.187301714163745</v>
      </c>
      <c r="AJ20" s="39">
        <v>60.177307432788147</v>
      </c>
      <c r="AK20" s="39">
        <v>62.235371346989503</v>
      </c>
      <c r="AL20" s="39">
        <v>64.363821047056533</v>
      </c>
      <c r="AM20" s="39">
        <v>66.565063726865873</v>
      </c>
      <c r="AN20" s="39">
        <v>68.841588906324688</v>
      </c>
      <c r="AO20" s="40">
        <v>71.19597124692099</v>
      </c>
    </row>
    <row r="21" spans="1:41" s="1" customFormat="1" x14ac:dyDescent="0.3">
      <c r="A21" s="18" t="s">
        <v>8</v>
      </c>
      <c r="B21" s="3" t="s">
        <v>29</v>
      </c>
      <c r="C21" s="3" t="s">
        <v>29</v>
      </c>
      <c r="D21" s="3" t="s">
        <v>10</v>
      </c>
      <c r="E21" s="3" t="s">
        <v>10</v>
      </c>
      <c r="F21" s="3" t="s">
        <v>10</v>
      </c>
      <c r="G21" s="3" t="s">
        <v>11</v>
      </c>
      <c r="H21" s="3">
        <v>0</v>
      </c>
      <c r="I21" s="26">
        <v>0.34322036518603366</v>
      </c>
      <c r="J21" s="26">
        <v>0.34850193801537238</v>
      </c>
      <c r="K21" s="26">
        <v>0.16457454199306512</v>
      </c>
      <c r="L21" s="26">
        <v>0.29378480061996837</v>
      </c>
      <c r="M21" s="26">
        <v>0.32650178258956991</v>
      </c>
      <c r="N21" s="26">
        <v>0.33132304464539847</v>
      </c>
      <c r="O21" s="26">
        <v>0.34514743489465077</v>
      </c>
      <c r="P21" s="26">
        <v>0.3591092896063694</v>
      </c>
      <c r="Q21" s="26">
        <v>0.37239156598526824</v>
      </c>
      <c r="R21" s="26">
        <v>0.38595493215688431</v>
      </c>
      <c r="S21" s="26">
        <v>0.40042810257998801</v>
      </c>
      <c r="T21" s="26">
        <v>0.41445211868378956</v>
      </c>
      <c r="U21" s="26">
        <v>0.42849881688436414</v>
      </c>
      <c r="V21" s="26">
        <v>0.44130918925384244</v>
      </c>
      <c r="W21" s="26">
        <v>0.45442836463168235</v>
      </c>
      <c r="X21" s="26">
        <v>0.46786201888248163</v>
      </c>
      <c r="Y21" s="26">
        <v>0.48161590005866856</v>
      </c>
      <c r="Z21" s="26">
        <v>0.49569582891442054</v>
      </c>
      <c r="AA21" s="26">
        <v>0.50764017618998736</v>
      </c>
      <c r="AB21" s="26">
        <v>0.51981684590729083</v>
      </c>
      <c r="AC21" s="26">
        <v>0.53222928727757091</v>
      </c>
      <c r="AD21" s="26">
        <v>0.54488098498477555</v>
      </c>
      <c r="AE21" s="26">
        <v>0.55777545938997874</v>
      </c>
      <c r="AF21" s="26">
        <v>0.56829955853613956</v>
      </c>
      <c r="AG21" s="26">
        <v>0.5789841002908831</v>
      </c>
      <c r="AH21" s="26">
        <v>0.58983095352213122</v>
      </c>
      <c r="AI21" s="26">
        <v>0.6008420021918004</v>
      </c>
      <c r="AJ21" s="26">
        <v>0.61201914542417934</v>
      </c>
      <c r="AK21" s="26">
        <v>0.62073117048610849</v>
      </c>
      <c r="AL21" s="26">
        <v>0.62954348651692593</v>
      </c>
      <c r="AM21" s="26">
        <v>0.63845697640467736</v>
      </c>
      <c r="AN21" s="26">
        <v>0.64747252843116043</v>
      </c>
      <c r="AO21" s="27">
        <v>0.65659103629041937</v>
      </c>
    </row>
    <row r="22" spans="1:41" s="1" customFormat="1" x14ac:dyDescent="0.3">
      <c r="A22" s="18" t="s">
        <v>8</v>
      </c>
      <c r="B22" s="3" t="s">
        <v>30</v>
      </c>
      <c r="C22" s="3" t="s">
        <v>30</v>
      </c>
      <c r="D22" s="3" t="s">
        <v>10</v>
      </c>
      <c r="E22" s="3" t="s">
        <v>10</v>
      </c>
      <c r="F22" s="3" t="s">
        <v>10</v>
      </c>
      <c r="G22" s="3" t="s">
        <v>11</v>
      </c>
      <c r="H22" s="3">
        <v>0</v>
      </c>
      <c r="I22" s="26">
        <v>12.232029002216677</v>
      </c>
      <c r="J22" s="26">
        <v>12.915711018350191</v>
      </c>
      <c r="K22" s="26">
        <v>13.393628466236791</v>
      </c>
      <c r="L22" s="26">
        <v>13.465839039840823</v>
      </c>
      <c r="M22" s="26">
        <v>15.002677467239709</v>
      </c>
      <c r="N22" s="26">
        <v>15.002677467239709</v>
      </c>
      <c r="O22" s="26">
        <v>15.002677467239709</v>
      </c>
      <c r="P22" s="26">
        <v>15.002677467239709</v>
      </c>
      <c r="Q22" s="26">
        <v>15.002677467239709</v>
      </c>
      <c r="R22" s="26">
        <v>15.002677467239709</v>
      </c>
      <c r="S22" s="26">
        <v>15.002677467239709</v>
      </c>
      <c r="T22" s="26">
        <v>15.002677467239709</v>
      </c>
      <c r="U22" s="26">
        <v>15.002677467239709</v>
      </c>
      <c r="V22" s="26">
        <v>15.002677467239709</v>
      </c>
      <c r="W22" s="26">
        <v>15.002677467239709</v>
      </c>
      <c r="X22" s="26">
        <v>15.002677467239709</v>
      </c>
      <c r="Y22" s="26">
        <v>15.002677467239709</v>
      </c>
      <c r="Z22" s="26">
        <v>15.002677467239709</v>
      </c>
      <c r="AA22" s="26">
        <v>15.002677467239709</v>
      </c>
      <c r="AB22" s="26">
        <v>15.002677467239709</v>
      </c>
      <c r="AC22" s="26">
        <v>15.002677467239709</v>
      </c>
      <c r="AD22" s="26">
        <v>15.002677467239709</v>
      </c>
      <c r="AE22" s="26">
        <v>15.002677467239709</v>
      </c>
      <c r="AF22" s="26">
        <v>15.002677467239709</v>
      </c>
      <c r="AG22" s="26">
        <v>15.002677467239709</v>
      </c>
      <c r="AH22" s="26">
        <v>15.002677467239709</v>
      </c>
      <c r="AI22" s="26">
        <v>15.002677467239709</v>
      </c>
      <c r="AJ22" s="26">
        <v>15.002677467239709</v>
      </c>
      <c r="AK22" s="26">
        <v>15.002677467239709</v>
      </c>
      <c r="AL22" s="26">
        <v>15.002677467239709</v>
      </c>
      <c r="AM22" s="26">
        <v>15.002677467239709</v>
      </c>
      <c r="AN22" s="26">
        <v>15.002677467239709</v>
      </c>
      <c r="AO22" s="27">
        <v>15.002677467239709</v>
      </c>
    </row>
    <row r="23" spans="1:41" s="1" customFormat="1" x14ac:dyDescent="0.3">
      <c r="A23" s="18" t="s">
        <v>8</v>
      </c>
      <c r="B23" s="3" t="s">
        <v>31</v>
      </c>
      <c r="C23" s="3" t="s">
        <v>31</v>
      </c>
      <c r="D23" s="3" t="s">
        <v>10</v>
      </c>
      <c r="E23" s="3" t="s">
        <v>10</v>
      </c>
      <c r="F23" s="3" t="s">
        <v>10</v>
      </c>
      <c r="G23" s="3" t="s">
        <v>11</v>
      </c>
      <c r="H23" s="3">
        <v>0</v>
      </c>
      <c r="I23" s="26">
        <v>2.8841609160000004</v>
      </c>
      <c r="J23" s="26">
        <v>2.8775998633606288</v>
      </c>
      <c r="K23" s="26">
        <v>3.0426686076157261</v>
      </c>
      <c r="L23" s="26">
        <v>3.0455782195842116</v>
      </c>
      <c r="M23" s="26">
        <v>3.4613569192204672</v>
      </c>
      <c r="N23" s="26">
        <v>3.5124687650546904</v>
      </c>
      <c r="O23" s="26">
        <v>3.6590258480321047</v>
      </c>
      <c r="P23" s="26">
        <v>3.8070402387293458</v>
      </c>
      <c r="Q23" s="26">
        <v>3.9478501873993435</v>
      </c>
      <c r="R23" s="26">
        <v>4.0916400649727223</v>
      </c>
      <c r="S23" s="26">
        <v>4.2450750881745449</v>
      </c>
      <c r="T23" s="26">
        <v>4.39374847302149</v>
      </c>
      <c r="U23" s="26">
        <v>4.5426623185237647</v>
      </c>
      <c r="V23" s="26">
        <v>4.678469451603414</v>
      </c>
      <c r="W23" s="26">
        <v>4.8175503108513889</v>
      </c>
      <c r="X23" s="26">
        <v>4.9599650680469747</v>
      </c>
      <c r="Y23" s="26">
        <v>5.1057746602573042</v>
      </c>
      <c r="Z23" s="26">
        <v>5.2550407952855851</v>
      </c>
      <c r="AA23" s="26">
        <v>5.3816669005397371</v>
      </c>
      <c r="AB23" s="26">
        <v>5.5107559353522442</v>
      </c>
      <c r="AC23" s="26">
        <v>5.6423444659895958</v>
      </c>
      <c r="AD23" s="26">
        <v>5.7764694347765726</v>
      </c>
      <c r="AE23" s="26">
        <v>5.9131681622633581</v>
      </c>
      <c r="AF23" s="26">
        <v>6.0247377319888553</v>
      </c>
      <c r="AG23" s="26">
        <v>6.1380082086097172</v>
      </c>
      <c r="AH23" s="26">
        <v>6.2529994046331261</v>
      </c>
      <c r="AI23" s="26">
        <v>6.3697312925828555</v>
      </c>
      <c r="AJ23" s="26">
        <v>6.4882240057241676</v>
      </c>
      <c r="AK23" s="26">
        <v>6.5805831591393806</v>
      </c>
      <c r="AL23" s="26">
        <v>6.6740055313717876</v>
      </c>
      <c r="AM23" s="26">
        <v>6.7685004822191264</v>
      </c>
      <c r="AN23" s="26">
        <v>6.864077428660142</v>
      </c>
      <c r="AO23" s="27">
        <v>6.960745845050651</v>
      </c>
    </row>
    <row r="24" spans="1:41" s="1" customFormat="1" x14ac:dyDescent="0.3">
      <c r="A24" s="18" t="s">
        <v>8</v>
      </c>
      <c r="B24" s="3" t="s">
        <v>32</v>
      </c>
      <c r="C24" s="3" t="s">
        <v>32</v>
      </c>
      <c r="D24" s="3" t="s">
        <v>10</v>
      </c>
      <c r="E24" s="3" t="s">
        <v>10</v>
      </c>
      <c r="F24" s="3" t="s">
        <v>10</v>
      </c>
      <c r="G24" s="3" t="s">
        <v>11</v>
      </c>
      <c r="H24" s="3">
        <v>0</v>
      </c>
      <c r="I24" s="26">
        <v>1.1028950674934677</v>
      </c>
      <c r="J24" s="26">
        <v>1.1141997347114156</v>
      </c>
      <c r="K24" s="26">
        <v>1.0086213378104902</v>
      </c>
      <c r="L24" s="26">
        <v>1.2965231877161139</v>
      </c>
      <c r="M24" s="26">
        <v>1.4054426441766172</v>
      </c>
      <c r="N24" s="26">
        <v>1.4349047024192654</v>
      </c>
      <c r="O24" s="26">
        <v>1.5032618487472491</v>
      </c>
      <c r="P24" s="26">
        <v>1.5726906431180847</v>
      </c>
      <c r="Q24" s="26">
        <v>1.6391040409051567</v>
      </c>
      <c r="R24" s="26">
        <v>1.7072657850901658</v>
      </c>
      <c r="S24" s="26">
        <v>1.7803619752121833</v>
      </c>
      <c r="T24" s="26">
        <v>1.8515525806681701</v>
      </c>
      <c r="U24" s="26">
        <v>1.9232003149112302</v>
      </c>
      <c r="V24" s="26">
        <v>1.988845544576342</v>
      </c>
      <c r="W24" s="26">
        <v>2.0563497994313518</v>
      </c>
      <c r="X24" s="26">
        <v>2.1257550380959329</v>
      </c>
      <c r="Y24" s="26">
        <v>2.1971039276654576</v>
      </c>
      <c r="Z24" s="26">
        <v>2.2704398516904609</v>
      </c>
      <c r="AA24" s="26">
        <v>2.3329029729887427</v>
      </c>
      <c r="AB24" s="26">
        <v>2.3967933926174272</v>
      </c>
      <c r="AC24" s="26">
        <v>2.4621371318652168</v>
      </c>
      <c r="AD24" s="26">
        <v>2.5289605673043987</v>
      </c>
      <c r="AE24" s="26">
        <v>2.5972904340299401</v>
      </c>
      <c r="AF24" s="26">
        <v>2.6532420414980828</v>
      </c>
      <c r="AG24" s="26">
        <v>2.7101957457897368</v>
      </c>
      <c r="AH24" s="26">
        <v>2.7681658804624654</v>
      </c>
      <c r="AI24" s="26">
        <v>2.8271669327658775</v>
      </c>
      <c r="AJ24" s="26">
        <v>2.8872135447431013</v>
      </c>
      <c r="AK24" s="26">
        <v>2.9341380322692507</v>
      </c>
      <c r="AL24" s="26">
        <v>2.9816971263930845</v>
      </c>
      <c r="AM24" s="26">
        <v>3.0298976872676833</v>
      </c>
      <c r="AN24" s="26">
        <v>3.078746630686608</v>
      </c>
      <c r="AO24" s="27">
        <v>3.1282509283857665</v>
      </c>
    </row>
    <row r="25" spans="1:41" s="1" customFormat="1" x14ac:dyDescent="0.3">
      <c r="A25" s="18" t="s">
        <v>8</v>
      </c>
      <c r="B25" s="3" t="s">
        <v>33</v>
      </c>
      <c r="C25" s="3" t="s">
        <v>33</v>
      </c>
      <c r="D25" s="3" t="s">
        <v>10</v>
      </c>
      <c r="E25" s="3" t="s">
        <v>10</v>
      </c>
      <c r="F25" s="3" t="s">
        <v>10</v>
      </c>
      <c r="G25" s="3" t="s">
        <v>11</v>
      </c>
      <c r="H25" s="3">
        <v>0</v>
      </c>
      <c r="I25" s="26">
        <v>0.59573598241959902</v>
      </c>
      <c r="J25" s="26">
        <v>0.61577044040338491</v>
      </c>
      <c r="K25" s="26">
        <v>0.54119719838783154</v>
      </c>
      <c r="L25" s="26">
        <v>0.60059658591490728</v>
      </c>
      <c r="M25" s="26">
        <v>0.59453361119519399</v>
      </c>
      <c r="N25" s="26">
        <v>0.6069967194926561</v>
      </c>
      <c r="O25" s="26">
        <v>0.6359133182779334</v>
      </c>
      <c r="P25" s="26">
        <v>0.66528324810698325</v>
      </c>
      <c r="Q25" s="26">
        <v>0.69337759787052211</v>
      </c>
      <c r="R25" s="26">
        <v>0.72221153718749642</v>
      </c>
      <c r="S25" s="26">
        <v>0.75313285728399426</v>
      </c>
      <c r="T25" s="26">
        <v>0.78324807252973383</v>
      </c>
      <c r="U25" s="26">
        <v>0.81355666345657007</v>
      </c>
      <c r="V25" s="26">
        <v>0.84132606095724272</v>
      </c>
      <c r="W25" s="26">
        <v>0.8698818676109551</v>
      </c>
      <c r="X25" s="26">
        <v>0.89924183285044179</v>
      </c>
      <c r="Y25" s="26">
        <v>0.92942400580947282</v>
      </c>
      <c r="Z25" s="26">
        <v>0.96044673869834507</v>
      </c>
      <c r="AA25" s="26">
        <v>0.9868700333278797</v>
      </c>
      <c r="AB25" s="26">
        <v>1.0138971070117522</v>
      </c>
      <c r="AC25" s="26">
        <v>1.0415389673359388</v>
      </c>
      <c r="AD25" s="26">
        <v>1.0698067721793025</v>
      </c>
      <c r="AE25" s="26">
        <v>1.0987118310838033</v>
      </c>
      <c r="AF25" s="26">
        <v>1.1223806100112419</v>
      </c>
      <c r="AG25" s="26">
        <v>1.1464732982641288</v>
      </c>
      <c r="AH25" s="26">
        <v>1.1709959592572714</v>
      </c>
      <c r="AI25" s="26">
        <v>1.195954721420643</v>
      </c>
      <c r="AJ25" s="26">
        <v>1.2213557786653306</v>
      </c>
      <c r="AK25" s="26">
        <v>1.2412058843512512</v>
      </c>
      <c r="AL25" s="26">
        <v>1.2613244427938692</v>
      </c>
      <c r="AM25" s="26">
        <v>1.2817143559910724</v>
      </c>
      <c r="AN25" s="26">
        <v>1.3023785494779134</v>
      </c>
      <c r="AO25" s="27">
        <v>1.3233199724543063</v>
      </c>
    </row>
    <row r="26" spans="1:41" s="1" customFormat="1" x14ac:dyDescent="0.3">
      <c r="A26" s="18" t="s">
        <v>8</v>
      </c>
      <c r="B26" s="3" t="s">
        <v>34</v>
      </c>
      <c r="C26" s="30" t="s">
        <v>34</v>
      </c>
      <c r="D26" s="3" t="s">
        <v>10</v>
      </c>
      <c r="E26" s="3" t="s">
        <v>10</v>
      </c>
      <c r="F26" s="3" t="s">
        <v>10</v>
      </c>
      <c r="G26" s="3" t="s">
        <v>11</v>
      </c>
      <c r="H26" s="3">
        <v>0</v>
      </c>
      <c r="I26" s="26">
        <v>1.2033743766107257</v>
      </c>
      <c r="J26" s="26">
        <v>1.5159658498415549</v>
      </c>
      <c r="K26" s="26">
        <v>2.3153074371322009</v>
      </c>
      <c r="L26" s="26">
        <v>2.1181406825469593</v>
      </c>
      <c r="M26" s="26">
        <v>4.4144162109896321</v>
      </c>
      <c r="N26" s="26">
        <v>4.5186236127088026</v>
      </c>
      <c r="O26" s="26">
        <v>4.6889418212746268</v>
      </c>
      <c r="P26" s="26">
        <v>4.8602877856131643</v>
      </c>
      <c r="Q26" s="26">
        <v>5.0226812062856849</v>
      </c>
      <c r="R26" s="26">
        <v>5.1879397174352029</v>
      </c>
      <c r="S26" s="26">
        <v>5.3636845537006925</v>
      </c>
      <c r="T26" s="26">
        <v>5.533380572109448</v>
      </c>
      <c r="U26" s="26">
        <v>5.7027952365589734</v>
      </c>
      <c r="V26" s="26">
        <v>5.8568093344988972</v>
      </c>
      <c r="W26" s="26">
        <v>6.0140935804678151</v>
      </c>
      <c r="X26" s="26">
        <v>6.174698738136704</v>
      </c>
      <c r="Y26" s="26">
        <v>6.3386760725902436</v>
      </c>
      <c r="Z26" s="26">
        <v>6.5060773524798465</v>
      </c>
      <c r="AA26" s="26">
        <v>6.6476981224612333</v>
      </c>
      <c r="AB26" s="26">
        <v>6.7917451832905327</v>
      </c>
      <c r="AC26" s="26">
        <v>6.9382489582869153</v>
      </c>
      <c r="AD26" s="26">
        <v>7.0872401137617738</v>
      </c>
      <c r="AE26" s="26">
        <v>7.2387495598632814</v>
      </c>
      <c r="AF26" s="26">
        <v>7.3621309478093639</v>
      </c>
      <c r="AG26" s="26">
        <v>7.4871691415392174</v>
      </c>
      <c r="AH26" s="26">
        <v>7.6138804402270601</v>
      </c>
      <c r="AI26" s="26">
        <v>7.742281245282757</v>
      </c>
      <c r="AJ26" s="26">
        <v>7.87238806063118</v>
      </c>
      <c r="AK26" s="26">
        <v>7.9736208430052598</v>
      </c>
      <c r="AL26" s="26">
        <v>8.0758801067016659</v>
      </c>
      <c r="AM26" s="26">
        <v>8.1791734835728462</v>
      </c>
      <c r="AN26" s="26">
        <v>8.2835086416810899</v>
      </c>
      <c r="AO26" s="27">
        <v>8.3888932853733955</v>
      </c>
    </row>
    <row r="27" spans="1:41" s="1" customFormat="1" x14ac:dyDescent="0.3">
      <c r="A27" s="18" t="s">
        <v>8</v>
      </c>
      <c r="B27" s="3" t="s">
        <v>35</v>
      </c>
      <c r="C27" s="30" t="s">
        <v>35</v>
      </c>
      <c r="D27" s="3" t="s">
        <v>10</v>
      </c>
      <c r="E27" s="3" t="s">
        <v>10</v>
      </c>
      <c r="F27" s="3" t="s">
        <v>10</v>
      </c>
      <c r="G27" s="3" t="s">
        <v>11</v>
      </c>
      <c r="H27" s="3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  <c r="AI27" s="26">
        <v>0</v>
      </c>
      <c r="AJ27" s="26">
        <v>0</v>
      </c>
      <c r="AK27" s="26">
        <v>0</v>
      </c>
      <c r="AL27" s="26">
        <v>0</v>
      </c>
      <c r="AM27" s="26">
        <v>0</v>
      </c>
      <c r="AN27" s="26">
        <v>0</v>
      </c>
      <c r="AO27" s="27">
        <v>0</v>
      </c>
    </row>
    <row r="28" spans="1:41" s="1" customFormat="1" x14ac:dyDescent="0.3">
      <c r="A28" s="18" t="s">
        <v>8</v>
      </c>
      <c r="B28" s="3" t="s">
        <v>36</v>
      </c>
      <c r="C28" s="30" t="s">
        <v>36</v>
      </c>
      <c r="D28" s="3" t="s">
        <v>10</v>
      </c>
      <c r="E28" s="3" t="s">
        <v>10</v>
      </c>
      <c r="F28" s="3" t="s">
        <v>10</v>
      </c>
      <c r="G28" s="3" t="s">
        <v>37</v>
      </c>
      <c r="H28" s="3">
        <v>0</v>
      </c>
      <c r="I28" s="8">
        <v>0.10333072354574009</v>
      </c>
      <c r="J28" s="8">
        <v>0.10793358386329732</v>
      </c>
      <c r="K28" s="8">
        <v>0.1127414782924525</v>
      </c>
      <c r="L28" s="8">
        <v>0.11776354006428665</v>
      </c>
      <c r="M28" s="8">
        <v>0.11872933089998455</v>
      </c>
      <c r="N28" s="8">
        <v>0.12153207411439688</v>
      </c>
      <c r="O28" s="8">
        <v>0.12611292149638195</v>
      </c>
      <c r="P28" s="8">
        <v>0.13072141120962683</v>
      </c>
      <c r="Q28" s="8">
        <v>0.13508911494608208</v>
      </c>
      <c r="R28" s="8">
        <v>0.13953387763190758</v>
      </c>
      <c r="S28" s="8">
        <v>0.14426067859983244</v>
      </c>
      <c r="T28" s="8">
        <v>0.14882479166916765</v>
      </c>
      <c r="U28" s="8">
        <v>0.1533813374938823</v>
      </c>
      <c r="V28" s="8">
        <v>0.15752367249891627</v>
      </c>
      <c r="W28" s="8">
        <v>0.16175396080714349</v>
      </c>
      <c r="X28" s="8">
        <v>0.16607356774897258</v>
      </c>
      <c r="Y28" s="8">
        <v>0.17048387214074337</v>
      </c>
      <c r="Z28" s="8">
        <v>0.17498626634263442</v>
      </c>
      <c r="AA28" s="8">
        <v>0.17879527266595552</v>
      </c>
      <c r="AB28" s="8">
        <v>0.18266953606409078</v>
      </c>
      <c r="AC28" s="8">
        <v>0.18660987479706739</v>
      </c>
      <c r="AD28" s="8">
        <v>0.19061711366038694</v>
      </c>
      <c r="AE28" s="8">
        <v>0.19469208400774043</v>
      </c>
      <c r="AF28" s="8">
        <v>0.19801052724829427</v>
      </c>
      <c r="AG28" s="8">
        <v>0.20137353163413582</v>
      </c>
      <c r="AH28" s="8">
        <v>0.2047815355448733</v>
      </c>
      <c r="AI28" s="8">
        <v>0.20823498010982622</v>
      </c>
      <c r="AJ28" s="8">
        <v>0.21173430921553896</v>
      </c>
      <c r="AK28" s="8">
        <v>0.21445704761218046</v>
      </c>
      <c r="AL28" s="8">
        <v>0.21720739406269729</v>
      </c>
      <c r="AM28" s="8">
        <v>0.21998555383199683</v>
      </c>
      <c r="AN28" s="8">
        <v>0.22279173315887973</v>
      </c>
      <c r="AO28" s="19">
        <v>0.22562613925805353</v>
      </c>
    </row>
    <row r="29" spans="1:41" s="1" customFormat="1" x14ac:dyDescent="0.3">
      <c r="A29" s="18" t="s">
        <v>8</v>
      </c>
      <c r="B29" s="3" t="s">
        <v>38</v>
      </c>
      <c r="C29" s="3" t="s">
        <v>38</v>
      </c>
      <c r="D29" s="3" t="s">
        <v>10</v>
      </c>
      <c r="E29" s="3" t="s">
        <v>10</v>
      </c>
      <c r="F29" s="3" t="s">
        <v>10</v>
      </c>
      <c r="G29" s="3" t="s">
        <v>11</v>
      </c>
      <c r="H29" s="3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  <c r="AI29" s="26">
        <v>0</v>
      </c>
      <c r="AJ29" s="26">
        <v>0</v>
      </c>
      <c r="AK29" s="26">
        <v>0</v>
      </c>
      <c r="AL29" s="26">
        <v>0</v>
      </c>
      <c r="AM29" s="26">
        <v>0</v>
      </c>
      <c r="AN29" s="26">
        <v>0</v>
      </c>
      <c r="AO29" s="27">
        <v>0</v>
      </c>
    </row>
    <row r="30" spans="1:41" s="1" customFormat="1" x14ac:dyDescent="0.3">
      <c r="A30" s="18" t="s">
        <v>8</v>
      </c>
      <c r="B30" s="3" t="s">
        <v>39</v>
      </c>
      <c r="C30" s="3" t="s">
        <v>39</v>
      </c>
      <c r="D30" s="3" t="s">
        <v>10</v>
      </c>
      <c r="E30" s="3" t="s">
        <v>10</v>
      </c>
      <c r="F30" s="3" t="s">
        <v>10</v>
      </c>
      <c r="G30" s="3" t="s">
        <v>11</v>
      </c>
      <c r="H30" s="3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  <c r="AI30" s="26">
        <v>0</v>
      </c>
      <c r="AJ30" s="26">
        <v>0</v>
      </c>
      <c r="AK30" s="26">
        <v>0</v>
      </c>
      <c r="AL30" s="26">
        <v>0</v>
      </c>
      <c r="AM30" s="26">
        <v>0</v>
      </c>
      <c r="AN30" s="26">
        <v>0</v>
      </c>
      <c r="AO30" s="27">
        <v>0</v>
      </c>
    </row>
    <row r="31" spans="1:41" s="1" customFormat="1" x14ac:dyDescent="0.3">
      <c r="A31" s="18" t="s">
        <v>8</v>
      </c>
      <c r="B31" s="3" t="s">
        <v>40</v>
      </c>
      <c r="C31" s="3" t="s">
        <v>40</v>
      </c>
      <c r="D31" s="3" t="s">
        <v>10</v>
      </c>
      <c r="E31" s="3" t="s">
        <v>10</v>
      </c>
      <c r="F31" s="3" t="s">
        <v>10</v>
      </c>
      <c r="G31" s="3" t="s">
        <v>11</v>
      </c>
      <c r="H31" s="3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  <c r="AI31" s="26">
        <v>0</v>
      </c>
      <c r="AJ31" s="26">
        <v>0</v>
      </c>
      <c r="AK31" s="26">
        <v>0</v>
      </c>
      <c r="AL31" s="26">
        <v>0</v>
      </c>
      <c r="AM31" s="26">
        <v>0</v>
      </c>
      <c r="AN31" s="26">
        <v>0</v>
      </c>
      <c r="AO31" s="27">
        <v>0</v>
      </c>
    </row>
    <row r="32" spans="1:41" s="1" customFormat="1" x14ac:dyDescent="0.3">
      <c r="A32" s="18" t="s">
        <v>8</v>
      </c>
      <c r="B32" s="3" t="s">
        <v>41</v>
      </c>
      <c r="C32" s="3" t="s">
        <v>41</v>
      </c>
      <c r="D32" s="3" t="s">
        <v>10</v>
      </c>
      <c r="E32" s="3" t="s">
        <v>10</v>
      </c>
      <c r="F32" s="3" t="s">
        <v>10</v>
      </c>
      <c r="G32" s="3" t="s">
        <v>11</v>
      </c>
      <c r="H32" s="3">
        <v>0</v>
      </c>
      <c r="I32" s="26">
        <v>1.3596907640092413E-3</v>
      </c>
      <c r="J32" s="26">
        <v>1.849746301311301E-3</v>
      </c>
      <c r="K32" s="26">
        <v>2.4501998208154165E-4</v>
      </c>
      <c r="L32" s="26">
        <v>1.1670743945825055E-3</v>
      </c>
      <c r="M32" s="26">
        <v>1.7147583326658758E-3</v>
      </c>
      <c r="N32" s="26">
        <v>1.7768314095137662E-3</v>
      </c>
      <c r="O32" s="26">
        <v>1.8415636939335914E-3</v>
      </c>
      <c r="P32" s="26">
        <v>1.9066074448627845E-3</v>
      </c>
      <c r="Q32" s="26">
        <v>1.9681800497226244E-3</v>
      </c>
      <c r="R32" s="26">
        <v>2.0307711873241074E-3</v>
      </c>
      <c r="S32" s="26">
        <v>2.0972630414267009E-3</v>
      </c>
      <c r="T32" s="26">
        <v>2.1613959779202812E-3</v>
      </c>
      <c r="U32" s="26">
        <v>2.2253568823017563E-3</v>
      </c>
      <c r="V32" s="26">
        <v>2.2834456502565039E-3</v>
      </c>
      <c r="W32" s="26">
        <v>2.3427156077357341E-3</v>
      </c>
      <c r="X32" s="26">
        <v>2.4031840353190624E-3</v>
      </c>
      <c r="Y32" s="26">
        <v>2.464868368918387E-3</v>
      </c>
      <c r="Z32" s="26">
        <v>2.5277862003076162E-3</v>
      </c>
      <c r="AA32" s="26">
        <v>2.5809685921302228E-3</v>
      </c>
      <c r="AB32" s="26">
        <v>2.6350235619544012E-3</v>
      </c>
      <c r="AC32" s="26">
        <v>2.6899614212625191E-3</v>
      </c>
      <c r="AD32" s="26">
        <v>2.7457925564861709E-3</v>
      </c>
      <c r="AE32" s="26">
        <v>2.8025274292130579E-3</v>
      </c>
      <c r="AF32" s="26">
        <v>2.8486969928205562E-3</v>
      </c>
      <c r="AG32" s="26">
        <v>2.895460299022593E-3</v>
      </c>
      <c r="AH32" s="26">
        <v>2.9428228526669677E-3</v>
      </c>
      <c r="AI32" s="26">
        <v>2.9907901900240942E-3</v>
      </c>
      <c r="AJ32" s="26">
        <v>3.0393678788551946E-3</v>
      </c>
      <c r="AK32" s="26">
        <v>3.0771440334301592E-3</v>
      </c>
      <c r="AL32" s="26">
        <v>3.1152870207626013E-3</v>
      </c>
      <c r="AM32" s="26">
        <v>3.1537994112490991E-3</v>
      </c>
      <c r="AN32" s="26">
        <v>3.1926837863845464E-3</v>
      </c>
      <c r="AO32" s="27">
        <v>3.2319427387803722E-3</v>
      </c>
    </row>
    <row r="33" spans="1:41" s="1" customFormat="1" x14ac:dyDescent="0.3">
      <c r="A33" s="18" t="s">
        <v>8</v>
      </c>
      <c r="B33" s="3" t="s">
        <v>42</v>
      </c>
      <c r="C33" s="3" t="s">
        <v>42</v>
      </c>
      <c r="D33" s="3" t="s">
        <v>10</v>
      </c>
      <c r="E33" s="3" t="s">
        <v>10</v>
      </c>
      <c r="F33" s="3" t="s">
        <v>10</v>
      </c>
      <c r="G33" s="3" t="s">
        <v>11</v>
      </c>
      <c r="H33" s="3">
        <v>0</v>
      </c>
      <c r="I33" s="26">
        <v>1.4983760321739228</v>
      </c>
      <c r="J33" s="26">
        <v>1.4057829676219122</v>
      </c>
      <c r="K33" s="26">
        <v>0.64133069829876255</v>
      </c>
      <c r="L33" s="26">
        <v>1.046124410105935</v>
      </c>
      <c r="M33" s="26">
        <v>1.462281969935082</v>
      </c>
      <c r="N33" s="26">
        <v>1.5152155754256882</v>
      </c>
      <c r="O33" s="26">
        <v>1.570416853982918</v>
      </c>
      <c r="P33" s="26">
        <v>1.6258837395660539</v>
      </c>
      <c r="Q33" s="26">
        <v>1.6783905612057564</v>
      </c>
      <c r="R33" s="26">
        <v>1.731765949590709</v>
      </c>
      <c r="S33" s="26">
        <v>1.7884677235664135</v>
      </c>
      <c r="T33" s="26">
        <v>1.8431579005593179</v>
      </c>
      <c r="U33" s="26">
        <v>1.8977013749813763</v>
      </c>
      <c r="V33" s="26">
        <v>1.9472373104061154</v>
      </c>
      <c r="W33" s="26">
        <v>1.9977805202157191</v>
      </c>
      <c r="X33" s="26">
        <v>2.0493457406441626</v>
      </c>
      <c r="Y33" s="26">
        <v>2.1019478403870009</v>
      </c>
      <c r="Z33" s="26">
        <v>2.1556018210530992</v>
      </c>
      <c r="AA33" s="26">
        <v>2.2009537818505827</v>
      </c>
      <c r="AB33" s="26">
        <v>2.247049844633024</v>
      </c>
      <c r="AC33" s="26">
        <v>2.2938988026481151</v>
      </c>
      <c r="AD33" s="26">
        <v>2.3415095130574528</v>
      </c>
      <c r="AE33" s="26">
        <v>2.3898908971129598</v>
      </c>
      <c r="AF33" s="26">
        <v>2.4292625794876157</v>
      </c>
      <c r="AG33" s="26">
        <v>2.4691405834087177</v>
      </c>
      <c r="AH33" s="26">
        <v>2.5095296032052161</v>
      </c>
      <c r="AI33" s="26">
        <v>2.5504343600020953</v>
      </c>
      <c r="AJ33" s="26">
        <v>2.5918596017785269</v>
      </c>
      <c r="AK33" s="26">
        <v>2.6240736978853367</v>
      </c>
      <c r="AL33" s="26">
        <v>2.6566006152900647</v>
      </c>
      <c r="AM33" s="26">
        <v>2.6894425459310738</v>
      </c>
      <c r="AN33" s="26">
        <v>2.7226016912109561</v>
      </c>
      <c r="AO33" s="27">
        <v>2.756080262012071</v>
      </c>
    </row>
    <row r="34" spans="1:41" s="1" customFormat="1" x14ac:dyDescent="0.3">
      <c r="A34" s="18" t="s">
        <v>8</v>
      </c>
      <c r="B34" s="3" t="s">
        <v>43</v>
      </c>
      <c r="C34" s="3" t="s">
        <v>43</v>
      </c>
      <c r="D34" s="3" t="s">
        <v>10</v>
      </c>
      <c r="E34" s="3" t="s">
        <v>10</v>
      </c>
      <c r="F34" s="3" t="s">
        <v>10</v>
      </c>
      <c r="G34" s="3" t="s">
        <v>11</v>
      </c>
      <c r="H34" s="3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  <c r="AI34" s="26">
        <v>0</v>
      </c>
      <c r="AJ34" s="26">
        <v>0</v>
      </c>
      <c r="AK34" s="26">
        <v>0</v>
      </c>
      <c r="AL34" s="26">
        <v>0</v>
      </c>
      <c r="AM34" s="26">
        <v>0</v>
      </c>
      <c r="AN34" s="26">
        <v>0</v>
      </c>
      <c r="AO34" s="27">
        <v>0</v>
      </c>
    </row>
    <row r="35" spans="1:41" s="1" customFormat="1" x14ac:dyDescent="0.3">
      <c r="A35" s="18" t="s">
        <v>8</v>
      </c>
      <c r="B35" s="3" t="s">
        <v>44</v>
      </c>
      <c r="C35" s="30" t="s">
        <v>44</v>
      </c>
      <c r="D35" s="3" t="s">
        <v>10</v>
      </c>
      <c r="E35" s="3" t="s">
        <v>10</v>
      </c>
      <c r="F35" s="3" t="s">
        <v>10</v>
      </c>
      <c r="G35" s="3" t="s">
        <v>11</v>
      </c>
      <c r="H35" s="3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0</v>
      </c>
      <c r="X35" s="39">
        <v>0</v>
      </c>
      <c r="Y35" s="39">
        <v>0</v>
      </c>
      <c r="Z35" s="39">
        <v>0</v>
      </c>
      <c r="AA35" s="39">
        <v>0</v>
      </c>
      <c r="AB35" s="39">
        <v>0</v>
      </c>
      <c r="AC35" s="39">
        <v>0</v>
      </c>
      <c r="AD35" s="39">
        <v>0</v>
      </c>
      <c r="AE35" s="39">
        <v>0</v>
      </c>
      <c r="AF35" s="39">
        <v>0</v>
      </c>
      <c r="AG35" s="39">
        <v>0</v>
      </c>
      <c r="AH35" s="39">
        <v>0</v>
      </c>
      <c r="AI35" s="39">
        <v>0</v>
      </c>
      <c r="AJ35" s="39">
        <v>0</v>
      </c>
      <c r="AK35" s="39">
        <v>0</v>
      </c>
      <c r="AL35" s="39">
        <v>0</v>
      </c>
      <c r="AM35" s="39">
        <v>0</v>
      </c>
      <c r="AN35" s="39">
        <v>0</v>
      </c>
      <c r="AO35" s="39">
        <v>0</v>
      </c>
    </row>
    <row r="36" spans="1:41" s="1" customFormat="1" ht="15" thickBot="1" x14ac:dyDescent="0.35">
      <c r="A36" s="20" t="s">
        <v>8</v>
      </c>
      <c r="B36" s="21" t="s">
        <v>45</v>
      </c>
      <c r="C36" s="21" t="s">
        <v>45</v>
      </c>
      <c r="D36" s="21" t="s">
        <v>10</v>
      </c>
      <c r="E36" s="21" t="s">
        <v>10</v>
      </c>
      <c r="F36" s="21" t="s">
        <v>10</v>
      </c>
      <c r="G36" s="21" t="s">
        <v>11</v>
      </c>
      <c r="H36" s="21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9">
        <v>0</v>
      </c>
    </row>
    <row r="37" spans="1:41" x14ac:dyDescent="0.3">
      <c r="A37" s="5" t="s">
        <v>8</v>
      </c>
      <c r="B37" s="5" t="s">
        <v>46</v>
      </c>
      <c r="C37" s="5" t="s">
        <v>47</v>
      </c>
      <c r="D37" s="5" t="s">
        <v>10</v>
      </c>
      <c r="E37" s="5" t="s">
        <v>10</v>
      </c>
      <c r="F37" s="5" t="s">
        <v>10</v>
      </c>
      <c r="G37" s="2" t="s">
        <v>48</v>
      </c>
      <c r="H37" s="5" t="s">
        <v>49</v>
      </c>
      <c r="I37" s="22">
        <f>(D38*E38*F38 + D39*E39*F39 + D40*E40*F40 + D41*E41*F41)/1000000000</f>
        <v>43.214218049999999</v>
      </c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</row>
    <row r="38" spans="1:41" x14ac:dyDescent="0.3">
      <c r="A38" s="4" t="s">
        <v>50</v>
      </c>
      <c r="B38" s="4" t="s">
        <v>51</v>
      </c>
      <c r="C38" s="4" t="s">
        <v>52</v>
      </c>
      <c r="D38" s="11">
        <v>881250</v>
      </c>
      <c r="E38" s="9">
        <v>1.5</v>
      </c>
      <c r="F38" s="11">
        <v>7500</v>
      </c>
      <c r="G38" s="9" t="s">
        <v>37</v>
      </c>
      <c r="H38" s="4" t="s">
        <v>53</v>
      </c>
      <c r="I38" s="7">
        <f>((D38*E38*F38)/1000000000)/I37</f>
        <v>0.22941668153127673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</row>
    <row r="39" spans="1:41" x14ac:dyDescent="0.3">
      <c r="A39" s="4" t="s">
        <v>50</v>
      </c>
      <c r="B39" s="4" t="s">
        <v>54</v>
      </c>
      <c r="C39" s="4" t="s">
        <v>55</v>
      </c>
      <c r="D39" s="11">
        <v>2398511</v>
      </c>
      <c r="E39" s="9">
        <v>1.1000000000000001</v>
      </c>
      <c r="F39" s="11">
        <v>10500</v>
      </c>
      <c r="G39" s="9" t="s">
        <v>37</v>
      </c>
      <c r="H39" s="4" t="s">
        <v>53</v>
      </c>
      <c r="I39" s="7">
        <f>((D39*E39*F39)/1000000000)/I37</f>
        <v>0.64105758012205893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</row>
    <row r="40" spans="1:41" x14ac:dyDescent="0.3">
      <c r="A40" s="4" t="s">
        <v>50</v>
      </c>
      <c r="B40" s="4" t="s">
        <v>56</v>
      </c>
      <c r="C40" s="4" t="s">
        <v>57</v>
      </c>
      <c r="D40" s="11">
        <v>449918</v>
      </c>
      <c r="E40" s="9">
        <v>1.6</v>
      </c>
      <c r="F40" s="11">
        <v>7500</v>
      </c>
      <c r="G40" s="9" t="s">
        <v>37</v>
      </c>
      <c r="H40" s="4" t="s">
        <v>53</v>
      </c>
      <c r="I40" s="7">
        <f>((D40*E40*F40)/1000000000)/I37</f>
        <v>0.12493610306110814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</row>
    <row r="41" spans="1:41" x14ac:dyDescent="0.3">
      <c r="A41" s="4" t="s">
        <v>50</v>
      </c>
      <c r="B41" s="4" t="s">
        <v>61</v>
      </c>
      <c r="C41" s="4" t="s">
        <v>62</v>
      </c>
      <c r="D41" s="11">
        <v>17630</v>
      </c>
      <c r="E41" s="9">
        <v>0.25</v>
      </c>
      <c r="F41" s="11">
        <v>45000</v>
      </c>
      <c r="G41" s="9" t="s">
        <v>37</v>
      </c>
      <c r="H41" s="4" t="s">
        <v>53</v>
      </c>
      <c r="I41" s="7">
        <f>((D41*E41*F41)/1000000000)/I42</f>
        <v>9.094461934386934E-3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</row>
    <row r="42" spans="1:41" x14ac:dyDescent="0.3">
      <c r="A42" s="4" t="s">
        <v>8</v>
      </c>
      <c r="B42" s="4" t="s">
        <v>58</v>
      </c>
      <c r="C42" s="4" t="s">
        <v>59</v>
      </c>
      <c r="D42" s="4" t="s">
        <v>10</v>
      </c>
      <c r="E42" s="4" t="s">
        <v>10</v>
      </c>
      <c r="F42" s="4" t="s">
        <v>10</v>
      </c>
      <c r="G42" s="9" t="s">
        <v>60</v>
      </c>
      <c r="H42" s="4" t="s">
        <v>49</v>
      </c>
      <c r="I42" s="6">
        <f>(D43*E43*F43 + D44*E44*F44 + D45*E45*F45 + D46*E46*F46)/1000000000</f>
        <v>21.808601919599997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</row>
    <row r="43" spans="1:41" x14ac:dyDescent="0.3">
      <c r="A43" s="4" t="s">
        <v>50</v>
      </c>
      <c r="B43" s="4" t="s">
        <v>63</v>
      </c>
      <c r="C43" s="4" t="s">
        <v>64</v>
      </c>
      <c r="D43" s="11">
        <v>4960</v>
      </c>
      <c r="E43" s="9">
        <v>14.3</v>
      </c>
      <c r="F43" s="11">
        <v>33000</v>
      </c>
      <c r="G43" s="9" t="s">
        <v>37</v>
      </c>
      <c r="H43" s="4" t="s">
        <v>53</v>
      </c>
      <c r="I43" s="7">
        <f>((D43*E43*F43)/1000000000)/I42</f>
        <v>0.10732572443795291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</row>
    <row r="44" spans="1:41" x14ac:dyDescent="0.3">
      <c r="A44" s="4" t="s">
        <v>50</v>
      </c>
      <c r="B44" s="4" t="s">
        <v>65</v>
      </c>
      <c r="C44" s="4" t="s">
        <v>66</v>
      </c>
      <c r="D44" s="11">
        <v>95059</v>
      </c>
      <c r="E44" s="9">
        <v>4.6364999999999998</v>
      </c>
      <c r="F44" s="11">
        <v>44000</v>
      </c>
      <c r="G44" s="9" t="s">
        <v>37</v>
      </c>
      <c r="H44" s="4" t="s">
        <v>53</v>
      </c>
      <c r="I44" s="7">
        <f>((D44*E44*F44)/1000000000)/I42</f>
        <v>0.88921822799522632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</row>
    <row r="45" spans="1:41" x14ac:dyDescent="0.3">
      <c r="A45" s="4" t="s">
        <v>50</v>
      </c>
      <c r="B45" s="4" t="s">
        <v>67</v>
      </c>
      <c r="C45" s="4" t="s">
        <v>68</v>
      </c>
      <c r="D45" s="11">
        <v>2</v>
      </c>
      <c r="E45" s="9">
        <v>1.75</v>
      </c>
      <c r="F45" s="11">
        <v>175200</v>
      </c>
      <c r="G45" s="9" t="s">
        <v>37</v>
      </c>
      <c r="H45" s="4" t="s">
        <v>53</v>
      </c>
      <c r="I45" s="7">
        <f t="shared" ref="I45" si="0">((D45*E45*F45)/1000000000)/I43</f>
        <v>5.7134485065088282E-3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</row>
    <row r="46" spans="1:41" x14ac:dyDescent="0.3">
      <c r="A46" s="4" t="s">
        <v>50</v>
      </c>
      <c r="B46" s="4" t="s">
        <v>70</v>
      </c>
      <c r="C46" s="4" t="s">
        <v>71</v>
      </c>
      <c r="D46" s="11">
        <v>2</v>
      </c>
      <c r="E46" s="9">
        <v>43.99</v>
      </c>
      <c r="F46" s="11">
        <v>849720</v>
      </c>
      <c r="G46" s="9" t="s">
        <v>37</v>
      </c>
      <c r="H46" s="4" t="s">
        <v>53</v>
      </c>
      <c r="I46" s="7">
        <f>((D46*E46*F46)/1000000000)/I44</f>
        <v>8.4072012073510199E-2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</row>
    <row r="47" spans="1:41" x14ac:dyDescent="0.3">
      <c r="A47" s="34" t="s">
        <v>50</v>
      </c>
      <c r="B47" s="35" t="s">
        <v>93</v>
      </c>
      <c r="C47" s="34" t="s">
        <v>94</v>
      </c>
      <c r="D47" s="36">
        <v>2</v>
      </c>
      <c r="E47" s="37">
        <v>1.75</v>
      </c>
      <c r="F47" s="36">
        <v>175200</v>
      </c>
      <c r="G47" s="37" t="s">
        <v>37</v>
      </c>
      <c r="H47" s="34" t="s">
        <v>53</v>
      </c>
      <c r="I47" s="38">
        <f>((D47*E47*F47)/1000000000)/I42</f>
        <v>2.811734572718759E-5</v>
      </c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</row>
    <row r="48" spans="1:41" x14ac:dyDescent="0.3">
      <c r="A48" s="4" t="s">
        <v>8</v>
      </c>
      <c r="B48" s="4" t="s">
        <v>72</v>
      </c>
      <c r="C48" s="4" t="s">
        <v>73</v>
      </c>
      <c r="D48" s="4" t="s">
        <v>10</v>
      </c>
      <c r="E48" s="4" t="s">
        <v>10</v>
      </c>
      <c r="F48" s="4" t="s">
        <v>10</v>
      </c>
      <c r="G48" s="9" t="s">
        <v>74</v>
      </c>
      <c r="H48" s="4" t="s">
        <v>49</v>
      </c>
      <c r="I48" s="6">
        <f>(D49*E49*F49 )/1000000000</f>
        <v>0.53324700000000003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</row>
    <row r="49" spans="1:41" ht="15.45" customHeight="1" x14ac:dyDescent="0.3">
      <c r="A49" s="4" t="s">
        <v>50</v>
      </c>
      <c r="B49" s="4" t="s">
        <v>75</v>
      </c>
      <c r="C49" s="4" t="s">
        <v>76</v>
      </c>
      <c r="D49" s="11">
        <v>1130</v>
      </c>
      <c r="E49" s="9">
        <v>14.3</v>
      </c>
      <c r="F49" s="11">
        <v>33000</v>
      </c>
      <c r="G49" s="9" t="s">
        <v>37</v>
      </c>
      <c r="H49" s="4" t="s">
        <v>53</v>
      </c>
      <c r="I49" s="7">
        <f>((D49*E49*F49)/1000000000)/I48</f>
        <v>1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</row>
    <row r="50" spans="1:41" x14ac:dyDescent="0.3">
      <c r="A50" s="4" t="s">
        <v>8</v>
      </c>
      <c r="B50" s="4" t="s">
        <v>77</v>
      </c>
      <c r="C50" s="4" t="s">
        <v>78</v>
      </c>
      <c r="D50" s="4" t="s">
        <v>10</v>
      </c>
      <c r="E50" s="4" t="s">
        <v>10</v>
      </c>
      <c r="F50" s="4" t="s">
        <v>10</v>
      </c>
      <c r="G50" s="9" t="s">
        <v>79</v>
      </c>
      <c r="H50" s="4" t="s">
        <v>80</v>
      </c>
      <c r="I50" s="6">
        <f>(D51*E51*F51 )/1000000000</f>
        <v>2.3114257199999999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</row>
    <row r="51" spans="1:41" x14ac:dyDescent="0.3">
      <c r="A51" s="4" t="s">
        <v>50</v>
      </c>
      <c r="B51" s="4" t="s">
        <v>81</v>
      </c>
      <c r="C51" s="4" t="s">
        <v>82</v>
      </c>
      <c r="D51" s="11">
        <v>23013</v>
      </c>
      <c r="E51" s="9">
        <v>11.16</v>
      </c>
      <c r="F51" s="11">
        <v>9000</v>
      </c>
      <c r="G51" s="9" t="s">
        <v>37</v>
      </c>
      <c r="H51" s="4" t="s">
        <v>53</v>
      </c>
      <c r="I51" s="7">
        <f>((D51*E51*F51)/1000000000)/I50</f>
        <v>1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</row>
    <row r="52" spans="1:41" x14ac:dyDescent="0.3">
      <c r="A52" s="4" t="s">
        <v>50</v>
      </c>
      <c r="B52" s="4" t="s">
        <v>83</v>
      </c>
      <c r="C52" s="4" t="s">
        <v>84</v>
      </c>
      <c r="D52" s="12" t="s">
        <v>69</v>
      </c>
      <c r="E52" s="12" t="s">
        <v>69</v>
      </c>
      <c r="F52" s="12" t="s">
        <v>69</v>
      </c>
      <c r="G52" s="9" t="s">
        <v>37</v>
      </c>
      <c r="H52" s="4" t="s">
        <v>53</v>
      </c>
      <c r="I52" s="6">
        <v>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</row>
    <row r="53" spans="1:41" x14ac:dyDescent="0.3">
      <c r="A53" s="4" t="s">
        <v>8</v>
      </c>
      <c r="B53" s="4" t="s">
        <v>85</v>
      </c>
      <c r="C53" s="4" t="s">
        <v>86</v>
      </c>
      <c r="D53" s="4" t="s">
        <v>10</v>
      </c>
      <c r="E53" s="4" t="s">
        <v>10</v>
      </c>
      <c r="F53" s="4" t="s">
        <v>10</v>
      </c>
      <c r="G53" s="9" t="s">
        <v>87</v>
      </c>
      <c r="H53" s="4" t="s">
        <v>80</v>
      </c>
      <c r="I53" s="6">
        <f>(D54*E54*F54 )/1000000000</f>
        <v>7.6002780600000008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</row>
    <row r="54" spans="1:41" x14ac:dyDescent="0.3">
      <c r="A54" s="4" t="s">
        <v>50</v>
      </c>
      <c r="B54" s="4" t="s">
        <v>88</v>
      </c>
      <c r="C54" s="4" t="s">
        <v>89</v>
      </c>
      <c r="D54" s="11">
        <v>454019</v>
      </c>
      <c r="E54" s="9">
        <v>1.86</v>
      </c>
      <c r="F54" s="11">
        <v>9000</v>
      </c>
      <c r="G54" s="9" t="s">
        <v>37</v>
      </c>
      <c r="H54" s="4" t="s">
        <v>53</v>
      </c>
      <c r="I54" s="7">
        <f>((D54*E54*F54)/1000000000)/I53</f>
        <v>1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</row>
    <row r="55" spans="1:41" x14ac:dyDescent="0.3">
      <c r="A55" s="4" t="s">
        <v>8</v>
      </c>
      <c r="B55" s="4" t="s">
        <v>90</v>
      </c>
      <c r="C55" s="4" t="s">
        <v>91</v>
      </c>
      <c r="D55" s="4" t="s">
        <v>10</v>
      </c>
      <c r="E55" s="4" t="s">
        <v>10</v>
      </c>
      <c r="F55" s="4" t="s">
        <v>10</v>
      </c>
      <c r="G55" s="9" t="s">
        <v>37</v>
      </c>
      <c r="H55" s="4" t="s">
        <v>53</v>
      </c>
      <c r="I55" s="6">
        <v>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</row>
    <row r="57" spans="1:41" x14ac:dyDescent="0.3">
      <c r="I57" s="33"/>
    </row>
  </sheetData>
  <phoneticPr fontId="5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9ED672C9-E834-4E4B-BB43-E87E9628BA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C6E7685-4DDD-4312-9FEA-B70BB66E5B25}"/>
</file>

<file path=customXml/itemProps3.xml><?xml version="1.0" encoding="utf-8"?>
<ds:datastoreItem xmlns:ds="http://schemas.openxmlformats.org/officeDocument/2006/customXml" ds:itemID="{0EFBB33F-3B30-4D18-BAAC-D5F71240E8ED}">
  <ds:schemaRefs>
    <ds:schemaRef ds:uri="http://schemas.microsoft.com/office/2006/metadata/properties"/>
    <ds:schemaRef ds:uri="http://schemas.microsoft.com/office/infopath/2007/PartnerControls"/>
    <ds:schemaRef ds:uri="9c2c21c4-f980-47d5-be5b-1bb924ee96a2"/>
    <ds:schemaRef ds:uri="c4f98862-adfd-4d9c-a945-852f80f0eb51"/>
    <ds:schemaRef ds:uri="160a8fee-1065-46af-a09f-4bc299cd7729"/>
    <ds:schemaRef ds:uri="dd2a1ab4-0a93-49a3-a811-47bf2ef55b9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Demand_Projection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Ignacio  Alfaro Corrales</cp:lastModifiedBy>
  <cp:revision/>
  <dcterms:created xsi:type="dcterms:W3CDTF">2024-02-20T21:43:28Z</dcterms:created>
  <dcterms:modified xsi:type="dcterms:W3CDTF">2025-10-18T04:24:22Z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0f79d9b1-7157-4349-8997-c6a58d152263</vt:lpwstr>
  </property>
</Properties>
</file>