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RD_model_NDC_Energy_v9\A1_Outputs\"/>
    </mc:Choice>
  </mc:AlternateContent>
  <xr:revisionPtr revIDLastSave="0" documentId="13_ncr:1_{91D36785-E076-44C0-B4D0-34E17DC7216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Techs'!$A$1:$AN$1</definedName>
    <definedName name="_xlnm._FilterDatabase" localSheetId="3" hidden="1">'Distribution Transport'!$A$1:$AN$51</definedName>
    <definedName name="_xlnm._FilterDatabase" localSheetId="0" hidden="1">Primary!$A$1:$AN$27</definedName>
    <definedName name="_xlnm._FilterDatabase" localSheetId="1" hidden="1">Secondary!$A$1:$AN$58</definedName>
    <definedName name="_xlnm._FilterDatabase" localSheetId="4" hidden="1">Transport!$A$1:$AG$92</definedName>
    <definedName name="_xlnm._FilterDatabase" localSheetId="5" hidden="1">'Transport Groups'!$A$1:$AN$25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2" l="1"/>
  <c r="N35" i="2" s="1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AG35" i="2" s="1"/>
  <c r="AH35" i="2" s="1"/>
  <c r="AI35" i="2" s="1"/>
  <c r="AJ35" i="2" s="1"/>
  <c r="AK35" i="2" s="1"/>
  <c r="AL35" i="2" s="1"/>
  <c r="AM35" i="2" s="1"/>
  <c r="AN35" i="2" s="1"/>
  <c r="M33" i="2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AG33" i="2" s="1"/>
  <c r="AH33" i="2" s="1"/>
  <c r="AI33" i="2" s="1"/>
  <c r="AJ33" i="2" s="1"/>
  <c r="AK33" i="2" s="1"/>
  <c r="AL33" i="2" s="1"/>
  <c r="AM33" i="2" s="1"/>
  <c r="AN33" i="2" s="1"/>
  <c r="M31" i="2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AH31" i="2" s="1"/>
  <c r="AI31" i="2" s="1"/>
  <c r="AJ31" i="2" s="1"/>
  <c r="AK31" i="2" s="1"/>
  <c r="AL31" i="2" s="1"/>
  <c r="AM31" i="2" s="1"/>
  <c r="AN31" i="2" s="1"/>
  <c r="M43" i="2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M43" i="2" s="1"/>
  <c r="AN43" i="2" s="1"/>
  <c r="M41" i="2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AG41" i="2" s="1"/>
  <c r="AH41" i="2" s="1"/>
  <c r="AI41" i="2" s="1"/>
  <c r="AJ41" i="2" s="1"/>
  <c r="AK41" i="2" s="1"/>
  <c r="AL41" i="2" s="1"/>
  <c r="AM41" i="2" s="1"/>
  <c r="AN41" i="2" s="1"/>
  <c r="N37" i="2"/>
  <c r="O37" i="2"/>
  <c r="P37" i="2"/>
  <c r="Q37" i="2"/>
  <c r="R37" i="2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AG37" i="2" s="1"/>
  <c r="AH37" i="2" s="1"/>
  <c r="AI37" i="2" s="1"/>
  <c r="AJ37" i="2" s="1"/>
  <c r="AK37" i="2" s="1"/>
  <c r="AL37" i="2" s="1"/>
  <c r="AM37" i="2" s="1"/>
  <c r="AN37" i="2" s="1"/>
  <c r="M37" i="2"/>
  <c r="N26" i="2"/>
  <c r="O26" i="2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M26" i="2"/>
  <c r="N28" i="2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AG28" i="2" s="1"/>
  <c r="AH28" i="2" s="1"/>
  <c r="AI28" i="2" s="1"/>
  <c r="AJ28" i="2" s="1"/>
  <c r="AK28" i="2" s="1"/>
  <c r="AL28" i="2" s="1"/>
  <c r="AM28" i="2" s="1"/>
  <c r="AN28" i="2" s="1"/>
  <c r="M28" i="2"/>
  <c r="N23" i="2"/>
  <c r="O23" i="2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M23" i="2" s="1"/>
  <c r="AN23" i="2" s="1"/>
  <c r="M23" i="2"/>
  <c r="N21" i="2"/>
  <c r="O21" i="2"/>
  <c r="P21" i="2"/>
  <c r="Q21" i="2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M21" i="2"/>
  <c r="N10" i="2"/>
  <c r="O10" i="2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M10" i="2"/>
  <c r="N16" i="2"/>
  <c r="O16" i="2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M16" i="2"/>
  <c r="N14" i="2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M14" i="2"/>
  <c r="J51" i="2"/>
  <c r="K51" i="2" s="1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AF51" i="2" s="1"/>
  <c r="AG51" i="2" s="1"/>
  <c r="AH51" i="2" s="1"/>
  <c r="AI51" i="2" s="1"/>
  <c r="AJ51" i="2" s="1"/>
  <c r="AK51" i="2" s="1"/>
  <c r="AL51" i="2" s="1"/>
  <c r="AM51" i="2" s="1"/>
  <c r="AN51" i="2" s="1"/>
  <c r="I5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Susana Solorzano Jiménez</author>
  </authors>
  <commentList>
    <comment ref="H51" authorId="0" shapeId="0" xr:uid="{45D365C5-6F38-4066-975A-4F205665117B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Pérdidas reportados por ETED</t>
        </r>
      </text>
    </comment>
  </commentList>
</comments>
</file>

<file path=xl/sharedStrings.xml><?xml version="1.0" encoding="utf-8"?>
<sst xmlns="http://schemas.openxmlformats.org/spreadsheetml/2006/main" count="2110" uniqueCount="533">
  <si>
    <t>Tech</t>
  </si>
  <si>
    <t>Tech.Name</t>
  </si>
  <si>
    <t>Fuel</t>
  </si>
  <si>
    <t>Fuel.Name</t>
  </si>
  <si>
    <t>Direction</t>
  </si>
  <si>
    <t>Projection.Mode</t>
  </si>
  <si>
    <t>Projection.Parameter</t>
  </si>
  <si>
    <t>DIST_CRU</t>
  </si>
  <si>
    <t>Primary - Import/Distribution - Crude</t>
  </si>
  <si>
    <t>E1CRU</t>
  </si>
  <si>
    <t>Primary - Crude</t>
  </si>
  <si>
    <t>Output</t>
  </si>
  <si>
    <t>Flat</t>
  </si>
  <si>
    <t>DIST_NGS</t>
  </si>
  <si>
    <t>Primary - Import/Distribution - Natural Gas</t>
  </si>
  <si>
    <t>E1NGS</t>
  </si>
  <si>
    <t>Primary - Natural Gas</t>
  </si>
  <si>
    <t>DIST_DSL</t>
  </si>
  <si>
    <t>Primary - Import/Distribution - Diesel</t>
  </si>
  <si>
    <t>E1DSL</t>
  </si>
  <si>
    <t>Primary - Diesel</t>
  </si>
  <si>
    <t>DIST_GSL</t>
  </si>
  <si>
    <t>Primary - Import/Distribution - Gasoline</t>
  </si>
  <si>
    <t>E1GSL</t>
  </si>
  <si>
    <t>Primary - Gasoline</t>
  </si>
  <si>
    <t>DIST_LPG</t>
  </si>
  <si>
    <t>Primary - Import/Distribution - LPG</t>
  </si>
  <si>
    <t>E1LPG</t>
  </si>
  <si>
    <t>Primary - LPG</t>
  </si>
  <si>
    <t>DIST_FOI</t>
  </si>
  <si>
    <t>Primary - Import/Distribution - Fuel Oil</t>
  </si>
  <si>
    <t>E1FOI</t>
  </si>
  <si>
    <t>Primary - FOI</t>
  </si>
  <si>
    <t>DIST_COK</t>
  </si>
  <si>
    <t>Primary - Import/Distribution - Coke</t>
  </si>
  <si>
    <t>E1COK</t>
  </si>
  <si>
    <t>Primary - Coke</t>
  </si>
  <si>
    <t>DIST_KER</t>
  </si>
  <si>
    <t>Primary - Import/Distribution - Kerosen</t>
  </si>
  <si>
    <t>E1KER</t>
  </si>
  <si>
    <t>Primary - Kerosen</t>
  </si>
  <si>
    <t>DIST_COA</t>
  </si>
  <si>
    <t>Primary - Import/Distribution - Coal</t>
  </si>
  <si>
    <t>E1COA</t>
  </si>
  <si>
    <t>Primary - Coal</t>
  </si>
  <si>
    <t>IMP_ELE</t>
  </si>
  <si>
    <t>Primary - Import - Electricity</t>
  </si>
  <si>
    <t>Primary - Imported Electricity</t>
  </si>
  <si>
    <t>EXTT_CRU</t>
  </si>
  <si>
    <t>Primary Extraction/Transformation - Crude</t>
  </si>
  <si>
    <t>DIST_FIR</t>
  </si>
  <si>
    <t>Primary - ETD - Firewood</t>
  </si>
  <si>
    <t>E1FIR</t>
  </si>
  <si>
    <t>Primary - Firewood</t>
  </si>
  <si>
    <t>DIST_BIM</t>
  </si>
  <si>
    <t>Primary - ETD - Biomass</t>
  </si>
  <si>
    <t>E1BIM</t>
  </si>
  <si>
    <t>Primary - Biomass</t>
  </si>
  <si>
    <t>DIST_BGS</t>
  </si>
  <si>
    <t>Primary - ETD - Biogas</t>
  </si>
  <si>
    <t>E1BGS</t>
  </si>
  <si>
    <t>Primary - Biogas</t>
  </si>
  <si>
    <t>PPHDAM</t>
  </si>
  <si>
    <t>Power Plant - Hydro Dam</t>
  </si>
  <si>
    <t>E1ELE</t>
  </si>
  <si>
    <t>Secondary - Electricity from Generation</t>
  </si>
  <si>
    <t>PPHROR</t>
  </si>
  <si>
    <t>Power Plant - Hydro ROR</t>
  </si>
  <si>
    <t>PPGEO</t>
  </si>
  <si>
    <t>Power Plant - Geothermal</t>
  </si>
  <si>
    <t>PPWNDON</t>
  </si>
  <si>
    <t>Power Plant - Wind</t>
  </si>
  <si>
    <t>PPPVT</t>
  </si>
  <si>
    <t>Power Plant - Transmission Solar</t>
  </si>
  <si>
    <t>PPPVTS</t>
  </si>
  <si>
    <t>Power Plant - Transmission Solar with battery storage</t>
  </si>
  <si>
    <t>PPPVD</t>
  </si>
  <si>
    <t>Power Plant - Distributed Solar</t>
  </si>
  <si>
    <t>E3ELE</t>
  </si>
  <si>
    <t>Secondary - Electricity from Distribution</t>
  </si>
  <si>
    <t>User defined</t>
  </si>
  <si>
    <t>REF_DSL</t>
  </si>
  <si>
    <t>Secondary Diesel Refinery</t>
  </si>
  <si>
    <t>Input</t>
  </si>
  <si>
    <t>REF_GSL</t>
  </si>
  <si>
    <t>Secondary Gasoline Refinery</t>
  </si>
  <si>
    <t>REF_LPG</t>
  </si>
  <si>
    <t>Secondary LPG Refinery</t>
  </si>
  <si>
    <t>REF_FOI</t>
  </si>
  <si>
    <t>Secondary Fuel Oil Refinery</t>
  </si>
  <si>
    <t>PPBIM</t>
  </si>
  <si>
    <t>Power Plant - Biomass</t>
  </si>
  <si>
    <t>PPBGS</t>
  </si>
  <si>
    <t>Power Plant - Biogas</t>
  </si>
  <si>
    <t>PPCOA</t>
  </si>
  <si>
    <t>Power Plant - Coal</t>
  </si>
  <si>
    <t>PPCCTDSL</t>
  </si>
  <si>
    <t>Power Plant - Combine Cycle and Gas Turbine - Diesel</t>
  </si>
  <si>
    <t>PPCCFOIDSL</t>
  </si>
  <si>
    <t>Primary -  Transformation - Combine Cycle - Fuel Oil and Diesel</t>
  </si>
  <si>
    <t>PPCCTNGS</t>
  </si>
  <si>
    <t>Power Plant- Combine Cycle and Gas Turbine - Natural Gas</t>
  </si>
  <si>
    <t>PPCCTNGSDSL</t>
  </si>
  <si>
    <t>Power Plant- Combine Cycle and Gas Turbine - Natural Gas and Diesel</t>
  </si>
  <si>
    <t>PPICEFOI</t>
  </si>
  <si>
    <t>Power Plant - Internal Combustion Engine - Fuel Oil</t>
  </si>
  <si>
    <t>PPICEGASFOI</t>
  </si>
  <si>
    <t>Power Plant - Internal Combustion Engine - Natural Gas and Fuel Oil</t>
  </si>
  <si>
    <t>ELE_TRANS</t>
  </si>
  <si>
    <t>Secondary - Power Transmission</t>
  </si>
  <si>
    <t>E2ELE</t>
  </si>
  <si>
    <t>Secondary - Electricity from Transmission</t>
  </si>
  <si>
    <t>HYD_G_PROD</t>
  </si>
  <si>
    <t>Secondary - Green Hydrogen Production</t>
  </si>
  <si>
    <t>Secondary - Electricity for H2</t>
  </si>
  <si>
    <t>E2HYDG</t>
  </si>
  <si>
    <t>Secondary - Produced Green Hydrogen</t>
  </si>
  <si>
    <t>ELE_DIST</t>
  </si>
  <si>
    <t>Secondary - Power Distribution</t>
  </si>
  <si>
    <t>HYD_DIST</t>
  </si>
  <si>
    <t>Secondary  - Distribution of Hydrogen</t>
  </si>
  <si>
    <t>E3HYD</t>
  </si>
  <si>
    <t>Secondary - Transported Hydrogen</t>
  </si>
  <si>
    <t>T5DSLCOM</t>
  </si>
  <si>
    <t>Demand Diesel for Commercial</t>
  </si>
  <si>
    <t>E5COMDSL</t>
  </si>
  <si>
    <t>Demand Commercial Diesel</t>
  </si>
  <si>
    <t>T5GSLCOM</t>
  </si>
  <si>
    <t>Demand Gasoline for Commercial</t>
  </si>
  <si>
    <t>E5COMGSL</t>
  </si>
  <si>
    <t>Demand Commercial Gasoline</t>
  </si>
  <si>
    <t>T5NGSCOM</t>
  </si>
  <si>
    <t>Demand Natural gas for Commercial</t>
  </si>
  <si>
    <t>E5COMNGS</t>
  </si>
  <si>
    <t>Demand Commercial Natural gas</t>
  </si>
  <si>
    <t>T5LPGCOM</t>
  </si>
  <si>
    <t>Demand LPG for Commercial</t>
  </si>
  <si>
    <t>E5COMLPG</t>
  </si>
  <si>
    <t>Demand Commercial LPG</t>
  </si>
  <si>
    <t>T5ELECOM</t>
  </si>
  <si>
    <t>Demand Electric for Commercial</t>
  </si>
  <si>
    <t>E5COMELE</t>
  </si>
  <si>
    <t>Demand Commercial Electric</t>
  </si>
  <si>
    <t>T5FIRCOM</t>
  </si>
  <si>
    <t>Demand Firewood for Commercial</t>
  </si>
  <si>
    <t>E5COMFIR</t>
  </si>
  <si>
    <t>Demand Commercial Firewood</t>
  </si>
  <si>
    <t>T5DSLIND</t>
  </si>
  <si>
    <t>Demand Diesel for Industrial</t>
  </si>
  <si>
    <t>E5INDDSL</t>
  </si>
  <si>
    <t>Demand Industrial Diesel</t>
  </si>
  <si>
    <t>T5GSLIND</t>
  </si>
  <si>
    <t>Demand Gasoline for Industrial</t>
  </si>
  <si>
    <t>E5INDGSL</t>
  </si>
  <si>
    <t>Demand Industrial Gasoline</t>
  </si>
  <si>
    <t>T5NGSIND</t>
  </si>
  <si>
    <t>Demand Natural gas for Industrial</t>
  </si>
  <si>
    <t>E5INDNGS</t>
  </si>
  <si>
    <t>Demand Industrial Natural gas</t>
  </si>
  <si>
    <t>T5LPGIND</t>
  </si>
  <si>
    <t>Demand LPG for Industrial</t>
  </si>
  <si>
    <t>E5INDLPG</t>
  </si>
  <si>
    <t>Demand Industrial LPG</t>
  </si>
  <si>
    <t>T5ELEIND</t>
  </si>
  <si>
    <t>Demand Electric for Industrial</t>
  </si>
  <si>
    <t>E5INDELE</t>
  </si>
  <si>
    <t>Demand Industrial Electric</t>
  </si>
  <si>
    <t>T5HYDIND</t>
  </si>
  <si>
    <t>Demand Hydrogen for Industrial</t>
  </si>
  <si>
    <t>E5INDHYD</t>
  </si>
  <si>
    <t>Demand Industrial Hydrogen</t>
  </si>
  <si>
    <t>T5COKIND</t>
  </si>
  <si>
    <t>Demand Coke for Industrial</t>
  </si>
  <si>
    <t>E5INDCOK</t>
  </si>
  <si>
    <t>Demand Industrial Coke</t>
  </si>
  <si>
    <t>T5BIMIND</t>
  </si>
  <si>
    <t>Demand Biomass for Industrial</t>
  </si>
  <si>
    <t>E5INDBIM</t>
  </si>
  <si>
    <t>Demand Industrial Biomass</t>
  </si>
  <si>
    <t>T5COAIND</t>
  </si>
  <si>
    <t>Demand Coal for Industrial</t>
  </si>
  <si>
    <t>E5INDCOA</t>
  </si>
  <si>
    <t>Demand Industrial Coal</t>
  </si>
  <si>
    <t>T5FOIIND</t>
  </si>
  <si>
    <t>Demand Fuel Oil for Industrial</t>
  </si>
  <si>
    <t>E5INDFOI</t>
  </si>
  <si>
    <t>Demand Industrial Fuel Oil</t>
  </si>
  <si>
    <t>T5LPGRES</t>
  </si>
  <si>
    <t>Demand LPG for Residential</t>
  </si>
  <si>
    <t>E5RESLPG</t>
  </si>
  <si>
    <t>Demand Residential LPG</t>
  </si>
  <si>
    <t>T5ELERES</t>
  </si>
  <si>
    <t>Demand Electric for Residential</t>
  </si>
  <si>
    <t>E5RESELE</t>
  </si>
  <si>
    <t>Demand Residential Electric</t>
  </si>
  <si>
    <t>T5KERRES</t>
  </si>
  <si>
    <t>Demand Kerosen for Residential</t>
  </si>
  <si>
    <t>E5RESKER</t>
  </si>
  <si>
    <t>Demand Residential Kerosen</t>
  </si>
  <si>
    <t>T5FIRRES</t>
  </si>
  <si>
    <t>Demand Firewood for Residential</t>
  </si>
  <si>
    <t>E5RESFIR</t>
  </si>
  <si>
    <t>Demand Residential Firewood</t>
  </si>
  <si>
    <t>T5BIMRES</t>
  </si>
  <si>
    <t>Demand Biomass for Residential</t>
  </si>
  <si>
    <t>E5RESBIM</t>
  </si>
  <si>
    <t>Demand Residential Biomass</t>
  </si>
  <si>
    <t>T5GSLCON</t>
  </si>
  <si>
    <t>Demand Gasoline for Construction</t>
  </si>
  <si>
    <t>E5CONGSL</t>
  </si>
  <si>
    <t>Demand Construction Gasoline</t>
  </si>
  <si>
    <t>T5LPGCON</t>
  </si>
  <si>
    <t>Demand LPG for Construction</t>
  </si>
  <si>
    <t>E5CONLPG</t>
  </si>
  <si>
    <t>Demand Construction LPG</t>
  </si>
  <si>
    <t>T5NGSEXP</t>
  </si>
  <si>
    <t>Demand Natural gas for Exports</t>
  </si>
  <si>
    <t>E5EXPNGS</t>
  </si>
  <si>
    <t>Demand Exports Natural gas</t>
  </si>
  <si>
    <t>T5KEREXP</t>
  </si>
  <si>
    <t>Demand Kerosen for Exports</t>
  </si>
  <si>
    <t>E5EXPKER</t>
  </si>
  <si>
    <t>Demand Exports Kerosen</t>
  </si>
  <si>
    <t>T5BIMEXP</t>
  </si>
  <si>
    <t>Demand Biomass for Exports</t>
  </si>
  <si>
    <t>E5EXPBIM</t>
  </si>
  <si>
    <t>Demand Exports Biomass</t>
  </si>
  <si>
    <t>T5DSLTOT</t>
  </si>
  <si>
    <t>Demand Diesel for Transport - Other</t>
  </si>
  <si>
    <t>E5TOTDSL</t>
  </si>
  <si>
    <t>Demand Transport - Other Diesel</t>
  </si>
  <si>
    <t>T5GSLTOT</t>
  </si>
  <si>
    <t>Demand Gasoline for Transport - Other</t>
  </si>
  <si>
    <t>E5TOTGSL</t>
  </si>
  <si>
    <t>Demand Transport - Other Gasoline</t>
  </si>
  <si>
    <t>T5ELETOT</t>
  </si>
  <si>
    <t>Demand Electric for Transport - Other</t>
  </si>
  <si>
    <t>E5TOTELE</t>
  </si>
  <si>
    <t>Demand Transport - Other Electric</t>
  </si>
  <si>
    <t>T5GSLTAC</t>
  </si>
  <si>
    <t>Demand Gasoline for Transport - Aero</t>
  </si>
  <si>
    <t>E5TACGSL</t>
  </si>
  <si>
    <t>Demand Transport - Aero Gasoline</t>
  </si>
  <si>
    <t>T5KERTAC</t>
  </si>
  <si>
    <t>Demand Kerosen for Transport - Aero</t>
  </si>
  <si>
    <t>E5TACKER</t>
  </si>
  <si>
    <t>Demand Transport - Aero Kerosen</t>
  </si>
  <si>
    <t>T5ELEAGR</t>
  </si>
  <si>
    <t>Demand Electric for Agriculture</t>
  </si>
  <si>
    <t>E5AGRELE</t>
  </si>
  <si>
    <t>Demand Agriculture Electric</t>
  </si>
  <si>
    <t>T5DSLAGR</t>
  </si>
  <si>
    <t>Demand Diesel for Agriculture</t>
  </si>
  <si>
    <t> </t>
  </si>
  <si>
    <t>E5AGRDSL</t>
  </si>
  <si>
    <t>Demand Agriculture Diesel</t>
  </si>
  <si>
    <t>T5LPGAGR</t>
  </si>
  <si>
    <t>Demand LPG for Agriculture</t>
  </si>
  <si>
    <t>E5AGRLPG</t>
  </si>
  <si>
    <t>Demand Agriculture LPG</t>
  </si>
  <si>
    <t>T4DSL_PRI</t>
  </si>
  <si>
    <t>Distribute Diesel for Private</t>
  </si>
  <si>
    <t>E4DSL_PRI</t>
  </si>
  <si>
    <t>Distributed Diesel for Private</t>
  </si>
  <si>
    <t>T4GSL_PRI</t>
  </si>
  <si>
    <t>Distribute Gasoline for Private</t>
  </si>
  <si>
    <t>E4GSL_PRI</t>
  </si>
  <si>
    <t>Distributed Gasoline for Private</t>
  </si>
  <si>
    <t>T4LPG_PRI</t>
  </si>
  <si>
    <t>Distribute LPG for Private</t>
  </si>
  <si>
    <t>E4LPG_PRI</t>
  </si>
  <si>
    <t>Distributed LPG for Private</t>
  </si>
  <si>
    <t>T4ELE_PRI</t>
  </si>
  <si>
    <t>Distribute Electric for Private</t>
  </si>
  <si>
    <t>E4ELE_PRI</t>
  </si>
  <si>
    <t>Distributed Electric for Private</t>
  </si>
  <si>
    <t>T4GSL_PUB</t>
  </si>
  <si>
    <t>Distribute Gasoline for Public</t>
  </si>
  <si>
    <t>E4GSL_PUB</t>
  </si>
  <si>
    <t>Distributed Gasoline for Public</t>
  </si>
  <si>
    <t>T4LPG_PUB</t>
  </si>
  <si>
    <t>Distribute LPG for Public</t>
  </si>
  <si>
    <t>E4LPG_PUB</t>
  </si>
  <si>
    <t>Distributed LPG for Public</t>
  </si>
  <si>
    <t>T4ELE_PUB</t>
  </si>
  <si>
    <t>Distribute Electric for Public</t>
  </si>
  <si>
    <t>E4ELE_PUB</t>
  </si>
  <si>
    <t>Distributed Electric for Public</t>
  </si>
  <si>
    <t>T4NGS_PRI</t>
  </si>
  <si>
    <t>Distribute Natural gas for Private</t>
  </si>
  <si>
    <t>E4NGS_PRI</t>
  </si>
  <si>
    <t>Distributed Natural gas for Private</t>
  </si>
  <si>
    <t>T4DSL_PUB</t>
  </si>
  <si>
    <t>Distribute Diesel for Public</t>
  </si>
  <si>
    <t>E4DSL_PUB</t>
  </si>
  <si>
    <t>Distributed Diesel for Public</t>
  </si>
  <si>
    <t>T4HYD_PUB</t>
  </si>
  <si>
    <t>Distribute Hydrogen for Public</t>
  </si>
  <si>
    <t>E4HYD_PUB</t>
  </si>
  <si>
    <t>Distributed Hydrogen for Public</t>
  </si>
  <si>
    <t>T4DSL_TUR</t>
  </si>
  <si>
    <t>Distribute Diesel for Tourism</t>
  </si>
  <si>
    <t>E4DSL_TUR</t>
  </si>
  <si>
    <t>Distributed Diesel for Tourism</t>
  </si>
  <si>
    <t>T4GSL_TUR</t>
  </si>
  <si>
    <t>Distribute Gasoline for Tourism</t>
  </si>
  <si>
    <t>E4GSL_TUR</t>
  </si>
  <si>
    <t>Distributed Gasoline for Tourism</t>
  </si>
  <si>
    <t>T4LPG_TUR</t>
  </si>
  <si>
    <t>Distribute LPG for Tourism</t>
  </si>
  <si>
    <t>E4LPG_TUR</t>
  </si>
  <si>
    <t>Distributed LPG for Tourism</t>
  </si>
  <si>
    <t>T4ELE_TUR</t>
  </si>
  <si>
    <t>Distribute Electric for Tourism</t>
  </si>
  <si>
    <t>E4ELE_TUR</t>
  </si>
  <si>
    <t>Distributed Electric for Tourism</t>
  </si>
  <si>
    <t>T4HYD_TUR</t>
  </si>
  <si>
    <t>Distribute Hydrogen for Tourism</t>
  </si>
  <si>
    <t>E4HYD_TUR</t>
  </si>
  <si>
    <t>Distributed Hydrogen for Tourism</t>
  </si>
  <si>
    <t>T4ELE_HEA</t>
  </si>
  <si>
    <t>Distribute Electric for Heavy Freight</t>
  </si>
  <si>
    <t>E4ELE_HEA</t>
  </si>
  <si>
    <t>Distributed Electric for Heavy Freight</t>
  </si>
  <si>
    <t>T4DSL_HEA</t>
  </si>
  <si>
    <t>Distribute Diesel for Heavy Freight</t>
  </si>
  <si>
    <t>E4DSL_HEA</t>
  </si>
  <si>
    <t>Distributed Diesel for Heavy Freight</t>
  </si>
  <si>
    <t>T4GSL_HEA</t>
  </si>
  <si>
    <t>Distribute Gasoline for Heavy Freight</t>
  </si>
  <si>
    <t>E4GSL_HEA</t>
  </si>
  <si>
    <t>Distributed Gasoline for Heavy Freight</t>
  </si>
  <si>
    <t>T4LPG_HEA</t>
  </si>
  <si>
    <t>Distribute LPG for Heavy Freight</t>
  </si>
  <si>
    <t>E4LPG_HEA</t>
  </si>
  <si>
    <t>Distributed LPG for Heavy Freight</t>
  </si>
  <si>
    <t>T4HYD_HEA</t>
  </si>
  <si>
    <t>Distribute Hydrogen for Heavy Freight</t>
  </si>
  <si>
    <t>E4HYD_HEA</t>
  </si>
  <si>
    <t>Distributed Hydrogen for Heavy Freight</t>
  </si>
  <si>
    <t>T4DSL_LIG</t>
  </si>
  <si>
    <t>Distribute Diesel for Light Freight</t>
  </si>
  <si>
    <t>E4DSL_LIG</t>
  </si>
  <si>
    <t>Distributed Diesel for Light Freight</t>
  </si>
  <si>
    <t>T4GSL_LIG</t>
  </si>
  <si>
    <t>Distribute Gasoline for Light Freight</t>
  </si>
  <si>
    <t>E4GSL_LIG</t>
  </si>
  <si>
    <t>Distributed Gasoline for Light Freight</t>
  </si>
  <si>
    <t>T4LPG_LIG</t>
  </si>
  <si>
    <t>Distribute LPG for Light Freight</t>
  </si>
  <si>
    <t>E4LPG_LIG</t>
  </si>
  <si>
    <t>Distributed LPG for Light Freight</t>
  </si>
  <si>
    <t>T4ELE_LIG</t>
  </si>
  <si>
    <t>Distribute Electric for Light Freight</t>
  </si>
  <si>
    <t>E4ELE_LIG</t>
  </si>
  <si>
    <t>Distributed Electric for Light Freight</t>
  </si>
  <si>
    <t>T4NGS_LIG</t>
  </si>
  <si>
    <t>Distribute Natural gas for Light Freight</t>
  </si>
  <si>
    <t>E4NGS_LIG</t>
  </si>
  <si>
    <t>Distributed Natural gas for Light Freight</t>
  </si>
  <si>
    <t>TRAUTDSL</t>
  </si>
  <si>
    <t>Automobiles Diesel</t>
  </si>
  <si>
    <t>E5TRAUT</t>
  </si>
  <si>
    <t>TRAUTGSL</t>
  </si>
  <si>
    <t>Automobiles Gasoline</t>
  </si>
  <si>
    <t>TRAUTLPG</t>
  </si>
  <si>
    <t>Automobiles LPG</t>
  </si>
  <si>
    <t>TRAUTELE</t>
  </si>
  <si>
    <t>Automobiles Electric</t>
  </si>
  <si>
    <t>TRAUTHG</t>
  </si>
  <si>
    <t>Automobiles Hybrid Gasoline</t>
  </si>
  <si>
    <t>TRTAXGSL</t>
  </si>
  <si>
    <t>Taxi Conchos Gasoline</t>
  </si>
  <si>
    <t>E5TRTAX</t>
  </si>
  <si>
    <t>TRTAXLPG</t>
  </si>
  <si>
    <t>Taxi Conchos LPG</t>
  </si>
  <si>
    <t>TRTAXELE</t>
  </si>
  <si>
    <t>Taxi Conchos Electric</t>
  </si>
  <si>
    <t>TRMOTGSL</t>
  </si>
  <si>
    <t>Motorcycle Gasoline</t>
  </si>
  <si>
    <t>E5TRMOT</t>
  </si>
  <si>
    <t>TRMOTELE</t>
  </si>
  <si>
    <t>Motorcycle Electric</t>
  </si>
  <si>
    <t>TRSUVDSL</t>
  </si>
  <si>
    <t>Jeep Diesel</t>
  </si>
  <si>
    <t>E5TRSUV</t>
  </si>
  <si>
    <t>TRSUVGSL</t>
  </si>
  <si>
    <t>Jeep Gasoline</t>
  </si>
  <si>
    <t>TRSUVLPG</t>
  </si>
  <si>
    <t>Jeep LPG</t>
  </si>
  <si>
    <t>TRSUVELE</t>
  </si>
  <si>
    <t>Jeep Electric</t>
  </si>
  <si>
    <t>TRSUVNGS</t>
  </si>
  <si>
    <t>Jeep Natural gas</t>
  </si>
  <si>
    <t>TRBPUDSL</t>
  </si>
  <si>
    <t>Bus Public Diesel</t>
  </si>
  <si>
    <t>E5TRBPU</t>
  </si>
  <si>
    <t>TRBPUGSL</t>
  </si>
  <si>
    <t>Bus Public Gasoline</t>
  </si>
  <si>
    <t>TRBPULPG</t>
  </si>
  <si>
    <t>Bus Public LPG</t>
  </si>
  <si>
    <t>TRBPUELE</t>
  </si>
  <si>
    <t>Bus Public Electric</t>
  </si>
  <si>
    <t>TRBPUHYD</t>
  </si>
  <si>
    <t>Bus Public Hydrogen</t>
  </si>
  <si>
    <t>TRBTURDSL</t>
  </si>
  <si>
    <t>Bus Tourism Diesel</t>
  </si>
  <si>
    <t>E5TRBTUR</t>
  </si>
  <si>
    <t>TRBTURGSL</t>
  </si>
  <si>
    <t>Bus Tourism Gasoline</t>
  </si>
  <si>
    <t>TRBTURLPG</t>
  </si>
  <si>
    <t>Bus Tourism LPG</t>
  </si>
  <si>
    <t>TRBTURELE</t>
  </si>
  <si>
    <t>Bus Tourism Electric</t>
  </si>
  <si>
    <t>TRBTURHYD</t>
  </si>
  <si>
    <t>Bus Tourism Hydrogen</t>
  </si>
  <si>
    <t>TRMBSDSL</t>
  </si>
  <si>
    <t>Minibus Guagua Diesel</t>
  </si>
  <si>
    <t>E5TRMBS</t>
  </si>
  <si>
    <t>TRMBSGSL</t>
  </si>
  <si>
    <t>Minibus Guagua Gasoline</t>
  </si>
  <si>
    <t>TRMBSLPG</t>
  </si>
  <si>
    <t>Minibus Guagua LPG</t>
  </si>
  <si>
    <t>TRMBSELE</t>
  </si>
  <si>
    <t>Minibus Guagua Electric</t>
  </si>
  <si>
    <t>TRXTTELELE</t>
  </si>
  <si>
    <t>Aerial Tramway Electric</t>
  </si>
  <si>
    <t>E5TRXTTEL</t>
  </si>
  <si>
    <t>TRXTRAIELE</t>
  </si>
  <si>
    <t>Rail Electric</t>
  </si>
  <si>
    <t>E5TRXTRAI</t>
  </si>
  <si>
    <t>TRXTRAIFREELE</t>
  </si>
  <si>
    <t>Rail Freight Electric</t>
  </si>
  <si>
    <t>E5TRXTRAIFRE</t>
  </si>
  <si>
    <t>TRYTKDSL</t>
  </si>
  <si>
    <t>Heavy Truck Diesel</t>
  </si>
  <si>
    <t>E5TRYTK</t>
  </si>
  <si>
    <t>TRYTKGSL</t>
  </si>
  <si>
    <t>Heavy Truck Gasoline</t>
  </si>
  <si>
    <t>TRYTKLPG</t>
  </si>
  <si>
    <t>Heavy Truck LPG</t>
  </si>
  <si>
    <t>TRYTKELE</t>
  </si>
  <si>
    <t>Heavy Truck Electric</t>
  </si>
  <si>
    <t>TRYTKHYD</t>
  </si>
  <si>
    <t>Heavy Truck Hydrogen</t>
  </si>
  <si>
    <t>TRYTKHD</t>
  </si>
  <si>
    <t>Heavy Truck Hybrid Diesel</t>
  </si>
  <si>
    <t>TRYLFDSL</t>
  </si>
  <si>
    <t>Light Truck Diesel</t>
  </si>
  <si>
    <t>E5TRYLF</t>
  </si>
  <si>
    <t>TRYLFGSL</t>
  </si>
  <si>
    <t>Light Truck Gasoline</t>
  </si>
  <si>
    <t>TRYLFLPG</t>
  </si>
  <si>
    <t>Light Truck LPG</t>
  </si>
  <si>
    <t>TRYLFELE</t>
  </si>
  <si>
    <t>Light Truck Electric</t>
  </si>
  <si>
    <t>TRYLFNGS</t>
  </si>
  <si>
    <t>Light Truck Natural gas</t>
  </si>
  <si>
    <t>TRYLFHD</t>
  </si>
  <si>
    <t>Light Truck Hybrid Diesel</t>
  </si>
  <si>
    <t>Techs_Auto</t>
  </si>
  <si>
    <t>Automobiles</t>
  </si>
  <si>
    <t>E6TDPASPRI</t>
  </si>
  <si>
    <t>Transport Demand - Passsenger Private</t>
  </si>
  <si>
    <t>Techs_Taxi</t>
  </si>
  <si>
    <t>Taxi Conchos</t>
  </si>
  <si>
    <t>E6TDPASPUB</t>
  </si>
  <si>
    <t>Transport Demand - Passenger Public</t>
  </si>
  <si>
    <t>Techs_Motos</t>
  </si>
  <si>
    <t>Motorcycle</t>
  </si>
  <si>
    <t>Techs_SUV</t>
  </si>
  <si>
    <t>Jeep</t>
  </si>
  <si>
    <t>Techs_Buses_Pub</t>
  </si>
  <si>
    <t>Bus Public</t>
  </si>
  <si>
    <t>Techs_Buses_Tur</t>
  </si>
  <si>
    <t>Bus Tourism</t>
  </si>
  <si>
    <t>E6TDPASTUR</t>
  </si>
  <si>
    <t>Transport Demand - Passsenger Tourism</t>
  </si>
  <si>
    <t>Techs_Buses_Micro</t>
  </si>
  <si>
    <t>Minibus Guagua</t>
  </si>
  <si>
    <t>Techs_Telef</t>
  </si>
  <si>
    <t>Aerial Tramway</t>
  </si>
  <si>
    <t>Techs_Trains</t>
  </si>
  <si>
    <t>Rail</t>
  </si>
  <si>
    <t>Techs_Trains_Freight</t>
  </si>
  <si>
    <t>Rail Freight</t>
  </si>
  <si>
    <t>E6TDFREHEA</t>
  </si>
  <si>
    <t>Transport Demand - Heavy Freight</t>
  </si>
  <si>
    <t>Techs_He_Freight</t>
  </si>
  <si>
    <t>Heavy Truck</t>
  </si>
  <si>
    <t>Techs_Li_Freight</t>
  </si>
  <si>
    <t>Light Truck</t>
  </si>
  <si>
    <t>E6TDFRELIG</t>
  </si>
  <si>
    <t>Transport Demand - Light Freight</t>
  </si>
  <si>
    <t>PPWNDOFF</t>
  </si>
  <si>
    <t>Power Plant - Wind Offshore</t>
  </si>
  <si>
    <t>PPPVTHYD</t>
  </si>
  <si>
    <t>Power Plant - Transmission Solar Hydrogen</t>
  </si>
  <si>
    <t>E7ELE</t>
  </si>
  <si>
    <t>PPADSL</t>
  </si>
  <si>
    <t>Aisolated Power Plant - Diesel</t>
  </si>
  <si>
    <t>PPAFOI</t>
  </si>
  <si>
    <t>Aisolated Power Plant - Fuel Oil</t>
  </si>
  <si>
    <t>PPANGS</t>
  </si>
  <si>
    <t>Aisolated Power Plant - Natural Gas</t>
  </si>
  <si>
    <t>PPDBGS</t>
  </si>
  <si>
    <t>Autopord Power Plant - Biogas</t>
  </si>
  <si>
    <t>PPDDSL</t>
  </si>
  <si>
    <t>Autopord Power Plant - Diesel</t>
  </si>
  <si>
    <t>PPDFOI</t>
  </si>
  <si>
    <t>Autopord Power Plant - Fuel Oil</t>
  </si>
  <si>
    <t>PPDNGS</t>
  </si>
  <si>
    <t>Autopord Power Plant - Natural Gas</t>
  </si>
  <si>
    <t>PPDGSL</t>
  </si>
  <si>
    <t>Autopord Power Plant - Gasoline</t>
  </si>
  <si>
    <t>PPDGLP</t>
  </si>
  <si>
    <t>Autopord Power Plant - LPG</t>
  </si>
  <si>
    <t>PPDBIM</t>
  </si>
  <si>
    <t>Autopord Power Plant - Biomass</t>
  </si>
  <si>
    <t>PPDHYD</t>
  </si>
  <si>
    <t>Power Plant - Autoprod  Hydro</t>
  </si>
  <si>
    <t>PRO_COA</t>
  </si>
  <si>
    <t>Primary Production - Coal</t>
  </si>
  <si>
    <t>EXTT_NGS</t>
  </si>
  <si>
    <t>Primary Extraction/Transformation - NGS</t>
  </si>
  <si>
    <t>T5BIMCOM</t>
  </si>
  <si>
    <t>Demand Biomass for Commercial</t>
  </si>
  <si>
    <t>E5COMBIM</t>
  </si>
  <si>
    <t>Demand Commercial Biomass</t>
  </si>
  <si>
    <t>TRXBUSEFIELE</t>
  </si>
  <si>
    <t xml:space="preserve">Bus diesel eficiente </t>
  </si>
  <si>
    <t>E5TRXBUSEFI</t>
  </si>
  <si>
    <t>Techs_Bus_Efi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</si>
</sst>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5" tint="-0.249977111117893"/>
      <name val="Calibri"/>
      <family val="2"/>
      <scheme val="minor"/>
    </font>
    <font>
      <sz val="11"/>
      <color rgb="FFFF66FF"/>
      <name val="Calibri"/>
      <family val="2"/>
      <scheme val="minor"/>
    </font>
    <font>
      <sz val="11"/>
      <color rgb="FFCC00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DAEEF3"/>
      </patternFill>
    </fill>
    <fill>
      <patternFill patternType="solid">
        <fgColor rgb="FF92D050"/>
        <bgColor rgb="FFB6DDE8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6" fillId="3" borderId="3" xfId="0" applyFont="1" applyFill="1" applyBorder="1"/>
    <xf numFmtId="0" fontId="0" fillId="4" borderId="1" xfId="0" applyFill="1" applyBorder="1"/>
    <xf numFmtId="0" fontId="5" fillId="4" borderId="1" xfId="0" applyFont="1" applyFill="1" applyBorder="1"/>
    <xf numFmtId="0" fontId="2" fillId="4" borderId="1" xfId="0" applyFont="1" applyFill="1" applyBorder="1"/>
    <xf numFmtId="0" fontId="0" fillId="4" borderId="6" xfId="0" applyFill="1" applyBorder="1"/>
    <xf numFmtId="0" fontId="5" fillId="4" borderId="6" xfId="0" applyFont="1" applyFill="1" applyBorder="1"/>
    <xf numFmtId="0" fontId="0" fillId="4" borderId="2" xfId="0" applyFill="1" applyBorder="1"/>
    <xf numFmtId="0" fontId="0" fillId="4" borderId="7" xfId="0" applyFill="1" applyBorder="1"/>
    <xf numFmtId="0" fontId="5" fillId="4" borderId="2" xfId="0" applyFont="1" applyFill="1" applyBorder="1"/>
    <xf numFmtId="0" fontId="0" fillId="5" borderId="1" xfId="0" applyFill="1" applyBorder="1"/>
    <xf numFmtId="0" fontId="6" fillId="6" borderId="5" xfId="0" applyFont="1" applyFill="1" applyBorder="1"/>
    <xf numFmtId="0" fontId="6" fillId="6" borderId="3" xfId="0" applyFont="1" applyFill="1" applyBorder="1"/>
    <xf numFmtId="0" fontId="6" fillId="6" borderId="4" xfId="0" applyFont="1" applyFill="1" applyBorder="1"/>
    <xf numFmtId="0" fontId="0" fillId="4" borderId="8" xfId="0" applyFill="1" applyBorder="1"/>
    <xf numFmtId="0" fontId="0" fillId="7" borderId="9" xfId="0" applyFill="1" applyBorder="1"/>
    <xf numFmtId="0" fontId="0" fillId="7" borderId="8" xfId="0" applyFill="1" applyBorder="1"/>
    <xf numFmtId="0" fontId="0" fillId="7" borderId="10" xfId="0" applyFill="1" applyBorder="1"/>
    <xf numFmtId="0" fontId="0" fillId="7" borderId="14" xfId="0" applyFill="1" applyBorder="1"/>
    <xf numFmtId="0" fontId="0" fillId="7" borderId="15" xfId="0" applyFill="1" applyBorder="1"/>
    <xf numFmtId="0" fontId="1" fillId="0" borderId="6" xfId="0" applyFont="1" applyBorder="1" applyAlignment="1">
      <alignment horizontal="center" vertical="top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5" fillId="4" borderId="7" xfId="0" applyFont="1" applyFill="1" applyBorder="1"/>
    <xf numFmtId="0" fontId="5" fillId="0" borderId="0" xfId="0" applyFont="1"/>
    <xf numFmtId="0" fontId="5" fillId="5" borderId="1" xfId="0" applyFont="1" applyFill="1" applyBorder="1"/>
    <xf numFmtId="0" fontId="7" fillId="0" borderId="1" xfId="0" applyFont="1" applyBorder="1"/>
    <xf numFmtId="0" fontId="7" fillId="0" borderId="16" xfId="0" applyFont="1" applyBorder="1"/>
    <xf numFmtId="0" fontId="6" fillId="3" borderId="2" xfId="0" applyFont="1" applyFill="1" applyBorder="1"/>
    <xf numFmtId="0" fontId="6" fillId="0" borderId="0" xfId="0" applyFont="1"/>
    <xf numFmtId="0" fontId="6" fillId="8" borderId="2" xfId="0" applyFont="1" applyFill="1" applyBorder="1"/>
    <xf numFmtId="0" fontId="6" fillId="8" borderId="3" xfId="0" applyFont="1" applyFill="1" applyBorder="1"/>
    <xf numFmtId="0" fontId="6" fillId="3" borderId="16" xfId="0" applyFont="1" applyFill="1" applyBorder="1"/>
    <xf numFmtId="0" fontId="5" fillId="7" borderId="11" xfId="0" applyFont="1" applyFill="1" applyBorder="1"/>
    <xf numFmtId="0" fontId="5" fillId="7" borderId="1" xfId="0" applyFont="1" applyFill="1" applyBorder="1"/>
    <xf numFmtId="0" fontId="5" fillId="7" borderId="12" xfId="0" applyFont="1" applyFill="1" applyBorder="1"/>
    <xf numFmtId="0" fontId="8" fillId="4" borderId="1" xfId="0" applyFont="1" applyFill="1" applyBorder="1"/>
    <xf numFmtId="0" fontId="9" fillId="4" borderId="1" xfId="0" applyFont="1" applyFill="1" applyBorder="1"/>
    <xf numFmtId="0" fontId="10" fillId="7" borderId="13" xfId="0" applyFont="1" applyFill="1" applyBorder="1"/>
    <xf numFmtId="0" fontId="10" fillId="7" borderId="14" xfId="0" applyFont="1" applyFill="1" applyBorder="1"/>
    <xf numFmtId="0" fontId="10" fillId="4" borderId="11" xfId="0" applyFont="1" applyFill="1" applyBorder="1"/>
    <xf numFmtId="0" fontId="10" fillId="4" borderId="1" xfId="0" applyFont="1" applyFill="1" applyBorder="1"/>
    <xf numFmtId="0" fontId="10" fillId="4" borderId="12" xfId="0" applyFont="1" applyFill="1" applyBorder="1"/>
    <xf numFmtId="0" fontId="10" fillId="0" borderId="0" xfId="0" applyFont="1"/>
    <xf numFmtId="2" fontId="0" fillId="4" borderId="8" xfId="0" applyNumberFormat="1" applyFill="1" applyBorder="1"/>
    <xf numFmtId="0" fontId="0" fillId="9" borderId="1" xfId="0" applyFill="1" applyBorder="1"/>
    <xf numFmtId="164" fontId="0" fillId="4" borderId="1" xfId="0" applyNumberFormat="1" applyFill="1" applyBorder="1"/>
    <xf numFmtId="1" fontId="0" fillId="4" borderId="1" xfId="0" applyNumberFormat="1" applyFill="1" applyBorder="1"/>
    <xf numFmtId="0" fontId="0" fillId="10" borderId="1" xfId="0" applyFill="1" applyBorder="1"/>
    <xf numFmtId="0" fontId="0" fillId="9" borderId="2" xfId="0" applyFill="1" applyBorder="1"/>
    <xf numFmtId="0" fontId="0" fillId="9" borderId="6" xfId="0" applyFill="1" applyBorder="1"/>
    <xf numFmtId="0" fontId="0" fillId="9" borderId="7" xfId="0" applyFill="1" applyBorder="1"/>
    <xf numFmtId="0" fontId="2" fillId="9" borderId="1" xfId="0" applyFont="1" applyFill="1" applyBorder="1"/>
    <xf numFmtId="0" fontId="0" fillId="11" borderId="1" xfId="0" applyFill="1" applyBorder="1"/>
    <xf numFmtId="0" fontId="5" fillId="11" borderId="1" xfId="0" applyFont="1" applyFill="1" applyBorder="1"/>
    <xf numFmtId="0" fontId="9" fillId="12" borderId="1" xfId="0" applyFont="1" applyFill="1" applyBorder="1"/>
    <xf numFmtId="0" fontId="0" fillId="12" borderId="1" xfId="0" applyFill="1" applyBorder="1"/>
    <xf numFmtId="1" fontId="0" fillId="10" borderId="1" xfId="0" applyNumberFormat="1" applyFill="1" applyBorder="1"/>
    <xf numFmtId="164" fontId="0" fillId="10" borderId="1" xfId="0" applyNumberFormat="1" applyFill="1" applyBorder="1"/>
    <xf numFmtId="0" fontId="9" fillId="13" borderId="1" xfId="0" applyFont="1" applyFill="1" applyBorder="1"/>
    <xf numFmtId="0" fontId="0" fillId="13" borderId="1" xfId="0" applyFill="1" applyBorder="1"/>
    <xf numFmtId="164" fontId="0" fillId="13" borderId="1" xfId="0" applyNumberFormat="1" applyFill="1" applyBorder="1"/>
    <xf numFmtId="0" fontId="6" fillId="14" borderId="3" xfId="0" applyFont="1" applyFill="1" applyBorder="1" applyAlignment="1">
      <alignment horizontal="left"/>
    </xf>
    <xf numFmtId="0" fontId="6" fillId="14" borderId="3" xfId="0" applyFont="1" applyFill="1" applyBorder="1"/>
    <xf numFmtId="0" fontId="6" fillId="14" borderId="3" xfId="0" applyFont="1" applyFill="1" applyBorder="1" applyAlignment="1">
      <alignment horizontal="left" vertical="center"/>
    </xf>
    <xf numFmtId="0" fontId="6" fillId="15" borderId="5" xfId="0" applyFont="1" applyFill="1" applyBorder="1" applyAlignment="1">
      <alignment horizontal="left" vertical="center"/>
    </xf>
    <xf numFmtId="0" fontId="6" fillId="16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"/>
  <sheetViews>
    <sheetView workbookViewId="0">
      <pane ySplit="1" topLeftCell="A2" activePane="bottomLeft" state="frozen"/>
      <selection pane="bottomLeft" activeCell="B27" sqref="B27"/>
    </sheetView>
  </sheetViews>
  <sheetFormatPr defaultColWidth="8.88671875" defaultRowHeight="14.4" x14ac:dyDescent="0.3"/>
  <cols>
    <col min="1" max="1" width="15.44140625" bestFit="1" customWidth="1"/>
    <col min="2" max="2" width="59.44140625" bestFit="1" customWidth="1"/>
    <col min="3" max="3" width="15.33203125" bestFit="1" customWidth="1"/>
    <col min="4" max="4" width="37" bestFit="1" customWidth="1"/>
    <col min="5" max="5" width="13.6640625" bestFit="1" customWidth="1"/>
    <col min="6" max="6" width="20.6640625" bestFit="1" customWidth="1"/>
    <col min="7" max="7" width="24.88671875" bestFit="1" customWidth="1"/>
    <col min="8" max="40" width="9.5546875" bestFit="1" customWidth="1"/>
  </cols>
  <sheetData>
    <row r="1" spans="1:40" ht="15" thickBot="1" x14ac:dyDescent="0.3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24" t="s">
        <v>7</v>
      </c>
      <c r="B2" s="17" t="s">
        <v>8</v>
      </c>
      <c r="C2" s="17" t="s">
        <v>9</v>
      </c>
      <c r="D2" s="17" t="s">
        <v>10</v>
      </c>
      <c r="E2" s="25" t="s">
        <v>11</v>
      </c>
      <c r="F2" t="s">
        <v>80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</row>
    <row r="3" spans="1:40" x14ac:dyDescent="0.3">
      <c r="A3" s="26" t="s">
        <v>13</v>
      </c>
      <c r="B3" s="5" t="s">
        <v>14</v>
      </c>
      <c r="C3" s="5" t="s">
        <v>15</v>
      </c>
      <c r="D3" s="5" t="s">
        <v>16</v>
      </c>
      <c r="E3" s="27" t="s">
        <v>11</v>
      </c>
      <c r="F3" t="s">
        <v>80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</row>
    <row r="4" spans="1:40" x14ac:dyDescent="0.3">
      <c r="A4" s="26" t="s">
        <v>17</v>
      </c>
      <c r="B4" s="5" t="s">
        <v>18</v>
      </c>
      <c r="C4" s="5" t="s">
        <v>19</v>
      </c>
      <c r="D4" s="5" t="s">
        <v>20</v>
      </c>
      <c r="E4" s="27" t="s">
        <v>11</v>
      </c>
      <c r="F4" t="s">
        <v>80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</row>
    <row r="5" spans="1:40" x14ac:dyDescent="0.3">
      <c r="A5" s="26" t="s">
        <v>21</v>
      </c>
      <c r="B5" s="5" t="s">
        <v>22</v>
      </c>
      <c r="C5" s="5" t="s">
        <v>23</v>
      </c>
      <c r="D5" s="5" t="s">
        <v>24</v>
      </c>
      <c r="E5" s="27" t="s">
        <v>11</v>
      </c>
      <c r="F5" t="s">
        <v>80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</row>
    <row r="6" spans="1:40" x14ac:dyDescent="0.3">
      <c r="A6" s="26" t="s">
        <v>25</v>
      </c>
      <c r="B6" s="5" t="s">
        <v>26</v>
      </c>
      <c r="C6" s="5" t="s">
        <v>27</v>
      </c>
      <c r="D6" s="5" t="s">
        <v>28</v>
      </c>
      <c r="E6" s="27" t="s">
        <v>11</v>
      </c>
      <c r="F6" t="s">
        <v>80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</row>
    <row r="7" spans="1:40" x14ac:dyDescent="0.3">
      <c r="A7" s="26" t="s">
        <v>29</v>
      </c>
      <c r="B7" s="5" t="s">
        <v>30</v>
      </c>
      <c r="C7" s="5" t="s">
        <v>31</v>
      </c>
      <c r="D7" s="5" t="s">
        <v>32</v>
      </c>
      <c r="E7" s="27" t="s">
        <v>11</v>
      </c>
      <c r="F7" t="s">
        <v>80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</row>
    <row r="8" spans="1:40" x14ac:dyDescent="0.3">
      <c r="A8" s="26" t="s">
        <v>33</v>
      </c>
      <c r="B8" s="5" t="s">
        <v>34</v>
      </c>
      <c r="C8" s="5" t="s">
        <v>35</v>
      </c>
      <c r="D8" s="5" t="s">
        <v>36</v>
      </c>
      <c r="E8" s="27" t="s">
        <v>11</v>
      </c>
      <c r="F8" t="s">
        <v>80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</row>
    <row r="9" spans="1:40" x14ac:dyDescent="0.3">
      <c r="A9" s="26" t="s">
        <v>37</v>
      </c>
      <c r="B9" s="5" t="s">
        <v>38</v>
      </c>
      <c r="C9" s="5" t="s">
        <v>39</v>
      </c>
      <c r="D9" s="5" t="s">
        <v>40</v>
      </c>
      <c r="E9" s="27" t="s">
        <v>11</v>
      </c>
      <c r="F9" t="s">
        <v>80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</row>
    <row r="10" spans="1:40" x14ac:dyDescent="0.3">
      <c r="A10" s="48" t="s">
        <v>521</v>
      </c>
      <c r="B10" s="49" t="s">
        <v>522</v>
      </c>
      <c r="C10" s="49" t="s">
        <v>43</v>
      </c>
      <c r="D10" s="49" t="s">
        <v>44</v>
      </c>
      <c r="E10" s="50" t="s">
        <v>11</v>
      </c>
      <c r="F10" s="51" t="s">
        <v>80</v>
      </c>
      <c r="G10" s="51">
        <v>0</v>
      </c>
      <c r="H10" s="51">
        <v>1</v>
      </c>
      <c r="I10" s="51">
        <v>1</v>
      </c>
      <c r="J10" s="51">
        <v>1</v>
      </c>
      <c r="K10" s="51">
        <v>1</v>
      </c>
      <c r="L10" s="51">
        <v>1</v>
      </c>
      <c r="M10" s="51">
        <v>1</v>
      </c>
      <c r="N10" s="51">
        <v>1</v>
      </c>
      <c r="O10" s="51">
        <v>1</v>
      </c>
      <c r="P10" s="51">
        <v>1</v>
      </c>
      <c r="Q10" s="51">
        <v>1</v>
      </c>
      <c r="R10" s="51">
        <v>1</v>
      </c>
      <c r="S10" s="51">
        <v>1</v>
      </c>
      <c r="T10" s="51">
        <v>1</v>
      </c>
      <c r="U10" s="51">
        <v>1</v>
      </c>
      <c r="V10" s="51">
        <v>1</v>
      </c>
      <c r="W10" s="51">
        <v>1</v>
      </c>
      <c r="X10" s="51">
        <v>1</v>
      </c>
      <c r="Y10" s="51">
        <v>1</v>
      </c>
      <c r="Z10" s="51">
        <v>1</v>
      </c>
      <c r="AA10" s="51">
        <v>1</v>
      </c>
      <c r="AB10" s="51">
        <v>1</v>
      </c>
      <c r="AC10" s="51">
        <v>1</v>
      </c>
      <c r="AD10" s="51">
        <v>1</v>
      </c>
      <c r="AE10" s="51">
        <v>1</v>
      </c>
      <c r="AF10" s="51">
        <v>1</v>
      </c>
      <c r="AG10" s="51">
        <v>1</v>
      </c>
      <c r="AH10" s="51">
        <v>1</v>
      </c>
      <c r="AI10" s="51">
        <v>1</v>
      </c>
      <c r="AJ10" s="51">
        <v>1</v>
      </c>
      <c r="AK10" s="51">
        <v>1</v>
      </c>
      <c r="AL10" s="51">
        <v>1</v>
      </c>
      <c r="AM10" s="51">
        <v>1</v>
      </c>
      <c r="AN10" s="51">
        <v>1</v>
      </c>
    </row>
    <row r="11" spans="1:40" x14ac:dyDescent="0.3">
      <c r="A11" s="26" t="s">
        <v>41</v>
      </c>
      <c r="B11" s="5" t="s">
        <v>42</v>
      </c>
      <c r="C11" s="5" t="s">
        <v>43</v>
      </c>
      <c r="D11" s="5" t="s">
        <v>44</v>
      </c>
      <c r="E11" s="27" t="s">
        <v>11</v>
      </c>
      <c r="F11" t="s">
        <v>80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</row>
    <row r="12" spans="1:40" ht="15" thickBot="1" x14ac:dyDescent="0.35">
      <c r="A12" s="26" t="s">
        <v>45</v>
      </c>
      <c r="B12" s="5" t="s">
        <v>46</v>
      </c>
      <c r="C12" s="44" t="s">
        <v>64</v>
      </c>
      <c r="D12" s="5" t="s">
        <v>47</v>
      </c>
      <c r="E12" s="27" t="s">
        <v>11</v>
      </c>
      <c r="F12" s="2" t="s">
        <v>80</v>
      </c>
      <c r="G12">
        <v>0</v>
      </c>
      <c r="H12" s="2">
        <v>1.04</v>
      </c>
      <c r="I12" s="2">
        <v>1.04</v>
      </c>
      <c r="J12" s="2">
        <v>1.04</v>
      </c>
      <c r="K12" s="2">
        <v>1.04</v>
      </c>
      <c r="L12" s="2">
        <v>1.04</v>
      </c>
      <c r="M12" s="2">
        <v>1.04</v>
      </c>
      <c r="N12" s="2">
        <v>1.04</v>
      </c>
      <c r="O12" s="2">
        <v>1.04</v>
      </c>
      <c r="P12" s="2">
        <v>1.04</v>
      </c>
      <c r="Q12" s="2">
        <v>1.04</v>
      </c>
      <c r="R12" s="2">
        <v>1.04</v>
      </c>
      <c r="S12" s="2">
        <v>1.04</v>
      </c>
      <c r="T12" s="2">
        <v>1.04</v>
      </c>
      <c r="U12" s="2">
        <v>1.04</v>
      </c>
      <c r="V12" s="2">
        <v>1.04</v>
      </c>
      <c r="W12" s="2">
        <v>1.04</v>
      </c>
      <c r="X12" s="2">
        <v>1.04</v>
      </c>
      <c r="Y12" s="2">
        <v>1.04</v>
      </c>
      <c r="Z12" s="2">
        <v>1.04</v>
      </c>
      <c r="AA12" s="2">
        <v>1.04</v>
      </c>
      <c r="AB12" s="2">
        <v>1.04</v>
      </c>
      <c r="AC12" s="2">
        <v>1.04</v>
      </c>
      <c r="AD12" s="2">
        <v>1.04</v>
      </c>
      <c r="AE12" s="2">
        <v>1.04</v>
      </c>
      <c r="AF12" s="2">
        <v>1.04</v>
      </c>
      <c r="AG12" s="2">
        <v>1.04</v>
      </c>
      <c r="AH12" s="2">
        <v>1.04</v>
      </c>
      <c r="AI12" s="2">
        <v>1.04</v>
      </c>
      <c r="AJ12" s="2">
        <v>1.04</v>
      </c>
      <c r="AK12" s="2">
        <v>1.04</v>
      </c>
      <c r="AL12" s="2">
        <v>1.04</v>
      </c>
      <c r="AM12" s="2">
        <v>1.04</v>
      </c>
      <c r="AN12" s="2">
        <v>1.04</v>
      </c>
    </row>
    <row r="13" spans="1:40" x14ac:dyDescent="0.3">
      <c r="A13" s="26" t="s">
        <v>48</v>
      </c>
      <c r="B13" s="5" t="s">
        <v>49</v>
      </c>
      <c r="C13" s="17" t="s">
        <v>9</v>
      </c>
      <c r="D13" s="5" t="s">
        <v>10</v>
      </c>
      <c r="E13" s="27" t="s">
        <v>11</v>
      </c>
      <c r="F13" s="2" t="s">
        <v>80</v>
      </c>
      <c r="G13">
        <v>0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</row>
    <row r="14" spans="1:40" x14ac:dyDescent="0.3">
      <c r="A14" s="48" t="s">
        <v>523</v>
      </c>
      <c r="B14" s="49" t="s">
        <v>524</v>
      </c>
      <c r="C14" s="49" t="s">
        <v>15</v>
      </c>
      <c r="D14" s="49" t="s">
        <v>16</v>
      </c>
      <c r="E14" s="27" t="s">
        <v>11</v>
      </c>
      <c r="F14" s="2" t="s">
        <v>80</v>
      </c>
      <c r="G14">
        <v>0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</row>
    <row r="15" spans="1:40" x14ac:dyDescent="0.3">
      <c r="A15" s="26" t="s">
        <v>50</v>
      </c>
      <c r="B15" s="5" t="s">
        <v>51</v>
      </c>
      <c r="C15" s="5" t="s">
        <v>52</v>
      </c>
      <c r="D15" s="5" t="s">
        <v>53</v>
      </c>
      <c r="E15" s="27" t="s">
        <v>11</v>
      </c>
      <c r="F15" t="s">
        <v>80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</row>
    <row r="16" spans="1:40" x14ac:dyDescent="0.3">
      <c r="A16" s="26" t="s">
        <v>54</v>
      </c>
      <c r="B16" s="5" t="s">
        <v>55</v>
      </c>
      <c r="C16" s="5" t="s">
        <v>56</v>
      </c>
      <c r="D16" s="5" t="s">
        <v>57</v>
      </c>
      <c r="E16" s="27" t="s">
        <v>11</v>
      </c>
      <c r="F16" t="s">
        <v>80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</row>
    <row r="17" spans="1:40" ht="15" thickBot="1" x14ac:dyDescent="0.35">
      <c r="A17" s="28" t="s">
        <v>58</v>
      </c>
      <c r="B17" s="29" t="s">
        <v>59</v>
      </c>
      <c r="C17" s="29" t="s">
        <v>60</v>
      </c>
      <c r="D17" s="29" t="s">
        <v>61</v>
      </c>
      <c r="E17" s="30" t="s">
        <v>11</v>
      </c>
      <c r="F17" t="s">
        <v>80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</row>
    <row r="18" spans="1:40" x14ac:dyDescent="0.3">
      <c r="A18" s="18" t="s">
        <v>62</v>
      </c>
      <c r="B18" s="19" t="s">
        <v>63</v>
      </c>
      <c r="C18" s="19" t="s">
        <v>64</v>
      </c>
      <c r="D18" s="19" t="s">
        <v>65</v>
      </c>
      <c r="E18" s="20" t="s">
        <v>11</v>
      </c>
      <c r="F18" t="s">
        <v>80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</row>
    <row r="19" spans="1:40" x14ac:dyDescent="0.3">
      <c r="A19" s="41" t="s">
        <v>66</v>
      </c>
      <c r="B19" s="42" t="s">
        <v>67</v>
      </c>
      <c r="C19" s="42" t="s">
        <v>64</v>
      </c>
      <c r="D19" s="42" t="s">
        <v>65</v>
      </c>
      <c r="E19" s="43" t="s">
        <v>11</v>
      </c>
      <c r="F19" s="32" t="s">
        <v>80</v>
      </c>
      <c r="G19" s="32">
        <v>0</v>
      </c>
      <c r="H19" s="32">
        <v>1</v>
      </c>
      <c r="I19" s="32">
        <v>1</v>
      </c>
      <c r="J19" s="32">
        <v>1</v>
      </c>
      <c r="K19" s="32">
        <v>1</v>
      </c>
      <c r="L19" s="32">
        <v>1</v>
      </c>
      <c r="M19" s="32">
        <v>1</v>
      </c>
      <c r="N19" s="32">
        <v>1</v>
      </c>
      <c r="O19" s="32">
        <v>1</v>
      </c>
      <c r="P19" s="32">
        <v>1</v>
      </c>
      <c r="Q19" s="32">
        <v>1</v>
      </c>
      <c r="R19" s="32">
        <v>1</v>
      </c>
      <c r="S19" s="32">
        <v>1</v>
      </c>
      <c r="T19" s="32">
        <v>1</v>
      </c>
      <c r="U19" s="32">
        <v>1</v>
      </c>
      <c r="V19" s="32">
        <v>1</v>
      </c>
      <c r="W19" s="32">
        <v>1</v>
      </c>
      <c r="X19" s="32">
        <v>1</v>
      </c>
      <c r="Y19" s="32">
        <v>1</v>
      </c>
      <c r="Z19" s="32">
        <v>1</v>
      </c>
      <c r="AA19" s="32">
        <v>1</v>
      </c>
      <c r="AB19" s="32">
        <v>1</v>
      </c>
      <c r="AC19" s="32">
        <v>1</v>
      </c>
      <c r="AD19" s="32">
        <v>1</v>
      </c>
      <c r="AE19" s="32">
        <v>1</v>
      </c>
      <c r="AF19" s="32">
        <v>1</v>
      </c>
      <c r="AG19" s="32">
        <v>1</v>
      </c>
      <c r="AH19" s="32">
        <v>1</v>
      </c>
      <c r="AI19" s="32">
        <v>1</v>
      </c>
      <c r="AJ19" s="32">
        <v>1</v>
      </c>
      <c r="AK19" s="32">
        <v>1</v>
      </c>
      <c r="AL19" s="32">
        <v>1</v>
      </c>
      <c r="AM19" s="32">
        <v>1</v>
      </c>
      <c r="AN19" s="32">
        <v>1</v>
      </c>
    </row>
    <row r="20" spans="1:40" x14ac:dyDescent="0.3">
      <c r="A20" s="41" t="s">
        <v>68</v>
      </c>
      <c r="B20" s="42" t="s">
        <v>69</v>
      </c>
      <c r="C20" s="42" t="s">
        <v>64</v>
      </c>
      <c r="D20" s="42" t="s">
        <v>65</v>
      </c>
      <c r="E20" s="43" t="s">
        <v>11</v>
      </c>
      <c r="F20" s="32" t="s">
        <v>80</v>
      </c>
      <c r="G20" s="32">
        <v>0</v>
      </c>
      <c r="H20" s="32">
        <v>1</v>
      </c>
      <c r="I20" s="32">
        <v>1</v>
      </c>
      <c r="J20" s="32">
        <v>1</v>
      </c>
      <c r="K20" s="32">
        <v>1</v>
      </c>
      <c r="L20" s="32">
        <v>1</v>
      </c>
      <c r="M20" s="32">
        <v>1</v>
      </c>
      <c r="N20" s="32">
        <v>1</v>
      </c>
      <c r="O20" s="32">
        <v>1</v>
      </c>
      <c r="P20" s="32">
        <v>1</v>
      </c>
      <c r="Q20" s="32">
        <v>1</v>
      </c>
      <c r="R20" s="32">
        <v>1</v>
      </c>
      <c r="S20" s="32">
        <v>1</v>
      </c>
      <c r="T20" s="32">
        <v>1</v>
      </c>
      <c r="U20" s="32">
        <v>1</v>
      </c>
      <c r="V20" s="32">
        <v>1</v>
      </c>
      <c r="W20" s="32">
        <v>1</v>
      </c>
      <c r="X20" s="32">
        <v>1</v>
      </c>
      <c r="Y20" s="32">
        <v>1</v>
      </c>
      <c r="Z20" s="32">
        <v>1</v>
      </c>
      <c r="AA20" s="32">
        <v>1</v>
      </c>
      <c r="AB20" s="32">
        <v>1</v>
      </c>
      <c r="AC20" s="32">
        <v>1</v>
      </c>
      <c r="AD20" s="32">
        <v>1</v>
      </c>
      <c r="AE20" s="32">
        <v>1</v>
      </c>
      <c r="AF20" s="32">
        <v>1</v>
      </c>
      <c r="AG20" s="32">
        <v>1</v>
      </c>
      <c r="AH20" s="32">
        <v>1</v>
      </c>
      <c r="AI20" s="32">
        <v>1</v>
      </c>
      <c r="AJ20" s="32">
        <v>1</v>
      </c>
      <c r="AK20" s="32">
        <v>1</v>
      </c>
      <c r="AL20" s="32">
        <v>1</v>
      </c>
      <c r="AM20" s="32">
        <v>1</v>
      </c>
      <c r="AN20" s="32">
        <v>1</v>
      </c>
    </row>
    <row r="21" spans="1:40" x14ac:dyDescent="0.3">
      <c r="A21" s="41" t="s">
        <v>70</v>
      </c>
      <c r="B21" s="42" t="s">
        <v>71</v>
      </c>
      <c r="C21" s="42" t="s">
        <v>64</v>
      </c>
      <c r="D21" s="42" t="s">
        <v>65</v>
      </c>
      <c r="E21" s="43" t="s">
        <v>11</v>
      </c>
      <c r="F21" s="32" t="s">
        <v>80</v>
      </c>
      <c r="G21" s="32">
        <v>0</v>
      </c>
      <c r="H21" s="32">
        <v>1</v>
      </c>
      <c r="I21" s="32">
        <v>1</v>
      </c>
      <c r="J21" s="32">
        <v>1</v>
      </c>
      <c r="K21" s="32">
        <v>1</v>
      </c>
      <c r="L21" s="32">
        <v>1</v>
      </c>
      <c r="M21" s="32">
        <v>1</v>
      </c>
      <c r="N21" s="32">
        <v>1</v>
      </c>
      <c r="O21" s="32">
        <v>1</v>
      </c>
      <c r="P21" s="32">
        <v>1</v>
      </c>
      <c r="Q21" s="32">
        <v>1</v>
      </c>
      <c r="R21" s="32">
        <v>1</v>
      </c>
      <c r="S21" s="32">
        <v>1</v>
      </c>
      <c r="T21" s="32">
        <v>1</v>
      </c>
      <c r="U21" s="32">
        <v>1</v>
      </c>
      <c r="V21" s="32">
        <v>1</v>
      </c>
      <c r="W21" s="32">
        <v>1</v>
      </c>
      <c r="X21" s="32">
        <v>1</v>
      </c>
      <c r="Y21" s="32">
        <v>1</v>
      </c>
      <c r="Z21" s="32">
        <v>1</v>
      </c>
      <c r="AA21" s="32">
        <v>1</v>
      </c>
      <c r="AB21" s="32">
        <v>1</v>
      </c>
      <c r="AC21" s="32">
        <v>1</v>
      </c>
      <c r="AD21" s="32">
        <v>1</v>
      </c>
      <c r="AE21" s="32">
        <v>1</v>
      </c>
      <c r="AF21" s="32">
        <v>1</v>
      </c>
      <c r="AG21" s="32">
        <v>1</v>
      </c>
      <c r="AH21" s="32">
        <v>1</v>
      </c>
      <c r="AI21" s="32">
        <v>1</v>
      </c>
      <c r="AJ21" s="32">
        <v>1</v>
      </c>
      <c r="AK21" s="32">
        <v>1</v>
      </c>
      <c r="AL21" s="32">
        <v>1</v>
      </c>
      <c r="AM21" s="32">
        <v>1</v>
      </c>
      <c r="AN21" s="32">
        <v>1</v>
      </c>
    </row>
    <row r="22" spans="1:40" x14ac:dyDescent="0.3">
      <c r="A22" s="41" t="s">
        <v>494</v>
      </c>
      <c r="B22" s="42" t="s">
        <v>495</v>
      </c>
      <c r="C22" s="42" t="s">
        <v>64</v>
      </c>
      <c r="D22" s="42" t="s">
        <v>65</v>
      </c>
      <c r="E22" s="43" t="s">
        <v>11</v>
      </c>
      <c r="F22" s="32" t="s">
        <v>80</v>
      </c>
      <c r="G22" s="32">
        <v>0</v>
      </c>
      <c r="H22" s="32">
        <v>1</v>
      </c>
      <c r="I22" s="32">
        <v>1</v>
      </c>
      <c r="J22" s="32">
        <v>1</v>
      </c>
      <c r="K22" s="32">
        <v>1</v>
      </c>
      <c r="L22" s="32">
        <v>1</v>
      </c>
      <c r="M22" s="32">
        <v>1</v>
      </c>
      <c r="N22" s="32">
        <v>1</v>
      </c>
      <c r="O22" s="32">
        <v>1</v>
      </c>
      <c r="P22" s="32">
        <v>1</v>
      </c>
      <c r="Q22" s="32">
        <v>1</v>
      </c>
      <c r="R22" s="32">
        <v>1</v>
      </c>
      <c r="S22" s="32">
        <v>1</v>
      </c>
      <c r="T22" s="32">
        <v>1</v>
      </c>
      <c r="U22" s="32">
        <v>1</v>
      </c>
      <c r="V22" s="32">
        <v>1</v>
      </c>
      <c r="W22" s="32">
        <v>1</v>
      </c>
      <c r="X22" s="32">
        <v>1</v>
      </c>
      <c r="Y22" s="32">
        <v>1</v>
      </c>
      <c r="Z22" s="32">
        <v>1</v>
      </c>
      <c r="AA22" s="32">
        <v>1</v>
      </c>
      <c r="AB22" s="32">
        <v>1</v>
      </c>
      <c r="AC22" s="32">
        <v>1</v>
      </c>
      <c r="AD22" s="32">
        <v>1</v>
      </c>
      <c r="AE22" s="32">
        <v>1</v>
      </c>
      <c r="AF22" s="32">
        <v>1</v>
      </c>
      <c r="AG22" s="32">
        <v>1</v>
      </c>
      <c r="AH22" s="32">
        <v>1</v>
      </c>
      <c r="AI22" s="32">
        <v>1</v>
      </c>
      <c r="AJ22" s="32">
        <v>1</v>
      </c>
      <c r="AK22" s="32">
        <v>1</v>
      </c>
      <c r="AL22" s="32">
        <v>1</v>
      </c>
      <c r="AM22" s="32">
        <v>1</v>
      </c>
      <c r="AN22" s="32">
        <v>1</v>
      </c>
    </row>
    <row r="23" spans="1:40" x14ac:dyDescent="0.3">
      <c r="A23" s="41" t="s">
        <v>72</v>
      </c>
      <c r="B23" s="42" t="s">
        <v>73</v>
      </c>
      <c r="C23" s="42" t="s">
        <v>64</v>
      </c>
      <c r="D23" s="42" t="s">
        <v>65</v>
      </c>
      <c r="E23" s="43" t="s">
        <v>11</v>
      </c>
      <c r="F23" s="32" t="s">
        <v>80</v>
      </c>
      <c r="G23" s="32">
        <v>0</v>
      </c>
      <c r="H23" s="32">
        <v>1</v>
      </c>
      <c r="I23" s="32">
        <v>1</v>
      </c>
      <c r="J23" s="32">
        <v>1</v>
      </c>
      <c r="K23" s="32">
        <v>1</v>
      </c>
      <c r="L23" s="32">
        <v>1</v>
      </c>
      <c r="M23" s="32">
        <v>1</v>
      </c>
      <c r="N23" s="32">
        <v>1</v>
      </c>
      <c r="O23" s="32">
        <v>1</v>
      </c>
      <c r="P23" s="32">
        <v>1</v>
      </c>
      <c r="Q23" s="32">
        <v>1</v>
      </c>
      <c r="R23" s="32">
        <v>1</v>
      </c>
      <c r="S23" s="32">
        <v>1</v>
      </c>
      <c r="T23" s="32">
        <v>1</v>
      </c>
      <c r="U23" s="32">
        <v>1</v>
      </c>
      <c r="V23" s="32">
        <v>1</v>
      </c>
      <c r="W23" s="32">
        <v>1</v>
      </c>
      <c r="X23" s="32">
        <v>1</v>
      </c>
      <c r="Y23" s="32">
        <v>1</v>
      </c>
      <c r="Z23" s="32">
        <v>1</v>
      </c>
      <c r="AA23" s="32">
        <v>1</v>
      </c>
      <c r="AB23" s="32">
        <v>1</v>
      </c>
      <c r="AC23" s="32">
        <v>1</v>
      </c>
      <c r="AD23" s="32">
        <v>1</v>
      </c>
      <c r="AE23" s="32">
        <v>1</v>
      </c>
      <c r="AF23" s="32">
        <v>1</v>
      </c>
      <c r="AG23" s="32">
        <v>1</v>
      </c>
      <c r="AH23" s="32">
        <v>1</v>
      </c>
      <c r="AI23" s="32">
        <v>1</v>
      </c>
      <c r="AJ23" s="32">
        <v>1</v>
      </c>
      <c r="AK23" s="32">
        <v>1</v>
      </c>
      <c r="AL23" s="32">
        <v>1</v>
      </c>
      <c r="AM23" s="32">
        <v>1</v>
      </c>
      <c r="AN23" s="32">
        <v>1</v>
      </c>
    </row>
    <row r="24" spans="1:40" x14ac:dyDescent="0.3">
      <c r="A24" s="41" t="s">
        <v>496</v>
      </c>
      <c r="B24" s="42" t="s">
        <v>497</v>
      </c>
      <c r="C24" s="41" t="s">
        <v>498</v>
      </c>
      <c r="D24" s="42" t="s">
        <v>114</v>
      </c>
      <c r="E24" s="43" t="s">
        <v>11</v>
      </c>
      <c r="F24" s="32" t="s">
        <v>80</v>
      </c>
      <c r="G24" s="32">
        <v>0</v>
      </c>
      <c r="H24" s="32">
        <v>1</v>
      </c>
      <c r="I24" s="32">
        <v>1</v>
      </c>
      <c r="J24" s="32">
        <v>1</v>
      </c>
      <c r="K24" s="32">
        <v>1</v>
      </c>
      <c r="L24" s="32">
        <v>1</v>
      </c>
      <c r="M24" s="32">
        <v>1</v>
      </c>
      <c r="N24" s="32">
        <v>1</v>
      </c>
      <c r="O24" s="32">
        <v>1</v>
      </c>
      <c r="P24" s="32">
        <v>1</v>
      </c>
      <c r="Q24" s="32">
        <v>1</v>
      </c>
      <c r="R24" s="32">
        <v>1</v>
      </c>
      <c r="S24" s="32">
        <v>1</v>
      </c>
      <c r="T24" s="32">
        <v>1</v>
      </c>
      <c r="U24" s="32">
        <v>1</v>
      </c>
      <c r="V24" s="32">
        <v>1</v>
      </c>
      <c r="W24" s="32">
        <v>1</v>
      </c>
      <c r="X24" s="32">
        <v>1</v>
      </c>
      <c r="Y24" s="32">
        <v>1</v>
      </c>
      <c r="Z24" s="32">
        <v>1</v>
      </c>
      <c r="AA24" s="32">
        <v>1</v>
      </c>
      <c r="AB24" s="32">
        <v>1</v>
      </c>
      <c r="AC24" s="32">
        <v>1</v>
      </c>
      <c r="AD24" s="32">
        <v>1</v>
      </c>
      <c r="AE24" s="32">
        <v>1</v>
      </c>
      <c r="AF24" s="32">
        <v>1</v>
      </c>
      <c r="AG24" s="32">
        <v>1</v>
      </c>
      <c r="AH24" s="32">
        <v>1</v>
      </c>
      <c r="AI24" s="32">
        <v>1</v>
      </c>
      <c r="AJ24" s="32">
        <v>1</v>
      </c>
      <c r="AK24" s="32">
        <v>1</v>
      </c>
      <c r="AL24" s="32">
        <v>1</v>
      </c>
      <c r="AM24" s="32">
        <v>1</v>
      </c>
      <c r="AN24" s="32">
        <v>1</v>
      </c>
    </row>
    <row r="25" spans="1:40" x14ac:dyDescent="0.3">
      <c r="A25" s="41" t="s">
        <v>74</v>
      </c>
      <c r="B25" s="42" t="s">
        <v>75</v>
      </c>
      <c r="C25" s="42" t="s">
        <v>64</v>
      </c>
      <c r="D25" s="42" t="s">
        <v>65</v>
      </c>
      <c r="E25" s="43" t="s">
        <v>11</v>
      </c>
      <c r="F25" s="32" t="s">
        <v>80</v>
      </c>
      <c r="G25" s="32">
        <v>0</v>
      </c>
      <c r="H25" s="32">
        <v>1</v>
      </c>
      <c r="I25" s="32">
        <v>1</v>
      </c>
      <c r="J25" s="32">
        <v>1</v>
      </c>
      <c r="K25" s="32">
        <v>1</v>
      </c>
      <c r="L25" s="32">
        <v>1</v>
      </c>
      <c r="M25" s="32">
        <v>1</v>
      </c>
      <c r="N25" s="32">
        <v>1</v>
      </c>
      <c r="O25" s="32">
        <v>1</v>
      </c>
      <c r="P25" s="32">
        <v>1</v>
      </c>
      <c r="Q25" s="32">
        <v>1</v>
      </c>
      <c r="R25" s="32">
        <v>1</v>
      </c>
      <c r="S25" s="32">
        <v>1</v>
      </c>
      <c r="T25" s="32">
        <v>1</v>
      </c>
      <c r="U25" s="32">
        <v>1</v>
      </c>
      <c r="V25" s="32">
        <v>1</v>
      </c>
      <c r="W25" s="32">
        <v>1</v>
      </c>
      <c r="X25" s="32">
        <v>1</v>
      </c>
      <c r="Y25" s="32">
        <v>1</v>
      </c>
      <c r="Z25" s="32">
        <v>1</v>
      </c>
      <c r="AA25" s="32">
        <v>1</v>
      </c>
      <c r="AB25" s="32">
        <v>1</v>
      </c>
      <c r="AC25" s="32">
        <v>1</v>
      </c>
      <c r="AD25" s="32">
        <v>1</v>
      </c>
      <c r="AE25" s="32">
        <v>1</v>
      </c>
      <c r="AF25" s="32">
        <v>1</v>
      </c>
      <c r="AG25" s="32">
        <v>1</v>
      </c>
      <c r="AH25" s="32">
        <v>1</v>
      </c>
      <c r="AI25" s="32">
        <v>1</v>
      </c>
      <c r="AJ25" s="32">
        <v>1</v>
      </c>
      <c r="AK25" s="32">
        <v>1</v>
      </c>
      <c r="AL25" s="32">
        <v>1</v>
      </c>
      <c r="AM25" s="32">
        <v>1</v>
      </c>
      <c r="AN25" s="32">
        <v>1</v>
      </c>
    </row>
    <row r="26" spans="1:40" x14ac:dyDescent="0.3">
      <c r="A26" s="41" t="s">
        <v>76</v>
      </c>
      <c r="B26" s="42" t="s">
        <v>77</v>
      </c>
      <c r="C26" s="42" t="s">
        <v>78</v>
      </c>
      <c r="D26" s="42" t="s">
        <v>79</v>
      </c>
      <c r="E26" s="43" t="s">
        <v>11</v>
      </c>
      <c r="F26" s="32" t="s">
        <v>80</v>
      </c>
      <c r="G26" s="32">
        <v>0</v>
      </c>
      <c r="H26" s="32">
        <v>1</v>
      </c>
      <c r="I26" s="32">
        <v>1</v>
      </c>
      <c r="J26" s="32">
        <v>1</v>
      </c>
      <c r="K26" s="32">
        <v>1</v>
      </c>
      <c r="L26" s="32">
        <v>1</v>
      </c>
      <c r="M26" s="32">
        <v>1</v>
      </c>
      <c r="N26" s="32">
        <v>1</v>
      </c>
      <c r="O26" s="32">
        <v>1</v>
      </c>
      <c r="P26" s="32">
        <v>1</v>
      </c>
      <c r="Q26" s="32">
        <v>1</v>
      </c>
      <c r="R26" s="32">
        <v>1</v>
      </c>
      <c r="S26" s="32">
        <v>1</v>
      </c>
      <c r="T26" s="32">
        <v>1</v>
      </c>
      <c r="U26" s="32">
        <v>1</v>
      </c>
      <c r="V26" s="32">
        <v>1</v>
      </c>
      <c r="W26" s="32">
        <v>1</v>
      </c>
      <c r="X26" s="32">
        <v>1</v>
      </c>
      <c r="Y26" s="32">
        <v>1</v>
      </c>
      <c r="Z26" s="32">
        <v>1</v>
      </c>
      <c r="AA26" s="32">
        <v>1</v>
      </c>
      <c r="AB26" s="32">
        <v>1</v>
      </c>
      <c r="AC26" s="32">
        <v>1</v>
      </c>
      <c r="AD26" s="32">
        <v>1</v>
      </c>
      <c r="AE26" s="32">
        <v>1</v>
      </c>
      <c r="AF26" s="32">
        <v>1</v>
      </c>
      <c r="AG26" s="32">
        <v>1</v>
      </c>
      <c r="AH26" s="32">
        <v>1</v>
      </c>
      <c r="AI26" s="32">
        <v>1</v>
      </c>
      <c r="AJ26" s="32">
        <v>1</v>
      </c>
      <c r="AK26" s="32">
        <v>1</v>
      </c>
      <c r="AL26" s="32">
        <v>1</v>
      </c>
      <c r="AM26" s="32">
        <v>1</v>
      </c>
      <c r="AN26" s="32">
        <v>1</v>
      </c>
    </row>
    <row r="27" spans="1:40" ht="15" thickBot="1" x14ac:dyDescent="0.35">
      <c r="A27" s="46" t="s">
        <v>519</v>
      </c>
      <c r="B27" s="47" t="s">
        <v>520</v>
      </c>
      <c r="C27" s="21" t="s">
        <v>78</v>
      </c>
      <c r="D27" s="21" t="s">
        <v>79</v>
      </c>
      <c r="E27" s="22" t="s">
        <v>11</v>
      </c>
      <c r="F27" t="s">
        <v>80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9"/>
  <sheetViews>
    <sheetView zoomScale="115" zoomScaleNormal="115" workbookViewId="0">
      <pane ySplit="1" topLeftCell="A2" activePane="bottomLeft" state="frozen"/>
      <selection pane="bottomLeft" activeCell="H35" sqref="A35:H35"/>
    </sheetView>
  </sheetViews>
  <sheetFormatPr defaultColWidth="8.88671875" defaultRowHeight="14.4" x14ac:dyDescent="0.3"/>
  <cols>
    <col min="1" max="1" width="17.6640625" bestFit="1" customWidth="1"/>
    <col min="2" max="2" width="56.88671875" customWidth="1"/>
    <col min="3" max="3" width="15" customWidth="1"/>
    <col min="4" max="4" width="40.44140625" bestFit="1" customWidth="1"/>
    <col min="5" max="5" width="14.33203125" bestFit="1" customWidth="1"/>
    <col min="6" max="6" width="21" bestFit="1" customWidth="1"/>
    <col min="7" max="7" width="25.5546875" bestFit="1" customWidth="1"/>
    <col min="8" max="8" width="13.6640625" bestFit="1" customWidth="1"/>
    <col min="9" max="9" width="15.6640625" bestFit="1" customWidth="1"/>
    <col min="10" max="40" width="16.33203125" bestFit="1" customWidth="1"/>
  </cols>
  <sheetData>
    <row r="1" spans="1:4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5" t="s">
        <v>81</v>
      </c>
      <c r="B2" s="5" t="s">
        <v>82</v>
      </c>
      <c r="C2" s="5" t="s">
        <v>9</v>
      </c>
      <c r="D2" s="5" t="s">
        <v>10</v>
      </c>
      <c r="E2" s="5" t="s">
        <v>83</v>
      </c>
      <c r="F2" s="5" t="s">
        <v>80</v>
      </c>
      <c r="G2" s="5">
        <v>0</v>
      </c>
      <c r="H2" s="52">
        <v>1.276</v>
      </c>
      <c r="I2" s="52">
        <v>1.276</v>
      </c>
      <c r="J2" s="52">
        <v>1.276</v>
      </c>
      <c r="K2" s="52">
        <v>1.276</v>
      </c>
      <c r="L2" s="52">
        <v>1.276</v>
      </c>
      <c r="M2" s="52">
        <v>1.276</v>
      </c>
      <c r="N2" s="52">
        <v>1.276</v>
      </c>
      <c r="O2" s="52">
        <v>1.276</v>
      </c>
      <c r="P2" s="52">
        <v>1.276</v>
      </c>
      <c r="Q2" s="52">
        <v>1.276</v>
      </c>
      <c r="R2" s="52">
        <v>1.276</v>
      </c>
      <c r="S2" s="52">
        <v>1.276</v>
      </c>
      <c r="T2" s="52">
        <v>1.276</v>
      </c>
      <c r="U2" s="52">
        <v>1.276</v>
      </c>
      <c r="V2" s="52">
        <v>1.276</v>
      </c>
      <c r="W2" s="52">
        <v>1.276</v>
      </c>
      <c r="X2" s="52">
        <v>1.276</v>
      </c>
      <c r="Y2" s="52">
        <v>1.276</v>
      </c>
      <c r="Z2" s="52">
        <v>1.276</v>
      </c>
      <c r="AA2" s="52">
        <v>1.276</v>
      </c>
      <c r="AB2" s="52">
        <v>1.276</v>
      </c>
      <c r="AC2" s="52">
        <v>1.276</v>
      </c>
      <c r="AD2" s="52">
        <v>1.276</v>
      </c>
      <c r="AE2" s="52">
        <v>1.276</v>
      </c>
      <c r="AF2" s="52">
        <v>1.276</v>
      </c>
      <c r="AG2" s="52">
        <v>1.276</v>
      </c>
      <c r="AH2" s="52">
        <v>1.276</v>
      </c>
      <c r="AI2" s="52">
        <v>1.276</v>
      </c>
      <c r="AJ2" s="52">
        <v>1.276</v>
      </c>
      <c r="AK2" s="52">
        <v>1.276</v>
      </c>
      <c r="AL2" s="52">
        <v>1.276</v>
      </c>
      <c r="AM2" s="52">
        <v>1.276</v>
      </c>
      <c r="AN2" s="52">
        <v>1.276</v>
      </c>
    </row>
    <row r="3" spans="1:40" ht="15" thickBot="1" x14ac:dyDescent="0.35">
      <c r="A3" s="5" t="s">
        <v>81</v>
      </c>
      <c r="B3" s="5" t="s">
        <v>82</v>
      </c>
      <c r="C3" s="5" t="s">
        <v>19</v>
      </c>
      <c r="D3" s="5" t="s">
        <v>20</v>
      </c>
      <c r="E3" s="5" t="s">
        <v>11</v>
      </c>
      <c r="F3" s="5" t="s">
        <v>80</v>
      </c>
      <c r="G3" s="5">
        <v>0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</row>
    <row r="4" spans="1:40" x14ac:dyDescent="0.3">
      <c r="A4" s="5" t="s">
        <v>84</v>
      </c>
      <c r="B4" s="5" t="s">
        <v>85</v>
      </c>
      <c r="C4" s="5" t="s">
        <v>9</v>
      </c>
      <c r="D4" s="5" t="s">
        <v>10</v>
      </c>
      <c r="E4" s="5" t="s">
        <v>83</v>
      </c>
      <c r="F4" s="5" t="s">
        <v>80</v>
      </c>
      <c r="G4" s="5">
        <v>0</v>
      </c>
      <c r="H4" s="52">
        <v>1.276</v>
      </c>
      <c r="I4" s="52">
        <v>1.276</v>
      </c>
      <c r="J4" s="52">
        <v>1.276</v>
      </c>
      <c r="K4" s="52">
        <v>1.276</v>
      </c>
      <c r="L4" s="52">
        <v>1.276</v>
      </c>
      <c r="M4" s="52">
        <v>1.276</v>
      </c>
      <c r="N4" s="52">
        <v>1.276</v>
      </c>
      <c r="O4" s="52">
        <v>1.276</v>
      </c>
      <c r="P4" s="52">
        <v>1.276</v>
      </c>
      <c r="Q4" s="52">
        <v>1.276</v>
      </c>
      <c r="R4" s="52">
        <v>1.276</v>
      </c>
      <c r="S4" s="52">
        <v>1.276</v>
      </c>
      <c r="T4" s="52">
        <v>1.276</v>
      </c>
      <c r="U4" s="52">
        <v>1.276</v>
      </c>
      <c r="V4" s="52">
        <v>1.276</v>
      </c>
      <c r="W4" s="52">
        <v>1.276</v>
      </c>
      <c r="X4" s="52">
        <v>1.276</v>
      </c>
      <c r="Y4" s="52">
        <v>1.276</v>
      </c>
      <c r="Z4" s="52">
        <v>1.276</v>
      </c>
      <c r="AA4" s="52">
        <v>1.276</v>
      </c>
      <c r="AB4" s="52">
        <v>1.276</v>
      </c>
      <c r="AC4" s="52">
        <v>1.276</v>
      </c>
      <c r="AD4" s="52">
        <v>1.276</v>
      </c>
      <c r="AE4" s="52">
        <v>1.276</v>
      </c>
      <c r="AF4" s="52">
        <v>1.276</v>
      </c>
      <c r="AG4" s="52">
        <v>1.276</v>
      </c>
      <c r="AH4" s="52">
        <v>1.276</v>
      </c>
      <c r="AI4" s="52">
        <v>1.276</v>
      </c>
      <c r="AJ4" s="52">
        <v>1.276</v>
      </c>
      <c r="AK4" s="52">
        <v>1.276</v>
      </c>
      <c r="AL4" s="52">
        <v>1.276</v>
      </c>
      <c r="AM4" s="52">
        <v>1.276</v>
      </c>
      <c r="AN4" s="52">
        <v>1.276</v>
      </c>
    </row>
    <row r="5" spans="1:40" ht="15" thickBot="1" x14ac:dyDescent="0.35">
      <c r="A5" s="5" t="s">
        <v>84</v>
      </c>
      <c r="B5" s="5" t="s">
        <v>85</v>
      </c>
      <c r="C5" s="5" t="s">
        <v>23</v>
      </c>
      <c r="D5" s="5" t="s">
        <v>24</v>
      </c>
      <c r="E5" s="5" t="s">
        <v>11</v>
      </c>
      <c r="F5" s="5" t="s">
        <v>80</v>
      </c>
      <c r="G5" s="5">
        <v>0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</row>
    <row r="6" spans="1:40" x14ac:dyDescent="0.3">
      <c r="A6" s="5" t="s">
        <v>86</v>
      </c>
      <c r="B6" s="5" t="s">
        <v>87</v>
      </c>
      <c r="C6" s="5" t="s">
        <v>9</v>
      </c>
      <c r="D6" s="5" t="s">
        <v>10</v>
      </c>
      <c r="E6" s="5" t="s">
        <v>83</v>
      </c>
      <c r="F6" s="5" t="s">
        <v>80</v>
      </c>
      <c r="G6" s="5">
        <v>0</v>
      </c>
      <c r="H6" s="52">
        <v>1.276</v>
      </c>
      <c r="I6" s="52">
        <v>1.276</v>
      </c>
      <c r="J6" s="52">
        <v>1.276</v>
      </c>
      <c r="K6" s="52">
        <v>1.276</v>
      </c>
      <c r="L6" s="52">
        <v>1.276</v>
      </c>
      <c r="M6" s="52">
        <v>1.276</v>
      </c>
      <c r="N6" s="52">
        <v>1.276</v>
      </c>
      <c r="O6" s="52">
        <v>1.276</v>
      </c>
      <c r="P6" s="52">
        <v>1.276</v>
      </c>
      <c r="Q6" s="52">
        <v>1.276</v>
      </c>
      <c r="R6" s="52">
        <v>1.276</v>
      </c>
      <c r="S6" s="52">
        <v>1.276</v>
      </c>
      <c r="T6" s="52">
        <v>1.276</v>
      </c>
      <c r="U6" s="52">
        <v>1.276</v>
      </c>
      <c r="V6" s="52">
        <v>1.276</v>
      </c>
      <c r="W6" s="52">
        <v>1.276</v>
      </c>
      <c r="X6" s="52">
        <v>1.276</v>
      </c>
      <c r="Y6" s="52">
        <v>1.276</v>
      </c>
      <c r="Z6" s="52">
        <v>1.276</v>
      </c>
      <c r="AA6" s="52">
        <v>1.276</v>
      </c>
      <c r="AB6" s="52">
        <v>1.276</v>
      </c>
      <c r="AC6" s="52">
        <v>1.276</v>
      </c>
      <c r="AD6" s="52">
        <v>1.276</v>
      </c>
      <c r="AE6" s="52">
        <v>1.276</v>
      </c>
      <c r="AF6" s="52">
        <v>1.276</v>
      </c>
      <c r="AG6" s="52">
        <v>1.276</v>
      </c>
      <c r="AH6" s="52">
        <v>1.276</v>
      </c>
      <c r="AI6" s="52">
        <v>1.276</v>
      </c>
      <c r="AJ6" s="52">
        <v>1.276</v>
      </c>
      <c r="AK6" s="52">
        <v>1.276</v>
      </c>
      <c r="AL6" s="52">
        <v>1.276</v>
      </c>
      <c r="AM6" s="52">
        <v>1.276</v>
      </c>
      <c r="AN6" s="52">
        <v>1.276</v>
      </c>
    </row>
    <row r="7" spans="1:40" ht="15" thickBot="1" x14ac:dyDescent="0.35">
      <c r="A7" s="5" t="s">
        <v>86</v>
      </c>
      <c r="B7" s="5" t="s">
        <v>87</v>
      </c>
      <c r="C7" s="5" t="s">
        <v>27</v>
      </c>
      <c r="D7" s="5" t="s">
        <v>28</v>
      </c>
      <c r="E7" s="5" t="s">
        <v>11</v>
      </c>
      <c r="F7" s="5" t="s">
        <v>80</v>
      </c>
      <c r="G7" s="5">
        <v>0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</row>
    <row r="8" spans="1:40" x14ac:dyDescent="0.3">
      <c r="A8" s="5" t="s">
        <v>88</v>
      </c>
      <c r="B8" s="5" t="s">
        <v>89</v>
      </c>
      <c r="C8" s="5" t="s">
        <v>9</v>
      </c>
      <c r="D8" s="5" t="s">
        <v>10</v>
      </c>
      <c r="E8" s="5" t="s">
        <v>83</v>
      </c>
      <c r="F8" s="5" t="s">
        <v>80</v>
      </c>
      <c r="G8" s="5">
        <v>0</v>
      </c>
      <c r="H8" s="52">
        <v>1.276</v>
      </c>
      <c r="I8" s="52">
        <v>1.276</v>
      </c>
      <c r="J8" s="52">
        <v>1.276</v>
      </c>
      <c r="K8" s="52">
        <v>1.276</v>
      </c>
      <c r="L8" s="52">
        <v>1.276</v>
      </c>
      <c r="M8" s="52">
        <v>1.276</v>
      </c>
      <c r="N8" s="52">
        <v>1.276</v>
      </c>
      <c r="O8" s="52">
        <v>1.276</v>
      </c>
      <c r="P8" s="52">
        <v>1.276</v>
      </c>
      <c r="Q8" s="52">
        <v>1.276</v>
      </c>
      <c r="R8" s="52">
        <v>1.276</v>
      </c>
      <c r="S8" s="52">
        <v>1.276</v>
      </c>
      <c r="T8" s="52">
        <v>1.276</v>
      </c>
      <c r="U8" s="52">
        <v>1.276</v>
      </c>
      <c r="V8" s="52">
        <v>1.276</v>
      </c>
      <c r="W8" s="52">
        <v>1.276</v>
      </c>
      <c r="X8" s="52">
        <v>1.276</v>
      </c>
      <c r="Y8" s="52">
        <v>1.276</v>
      </c>
      <c r="Z8" s="52">
        <v>1.276</v>
      </c>
      <c r="AA8" s="52">
        <v>1.276</v>
      </c>
      <c r="AB8" s="52">
        <v>1.276</v>
      </c>
      <c r="AC8" s="52">
        <v>1.276</v>
      </c>
      <c r="AD8" s="52">
        <v>1.276</v>
      </c>
      <c r="AE8" s="52">
        <v>1.276</v>
      </c>
      <c r="AF8" s="52">
        <v>1.276</v>
      </c>
      <c r="AG8" s="52">
        <v>1.276</v>
      </c>
      <c r="AH8" s="52">
        <v>1.276</v>
      </c>
      <c r="AI8" s="52">
        <v>1.276</v>
      </c>
      <c r="AJ8" s="52">
        <v>1.276</v>
      </c>
      <c r="AK8" s="52">
        <v>1.276</v>
      </c>
      <c r="AL8" s="52">
        <v>1.276</v>
      </c>
      <c r="AM8" s="52">
        <v>1.276</v>
      </c>
      <c r="AN8" s="52">
        <v>1.276</v>
      </c>
    </row>
    <row r="9" spans="1:40" x14ac:dyDescent="0.3">
      <c r="A9" s="8" t="s">
        <v>88</v>
      </c>
      <c r="B9" s="8" t="s">
        <v>89</v>
      </c>
      <c r="C9" s="8" t="s">
        <v>31</v>
      </c>
      <c r="D9" s="8" t="s">
        <v>32</v>
      </c>
      <c r="E9" s="8" t="s">
        <v>11</v>
      </c>
      <c r="F9" s="8" t="s">
        <v>80</v>
      </c>
      <c r="G9" s="8">
        <v>0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</row>
    <row r="10" spans="1:40" x14ac:dyDescent="0.3">
      <c r="A10" s="53" t="s">
        <v>90</v>
      </c>
      <c r="B10" s="5" t="s">
        <v>91</v>
      </c>
      <c r="C10" s="6" t="s">
        <v>56</v>
      </c>
      <c r="D10" s="6" t="s">
        <v>57</v>
      </c>
      <c r="E10" s="5" t="s">
        <v>83</v>
      </c>
      <c r="F10" s="5" t="s">
        <v>80</v>
      </c>
      <c r="G10" s="5">
        <v>0</v>
      </c>
      <c r="H10" s="53">
        <v>3.02</v>
      </c>
      <c r="I10" s="53">
        <v>2.69</v>
      </c>
      <c r="J10" s="53">
        <v>3.45</v>
      </c>
      <c r="K10" s="53">
        <v>3.28</v>
      </c>
      <c r="L10" s="53">
        <v>3.66</v>
      </c>
      <c r="M10" s="5">
        <f>L10</f>
        <v>3.66</v>
      </c>
      <c r="N10" s="5">
        <f t="shared" ref="N10:AN10" si="0">M10</f>
        <v>3.66</v>
      </c>
      <c r="O10" s="5">
        <f t="shared" si="0"/>
        <v>3.66</v>
      </c>
      <c r="P10" s="5">
        <f t="shared" si="0"/>
        <v>3.66</v>
      </c>
      <c r="Q10" s="5">
        <f t="shared" si="0"/>
        <v>3.66</v>
      </c>
      <c r="R10" s="5">
        <f t="shared" si="0"/>
        <v>3.66</v>
      </c>
      <c r="S10" s="5">
        <f t="shared" si="0"/>
        <v>3.66</v>
      </c>
      <c r="T10" s="5">
        <f t="shared" si="0"/>
        <v>3.66</v>
      </c>
      <c r="U10" s="5">
        <f t="shared" si="0"/>
        <v>3.66</v>
      </c>
      <c r="V10" s="5">
        <f t="shared" si="0"/>
        <v>3.66</v>
      </c>
      <c r="W10" s="5">
        <f t="shared" si="0"/>
        <v>3.66</v>
      </c>
      <c r="X10" s="5">
        <f t="shared" si="0"/>
        <v>3.66</v>
      </c>
      <c r="Y10" s="5">
        <f t="shared" si="0"/>
        <v>3.66</v>
      </c>
      <c r="Z10" s="5">
        <f t="shared" si="0"/>
        <v>3.66</v>
      </c>
      <c r="AA10" s="5">
        <f t="shared" si="0"/>
        <v>3.66</v>
      </c>
      <c r="AB10" s="5">
        <f t="shared" si="0"/>
        <v>3.66</v>
      </c>
      <c r="AC10" s="5">
        <f t="shared" si="0"/>
        <v>3.66</v>
      </c>
      <c r="AD10" s="5">
        <f t="shared" si="0"/>
        <v>3.66</v>
      </c>
      <c r="AE10" s="5">
        <f t="shared" si="0"/>
        <v>3.66</v>
      </c>
      <c r="AF10" s="5">
        <f t="shared" si="0"/>
        <v>3.66</v>
      </c>
      <c r="AG10" s="5">
        <f t="shared" si="0"/>
        <v>3.66</v>
      </c>
      <c r="AH10" s="5">
        <f t="shared" si="0"/>
        <v>3.66</v>
      </c>
      <c r="AI10" s="5">
        <f t="shared" si="0"/>
        <v>3.66</v>
      </c>
      <c r="AJ10" s="5">
        <f t="shared" si="0"/>
        <v>3.66</v>
      </c>
      <c r="AK10" s="5">
        <f t="shared" si="0"/>
        <v>3.66</v>
      </c>
      <c r="AL10" s="5">
        <f t="shared" si="0"/>
        <v>3.66</v>
      </c>
      <c r="AM10" s="5">
        <f t="shared" si="0"/>
        <v>3.66</v>
      </c>
      <c r="AN10" s="5">
        <f t="shared" si="0"/>
        <v>3.66</v>
      </c>
    </row>
    <row r="11" spans="1:40" x14ac:dyDescent="0.3">
      <c r="A11" s="57" t="s">
        <v>90</v>
      </c>
      <c r="B11" s="10" t="s">
        <v>91</v>
      </c>
      <c r="C11" s="12" t="s">
        <v>64</v>
      </c>
      <c r="D11" s="12" t="s">
        <v>65</v>
      </c>
      <c r="E11" s="10" t="s">
        <v>11</v>
      </c>
      <c r="F11" s="10" t="s">
        <v>80</v>
      </c>
      <c r="G11" s="10">
        <v>0</v>
      </c>
      <c r="H11" s="57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>
        <v>1</v>
      </c>
      <c r="V11" s="10">
        <v>1</v>
      </c>
      <c r="W11" s="10">
        <v>1</v>
      </c>
      <c r="X11" s="10">
        <v>1</v>
      </c>
      <c r="Y11" s="10">
        <v>1</v>
      </c>
      <c r="Z11" s="10">
        <v>1</v>
      </c>
      <c r="AA11" s="10">
        <v>1</v>
      </c>
      <c r="AB11" s="10">
        <v>1</v>
      </c>
      <c r="AC11" s="10">
        <v>1</v>
      </c>
      <c r="AD11" s="10">
        <v>1</v>
      </c>
      <c r="AE11" s="10">
        <v>1</v>
      </c>
      <c r="AF11" s="10">
        <v>1</v>
      </c>
      <c r="AG11" s="10">
        <v>1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1</v>
      </c>
    </row>
    <row r="12" spans="1:40" x14ac:dyDescent="0.3">
      <c r="A12" s="53" t="s">
        <v>92</v>
      </c>
      <c r="B12" s="5" t="s">
        <v>93</v>
      </c>
      <c r="C12" s="6" t="s">
        <v>60</v>
      </c>
      <c r="D12" s="6" t="s">
        <v>61</v>
      </c>
      <c r="E12" s="5" t="s">
        <v>83</v>
      </c>
      <c r="F12" s="5" t="s">
        <v>80</v>
      </c>
      <c r="G12" s="5">
        <v>0</v>
      </c>
      <c r="H12" s="53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</row>
    <row r="13" spans="1:40" x14ac:dyDescent="0.3">
      <c r="A13" s="58" t="s">
        <v>92</v>
      </c>
      <c r="B13" s="8" t="s">
        <v>93</v>
      </c>
      <c r="C13" s="9" t="s">
        <v>64</v>
      </c>
      <c r="D13" s="9" t="s">
        <v>65</v>
      </c>
      <c r="E13" s="8" t="s">
        <v>11</v>
      </c>
      <c r="F13" s="8" t="s">
        <v>80</v>
      </c>
      <c r="G13" s="8">
        <v>0</v>
      </c>
      <c r="H13" s="5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1</v>
      </c>
    </row>
    <row r="14" spans="1:40" x14ac:dyDescent="0.3">
      <c r="A14" s="53" t="s">
        <v>94</v>
      </c>
      <c r="B14" s="5" t="s">
        <v>95</v>
      </c>
      <c r="C14" s="6" t="s">
        <v>43</v>
      </c>
      <c r="D14" s="6" t="s">
        <v>44</v>
      </c>
      <c r="E14" s="5" t="s">
        <v>83</v>
      </c>
      <c r="F14" s="5" t="s">
        <v>80</v>
      </c>
      <c r="G14" s="5">
        <v>0</v>
      </c>
      <c r="H14" s="53">
        <v>3.76</v>
      </c>
      <c r="I14" s="53">
        <v>3.48</v>
      </c>
      <c r="J14" s="53">
        <v>3.16</v>
      </c>
      <c r="K14" s="53">
        <v>3.03</v>
      </c>
      <c r="L14" s="53">
        <v>3.12</v>
      </c>
      <c r="M14" s="5">
        <f>L14</f>
        <v>3.12</v>
      </c>
      <c r="N14" s="5">
        <f t="shared" ref="N14:AN14" si="1">M14</f>
        <v>3.12</v>
      </c>
      <c r="O14" s="5">
        <f t="shared" si="1"/>
        <v>3.12</v>
      </c>
      <c r="P14" s="5">
        <f t="shared" si="1"/>
        <v>3.12</v>
      </c>
      <c r="Q14" s="5">
        <f t="shared" si="1"/>
        <v>3.12</v>
      </c>
      <c r="R14" s="5">
        <f t="shared" si="1"/>
        <v>3.12</v>
      </c>
      <c r="S14" s="5">
        <f t="shared" si="1"/>
        <v>3.12</v>
      </c>
      <c r="T14" s="5">
        <f t="shared" si="1"/>
        <v>3.12</v>
      </c>
      <c r="U14" s="5">
        <f t="shared" si="1"/>
        <v>3.12</v>
      </c>
      <c r="V14" s="5">
        <f t="shared" si="1"/>
        <v>3.12</v>
      </c>
      <c r="W14" s="5">
        <f t="shared" si="1"/>
        <v>3.12</v>
      </c>
      <c r="X14" s="5">
        <f t="shared" si="1"/>
        <v>3.12</v>
      </c>
      <c r="Y14" s="5">
        <f t="shared" si="1"/>
        <v>3.12</v>
      </c>
      <c r="Z14" s="5">
        <f t="shared" si="1"/>
        <v>3.12</v>
      </c>
      <c r="AA14" s="5">
        <f t="shared" si="1"/>
        <v>3.12</v>
      </c>
      <c r="AB14" s="5">
        <f t="shared" si="1"/>
        <v>3.12</v>
      </c>
      <c r="AC14" s="5">
        <f t="shared" si="1"/>
        <v>3.12</v>
      </c>
      <c r="AD14" s="5">
        <f t="shared" si="1"/>
        <v>3.12</v>
      </c>
      <c r="AE14" s="5">
        <f t="shared" si="1"/>
        <v>3.12</v>
      </c>
      <c r="AF14" s="5">
        <f t="shared" si="1"/>
        <v>3.12</v>
      </c>
      <c r="AG14" s="5">
        <f t="shared" si="1"/>
        <v>3.12</v>
      </c>
      <c r="AH14" s="5">
        <f t="shared" si="1"/>
        <v>3.12</v>
      </c>
      <c r="AI14" s="5">
        <f t="shared" si="1"/>
        <v>3.12</v>
      </c>
      <c r="AJ14" s="5">
        <f t="shared" si="1"/>
        <v>3.12</v>
      </c>
      <c r="AK14" s="5">
        <f t="shared" si="1"/>
        <v>3.12</v>
      </c>
      <c r="AL14" s="5">
        <f t="shared" si="1"/>
        <v>3.12</v>
      </c>
      <c r="AM14" s="5">
        <f t="shared" si="1"/>
        <v>3.12</v>
      </c>
      <c r="AN14" s="5">
        <f t="shared" si="1"/>
        <v>3.12</v>
      </c>
    </row>
    <row r="15" spans="1:40" x14ac:dyDescent="0.3">
      <c r="A15" s="59" t="s">
        <v>94</v>
      </c>
      <c r="B15" s="11" t="s">
        <v>95</v>
      </c>
      <c r="C15" s="31" t="s">
        <v>64</v>
      </c>
      <c r="D15" s="31" t="s">
        <v>65</v>
      </c>
      <c r="E15" s="11" t="s">
        <v>11</v>
      </c>
      <c r="F15" s="11" t="s">
        <v>80</v>
      </c>
      <c r="G15" s="11">
        <v>0</v>
      </c>
      <c r="H15" s="59">
        <v>1</v>
      </c>
      <c r="I15" s="11">
        <v>1</v>
      </c>
      <c r="J15" s="11">
        <v>1</v>
      </c>
      <c r="K15" s="11">
        <v>1</v>
      </c>
      <c r="L15" s="11">
        <v>1</v>
      </c>
      <c r="M15" s="11">
        <v>1</v>
      </c>
      <c r="N15" s="11">
        <v>1</v>
      </c>
      <c r="O15" s="11">
        <v>1</v>
      </c>
      <c r="P15" s="11">
        <v>1</v>
      </c>
      <c r="Q15" s="11">
        <v>1</v>
      </c>
      <c r="R15" s="11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>
        <v>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1">
        <v>1</v>
      </c>
      <c r="AG15" s="11">
        <v>1</v>
      </c>
      <c r="AH15" s="11">
        <v>1</v>
      </c>
      <c r="AI15" s="11">
        <v>1</v>
      </c>
      <c r="AJ15" s="11">
        <v>1</v>
      </c>
      <c r="AK15" s="11">
        <v>1</v>
      </c>
      <c r="AL15" s="11">
        <v>1</v>
      </c>
      <c r="AM15" s="11">
        <v>1</v>
      </c>
      <c r="AN15" s="11">
        <v>1</v>
      </c>
    </row>
    <row r="16" spans="1:40" x14ac:dyDescent="0.3">
      <c r="A16" s="53" t="s">
        <v>96</v>
      </c>
      <c r="B16" s="5" t="s">
        <v>97</v>
      </c>
      <c r="C16" s="6" t="s">
        <v>19</v>
      </c>
      <c r="D16" s="6" t="s">
        <v>20</v>
      </c>
      <c r="E16" s="5" t="s">
        <v>83</v>
      </c>
      <c r="F16" s="5" t="s">
        <v>80</v>
      </c>
      <c r="G16" s="5">
        <v>0</v>
      </c>
      <c r="H16" s="53">
        <v>2.54</v>
      </c>
      <c r="I16" s="53">
        <v>2.82</v>
      </c>
      <c r="J16" s="53">
        <v>3.83</v>
      </c>
      <c r="K16" s="53">
        <v>6.14</v>
      </c>
      <c r="L16" s="53">
        <v>7.03</v>
      </c>
      <c r="M16" s="5">
        <f>L16</f>
        <v>7.03</v>
      </c>
      <c r="N16" s="5">
        <f t="shared" ref="N16:AN16" si="2">M16</f>
        <v>7.03</v>
      </c>
      <c r="O16" s="5">
        <f t="shared" si="2"/>
        <v>7.03</v>
      </c>
      <c r="P16" s="5">
        <f t="shared" si="2"/>
        <v>7.03</v>
      </c>
      <c r="Q16" s="5">
        <f t="shared" si="2"/>
        <v>7.03</v>
      </c>
      <c r="R16" s="5">
        <f t="shared" si="2"/>
        <v>7.03</v>
      </c>
      <c r="S16" s="5">
        <f t="shared" si="2"/>
        <v>7.03</v>
      </c>
      <c r="T16" s="5">
        <f t="shared" si="2"/>
        <v>7.03</v>
      </c>
      <c r="U16" s="5">
        <f t="shared" si="2"/>
        <v>7.03</v>
      </c>
      <c r="V16" s="5">
        <f t="shared" si="2"/>
        <v>7.03</v>
      </c>
      <c r="W16" s="5">
        <f t="shared" si="2"/>
        <v>7.03</v>
      </c>
      <c r="X16" s="5">
        <f t="shared" si="2"/>
        <v>7.03</v>
      </c>
      <c r="Y16" s="5">
        <f t="shared" si="2"/>
        <v>7.03</v>
      </c>
      <c r="Z16" s="5">
        <f t="shared" si="2"/>
        <v>7.03</v>
      </c>
      <c r="AA16" s="5">
        <f t="shared" si="2"/>
        <v>7.03</v>
      </c>
      <c r="AB16" s="5">
        <f t="shared" si="2"/>
        <v>7.03</v>
      </c>
      <c r="AC16" s="5">
        <f t="shared" si="2"/>
        <v>7.03</v>
      </c>
      <c r="AD16" s="5">
        <f t="shared" si="2"/>
        <v>7.03</v>
      </c>
      <c r="AE16" s="5">
        <f t="shared" si="2"/>
        <v>7.03</v>
      </c>
      <c r="AF16" s="5">
        <f t="shared" si="2"/>
        <v>7.03</v>
      </c>
      <c r="AG16" s="5">
        <f t="shared" si="2"/>
        <v>7.03</v>
      </c>
      <c r="AH16" s="5">
        <f t="shared" si="2"/>
        <v>7.03</v>
      </c>
      <c r="AI16" s="5">
        <f t="shared" si="2"/>
        <v>7.03</v>
      </c>
      <c r="AJ16" s="5">
        <f t="shared" si="2"/>
        <v>7.03</v>
      </c>
      <c r="AK16" s="5">
        <f t="shared" si="2"/>
        <v>7.03</v>
      </c>
      <c r="AL16" s="5">
        <f t="shared" si="2"/>
        <v>7.03</v>
      </c>
      <c r="AM16" s="5">
        <f t="shared" si="2"/>
        <v>7.03</v>
      </c>
      <c r="AN16" s="5">
        <f t="shared" si="2"/>
        <v>7.03</v>
      </c>
    </row>
    <row r="17" spans="1:40" x14ac:dyDescent="0.3">
      <c r="A17" s="59" t="s">
        <v>96</v>
      </c>
      <c r="B17" s="11" t="s">
        <v>97</v>
      </c>
      <c r="C17" s="31" t="s">
        <v>64</v>
      </c>
      <c r="D17" s="31" t="s">
        <v>65</v>
      </c>
      <c r="E17" s="11" t="s">
        <v>11</v>
      </c>
      <c r="F17" s="11" t="s">
        <v>80</v>
      </c>
      <c r="G17" s="11">
        <v>0</v>
      </c>
      <c r="H17" s="59">
        <v>1</v>
      </c>
      <c r="I17" s="11">
        <v>1</v>
      </c>
      <c r="J17" s="11">
        <v>1</v>
      </c>
      <c r="K17" s="11">
        <v>1</v>
      </c>
      <c r="L17" s="11">
        <v>1</v>
      </c>
      <c r="M17" s="11">
        <v>1</v>
      </c>
      <c r="N17" s="11">
        <v>1</v>
      </c>
      <c r="O17" s="11">
        <v>1</v>
      </c>
      <c r="P17" s="11">
        <v>1</v>
      </c>
      <c r="Q17" s="11">
        <v>1</v>
      </c>
      <c r="R17" s="11">
        <v>1</v>
      </c>
      <c r="S17" s="11">
        <v>1</v>
      </c>
      <c r="T17" s="11">
        <v>1</v>
      </c>
      <c r="U17" s="11">
        <v>1</v>
      </c>
      <c r="V17" s="11">
        <v>1</v>
      </c>
      <c r="W17" s="11">
        <v>1</v>
      </c>
      <c r="X17" s="11">
        <v>1</v>
      </c>
      <c r="Y17" s="11">
        <v>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1">
        <v>1</v>
      </c>
      <c r="AG17" s="11">
        <v>1</v>
      </c>
      <c r="AH17" s="11">
        <v>1</v>
      </c>
      <c r="AI17" s="11">
        <v>1</v>
      </c>
      <c r="AJ17" s="11">
        <v>1</v>
      </c>
      <c r="AK17" s="11">
        <v>1</v>
      </c>
      <c r="AL17" s="11">
        <v>1</v>
      </c>
      <c r="AM17" s="11">
        <v>1</v>
      </c>
      <c r="AN17" s="11">
        <v>1</v>
      </c>
    </row>
    <row r="18" spans="1:40" x14ac:dyDescent="0.3">
      <c r="A18" s="53" t="s">
        <v>98</v>
      </c>
      <c r="B18" s="5" t="s">
        <v>99</v>
      </c>
      <c r="C18" s="6" t="s">
        <v>31</v>
      </c>
      <c r="D18" s="6" t="s">
        <v>32</v>
      </c>
      <c r="E18" s="5" t="s">
        <v>83</v>
      </c>
      <c r="F18" s="5" t="s">
        <v>80</v>
      </c>
      <c r="G18" s="6">
        <v>0</v>
      </c>
      <c r="H18" s="61">
        <v>2.4724175619206461</v>
      </c>
      <c r="I18" s="61">
        <v>2.5146906868037111</v>
      </c>
      <c r="J18" s="61">
        <v>2.3776571629786605</v>
      </c>
      <c r="K18" s="61">
        <v>2.3232974084760212</v>
      </c>
      <c r="L18" s="61">
        <v>2.4136639411184899</v>
      </c>
      <c r="M18" s="5">
        <v>2.4489063286009936</v>
      </c>
      <c r="N18" s="5">
        <v>2.4489063286009936</v>
      </c>
      <c r="O18" s="5">
        <v>2.4489063286009936</v>
      </c>
      <c r="P18" s="5">
        <v>2.4489063286009936</v>
      </c>
      <c r="Q18" s="5">
        <v>2.4489063286009936</v>
      </c>
      <c r="R18" s="5">
        <v>2.4489063286009936</v>
      </c>
      <c r="S18" s="5">
        <v>2.4489063286009936</v>
      </c>
      <c r="T18" s="5">
        <v>2.4489063286009936</v>
      </c>
      <c r="U18" s="5">
        <v>2.4489063286009936</v>
      </c>
      <c r="V18" s="5">
        <v>2.4489063286009936</v>
      </c>
      <c r="W18" s="5">
        <v>2.4489063286009936</v>
      </c>
      <c r="X18" s="5">
        <v>2.4489063286009936</v>
      </c>
      <c r="Y18" s="5">
        <v>2.4489063286009936</v>
      </c>
      <c r="Z18" s="5">
        <v>2.4489063286009936</v>
      </c>
      <c r="AA18" s="5">
        <v>2.4489063286009936</v>
      </c>
      <c r="AB18" s="5">
        <v>2.4489063286009936</v>
      </c>
      <c r="AC18" s="5">
        <v>2.4489063286009936</v>
      </c>
      <c r="AD18" s="5">
        <v>2.4489063286009936</v>
      </c>
      <c r="AE18" s="5">
        <v>2.4489063286009936</v>
      </c>
      <c r="AF18" s="5">
        <v>2.4489063286009936</v>
      </c>
      <c r="AG18" s="5">
        <v>2.4489063286009936</v>
      </c>
      <c r="AH18" s="5">
        <v>2.4489063286009936</v>
      </c>
      <c r="AI18" s="5">
        <v>2.4489063286009936</v>
      </c>
      <c r="AJ18" s="5">
        <v>2.4489063286009936</v>
      </c>
      <c r="AK18" s="5">
        <v>2.4489063286009936</v>
      </c>
      <c r="AL18" s="5">
        <v>2.4489063286009936</v>
      </c>
      <c r="AM18" s="5">
        <v>2.4489063286009936</v>
      </c>
      <c r="AN18" s="5">
        <v>2.4489063286009936</v>
      </c>
    </row>
    <row r="19" spans="1:40" x14ac:dyDescent="0.3">
      <c r="A19" s="53" t="s">
        <v>98</v>
      </c>
      <c r="B19" s="5" t="s">
        <v>99</v>
      </c>
      <c r="C19" s="6" t="s">
        <v>19</v>
      </c>
      <c r="D19" s="6" t="s">
        <v>20</v>
      </c>
      <c r="E19" s="5" t="s">
        <v>83</v>
      </c>
      <c r="F19" s="5" t="s">
        <v>80</v>
      </c>
      <c r="G19" s="6">
        <v>0</v>
      </c>
      <c r="H19" s="62">
        <v>9.8319222273381787E-2</v>
      </c>
      <c r="I19" s="62">
        <v>9.5321163226482583E-2</v>
      </c>
      <c r="J19" s="62">
        <v>8.8460775354679583E-2</v>
      </c>
      <c r="K19" s="62">
        <v>9.7285018335760462E-2</v>
      </c>
      <c r="L19" s="62">
        <v>9.7965564542952369E-2</v>
      </c>
      <c r="M19" s="6">
        <v>7.971210939882982E-2</v>
      </c>
      <c r="N19" s="6">
        <v>7.971210939882982E-2</v>
      </c>
      <c r="O19" s="6">
        <v>7.971210939882982E-2</v>
      </c>
      <c r="P19" s="6">
        <v>7.971210939882982E-2</v>
      </c>
      <c r="Q19" s="6">
        <v>7.971210939882982E-2</v>
      </c>
      <c r="R19" s="6">
        <v>7.971210939882982E-2</v>
      </c>
      <c r="S19" s="6">
        <v>7.971210939882982E-2</v>
      </c>
      <c r="T19" s="6">
        <v>7.971210939882982E-2</v>
      </c>
      <c r="U19" s="6">
        <v>7.971210939882982E-2</v>
      </c>
      <c r="V19" s="6">
        <v>7.971210939882982E-2</v>
      </c>
      <c r="W19" s="6">
        <v>7.971210939882982E-2</v>
      </c>
      <c r="X19" s="6">
        <v>7.971210939882982E-2</v>
      </c>
      <c r="Y19" s="6">
        <v>7.971210939882982E-2</v>
      </c>
      <c r="Z19" s="6">
        <v>7.971210939882982E-2</v>
      </c>
      <c r="AA19" s="6">
        <v>7.971210939882982E-2</v>
      </c>
      <c r="AB19" s="6">
        <v>7.971210939882982E-2</v>
      </c>
      <c r="AC19" s="6">
        <v>7.971210939882982E-2</v>
      </c>
      <c r="AD19" s="6">
        <v>7.971210939882982E-2</v>
      </c>
      <c r="AE19" s="6">
        <v>7.971210939882982E-2</v>
      </c>
      <c r="AF19" s="6">
        <v>7.971210939882982E-2</v>
      </c>
      <c r="AG19" s="6">
        <v>7.971210939882982E-2</v>
      </c>
      <c r="AH19" s="6">
        <v>7.971210939882982E-2</v>
      </c>
      <c r="AI19" s="6">
        <v>7.971210939882982E-2</v>
      </c>
      <c r="AJ19" s="6">
        <v>7.971210939882982E-2</v>
      </c>
      <c r="AK19" s="6">
        <v>7.971210939882982E-2</v>
      </c>
      <c r="AL19" s="6">
        <v>7.971210939882982E-2</v>
      </c>
      <c r="AM19" s="6">
        <v>7.971210939882982E-2</v>
      </c>
      <c r="AN19" s="6">
        <v>7.971210939882982E-2</v>
      </c>
    </row>
    <row r="20" spans="1:40" x14ac:dyDescent="0.3">
      <c r="A20" s="57" t="s">
        <v>98</v>
      </c>
      <c r="B20" s="10" t="s">
        <v>99</v>
      </c>
      <c r="C20" s="12" t="s">
        <v>64</v>
      </c>
      <c r="D20" s="12" t="s">
        <v>65</v>
      </c>
      <c r="E20" s="10" t="s">
        <v>11</v>
      </c>
      <c r="F20" s="5" t="s">
        <v>80</v>
      </c>
      <c r="G20" s="12">
        <v>0</v>
      </c>
      <c r="H20" s="57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1</v>
      </c>
      <c r="S20" s="10">
        <v>1</v>
      </c>
      <c r="T20" s="10">
        <v>1</v>
      </c>
      <c r="U20" s="10">
        <v>1</v>
      </c>
      <c r="V20" s="10">
        <v>1</v>
      </c>
      <c r="W20" s="10">
        <v>1</v>
      </c>
      <c r="X20" s="10">
        <v>1</v>
      </c>
      <c r="Y20" s="10">
        <v>1</v>
      </c>
      <c r="Z20" s="10">
        <v>1</v>
      </c>
      <c r="AA20" s="10">
        <v>1</v>
      </c>
      <c r="AB20" s="10">
        <v>1</v>
      </c>
      <c r="AC20" s="10">
        <v>1</v>
      </c>
      <c r="AD20" s="10">
        <v>1</v>
      </c>
      <c r="AE20" s="10">
        <v>1</v>
      </c>
      <c r="AF20" s="10">
        <v>1</v>
      </c>
      <c r="AG20" s="10">
        <v>1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>
        <v>1</v>
      </c>
    </row>
    <row r="21" spans="1:40" x14ac:dyDescent="0.3">
      <c r="A21" s="53" t="s">
        <v>100</v>
      </c>
      <c r="B21" s="5" t="s">
        <v>101</v>
      </c>
      <c r="C21" s="6" t="s">
        <v>15</v>
      </c>
      <c r="D21" s="6" t="s">
        <v>16</v>
      </c>
      <c r="E21" s="5" t="s">
        <v>83</v>
      </c>
      <c r="F21" s="5" t="s">
        <v>80</v>
      </c>
      <c r="G21" s="6">
        <v>0</v>
      </c>
      <c r="H21" s="60">
        <v>2.4500000000000002</v>
      </c>
      <c r="I21" s="60">
        <v>3.2</v>
      </c>
      <c r="J21" s="60">
        <v>2.04</v>
      </c>
      <c r="K21" s="60">
        <v>1.76</v>
      </c>
      <c r="L21" s="60">
        <v>1.66</v>
      </c>
      <c r="M21" s="7">
        <f>L21</f>
        <v>1.66</v>
      </c>
      <c r="N21" s="7">
        <f t="shared" ref="N21:AN21" si="3">M21</f>
        <v>1.66</v>
      </c>
      <c r="O21" s="7">
        <f t="shared" si="3"/>
        <v>1.66</v>
      </c>
      <c r="P21" s="7">
        <f t="shared" si="3"/>
        <v>1.66</v>
      </c>
      <c r="Q21" s="7">
        <f t="shared" si="3"/>
        <v>1.66</v>
      </c>
      <c r="R21" s="7">
        <f t="shared" si="3"/>
        <v>1.66</v>
      </c>
      <c r="S21" s="7">
        <f t="shared" si="3"/>
        <v>1.66</v>
      </c>
      <c r="T21" s="7">
        <f t="shared" si="3"/>
        <v>1.66</v>
      </c>
      <c r="U21" s="7">
        <f t="shared" si="3"/>
        <v>1.66</v>
      </c>
      <c r="V21" s="7">
        <f t="shared" si="3"/>
        <v>1.66</v>
      </c>
      <c r="W21" s="7">
        <f t="shared" si="3"/>
        <v>1.66</v>
      </c>
      <c r="X21" s="7">
        <f t="shared" si="3"/>
        <v>1.66</v>
      </c>
      <c r="Y21" s="7">
        <f t="shared" si="3"/>
        <v>1.66</v>
      </c>
      <c r="Z21" s="7">
        <f t="shared" si="3"/>
        <v>1.66</v>
      </c>
      <c r="AA21" s="7">
        <f t="shared" si="3"/>
        <v>1.66</v>
      </c>
      <c r="AB21" s="7">
        <f t="shared" si="3"/>
        <v>1.66</v>
      </c>
      <c r="AC21" s="7">
        <f t="shared" si="3"/>
        <v>1.66</v>
      </c>
      <c r="AD21" s="7">
        <f t="shared" si="3"/>
        <v>1.66</v>
      </c>
      <c r="AE21" s="7">
        <f t="shared" si="3"/>
        <v>1.66</v>
      </c>
      <c r="AF21" s="7">
        <f t="shared" si="3"/>
        <v>1.66</v>
      </c>
      <c r="AG21" s="7">
        <f t="shared" si="3"/>
        <v>1.66</v>
      </c>
      <c r="AH21" s="7">
        <f t="shared" si="3"/>
        <v>1.66</v>
      </c>
      <c r="AI21" s="7">
        <f t="shared" si="3"/>
        <v>1.66</v>
      </c>
      <c r="AJ21" s="7">
        <f t="shared" si="3"/>
        <v>1.66</v>
      </c>
      <c r="AK21" s="7">
        <f t="shared" si="3"/>
        <v>1.66</v>
      </c>
      <c r="AL21" s="7">
        <f t="shared" si="3"/>
        <v>1.66</v>
      </c>
      <c r="AM21" s="7">
        <f t="shared" si="3"/>
        <v>1.66</v>
      </c>
      <c r="AN21" s="7">
        <f t="shared" si="3"/>
        <v>1.66</v>
      </c>
    </row>
    <row r="22" spans="1:40" x14ac:dyDescent="0.3">
      <c r="A22" s="53" t="s">
        <v>100</v>
      </c>
      <c r="B22" s="5" t="s">
        <v>101</v>
      </c>
      <c r="C22" s="6" t="s">
        <v>64</v>
      </c>
      <c r="D22" s="6" t="s">
        <v>65</v>
      </c>
      <c r="E22" s="5" t="s">
        <v>11</v>
      </c>
      <c r="F22" s="5" t="s">
        <v>80</v>
      </c>
      <c r="G22" s="6">
        <v>0</v>
      </c>
      <c r="H22" s="60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</row>
    <row r="23" spans="1:40" x14ac:dyDescent="0.3">
      <c r="A23" s="53" t="s">
        <v>102</v>
      </c>
      <c r="B23" s="5" t="s">
        <v>103</v>
      </c>
      <c r="C23" s="6" t="s">
        <v>15</v>
      </c>
      <c r="D23" s="6" t="s">
        <v>16</v>
      </c>
      <c r="E23" s="5" t="s">
        <v>83</v>
      </c>
      <c r="F23" s="5" t="s">
        <v>80</v>
      </c>
      <c r="G23" s="6">
        <v>0</v>
      </c>
      <c r="H23" s="60">
        <v>2.4500000000000002</v>
      </c>
      <c r="I23" s="60">
        <v>3.2</v>
      </c>
      <c r="J23" s="60">
        <v>2.04</v>
      </c>
      <c r="K23" s="60">
        <v>1.76</v>
      </c>
      <c r="L23" s="60">
        <v>1.66</v>
      </c>
      <c r="M23" s="7">
        <f>L23</f>
        <v>1.66</v>
      </c>
      <c r="N23" s="7">
        <f t="shared" ref="N23:AN23" si="4">M23</f>
        <v>1.66</v>
      </c>
      <c r="O23" s="7">
        <f t="shared" si="4"/>
        <v>1.66</v>
      </c>
      <c r="P23" s="7">
        <f t="shared" si="4"/>
        <v>1.66</v>
      </c>
      <c r="Q23" s="7">
        <f t="shared" si="4"/>
        <v>1.66</v>
      </c>
      <c r="R23" s="7">
        <f t="shared" si="4"/>
        <v>1.66</v>
      </c>
      <c r="S23" s="7">
        <f t="shared" si="4"/>
        <v>1.66</v>
      </c>
      <c r="T23" s="7">
        <f t="shared" si="4"/>
        <v>1.66</v>
      </c>
      <c r="U23" s="7">
        <f t="shared" si="4"/>
        <v>1.66</v>
      </c>
      <c r="V23" s="7">
        <f t="shared" si="4"/>
        <v>1.66</v>
      </c>
      <c r="W23" s="7">
        <f t="shared" si="4"/>
        <v>1.66</v>
      </c>
      <c r="X23" s="7">
        <f t="shared" si="4"/>
        <v>1.66</v>
      </c>
      <c r="Y23" s="7">
        <f t="shared" si="4"/>
        <v>1.66</v>
      </c>
      <c r="Z23" s="7">
        <f t="shared" si="4"/>
        <v>1.66</v>
      </c>
      <c r="AA23" s="7">
        <f t="shared" si="4"/>
        <v>1.66</v>
      </c>
      <c r="AB23" s="7">
        <f t="shared" si="4"/>
        <v>1.66</v>
      </c>
      <c r="AC23" s="7">
        <f t="shared" si="4"/>
        <v>1.66</v>
      </c>
      <c r="AD23" s="7">
        <f t="shared" si="4"/>
        <v>1.66</v>
      </c>
      <c r="AE23" s="7">
        <f t="shared" si="4"/>
        <v>1.66</v>
      </c>
      <c r="AF23" s="7">
        <f t="shared" si="4"/>
        <v>1.66</v>
      </c>
      <c r="AG23" s="7">
        <f t="shared" si="4"/>
        <v>1.66</v>
      </c>
      <c r="AH23" s="7">
        <f t="shared" si="4"/>
        <v>1.66</v>
      </c>
      <c r="AI23" s="7">
        <f t="shared" si="4"/>
        <v>1.66</v>
      </c>
      <c r="AJ23" s="7">
        <f t="shared" si="4"/>
        <v>1.66</v>
      </c>
      <c r="AK23" s="7">
        <f t="shared" si="4"/>
        <v>1.66</v>
      </c>
      <c r="AL23" s="7">
        <f t="shared" si="4"/>
        <v>1.66</v>
      </c>
      <c r="AM23" s="7">
        <f t="shared" si="4"/>
        <v>1.66</v>
      </c>
      <c r="AN23" s="7">
        <f t="shared" si="4"/>
        <v>1.66</v>
      </c>
    </row>
    <row r="24" spans="1:40" x14ac:dyDescent="0.3">
      <c r="A24" s="53" t="s">
        <v>102</v>
      </c>
      <c r="B24" s="5" t="s">
        <v>103</v>
      </c>
      <c r="C24" s="6" t="s">
        <v>19</v>
      </c>
      <c r="D24" s="6" t="s">
        <v>20</v>
      </c>
      <c r="E24" s="5" t="s">
        <v>83</v>
      </c>
      <c r="F24" s="5" t="s">
        <v>80</v>
      </c>
      <c r="G24" s="6">
        <v>0</v>
      </c>
      <c r="H24" s="53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0</v>
      </c>
      <c r="U24" s="56">
        <v>0</v>
      </c>
      <c r="V24" s="56">
        <v>0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56">
        <v>0</v>
      </c>
      <c r="AC24" s="56">
        <v>0</v>
      </c>
      <c r="AD24" s="56">
        <v>0</v>
      </c>
      <c r="AE24" s="56">
        <v>0</v>
      </c>
      <c r="AF24" s="56">
        <v>0</v>
      </c>
      <c r="AG24" s="56">
        <v>0</v>
      </c>
      <c r="AH24" s="56">
        <v>0</v>
      </c>
      <c r="AI24" s="56">
        <v>0</v>
      </c>
      <c r="AJ24" s="56">
        <v>0</v>
      </c>
      <c r="AK24" s="56">
        <v>0</v>
      </c>
      <c r="AL24" s="56">
        <v>0</v>
      </c>
      <c r="AM24" s="56">
        <v>0</v>
      </c>
      <c r="AN24" s="56">
        <v>0</v>
      </c>
    </row>
    <row r="25" spans="1:40" x14ac:dyDescent="0.3">
      <c r="A25" s="58" t="s">
        <v>102</v>
      </c>
      <c r="B25" s="8" t="s">
        <v>103</v>
      </c>
      <c r="C25" s="9" t="s">
        <v>64</v>
      </c>
      <c r="D25" s="9" t="s">
        <v>65</v>
      </c>
      <c r="E25" s="8" t="s">
        <v>11</v>
      </c>
      <c r="F25" s="8" t="s">
        <v>80</v>
      </c>
      <c r="G25" s="9">
        <v>0</v>
      </c>
      <c r="H25" s="58">
        <v>1</v>
      </c>
      <c r="I25" s="8">
        <v>1</v>
      </c>
      <c r="J25" s="8">
        <v>1</v>
      </c>
      <c r="K25" s="8">
        <v>1</v>
      </c>
      <c r="L25" s="8">
        <v>1</v>
      </c>
      <c r="M25" s="8">
        <v>1</v>
      </c>
      <c r="N25" s="8">
        <v>1</v>
      </c>
      <c r="O25" s="8">
        <v>1</v>
      </c>
      <c r="P25" s="8">
        <v>1</v>
      </c>
      <c r="Q25" s="8">
        <v>1</v>
      </c>
      <c r="R25" s="8">
        <v>1</v>
      </c>
      <c r="S25" s="8">
        <v>1</v>
      </c>
      <c r="T25" s="8">
        <v>1</v>
      </c>
      <c r="U25" s="8">
        <v>1</v>
      </c>
      <c r="V25" s="8">
        <v>1</v>
      </c>
      <c r="W25" s="8">
        <v>1</v>
      </c>
      <c r="X25" s="8">
        <v>1</v>
      </c>
      <c r="Y25" s="8">
        <v>1</v>
      </c>
      <c r="Z25" s="8">
        <v>1</v>
      </c>
      <c r="AA25" s="8">
        <v>1</v>
      </c>
      <c r="AB25" s="8">
        <v>1</v>
      </c>
      <c r="AC25" s="8">
        <v>1</v>
      </c>
      <c r="AD25" s="8">
        <v>1</v>
      </c>
      <c r="AE25" s="8">
        <v>1</v>
      </c>
      <c r="AF25" s="8">
        <v>1</v>
      </c>
      <c r="AG25" s="8">
        <v>1</v>
      </c>
      <c r="AH25" s="8">
        <v>1</v>
      </c>
      <c r="AI25" s="8">
        <v>1</v>
      </c>
      <c r="AJ25" s="8">
        <v>1</v>
      </c>
      <c r="AK25" s="8">
        <v>1</v>
      </c>
      <c r="AL25" s="8">
        <v>1</v>
      </c>
      <c r="AM25" s="8">
        <v>1</v>
      </c>
      <c r="AN25" s="8">
        <v>1</v>
      </c>
    </row>
    <row r="26" spans="1:40" x14ac:dyDescent="0.3">
      <c r="A26" s="53" t="s">
        <v>104</v>
      </c>
      <c r="B26" s="5" t="s">
        <v>105</v>
      </c>
      <c r="C26" s="6" t="s">
        <v>31</v>
      </c>
      <c r="D26" s="6" t="s">
        <v>32</v>
      </c>
      <c r="E26" s="5" t="s">
        <v>83</v>
      </c>
      <c r="F26" s="5" t="s">
        <v>80</v>
      </c>
      <c r="G26" s="5">
        <v>0</v>
      </c>
      <c r="H26" s="53">
        <v>1.63</v>
      </c>
      <c r="I26" s="53">
        <v>1.83</v>
      </c>
      <c r="J26" s="53">
        <v>1.69</v>
      </c>
      <c r="K26" s="53">
        <v>2.15</v>
      </c>
      <c r="L26" s="53">
        <v>2.2000000000000002</v>
      </c>
      <c r="M26" s="5">
        <f>L26</f>
        <v>2.2000000000000002</v>
      </c>
      <c r="N26" s="5">
        <f t="shared" ref="N26:AN26" si="5">M26</f>
        <v>2.2000000000000002</v>
      </c>
      <c r="O26" s="5">
        <f t="shared" si="5"/>
        <v>2.2000000000000002</v>
      </c>
      <c r="P26" s="5">
        <f t="shared" si="5"/>
        <v>2.2000000000000002</v>
      </c>
      <c r="Q26" s="5">
        <f t="shared" si="5"/>
        <v>2.2000000000000002</v>
      </c>
      <c r="R26" s="5">
        <f t="shared" si="5"/>
        <v>2.2000000000000002</v>
      </c>
      <c r="S26" s="5">
        <f t="shared" si="5"/>
        <v>2.2000000000000002</v>
      </c>
      <c r="T26" s="5">
        <f t="shared" si="5"/>
        <v>2.2000000000000002</v>
      </c>
      <c r="U26" s="5">
        <f t="shared" si="5"/>
        <v>2.2000000000000002</v>
      </c>
      <c r="V26" s="5">
        <f t="shared" si="5"/>
        <v>2.2000000000000002</v>
      </c>
      <c r="W26" s="5">
        <f t="shared" si="5"/>
        <v>2.2000000000000002</v>
      </c>
      <c r="X26" s="5">
        <f t="shared" si="5"/>
        <v>2.2000000000000002</v>
      </c>
      <c r="Y26" s="5">
        <f t="shared" si="5"/>
        <v>2.2000000000000002</v>
      </c>
      <c r="Z26" s="5">
        <f t="shared" si="5"/>
        <v>2.2000000000000002</v>
      </c>
      <c r="AA26" s="5">
        <f t="shared" si="5"/>
        <v>2.2000000000000002</v>
      </c>
      <c r="AB26" s="5">
        <f t="shared" si="5"/>
        <v>2.2000000000000002</v>
      </c>
      <c r="AC26" s="5">
        <f t="shared" si="5"/>
        <v>2.2000000000000002</v>
      </c>
      <c r="AD26" s="5">
        <f t="shared" si="5"/>
        <v>2.2000000000000002</v>
      </c>
      <c r="AE26" s="5">
        <f t="shared" si="5"/>
        <v>2.2000000000000002</v>
      </c>
      <c r="AF26" s="5">
        <f t="shared" si="5"/>
        <v>2.2000000000000002</v>
      </c>
      <c r="AG26" s="5">
        <f t="shared" si="5"/>
        <v>2.2000000000000002</v>
      </c>
      <c r="AH26" s="5">
        <f t="shared" si="5"/>
        <v>2.2000000000000002</v>
      </c>
      <c r="AI26" s="5">
        <f t="shared" si="5"/>
        <v>2.2000000000000002</v>
      </c>
      <c r="AJ26" s="5">
        <f t="shared" si="5"/>
        <v>2.2000000000000002</v>
      </c>
      <c r="AK26" s="5">
        <f t="shared" si="5"/>
        <v>2.2000000000000002</v>
      </c>
      <c r="AL26" s="5">
        <f t="shared" si="5"/>
        <v>2.2000000000000002</v>
      </c>
      <c r="AM26" s="5">
        <f t="shared" si="5"/>
        <v>2.2000000000000002</v>
      </c>
      <c r="AN26" s="5">
        <f t="shared" si="5"/>
        <v>2.2000000000000002</v>
      </c>
    </row>
    <row r="27" spans="1:40" x14ac:dyDescent="0.3">
      <c r="A27" s="57" t="s">
        <v>104</v>
      </c>
      <c r="B27" s="10" t="s">
        <v>105</v>
      </c>
      <c r="C27" s="12" t="s">
        <v>64</v>
      </c>
      <c r="D27" s="12" t="s">
        <v>65</v>
      </c>
      <c r="E27" s="10" t="s">
        <v>11</v>
      </c>
      <c r="F27" s="10" t="s">
        <v>80</v>
      </c>
      <c r="G27" s="10">
        <v>0</v>
      </c>
      <c r="H27" s="57">
        <v>1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1</v>
      </c>
      <c r="S27" s="10">
        <v>1</v>
      </c>
      <c r="T27" s="10">
        <v>1</v>
      </c>
      <c r="U27" s="10">
        <v>1</v>
      </c>
      <c r="V27" s="10">
        <v>1</v>
      </c>
      <c r="W27" s="10">
        <v>1</v>
      </c>
      <c r="X27" s="10">
        <v>1</v>
      </c>
      <c r="Y27" s="10">
        <v>1</v>
      </c>
      <c r="Z27" s="10">
        <v>1</v>
      </c>
      <c r="AA27" s="10">
        <v>1</v>
      </c>
      <c r="AB27" s="10">
        <v>1</v>
      </c>
      <c r="AC27" s="10">
        <v>1</v>
      </c>
      <c r="AD27" s="10">
        <v>1</v>
      </c>
      <c r="AE27" s="10">
        <v>1</v>
      </c>
      <c r="AF27" s="10">
        <v>1</v>
      </c>
      <c r="AG27" s="10">
        <v>1</v>
      </c>
      <c r="AH27" s="10">
        <v>1</v>
      </c>
      <c r="AI27" s="10">
        <v>1</v>
      </c>
      <c r="AJ27" s="10">
        <v>1</v>
      </c>
      <c r="AK27" s="10">
        <v>1</v>
      </c>
      <c r="AL27" s="10">
        <v>1</v>
      </c>
      <c r="AM27" s="10">
        <v>1</v>
      </c>
      <c r="AN27" s="10">
        <v>1</v>
      </c>
    </row>
    <row r="28" spans="1:40" x14ac:dyDescent="0.3">
      <c r="A28" s="53" t="s">
        <v>106</v>
      </c>
      <c r="B28" s="5" t="s">
        <v>107</v>
      </c>
      <c r="C28" s="6" t="s">
        <v>15</v>
      </c>
      <c r="D28" s="6" t="s">
        <v>16</v>
      </c>
      <c r="E28" s="5" t="s">
        <v>83</v>
      </c>
      <c r="F28" s="5" t="s">
        <v>80</v>
      </c>
      <c r="G28" s="7">
        <v>0</v>
      </c>
      <c r="H28" s="60">
        <v>2.4500000000000002</v>
      </c>
      <c r="I28" s="60">
        <v>3.2</v>
      </c>
      <c r="J28" s="60">
        <v>2.04</v>
      </c>
      <c r="K28" s="60">
        <v>1.76</v>
      </c>
      <c r="L28" s="60">
        <v>1.66</v>
      </c>
      <c r="M28" s="7">
        <f>L28</f>
        <v>1.66</v>
      </c>
      <c r="N28" s="7">
        <f t="shared" ref="N28:AN28" si="6">M28</f>
        <v>1.66</v>
      </c>
      <c r="O28" s="7">
        <f t="shared" si="6"/>
        <v>1.66</v>
      </c>
      <c r="P28" s="7">
        <f t="shared" si="6"/>
        <v>1.66</v>
      </c>
      <c r="Q28" s="7">
        <f t="shared" si="6"/>
        <v>1.66</v>
      </c>
      <c r="R28" s="7">
        <f t="shared" si="6"/>
        <v>1.66</v>
      </c>
      <c r="S28" s="7">
        <f t="shared" si="6"/>
        <v>1.66</v>
      </c>
      <c r="T28" s="7">
        <f t="shared" si="6"/>
        <v>1.66</v>
      </c>
      <c r="U28" s="7">
        <f t="shared" si="6"/>
        <v>1.66</v>
      </c>
      <c r="V28" s="7">
        <f t="shared" si="6"/>
        <v>1.66</v>
      </c>
      <c r="W28" s="7">
        <f t="shared" si="6"/>
        <v>1.66</v>
      </c>
      <c r="X28" s="7">
        <f t="shared" si="6"/>
        <v>1.66</v>
      </c>
      <c r="Y28" s="7">
        <f t="shared" si="6"/>
        <v>1.66</v>
      </c>
      <c r="Z28" s="7">
        <f t="shared" si="6"/>
        <v>1.66</v>
      </c>
      <c r="AA28" s="7">
        <f t="shared" si="6"/>
        <v>1.66</v>
      </c>
      <c r="AB28" s="7">
        <f t="shared" si="6"/>
        <v>1.66</v>
      </c>
      <c r="AC28" s="7">
        <f t="shared" si="6"/>
        <v>1.66</v>
      </c>
      <c r="AD28" s="7">
        <f t="shared" si="6"/>
        <v>1.66</v>
      </c>
      <c r="AE28" s="7">
        <f t="shared" si="6"/>
        <v>1.66</v>
      </c>
      <c r="AF28" s="7">
        <f t="shared" si="6"/>
        <v>1.66</v>
      </c>
      <c r="AG28" s="7">
        <f t="shared" si="6"/>
        <v>1.66</v>
      </c>
      <c r="AH28" s="7">
        <f t="shared" si="6"/>
        <v>1.66</v>
      </c>
      <c r="AI28" s="7">
        <f t="shared" si="6"/>
        <v>1.66</v>
      </c>
      <c r="AJ28" s="7">
        <f t="shared" si="6"/>
        <v>1.66</v>
      </c>
      <c r="AK28" s="7">
        <f t="shared" si="6"/>
        <v>1.66</v>
      </c>
      <c r="AL28" s="7">
        <f t="shared" si="6"/>
        <v>1.66</v>
      </c>
      <c r="AM28" s="7">
        <f t="shared" si="6"/>
        <v>1.66</v>
      </c>
      <c r="AN28" s="7">
        <f t="shared" si="6"/>
        <v>1.66</v>
      </c>
    </row>
    <row r="29" spans="1:40" x14ac:dyDescent="0.3">
      <c r="A29" s="53" t="s">
        <v>106</v>
      </c>
      <c r="B29" s="5" t="s">
        <v>107</v>
      </c>
      <c r="C29" s="6" t="s">
        <v>31</v>
      </c>
      <c r="D29" s="6" t="s">
        <v>32</v>
      </c>
      <c r="E29" s="5" t="s">
        <v>83</v>
      </c>
      <c r="F29" s="5" t="s">
        <v>80</v>
      </c>
      <c r="G29" s="5">
        <v>0</v>
      </c>
      <c r="H29" s="53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56">
        <v>0</v>
      </c>
      <c r="V29" s="56">
        <v>0</v>
      </c>
      <c r="W29" s="56">
        <v>0</v>
      </c>
      <c r="X29" s="56">
        <v>0</v>
      </c>
      <c r="Y29" s="56">
        <v>0</v>
      </c>
      <c r="Z29" s="56">
        <v>0</v>
      </c>
      <c r="AA29" s="56">
        <v>0</v>
      </c>
      <c r="AB29" s="56">
        <v>0</v>
      </c>
      <c r="AC29" s="56">
        <v>0</v>
      </c>
      <c r="AD29" s="56">
        <v>0</v>
      </c>
      <c r="AE29" s="56">
        <v>0</v>
      </c>
      <c r="AF29" s="56">
        <v>0</v>
      </c>
      <c r="AG29" s="56">
        <v>0</v>
      </c>
      <c r="AH29" s="56">
        <v>0</v>
      </c>
      <c r="AI29" s="56">
        <v>0</v>
      </c>
      <c r="AJ29" s="56">
        <v>0</v>
      </c>
      <c r="AK29" s="56">
        <v>0</v>
      </c>
      <c r="AL29" s="56">
        <v>0</v>
      </c>
      <c r="AM29" s="56">
        <v>0</v>
      </c>
      <c r="AN29" s="56">
        <v>0</v>
      </c>
    </row>
    <row r="30" spans="1:40" x14ac:dyDescent="0.3">
      <c r="A30" s="53" t="s">
        <v>106</v>
      </c>
      <c r="B30" s="5" t="s">
        <v>107</v>
      </c>
      <c r="C30" s="6" t="s">
        <v>64</v>
      </c>
      <c r="D30" s="6" t="s">
        <v>65</v>
      </c>
      <c r="E30" s="5" t="s">
        <v>11</v>
      </c>
      <c r="F30" s="5" t="s">
        <v>80</v>
      </c>
      <c r="G30" s="5">
        <v>0</v>
      </c>
      <c r="H30" s="53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1</v>
      </c>
    </row>
    <row r="31" spans="1:40" x14ac:dyDescent="0.3">
      <c r="A31" s="63" t="s">
        <v>499</v>
      </c>
      <c r="B31" s="45" t="s">
        <v>500</v>
      </c>
      <c r="C31" s="45" t="s">
        <v>19</v>
      </c>
      <c r="D31" s="45" t="s">
        <v>20</v>
      </c>
      <c r="E31" s="45" t="s">
        <v>83</v>
      </c>
      <c r="F31" s="45" t="s">
        <v>80</v>
      </c>
      <c r="G31" s="45">
        <v>0</v>
      </c>
      <c r="H31" s="69">
        <v>2.95</v>
      </c>
      <c r="I31" s="69">
        <v>2.4500000000000002</v>
      </c>
      <c r="J31" s="69">
        <v>2.37</v>
      </c>
      <c r="K31" s="69">
        <v>2.48</v>
      </c>
      <c r="L31" s="69">
        <v>2.52</v>
      </c>
      <c r="M31" s="54">
        <f>L31</f>
        <v>2.52</v>
      </c>
      <c r="N31" s="54">
        <f t="shared" ref="N31:AN31" si="7">M31</f>
        <v>2.52</v>
      </c>
      <c r="O31" s="54">
        <f t="shared" si="7"/>
        <v>2.52</v>
      </c>
      <c r="P31" s="54">
        <f t="shared" si="7"/>
        <v>2.52</v>
      </c>
      <c r="Q31" s="54">
        <f t="shared" si="7"/>
        <v>2.52</v>
      </c>
      <c r="R31" s="54">
        <f t="shared" si="7"/>
        <v>2.52</v>
      </c>
      <c r="S31" s="54">
        <f t="shared" si="7"/>
        <v>2.52</v>
      </c>
      <c r="T31" s="54">
        <f t="shared" si="7"/>
        <v>2.52</v>
      </c>
      <c r="U31" s="54">
        <f t="shared" si="7"/>
        <v>2.52</v>
      </c>
      <c r="V31" s="54">
        <f t="shared" si="7"/>
        <v>2.52</v>
      </c>
      <c r="W31" s="54">
        <f t="shared" si="7"/>
        <v>2.52</v>
      </c>
      <c r="X31" s="54">
        <f t="shared" si="7"/>
        <v>2.52</v>
      </c>
      <c r="Y31" s="54">
        <f t="shared" si="7"/>
        <v>2.52</v>
      </c>
      <c r="Z31" s="54">
        <f t="shared" si="7"/>
        <v>2.52</v>
      </c>
      <c r="AA31" s="54">
        <f t="shared" si="7"/>
        <v>2.52</v>
      </c>
      <c r="AB31" s="54">
        <f t="shared" si="7"/>
        <v>2.52</v>
      </c>
      <c r="AC31" s="54">
        <f t="shared" si="7"/>
        <v>2.52</v>
      </c>
      <c r="AD31" s="54">
        <f t="shared" si="7"/>
        <v>2.52</v>
      </c>
      <c r="AE31" s="54">
        <f t="shared" si="7"/>
        <v>2.52</v>
      </c>
      <c r="AF31" s="54">
        <f t="shared" si="7"/>
        <v>2.52</v>
      </c>
      <c r="AG31" s="54">
        <f t="shared" si="7"/>
        <v>2.52</v>
      </c>
      <c r="AH31" s="54">
        <f t="shared" si="7"/>
        <v>2.52</v>
      </c>
      <c r="AI31" s="54">
        <f t="shared" si="7"/>
        <v>2.52</v>
      </c>
      <c r="AJ31" s="54">
        <f t="shared" si="7"/>
        <v>2.52</v>
      </c>
      <c r="AK31" s="54">
        <f t="shared" si="7"/>
        <v>2.52</v>
      </c>
      <c r="AL31" s="54">
        <f t="shared" si="7"/>
        <v>2.52</v>
      </c>
      <c r="AM31" s="54">
        <f t="shared" si="7"/>
        <v>2.52</v>
      </c>
      <c r="AN31" s="54">
        <f t="shared" si="7"/>
        <v>2.52</v>
      </c>
    </row>
    <row r="32" spans="1:40" x14ac:dyDescent="0.3">
      <c r="A32" s="63" t="s">
        <v>499</v>
      </c>
      <c r="B32" s="45" t="s">
        <v>500</v>
      </c>
      <c r="C32" s="45" t="s">
        <v>64</v>
      </c>
      <c r="D32" s="45" t="s">
        <v>65</v>
      </c>
      <c r="E32" s="45" t="s">
        <v>11</v>
      </c>
      <c r="F32" s="45" t="s">
        <v>80</v>
      </c>
      <c r="G32" s="45">
        <v>0</v>
      </c>
      <c r="H32" s="64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</row>
    <row r="33" spans="1:40" x14ac:dyDescent="0.3">
      <c r="A33" s="63" t="s">
        <v>501</v>
      </c>
      <c r="B33" s="45" t="s">
        <v>502</v>
      </c>
      <c r="C33" s="45" t="s">
        <v>31</v>
      </c>
      <c r="D33" s="45" t="s">
        <v>32</v>
      </c>
      <c r="E33" s="45" t="s">
        <v>83</v>
      </c>
      <c r="F33" s="45" t="s">
        <v>80</v>
      </c>
      <c r="G33" s="45">
        <v>0</v>
      </c>
      <c r="H33" s="69">
        <v>2.95</v>
      </c>
      <c r="I33" s="69">
        <v>2.4500000000000002</v>
      </c>
      <c r="J33" s="69">
        <v>2.37</v>
      </c>
      <c r="K33" s="69">
        <v>2.48</v>
      </c>
      <c r="L33" s="69">
        <v>2.52</v>
      </c>
      <c r="M33" s="54">
        <f>L33</f>
        <v>2.52</v>
      </c>
      <c r="N33" s="54">
        <f t="shared" ref="N33:AN33" si="8">M33</f>
        <v>2.52</v>
      </c>
      <c r="O33" s="54">
        <f t="shared" si="8"/>
        <v>2.52</v>
      </c>
      <c r="P33" s="54">
        <f t="shared" si="8"/>
        <v>2.52</v>
      </c>
      <c r="Q33" s="54">
        <f t="shared" si="8"/>
        <v>2.52</v>
      </c>
      <c r="R33" s="54">
        <f t="shared" si="8"/>
        <v>2.52</v>
      </c>
      <c r="S33" s="54">
        <f t="shared" si="8"/>
        <v>2.52</v>
      </c>
      <c r="T33" s="54">
        <f t="shared" si="8"/>
        <v>2.52</v>
      </c>
      <c r="U33" s="54">
        <f t="shared" si="8"/>
        <v>2.52</v>
      </c>
      <c r="V33" s="54">
        <f t="shared" si="8"/>
        <v>2.52</v>
      </c>
      <c r="W33" s="54">
        <f t="shared" si="8"/>
        <v>2.52</v>
      </c>
      <c r="X33" s="54">
        <f t="shared" si="8"/>
        <v>2.52</v>
      </c>
      <c r="Y33" s="54">
        <f t="shared" si="8"/>
        <v>2.52</v>
      </c>
      <c r="Z33" s="54">
        <f t="shared" si="8"/>
        <v>2.52</v>
      </c>
      <c r="AA33" s="54">
        <f t="shared" si="8"/>
        <v>2.52</v>
      </c>
      <c r="AB33" s="54">
        <f t="shared" si="8"/>
        <v>2.52</v>
      </c>
      <c r="AC33" s="54">
        <f t="shared" si="8"/>
        <v>2.52</v>
      </c>
      <c r="AD33" s="54">
        <f t="shared" si="8"/>
        <v>2.52</v>
      </c>
      <c r="AE33" s="54">
        <f t="shared" si="8"/>
        <v>2.52</v>
      </c>
      <c r="AF33" s="54">
        <f t="shared" si="8"/>
        <v>2.52</v>
      </c>
      <c r="AG33" s="54">
        <f t="shared" si="8"/>
        <v>2.52</v>
      </c>
      <c r="AH33" s="54">
        <f t="shared" si="8"/>
        <v>2.52</v>
      </c>
      <c r="AI33" s="54">
        <f t="shared" si="8"/>
        <v>2.52</v>
      </c>
      <c r="AJ33" s="54">
        <f t="shared" si="8"/>
        <v>2.52</v>
      </c>
      <c r="AK33" s="54">
        <f t="shared" si="8"/>
        <v>2.52</v>
      </c>
      <c r="AL33" s="54">
        <f t="shared" si="8"/>
        <v>2.52</v>
      </c>
      <c r="AM33" s="54">
        <f t="shared" si="8"/>
        <v>2.52</v>
      </c>
      <c r="AN33" s="54">
        <f t="shared" si="8"/>
        <v>2.52</v>
      </c>
    </row>
    <row r="34" spans="1:40" x14ac:dyDescent="0.3">
      <c r="A34" s="63" t="s">
        <v>501</v>
      </c>
      <c r="B34" s="45" t="s">
        <v>502</v>
      </c>
      <c r="C34" s="45" t="s">
        <v>64</v>
      </c>
      <c r="D34" s="45" t="s">
        <v>65</v>
      </c>
      <c r="E34" s="45" t="s">
        <v>11</v>
      </c>
      <c r="F34" s="45" t="s">
        <v>80</v>
      </c>
      <c r="G34" s="45">
        <v>0</v>
      </c>
      <c r="H34" s="64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</row>
    <row r="35" spans="1:40" x14ac:dyDescent="0.3">
      <c r="A35" s="63" t="s">
        <v>503</v>
      </c>
      <c r="B35" s="45" t="s">
        <v>504</v>
      </c>
      <c r="C35" s="45" t="s">
        <v>15</v>
      </c>
      <c r="D35" s="45" t="s">
        <v>16</v>
      </c>
      <c r="E35" s="45" t="s">
        <v>83</v>
      </c>
      <c r="F35" s="45" t="s">
        <v>80</v>
      </c>
      <c r="G35" s="45">
        <v>0</v>
      </c>
      <c r="H35" s="69">
        <v>2.4700000000000002</v>
      </c>
      <c r="I35" s="69">
        <v>2.23</v>
      </c>
      <c r="J35" s="69">
        <v>2.23</v>
      </c>
      <c r="K35" s="69">
        <v>2.2599999999999998</v>
      </c>
      <c r="L35" s="69">
        <v>2.23</v>
      </c>
      <c r="M35" s="54">
        <f>L35</f>
        <v>2.23</v>
      </c>
      <c r="N35" s="54">
        <f t="shared" ref="N35:AN35" si="9">M35</f>
        <v>2.23</v>
      </c>
      <c r="O35" s="54">
        <f t="shared" si="9"/>
        <v>2.23</v>
      </c>
      <c r="P35" s="54">
        <f t="shared" si="9"/>
        <v>2.23</v>
      </c>
      <c r="Q35" s="54">
        <f t="shared" si="9"/>
        <v>2.23</v>
      </c>
      <c r="R35" s="54">
        <f t="shared" si="9"/>
        <v>2.23</v>
      </c>
      <c r="S35" s="54">
        <f t="shared" si="9"/>
        <v>2.23</v>
      </c>
      <c r="T35" s="54">
        <f t="shared" si="9"/>
        <v>2.23</v>
      </c>
      <c r="U35" s="54">
        <f t="shared" si="9"/>
        <v>2.23</v>
      </c>
      <c r="V35" s="54">
        <f t="shared" si="9"/>
        <v>2.23</v>
      </c>
      <c r="W35" s="54">
        <f t="shared" si="9"/>
        <v>2.23</v>
      </c>
      <c r="X35" s="54">
        <f t="shared" si="9"/>
        <v>2.23</v>
      </c>
      <c r="Y35" s="54">
        <f t="shared" si="9"/>
        <v>2.23</v>
      </c>
      <c r="Z35" s="54">
        <f t="shared" si="9"/>
        <v>2.23</v>
      </c>
      <c r="AA35" s="54">
        <f t="shared" si="9"/>
        <v>2.23</v>
      </c>
      <c r="AB35" s="54">
        <f t="shared" si="9"/>
        <v>2.23</v>
      </c>
      <c r="AC35" s="54">
        <f t="shared" si="9"/>
        <v>2.23</v>
      </c>
      <c r="AD35" s="54">
        <f t="shared" si="9"/>
        <v>2.23</v>
      </c>
      <c r="AE35" s="54">
        <f t="shared" si="9"/>
        <v>2.23</v>
      </c>
      <c r="AF35" s="54">
        <f t="shared" si="9"/>
        <v>2.23</v>
      </c>
      <c r="AG35" s="54">
        <f t="shared" si="9"/>
        <v>2.23</v>
      </c>
      <c r="AH35" s="54">
        <f t="shared" si="9"/>
        <v>2.23</v>
      </c>
      <c r="AI35" s="54">
        <f t="shared" si="9"/>
        <v>2.23</v>
      </c>
      <c r="AJ35" s="54">
        <f t="shared" si="9"/>
        <v>2.23</v>
      </c>
      <c r="AK35" s="54">
        <f t="shared" si="9"/>
        <v>2.23</v>
      </c>
      <c r="AL35" s="54">
        <f t="shared" si="9"/>
        <v>2.23</v>
      </c>
      <c r="AM35" s="54">
        <f t="shared" si="9"/>
        <v>2.23</v>
      </c>
      <c r="AN35" s="54">
        <f t="shared" si="9"/>
        <v>2.23</v>
      </c>
    </row>
    <row r="36" spans="1:40" x14ac:dyDescent="0.3">
      <c r="A36" s="63" t="s">
        <v>503</v>
      </c>
      <c r="B36" s="45" t="s">
        <v>504</v>
      </c>
      <c r="C36" s="45" t="s">
        <v>64</v>
      </c>
      <c r="D36" s="45" t="s">
        <v>65</v>
      </c>
      <c r="E36" s="45" t="s">
        <v>11</v>
      </c>
      <c r="F36" s="45" t="s">
        <v>80</v>
      </c>
      <c r="G36" s="45">
        <v>0</v>
      </c>
      <c r="H36" s="64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</row>
    <row r="37" spans="1:40" x14ac:dyDescent="0.3">
      <c r="A37" s="67" t="s">
        <v>517</v>
      </c>
      <c r="B37" s="45" t="s">
        <v>518</v>
      </c>
      <c r="C37" s="45" t="s">
        <v>56</v>
      </c>
      <c r="D37" s="45" t="s">
        <v>57</v>
      </c>
      <c r="E37" s="45" t="s">
        <v>83</v>
      </c>
      <c r="F37" s="45" t="s">
        <v>80</v>
      </c>
      <c r="G37" s="45">
        <v>0</v>
      </c>
      <c r="H37" s="69">
        <v>2.66</v>
      </c>
      <c r="I37" s="69">
        <v>0.89</v>
      </c>
      <c r="J37" s="69">
        <v>0.96</v>
      </c>
      <c r="K37" s="69">
        <v>0.77</v>
      </c>
      <c r="L37" s="69">
        <v>0.9</v>
      </c>
      <c r="M37" s="5">
        <f>L37</f>
        <v>0.9</v>
      </c>
      <c r="N37" s="5">
        <f t="shared" ref="N37:AN37" si="10">M37</f>
        <v>0.9</v>
      </c>
      <c r="O37" s="5">
        <f t="shared" si="10"/>
        <v>0.9</v>
      </c>
      <c r="P37" s="5">
        <f t="shared" si="10"/>
        <v>0.9</v>
      </c>
      <c r="Q37" s="5">
        <f t="shared" si="10"/>
        <v>0.9</v>
      </c>
      <c r="R37" s="5">
        <f t="shared" si="10"/>
        <v>0.9</v>
      </c>
      <c r="S37" s="5">
        <f t="shared" si="10"/>
        <v>0.9</v>
      </c>
      <c r="T37" s="5">
        <f t="shared" si="10"/>
        <v>0.9</v>
      </c>
      <c r="U37" s="5">
        <f t="shared" si="10"/>
        <v>0.9</v>
      </c>
      <c r="V37" s="5">
        <f t="shared" si="10"/>
        <v>0.9</v>
      </c>
      <c r="W37" s="5">
        <f t="shared" si="10"/>
        <v>0.9</v>
      </c>
      <c r="X37" s="5">
        <f t="shared" si="10"/>
        <v>0.9</v>
      </c>
      <c r="Y37" s="5">
        <f t="shared" si="10"/>
        <v>0.9</v>
      </c>
      <c r="Z37" s="5">
        <f t="shared" si="10"/>
        <v>0.9</v>
      </c>
      <c r="AA37" s="5">
        <f t="shared" si="10"/>
        <v>0.9</v>
      </c>
      <c r="AB37" s="5">
        <f t="shared" si="10"/>
        <v>0.9</v>
      </c>
      <c r="AC37" s="5">
        <f t="shared" si="10"/>
        <v>0.9</v>
      </c>
      <c r="AD37" s="5">
        <f t="shared" si="10"/>
        <v>0.9</v>
      </c>
      <c r="AE37" s="5">
        <f t="shared" si="10"/>
        <v>0.9</v>
      </c>
      <c r="AF37" s="5">
        <f t="shared" si="10"/>
        <v>0.9</v>
      </c>
      <c r="AG37" s="5">
        <f t="shared" si="10"/>
        <v>0.9</v>
      </c>
      <c r="AH37" s="5">
        <f t="shared" si="10"/>
        <v>0.9</v>
      </c>
      <c r="AI37" s="5">
        <f t="shared" si="10"/>
        <v>0.9</v>
      </c>
      <c r="AJ37" s="5">
        <f t="shared" si="10"/>
        <v>0.9</v>
      </c>
      <c r="AK37" s="5">
        <f t="shared" si="10"/>
        <v>0.9</v>
      </c>
      <c r="AL37" s="5">
        <f t="shared" si="10"/>
        <v>0.9</v>
      </c>
      <c r="AM37" s="5">
        <f t="shared" si="10"/>
        <v>0.9</v>
      </c>
      <c r="AN37" s="5">
        <f t="shared" si="10"/>
        <v>0.9</v>
      </c>
    </row>
    <row r="38" spans="1:40" x14ac:dyDescent="0.3">
      <c r="A38" s="67" t="s">
        <v>517</v>
      </c>
      <c r="B38" s="45" t="s">
        <v>518</v>
      </c>
      <c r="C38" s="45" t="s">
        <v>64</v>
      </c>
      <c r="D38" s="45" t="s">
        <v>65</v>
      </c>
      <c r="E38" s="45" t="s">
        <v>11</v>
      </c>
      <c r="F38" s="45" t="s">
        <v>80</v>
      </c>
      <c r="G38" s="45">
        <v>0</v>
      </c>
      <c r="H38" s="68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</row>
    <row r="39" spans="1:40" x14ac:dyDescent="0.3">
      <c r="A39" s="67" t="s">
        <v>505</v>
      </c>
      <c r="B39" s="45" t="s">
        <v>506</v>
      </c>
      <c r="C39" s="45" t="s">
        <v>60</v>
      </c>
      <c r="D39" s="45" t="s">
        <v>61</v>
      </c>
      <c r="E39" s="45" t="s">
        <v>83</v>
      </c>
      <c r="F39" s="45" t="s">
        <v>80</v>
      </c>
      <c r="G39" s="45">
        <v>0</v>
      </c>
      <c r="H39" s="56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1</v>
      </c>
    </row>
    <row r="40" spans="1:40" x14ac:dyDescent="0.3">
      <c r="A40" s="67" t="s">
        <v>505</v>
      </c>
      <c r="B40" s="45" t="s">
        <v>506</v>
      </c>
      <c r="C40" s="45" t="s">
        <v>64</v>
      </c>
      <c r="D40" s="45" t="s">
        <v>65</v>
      </c>
      <c r="E40" s="45" t="s">
        <v>11</v>
      </c>
      <c r="F40" s="45" t="s">
        <v>80</v>
      </c>
      <c r="G40" s="45">
        <v>0</v>
      </c>
      <c r="H40" s="68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</row>
    <row r="41" spans="1:40" x14ac:dyDescent="0.3">
      <c r="A41" s="67" t="s">
        <v>507</v>
      </c>
      <c r="B41" s="45" t="s">
        <v>508</v>
      </c>
      <c r="C41" s="45" t="s">
        <v>19</v>
      </c>
      <c r="D41" s="45" t="s">
        <v>20</v>
      </c>
      <c r="E41" s="45" t="s">
        <v>83</v>
      </c>
      <c r="F41" s="45" t="s">
        <v>80</v>
      </c>
      <c r="G41" s="45">
        <v>0</v>
      </c>
      <c r="H41" s="69">
        <v>3.64</v>
      </c>
      <c r="I41" s="69">
        <v>3.76</v>
      </c>
      <c r="J41" s="69">
        <v>6.19</v>
      </c>
      <c r="K41" s="69">
        <v>7.2</v>
      </c>
      <c r="L41" s="69">
        <v>8.7100000000000009</v>
      </c>
      <c r="M41" s="54">
        <f>L41</f>
        <v>8.7100000000000009</v>
      </c>
      <c r="N41" s="54">
        <f t="shared" ref="N41:AN41" si="11">M41</f>
        <v>8.7100000000000009</v>
      </c>
      <c r="O41" s="54">
        <f t="shared" si="11"/>
        <v>8.7100000000000009</v>
      </c>
      <c r="P41" s="54">
        <f t="shared" si="11"/>
        <v>8.7100000000000009</v>
      </c>
      <c r="Q41" s="54">
        <f t="shared" si="11"/>
        <v>8.7100000000000009</v>
      </c>
      <c r="R41" s="54">
        <f t="shared" si="11"/>
        <v>8.7100000000000009</v>
      </c>
      <c r="S41" s="54">
        <f t="shared" si="11"/>
        <v>8.7100000000000009</v>
      </c>
      <c r="T41" s="54">
        <f t="shared" si="11"/>
        <v>8.7100000000000009</v>
      </c>
      <c r="U41" s="54">
        <f t="shared" si="11"/>
        <v>8.7100000000000009</v>
      </c>
      <c r="V41" s="54">
        <f t="shared" si="11"/>
        <v>8.7100000000000009</v>
      </c>
      <c r="W41" s="54">
        <f t="shared" si="11"/>
        <v>8.7100000000000009</v>
      </c>
      <c r="X41" s="54">
        <f t="shared" si="11"/>
        <v>8.7100000000000009</v>
      </c>
      <c r="Y41" s="54">
        <f t="shared" si="11"/>
        <v>8.7100000000000009</v>
      </c>
      <c r="Z41" s="54">
        <f t="shared" si="11"/>
        <v>8.7100000000000009</v>
      </c>
      <c r="AA41" s="54">
        <f t="shared" si="11"/>
        <v>8.7100000000000009</v>
      </c>
      <c r="AB41" s="54">
        <f t="shared" si="11"/>
        <v>8.7100000000000009</v>
      </c>
      <c r="AC41" s="54">
        <f t="shared" si="11"/>
        <v>8.7100000000000009</v>
      </c>
      <c r="AD41" s="54">
        <f t="shared" si="11"/>
        <v>8.7100000000000009</v>
      </c>
      <c r="AE41" s="54">
        <f t="shared" si="11"/>
        <v>8.7100000000000009</v>
      </c>
      <c r="AF41" s="54">
        <f t="shared" si="11"/>
        <v>8.7100000000000009</v>
      </c>
      <c r="AG41" s="54">
        <f t="shared" si="11"/>
        <v>8.7100000000000009</v>
      </c>
      <c r="AH41" s="54">
        <f t="shared" si="11"/>
        <v>8.7100000000000009</v>
      </c>
      <c r="AI41" s="54">
        <f t="shared" si="11"/>
        <v>8.7100000000000009</v>
      </c>
      <c r="AJ41" s="54">
        <f t="shared" si="11"/>
        <v>8.7100000000000009</v>
      </c>
      <c r="AK41" s="54">
        <f t="shared" si="11"/>
        <v>8.7100000000000009</v>
      </c>
      <c r="AL41" s="54">
        <f t="shared" si="11"/>
        <v>8.7100000000000009</v>
      </c>
      <c r="AM41" s="54">
        <f t="shared" si="11"/>
        <v>8.7100000000000009</v>
      </c>
      <c r="AN41" s="54">
        <f t="shared" si="11"/>
        <v>8.7100000000000009</v>
      </c>
    </row>
    <row r="42" spans="1:40" x14ac:dyDescent="0.3">
      <c r="A42" s="67" t="s">
        <v>507</v>
      </c>
      <c r="B42" s="45" t="s">
        <v>508</v>
      </c>
      <c r="C42" s="45" t="s">
        <v>64</v>
      </c>
      <c r="D42" s="45" t="s">
        <v>65</v>
      </c>
      <c r="E42" s="45" t="s">
        <v>11</v>
      </c>
      <c r="F42" s="45" t="s">
        <v>80</v>
      </c>
      <c r="G42" s="45">
        <v>0</v>
      </c>
      <c r="H42" s="68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</row>
    <row r="43" spans="1:40" x14ac:dyDescent="0.3">
      <c r="A43" s="67" t="s">
        <v>509</v>
      </c>
      <c r="B43" s="45" t="s">
        <v>510</v>
      </c>
      <c r="C43" s="45" t="s">
        <v>31</v>
      </c>
      <c r="D43" s="45" t="s">
        <v>32</v>
      </c>
      <c r="E43" s="45" t="s">
        <v>83</v>
      </c>
      <c r="F43" s="45" t="s">
        <v>80</v>
      </c>
      <c r="G43" s="45">
        <v>0</v>
      </c>
      <c r="H43" s="69">
        <v>3.64</v>
      </c>
      <c r="I43" s="69">
        <v>3.76</v>
      </c>
      <c r="J43" s="69">
        <v>6.19</v>
      </c>
      <c r="K43" s="69">
        <v>7.2</v>
      </c>
      <c r="L43" s="69">
        <v>8.7100000000000009</v>
      </c>
      <c r="M43" s="54">
        <f>L43</f>
        <v>8.7100000000000009</v>
      </c>
      <c r="N43" s="54">
        <f t="shared" ref="N43:AN43" si="12">M43</f>
        <v>8.7100000000000009</v>
      </c>
      <c r="O43" s="54">
        <f t="shared" si="12"/>
        <v>8.7100000000000009</v>
      </c>
      <c r="P43" s="54">
        <f t="shared" si="12"/>
        <v>8.7100000000000009</v>
      </c>
      <c r="Q43" s="54">
        <f t="shared" si="12"/>
        <v>8.7100000000000009</v>
      </c>
      <c r="R43" s="54">
        <f t="shared" si="12"/>
        <v>8.7100000000000009</v>
      </c>
      <c r="S43" s="54">
        <f t="shared" si="12"/>
        <v>8.7100000000000009</v>
      </c>
      <c r="T43" s="54">
        <f t="shared" si="12"/>
        <v>8.7100000000000009</v>
      </c>
      <c r="U43" s="54">
        <f t="shared" si="12"/>
        <v>8.7100000000000009</v>
      </c>
      <c r="V43" s="54">
        <f t="shared" si="12"/>
        <v>8.7100000000000009</v>
      </c>
      <c r="W43" s="54">
        <f t="shared" si="12"/>
        <v>8.7100000000000009</v>
      </c>
      <c r="X43" s="54">
        <f t="shared" si="12"/>
        <v>8.7100000000000009</v>
      </c>
      <c r="Y43" s="54">
        <f t="shared" si="12"/>
        <v>8.7100000000000009</v>
      </c>
      <c r="Z43" s="54">
        <f t="shared" si="12"/>
        <v>8.7100000000000009</v>
      </c>
      <c r="AA43" s="54">
        <f t="shared" si="12"/>
        <v>8.7100000000000009</v>
      </c>
      <c r="AB43" s="54">
        <f t="shared" si="12"/>
        <v>8.7100000000000009</v>
      </c>
      <c r="AC43" s="54">
        <f t="shared" si="12"/>
        <v>8.7100000000000009</v>
      </c>
      <c r="AD43" s="54">
        <f t="shared" si="12"/>
        <v>8.7100000000000009</v>
      </c>
      <c r="AE43" s="54">
        <f t="shared" si="12"/>
        <v>8.7100000000000009</v>
      </c>
      <c r="AF43" s="54">
        <f t="shared" si="12"/>
        <v>8.7100000000000009</v>
      </c>
      <c r="AG43" s="54">
        <f t="shared" si="12"/>
        <v>8.7100000000000009</v>
      </c>
      <c r="AH43" s="54">
        <f t="shared" si="12"/>
        <v>8.7100000000000009</v>
      </c>
      <c r="AI43" s="54">
        <f t="shared" si="12"/>
        <v>8.7100000000000009</v>
      </c>
      <c r="AJ43" s="54">
        <f t="shared" si="12"/>
        <v>8.7100000000000009</v>
      </c>
      <c r="AK43" s="54">
        <f t="shared" si="12"/>
        <v>8.7100000000000009</v>
      </c>
      <c r="AL43" s="54">
        <f t="shared" si="12"/>
        <v>8.7100000000000009</v>
      </c>
      <c r="AM43" s="54">
        <f t="shared" si="12"/>
        <v>8.7100000000000009</v>
      </c>
      <c r="AN43" s="54">
        <f t="shared" si="12"/>
        <v>8.7100000000000009</v>
      </c>
    </row>
    <row r="44" spans="1:40" x14ac:dyDescent="0.3">
      <c r="A44" s="67" t="s">
        <v>509</v>
      </c>
      <c r="B44" s="45" t="s">
        <v>510</v>
      </c>
      <c r="C44" s="45" t="s">
        <v>64</v>
      </c>
      <c r="D44" s="45" t="s">
        <v>65</v>
      </c>
      <c r="E44" s="45" t="s">
        <v>11</v>
      </c>
      <c r="F44" s="45" t="s">
        <v>80</v>
      </c>
      <c r="G44" s="45">
        <v>0</v>
      </c>
      <c r="H44" s="68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</row>
    <row r="45" spans="1:40" x14ac:dyDescent="0.3">
      <c r="A45" s="67" t="s">
        <v>511</v>
      </c>
      <c r="B45" s="45" t="s">
        <v>512</v>
      </c>
      <c r="C45" s="45" t="s">
        <v>15</v>
      </c>
      <c r="D45" s="45" t="s">
        <v>16</v>
      </c>
      <c r="E45" s="45" t="s">
        <v>83</v>
      </c>
      <c r="F45" s="45" t="s">
        <v>80</v>
      </c>
      <c r="G45" s="45">
        <v>0</v>
      </c>
      <c r="H45" s="65">
        <v>5.3901191314853696</v>
      </c>
      <c r="I45" s="55">
        <v>5.3901191314853696</v>
      </c>
      <c r="J45" s="55">
        <v>5.3901191314853696</v>
      </c>
      <c r="K45" s="55">
        <v>5.3901191314853696</v>
      </c>
      <c r="L45" s="55">
        <v>5.3901191314853696</v>
      </c>
      <c r="M45" s="55">
        <v>5.3901191314853696</v>
      </c>
      <c r="N45" s="55">
        <v>5.3901191314853696</v>
      </c>
      <c r="O45" s="55">
        <v>5.3901191314853696</v>
      </c>
      <c r="P45" s="55">
        <v>5.3901191314853696</v>
      </c>
      <c r="Q45" s="55">
        <v>5.3901191314853696</v>
      </c>
      <c r="R45" s="55">
        <v>5.3901191314853696</v>
      </c>
      <c r="S45" s="55">
        <v>5.3901191314853696</v>
      </c>
      <c r="T45" s="55">
        <v>5.3901191314853696</v>
      </c>
      <c r="U45" s="55">
        <v>5.3901191314853696</v>
      </c>
      <c r="V45" s="55">
        <v>5.3901191314853696</v>
      </c>
      <c r="W45" s="55">
        <v>5.3901191314853696</v>
      </c>
      <c r="X45" s="55">
        <v>5.3901191314853696</v>
      </c>
      <c r="Y45" s="55">
        <v>5.3901191314853696</v>
      </c>
      <c r="Z45" s="55">
        <v>5.3901191314853696</v>
      </c>
      <c r="AA45" s="55">
        <v>5.3901191314853696</v>
      </c>
      <c r="AB45" s="55">
        <v>5.3901191314853696</v>
      </c>
      <c r="AC45" s="55">
        <v>5.3901191314853696</v>
      </c>
      <c r="AD45" s="55">
        <v>5.3901191314853696</v>
      </c>
      <c r="AE45" s="55">
        <v>5.3901191314853696</v>
      </c>
      <c r="AF45" s="55">
        <v>5.3901191314853696</v>
      </c>
      <c r="AG45" s="55">
        <v>5.3901191314853696</v>
      </c>
      <c r="AH45" s="55">
        <v>5.3901191314853696</v>
      </c>
      <c r="AI45" s="55">
        <v>5.3901191314853696</v>
      </c>
      <c r="AJ45" s="55">
        <v>5.3901191314853696</v>
      </c>
      <c r="AK45" s="55">
        <v>5.3901191314853696</v>
      </c>
      <c r="AL45" s="55">
        <v>5.3901191314853696</v>
      </c>
      <c r="AM45" s="55">
        <v>5.3901191314853696</v>
      </c>
      <c r="AN45" s="55">
        <v>5.3901191314853696</v>
      </c>
    </row>
    <row r="46" spans="1:40" x14ac:dyDescent="0.3">
      <c r="A46" s="67" t="s">
        <v>511</v>
      </c>
      <c r="B46" s="45" t="s">
        <v>512</v>
      </c>
      <c r="C46" s="45" t="s">
        <v>64</v>
      </c>
      <c r="D46" s="45" t="s">
        <v>65</v>
      </c>
      <c r="E46" s="45" t="s">
        <v>11</v>
      </c>
      <c r="F46" s="45" t="s">
        <v>80</v>
      </c>
      <c r="G46" s="45">
        <v>0</v>
      </c>
      <c r="H46" s="68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</row>
    <row r="47" spans="1:40" x14ac:dyDescent="0.3">
      <c r="A47" s="67" t="s">
        <v>513</v>
      </c>
      <c r="B47" s="45" t="s">
        <v>514</v>
      </c>
      <c r="C47" s="45" t="s">
        <v>23</v>
      </c>
      <c r="D47" s="45" t="s">
        <v>24</v>
      </c>
      <c r="E47" s="45" t="s">
        <v>83</v>
      </c>
      <c r="F47" s="45" t="s">
        <v>80</v>
      </c>
      <c r="G47" s="45">
        <v>0</v>
      </c>
      <c r="H47" s="66">
        <v>4.7619640534575502</v>
      </c>
      <c r="I47" s="54">
        <v>4.7619640534575502</v>
      </c>
      <c r="J47" s="54">
        <v>4.7619640534575502</v>
      </c>
      <c r="K47" s="54">
        <v>4.7619640534575502</v>
      </c>
      <c r="L47" s="54">
        <v>4.7619640534575502</v>
      </c>
      <c r="M47" s="54">
        <v>4.7619640534575502</v>
      </c>
      <c r="N47" s="54">
        <v>4.7619640534575502</v>
      </c>
      <c r="O47" s="54">
        <v>4.7619640534575502</v>
      </c>
      <c r="P47" s="54">
        <v>4.7619640534575502</v>
      </c>
      <c r="Q47" s="54">
        <v>4.7619640534575502</v>
      </c>
      <c r="R47" s="54">
        <v>4.7619640534575502</v>
      </c>
      <c r="S47" s="54">
        <v>4.7619640534575502</v>
      </c>
      <c r="T47" s="54">
        <v>4.7619640534575502</v>
      </c>
      <c r="U47" s="54">
        <v>4.7619640534575502</v>
      </c>
      <c r="V47" s="54">
        <v>4.7619640534575502</v>
      </c>
      <c r="W47" s="54">
        <v>4.7619640534575502</v>
      </c>
      <c r="X47" s="54">
        <v>4.7619640534575502</v>
      </c>
      <c r="Y47" s="54">
        <v>4.7619640534575502</v>
      </c>
      <c r="Z47" s="54">
        <v>4.7619640534575502</v>
      </c>
      <c r="AA47" s="54">
        <v>4.7619640534575502</v>
      </c>
      <c r="AB47" s="54">
        <v>4.7619640534575502</v>
      </c>
      <c r="AC47" s="54">
        <v>4.7619640534575502</v>
      </c>
      <c r="AD47" s="54">
        <v>4.7619640534575502</v>
      </c>
      <c r="AE47" s="54">
        <v>4.7619640534575502</v>
      </c>
      <c r="AF47" s="54">
        <v>4.7619640534575502</v>
      </c>
      <c r="AG47" s="54">
        <v>4.7619640534575502</v>
      </c>
      <c r="AH47" s="54">
        <v>4.7619640534575502</v>
      </c>
      <c r="AI47" s="54">
        <v>4.7619640534575502</v>
      </c>
      <c r="AJ47" s="54">
        <v>4.7619640534575502</v>
      </c>
      <c r="AK47" s="54">
        <v>4.7619640534575502</v>
      </c>
      <c r="AL47" s="54">
        <v>4.7619640534575502</v>
      </c>
      <c r="AM47" s="54">
        <v>4.7619640534575502</v>
      </c>
      <c r="AN47" s="54">
        <v>4.7619640534575502</v>
      </c>
    </row>
    <row r="48" spans="1:40" x14ac:dyDescent="0.3">
      <c r="A48" s="67" t="s">
        <v>513</v>
      </c>
      <c r="B48" s="45" t="s">
        <v>514</v>
      </c>
      <c r="C48" s="45" t="s">
        <v>64</v>
      </c>
      <c r="D48" s="45" t="s">
        <v>65</v>
      </c>
      <c r="E48" s="45" t="s">
        <v>11</v>
      </c>
      <c r="F48" s="45" t="s">
        <v>80</v>
      </c>
      <c r="G48" s="45">
        <v>0</v>
      </c>
      <c r="H48" s="68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</row>
    <row r="49" spans="1:40" x14ac:dyDescent="0.3">
      <c r="A49" s="67" t="s">
        <v>515</v>
      </c>
      <c r="B49" s="45" t="s">
        <v>516</v>
      </c>
      <c r="C49" s="45" t="s">
        <v>27</v>
      </c>
      <c r="D49" s="45" t="s">
        <v>28</v>
      </c>
      <c r="E49" s="45" t="s">
        <v>83</v>
      </c>
      <c r="F49" s="45" t="s">
        <v>80</v>
      </c>
      <c r="G49" s="45">
        <v>0</v>
      </c>
      <c r="H49" s="66">
        <v>4.4008404689795704</v>
      </c>
      <c r="I49" s="54">
        <v>4.4008404689795704</v>
      </c>
      <c r="J49" s="54">
        <v>4.4008404689795704</v>
      </c>
      <c r="K49" s="54">
        <v>4.4008404689795704</v>
      </c>
      <c r="L49" s="54">
        <v>4.4008404689795704</v>
      </c>
      <c r="M49" s="54">
        <v>4.4008404689795704</v>
      </c>
      <c r="N49" s="54">
        <v>4.4008404689795704</v>
      </c>
      <c r="O49" s="54">
        <v>4.4008404689795704</v>
      </c>
      <c r="P49" s="54">
        <v>4.4008404689795704</v>
      </c>
      <c r="Q49" s="54">
        <v>4.4008404689795704</v>
      </c>
      <c r="R49" s="54">
        <v>4.4008404689795704</v>
      </c>
      <c r="S49" s="54">
        <v>4.4008404689795704</v>
      </c>
      <c r="T49" s="54">
        <v>4.4008404689795704</v>
      </c>
      <c r="U49" s="54">
        <v>4.4008404689795704</v>
      </c>
      <c r="V49" s="54">
        <v>4.4008404689795704</v>
      </c>
      <c r="W49" s="54">
        <v>4.4008404689795704</v>
      </c>
      <c r="X49" s="54">
        <v>4.4008404689795704</v>
      </c>
      <c r="Y49" s="54">
        <v>4.4008404689795704</v>
      </c>
      <c r="Z49" s="54">
        <v>4.4008404689795704</v>
      </c>
      <c r="AA49" s="54">
        <v>4.4008404689795704</v>
      </c>
      <c r="AB49" s="54">
        <v>4.4008404689795704</v>
      </c>
      <c r="AC49" s="54">
        <v>4.4008404689795704</v>
      </c>
      <c r="AD49" s="54">
        <v>4.4008404689795704</v>
      </c>
      <c r="AE49" s="54">
        <v>4.4008404689795704</v>
      </c>
      <c r="AF49" s="54">
        <v>4.4008404689795704</v>
      </c>
      <c r="AG49" s="54">
        <v>4.4008404689795704</v>
      </c>
      <c r="AH49" s="54">
        <v>4.4008404689795704</v>
      </c>
      <c r="AI49" s="54">
        <v>4.4008404689795704</v>
      </c>
      <c r="AJ49" s="54">
        <v>4.4008404689795704</v>
      </c>
      <c r="AK49" s="54">
        <v>4.4008404689795704</v>
      </c>
      <c r="AL49" s="54">
        <v>4.4008404689795704</v>
      </c>
      <c r="AM49" s="54">
        <v>4.4008404689795704</v>
      </c>
      <c r="AN49" s="54">
        <v>4.4008404689795704</v>
      </c>
    </row>
    <row r="50" spans="1:40" x14ac:dyDescent="0.3">
      <c r="A50" s="67" t="s">
        <v>515</v>
      </c>
      <c r="B50" s="45" t="s">
        <v>516</v>
      </c>
      <c r="C50" s="45" t="s">
        <v>64</v>
      </c>
      <c r="D50" s="45" t="s">
        <v>65</v>
      </c>
      <c r="E50" s="45" t="s">
        <v>11</v>
      </c>
      <c r="F50" s="45" t="s">
        <v>80</v>
      </c>
      <c r="G50" s="45">
        <v>0</v>
      </c>
      <c r="H50" s="68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1</v>
      </c>
      <c r="AN50" s="5">
        <v>1</v>
      </c>
    </row>
    <row r="51" spans="1:40" x14ac:dyDescent="0.3">
      <c r="A51" s="5" t="s">
        <v>108</v>
      </c>
      <c r="B51" s="5" t="s">
        <v>109</v>
      </c>
      <c r="C51" s="5" t="s">
        <v>64</v>
      </c>
      <c r="D51" s="5" t="s">
        <v>65</v>
      </c>
      <c r="E51" s="5" t="s">
        <v>83</v>
      </c>
      <c r="F51" s="5" t="s">
        <v>80</v>
      </c>
      <c r="G51" s="5">
        <v>0</v>
      </c>
      <c r="H51" s="5">
        <v>1.0165</v>
      </c>
      <c r="I51" s="5">
        <f>H51</f>
        <v>1.0165</v>
      </c>
      <c r="J51" s="5">
        <f t="shared" ref="J51:AN51" si="13">I51</f>
        <v>1.0165</v>
      </c>
      <c r="K51" s="5">
        <f t="shared" si="13"/>
        <v>1.0165</v>
      </c>
      <c r="L51" s="5">
        <f t="shared" si="13"/>
        <v>1.0165</v>
      </c>
      <c r="M51" s="5">
        <f t="shared" si="13"/>
        <v>1.0165</v>
      </c>
      <c r="N51" s="5">
        <f t="shared" si="13"/>
        <v>1.0165</v>
      </c>
      <c r="O51" s="5">
        <f t="shared" si="13"/>
        <v>1.0165</v>
      </c>
      <c r="P51" s="5">
        <f t="shared" si="13"/>
        <v>1.0165</v>
      </c>
      <c r="Q51" s="5">
        <f t="shared" si="13"/>
        <v>1.0165</v>
      </c>
      <c r="R51" s="5">
        <f t="shared" si="13"/>
        <v>1.0165</v>
      </c>
      <c r="S51" s="5">
        <f t="shared" si="13"/>
        <v>1.0165</v>
      </c>
      <c r="T51" s="5">
        <f t="shared" si="13"/>
        <v>1.0165</v>
      </c>
      <c r="U51" s="5">
        <f t="shared" si="13"/>
        <v>1.0165</v>
      </c>
      <c r="V51" s="5">
        <f t="shared" si="13"/>
        <v>1.0165</v>
      </c>
      <c r="W51" s="5">
        <f t="shared" si="13"/>
        <v>1.0165</v>
      </c>
      <c r="X51" s="5">
        <f t="shared" si="13"/>
        <v>1.0165</v>
      </c>
      <c r="Y51" s="5">
        <f t="shared" si="13"/>
        <v>1.0165</v>
      </c>
      <c r="Z51" s="5">
        <f t="shared" si="13"/>
        <v>1.0165</v>
      </c>
      <c r="AA51" s="5">
        <f t="shared" si="13"/>
        <v>1.0165</v>
      </c>
      <c r="AB51" s="5">
        <f t="shared" si="13"/>
        <v>1.0165</v>
      </c>
      <c r="AC51" s="5">
        <f t="shared" si="13"/>
        <v>1.0165</v>
      </c>
      <c r="AD51" s="5">
        <f t="shared" si="13"/>
        <v>1.0165</v>
      </c>
      <c r="AE51" s="5">
        <f t="shared" si="13"/>
        <v>1.0165</v>
      </c>
      <c r="AF51" s="5">
        <f t="shared" si="13"/>
        <v>1.0165</v>
      </c>
      <c r="AG51" s="5">
        <f t="shared" si="13"/>
        <v>1.0165</v>
      </c>
      <c r="AH51" s="5">
        <f t="shared" si="13"/>
        <v>1.0165</v>
      </c>
      <c r="AI51" s="5">
        <f t="shared" si="13"/>
        <v>1.0165</v>
      </c>
      <c r="AJ51" s="5">
        <f t="shared" si="13"/>
        <v>1.0165</v>
      </c>
      <c r="AK51" s="5">
        <f t="shared" si="13"/>
        <v>1.0165</v>
      </c>
      <c r="AL51" s="5">
        <f t="shared" si="13"/>
        <v>1.0165</v>
      </c>
      <c r="AM51" s="5">
        <f t="shared" si="13"/>
        <v>1.0165</v>
      </c>
      <c r="AN51" s="5">
        <f t="shared" si="13"/>
        <v>1.0165</v>
      </c>
    </row>
    <row r="52" spans="1:40" x14ac:dyDescent="0.3">
      <c r="A52" s="8" t="s">
        <v>108</v>
      </c>
      <c r="B52" s="8" t="s">
        <v>109</v>
      </c>
      <c r="C52" s="8" t="s">
        <v>110</v>
      </c>
      <c r="D52" s="8" t="s">
        <v>111</v>
      </c>
      <c r="E52" s="8" t="s">
        <v>11</v>
      </c>
      <c r="F52" s="8" t="s">
        <v>80</v>
      </c>
      <c r="G52" s="8">
        <v>0</v>
      </c>
      <c r="H52" s="8">
        <v>1</v>
      </c>
      <c r="I52" s="8">
        <v>1</v>
      </c>
      <c r="J52" s="8">
        <v>1</v>
      </c>
      <c r="K52" s="8">
        <v>1</v>
      </c>
      <c r="L52" s="8">
        <v>1</v>
      </c>
      <c r="M52" s="8">
        <v>1</v>
      </c>
      <c r="N52" s="8">
        <v>1</v>
      </c>
      <c r="O52" s="8">
        <v>1</v>
      </c>
      <c r="P52" s="8">
        <v>1</v>
      </c>
      <c r="Q52" s="8">
        <v>1</v>
      </c>
      <c r="R52" s="8">
        <v>1</v>
      </c>
      <c r="S52" s="8">
        <v>1</v>
      </c>
      <c r="T52" s="8">
        <v>1</v>
      </c>
      <c r="U52" s="8">
        <v>1</v>
      </c>
      <c r="V52" s="8">
        <v>1</v>
      </c>
      <c r="W52" s="8">
        <v>1</v>
      </c>
      <c r="X52" s="8">
        <v>1</v>
      </c>
      <c r="Y52" s="8">
        <v>1</v>
      </c>
      <c r="Z52" s="8">
        <v>1</v>
      </c>
      <c r="AA52" s="8">
        <v>1</v>
      </c>
      <c r="AB52" s="8">
        <v>1</v>
      </c>
      <c r="AC52" s="8">
        <v>1</v>
      </c>
      <c r="AD52" s="8">
        <v>1</v>
      </c>
      <c r="AE52" s="8">
        <v>1</v>
      </c>
      <c r="AF52" s="8">
        <v>1</v>
      </c>
      <c r="AG52" s="8">
        <v>1</v>
      </c>
      <c r="AH52" s="8">
        <v>1</v>
      </c>
      <c r="AI52" s="8">
        <v>1</v>
      </c>
      <c r="AJ52" s="8">
        <v>1</v>
      </c>
      <c r="AK52" s="8">
        <v>1</v>
      </c>
      <c r="AL52" s="8">
        <v>1</v>
      </c>
      <c r="AM52" s="8">
        <v>1</v>
      </c>
      <c r="AN52" s="8">
        <v>1</v>
      </c>
    </row>
    <row r="53" spans="1:40" x14ac:dyDescent="0.3">
      <c r="A53" s="5" t="s">
        <v>112</v>
      </c>
      <c r="B53" s="5" t="s">
        <v>113</v>
      </c>
      <c r="C53" s="5" t="s">
        <v>498</v>
      </c>
      <c r="D53" s="5" t="s">
        <v>114</v>
      </c>
      <c r="E53" s="5" t="s">
        <v>83</v>
      </c>
      <c r="F53" s="5" t="s">
        <v>80</v>
      </c>
      <c r="G53" s="5">
        <v>0</v>
      </c>
      <c r="H53" s="5">
        <v>1.472</v>
      </c>
      <c r="I53" s="5">
        <v>1.46</v>
      </c>
      <c r="J53" s="5">
        <v>1.448</v>
      </c>
      <c r="K53" s="5">
        <v>1.4359999999999999</v>
      </c>
      <c r="L53" s="5">
        <v>1.4239999999999999</v>
      </c>
      <c r="M53" s="5">
        <v>1.4119999999999999</v>
      </c>
      <c r="N53" s="5">
        <v>1.4</v>
      </c>
      <c r="O53" s="5">
        <v>1.3879999999999999</v>
      </c>
      <c r="P53" s="5">
        <v>1.3879999999999999</v>
      </c>
      <c r="Q53" s="5">
        <v>1.3879999999999999</v>
      </c>
      <c r="R53" s="5">
        <v>1.3879999999999999</v>
      </c>
      <c r="S53" s="5">
        <v>1.3879999999999999</v>
      </c>
      <c r="T53" s="5">
        <v>1.3879999999999999</v>
      </c>
      <c r="U53" s="5">
        <v>1.3879999999999999</v>
      </c>
      <c r="V53" s="5">
        <v>1.3879999999999999</v>
      </c>
      <c r="W53" s="5">
        <v>1.3879999999999999</v>
      </c>
      <c r="X53" s="5">
        <v>1.3879999999999999</v>
      </c>
      <c r="Y53" s="5">
        <v>1.3879999999999999</v>
      </c>
      <c r="Z53" s="5">
        <v>1.3879999999999999</v>
      </c>
      <c r="AA53" s="5">
        <v>1.3879999999999999</v>
      </c>
      <c r="AB53" s="5">
        <v>1.3879999999999999</v>
      </c>
      <c r="AC53" s="5">
        <v>1.3879999999999999</v>
      </c>
      <c r="AD53" s="5">
        <v>1.3879999999999999</v>
      </c>
      <c r="AE53" s="5">
        <v>1.3879999999999999</v>
      </c>
      <c r="AF53" s="5">
        <v>1.3879999999999999</v>
      </c>
      <c r="AG53" s="5">
        <v>1.3879999999999999</v>
      </c>
      <c r="AH53" s="5">
        <v>1.3879999999999999</v>
      </c>
      <c r="AI53" s="5">
        <v>1.3879999999999999</v>
      </c>
      <c r="AJ53" s="5">
        <v>1.3879999999999999</v>
      </c>
      <c r="AK53" s="5">
        <v>1.3879999999999999</v>
      </c>
      <c r="AL53" s="5">
        <v>1.3879999999999999</v>
      </c>
      <c r="AM53" s="5">
        <v>1.3879999999999999</v>
      </c>
      <c r="AN53" s="5">
        <v>1.3879999999999999</v>
      </c>
    </row>
    <row r="54" spans="1:40" x14ac:dyDescent="0.3">
      <c r="A54" s="11" t="s">
        <v>112</v>
      </c>
      <c r="B54" s="11" t="s">
        <v>113</v>
      </c>
      <c r="C54" s="11" t="s">
        <v>115</v>
      </c>
      <c r="D54" s="11" t="s">
        <v>116</v>
      </c>
      <c r="E54" s="11" t="s">
        <v>11</v>
      </c>
      <c r="F54" s="11" t="s">
        <v>80</v>
      </c>
      <c r="G54" s="11">
        <v>0</v>
      </c>
      <c r="H54" s="11">
        <v>1</v>
      </c>
      <c r="I54" s="11">
        <v>1</v>
      </c>
      <c r="J54" s="11">
        <v>1</v>
      </c>
      <c r="K54" s="11">
        <v>1</v>
      </c>
      <c r="L54" s="11">
        <v>1</v>
      </c>
      <c r="M54" s="11">
        <v>1</v>
      </c>
      <c r="N54" s="11">
        <v>1</v>
      </c>
      <c r="O54" s="11">
        <v>1</v>
      </c>
      <c r="P54" s="11">
        <v>1</v>
      </c>
      <c r="Q54" s="11">
        <v>1</v>
      </c>
      <c r="R54" s="11">
        <v>1</v>
      </c>
      <c r="S54" s="11">
        <v>1</v>
      </c>
      <c r="T54" s="11">
        <v>1</v>
      </c>
      <c r="U54" s="11">
        <v>1</v>
      </c>
      <c r="V54" s="11">
        <v>1</v>
      </c>
      <c r="W54" s="11">
        <v>1</v>
      </c>
      <c r="X54" s="11">
        <v>1</v>
      </c>
      <c r="Y54" s="11">
        <v>1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1">
        <v>1</v>
      </c>
      <c r="AG54" s="11">
        <v>1</v>
      </c>
      <c r="AH54" s="11">
        <v>1</v>
      </c>
      <c r="AI54" s="11">
        <v>1</v>
      </c>
      <c r="AJ54" s="11">
        <v>1</v>
      </c>
      <c r="AK54" s="11">
        <v>1</v>
      </c>
      <c r="AL54" s="11">
        <v>1</v>
      </c>
      <c r="AM54" s="11">
        <v>1</v>
      </c>
      <c r="AN54" s="11">
        <v>1</v>
      </c>
    </row>
    <row r="55" spans="1:40" x14ac:dyDescent="0.3">
      <c r="A55" s="5" t="s">
        <v>117</v>
      </c>
      <c r="B55" s="5" t="s">
        <v>118</v>
      </c>
      <c r="C55" s="5" t="s">
        <v>110</v>
      </c>
      <c r="D55" s="5" t="s">
        <v>111</v>
      </c>
      <c r="E55" s="5" t="s">
        <v>83</v>
      </c>
      <c r="F55" s="5" t="s">
        <v>80</v>
      </c>
      <c r="G55" s="5">
        <v>0</v>
      </c>
      <c r="H55" s="5">
        <v>1.1482823629169021</v>
      </c>
      <c r="I55" s="5">
        <v>1.1312672911677701</v>
      </c>
      <c r="J55" s="5">
        <v>1.1337115655853314</v>
      </c>
      <c r="K55" s="5">
        <v>1.118873975409836</v>
      </c>
      <c r="L55" s="5">
        <v>1.118873975409836</v>
      </c>
      <c r="M55" s="5">
        <v>1.118873975409836</v>
      </c>
      <c r="N55" s="5">
        <v>1.118873975409836</v>
      </c>
      <c r="O55" s="5">
        <v>1.118873975409836</v>
      </c>
      <c r="P55" s="5">
        <v>1.118873975409836</v>
      </c>
      <c r="Q55" s="5">
        <v>1.118873975409836</v>
      </c>
      <c r="R55" s="5">
        <v>1.118873975409836</v>
      </c>
      <c r="S55" s="5">
        <v>1.118873975409836</v>
      </c>
      <c r="T55" s="5">
        <v>1.118873975409836</v>
      </c>
      <c r="U55" s="5">
        <v>1.118873975409836</v>
      </c>
      <c r="V55" s="5">
        <v>1.118873975409836</v>
      </c>
      <c r="W55" s="5">
        <v>1.118873975409836</v>
      </c>
      <c r="X55" s="5">
        <v>1.118873975409836</v>
      </c>
      <c r="Y55" s="5">
        <v>1.118873975409836</v>
      </c>
      <c r="Z55" s="5">
        <v>1.118873975409836</v>
      </c>
      <c r="AA55" s="5">
        <v>1.118873975409836</v>
      </c>
      <c r="AB55" s="5">
        <v>1.118873975409836</v>
      </c>
      <c r="AC55" s="5">
        <v>1.118873975409836</v>
      </c>
      <c r="AD55" s="5">
        <v>1.118873975409836</v>
      </c>
      <c r="AE55" s="5">
        <v>1.118873975409836</v>
      </c>
      <c r="AF55" s="5">
        <v>1.118873975409836</v>
      </c>
      <c r="AG55" s="5">
        <v>1.118873975409836</v>
      </c>
      <c r="AH55" s="5">
        <v>1.118873975409836</v>
      </c>
      <c r="AI55" s="5">
        <v>1.118873975409836</v>
      </c>
      <c r="AJ55" s="5">
        <v>1.118873975409836</v>
      </c>
      <c r="AK55" s="5">
        <v>1.118873975409836</v>
      </c>
      <c r="AL55" s="5">
        <v>1.118873975409836</v>
      </c>
      <c r="AM55" s="5">
        <v>1.118873975409836</v>
      </c>
      <c r="AN55" s="5">
        <v>1.118873975409836</v>
      </c>
    </row>
    <row r="56" spans="1:40" x14ac:dyDescent="0.3">
      <c r="A56" s="10" t="s">
        <v>117</v>
      </c>
      <c r="B56" s="10" t="s">
        <v>118</v>
      </c>
      <c r="C56" s="10" t="s">
        <v>78</v>
      </c>
      <c r="D56" s="10" t="s">
        <v>79</v>
      </c>
      <c r="E56" s="10" t="s">
        <v>11</v>
      </c>
      <c r="F56" s="10" t="s">
        <v>80</v>
      </c>
      <c r="G56" s="10">
        <v>0</v>
      </c>
      <c r="H56" s="10">
        <v>1</v>
      </c>
      <c r="I56" s="10">
        <v>1</v>
      </c>
      <c r="J56" s="10">
        <v>1</v>
      </c>
      <c r="K56" s="10">
        <v>1</v>
      </c>
      <c r="L56" s="10">
        <v>1</v>
      </c>
      <c r="M56" s="10">
        <v>1</v>
      </c>
      <c r="N56" s="10">
        <v>1</v>
      </c>
      <c r="O56" s="10">
        <v>1</v>
      </c>
      <c r="P56" s="10">
        <v>1</v>
      </c>
      <c r="Q56" s="10">
        <v>1</v>
      </c>
      <c r="R56" s="10">
        <v>1</v>
      </c>
      <c r="S56" s="10">
        <v>1</v>
      </c>
      <c r="T56" s="10">
        <v>1</v>
      </c>
      <c r="U56" s="10">
        <v>1</v>
      </c>
      <c r="V56" s="10">
        <v>1</v>
      </c>
      <c r="W56" s="10">
        <v>1</v>
      </c>
      <c r="X56" s="10">
        <v>1</v>
      </c>
      <c r="Y56" s="10">
        <v>1</v>
      </c>
      <c r="Z56" s="10">
        <v>1</v>
      </c>
      <c r="AA56" s="10">
        <v>1</v>
      </c>
      <c r="AB56" s="10">
        <v>1</v>
      </c>
      <c r="AC56" s="10">
        <v>1</v>
      </c>
      <c r="AD56" s="10">
        <v>1</v>
      </c>
      <c r="AE56" s="10">
        <v>1</v>
      </c>
      <c r="AF56" s="10">
        <v>1</v>
      </c>
      <c r="AG56" s="10">
        <v>1</v>
      </c>
      <c r="AH56" s="10">
        <v>1</v>
      </c>
      <c r="AI56" s="10">
        <v>1</v>
      </c>
      <c r="AJ56" s="10">
        <v>1</v>
      </c>
      <c r="AK56" s="10">
        <v>1</v>
      </c>
      <c r="AL56" s="10">
        <v>1</v>
      </c>
      <c r="AM56" s="10">
        <v>1</v>
      </c>
      <c r="AN56" s="10">
        <v>1</v>
      </c>
    </row>
    <row r="57" spans="1:40" x14ac:dyDescent="0.3">
      <c r="A57" s="5" t="s">
        <v>119</v>
      </c>
      <c r="B57" s="5" t="s">
        <v>120</v>
      </c>
      <c r="C57" s="5" t="s">
        <v>115</v>
      </c>
      <c r="D57" s="5" t="s">
        <v>116</v>
      </c>
      <c r="E57" s="5" t="s">
        <v>83</v>
      </c>
      <c r="F57" s="5" t="s">
        <v>80</v>
      </c>
      <c r="G57" s="5">
        <v>0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</row>
    <row r="58" spans="1:40" x14ac:dyDescent="0.3">
      <c r="A58" s="5" t="s">
        <v>119</v>
      </c>
      <c r="B58" s="5" t="s">
        <v>120</v>
      </c>
      <c r="C58" s="5" t="s">
        <v>121</v>
      </c>
      <c r="D58" s="5" t="s">
        <v>122</v>
      </c>
      <c r="E58" s="5" t="s">
        <v>11</v>
      </c>
      <c r="F58" s="5" t="s">
        <v>80</v>
      </c>
      <c r="G58" s="5">
        <v>0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</row>
    <row r="59" spans="1:40" x14ac:dyDescent="0.3">
      <c r="C59" s="32"/>
      <c r="D59" s="32"/>
    </row>
  </sheetData>
  <autoFilter ref="A1:AN58" xr:uid="{00000000-0001-0000-01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71"/>
  <sheetViews>
    <sheetView zoomScaleNormal="100" workbookViewId="0">
      <pane ySplit="1" topLeftCell="A53" activePane="bottomLeft" state="frozen"/>
      <selection pane="bottomLeft" activeCell="D14" sqref="A14:D15"/>
    </sheetView>
  </sheetViews>
  <sheetFormatPr defaultColWidth="8.88671875" defaultRowHeight="14.4" x14ac:dyDescent="0.3"/>
  <cols>
    <col min="1" max="1" width="26.88671875" bestFit="1" customWidth="1"/>
    <col min="2" max="2" width="52.88671875" bestFit="1" customWidth="1"/>
    <col min="3" max="3" width="26.88671875" bestFit="1" customWidth="1"/>
    <col min="4" max="4" width="49.6640625" bestFit="1" customWidth="1"/>
    <col min="6" max="6" width="16.109375" bestFit="1" customWidth="1"/>
    <col min="7" max="7" width="20.33203125" bestFit="1" customWidth="1"/>
    <col min="8" max="40" width="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13" t="s">
        <v>123</v>
      </c>
      <c r="B2" s="13" t="s">
        <v>124</v>
      </c>
      <c r="C2" s="13" t="s">
        <v>19</v>
      </c>
      <c r="D2" s="13"/>
      <c r="E2" s="13" t="s">
        <v>83</v>
      </c>
      <c r="F2" s="13" t="s">
        <v>12</v>
      </c>
      <c r="G2" s="13">
        <v>0</v>
      </c>
      <c r="H2" s="13">
        <v>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pans="1:40" x14ac:dyDescent="0.3">
      <c r="A3" s="13" t="s">
        <v>123</v>
      </c>
      <c r="B3" s="13" t="s">
        <v>124</v>
      </c>
      <c r="C3" s="13" t="s">
        <v>125</v>
      </c>
      <c r="D3" s="13" t="s">
        <v>126</v>
      </c>
      <c r="E3" s="13" t="s">
        <v>11</v>
      </c>
      <c r="F3" s="13" t="s">
        <v>12</v>
      </c>
      <c r="G3" s="13">
        <v>0</v>
      </c>
      <c r="H3" s="13">
        <v>1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1:40" x14ac:dyDescent="0.3">
      <c r="A4" s="13" t="s">
        <v>127</v>
      </c>
      <c r="B4" s="13" t="s">
        <v>128</v>
      </c>
      <c r="C4" s="13" t="s">
        <v>23</v>
      </c>
      <c r="D4" s="13"/>
      <c r="E4" s="13" t="s">
        <v>83</v>
      </c>
      <c r="F4" s="13" t="s">
        <v>12</v>
      </c>
      <c r="G4" s="13">
        <v>0</v>
      </c>
      <c r="H4" s="13">
        <v>1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spans="1:40" x14ac:dyDescent="0.3">
      <c r="A5" s="13" t="s">
        <v>127</v>
      </c>
      <c r="B5" s="13" t="s">
        <v>128</v>
      </c>
      <c r="C5" s="13" t="s">
        <v>129</v>
      </c>
      <c r="D5" s="13" t="s">
        <v>130</v>
      </c>
      <c r="E5" s="13" t="s">
        <v>11</v>
      </c>
      <c r="F5" s="13" t="s">
        <v>12</v>
      </c>
      <c r="G5" s="13">
        <v>0</v>
      </c>
      <c r="H5" s="13">
        <v>1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x14ac:dyDescent="0.3">
      <c r="A6" s="13" t="s">
        <v>131</v>
      </c>
      <c r="B6" s="13" t="s">
        <v>132</v>
      </c>
      <c r="C6" s="13" t="s">
        <v>15</v>
      </c>
      <c r="D6" s="13"/>
      <c r="E6" s="13" t="s">
        <v>83</v>
      </c>
      <c r="F6" s="13" t="s">
        <v>12</v>
      </c>
      <c r="G6" s="13">
        <v>0</v>
      </c>
      <c r="H6" s="13">
        <v>1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x14ac:dyDescent="0.3">
      <c r="A7" s="13" t="s">
        <v>131</v>
      </c>
      <c r="B7" s="13" t="s">
        <v>132</v>
      </c>
      <c r="C7" s="13" t="s">
        <v>133</v>
      </c>
      <c r="D7" s="13" t="s">
        <v>134</v>
      </c>
      <c r="E7" s="13" t="s">
        <v>11</v>
      </c>
      <c r="F7" s="13" t="s">
        <v>12</v>
      </c>
      <c r="G7" s="13">
        <v>0</v>
      </c>
      <c r="H7" s="13">
        <v>1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x14ac:dyDescent="0.3">
      <c r="A8" s="13" t="s">
        <v>135</v>
      </c>
      <c r="B8" s="13" t="s">
        <v>136</v>
      </c>
      <c r="C8" s="13" t="s">
        <v>27</v>
      </c>
      <c r="D8" s="13"/>
      <c r="E8" s="13" t="s">
        <v>83</v>
      </c>
      <c r="F8" s="13" t="s">
        <v>12</v>
      </c>
      <c r="G8" s="13">
        <v>0</v>
      </c>
      <c r="H8" s="13">
        <v>1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x14ac:dyDescent="0.3">
      <c r="A9" s="13" t="s">
        <v>135</v>
      </c>
      <c r="B9" s="13" t="s">
        <v>136</v>
      </c>
      <c r="C9" s="13" t="s">
        <v>137</v>
      </c>
      <c r="D9" s="13" t="s">
        <v>138</v>
      </c>
      <c r="E9" s="13" t="s">
        <v>11</v>
      </c>
      <c r="F9" s="13" t="s">
        <v>12</v>
      </c>
      <c r="G9" s="13">
        <v>0</v>
      </c>
      <c r="H9" s="13">
        <v>1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x14ac:dyDescent="0.3">
      <c r="A10" s="13" t="s">
        <v>139</v>
      </c>
      <c r="B10" s="13" t="s">
        <v>140</v>
      </c>
      <c r="C10" s="33" t="s">
        <v>78</v>
      </c>
      <c r="D10" s="13"/>
      <c r="E10" s="13" t="s">
        <v>83</v>
      </c>
      <c r="F10" s="13" t="s">
        <v>12</v>
      </c>
      <c r="G10" s="13">
        <v>0</v>
      </c>
      <c r="H10" s="13">
        <v>1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x14ac:dyDescent="0.3">
      <c r="A11" s="13" t="s">
        <v>139</v>
      </c>
      <c r="B11" s="13" t="s">
        <v>140</v>
      </c>
      <c r="C11" s="13" t="s">
        <v>141</v>
      </c>
      <c r="D11" s="13" t="s">
        <v>142</v>
      </c>
      <c r="E11" s="13" t="s">
        <v>11</v>
      </c>
      <c r="F11" s="13" t="s">
        <v>12</v>
      </c>
      <c r="G11" s="13">
        <v>0</v>
      </c>
      <c r="H11" s="13">
        <v>1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x14ac:dyDescent="0.3">
      <c r="A12" s="13" t="s">
        <v>143</v>
      </c>
      <c r="B12" s="13" t="s">
        <v>144</v>
      </c>
      <c r="C12" s="13" t="s">
        <v>52</v>
      </c>
      <c r="D12" s="13"/>
      <c r="E12" s="13" t="s">
        <v>83</v>
      </c>
      <c r="F12" s="13" t="s">
        <v>12</v>
      </c>
      <c r="G12" s="13">
        <v>0</v>
      </c>
      <c r="H12" s="13">
        <v>1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x14ac:dyDescent="0.3">
      <c r="A13" s="13" t="s">
        <v>143</v>
      </c>
      <c r="B13" s="13" t="s">
        <v>144</v>
      </c>
      <c r="C13" s="13" t="s">
        <v>145</v>
      </c>
      <c r="D13" s="13" t="s">
        <v>146</v>
      </c>
      <c r="E13" s="13" t="s">
        <v>11</v>
      </c>
      <c r="F13" s="13" t="s">
        <v>12</v>
      </c>
      <c r="G13" s="13">
        <v>0</v>
      </c>
      <c r="H13" s="13">
        <v>1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x14ac:dyDescent="0.3">
      <c r="A14" s="53" t="s">
        <v>525</v>
      </c>
      <c r="B14" s="53" t="s">
        <v>526</v>
      </c>
      <c r="C14" s="53" t="s">
        <v>56</v>
      </c>
      <c r="D14" s="53"/>
      <c r="E14" s="13" t="s">
        <v>83</v>
      </c>
      <c r="F14" s="13" t="s">
        <v>12</v>
      </c>
      <c r="G14" s="13">
        <v>0</v>
      </c>
      <c r="H14" s="13">
        <v>1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x14ac:dyDescent="0.3">
      <c r="A15" s="53" t="s">
        <v>525</v>
      </c>
      <c r="B15" s="53" t="s">
        <v>526</v>
      </c>
      <c r="C15" s="53" t="s">
        <v>527</v>
      </c>
      <c r="D15" s="53" t="s">
        <v>528</v>
      </c>
      <c r="E15" s="13" t="s">
        <v>11</v>
      </c>
      <c r="F15" s="13" t="s">
        <v>12</v>
      </c>
      <c r="G15" s="13">
        <v>0</v>
      </c>
      <c r="H15" s="13">
        <v>1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x14ac:dyDescent="0.3">
      <c r="A16" s="13" t="s">
        <v>147</v>
      </c>
      <c r="B16" s="13" t="s">
        <v>148</v>
      </c>
      <c r="C16" s="13" t="s">
        <v>19</v>
      </c>
      <c r="D16" s="13"/>
      <c r="E16" s="13" t="s">
        <v>83</v>
      </c>
      <c r="F16" s="13" t="s">
        <v>12</v>
      </c>
      <c r="G16" s="13">
        <v>0</v>
      </c>
      <c r="H16" s="13">
        <v>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x14ac:dyDescent="0.3">
      <c r="A17" s="13" t="s">
        <v>147</v>
      </c>
      <c r="B17" s="13" t="s">
        <v>148</v>
      </c>
      <c r="C17" s="13" t="s">
        <v>149</v>
      </c>
      <c r="D17" s="13" t="s">
        <v>150</v>
      </c>
      <c r="E17" s="13" t="s">
        <v>11</v>
      </c>
      <c r="F17" s="13" t="s">
        <v>12</v>
      </c>
      <c r="G17" s="13">
        <v>0</v>
      </c>
      <c r="H17" s="13">
        <v>1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x14ac:dyDescent="0.3">
      <c r="A18" s="13" t="s">
        <v>151</v>
      </c>
      <c r="B18" s="13" t="s">
        <v>152</v>
      </c>
      <c r="C18" s="13" t="s">
        <v>23</v>
      </c>
      <c r="D18" s="13"/>
      <c r="E18" s="13" t="s">
        <v>83</v>
      </c>
      <c r="F18" s="13" t="s">
        <v>12</v>
      </c>
      <c r="G18" s="13">
        <v>0</v>
      </c>
      <c r="H18" s="13">
        <v>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x14ac:dyDescent="0.3">
      <c r="A19" s="13" t="s">
        <v>151</v>
      </c>
      <c r="B19" s="13" t="s">
        <v>152</v>
      </c>
      <c r="C19" s="13" t="s">
        <v>153</v>
      </c>
      <c r="D19" s="13" t="s">
        <v>154</v>
      </c>
      <c r="E19" s="13" t="s">
        <v>11</v>
      </c>
      <c r="F19" s="13" t="s">
        <v>12</v>
      </c>
      <c r="G19" s="13">
        <v>0</v>
      </c>
      <c r="H19" s="13">
        <v>1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x14ac:dyDescent="0.3">
      <c r="A20" s="13" t="s">
        <v>155</v>
      </c>
      <c r="B20" s="13" t="s">
        <v>156</v>
      </c>
      <c r="C20" s="13" t="s">
        <v>15</v>
      </c>
      <c r="D20" s="13"/>
      <c r="E20" s="13" t="s">
        <v>83</v>
      </c>
      <c r="F20" s="13" t="s">
        <v>12</v>
      </c>
      <c r="G20" s="13">
        <v>0</v>
      </c>
      <c r="H20" s="13">
        <v>1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x14ac:dyDescent="0.3">
      <c r="A21" s="13" t="s">
        <v>155</v>
      </c>
      <c r="B21" s="13" t="s">
        <v>156</v>
      </c>
      <c r="C21" s="13" t="s">
        <v>157</v>
      </c>
      <c r="D21" s="13" t="s">
        <v>158</v>
      </c>
      <c r="E21" s="13" t="s">
        <v>11</v>
      </c>
      <c r="F21" s="13" t="s">
        <v>12</v>
      </c>
      <c r="G21" s="13">
        <v>0</v>
      </c>
      <c r="H21" s="13">
        <v>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x14ac:dyDescent="0.3">
      <c r="A22" s="13" t="s">
        <v>159</v>
      </c>
      <c r="B22" s="13" t="s">
        <v>160</v>
      </c>
      <c r="C22" s="13" t="s">
        <v>27</v>
      </c>
      <c r="D22" s="13"/>
      <c r="E22" s="13" t="s">
        <v>83</v>
      </c>
      <c r="F22" s="13" t="s">
        <v>12</v>
      </c>
      <c r="G22" s="13">
        <v>0</v>
      </c>
      <c r="H22" s="13">
        <v>1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x14ac:dyDescent="0.3">
      <c r="A23" s="13" t="s">
        <v>159</v>
      </c>
      <c r="B23" s="13" t="s">
        <v>160</v>
      </c>
      <c r="C23" s="13" t="s">
        <v>161</v>
      </c>
      <c r="D23" s="13" t="s">
        <v>162</v>
      </c>
      <c r="E23" s="13" t="s">
        <v>11</v>
      </c>
      <c r="F23" s="13" t="s">
        <v>12</v>
      </c>
      <c r="G23" s="13">
        <v>0</v>
      </c>
      <c r="H23" s="13">
        <v>1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x14ac:dyDescent="0.3">
      <c r="A24" s="13" t="s">
        <v>163</v>
      </c>
      <c r="B24" s="13" t="s">
        <v>164</v>
      </c>
      <c r="C24" s="33" t="s">
        <v>78</v>
      </c>
      <c r="D24" s="13"/>
      <c r="E24" s="13" t="s">
        <v>83</v>
      </c>
      <c r="F24" s="13" t="s">
        <v>12</v>
      </c>
      <c r="G24" s="13">
        <v>0</v>
      </c>
      <c r="H24" s="13">
        <v>1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x14ac:dyDescent="0.3">
      <c r="A25" s="13" t="s">
        <v>163</v>
      </c>
      <c r="B25" s="13" t="s">
        <v>164</v>
      </c>
      <c r="C25" s="13" t="s">
        <v>165</v>
      </c>
      <c r="D25" s="13" t="s">
        <v>166</v>
      </c>
      <c r="E25" s="13" t="s">
        <v>11</v>
      </c>
      <c r="F25" s="13" t="s">
        <v>12</v>
      </c>
      <c r="G25" s="13">
        <v>0</v>
      </c>
      <c r="H25" s="13">
        <v>1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x14ac:dyDescent="0.3">
      <c r="A26" s="13" t="s">
        <v>167</v>
      </c>
      <c r="B26" s="13" t="s">
        <v>168</v>
      </c>
      <c r="C26" s="13" t="s">
        <v>121</v>
      </c>
      <c r="D26" s="13"/>
      <c r="E26" s="13" t="s">
        <v>83</v>
      </c>
      <c r="F26" s="13" t="s">
        <v>12</v>
      </c>
      <c r="G26" s="13">
        <v>0</v>
      </c>
      <c r="H26" s="13">
        <v>1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x14ac:dyDescent="0.3">
      <c r="A27" s="13" t="s">
        <v>167</v>
      </c>
      <c r="B27" s="13" t="s">
        <v>168</v>
      </c>
      <c r="C27" s="13" t="s">
        <v>169</v>
      </c>
      <c r="D27" s="13" t="s">
        <v>170</v>
      </c>
      <c r="E27" s="13" t="s">
        <v>11</v>
      </c>
      <c r="F27" s="13" t="s">
        <v>12</v>
      </c>
      <c r="G27" s="13">
        <v>0</v>
      </c>
      <c r="H27" s="13">
        <v>1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x14ac:dyDescent="0.3">
      <c r="A28" s="13" t="s">
        <v>171</v>
      </c>
      <c r="B28" s="13" t="s">
        <v>172</v>
      </c>
      <c r="C28" s="13" t="s">
        <v>35</v>
      </c>
      <c r="D28" s="13"/>
      <c r="E28" s="13" t="s">
        <v>83</v>
      </c>
      <c r="F28" s="13" t="s">
        <v>12</v>
      </c>
      <c r="G28" s="13">
        <v>0</v>
      </c>
      <c r="H28" s="13">
        <v>1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x14ac:dyDescent="0.3">
      <c r="A29" s="13" t="s">
        <v>171</v>
      </c>
      <c r="B29" s="13" t="s">
        <v>172</v>
      </c>
      <c r="C29" s="13" t="s">
        <v>173</v>
      </c>
      <c r="D29" s="13" t="s">
        <v>174</v>
      </c>
      <c r="E29" s="13" t="s">
        <v>11</v>
      </c>
      <c r="F29" s="13" t="s">
        <v>12</v>
      </c>
      <c r="G29" s="13">
        <v>0</v>
      </c>
      <c r="H29" s="13">
        <v>1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x14ac:dyDescent="0.3">
      <c r="A30" s="13" t="s">
        <v>175</v>
      </c>
      <c r="B30" s="13" t="s">
        <v>176</v>
      </c>
      <c r="C30" s="13" t="s">
        <v>56</v>
      </c>
      <c r="D30" s="13"/>
      <c r="E30" s="13" t="s">
        <v>83</v>
      </c>
      <c r="F30" s="13" t="s">
        <v>12</v>
      </c>
      <c r="G30" s="13">
        <v>0</v>
      </c>
      <c r="H30" s="13">
        <v>1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x14ac:dyDescent="0.3">
      <c r="A31" s="13" t="s">
        <v>175</v>
      </c>
      <c r="B31" s="13" t="s">
        <v>176</v>
      </c>
      <c r="C31" s="13" t="s">
        <v>177</v>
      </c>
      <c r="D31" s="13" t="s">
        <v>178</v>
      </c>
      <c r="E31" s="13" t="s">
        <v>11</v>
      </c>
      <c r="F31" s="13" t="s">
        <v>12</v>
      </c>
      <c r="G31" s="13">
        <v>0</v>
      </c>
      <c r="H31" s="13">
        <v>1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x14ac:dyDescent="0.3">
      <c r="A32" s="13" t="s">
        <v>179</v>
      </c>
      <c r="B32" s="13" t="s">
        <v>180</v>
      </c>
      <c r="C32" s="13" t="s">
        <v>43</v>
      </c>
      <c r="D32" s="13"/>
      <c r="E32" s="13" t="s">
        <v>83</v>
      </c>
      <c r="F32" s="13" t="s">
        <v>12</v>
      </c>
      <c r="G32" s="13">
        <v>0</v>
      </c>
      <c r="H32" s="13">
        <v>1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x14ac:dyDescent="0.3">
      <c r="A33" s="13" t="s">
        <v>179</v>
      </c>
      <c r="B33" s="13" t="s">
        <v>180</v>
      </c>
      <c r="C33" s="13" t="s">
        <v>181</v>
      </c>
      <c r="D33" s="13" t="s">
        <v>182</v>
      </c>
      <c r="E33" s="13" t="s">
        <v>11</v>
      </c>
      <c r="F33" s="13" t="s">
        <v>12</v>
      </c>
      <c r="G33" s="13">
        <v>0</v>
      </c>
      <c r="H33" s="13">
        <v>1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x14ac:dyDescent="0.3">
      <c r="A34" s="13" t="s">
        <v>183</v>
      </c>
      <c r="B34" s="13" t="s">
        <v>184</v>
      </c>
      <c r="C34" s="13" t="s">
        <v>31</v>
      </c>
      <c r="D34" s="13"/>
      <c r="E34" s="13" t="s">
        <v>83</v>
      </c>
      <c r="F34" s="13" t="s">
        <v>12</v>
      </c>
      <c r="G34" s="13">
        <v>0</v>
      </c>
      <c r="H34" s="13">
        <v>1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x14ac:dyDescent="0.3">
      <c r="A35" s="13" t="s">
        <v>183</v>
      </c>
      <c r="B35" s="13" t="s">
        <v>184</v>
      </c>
      <c r="C35" s="13" t="s">
        <v>185</v>
      </c>
      <c r="D35" s="13" t="s">
        <v>186</v>
      </c>
      <c r="E35" s="13" t="s">
        <v>11</v>
      </c>
      <c r="F35" s="13" t="s">
        <v>12</v>
      </c>
      <c r="G35" s="13">
        <v>0</v>
      </c>
      <c r="H35" s="13">
        <v>1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x14ac:dyDescent="0.3">
      <c r="A36" s="13" t="s">
        <v>187</v>
      </c>
      <c r="B36" s="13" t="s">
        <v>188</v>
      </c>
      <c r="C36" s="13" t="s">
        <v>27</v>
      </c>
      <c r="D36" s="13"/>
      <c r="E36" s="13" t="s">
        <v>83</v>
      </c>
      <c r="F36" s="13" t="s">
        <v>12</v>
      </c>
      <c r="G36" s="13">
        <v>0</v>
      </c>
      <c r="H36" s="13">
        <v>1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x14ac:dyDescent="0.3">
      <c r="A37" s="13" t="s">
        <v>187</v>
      </c>
      <c r="B37" s="13" t="s">
        <v>188</v>
      </c>
      <c r="C37" s="13" t="s">
        <v>189</v>
      </c>
      <c r="D37" s="13" t="s">
        <v>190</v>
      </c>
      <c r="E37" s="13" t="s">
        <v>11</v>
      </c>
      <c r="F37" s="13" t="s">
        <v>12</v>
      </c>
      <c r="G37" s="13">
        <v>0</v>
      </c>
      <c r="H37" s="13">
        <v>1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x14ac:dyDescent="0.3">
      <c r="A38" s="13" t="s">
        <v>191</v>
      </c>
      <c r="B38" s="13" t="s">
        <v>192</v>
      </c>
      <c r="C38" s="33" t="s">
        <v>78</v>
      </c>
      <c r="D38" s="13"/>
      <c r="E38" s="13" t="s">
        <v>83</v>
      </c>
      <c r="F38" s="13" t="s">
        <v>12</v>
      </c>
      <c r="G38" s="13">
        <v>0</v>
      </c>
      <c r="H38" s="13">
        <v>1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x14ac:dyDescent="0.3">
      <c r="A39" s="13" t="s">
        <v>191</v>
      </c>
      <c r="B39" s="13" t="s">
        <v>192</v>
      </c>
      <c r="C39" s="13" t="s">
        <v>193</v>
      </c>
      <c r="D39" s="13" t="s">
        <v>194</v>
      </c>
      <c r="E39" s="13" t="s">
        <v>11</v>
      </c>
      <c r="F39" s="13" t="s">
        <v>12</v>
      </c>
      <c r="G39" s="13">
        <v>0</v>
      </c>
      <c r="H39" s="13">
        <v>1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x14ac:dyDescent="0.3">
      <c r="A40" s="13" t="s">
        <v>195</v>
      </c>
      <c r="B40" s="13" t="s">
        <v>196</v>
      </c>
      <c r="C40" s="13" t="s">
        <v>39</v>
      </c>
      <c r="D40" s="13"/>
      <c r="E40" s="13" t="s">
        <v>83</v>
      </c>
      <c r="F40" s="13" t="s">
        <v>12</v>
      </c>
      <c r="G40" s="13">
        <v>0</v>
      </c>
      <c r="H40" s="13">
        <v>1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x14ac:dyDescent="0.3">
      <c r="A41" s="13" t="s">
        <v>195</v>
      </c>
      <c r="B41" s="13" t="s">
        <v>196</v>
      </c>
      <c r="C41" s="13" t="s">
        <v>197</v>
      </c>
      <c r="D41" s="13" t="s">
        <v>198</v>
      </c>
      <c r="E41" s="13" t="s">
        <v>11</v>
      </c>
      <c r="F41" s="13" t="s">
        <v>12</v>
      </c>
      <c r="G41" s="13">
        <v>0</v>
      </c>
      <c r="H41" s="13">
        <v>1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 x14ac:dyDescent="0.3">
      <c r="A42" s="13" t="s">
        <v>199</v>
      </c>
      <c r="B42" s="13" t="s">
        <v>200</v>
      </c>
      <c r="C42" s="13" t="s">
        <v>52</v>
      </c>
      <c r="D42" s="13"/>
      <c r="E42" s="13" t="s">
        <v>83</v>
      </c>
      <c r="F42" s="13" t="s">
        <v>12</v>
      </c>
      <c r="G42" s="13">
        <v>0</v>
      </c>
      <c r="H42" s="13">
        <v>1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x14ac:dyDescent="0.3">
      <c r="A43" s="13" t="s">
        <v>199</v>
      </c>
      <c r="B43" s="13" t="s">
        <v>200</v>
      </c>
      <c r="C43" s="13" t="s">
        <v>201</v>
      </c>
      <c r="D43" s="13" t="s">
        <v>202</v>
      </c>
      <c r="E43" s="13" t="s">
        <v>11</v>
      </c>
      <c r="F43" s="13" t="s">
        <v>12</v>
      </c>
      <c r="G43" s="13">
        <v>0</v>
      </c>
      <c r="H43" s="13">
        <v>1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 x14ac:dyDescent="0.3">
      <c r="A44" s="13" t="s">
        <v>203</v>
      </c>
      <c r="B44" s="13" t="s">
        <v>204</v>
      </c>
      <c r="C44" s="13" t="s">
        <v>56</v>
      </c>
      <c r="D44" s="13"/>
      <c r="E44" s="13" t="s">
        <v>83</v>
      </c>
      <c r="F44" s="13" t="s">
        <v>12</v>
      </c>
      <c r="G44" s="13">
        <v>0</v>
      </c>
      <c r="H44" s="13">
        <v>1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x14ac:dyDescent="0.3">
      <c r="A45" s="13" t="s">
        <v>203</v>
      </c>
      <c r="B45" s="13" t="s">
        <v>204</v>
      </c>
      <c r="C45" s="13" t="s">
        <v>205</v>
      </c>
      <c r="D45" s="13" t="s">
        <v>206</v>
      </c>
      <c r="E45" s="13" t="s">
        <v>11</v>
      </c>
      <c r="F45" s="13" t="s">
        <v>12</v>
      </c>
      <c r="G45" s="13">
        <v>0</v>
      </c>
      <c r="H45" s="13">
        <v>1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x14ac:dyDescent="0.3">
      <c r="A46" s="13" t="s">
        <v>207</v>
      </c>
      <c r="B46" s="13" t="s">
        <v>208</v>
      </c>
      <c r="C46" s="13" t="s">
        <v>23</v>
      </c>
      <c r="D46" s="13"/>
      <c r="E46" s="13" t="s">
        <v>83</v>
      </c>
      <c r="F46" s="13" t="s">
        <v>12</v>
      </c>
      <c r="G46" s="13">
        <v>0</v>
      </c>
      <c r="H46" s="13">
        <v>1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x14ac:dyDescent="0.3">
      <c r="A47" s="13" t="s">
        <v>207</v>
      </c>
      <c r="B47" s="13" t="s">
        <v>208</v>
      </c>
      <c r="C47" s="13" t="s">
        <v>209</v>
      </c>
      <c r="D47" s="13" t="s">
        <v>210</v>
      </c>
      <c r="E47" s="13" t="s">
        <v>11</v>
      </c>
      <c r="F47" s="13" t="s">
        <v>12</v>
      </c>
      <c r="G47" s="13">
        <v>0</v>
      </c>
      <c r="H47" s="13">
        <v>1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x14ac:dyDescent="0.3">
      <c r="A48" s="13" t="s">
        <v>211</v>
      </c>
      <c r="B48" s="13" t="s">
        <v>212</v>
      </c>
      <c r="C48" s="13" t="s">
        <v>27</v>
      </c>
      <c r="D48" s="13"/>
      <c r="E48" s="13" t="s">
        <v>83</v>
      </c>
      <c r="F48" s="13" t="s">
        <v>12</v>
      </c>
      <c r="G48" s="13">
        <v>0</v>
      </c>
      <c r="H48" s="13">
        <v>1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x14ac:dyDescent="0.3">
      <c r="A49" s="13" t="s">
        <v>211</v>
      </c>
      <c r="B49" s="13" t="s">
        <v>212</v>
      </c>
      <c r="C49" s="13" t="s">
        <v>213</v>
      </c>
      <c r="D49" s="13" t="s">
        <v>214</v>
      </c>
      <c r="E49" s="13" t="s">
        <v>11</v>
      </c>
      <c r="F49" s="13" t="s">
        <v>12</v>
      </c>
      <c r="G49" s="13">
        <v>0</v>
      </c>
      <c r="H49" s="13">
        <v>1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x14ac:dyDescent="0.3">
      <c r="A50" s="13" t="s">
        <v>215</v>
      </c>
      <c r="B50" s="13" t="s">
        <v>216</v>
      </c>
      <c r="C50" s="13" t="s">
        <v>15</v>
      </c>
      <c r="D50" s="13"/>
      <c r="E50" s="13" t="s">
        <v>83</v>
      </c>
      <c r="F50" s="13" t="s">
        <v>12</v>
      </c>
      <c r="G50" s="13">
        <v>0</v>
      </c>
      <c r="H50" s="13">
        <v>1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x14ac:dyDescent="0.3">
      <c r="A51" s="13" t="s">
        <v>215</v>
      </c>
      <c r="B51" s="13" t="s">
        <v>216</v>
      </c>
      <c r="C51" s="13" t="s">
        <v>217</v>
      </c>
      <c r="D51" s="13" t="s">
        <v>218</v>
      </c>
      <c r="E51" s="13" t="s">
        <v>11</v>
      </c>
      <c r="F51" s="13" t="s">
        <v>12</v>
      </c>
      <c r="G51" s="13">
        <v>0</v>
      </c>
      <c r="H51" s="13">
        <v>1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x14ac:dyDescent="0.3">
      <c r="A52" s="13" t="s">
        <v>219</v>
      </c>
      <c r="B52" s="13" t="s">
        <v>220</v>
      </c>
      <c r="C52" s="13" t="s">
        <v>39</v>
      </c>
      <c r="D52" s="13"/>
      <c r="E52" s="13" t="s">
        <v>83</v>
      </c>
      <c r="F52" s="13" t="s">
        <v>12</v>
      </c>
      <c r="G52" s="13">
        <v>0</v>
      </c>
      <c r="H52" s="13">
        <v>1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x14ac:dyDescent="0.3">
      <c r="A53" s="13" t="s">
        <v>219</v>
      </c>
      <c r="B53" s="13" t="s">
        <v>220</v>
      </c>
      <c r="C53" s="13" t="s">
        <v>221</v>
      </c>
      <c r="D53" s="13" t="s">
        <v>222</v>
      </c>
      <c r="E53" s="13" t="s">
        <v>11</v>
      </c>
      <c r="F53" s="13" t="s">
        <v>12</v>
      </c>
      <c r="G53" s="13">
        <v>0</v>
      </c>
      <c r="H53" s="13">
        <v>1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x14ac:dyDescent="0.3">
      <c r="A54" s="13" t="s">
        <v>223</v>
      </c>
      <c r="B54" s="13" t="s">
        <v>224</v>
      </c>
      <c r="C54" s="13" t="s">
        <v>56</v>
      </c>
      <c r="D54" s="13"/>
      <c r="E54" s="13" t="s">
        <v>83</v>
      </c>
      <c r="F54" s="13" t="s">
        <v>12</v>
      </c>
      <c r="G54" s="13">
        <v>0</v>
      </c>
      <c r="H54" s="13">
        <v>1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x14ac:dyDescent="0.3">
      <c r="A55" s="13" t="s">
        <v>223</v>
      </c>
      <c r="B55" s="13" t="s">
        <v>224</v>
      </c>
      <c r="C55" s="13" t="s">
        <v>225</v>
      </c>
      <c r="D55" s="13" t="s">
        <v>226</v>
      </c>
      <c r="E55" s="13" t="s">
        <v>11</v>
      </c>
      <c r="F55" s="13" t="s">
        <v>12</v>
      </c>
      <c r="G55" s="13">
        <v>0</v>
      </c>
      <c r="H55" s="13">
        <v>1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x14ac:dyDescent="0.3">
      <c r="A56" s="13" t="s">
        <v>227</v>
      </c>
      <c r="B56" s="13" t="s">
        <v>228</v>
      </c>
      <c r="C56" s="13" t="s">
        <v>19</v>
      </c>
      <c r="D56" s="13"/>
      <c r="E56" s="13" t="s">
        <v>83</v>
      </c>
      <c r="F56" s="13" t="s">
        <v>12</v>
      </c>
      <c r="G56" s="13">
        <v>0</v>
      </c>
      <c r="H56" s="13">
        <v>1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x14ac:dyDescent="0.3">
      <c r="A57" s="13" t="s">
        <v>227</v>
      </c>
      <c r="B57" s="13" t="s">
        <v>228</v>
      </c>
      <c r="C57" s="13" t="s">
        <v>229</v>
      </c>
      <c r="D57" s="13" t="s">
        <v>230</v>
      </c>
      <c r="E57" s="13" t="s">
        <v>11</v>
      </c>
      <c r="F57" s="13" t="s">
        <v>12</v>
      </c>
      <c r="G57" s="13">
        <v>0</v>
      </c>
      <c r="H57" s="13">
        <v>1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x14ac:dyDescent="0.3">
      <c r="A58" s="13" t="s">
        <v>231</v>
      </c>
      <c r="B58" s="13" t="s">
        <v>232</v>
      </c>
      <c r="C58" s="13" t="s">
        <v>23</v>
      </c>
      <c r="D58" s="13"/>
      <c r="E58" s="13" t="s">
        <v>83</v>
      </c>
      <c r="F58" s="13" t="s">
        <v>12</v>
      </c>
      <c r="G58" s="13">
        <v>0</v>
      </c>
      <c r="H58" s="13">
        <v>1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x14ac:dyDescent="0.3">
      <c r="A59" s="13" t="s">
        <v>231</v>
      </c>
      <c r="B59" s="13" t="s">
        <v>232</v>
      </c>
      <c r="C59" s="13" t="s">
        <v>233</v>
      </c>
      <c r="D59" s="13" t="s">
        <v>234</v>
      </c>
      <c r="E59" s="13" t="s">
        <v>11</v>
      </c>
      <c r="F59" s="13" t="s">
        <v>12</v>
      </c>
      <c r="G59" s="13">
        <v>0</v>
      </c>
      <c r="H59" s="13">
        <v>1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x14ac:dyDescent="0.3">
      <c r="A60" s="13" t="s">
        <v>235</v>
      </c>
      <c r="B60" s="13" t="s">
        <v>236</v>
      </c>
      <c r="C60" s="33" t="s">
        <v>78</v>
      </c>
      <c r="D60" s="13"/>
      <c r="E60" s="13" t="s">
        <v>83</v>
      </c>
      <c r="F60" s="13" t="s">
        <v>12</v>
      </c>
      <c r="G60" s="13">
        <v>0</v>
      </c>
      <c r="H60" s="13">
        <v>1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x14ac:dyDescent="0.3">
      <c r="A61" s="13" t="s">
        <v>235</v>
      </c>
      <c r="B61" s="13" t="s">
        <v>236</v>
      </c>
      <c r="C61" s="13" t="s">
        <v>237</v>
      </c>
      <c r="D61" s="13" t="s">
        <v>238</v>
      </c>
      <c r="E61" s="13" t="s">
        <v>11</v>
      </c>
      <c r="F61" s="13" t="s">
        <v>12</v>
      </c>
      <c r="G61" s="13">
        <v>0</v>
      </c>
      <c r="H61" s="13">
        <v>1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x14ac:dyDescent="0.3">
      <c r="A62" s="13" t="s">
        <v>239</v>
      </c>
      <c r="B62" s="13" t="s">
        <v>240</v>
      </c>
      <c r="C62" s="13" t="s">
        <v>23</v>
      </c>
      <c r="D62" s="13"/>
      <c r="E62" s="13" t="s">
        <v>83</v>
      </c>
      <c r="F62" s="13" t="s">
        <v>12</v>
      </c>
      <c r="G62" s="13">
        <v>0</v>
      </c>
      <c r="H62" s="13">
        <v>1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x14ac:dyDescent="0.3">
      <c r="A63" s="13" t="s">
        <v>239</v>
      </c>
      <c r="B63" s="13" t="s">
        <v>240</v>
      </c>
      <c r="C63" s="13" t="s">
        <v>241</v>
      </c>
      <c r="D63" s="13" t="s">
        <v>242</v>
      </c>
      <c r="E63" s="13" t="s">
        <v>11</v>
      </c>
      <c r="F63" s="13" t="s">
        <v>12</v>
      </c>
      <c r="G63" s="13">
        <v>0</v>
      </c>
      <c r="H63" s="13">
        <v>1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x14ac:dyDescent="0.3">
      <c r="A64" s="13" t="s">
        <v>243</v>
      </c>
      <c r="B64" s="13" t="s">
        <v>244</v>
      </c>
      <c r="C64" s="13" t="s">
        <v>39</v>
      </c>
      <c r="D64" s="13"/>
      <c r="E64" s="13" t="s">
        <v>83</v>
      </c>
      <c r="F64" s="13" t="s">
        <v>12</v>
      </c>
      <c r="G64" s="13">
        <v>0</v>
      </c>
      <c r="H64" s="13">
        <v>1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x14ac:dyDescent="0.3">
      <c r="A65" s="13" t="s">
        <v>243</v>
      </c>
      <c r="B65" s="13" t="s">
        <v>244</v>
      </c>
      <c r="C65" s="13" t="s">
        <v>245</v>
      </c>
      <c r="D65" s="13" t="s">
        <v>246</v>
      </c>
      <c r="E65" s="13" t="s">
        <v>11</v>
      </c>
      <c r="F65" s="13" t="s">
        <v>12</v>
      </c>
      <c r="G65" s="13">
        <v>0</v>
      </c>
      <c r="H65" s="13">
        <v>1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x14ac:dyDescent="0.3">
      <c r="A66" s="13" t="s">
        <v>247</v>
      </c>
      <c r="B66" s="13" t="s">
        <v>248</v>
      </c>
      <c r="C66" s="33" t="s">
        <v>78</v>
      </c>
      <c r="D66" s="13"/>
      <c r="E66" s="13" t="s">
        <v>83</v>
      </c>
      <c r="F66" s="13" t="s">
        <v>12</v>
      </c>
      <c r="G66" s="13">
        <v>0</v>
      </c>
      <c r="H66" s="13">
        <v>1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x14ac:dyDescent="0.3">
      <c r="A67" s="13" t="s">
        <v>247</v>
      </c>
      <c r="B67" s="13" t="s">
        <v>248</v>
      </c>
      <c r="C67" s="13" t="s">
        <v>249</v>
      </c>
      <c r="D67" s="13" t="s">
        <v>250</v>
      </c>
      <c r="E67" s="13" t="s">
        <v>11</v>
      </c>
      <c r="F67" s="13" t="s">
        <v>12</v>
      </c>
      <c r="G67" s="13">
        <v>0</v>
      </c>
      <c r="H67" s="13">
        <v>1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s="3" customFormat="1" x14ac:dyDescent="0.3">
      <c r="A68" s="14" t="s">
        <v>251</v>
      </c>
      <c r="B68" s="15" t="s">
        <v>252</v>
      </c>
      <c r="C68" s="15" t="s">
        <v>19</v>
      </c>
      <c r="D68" s="15" t="s">
        <v>253</v>
      </c>
      <c r="E68" s="15" t="s">
        <v>83</v>
      </c>
      <c r="F68" s="15" t="s">
        <v>12</v>
      </c>
      <c r="G68" s="15">
        <v>0</v>
      </c>
      <c r="H68" s="15">
        <v>1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6"/>
    </row>
    <row r="69" spans="1:40" s="3" customFormat="1" x14ac:dyDescent="0.3">
      <c r="A69" s="14" t="s">
        <v>251</v>
      </c>
      <c r="B69" s="15" t="s">
        <v>252</v>
      </c>
      <c r="C69" s="15" t="s">
        <v>254</v>
      </c>
      <c r="D69" s="15" t="s">
        <v>255</v>
      </c>
      <c r="E69" s="15" t="s">
        <v>11</v>
      </c>
      <c r="F69" s="15" t="s">
        <v>12</v>
      </c>
      <c r="G69" s="15">
        <v>0</v>
      </c>
      <c r="H69" s="15">
        <v>1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6"/>
    </row>
    <row r="70" spans="1:40" s="3" customFormat="1" x14ac:dyDescent="0.3">
      <c r="A70" s="14" t="s">
        <v>256</v>
      </c>
      <c r="B70" s="15" t="s">
        <v>257</v>
      </c>
      <c r="C70" s="15" t="s">
        <v>27</v>
      </c>
      <c r="D70" s="15" t="s">
        <v>253</v>
      </c>
      <c r="E70" s="15" t="s">
        <v>83</v>
      </c>
      <c r="F70" s="15" t="s">
        <v>12</v>
      </c>
      <c r="G70" s="15">
        <v>0</v>
      </c>
      <c r="H70" s="15">
        <v>1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6"/>
    </row>
    <row r="71" spans="1:40" s="3" customFormat="1" x14ac:dyDescent="0.3">
      <c r="A71" s="14" t="s">
        <v>256</v>
      </c>
      <c r="B71" s="15" t="s">
        <v>257</v>
      </c>
      <c r="C71" s="15" t="s">
        <v>258</v>
      </c>
      <c r="D71" s="15" t="s">
        <v>259</v>
      </c>
      <c r="E71" s="15" t="s">
        <v>11</v>
      </c>
      <c r="F71" s="15" t="s">
        <v>12</v>
      </c>
      <c r="G71" s="15">
        <v>0</v>
      </c>
      <c r="H71" s="15">
        <v>1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6"/>
    </row>
  </sheetData>
  <autoFilter ref="A1:AN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1"/>
  <sheetViews>
    <sheetView workbookViewId="0"/>
  </sheetViews>
  <sheetFormatPr defaultColWidth="8.88671875" defaultRowHeight="14.4" x14ac:dyDescent="0.3"/>
  <cols>
    <col min="1" max="1" width="11.33203125" bestFit="1" customWidth="1"/>
    <col min="2" max="2" width="36.5546875" bestFit="1" customWidth="1"/>
    <col min="3" max="3" width="11.33203125" bestFit="1" customWidth="1"/>
    <col min="4" max="4" width="37.6640625" bestFit="1" customWidth="1"/>
    <col min="6" max="6" width="16.109375" bestFit="1" customWidth="1"/>
    <col min="7" max="7" width="20.33203125" bestFit="1" customWidth="1"/>
    <col min="8" max="40" width="5" bestFit="1" customWidth="1"/>
  </cols>
  <sheetData>
    <row r="1" spans="1:40" x14ac:dyDescent="0.3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>
        <v>2018</v>
      </c>
      <c r="I1" s="35">
        <v>2019</v>
      </c>
      <c r="J1" s="35">
        <v>2020</v>
      </c>
      <c r="K1" s="35">
        <v>2021</v>
      </c>
      <c r="L1" s="35">
        <v>2022</v>
      </c>
      <c r="M1" s="35">
        <v>2023</v>
      </c>
      <c r="N1" s="35">
        <v>2024</v>
      </c>
      <c r="O1" s="35">
        <v>2025</v>
      </c>
      <c r="P1" s="35">
        <v>2026</v>
      </c>
      <c r="Q1" s="35">
        <v>2027</v>
      </c>
      <c r="R1" s="35">
        <v>2028</v>
      </c>
      <c r="S1" s="35">
        <v>2029</v>
      </c>
      <c r="T1" s="35">
        <v>2030</v>
      </c>
      <c r="U1" s="35">
        <v>2031</v>
      </c>
      <c r="V1" s="35">
        <v>2032</v>
      </c>
      <c r="W1" s="35">
        <v>2033</v>
      </c>
      <c r="X1" s="35">
        <v>2034</v>
      </c>
      <c r="Y1" s="35">
        <v>2035</v>
      </c>
      <c r="Z1" s="35">
        <v>2036</v>
      </c>
      <c r="AA1" s="35">
        <v>2037</v>
      </c>
      <c r="AB1" s="35">
        <v>2038</v>
      </c>
      <c r="AC1" s="35">
        <v>2039</v>
      </c>
      <c r="AD1" s="35">
        <v>2040</v>
      </c>
      <c r="AE1" s="35">
        <v>2041</v>
      </c>
      <c r="AF1" s="35">
        <v>2042</v>
      </c>
      <c r="AG1" s="35">
        <v>2043</v>
      </c>
      <c r="AH1" s="35">
        <v>2044</v>
      </c>
      <c r="AI1" s="35">
        <v>2045</v>
      </c>
      <c r="AJ1" s="35">
        <v>2046</v>
      </c>
      <c r="AK1" s="35">
        <v>2047</v>
      </c>
      <c r="AL1" s="35">
        <v>2048</v>
      </c>
      <c r="AM1" s="35">
        <v>2049</v>
      </c>
      <c r="AN1" s="35">
        <v>2050</v>
      </c>
    </row>
    <row r="2" spans="1:40" x14ac:dyDescent="0.3">
      <c r="A2" s="36" t="s">
        <v>260</v>
      </c>
      <c r="B2" s="4" t="s">
        <v>261</v>
      </c>
      <c r="C2" s="4" t="s">
        <v>19</v>
      </c>
      <c r="D2" s="4" t="s">
        <v>253</v>
      </c>
      <c r="E2" s="4" t="s">
        <v>83</v>
      </c>
      <c r="F2" s="4" t="s">
        <v>12</v>
      </c>
      <c r="G2" s="4">
        <v>0</v>
      </c>
      <c r="H2" s="4" t="s">
        <v>253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</row>
    <row r="3" spans="1:40" x14ac:dyDescent="0.3">
      <c r="A3" s="36" t="s">
        <v>260</v>
      </c>
      <c r="B3" s="4" t="s">
        <v>261</v>
      </c>
      <c r="C3" s="4" t="s">
        <v>262</v>
      </c>
      <c r="D3" s="4" t="s">
        <v>263</v>
      </c>
      <c r="E3" s="4" t="s">
        <v>11</v>
      </c>
      <c r="F3" s="4" t="s">
        <v>12</v>
      </c>
      <c r="G3" s="4">
        <v>0</v>
      </c>
      <c r="H3" s="4" t="s">
        <v>253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</row>
    <row r="4" spans="1:40" x14ac:dyDescent="0.3">
      <c r="A4" s="38" t="s">
        <v>264</v>
      </c>
      <c r="B4" s="39" t="s">
        <v>265</v>
      </c>
      <c r="C4" s="39" t="s">
        <v>23</v>
      </c>
      <c r="D4" s="39" t="s">
        <v>253</v>
      </c>
      <c r="E4" s="39" t="s">
        <v>83</v>
      </c>
      <c r="F4" s="39" t="s">
        <v>12</v>
      </c>
      <c r="G4" s="39">
        <v>0</v>
      </c>
      <c r="H4" s="39" t="s">
        <v>253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x14ac:dyDescent="0.3">
      <c r="A5" s="38" t="s">
        <v>264</v>
      </c>
      <c r="B5" s="39" t="s">
        <v>265</v>
      </c>
      <c r="C5" s="39" t="s">
        <v>266</v>
      </c>
      <c r="D5" s="39" t="s">
        <v>267</v>
      </c>
      <c r="E5" s="39" t="s">
        <v>11</v>
      </c>
      <c r="F5" s="39" t="s">
        <v>12</v>
      </c>
      <c r="G5" s="39">
        <v>0</v>
      </c>
      <c r="H5" s="39" t="s">
        <v>253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spans="1:40" x14ac:dyDescent="0.3">
      <c r="A6" s="36" t="s">
        <v>268</v>
      </c>
      <c r="B6" s="4" t="s">
        <v>269</v>
      </c>
      <c r="C6" s="4" t="s">
        <v>27</v>
      </c>
      <c r="D6" s="4" t="s">
        <v>253</v>
      </c>
      <c r="E6" s="4" t="s">
        <v>83</v>
      </c>
      <c r="F6" s="4" t="s">
        <v>12</v>
      </c>
      <c r="G6" s="4">
        <v>0</v>
      </c>
      <c r="H6" s="4" t="s">
        <v>253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 spans="1:40" x14ac:dyDescent="0.3">
      <c r="A7" s="36" t="s">
        <v>268</v>
      </c>
      <c r="B7" s="4" t="s">
        <v>269</v>
      </c>
      <c r="C7" s="4" t="s">
        <v>270</v>
      </c>
      <c r="D7" s="4" t="s">
        <v>271</v>
      </c>
      <c r="E7" s="4" t="s">
        <v>11</v>
      </c>
      <c r="F7" s="4" t="s">
        <v>12</v>
      </c>
      <c r="G7" s="4">
        <v>0</v>
      </c>
      <c r="H7" s="4" t="s">
        <v>253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</row>
    <row r="8" spans="1:40" x14ac:dyDescent="0.3">
      <c r="A8" s="38" t="s">
        <v>272</v>
      </c>
      <c r="B8" s="39" t="s">
        <v>273</v>
      </c>
      <c r="C8" s="39" t="s">
        <v>78</v>
      </c>
      <c r="D8" s="39" t="s">
        <v>253</v>
      </c>
      <c r="E8" s="39" t="s">
        <v>83</v>
      </c>
      <c r="F8" s="39" t="s">
        <v>12</v>
      </c>
      <c r="G8" s="39">
        <v>0</v>
      </c>
      <c r="H8" s="39" t="s">
        <v>253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</row>
    <row r="9" spans="1:40" x14ac:dyDescent="0.3">
      <c r="A9" s="38" t="s">
        <v>272</v>
      </c>
      <c r="B9" s="39" t="s">
        <v>273</v>
      </c>
      <c r="C9" s="39" t="s">
        <v>274</v>
      </c>
      <c r="D9" s="39" t="s">
        <v>275</v>
      </c>
      <c r="E9" s="39" t="s">
        <v>11</v>
      </c>
      <c r="F9" s="39" t="s">
        <v>12</v>
      </c>
      <c r="G9" s="39">
        <v>0</v>
      </c>
      <c r="H9" s="39" t="s">
        <v>253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</row>
    <row r="10" spans="1:40" x14ac:dyDescent="0.3">
      <c r="A10" s="36" t="s">
        <v>276</v>
      </c>
      <c r="B10" s="4" t="s">
        <v>277</v>
      </c>
      <c r="C10" s="4" t="s">
        <v>23</v>
      </c>
      <c r="D10" s="4" t="s">
        <v>253</v>
      </c>
      <c r="E10" s="4" t="s">
        <v>83</v>
      </c>
      <c r="F10" s="4" t="s">
        <v>12</v>
      </c>
      <c r="G10" s="4">
        <v>0</v>
      </c>
      <c r="H10" s="4" t="s">
        <v>253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</row>
    <row r="11" spans="1:40" x14ac:dyDescent="0.3">
      <c r="A11" s="36" t="s">
        <v>276</v>
      </c>
      <c r="B11" s="4" t="s">
        <v>277</v>
      </c>
      <c r="C11" s="4" t="s">
        <v>278</v>
      </c>
      <c r="D11" s="4" t="s">
        <v>279</v>
      </c>
      <c r="E11" s="4" t="s">
        <v>11</v>
      </c>
      <c r="F11" s="4" t="s">
        <v>12</v>
      </c>
      <c r="G11" s="4">
        <v>0</v>
      </c>
      <c r="H11" s="4" t="s">
        <v>253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</row>
    <row r="12" spans="1:40" x14ac:dyDescent="0.3">
      <c r="A12" s="38" t="s">
        <v>280</v>
      </c>
      <c r="B12" s="39" t="s">
        <v>281</v>
      </c>
      <c r="C12" s="39" t="s">
        <v>27</v>
      </c>
      <c r="D12" s="39" t="s">
        <v>253</v>
      </c>
      <c r="E12" s="39" t="s">
        <v>83</v>
      </c>
      <c r="F12" s="39" t="s">
        <v>12</v>
      </c>
      <c r="G12" s="39">
        <v>0</v>
      </c>
      <c r="H12" s="39" t="s">
        <v>253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</row>
    <row r="13" spans="1:40" x14ac:dyDescent="0.3">
      <c r="A13" s="38" t="s">
        <v>280</v>
      </c>
      <c r="B13" s="39" t="s">
        <v>281</v>
      </c>
      <c r="C13" s="39" t="s">
        <v>282</v>
      </c>
      <c r="D13" s="39" t="s">
        <v>283</v>
      </c>
      <c r="E13" s="39" t="s">
        <v>11</v>
      </c>
      <c r="F13" s="39" t="s">
        <v>12</v>
      </c>
      <c r="G13" s="39">
        <v>0</v>
      </c>
      <c r="H13" s="39" t="s">
        <v>253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</row>
    <row r="14" spans="1:40" x14ac:dyDescent="0.3">
      <c r="A14" s="36" t="s">
        <v>284</v>
      </c>
      <c r="B14" s="4" t="s">
        <v>285</v>
      </c>
      <c r="C14" s="4" t="s">
        <v>78</v>
      </c>
      <c r="D14" s="4" t="s">
        <v>253</v>
      </c>
      <c r="E14" s="4" t="s">
        <v>83</v>
      </c>
      <c r="F14" s="4" t="s">
        <v>12</v>
      </c>
      <c r="G14" s="4">
        <v>0</v>
      </c>
      <c r="H14" s="4" t="s">
        <v>253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</row>
    <row r="15" spans="1:40" x14ac:dyDescent="0.3">
      <c r="A15" s="36" t="s">
        <v>284</v>
      </c>
      <c r="B15" s="4" t="s">
        <v>285</v>
      </c>
      <c r="C15" s="4" t="s">
        <v>286</v>
      </c>
      <c r="D15" s="4" t="s">
        <v>287</v>
      </c>
      <c r="E15" s="4" t="s">
        <v>11</v>
      </c>
      <c r="F15" s="4" t="s">
        <v>12</v>
      </c>
      <c r="G15" s="4">
        <v>0</v>
      </c>
      <c r="H15" s="4" t="s">
        <v>253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</row>
    <row r="16" spans="1:40" x14ac:dyDescent="0.3">
      <c r="A16" s="38" t="s">
        <v>288</v>
      </c>
      <c r="B16" s="39" t="s">
        <v>289</v>
      </c>
      <c r="C16" s="39" t="s">
        <v>15</v>
      </c>
      <c r="D16" s="39" t="s">
        <v>253</v>
      </c>
      <c r="E16" s="39" t="s">
        <v>83</v>
      </c>
      <c r="F16" s="39" t="s">
        <v>12</v>
      </c>
      <c r="G16" s="39">
        <v>0</v>
      </c>
      <c r="H16" s="39" t="s">
        <v>253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</row>
    <row r="17" spans="1:40" x14ac:dyDescent="0.3">
      <c r="A17" s="38" t="s">
        <v>288</v>
      </c>
      <c r="B17" s="39" t="s">
        <v>289</v>
      </c>
      <c r="C17" s="39" t="s">
        <v>290</v>
      </c>
      <c r="D17" s="39" t="s">
        <v>291</v>
      </c>
      <c r="E17" s="39" t="s">
        <v>11</v>
      </c>
      <c r="F17" s="39" t="s">
        <v>12</v>
      </c>
      <c r="G17" s="39">
        <v>0</v>
      </c>
      <c r="H17" s="39" t="s">
        <v>253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</row>
    <row r="18" spans="1:40" x14ac:dyDescent="0.3">
      <c r="A18" s="36" t="s">
        <v>292</v>
      </c>
      <c r="B18" s="4" t="s">
        <v>293</v>
      </c>
      <c r="C18" s="4" t="s">
        <v>19</v>
      </c>
      <c r="D18" s="4" t="s">
        <v>253</v>
      </c>
      <c r="E18" s="4" t="s">
        <v>83</v>
      </c>
      <c r="F18" s="4" t="s">
        <v>12</v>
      </c>
      <c r="G18" s="4">
        <v>0</v>
      </c>
      <c r="H18" s="4" t="s">
        <v>253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</row>
    <row r="19" spans="1:40" x14ac:dyDescent="0.3">
      <c r="A19" s="36" t="s">
        <v>292</v>
      </c>
      <c r="B19" s="4" t="s">
        <v>293</v>
      </c>
      <c r="C19" s="4" t="s">
        <v>294</v>
      </c>
      <c r="D19" s="4" t="s">
        <v>295</v>
      </c>
      <c r="E19" s="4" t="s">
        <v>11</v>
      </c>
      <c r="F19" s="4" t="s">
        <v>12</v>
      </c>
      <c r="G19" s="4">
        <v>0</v>
      </c>
      <c r="H19" s="4" t="s">
        <v>253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</row>
    <row r="20" spans="1:40" x14ac:dyDescent="0.3">
      <c r="A20" s="38" t="s">
        <v>296</v>
      </c>
      <c r="B20" s="39" t="s">
        <v>297</v>
      </c>
      <c r="C20" s="39" t="s">
        <v>121</v>
      </c>
      <c r="D20" s="39" t="s">
        <v>253</v>
      </c>
      <c r="E20" s="39" t="s">
        <v>83</v>
      </c>
      <c r="F20" s="39" t="s">
        <v>12</v>
      </c>
      <c r="G20" s="39">
        <v>0</v>
      </c>
      <c r="H20" s="39" t="s">
        <v>253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</row>
    <row r="21" spans="1:40" x14ac:dyDescent="0.3">
      <c r="A21" s="38" t="s">
        <v>296</v>
      </c>
      <c r="B21" s="39" t="s">
        <v>297</v>
      </c>
      <c r="C21" s="39" t="s">
        <v>298</v>
      </c>
      <c r="D21" s="39" t="s">
        <v>299</v>
      </c>
      <c r="E21" s="39" t="s">
        <v>11</v>
      </c>
      <c r="F21" s="39" t="s">
        <v>12</v>
      </c>
      <c r="G21" s="39">
        <v>0</v>
      </c>
      <c r="H21" s="39" t="s">
        <v>253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</row>
    <row r="22" spans="1:40" x14ac:dyDescent="0.3">
      <c r="A22" s="36" t="s">
        <v>300</v>
      </c>
      <c r="B22" s="4" t="s">
        <v>301</v>
      </c>
      <c r="C22" s="4" t="s">
        <v>19</v>
      </c>
      <c r="D22" s="4" t="s">
        <v>253</v>
      </c>
      <c r="E22" s="4" t="s">
        <v>83</v>
      </c>
      <c r="F22" s="4" t="s">
        <v>12</v>
      </c>
      <c r="G22" s="4">
        <v>0</v>
      </c>
      <c r="H22" s="4" t="s">
        <v>253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</row>
    <row r="23" spans="1:40" x14ac:dyDescent="0.3">
      <c r="A23" s="36" t="s">
        <v>300</v>
      </c>
      <c r="B23" s="4" t="s">
        <v>301</v>
      </c>
      <c r="C23" s="4" t="s">
        <v>302</v>
      </c>
      <c r="D23" s="4" t="s">
        <v>303</v>
      </c>
      <c r="E23" s="4" t="s">
        <v>11</v>
      </c>
      <c r="F23" s="4" t="s">
        <v>12</v>
      </c>
      <c r="G23" s="4">
        <v>0</v>
      </c>
      <c r="H23" s="4" t="s">
        <v>253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</row>
    <row r="24" spans="1:40" x14ac:dyDescent="0.3">
      <c r="A24" s="38" t="s">
        <v>304</v>
      </c>
      <c r="B24" s="39" t="s">
        <v>305</v>
      </c>
      <c r="C24" s="39" t="s">
        <v>23</v>
      </c>
      <c r="D24" s="39" t="s">
        <v>253</v>
      </c>
      <c r="E24" s="39" t="s">
        <v>83</v>
      </c>
      <c r="F24" s="39" t="s">
        <v>12</v>
      </c>
      <c r="G24" s="39">
        <v>0</v>
      </c>
      <c r="H24" s="39" t="s">
        <v>253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</row>
    <row r="25" spans="1:40" x14ac:dyDescent="0.3">
      <c r="A25" s="38" t="s">
        <v>304</v>
      </c>
      <c r="B25" s="39" t="s">
        <v>305</v>
      </c>
      <c r="C25" s="39" t="s">
        <v>306</v>
      </c>
      <c r="D25" s="39" t="s">
        <v>307</v>
      </c>
      <c r="E25" s="39" t="s">
        <v>11</v>
      </c>
      <c r="F25" s="39" t="s">
        <v>12</v>
      </c>
      <c r="G25" s="39">
        <v>0</v>
      </c>
      <c r="H25" s="39" t="s">
        <v>253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</row>
    <row r="26" spans="1:40" x14ac:dyDescent="0.3">
      <c r="A26" s="36" t="s">
        <v>308</v>
      </c>
      <c r="B26" s="4" t="s">
        <v>309</v>
      </c>
      <c r="C26" s="4" t="s">
        <v>27</v>
      </c>
      <c r="D26" s="4" t="s">
        <v>253</v>
      </c>
      <c r="E26" s="4" t="s">
        <v>83</v>
      </c>
      <c r="F26" s="4" t="s">
        <v>12</v>
      </c>
      <c r="G26" s="4">
        <v>0</v>
      </c>
      <c r="H26" s="4" t="s">
        <v>253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</row>
    <row r="27" spans="1:40" x14ac:dyDescent="0.3">
      <c r="A27" s="36" t="s">
        <v>308</v>
      </c>
      <c r="B27" s="4" t="s">
        <v>309</v>
      </c>
      <c r="C27" s="4" t="s">
        <v>310</v>
      </c>
      <c r="D27" s="4" t="s">
        <v>311</v>
      </c>
      <c r="E27" s="4" t="s">
        <v>11</v>
      </c>
      <c r="F27" s="4" t="s">
        <v>12</v>
      </c>
      <c r="G27" s="4">
        <v>0</v>
      </c>
      <c r="H27" s="4" t="s">
        <v>253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</row>
    <row r="28" spans="1:40" x14ac:dyDescent="0.3">
      <c r="A28" s="38" t="s">
        <v>312</v>
      </c>
      <c r="B28" s="39" t="s">
        <v>313</v>
      </c>
      <c r="C28" s="39" t="s">
        <v>78</v>
      </c>
      <c r="D28" s="39" t="s">
        <v>253</v>
      </c>
      <c r="E28" s="39" t="s">
        <v>83</v>
      </c>
      <c r="F28" s="39" t="s">
        <v>12</v>
      </c>
      <c r="G28" s="39">
        <v>0</v>
      </c>
      <c r="H28" s="39" t="s">
        <v>253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</row>
    <row r="29" spans="1:40" x14ac:dyDescent="0.3">
      <c r="A29" s="38" t="s">
        <v>312</v>
      </c>
      <c r="B29" s="39" t="s">
        <v>313</v>
      </c>
      <c r="C29" s="39" t="s">
        <v>314</v>
      </c>
      <c r="D29" s="39" t="s">
        <v>315</v>
      </c>
      <c r="E29" s="39" t="s">
        <v>11</v>
      </c>
      <c r="F29" s="39" t="s">
        <v>12</v>
      </c>
      <c r="G29" s="39">
        <v>0</v>
      </c>
      <c r="H29" s="39" t="s">
        <v>253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</row>
    <row r="30" spans="1:40" x14ac:dyDescent="0.3">
      <c r="A30" s="36" t="s">
        <v>316</v>
      </c>
      <c r="B30" s="4" t="s">
        <v>317</v>
      </c>
      <c r="C30" s="4" t="s">
        <v>121</v>
      </c>
      <c r="D30" s="4" t="s">
        <v>253</v>
      </c>
      <c r="E30" s="4" t="s">
        <v>83</v>
      </c>
      <c r="F30" s="4" t="s">
        <v>12</v>
      </c>
      <c r="G30" s="4">
        <v>0</v>
      </c>
      <c r="H30" s="4" t="s">
        <v>253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</row>
    <row r="31" spans="1:40" x14ac:dyDescent="0.3">
      <c r="A31" s="36" t="s">
        <v>316</v>
      </c>
      <c r="B31" s="4" t="s">
        <v>317</v>
      </c>
      <c r="C31" s="4" t="s">
        <v>318</v>
      </c>
      <c r="D31" s="4" t="s">
        <v>319</v>
      </c>
      <c r="E31" s="4" t="s">
        <v>11</v>
      </c>
      <c r="F31" s="4" t="s">
        <v>12</v>
      </c>
      <c r="G31" s="4">
        <v>0</v>
      </c>
      <c r="H31" s="4" t="s">
        <v>253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</row>
    <row r="32" spans="1:40" x14ac:dyDescent="0.3">
      <c r="A32" s="38" t="s">
        <v>320</v>
      </c>
      <c r="B32" s="39" t="s">
        <v>321</v>
      </c>
      <c r="C32" s="39" t="s">
        <v>78</v>
      </c>
      <c r="D32" s="39" t="s">
        <v>253</v>
      </c>
      <c r="E32" s="39" t="s">
        <v>83</v>
      </c>
      <c r="F32" s="39" t="s">
        <v>12</v>
      </c>
      <c r="G32" s="39">
        <v>0</v>
      </c>
      <c r="H32" s="39" t="s">
        <v>253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</row>
    <row r="33" spans="1:40" x14ac:dyDescent="0.3">
      <c r="A33" s="38" t="s">
        <v>320</v>
      </c>
      <c r="B33" s="39" t="s">
        <v>321</v>
      </c>
      <c r="C33" s="39" t="s">
        <v>322</v>
      </c>
      <c r="D33" s="39" t="s">
        <v>323</v>
      </c>
      <c r="E33" s="39" t="s">
        <v>11</v>
      </c>
      <c r="F33" s="39" t="s">
        <v>12</v>
      </c>
      <c r="G33" s="39">
        <v>0</v>
      </c>
      <c r="H33" s="39" t="s">
        <v>253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</row>
    <row r="34" spans="1:40" x14ac:dyDescent="0.3">
      <c r="A34" s="36" t="s">
        <v>324</v>
      </c>
      <c r="B34" s="4" t="s">
        <v>325</v>
      </c>
      <c r="C34" s="4" t="s">
        <v>19</v>
      </c>
      <c r="D34" s="4" t="s">
        <v>253</v>
      </c>
      <c r="E34" s="4" t="s">
        <v>83</v>
      </c>
      <c r="F34" s="4" t="s">
        <v>12</v>
      </c>
      <c r="G34" s="4">
        <v>0</v>
      </c>
      <c r="H34" s="4" t="s">
        <v>253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</row>
    <row r="35" spans="1:40" x14ac:dyDescent="0.3">
      <c r="A35" s="36" t="s">
        <v>324</v>
      </c>
      <c r="B35" s="4" t="s">
        <v>325</v>
      </c>
      <c r="C35" s="4" t="s">
        <v>326</v>
      </c>
      <c r="D35" s="4" t="s">
        <v>327</v>
      </c>
      <c r="E35" s="4" t="s">
        <v>11</v>
      </c>
      <c r="F35" s="4" t="s">
        <v>12</v>
      </c>
      <c r="G35" s="4">
        <v>0</v>
      </c>
      <c r="H35" s="4" t="s">
        <v>253</v>
      </c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</row>
    <row r="36" spans="1:40" x14ac:dyDescent="0.3">
      <c r="A36" s="38" t="s">
        <v>328</v>
      </c>
      <c r="B36" s="39" t="s">
        <v>329</v>
      </c>
      <c r="C36" s="39" t="s">
        <v>23</v>
      </c>
      <c r="D36" s="39" t="s">
        <v>253</v>
      </c>
      <c r="E36" s="39" t="s">
        <v>83</v>
      </c>
      <c r="F36" s="39" t="s">
        <v>12</v>
      </c>
      <c r="G36" s="39">
        <v>0</v>
      </c>
      <c r="H36" s="39" t="s">
        <v>253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</row>
    <row r="37" spans="1:40" x14ac:dyDescent="0.3">
      <c r="A37" s="38" t="s">
        <v>328</v>
      </c>
      <c r="B37" s="39" t="s">
        <v>329</v>
      </c>
      <c r="C37" s="39" t="s">
        <v>330</v>
      </c>
      <c r="D37" s="39" t="s">
        <v>331</v>
      </c>
      <c r="E37" s="39" t="s">
        <v>11</v>
      </c>
      <c r="F37" s="39" t="s">
        <v>12</v>
      </c>
      <c r="G37" s="39">
        <v>0</v>
      </c>
      <c r="H37" s="39" t="s">
        <v>253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</row>
    <row r="38" spans="1:40" x14ac:dyDescent="0.3">
      <c r="A38" s="36" t="s">
        <v>332</v>
      </c>
      <c r="B38" s="4" t="s">
        <v>333</v>
      </c>
      <c r="C38" s="4" t="s">
        <v>27</v>
      </c>
      <c r="D38" s="4" t="s">
        <v>253</v>
      </c>
      <c r="E38" s="4" t="s">
        <v>83</v>
      </c>
      <c r="F38" s="4" t="s">
        <v>12</v>
      </c>
      <c r="G38" s="4">
        <v>0</v>
      </c>
      <c r="H38" s="4" t="s">
        <v>253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</row>
    <row r="39" spans="1:40" x14ac:dyDescent="0.3">
      <c r="A39" s="36" t="s">
        <v>332</v>
      </c>
      <c r="B39" s="4" t="s">
        <v>333</v>
      </c>
      <c r="C39" s="4" t="s">
        <v>334</v>
      </c>
      <c r="D39" s="4" t="s">
        <v>335</v>
      </c>
      <c r="E39" s="4" t="s">
        <v>11</v>
      </c>
      <c r="F39" s="4" t="s">
        <v>12</v>
      </c>
      <c r="G39" s="4">
        <v>0</v>
      </c>
      <c r="H39" s="4" t="s">
        <v>253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</row>
    <row r="40" spans="1:40" x14ac:dyDescent="0.3">
      <c r="A40" s="38" t="s">
        <v>336</v>
      </c>
      <c r="B40" s="39" t="s">
        <v>337</v>
      </c>
      <c r="C40" s="39" t="s">
        <v>121</v>
      </c>
      <c r="D40" s="39" t="s">
        <v>253</v>
      </c>
      <c r="E40" s="39" t="s">
        <v>83</v>
      </c>
      <c r="F40" s="39" t="s">
        <v>12</v>
      </c>
      <c r="G40" s="39">
        <v>0</v>
      </c>
      <c r="H40" s="39" t="s">
        <v>253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</row>
    <row r="41" spans="1:40" x14ac:dyDescent="0.3">
      <c r="A41" s="38" t="s">
        <v>336</v>
      </c>
      <c r="B41" s="39" t="s">
        <v>337</v>
      </c>
      <c r="C41" s="39" t="s">
        <v>338</v>
      </c>
      <c r="D41" s="39" t="s">
        <v>339</v>
      </c>
      <c r="E41" s="39" t="s">
        <v>11</v>
      </c>
      <c r="F41" s="39" t="s">
        <v>12</v>
      </c>
      <c r="G41" s="39">
        <v>0</v>
      </c>
      <c r="H41" s="39" t="s">
        <v>253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</row>
    <row r="42" spans="1:40" x14ac:dyDescent="0.3">
      <c r="A42" s="36" t="s">
        <v>340</v>
      </c>
      <c r="B42" s="4" t="s">
        <v>341</v>
      </c>
      <c r="C42" s="4" t="s">
        <v>19</v>
      </c>
      <c r="D42" s="4" t="s">
        <v>253</v>
      </c>
      <c r="E42" s="4" t="s">
        <v>83</v>
      </c>
      <c r="F42" s="4" t="s">
        <v>12</v>
      </c>
      <c r="G42" s="4">
        <v>0</v>
      </c>
      <c r="H42" s="4" t="s">
        <v>253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</row>
    <row r="43" spans="1:40" x14ac:dyDescent="0.3">
      <c r="A43" s="36" t="s">
        <v>340</v>
      </c>
      <c r="B43" s="4" t="s">
        <v>341</v>
      </c>
      <c r="C43" s="4" t="s">
        <v>342</v>
      </c>
      <c r="D43" s="4" t="s">
        <v>343</v>
      </c>
      <c r="E43" s="4" t="s">
        <v>11</v>
      </c>
      <c r="F43" s="4" t="s">
        <v>12</v>
      </c>
      <c r="G43" s="4">
        <v>0</v>
      </c>
      <c r="H43" s="4" t="s">
        <v>253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</row>
    <row r="44" spans="1:40" x14ac:dyDescent="0.3">
      <c r="A44" s="38" t="s">
        <v>344</v>
      </c>
      <c r="B44" s="39" t="s">
        <v>345</v>
      </c>
      <c r="C44" s="39" t="s">
        <v>23</v>
      </c>
      <c r="D44" s="39" t="s">
        <v>253</v>
      </c>
      <c r="E44" s="39" t="s">
        <v>83</v>
      </c>
      <c r="F44" s="39" t="s">
        <v>12</v>
      </c>
      <c r="G44" s="39">
        <v>0</v>
      </c>
      <c r="H44" s="39" t="s">
        <v>253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</row>
    <row r="45" spans="1:40" x14ac:dyDescent="0.3">
      <c r="A45" s="38" t="s">
        <v>344</v>
      </c>
      <c r="B45" s="39" t="s">
        <v>345</v>
      </c>
      <c r="C45" s="39" t="s">
        <v>346</v>
      </c>
      <c r="D45" s="39" t="s">
        <v>347</v>
      </c>
      <c r="E45" s="39" t="s">
        <v>11</v>
      </c>
      <c r="F45" s="39" t="s">
        <v>12</v>
      </c>
      <c r="G45" s="39">
        <v>0</v>
      </c>
      <c r="H45" s="39" t="s">
        <v>253</v>
      </c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</row>
    <row r="46" spans="1:40" x14ac:dyDescent="0.3">
      <c r="A46" s="36" t="s">
        <v>348</v>
      </c>
      <c r="B46" s="4" t="s">
        <v>349</v>
      </c>
      <c r="C46" s="4" t="s">
        <v>27</v>
      </c>
      <c r="D46" s="4" t="s">
        <v>253</v>
      </c>
      <c r="E46" s="4" t="s">
        <v>83</v>
      </c>
      <c r="F46" s="4" t="s">
        <v>12</v>
      </c>
      <c r="G46" s="4">
        <v>0</v>
      </c>
      <c r="H46" s="4" t="s">
        <v>253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</row>
    <row r="47" spans="1:40" x14ac:dyDescent="0.3">
      <c r="A47" s="36" t="s">
        <v>348</v>
      </c>
      <c r="B47" s="4" t="s">
        <v>349</v>
      </c>
      <c r="C47" s="4" t="s">
        <v>350</v>
      </c>
      <c r="D47" s="4" t="s">
        <v>351</v>
      </c>
      <c r="E47" s="4" t="s">
        <v>11</v>
      </c>
      <c r="F47" s="4" t="s">
        <v>12</v>
      </c>
      <c r="G47" s="4">
        <v>0</v>
      </c>
      <c r="H47" s="4" t="s">
        <v>253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</row>
    <row r="48" spans="1:40" x14ac:dyDescent="0.3">
      <c r="A48" s="38" t="s">
        <v>352</v>
      </c>
      <c r="B48" s="39" t="s">
        <v>353</v>
      </c>
      <c r="C48" s="39" t="s">
        <v>78</v>
      </c>
      <c r="D48" s="39" t="s">
        <v>253</v>
      </c>
      <c r="E48" s="39" t="s">
        <v>83</v>
      </c>
      <c r="F48" s="39" t="s">
        <v>12</v>
      </c>
      <c r="G48" s="39">
        <v>0</v>
      </c>
      <c r="H48" s="39" t="s">
        <v>253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spans="1:40" x14ac:dyDescent="0.3">
      <c r="A49" s="38" t="s">
        <v>352</v>
      </c>
      <c r="B49" s="39" t="s">
        <v>353</v>
      </c>
      <c r="C49" s="39" t="s">
        <v>354</v>
      </c>
      <c r="D49" s="39" t="s">
        <v>355</v>
      </c>
      <c r="E49" s="39" t="s">
        <v>11</v>
      </c>
      <c r="F49" s="39" t="s">
        <v>12</v>
      </c>
      <c r="G49" s="39">
        <v>0</v>
      </c>
      <c r="H49" s="39" t="s">
        <v>253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spans="1:40" x14ac:dyDescent="0.3">
      <c r="A50" s="36" t="s">
        <v>356</v>
      </c>
      <c r="B50" s="4" t="s">
        <v>357</v>
      </c>
      <c r="C50" s="4" t="s">
        <v>15</v>
      </c>
      <c r="D50" s="4" t="s">
        <v>253</v>
      </c>
      <c r="E50" s="4" t="s">
        <v>83</v>
      </c>
      <c r="F50" s="4" t="s">
        <v>12</v>
      </c>
      <c r="G50" s="4">
        <v>0</v>
      </c>
      <c r="H50" s="4" t="s">
        <v>253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spans="1:40" x14ac:dyDescent="0.3">
      <c r="A51" s="36" t="s">
        <v>356</v>
      </c>
      <c r="B51" s="4" t="s">
        <v>357</v>
      </c>
      <c r="C51" s="4" t="s">
        <v>358</v>
      </c>
      <c r="D51" s="4" t="s">
        <v>359</v>
      </c>
      <c r="E51" s="4" t="s">
        <v>11</v>
      </c>
      <c r="F51" s="4" t="s">
        <v>12</v>
      </c>
      <c r="G51" s="4">
        <v>0</v>
      </c>
      <c r="H51" s="4" t="s">
        <v>253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94"/>
  <sheetViews>
    <sheetView topLeftCell="A82" zoomScale="130" zoomScaleNormal="130" workbookViewId="0">
      <selection activeCell="A93" sqref="A93:H94"/>
    </sheetView>
  </sheetViews>
  <sheetFormatPr defaultColWidth="8.88671875" defaultRowHeight="14.4" x14ac:dyDescent="0.3"/>
  <cols>
    <col min="1" max="1" width="14.44140625" bestFit="1" customWidth="1"/>
    <col min="2" max="2" width="34.44140625" bestFit="1" customWidth="1"/>
    <col min="3" max="3" width="13.5546875" bestFit="1" customWidth="1"/>
    <col min="4" max="4" width="10.6640625" bestFit="1" customWidth="1"/>
    <col min="6" max="6" width="16.109375" bestFit="1" customWidth="1"/>
    <col min="7" max="7" width="20.33203125" bestFit="1" customWidth="1"/>
    <col min="8" max="33" width="5" bestFit="1" customWidth="1"/>
  </cols>
  <sheetData>
    <row r="1" spans="1:33" x14ac:dyDescent="0.3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>
        <v>2018</v>
      </c>
      <c r="I1" s="34">
        <v>2019</v>
      </c>
      <c r="J1" s="35">
        <v>2027</v>
      </c>
      <c r="K1" s="35">
        <v>2028</v>
      </c>
      <c r="L1" s="35">
        <v>2029</v>
      </c>
      <c r="M1" s="35">
        <v>2030</v>
      </c>
      <c r="N1" s="35">
        <v>2031</v>
      </c>
      <c r="O1" s="35">
        <v>2032</v>
      </c>
      <c r="P1" s="35">
        <v>2033</v>
      </c>
      <c r="Q1" s="35">
        <v>2034</v>
      </c>
      <c r="R1" s="35">
        <v>2035</v>
      </c>
      <c r="S1" s="35">
        <v>2036</v>
      </c>
      <c r="T1" s="35">
        <v>2037</v>
      </c>
      <c r="U1" s="35">
        <v>2038</v>
      </c>
      <c r="V1" s="35">
        <v>2039</v>
      </c>
      <c r="W1" s="35">
        <v>2040</v>
      </c>
      <c r="X1" s="35">
        <v>2041</v>
      </c>
      <c r="Y1" s="35">
        <v>2042</v>
      </c>
      <c r="Z1" s="35">
        <v>2043</v>
      </c>
      <c r="AA1" s="35">
        <v>2044</v>
      </c>
      <c r="AB1" s="35">
        <v>2045</v>
      </c>
      <c r="AC1" s="35">
        <v>2046</v>
      </c>
      <c r="AD1" s="35">
        <v>2047</v>
      </c>
      <c r="AE1" s="35">
        <v>2048</v>
      </c>
      <c r="AF1" s="35">
        <v>2049</v>
      </c>
      <c r="AG1" s="35">
        <v>2050</v>
      </c>
    </row>
    <row r="2" spans="1:33" x14ac:dyDescent="0.3">
      <c r="A2" s="36" t="s">
        <v>360</v>
      </c>
      <c r="B2" s="40" t="s">
        <v>361</v>
      </c>
      <c r="C2" s="40" t="s">
        <v>262</v>
      </c>
      <c r="D2" s="40" t="s">
        <v>253</v>
      </c>
      <c r="E2" s="40" t="s">
        <v>83</v>
      </c>
      <c r="F2" s="40" t="s">
        <v>12</v>
      </c>
      <c r="G2" s="40">
        <v>0</v>
      </c>
      <c r="H2" s="40" t="s">
        <v>253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</row>
    <row r="3" spans="1:33" x14ac:dyDescent="0.3">
      <c r="A3" s="36" t="s">
        <v>360</v>
      </c>
      <c r="B3" s="4" t="s">
        <v>361</v>
      </c>
      <c r="C3" s="4" t="s">
        <v>362</v>
      </c>
      <c r="D3" s="4" t="s">
        <v>253</v>
      </c>
      <c r="E3" s="4" t="s">
        <v>11</v>
      </c>
      <c r="F3" s="4" t="s">
        <v>12</v>
      </c>
      <c r="G3" s="4">
        <v>0</v>
      </c>
      <c r="H3" s="4" t="s">
        <v>253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</row>
    <row r="4" spans="1:33" x14ac:dyDescent="0.3">
      <c r="A4" s="38" t="s">
        <v>363</v>
      </c>
      <c r="B4" s="39" t="s">
        <v>364</v>
      </c>
      <c r="C4" s="39" t="s">
        <v>266</v>
      </c>
      <c r="D4" s="39" t="s">
        <v>253</v>
      </c>
      <c r="E4" s="39" t="s">
        <v>83</v>
      </c>
      <c r="F4" s="39" t="s">
        <v>12</v>
      </c>
      <c r="G4" s="39">
        <v>0</v>
      </c>
      <c r="H4" s="39" t="s">
        <v>253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</row>
    <row r="5" spans="1:33" x14ac:dyDescent="0.3">
      <c r="A5" s="38" t="s">
        <v>363</v>
      </c>
      <c r="B5" s="39" t="s">
        <v>364</v>
      </c>
      <c r="C5" s="39" t="s">
        <v>362</v>
      </c>
      <c r="D5" s="39" t="s">
        <v>253</v>
      </c>
      <c r="E5" s="39" t="s">
        <v>11</v>
      </c>
      <c r="F5" s="39" t="s">
        <v>12</v>
      </c>
      <c r="G5" s="39">
        <v>0</v>
      </c>
      <c r="H5" s="39" t="s">
        <v>253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</row>
    <row r="6" spans="1:33" x14ac:dyDescent="0.3">
      <c r="A6" s="36" t="s">
        <v>365</v>
      </c>
      <c r="B6" s="4" t="s">
        <v>366</v>
      </c>
      <c r="C6" s="4" t="s">
        <v>270</v>
      </c>
      <c r="D6" s="4" t="s">
        <v>253</v>
      </c>
      <c r="E6" s="4" t="s">
        <v>83</v>
      </c>
      <c r="F6" s="4" t="s">
        <v>12</v>
      </c>
      <c r="G6" s="4">
        <v>0</v>
      </c>
      <c r="H6" s="4" t="s">
        <v>253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</row>
    <row r="7" spans="1:33" x14ac:dyDescent="0.3">
      <c r="A7" s="36" t="s">
        <v>365</v>
      </c>
      <c r="B7" s="4" t="s">
        <v>366</v>
      </c>
      <c r="C7" s="4" t="s">
        <v>362</v>
      </c>
      <c r="D7" s="4" t="s">
        <v>253</v>
      </c>
      <c r="E7" s="4" t="s">
        <v>11</v>
      </c>
      <c r="F7" s="4" t="s">
        <v>12</v>
      </c>
      <c r="G7" s="4">
        <v>0</v>
      </c>
      <c r="H7" s="4" t="s">
        <v>253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</row>
    <row r="8" spans="1:33" x14ac:dyDescent="0.3">
      <c r="A8" s="38" t="s">
        <v>367</v>
      </c>
      <c r="B8" s="39" t="s">
        <v>368</v>
      </c>
      <c r="C8" s="39" t="s">
        <v>274</v>
      </c>
      <c r="D8" s="39" t="s">
        <v>253</v>
      </c>
      <c r="E8" s="39" t="s">
        <v>83</v>
      </c>
      <c r="F8" s="39" t="s">
        <v>12</v>
      </c>
      <c r="G8" s="39">
        <v>0</v>
      </c>
      <c r="H8" s="39" t="s">
        <v>253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x14ac:dyDescent="0.3">
      <c r="A9" s="38" t="s">
        <v>367</v>
      </c>
      <c r="B9" s="39" t="s">
        <v>368</v>
      </c>
      <c r="C9" s="39" t="s">
        <v>362</v>
      </c>
      <c r="D9" s="39" t="s">
        <v>253</v>
      </c>
      <c r="E9" s="39" t="s">
        <v>11</v>
      </c>
      <c r="F9" s="39" t="s">
        <v>12</v>
      </c>
      <c r="G9" s="39">
        <v>0</v>
      </c>
      <c r="H9" s="39" t="s">
        <v>253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x14ac:dyDescent="0.3">
      <c r="A10" s="36" t="s">
        <v>369</v>
      </c>
      <c r="B10" s="4" t="s">
        <v>370</v>
      </c>
      <c r="C10" s="4" t="s">
        <v>266</v>
      </c>
      <c r="D10" s="4" t="s">
        <v>253</v>
      </c>
      <c r="E10" s="4" t="s">
        <v>83</v>
      </c>
      <c r="F10" s="4" t="s">
        <v>12</v>
      </c>
      <c r="G10" s="4">
        <v>0</v>
      </c>
      <c r="H10" s="4" t="s">
        <v>253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x14ac:dyDescent="0.3">
      <c r="A11" s="36" t="s">
        <v>369</v>
      </c>
      <c r="B11" s="4" t="s">
        <v>370</v>
      </c>
      <c r="C11" s="4" t="s">
        <v>274</v>
      </c>
      <c r="D11" s="4" t="s">
        <v>253</v>
      </c>
      <c r="E11" s="4" t="s">
        <v>83</v>
      </c>
      <c r="F11" s="4" t="s">
        <v>12</v>
      </c>
      <c r="G11" s="4">
        <v>0</v>
      </c>
      <c r="H11" s="4" t="s">
        <v>253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x14ac:dyDescent="0.3">
      <c r="A12" s="36" t="s">
        <v>369</v>
      </c>
      <c r="B12" s="4" t="s">
        <v>370</v>
      </c>
      <c r="C12" s="4" t="s">
        <v>362</v>
      </c>
      <c r="D12" s="4" t="s">
        <v>253</v>
      </c>
      <c r="E12" s="4" t="s">
        <v>11</v>
      </c>
      <c r="F12" s="4" t="s">
        <v>12</v>
      </c>
      <c r="G12" s="4">
        <v>0</v>
      </c>
      <c r="H12" s="4" t="s">
        <v>253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3" spans="1:33" x14ac:dyDescent="0.3">
      <c r="A13" s="38" t="s">
        <v>371</v>
      </c>
      <c r="B13" s="39" t="s">
        <v>372</v>
      </c>
      <c r="C13" s="39" t="s">
        <v>266</v>
      </c>
      <c r="D13" s="39" t="s">
        <v>253</v>
      </c>
      <c r="E13" s="39" t="s">
        <v>83</v>
      </c>
      <c r="F13" s="39" t="s">
        <v>12</v>
      </c>
      <c r="G13" s="39">
        <v>0</v>
      </c>
      <c r="H13" s="39" t="s">
        <v>253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</row>
    <row r="14" spans="1:33" x14ac:dyDescent="0.3">
      <c r="A14" s="38" t="s">
        <v>371</v>
      </c>
      <c r="B14" s="39" t="s">
        <v>372</v>
      </c>
      <c r="C14" s="39" t="s">
        <v>373</v>
      </c>
      <c r="D14" s="39" t="s">
        <v>253</v>
      </c>
      <c r="E14" s="39" t="s">
        <v>11</v>
      </c>
      <c r="F14" s="39" t="s">
        <v>12</v>
      </c>
      <c r="G14" s="39">
        <v>0</v>
      </c>
      <c r="H14" s="39" t="s">
        <v>253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  <row r="15" spans="1:33" x14ac:dyDescent="0.3">
      <c r="A15" s="36" t="s">
        <v>374</v>
      </c>
      <c r="B15" s="4" t="s">
        <v>375</v>
      </c>
      <c r="C15" s="4" t="s">
        <v>270</v>
      </c>
      <c r="D15" s="4" t="s">
        <v>253</v>
      </c>
      <c r="E15" s="4" t="s">
        <v>83</v>
      </c>
      <c r="F15" s="4" t="s">
        <v>12</v>
      </c>
      <c r="G15" s="4">
        <v>0</v>
      </c>
      <c r="H15" s="4" t="s">
        <v>253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3" x14ac:dyDescent="0.3">
      <c r="A16" s="36" t="s">
        <v>374</v>
      </c>
      <c r="B16" s="4" t="s">
        <v>375</v>
      </c>
      <c r="C16" s="4" t="s">
        <v>373</v>
      </c>
      <c r="D16" s="4" t="s">
        <v>253</v>
      </c>
      <c r="E16" s="4" t="s">
        <v>11</v>
      </c>
      <c r="F16" s="4" t="s">
        <v>12</v>
      </c>
      <c r="G16" s="4">
        <v>0</v>
      </c>
      <c r="H16" s="4" t="s">
        <v>253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 x14ac:dyDescent="0.3">
      <c r="A17" s="38" t="s">
        <v>376</v>
      </c>
      <c r="B17" s="39" t="s">
        <v>377</v>
      </c>
      <c r="C17" s="39" t="s">
        <v>274</v>
      </c>
      <c r="D17" s="39" t="s">
        <v>253</v>
      </c>
      <c r="E17" s="39" t="s">
        <v>83</v>
      </c>
      <c r="F17" s="39" t="s">
        <v>12</v>
      </c>
      <c r="G17" s="39">
        <v>0</v>
      </c>
      <c r="H17" s="39" t="s">
        <v>253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  <row r="18" spans="1:33" x14ac:dyDescent="0.3">
      <c r="A18" s="38" t="s">
        <v>376</v>
      </c>
      <c r="B18" s="39" t="s">
        <v>377</v>
      </c>
      <c r="C18" s="39" t="s">
        <v>373</v>
      </c>
      <c r="D18" s="39" t="s">
        <v>253</v>
      </c>
      <c r="E18" s="39" t="s">
        <v>11</v>
      </c>
      <c r="F18" s="39" t="s">
        <v>12</v>
      </c>
      <c r="G18" s="39">
        <v>0</v>
      </c>
      <c r="H18" s="39" t="s">
        <v>253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</row>
    <row r="19" spans="1:33" x14ac:dyDescent="0.3">
      <c r="A19" s="36" t="s">
        <v>378</v>
      </c>
      <c r="B19" s="4" t="s">
        <v>379</v>
      </c>
      <c r="C19" s="4" t="s">
        <v>266</v>
      </c>
      <c r="D19" s="4" t="s">
        <v>253</v>
      </c>
      <c r="E19" s="4" t="s">
        <v>83</v>
      </c>
      <c r="F19" s="4" t="s">
        <v>12</v>
      </c>
      <c r="G19" s="4">
        <v>0</v>
      </c>
      <c r="H19" s="4" t="s">
        <v>253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</row>
    <row r="20" spans="1:33" x14ac:dyDescent="0.3">
      <c r="A20" s="36" t="s">
        <v>378</v>
      </c>
      <c r="B20" s="4" t="s">
        <v>379</v>
      </c>
      <c r="C20" s="4" t="s">
        <v>380</v>
      </c>
      <c r="D20" s="4" t="s">
        <v>253</v>
      </c>
      <c r="E20" s="4" t="s">
        <v>11</v>
      </c>
      <c r="F20" s="4" t="s">
        <v>12</v>
      </c>
      <c r="G20" s="4">
        <v>0</v>
      </c>
      <c r="H20" s="4" t="s">
        <v>253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</row>
    <row r="21" spans="1:33" x14ac:dyDescent="0.3">
      <c r="A21" s="38" t="s">
        <v>381</v>
      </c>
      <c r="B21" s="39" t="s">
        <v>382</v>
      </c>
      <c r="C21" s="39" t="s">
        <v>274</v>
      </c>
      <c r="D21" s="39" t="s">
        <v>253</v>
      </c>
      <c r="E21" s="39" t="s">
        <v>83</v>
      </c>
      <c r="F21" s="39" t="s">
        <v>12</v>
      </c>
      <c r="G21" s="39">
        <v>0</v>
      </c>
      <c r="H21" s="39" t="s">
        <v>253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</row>
    <row r="22" spans="1:33" x14ac:dyDescent="0.3">
      <c r="A22" s="38" t="s">
        <v>381</v>
      </c>
      <c r="B22" s="39" t="s">
        <v>382</v>
      </c>
      <c r="C22" s="39" t="s">
        <v>380</v>
      </c>
      <c r="D22" s="39" t="s">
        <v>253</v>
      </c>
      <c r="E22" s="39" t="s">
        <v>11</v>
      </c>
      <c r="F22" s="39" t="s">
        <v>12</v>
      </c>
      <c r="G22" s="39">
        <v>0</v>
      </c>
      <c r="H22" s="39" t="s">
        <v>253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</row>
    <row r="23" spans="1:33" x14ac:dyDescent="0.3">
      <c r="A23" s="36" t="s">
        <v>383</v>
      </c>
      <c r="B23" s="4" t="s">
        <v>384</v>
      </c>
      <c r="C23" s="4" t="s">
        <v>262</v>
      </c>
      <c r="D23" s="4" t="s">
        <v>253</v>
      </c>
      <c r="E23" s="4" t="s">
        <v>83</v>
      </c>
      <c r="F23" s="4" t="s">
        <v>12</v>
      </c>
      <c r="G23" s="4">
        <v>0</v>
      </c>
      <c r="H23" s="4" t="s">
        <v>253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</row>
    <row r="24" spans="1:33" x14ac:dyDescent="0.3">
      <c r="A24" s="36" t="s">
        <v>383</v>
      </c>
      <c r="B24" s="4" t="s">
        <v>384</v>
      </c>
      <c r="C24" s="4" t="s">
        <v>385</v>
      </c>
      <c r="D24" s="4" t="s">
        <v>253</v>
      </c>
      <c r="E24" s="4" t="s">
        <v>11</v>
      </c>
      <c r="F24" s="4" t="s">
        <v>12</v>
      </c>
      <c r="G24" s="4">
        <v>0</v>
      </c>
      <c r="H24" s="4" t="s">
        <v>253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</row>
    <row r="25" spans="1:33" x14ac:dyDescent="0.3">
      <c r="A25" s="38" t="s">
        <v>386</v>
      </c>
      <c r="B25" s="39" t="s">
        <v>387</v>
      </c>
      <c r="C25" s="39" t="s">
        <v>266</v>
      </c>
      <c r="D25" s="39" t="s">
        <v>253</v>
      </c>
      <c r="E25" s="39" t="s">
        <v>83</v>
      </c>
      <c r="F25" s="39" t="s">
        <v>12</v>
      </c>
      <c r="G25" s="39">
        <v>0</v>
      </c>
      <c r="H25" s="39" t="s">
        <v>253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</row>
    <row r="26" spans="1:33" x14ac:dyDescent="0.3">
      <c r="A26" s="38" t="s">
        <v>386</v>
      </c>
      <c r="B26" s="39" t="s">
        <v>387</v>
      </c>
      <c r="C26" s="39" t="s">
        <v>385</v>
      </c>
      <c r="D26" s="39" t="s">
        <v>253</v>
      </c>
      <c r="E26" s="39" t="s">
        <v>11</v>
      </c>
      <c r="F26" s="39" t="s">
        <v>12</v>
      </c>
      <c r="G26" s="39">
        <v>0</v>
      </c>
      <c r="H26" s="39" t="s">
        <v>253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</row>
    <row r="27" spans="1:33" x14ac:dyDescent="0.3">
      <c r="A27" s="36" t="s">
        <v>388</v>
      </c>
      <c r="B27" s="4" t="s">
        <v>389</v>
      </c>
      <c r="C27" s="4" t="s">
        <v>270</v>
      </c>
      <c r="D27" s="4" t="s">
        <v>253</v>
      </c>
      <c r="E27" s="4" t="s">
        <v>83</v>
      </c>
      <c r="F27" s="4" t="s">
        <v>12</v>
      </c>
      <c r="G27" s="4">
        <v>0</v>
      </c>
      <c r="H27" s="4" t="s">
        <v>253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</row>
    <row r="28" spans="1:33" x14ac:dyDescent="0.3">
      <c r="A28" s="36" t="s">
        <v>388</v>
      </c>
      <c r="B28" s="4" t="s">
        <v>389</v>
      </c>
      <c r="C28" s="4" t="s">
        <v>385</v>
      </c>
      <c r="D28" s="4" t="s">
        <v>253</v>
      </c>
      <c r="E28" s="4" t="s">
        <v>11</v>
      </c>
      <c r="F28" s="4" t="s">
        <v>12</v>
      </c>
      <c r="G28" s="4">
        <v>0</v>
      </c>
      <c r="H28" s="4" t="s">
        <v>253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</row>
    <row r="29" spans="1:33" x14ac:dyDescent="0.3">
      <c r="A29" s="38" t="s">
        <v>390</v>
      </c>
      <c r="B29" s="39" t="s">
        <v>391</v>
      </c>
      <c r="C29" s="39" t="s">
        <v>274</v>
      </c>
      <c r="D29" s="39" t="s">
        <v>253</v>
      </c>
      <c r="E29" s="39" t="s">
        <v>83</v>
      </c>
      <c r="F29" s="39" t="s">
        <v>12</v>
      </c>
      <c r="G29" s="39">
        <v>0</v>
      </c>
      <c r="H29" s="39" t="s">
        <v>253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0" spans="1:33" x14ac:dyDescent="0.3">
      <c r="A30" s="38" t="s">
        <v>390</v>
      </c>
      <c r="B30" s="39" t="s">
        <v>391</v>
      </c>
      <c r="C30" s="39" t="s">
        <v>385</v>
      </c>
      <c r="D30" s="39" t="s">
        <v>253</v>
      </c>
      <c r="E30" s="39" t="s">
        <v>11</v>
      </c>
      <c r="F30" s="39" t="s">
        <v>12</v>
      </c>
      <c r="G30" s="39">
        <v>0</v>
      </c>
      <c r="H30" s="39" t="s">
        <v>253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</row>
    <row r="31" spans="1:33" x14ac:dyDescent="0.3">
      <c r="A31" s="36" t="s">
        <v>392</v>
      </c>
      <c r="B31" s="4" t="s">
        <v>393</v>
      </c>
      <c r="C31" s="4" t="s">
        <v>290</v>
      </c>
      <c r="D31" s="4" t="s">
        <v>253</v>
      </c>
      <c r="E31" s="4" t="s">
        <v>83</v>
      </c>
      <c r="F31" s="4" t="s">
        <v>12</v>
      </c>
      <c r="G31" s="4">
        <v>0</v>
      </c>
      <c r="H31" s="4" t="s">
        <v>253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</row>
    <row r="32" spans="1:33" x14ac:dyDescent="0.3">
      <c r="A32" s="36" t="s">
        <v>392</v>
      </c>
      <c r="B32" s="4" t="s">
        <v>393</v>
      </c>
      <c r="C32" s="4" t="s">
        <v>385</v>
      </c>
      <c r="D32" s="4" t="s">
        <v>253</v>
      </c>
      <c r="E32" s="4" t="s">
        <v>11</v>
      </c>
      <c r="F32" s="4" t="s">
        <v>12</v>
      </c>
      <c r="G32" s="4">
        <v>0</v>
      </c>
      <c r="H32" s="4" t="s">
        <v>253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</row>
    <row r="33" spans="1:33" x14ac:dyDescent="0.3">
      <c r="A33" s="38" t="s">
        <v>394</v>
      </c>
      <c r="B33" s="39" t="s">
        <v>395</v>
      </c>
      <c r="C33" s="39" t="s">
        <v>294</v>
      </c>
      <c r="D33" s="39" t="s">
        <v>253</v>
      </c>
      <c r="E33" s="39" t="s">
        <v>83</v>
      </c>
      <c r="F33" s="39" t="s">
        <v>12</v>
      </c>
      <c r="G33" s="39">
        <v>0</v>
      </c>
      <c r="H33" s="39" t="s">
        <v>253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</row>
    <row r="34" spans="1:33" x14ac:dyDescent="0.3">
      <c r="A34" s="38" t="s">
        <v>394</v>
      </c>
      <c r="B34" s="39" t="s">
        <v>395</v>
      </c>
      <c r="C34" s="39" t="s">
        <v>396</v>
      </c>
      <c r="D34" s="39" t="s">
        <v>253</v>
      </c>
      <c r="E34" s="39" t="s">
        <v>11</v>
      </c>
      <c r="F34" s="39" t="s">
        <v>12</v>
      </c>
      <c r="G34" s="39">
        <v>0</v>
      </c>
      <c r="H34" s="39" t="s">
        <v>253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</row>
    <row r="35" spans="1:33" x14ac:dyDescent="0.3">
      <c r="A35" s="36" t="s">
        <v>397</v>
      </c>
      <c r="B35" s="4" t="s">
        <v>398</v>
      </c>
      <c r="C35" s="4" t="s">
        <v>278</v>
      </c>
      <c r="D35" s="4" t="s">
        <v>253</v>
      </c>
      <c r="E35" s="4" t="s">
        <v>83</v>
      </c>
      <c r="F35" s="4" t="s">
        <v>12</v>
      </c>
      <c r="G35" s="4">
        <v>0</v>
      </c>
      <c r="H35" s="4" t="s">
        <v>253</v>
      </c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</row>
    <row r="36" spans="1:33" x14ac:dyDescent="0.3">
      <c r="A36" s="36" t="s">
        <v>397</v>
      </c>
      <c r="B36" s="4" t="s">
        <v>398</v>
      </c>
      <c r="C36" s="4" t="s">
        <v>396</v>
      </c>
      <c r="D36" s="4" t="s">
        <v>253</v>
      </c>
      <c r="E36" s="4" t="s">
        <v>11</v>
      </c>
      <c r="F36" s="4" t="s">
        <v>12</v>
      </c>
      <c r="G36" s="4">
        <v>0</v>
      </c>
      <c r="H36" s="4" t="s">
        <v>253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</row>
    <row r="37" spans="1:33" x14ac:dyDescent="0.3">
      <c r="A37" s="38" t="s">
        <v>399</v>
      </c>
      <c r="B37" s="39" t="s">
        <v>400</v>
      </c>
      <c r="C37" s="39" t="s">
        <v>282</v>
      </c>
      <c r="D37" s="39" t="s">
        <v>253</v>
      </c>
      <c r="E37" s="39" t="s">
        <v>83</v>
      </c>
      <c r="F37" s="39" t="s">
        <v>12</v>
      </c>
      <c r="G37" s="39">
        <v>0</v>
      </c>
      <c r="H37" s="39" t="s">
        <v>253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</row>
    <row r="38" spans="1:33" x14ac:dyDescent="0.3">
      <c r="A38" s="38" t="s">
        <v>399</v>
      </c>
      <c r="B38" s="39" t="s">
        <v>400</v>
      </c>
      <c r="C38" s="39" t="s">
        <v>396</v>
      </c>
      <c r="D38" s="39" t="s">
        <v>253</v>
      </c>
      <c r="E38" s="39" t="s">
        <v>11</v>
      </c>
      <c r="F38" s="39" t="s">
        <v>12</v>
      </c>
      <c r="G38" s="39">
        <v>0</v>
      </c>
      <c r="H38" s="39" t="s">
        <v>253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</row>
    <row r="39" spans="1:33" x14ac:dyDescent="0.3">
      <c r="A39" s="36" t="s">
        <v>401</v>
      </c>
      <c r="B39" s="4" t="s">
        <v>402</v>
      </c>
      <c r="C39" s="4" t="s">
        <v>286</v>
      </c>
      <c r="D39" s="4" t="s">
        <v>253</v>
      </c>
      <c r="E39" s="4" t="s">
        <v>83</v>
      </c>
      <c r="F39" s="4" t="s">
        <v>12</v>
      </c>
      <c r="G39" s="4">
        <v>0</v>
      </c>
      <c r="H39" s="4" t="s">
        <v>253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</row>
    <row r="40" spans="1:33" x14ac:dyDescent="0.3">
      <c r="A40" s="36" t="s">
        <v>401</v>
      </c>
      <c r="B40" s="4" t="s">
        <v>402</v>
      </c>
      <c r="C40" s="4" t="s">
        <v>396</v>
      </c>
      <c r="D40" s="4" t="s">
        <v>253</v>
      </c>
      <c r="E40" s="4" t="s">
        <v>11</v>
      </c>
      <c r="F40" s="4" t="s">
        <v>12</v>
      </c>
      <c r="G40" s="4">
        <v>0</v>
      </c>
      <c r="H40" s="4" t="s">
        <v>253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</row>
    <row r="41" spans="1:33" x14ac:dyDescent="0.3">
      <c r="A41" s="38" t="s">
        <v>403</v>
      </c>
      <c r="B41" s="39" t="s">
        <v>404</v>
      </c>
      <c r="C41" s="39" t="s">
        <v>298</v>
      </c>
      <c r="D41" s="39" t="s">
        <v>253</v>
      </c>
      <c r="E41" s="39" t="s">
        <v>83</v>
      </c>
      <c r="F41" s="39" t="s">
        <v>12</v>
      </c>
      <c r="G41" s="39">
        <v>0</v>
      </c>
      <c r="H41" s="39" t="s">
        <v>253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</row>
    <row r="42" spans="1:33" x14ac:dyDescent="0.3">
      <c r="A42" s="38" t="s">
        <v>403</v>
      </c>
      <c r="B42" s="39" t="s">
        <v>404</v>
      </c>
      <c r="C42" s="39" t="s">
        <v>396</v>
      </c>
      <c r="D42" s="39" t="s">
        <v>253</v>
      </c>
      <c r="E42" s="39" t="s">
        <v>11</v>
      </c>
      <c r="F42" s="39" t="s">
        <v>12</v>
      </c>
      <c r="G42" s="39">
        <v>0</v>
      </c>
      <c r="H42" s="39" t="s">
        <v>253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</row>
    <row r="43" spans="1:33" x14ac:dyDescent="0.3">
      <c r="A43" s="36" t="s">
        <v>405</v>
      </c>
      <c r="B43" s="4" t="s">
        <v>406</v>
      </c>
      <c r="C43" s="4" t="s">
        <v>302</v>
      </c>
      <c r="D43" s="4" t="s">
        <v>253</v>
      </c>
      <c r="E43" s="4" t="s">
        <v>83</v>
      </c>
      <c r="F43" s="4" t="s">
        <v>12</v>
      </c>
      <c r="G43" s="4">
        <v>0</v>
      </c>
      <c r="H43" s="4" t="s">
        <v>253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</row>
    <row r="44" spans="1:33" x14ac:dyDescent="0.3">
      <c r="A44" s="36" t="s">
        <v>405</v>
      </c>
      <c r="B44" s="4" t="s">
        <v>406</v>
      </c>
      <c r="C44" s="4" t="s">
        <v>407</v>
      </c>
      <c r="D44" s="4" t="s">
        <v>253</v>
      </c>
      <c r="E44" s="4" t="s">
        <v>11</v>
      </c>
      <c r="F44" s="4" t="s">
        <v>12</v>
      </c>
      <c r="G44" s="4">
        <v>0</v>
      </c>
      <c r="H44" s="4" t="s">
        <v>253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</row>
    <row r="45" spans="1:33" x14ac:dyDescent="0.3">
      <c r="A45" s="38" t="s">
        <v>408</v>
      </c>
      <c r="B45" s="39" t="s">
        <v>409</v>
      </c>
      <c r="C45" s="39" t="s">
        <v>306</v>
      </c>
      <c r="D45" s="39" t="s">
        <v>253</v>
      </c>
      <c r="E45" s="39" t="s">
        <v>83</v>
      </c>
      <c r="F45" s="39" t="s">
        <v>12</v>
      </c>
      <c r="G45" s="39">
        <v>0</v>
      </c>
      <c r="H45" s="39" t="s">
        <v>253</v>
      </c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</row>
    <row r="46" spans="1:33" x14ac:dyDescent="0.3">
      <c r="A46" s="38" t="s">
        <v>408</v>
      </c>
      <c r="B46" s="39" t="s">
        <v>409</v>
      </c>
      <c r="C46" s="39" t="s">
        <v>407</v>
      </c>
      <c r="D46" s="39" t="s">
        <v>253</v>
      </c>
      <c r="E46" s="39" t="s">
        <v>11</v>
      </c>
      <c r="F46" s="39" t="s">
        <v>12</v>
      </c>
      <c r="G46" s="39">
        <v>0</v>
      </c>
      <c r="H46" s="39" t="s">
        <v>253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</row>
    <row r="47" spans="1:33" x14ac:dyDescent="0.3">
      <c r="A47" s="36" t="s">
        <v>410</v>
      </c>
      <c r="B47" s="4" t="s">
        <v>411</v>
      </c>
      <c r="C47" s="4" t="s">
        <v>310</v>
      </c>
      <c r="D47" s="4" t="s">
        <v>253</v>
      </c>
      <c r="E47" s="4" t="s">
        <v>83</v>
      </c>
      <c r="F47" s="4" t="s">
        <v>12</v>
      </c>
      <c r="G47" s="4">
        <v>0</v>
      </c>
      <c r="H47" s="4" t="s">
        <v>253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</row>
    <row r="48" spans="1:33" x14ac:dyDescent="0.3">
      <c r="A48" s="36" t="s">
        <v>410</v>
      </c>
      <c r="B48" s="4" t="s">
        <v>411</v>
      </c>
      <c r="C48" s="4" t="s">
        <v>407</v>
      </c>
      <c r="D48" s="4" t="s">
        <v>253</v>
      </c>
      <c r="E48" s="4" t="s">
        <v>11</v>
      </c>
      <c r="F48" s="4" t="s">
        <v>12</v>
      </c>
      <c r="G48" s="4">
        <v>0</v>
      </c>
      <c r="H48" s="4" t="s">
        <v>253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</row>
    <row r="49" spans="1:33" x14ac:dyDescent="0.3">
      <c r="A49" s="38" t="s">
        <v>412</v>
      </c>
      <c r="B49" s="39" t="s">
        <v>413</v>
      </c>
      <c r="C49" s="39" t="s">
        <v>314</v>
      </c>
      <c r="D49" s="39" t="s">
        <v>253</v>
      </c>
      <c r="E49" s="39" t="s">
        <v>83</v>
      </c>
      <c r="F49" s="39" t="s">
        <v>12</v>
      </c>
      <c r="G49" s="39">
        <v>0</v>
      </c>
      <c r="H49" s="39" t="s">
        <v>253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</row>
    <row r="50" spans="1:33" x14ac:dyDescent="0.3">
      <c r="A50" s="38" t="s">
        <v>412</v>
      </c>
      <c r="B50" s="39" t="s">
        <v>413</v>
      </c>
      <c r="C50" s="39" t="s">
        <v>407</v>
      </c>
      <c r="D50" s="39" t="s">
        <v>253</v>
      </c>
      <c r="E50" s="39" t="s">
        <v>11</v>
      </c>
      <c r="F50" s="39" t="s">
        <v>12</v>
      </c>
      <c r="G50" s="39">
        <v>0</v>
      </c>
      <c r="H50" s="39" t="s">
        <v>253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</row>
    <row r="51" spans="1:33" x14ac:dyDescent="0.3">
      <c r="A51" s="36" t="s">
        <v>414</v>
      </c>
      <c r="B51" s="4" t="s">
        <v>415</v>
      </c>
      <c r="C51" s="4" t="s">
        <v>318</v>
      </c>
      <c r="D51" s="4" t="s">
        <v>253</v>
      </c>
      <c r="E51" s="4" t="s">
        <v>83</v>
      </c>
      <c r="F51" s="4" t="s">
        <v>12</v>
      </c>
      <c r="G51" s="4">
        <v>0</v>
      </c>
      <c r="H51" s="4" t="s">
        <v>253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</row>
    <row r="52" spans="1:33" x14ac:dyDescent="0.3">
      <c r="A52" s="36" t="s">
        <v>414</v>
      </c>
      <c r="B52" s="4" t="s">
        <v>415</v>
      </c>
      <c r="C52" s="4" t="s">
        <v>407</v>
      </c>
      <c r="D52" s="4" t="s">
        <v>253</v>
      </c>
      <c r="E52" s="4" t="s">
        <v>11</v>
      </c>
      <c r="F52" s="4" t="s">
        <v>12</v>
      </c>
      <c r="G52" s="4">
        <v>0</v>
      </c>
      <c r="H52" s="4" t="s">
        <v>253</v>
      </c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</row>
    <row r="53" spans="1:33" x14ac:dyDescent="0.3">
      <c r="A53" s="38" t="s">
        <v>416</v>
      </c>
      <c r="B53" s="39" t="s">
        <v>417</v>
      </c>
      <c r="C53" s="39" t="s">
        <v>294</v>
      </c>
      <c r="D53" s="39" t="s">
        <v>253</v>
      </c>
      <c r="E53" s="39" t="s">
        <v>83</v>
      </c>
      <c r="F53" s="39" t="s">
        <v>12</v>
      </c>
      <c r="G53" s="39">
        <v>0</v>
      </c>
      <c r="H53" s="39" t="s">
        <v>253</v>
      </c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</row>
    <row r="54" spans="1:33" x14ac:dyDescent="0.3">
      <c r="A54" s="38" t="s">
        <v>416</v>
      </c>
      <c r="B54" s="39" t="s">
        <v>417</v>
      </c>
      <c r="C54" s="39" t="s">
        <v>418</v>
      </c>
      <c r="D54" s="39" t="s">
        <v>253</v>
      </c>
      <c r="E54" s="39" t="s">
        <v>11</v>
      </c>
      <c r="F54" s="39" t="s">
        <v>12</v>
      </c>
      <c r="G54" s="39">
        <v>0</v>
      </c>
      <c r="H54" s="39" t="s">
        <v>253</v>
      </c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</row>
    <row r="55" spans="1:33" x14ac:dyDescent="0.3">
      <c r="A55" s="36" t="s">
        <v>419</v>
      </c>
      <c r="B55" s="4" t="s">
        <v>420</v>
      </c>
      <c r="C55" s="4" t="s">
        <v>278</v>
      </c>
      <c r="D55" s="4" t="s">
        <v>253</v>
      </c>
      <c r="E55" s="4" t="s">
        <v>83</v>
      </c>
      <c r="F55" s="4" t="s">
        <v>12</v>
      </c>
      <c r="G55" s="4">
        <v>0</v>
      </c>
      <c r="H55" s="4" t="s">
        <v>253</v>
      </c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</row>
    <row r="56" spans="1:33" x14ac:dyDescent="0.3">
      <c r="A56" s="36" t="s">
        <v>419</v>
      </c>
      <c r="B56" s="4" t="s">
        <v>420</v>
      </c>
      <c r="C56" s="4" t="s">
        <v>418</v>
      </c>
      <c r="D56" s="4" t="s">
        <v>253</v>
      </c>
      <c r="E56" s="4" t="s">
        <v>11</v>
      </c>
      <c r="F56" s="4" t="s">
        <v>12</v>
      </c>
      <c r="G56" s="4">
        <v>0</v>
      </c>
      <c r="H56" s="4" t="s">
        <v>253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</row>
    <row r="57" spans="1:33" x14ac:dyDescent="0.3">
      <c r="A57" s="38" t="s">
        <v>421</v>
      </c>
      <c r="B57" s="39" t="s">
        <v>422</v>
      </c>
      <c r="C57" s="39" t="s">
        <v>282</v>
      </c>
      <c r="D57" s="39" t="s">
        <v>253</v>
      </c>
      <c r="E57" s="39" t="s">
        <v>83</v>
      </c>
      <c r="F57" s="39" t="s">
        <v>12</v>
      </c>
      <c r="G57" s="39">
        <v>0</v>
      </c>
      <c r="H57" s="39" t="s">
        <v>253</v>
      </c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</row>
    <row r="58" spans="1:33" x14ac:dyDescent="0.3">
      <c r="A58" s="38" t="s">
        <v>421</v>
      </c>
      <c r="B58" s="39" t="s">
        <v>422</v>
      </c>
      <c r="C58" s="39" t="s">
        <v>418</v>
      </c>
      <c r="D58" s="39" t="s">
        <v>253</v>
      </c>
      <c r="E58" s="39" t="s">
        <v>11</v>
      </c>
      <c r="F58" s="39" t="s">
        <v>12</v>
      </c>
      <c r="G58" s="39">
        <v>0</v>
      </c>
      <c r="H58" s="39" t="s">
        <v>253</v>
      </c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</row>
    <row r="59" spans="1:33" x14ac:dyDescent="0.3">
      <c r="A59" s="36" t="s">
        <v>423</v>
      </c>
      <c r="B59" s="4" t="s">
        <v>424</v>
      </c>
      <c r="C59" s="4" t="s">
        <v>286</v>
      </c>
      <c r="D59" s="4" t="s">
        <v>253</v>
      </c>
      <c r="E59" s="4" t="s">
        <v>83</v>
      </c>
      <c r="F59" s="4" t="s">
        <v>12</v>
      </c>
      <c r="G59" s="4">
        <v>0</v>
      </c>
      <c r="H59" s="4" t="s">
        <v>253</v>
      </c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</row>
    <row r="60" spans="1:33" x14ac:dyDescent="0.3">
      <c r="A60" s="36" t="s">
        <v>423</v>
      </c>
      <c r="B60" s="4" t="s">
        <v>424</v>
      </c>
      <c r="C60" s="4" t="s">
        <v>418</v>
      </c>
      <c r="D60" s="4" t="s">
        <v>253</v>
      </c>
      <c r="E60" s="4" t="s">
        <v>11</v>
      </c>
      <c r="F60" s="4" t="s">
        <v>12</v>
      </c>
      <c r="G60" s="4">
        <v>0</v>
      </c>
      <c r="H60" s="4" t="s">
        <v>253</v>
      </c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</row>
    <row r="61" spans="1:33" x14ac:dyDescent="0.3">
      <c r="A61" s="38" t="s">
        <v>425</v>
      </c>
      <c r="B61" s="39" t="s">
        <v>426</v>
      </c>
      <c r="C61" s="39" t="s">
        <v>286</v>
      </c>
      <c r="D61" s="39" t="s">
        <v>253</v>
      </c>
      <c r="E61" s="39" t="s">
        <v>83</v>
      </c>
      <c r="F61" s="39" t="s">
        <v>12</v>
      </c>
      <c r="G61" s="39">
        <v>0</v>
      </c>
      <c r="H61" s="39" t="s">
        <v>253</v>
      </c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</row>
    <row r="62" spans="1:33" x14ac:dyDescent="0.3">
      <c r="A62" s="38" t="s">
        <v>425</v>
      </c>
      <c r="B62" s="39" t="s">
        <v>426</v>
      </c>
      <c r="C62" s="39" t="s">
        <v>427</v>
      </c>
      <c r="D62" s="39" t="s">
        <v>253</v>
      </c>
      <c r="E62" s="39" t="s">
        <v>11</v>
      </c>
      <c r="F62" s="39" t="s">
        <v>12</v>
      </c>
      <c r="G62" s="39">
        <v>0</v>
      </c>
      <c r="H62" s="39" t="s">
        <v>253</v>
      </c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</row>
    <row r="63" spans="1:33" x14ac:dyDescent="0.3">
      <c r="A63" s="36" t="s">
        <v>428</v>
      </c>
      <c r="B63" s="4" t="s">
        <v>429</v>
      </c>
      <c r="C63" s="4" t="s">
        <v>286</v>
      </c>
      <c r="D63" s="4" t="s">
        <v>253</v>
      </c>
      <c r="E63" s="4" t="s">
        <v>83</v>
      </c>
      <c r="F63" s="4" t="s">
        <v>12</v>
      </c>
      <c r="G63" s="4">
        <v>0</v>
      </c>
      <c r="H63" s="4" t="s">
        <v>253</v>
      </c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</row>
    <row r="64" spans="1:33" x14ac:dyDescent="0.3">
      <c r="A64" s="36" t="s">
        <v>428</v>
      </c>
      <c r="B64" s="4" t="s">
        <v>429</v>
      </c>
      <c r="C64" s="4" t="s">
        <v>430</v>
      </c>
      <c r="D64" s="4" t="s">
        <v>253</v>
      </c>
      <c r="E64" s="4" t="s">
        <v>11</v>
      </c>
      <c r="F64" s="4" t="s">
        <v>12</v>
      </c>
      <c r="G64" s="4">
        <v>0</v>
      </c>
      <c r="H64" s="4" t="s">
        <v>253</v>
      </c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</row>
    <row r="65" spans="1:33" x14ac:dyDescent="0.3">
      <c r="A65" s="38" t="s">
        <v>431</v>
      </c>
      <c r="B65" s="39" t="s">
        <v>432</v>
      </c>
      <c r="C65" s="39" t="s">
        <v>322</v>
      </c>
      <c r="D65" s="39" t="s">
        <v>253</v>
      </c>
      <c r="E65" s="39" t="s">
        <v>83</v>
      </c>
      <c r="F65" s="39" t="s">
        <v>12</v>
      </c>
      <c r="G65" s="39">
        <v>0</v>
      </c>
      <c r="H65" s="39" t="s">
        <v>253</v>
      </c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</row>
    <row r="66" spans="1:33" x14ac:dyDescent="0.3">
      <c r="A66" s="38" t="s">
        <v>431</v>
      </c>
      <c r="B66" s="39" t="s">
        <v>432</v>
      </c>
      <c r="C66" s="39" t="s">
        <v>433</v>
      </c>
      <c r="D66" s="39" t="s">
        <v>253</v>
      </c>
      <c r="E66" s="39" t="s">
        <v>11</v>
      </c>
      <c r="F66" s="39" t="s">
        <v>12</v>
      </c>
      <c r="G66" s="39">
        <v>0</v>
      </c>
      <c r="H66" s="39" t="s">
        <v>253</v>
      </c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</row>
    <row r="67" spans="1:33" x14ac:dyDescent="0.3">
      <c r="A67" s="36" t="s">
        <v>434</v>
      </c>
      <c r="B67" s="4" t="s">
        <v>435</v>
      </c>
      <c r="C67" s="4" t="s">
        <v>326</v>
      </c>
      <c r="D67" s="4" t="s">
        <v>253</v>
      </c>
      <c r="E67" s="4" t="s">
        <v>83</v>
      </c>
      <c r="F67" s="4" t="s">
        <v>12</v>
      </c>
      <c r="G67" s="4">
        <v>0</v>
      </c>
      <c r="H67" s="4" t="s">
        <v>253</v>
      </c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</row>
    <row r="68" spans="1:33" x14ac:dyDescent="0.3">
      <c r="A68" s="36" t="s">
        <v>434</v>
      </c>
      <c r="B68" s="4" t="s">
        <v>435</v>
      </c>
      <c r="C68" s="4" t="s">
        <v>436</v>
      </c>
      <c r="D68" s="4" t="s">
        <v>253</v>
      </c>
      <c r="E68" s="4" t="s">
        <v>11</v>
      </c>
      <c r="F68" s="4" t="s">
        <v>12</v>
      </c>
      <c r="G68" s="4">
        <v>0</v>
      </c>
      <c r="H68" s="4" t="s">
        <v>253</v>
      </c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</row>
    <row r="69" spans="1:33" x14ac:dyDescent="0.3">
      <c r="A69" s="38" t="s">
        <v>437</v>
      </c>
      <c r="B69" s="39" t="s">
        <v>438</v>
      </c>
      <c r="C69" s="39" t="s">
        <v>330</v>
      </c>
      <c r="D69" s="39" t="s">
        <v>253</v>
      </c>
      <c r="E69" s="39" t="s">
        <v>83</v>
      </c>
      <c r="F69" s="39" t="s">
        <v>12</v>
      </c>
      <c r="G69" s="39">
        <v>0</v>
      </c>
      <c r="H69" s="39" t="s">
        <v>253</v>
      </c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</row>
    <row r="70" spans="1:33" x14ac:dyDescent="0.3">
      <c r="A70" s="38" t="s">
        <v>437</v>
      </c>
      <c r="B70" s="39" t="s">
        <v>438</v>
      </c>
      <c r="C70" s="39" t="s">
        <v>436</v>
      </c>
      <c r="D70" s="39" t="s">
        <v>253</v>
      </c>
      <c r="E70" s="39" t="s">
        <v>11</v>
      </c>
      <c r="F70" s="39" t="s">
        <v>12</v>
      </c>
      <c r="G70" s="39">
        <v>0</v>
      </c>
      <c r="H70" s="39" t="s">
        <v>253</v>
      </c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</row>
    <row r="71" spans="1:33" x14ac:dyDescent="0.3">
      <c r="A71" s="36" t="s">
        <v>439</v>
      </c>
      <c r="B71" s="4" t="s">
        <v>440</v>
      </c>
      <c r="C71" s="4" t="s">
        <v>334</v>
      </c>
      <c r="D71" s="4" t="s">
        <v>253</v>
      </c>
      <c r="E71" s="4" t="s">
        <v>83</v>
      </c>
      <c r="F71" s="4" t="s">
        <v>12</v>
      </c>
      <c r="G71" s="4">
        <v>0</v>
      </c>
      <c r="H71" s="4" t="s">
        <v>253</v>
      </c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</row>
    <row r="72" spans="1:33" x14ac:dyDescent="0.3">
      <c r="A72" s="36" t="s">
        <v>439</v>
      </c>
      <c r="B72" s="4" t="s">
        <v>440</v>
      </c>
      <c r="C72" s="4" t="s">
        <v>436</v>
      </c>
      <c r="D72" s="4" t="s">
        <v>253</v>
      </c>
      <c r="E72" s="4" t="s">
        <v>11</v>
      </c>
      <c r="F72" s="4" t="s">
        <v>12</v>
      </c>
      <c r="G72" s="4">
        <v>0</v>
      </c>
      <c r="H72" s="4" t="s">
        <v>253</v>
      </c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</row>
    <row r="73" spans="1:33" x14ac:dyDescent="0.3">
      <c r="A73" s="38" t="s">
        <v>441</v>
      </c>
      <c r="B73" s="39" t="s">
        <v>442</v>
      </c>
      <c r="C73" s="39" t="s">
        <v>322</v>
      </c>
      <c r="D73" s="39" t="s">
        <v>253</v>
      </c>
      <c r="E73" s="39" t="s">
        <v>83</v>
      </c>
      <c r="F73" s="39" t="s">
        <v>12</v>
      </c>
      <c r="G73" s="39">
        <v>0</v>
      </c>
      <c r="H73" s="39" t="s">
        <v>253</v>
      </c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</row>
    <row r="74" spans="1:33" x14ac:dyDescent="0.3">
      <c r="A74" s="38" t="s">
        <v>441</v>
      </c>
      <c r="B74" s="39" t="s">
        <v>442</v>
      </c>
      <c r="C74" s="39" t="s">
        <v>436</v>
      </c>
      <c r="D74" s="39" t="s">
        <v>253</v>
      </c>
      <c r="E74" s="39" t="s">
        <v>11</v>
      </c>
      <c r="F74" s="39" t="s">
        <v>12</v>
      </c>
      <c r="G74" s="39">
        <v>0</v>
      </c>
      <c r="H74" s="39" t="s">
        <v>253</v>
      </c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</row>
    <row r="75" spans="1:33" x14ac:dyDescent="0.3">
      <c r="A75" s="36" t="s">
        <v>443</v>
      </c>
      <c r="B75" s="4" t="s">
        <v>444</v>
      </c>
      <c r="C75" s="4" t="s">
        <v>338</v>
      </c>
      <c r="D75" s="4" t="s">
        <v>253</v>
      </c>
      <c r="E75" s="4" t="s">
        <v>83</v>
      </c>
      <c r="F75" s="4" t="s">
        <v>12</v>
      </c>
      <c r="G75" s="4">
        <v>0</v>
      </c>
      <c r="H75" s="4" t="s">
        <v>253</v>
      </c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</row>
    <row r="76" spans="1:33" x14ac:dyDescent="0.3">
      <c r="A76" s="36" t="s">
        <v>443</v>
      </c>
      <c r="B76" s="4" t="s">
        <v>444</v>
      </c>
      <c r="C76" s="4" t="s">
        <v>436</v>
      </c>
      <c r="D76" s="4" t="s">
        <v>253</v>
      </c>
      <c r="E76" s="4" t="s">
        <v>11</v>
      </c>
      <c r="F76" s="4" t="s">
        <v>12</v>
      </c>
      <c r="G76" s="4">
        <v>0</v>
      </c>
      <c r="H76" s="4" t="s">
        <v>253</v>
      </c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</row>
    <row r="77" spans="1:33" x14ac:dyDescent="0.3">
      <c r="A77" s="38" t="s">
        <v>445</v>
      </c>
      <c r="B77" s="39" t="s">
        <v>446</v>
      </c>
      <c r="C77" s="39" t="s">
        <v>326</v>
      </c>
      <c r="D77" s="39" t="s">
        <v>253</v>
      </c>
      <c r="E77" s="39" t="s">
        <v>83</v>
      </c>
      <c r="F77" s="39" t="s">
        <v>12</v>
      </c>
      <c r="G77" s="39">
        <v>0</v>
      </c>
      <c r="H77" s="39" t="s">
        <v>253</v>
      </c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</row>
    <row r="78" spans="1:33" x14ac:dyDescent="0.3">
      <c r="A78" s="38" t="s">
        <v>445</v>
      </c>
      <c r="B78" s="39" t="s">
        <v>446</v>
      </c>
      <c r="C78" s="39" t="s">
        <v>322</v>
      </c>
      <c r="D78" s="39" t="s">
        <v>253</v>
      </c>
      <c r="E78" s="39" t="s">
        <v>83</v>
      </c>
      <c r="F78" s="39" t="s">
        <v>12</v>
      </c>
      <c r="G78" s="39">
        <v>0</v>
      </c>
      <c r="H78" s="39" t="s">
        <v>253</v>
      </c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</row>
    <row r="79" spans="1:33" x14ac:dyDescent="0.3">
      <c r="A79" s="38" t="s">
        <v>445</v>
      </c>
      <c r="B79" s="39" t="s">
        <v>446</v>
      </c>
      <c r="C79" s="39" t="s">
        <v>436</v>
      </c>
      <c r="D79" s="39" t="s">
        <v>253</v>
      </c>
      <c r="E79" s="39" t="s">
        <v>11</v>
      </c>
      <c r="F79" s="39" t="s">
        <v>12</v>
      </c>
      <c r="G79" s="39">
        <v>0</v>
      </c>
      <c r="H79" s="39" t="s">
        <v>253</v>
      </c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</row>
    <row r="80" spans="1:33" x14ac:dyDescent="0.3">
      <c r="A80" s="36" t="s">
        <v>447</v>
      </c>
      <c r="B80" s="4" t="s">
        <v>448</v>
      </c>
      <c r="C80" s="4" t="s">
        <v>342</v>
      </c>
      <c r="D80" s="4" t="s">
        <v>253</v>
      </c>
      <c r="E80" s="4" t="s">
        <v>83</v>
      </c>
      <c r="F80" s="4" t="s">
        <v>12</v>
      </c>
      <c r="G80" s="4">
        <v>0</v>
      </c>
      <c r="H80" s="4" t="s">
        <v>253</v>
      </c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</row>
    <row r="81" spans="1:33" x14ac:dyDescent="0.3">
      <c r="A81" s="36" t="s">
        <v>447</v>
      </c>
      <c r="B81" s="4" t="s">
        <v>448</v>
      </c>
      <c r="C81" s="4" t="s">
        <v>449</v>
      </c>
      <c r="D81" s="4" t="s">
        <v>253</v>
      </c>
      <c r="E81" s="4" t="s">
        <v>11</v>
      </c>
      <c r="F81" s="4" t="s">
        <v>12</v>
      </c>
      <c r="G81" s="4">
        <v>0</v>
      </c>
      <c r="H81" s="4" t="s">
        <v>253</v>
      </c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</row>
    <row r="82" spans="1:33" x14ac:dyDescent="0.3">
      <c r="A82" s="38" t="s">
        <v>450</v>
      </c>
      <c r="B82" s="39" t="s">
        <v>451</v>
      </c>
      <c r="C82" s="39" t="s">
        <v>346</v>
      </c>
      <c r="D82" s="39" t="s">
        <v>253</v>
      </c>
      <c r="E82" s="39" t="s">
        <v>83</v>
      </c>
      <c r="F82" s="39" t="s">
        <v>12</v>
      </c>
      <c r="G82" s="39">
        <v>0</v>
      </c>
      <c r="H82" s="39" t="s">
        <v>253</v>
      </c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</row>
    <row r="83" spans="1:33" x14ac:dyDescent="0.3">
      <c r="A83" s="38" t="s">
        <v>450</v>
      </c>
      <c r="B83" s="39" t="s">
        <v>451</v>
      </c>
      <c r="C83" s="39" t="s">
        <v>449</v>
      </c>
      <c r="D83" s="39" t="s">
        <v>253</v>
      </c>
      <c r="E83" s="39" t="s">
        <v>11</v>
      </c>
      <c r="F83" s="39" t="s">
        <v>12</v>
      </c>
      <c r="G83" s="39">
        <v>0</v>
      </c>
      <c r="H83" s="39" t="s">
        <v>253</v>
      </c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</row>
    <row r="84" spans="1:33" x14ac:dyDescent="0.3">
      <c r="A84" s="36" t="s">
        <v>452</v>
      </c>
      <c r="B84" s="4" t="s">
        <v>453</v>
      </c>
      <c r="C84" s="4" t="s">
        <v>350</v>
      </c>
      <c r="D84" s="4" t="s">
        <v>253</v>
      </c>
      <c r="E84" s="4" t="s">
        <v>83</v>
      </c>
      <c r="F84" s="4" t="s">
        <v>12</v>
      </c>
      <c r="G84" s="4">
        <v>0</v>
      </c>
      <c r="H84" s="4" t="s">
        <v>253</v>
      </c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</row>
    <row r="85" spans="1:33" x14ac:dyDescent="0.3">
      <c r="A85" s="36" t="s">
        <v>452</v>
      </c>
      <c r="B85" s="4" t="s">
        <v>453</v>
      </c>
      <c r="C85" s="4" t="s">
        <v>449</v>
      </c>
      <c r="D85" s="4" t="s">
        <v>253</v>
      </c>
      <c r="E85" s="4" t="s">
        <v>11</v>
      </c>
      <c r="F85" s="4" t="s">
        <v>12</v>
      </c>
      <c r="G85" s="4">
        <v>0</v>
      </c>
      <c r="H85" s="4" t="s">
        <v>253</v>
      </c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</row>
    <row r="86" spans="1:33" x14ac:dyDescent="0.3">
      <c r="A86" s="38" t="s">
        <v>454</v>
      </c>
      <c r="B86" s="39" t="s">
        <v>455</v>
      </c>
      <c r="C86" s="39" t="s">
        <v>354</v>
      </c>
      <c r="D86" s="39" t="s">
        <v>253</v>
      </c>
      <c r="E86" s="39" t="s">
        <v>83</v>
      </c>
      <c r="F86" s="39" t="s">
        <v>12</v>
      </c>
      <c r="G86" s="39">
        <v>0</v>
      </c>
      <c r="H86" s="39" t="s">
        <v>253</v>
      </c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</row>
    <row r="87" spans="1:33" x14ac:dyDescent="0.3">
      <c r="A87" s="38" t="s">
        <v>454</v>
      </c>
      <c r="B87" s="39" t="s">
        <v>455</v>
      </c>
      <c r="C87" s="39" t="s">
        <v>449</v>
      </c>
      <c r="D87" s="39" t="s">
        <v>253</v>
      </c>
      <c r="E87" s="39" t="s">
        <v>11</v>
      </c>
      <c r="F87" s="39" t="s">
        <v>12</v>
      </c>
      <c r="G87" s="39">
        <v>0</v>
      </c>
      <c r="H87" s="39" t="s">
        <v>253</v>
      </c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</row>
    <row r="88" spans="1:33" x14ac:dyDescent="0.3">
      <c r="A88" s="36" t="s">
        <v>456</v>
      </c>
      <c r="B88" s="4" t="s">
        <v>457</v>
      </c>
      <c r="C88" s="4" t="s">
        <v>358</v>
      </c>
      <c r="D88" s="4" t="s">
        <v>253</v>
      </c>
      <c r="E88" s="4" t="s">
        <v>83</v>
      </c>
      <c r="F88" s="4" t="s">
        <v>12</v>
      </c>
      <c r="G88" s="4">
        <v>0</v>
      </c>
      <c r="H88" s="4" t="s">
        <v>253</v>
      </c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</row>
    <row r="89" spans="1:33" x14ac:dyDescent="0.3">
      <c r="A89" s="36" t="s">
        <v>456</v>
      </c>
      <c r="B89" s="4" t="s">
        <v>457</v>
      </c>
      <c r="C89" s="4" t="s">
        <v>449</v>
      </c>
      <c r="D89" s="4" t="s">
        <v>253</v>
      </c>
      <c r="E89" s="4" t="s">
        <v>11</v>
      </c>
      <c r="F89" s="4" t="s">
        <v>12</v>
      </c>
      <c r="G89" s="4">
        <v>0</v>
      </c>
      <c r="H89" s="4" t="s">
        <v>253</v>
      </c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</row>
    <row r="90" spans="1:33" x14ac:dyDescent="0.3">
      <c r="A90" s="38" t="s">
        <v>458</v>
      </c>
      <c r="B90" s="39" t="s">
        <v>459</v>
      </c>
      <c r="C90" s="39" t="s">
        <v>342</v>
      </c>
      <c r="D90" s="39" t="s">
        <v>253</v>
      </c>
      <c r="E90" s="39" t="s">
        <v>83</v>
      </c>
      <c r="F90" s="39" t="s">
        <v>12</v>
      </c>
      <c r="G90" s="39">
        <v>0</v>
      </c>
      <c r="H90" s="39" t="s">
        <v>253</v>
      </c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</row>
    <row r="91" spans="1:33" x14ac:dyDescent="0.3">
      <c r="A91" s="38" t="s">
        <v>458</v>
      </c>
      <c r="B91" s="39" t="s">
        <v>459</v>
      </c>
      <c r="C91" s="39" t="s">
        <v>354</v>
      </c>
      <c r="D91" s="39" t="s">
        <v>253</v>
      </c>
      <c r="E91" s="39" t="s">
        <v>83</v>
      </c>
      <c r="F91" s="39" t="s">
        <v>12</v>
      </c>
      <c r="G91" s="39">
        <v>0</v>
      </c>
      <c r="H91" s="39" t="s">
        <v>253</v>
      </c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</row>
    <row r="92" spans="1:33" x14ac:dyDescent="0.3">
      <c r="A92" s="38" t="s">
        <v>458</v>
      </c>
      <c r="B92" s="39" t="s">
        <v>459</v>
      </c>
      <c r="C92" s="39" t="s">
        <v>449</v>
      </c>
      <c r="D92" s="39" t="s">
        <v>253</v>
      </c>
      <c r="E92" s="39" t="s">
        <v>11</v>
      </c>
      <c r="F92" s="39" t="s">
        <v>12</v>
      </c>
      <c r="G92" s="39">
        <v>0</v>
      </c>
      <c r="H92" s="39" t="s">
        <v>253</v>
      </c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</row>
    <row r="93" spans="1:33" x14ac:dyDescent="0.3">
      <c r="A93" s="70" t="s">
        <v>529</v>
      </c>
      <c r="B93" s="71" t="s">
        <v>530</v>
      </c>
      <c r="C93" s="71" t="s">
        <v>286</v>
      </c>
      <c r="D93" s="71" t="s">
        <v>253</v>
      </c>
      <c r="E93" s="71" t="s">
        <v>83</v>
      </c>
      <c r="F93" s="71" t="s">
        <v>12</v>
      </c>
      <c r="G93" s="71">
        <v>0</v>
      </c>
      <c r="H93" s="71" t="s">
        <v>253</v>
      </c>
    </row>
    <row r="94" spans="1:33" x14ac:dyDescent="0.3">
      <c r="A94" s="70" t="s">
        <v>529</v>
      </c>
      <c r="B94" s="71" t="s">
        <v>530</v>
      </c>
      <c r="C94" s="71" t="s">
        <v>531</v>
      </c>
      <c r="D94" s="71" t="s">
        <v>253</v>
      </c>
      <c r="E94" s="71" t="s">
        <v>11</v>
      </c>
      <c r="F94" s="71" t="s">
        <v>12</v>
      </c>
      <c r="G94" s="71">
        <v>0</v>
      </c>
      <c r="H94" s="71" t="s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27"/>
  <sheetViews>
    <sheetView tabSelected="1" topLeftCell="A4" workbookViewId="0">
      <selection activeCell="A26" sqref="A26:H27"/>
    </sheetView>
  </sheetViews>
  <sheetFormatPr defaultColWidth="8.88671875" defaultRowHeight="14.4" x14ac:dyDescent="0.3"/>
  <cols>
    <col min="1" max="1" width="19.88671875" bestFit="1" customWidth="1"/>
    <col min="2" max="2" width="14.88671875" bestFit="1" customWidth="1"/>
    <col min="3" max="3" width="13.5546875" bestFit="1" customWidth="1"/>
    <col min="4" max="4" width="36.33203125" bestFit="1" customWidth="1"/>
    <col min="6" max="6" width="16.109375" bestFit="1" customWidth="1"/>
    <col min="7" max="7" width="20.33203125" bestFit="1" customWidth="1"/>
    <col min="8" max="40" width="5" bestFit="1" customWidth="1"/>
  </cols>
  <sheetData>
    <row r="1" spans="1:40" x14ac:dyDescent="0.3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>
        <v>2018</v>
      </c>
      <c r="I1" s="34">
        <v>2019</v>
      </c>
      <c r="J1" s="35">
        <v>2020</v>
      </c>
      <c r="K1" s="35">
        <v>2021</v>
      </c>
      <c r="L1" s="35">
        <v>2022</v>
      </c>
      <c r="M1" s="35">
        <v>2023</v>
      </c>
      <c r="N1" s="35">
        <v>2024</v>
      </c>
      <c r="O1" s="35">
        <v>2025</v>
      </c>
      <c r="P1" s="35">
        <v>2026</v>
      </c>
      <c r="Q1" s="35">
        <v>2027</v>
      </c>
      <c r="R1" s="35">
        <v>2028</v>
      </c>
      <c r="S1" s="35">
        <v>2029</v>
      </c>
      <c r="T1" s="35">
        <v>2030</v>
      </c>
      <c r="U1" s="35">
        <v>2031</v>
      </c>
      <c r="V1" s="35">
        <v>2032</v>
      </c>
      <c r="W1" s="35">
        <v>2033</v>
      </c>
      <c r="X1" s="35">
        <v>2034</v>
      </c>
      <c r="Y1" s="35">
        <v>2035</v>
      </c>
      <c r="Z1" s="35">
        <v>2036</v>
      </c>
      <c r="AA1" s="35">
        <v>2037</v>
      </c>
      <c r="AB1" s="35">
        <v>2038</v>
      </c>
      <c r="AC1" s="35">
        <v>2039</v>
      </c>
      <c r="AD1" s="35">
        <v>2040</v>
      </c>
      <c r="AE1" s="35">
        <v>2041</v>
      </c>
      <c r="AF1" s="35">
        <v>2042</v>
      </c>
      <c r="AG1" s="35">
        <v>2043</v>
      </c>
      <c r="AH1" s="35">
        <v>2044</v>
      </c>
      <c r="AI1" s="35">
        <v>2045</v>
      </c>
      <c r="AJ1" s="35">
        <v>2046</v>
      </c>
      <c r="AK1" s="35">
        <v>2047</v>
      </c>
      <c r="AL1" s="35">
        <v>2048</v>
      </c>
      <c r="AM1" s="35">
        <v>2049</v>
      </c>
      <c r="AN1" s="35">
        <v>2050</v>
      </c>
    </row>
    <row r="2" spans="1:40" x14ac:dyDescent="0.3">
      <c r="A2" s="36" t="s">
        <v>460</v>
      </c>
      <c r="B2" s="40" t="s">
        <v>461</v>
      </c>
      <c r="C2" s="40" t="s">
        <v>362</v>
      </c>
      <c r="D2" s="40" t="s">
        <v>253</v>
      </c>
      <c r="E2" s="40" t="s">
        <v>83</v>
      </c>
      <c r="F2" s="40" t="s">
        <v>12</v>
      </c>
      <c r="G2" s="40">
        <v>0</v>
      </c>
      <c r="H2" s="40" t="s">
        <v>253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</row>
    <row r="3" spans="1:40" x14ac:dyDescent="0.3">
      <c r="A3" s="36" t="s">
        <v>460</v>
      </c>
      <c r="B3" s="4" t="s">
        <v>461</v>
      </c>
      <c r="C3" s="4" t="s">
        <v>462</v>
      </c>
      <c r="D3" s="4" t="s">
        <v>463</v>
      </c>
      <c r="E3" s="4" t="s">
        <v>11</v>
      </c>
      <c r="F3" s="4" t="s">
        <v>12</v>
      </c>
      <c r="G3" s="4">
        <v>0</v>
      </c>
      <c r="H3" s="4" t="s">
        <v>253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</row>
    <row r="4" spans="1:40" x14ac:dyDescent="0.3">
      <c r="A4" s="38" t="s">
        <v>464</v>
      </c>
      <c r="B4" s="39" t="s">
        <v>465</v>
      </c>
      <c r="C4" s="39" t="s">
        <v>373</v>
      </c>
      <c r="D4" s="39" t="s">
        <v>253</v>
      </c>
      <c r="E4" s="39" t="s">
        <v>83</v>
      </c>
      <c r="F4" s="39" t="s">
        <v>12</v>
      </c>
      <c r="G4" s="39">
        <v>0</v>
      </c>
      <c r="H4" s="39" t="s">
        <v>253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x14ac:dyDescent="0.3">
      <c r="A5" s="38" t="s">
        <v>464</v>
      </c>
      <c r="B5" s="39" t="s">
        <v>465</v>
      </c>
      <c r="C5" s="39" t="s">
        <v>462</v>
      </c>
      <c r="D5" s="39" t="s">
        <v>467</v>
      </c>
      <c r="E5" s="39" t="s">
        <v>11</v>
      </c>
      <c r="F5" s="39" t="s">
        <v>12</v>
      </c>
      <c r="G5" s="39">
        <v>0</v>
      </c>
      <c r="H5" s="39" t="s">
        <v>253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spans="1:40" x14ac:dyDescent="0.3">
      <c r="A6" s="36" t="s">
        <v>468</v>
      </c>
      <c r="B6" s="4" t="s">
        <v>469</v>
      </c>
      <c r="C6" s="4" t="s">
        <v>380</v>
      </c>
      <c r="D6" s="4" t="s">
        <v>253</v>
      </c>
      <c r="E6" s="4" t="s">
        <v>83</v>
      </c>
      <c r="F6" s="4" t="s">
        <v>12</v>
      </c>
      <c r="G6" s="4">
        <v>0</v>
      </c>
      <c r="H6" s="4" t="s">
        <v>253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 spans="1:40" x14ac:dyDescent="0.3">
      <c r="A7" s="36" t="s">
        <v>468</v>
      </c>
      <c r="B7" s="4" t="s">
        <v>469</v>
      </c>
      <c r="C7" s="4" t="s">
        <v>462</v>
      </c>
      <c r="D7" s="4" t="s">
        <v>463</v>
      </c>
      <c r="E7" s="4" t="s">
        <v>11</v>
      </c>
      <c r="F7" s="4" t="s">
        <v>12</v>
      </c>
      <c r="G7" s="4">
        <v>0</v>
      </c>
      <c r="H7" s="4" t="s">
        <v>253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</row>
    <row r="8" spans="1:40" x14ac:dyDescent="0.3">
      <c r="A8" s="38" t="s">
        <v>470</v>
      </c>
      <c r="B8" s="39" t="s">
        <v>471</v>
      </c>
      <c r="C8" s="39" t="s">
        <v>385</v>
      </c>
      <c r="D8" s="39" t="s">
        <v>253</v>
      </c>
      <c r="E8" s="39" t="s">
        <v>83</v>
      </c>
      <c r="F8" s="39" t="s">
        <v>12</v>
      </c>
      <c r="G8" s="39">
        <v>0</v>
      </c>
      <c r="H8" s="39" t="s">
        <v>253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</row>
    <row r="9" spans="1:40" x14ac:dyDescent="0.3">
      <c r="A9" s="38" t="s">
        <v>470</v>
      </c>
      <c r="B9" s="39" t="s">
        <v>471</v>
      </c>
      <c r="C9" s="39" t="s">
        <v>462</v>
      </c>
      <c r="D9" s="39" t="s">
        <v>463</v>
      </c>
      <c r="E9" s="39" t="s">
        <v>11</v>
      </c>
      <c r="F9" s="39" t="s">
        <v>12</v>
      </c>
      <c r="G9" s="39">
        <v>0</v>
      </c>
      <c r="H9" s="39" t="s">
        <v>253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</row>
    <row r="10" spans="1:40" x14ac:dyDescent="0.3">
      <c r="A10" s="36" t="s">
        <v>472</v>
      </c>
      <c r="B10" s="4" t="s">
        <v>473</v>
      </c>
      <c r="C10" s="4" t="s">
        <v>396</v>
      </c>
      <c r="D10" s="4" t="s">
        <v>253</v>
      </c>
      <c r="E10" s="4" t="s">
        <v>83</v>
      </c>
      <c r="F10" s="4" t="s">
        <v>12</v>
      </c>
      <c r="G10" s="4">
        <v>0</v>
      </c>
      <c r="H10" s="4" t="s">
        <v>253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</row>
    <row r="11" spans="1:40" x14ac:dyDescent="0.3">
      <c r="A11" s="36" t="s">
        <v>472</v>
      </c>
      <c r="B11" s="4" t="s">
        <v>473</v>
      </c>
      <c r="C11" s="4" t="s">
        <v>466</v>
      </c>
      <c r="D11" s="4" t="s">
        <v>467</v>
      </c>
      <c r="E11" s="4" t="s">
        <v>11</v>
      </c>
      <c r="F11" s="4" t="s">
        <v>12</v>
      </c>
      <c r="G11" s="4">
        <v>0</v>
      </c>
      <c r="H11" s="4" t="s">
        <v>253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</row>
    <row r="12" spans="1:40" x14ac:dyDescent="0.3">
      <c r="A12" s="38" t="s">
        <v>474</v>
      </c>
      <c r="B12" s="39" t="s">
        <v>475</v>
      </c>
      <c r="C12" s="39" t="s">
        <v>407</v>
      </c>
      <c r="D12" s="39" t="s">
        <v>253</v>
      </c>
      <c r="E12" s="39" t="s">
        <v>83</v>
      </c>
      <c r="F12" s="39" t="s">
        <v>12</v>
      </c>
      <c r="G12" s="39">
        <v>0</v>
      </c>
      <c r="H12" s="39" t="s">
        <v>253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</row>
    <row r="13" spans="1:40" x14ac:dyDescent="0.3">
      <c r="A13" s="38" t="s">
        <v>474</v>
      </c>
      <c r="B13" s="39" t="s">
        <v>475</v>
      </c>
      <c r="C13" s="39" t="s">
        <v>476</v>
      </c>
      <c r="D13" s="39" t="s">
        <v>477</v>
      </c>
      <c r="E13" s="39" t="s">
        <v>11</v>
      </c>
      <c r="F13" s="39" t="s">
        <v>12</v>
      </c>
      <c r="G13" s="39">
        <v>0</v>
      </c>
      <c r="H13" s="39" t="s">
        <v>253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</row>
    <row r="14" spans="1:40" x14ac:dyDescent="0.3">
      <c r="A14" s="36" t="s">
        <v>478</v>
      </c>
      <c r="B14" s="4" t="s">
        <v>479</v>
      </c>
      <c r="C14" s="4" t="s">
        <v>418</v>
      </c>
      <c r="D14" s="4" t="s">
        <v>253</v>
      </c>
      <c r="E14" s="4" t="s">
        <v>83</v>
      </c>
      <c r="F14" s="4" t="s">
        <v>12</v>
      </c>
      <c r="G14" s="4">
        <v>0</v>
      </c>
      <c r="H14" s="4" t="s">
        <v>253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</row>
    <row r="15" spans="1:40" x14ac:dyDescent="0.3">
      <c r="A15" s="36" t="s">
        <v>478</v>
      </c>
      <c r="B15" s="4" t="s">
        <v>479</v>
      </c>
      <c r="C15" s="4" t="s">
        <v>466</v>
      </c>
      <c r="D15" s="4" t="s">
        <v>467</v>
      </c>
      <c r="E15" s="4" t="s">
        <v>11</v>
      </c>
      <c r="F15" s="4" t="s">
        <v>12</v>
      </c>
      <c r="G15" s="4">
        <v>0</v>
      </c>
      <c r="H15" s="4" t="s">
        <v>253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</row>
    <row r="16" spans="1:40" x14ac:dyDescent="0.3">
      <c r="A16" s="38" t="s">
        <v>480</v>
      </c>
      <c r="B16" s="39" t="s">
        <v>481</v>
      </c>
      <c r="C16" s="39" t="s">
        <v>427</v>
      </c>
      <c r="D16" s="39" t="s">
        <v>253</v>
      </c>
      <c r="E16" s="39" t="s">
        <v>83</v>
      </c>
      <c r="F16" s="39" t="s">
        <v>12</v>
      </c>
      <c r="G16" s="39">
        <v>0</v>
      </c>
      <c r="H16" s="39" t="s">
        <v>253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</row>
    <row r="17" spans="1:40" x14ac:dyDescent="0.3">
      <c r="A17" s="38" t="s">
        <v>480</v>
      </c>
      <c r="B17" s="39" t="s">
        <v>481</v>
      </c>
      <c r="C17" s="39" t="s">
        <v>466</v>
      </c>
      <c r="D17" s="39" t="s">
        <v>467</v>
      </c>
      <c r="E17" s="39" t="s">
        <v>11</v>
      </c>
      <c r="F17" s="39" t="s">
        <v>12</v>
      </c>
      <c r="G17" s="39">
        <v>0</v>
      </c>
      <c r="H17" s="39" t="s">
        <v>253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</row>
    <row r="18" spans="1:40" x14ac:dyDescent="0.3">
      <c r="A18" s="36" t="s">
        <v>482</v>
      </c>
      <c r="B18" s="4" t="s">
        <v>483</v>
      </c>
      <c r="C18" s="4" t="s">
        <v>430</v>
      </c>
      <c r="D18" s="4" t="s">
        <v>253</v>
      </c>
      <c r="E18" s="4" t="s">
        <v>83</v>
      </c>
      <c r="F18" s="4" t="s">
        <v>12</v>
      </c>
      <c r="G18" s="4">
        <v>0</v>
      </c>
      <c r="H18" s="4" t="s">
        <v>253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</row>
    <row r="19" spans="1:40" x14ac:dyDescent="0.3">
      <c r="A19" s="36" t="s">
        <v>482</v>
      </c>
      <c r="B19" s="4" t="s">
        <v>483</v>
      </c>
      <c r="C19" s="4" t="s">
        <v>466</v>
      </c>
      <c r="D19" s="4" t="s">
        <v>467</v>
      </c>
      <c r="E19" s="4" t="s">
        <v>11</v>
      </c>
      <c r="F19" s="4" t="s">
        <v>12</v>
      </c>
      <c r="G19" s="4">
        <v>0</v>
      </c>
      <c r="H19" s="4" t="s">
        <v>253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</row>
    <row r="20" spans="1:40" x14ac:dyDescent="0.3">
      <c r="A20" s="38" t="s">
        <v>484</v>
      </c>
      <c r="B20" s="39" t="s">
        <v>485</v>
      </c>
      <c r="C20" s="39" t="s">
        <v>433</v>
      </c>
      <c r="D20" s="39" t="s">
        <v>253</v>
      </c>
      <c r="E20" s="39" t="s">
        <v>83</v>
      </c>
      <c r="F20" s="39" t="s">
        <v>12</v>
      </c>
      <c r="G20" s="39">
        <v>0</v>
      </c>
      <c r="H20" s="39" t="s">
        <v>253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</row>
    <row r="21" spans="1:40" x14ac:dyDescent="0.3">
      <c r="A21" s="38" t="s">
        <v>484</v>
      </c>
      <c r="B21" s="39" t="s">
        <v>485</v>
      </c>
      <c r="C21" s="39" t="s">
        <v>486</v>
      </c>
      <c r="D21" s="39" t="s">
        <v>487</v>
      </c>
      <c r="E21" s="39" t="s">
        <v>11</v>
      </c>
      <c r="F21" s="39" t="s">
        <v>12</v>
      </c>
      <c r="G21" s="39">
        <v>0</v>
      </c>
      <c r="H21" s="39" t="s">
        <v>253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</row>
    <row r="22" spans="1:40" x14ac:dyDescent="0.3">
      <c r="A22" s="36" t="s">
        <v>488</v>
      </c>
      <c r="B22" s="4" t="s">
        <v>489</v>
      </c>
      <c r="C22" s="4" t="s">
        <v>436</v>
      </c>
      <c r="D22" s="4" t="s">
        <v>253</v>
      </c>
      <c r="E22" s="4" t="s">
        <v>83</v>
      </c>
      <c r="F22" s="4" t="s">
        <v>12</v>
      </c>
      <c r="G22" s="4">
        <v>0</v>
      </c>
      <c r="H22" s="4" t="s">
        <v>253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</row>
    <row r="23" spans="1:40" x14ac:dyDescent="0.3">
      <c r="A23" s="36" t="s">
        <v>488</v>
      </c>
      <c r="B23" s="4" t="s">
        <v>489</v>
      </c>
      <c r="C23" s="4" t="s">
        <v>486</v>
      </c>
      <c r="D23" s="4" t="s">
        <v>487</v>
      </c>
      <c r="E23" s="4" t="s">
        <v>11</v>
      </c>
      <c r="F23" s="4" t="s">
        <v>12</v>
      </c>
      <c r="G23" s="4">
        <v>0</v>
      </c>
      <c r="H23" s="4" t="s">
        <v>253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</row>
    <row r="24" spans="1:40" x14ac:dyDescent="0.3">
      <c r="A24" s="38" t="s">
        <v>490</v>
      </c>
      <c r="B24" s="39" t="s">
        <v>491</v>
      </c>
      <c r="C24" s="39" t="s">
        <v>449</v>
      </c>
      <c r="D24" s="39" t="s">
        <v>253</v>
      </c>
      <c r="E24" s="39" t="s">
        <v>83</v>
      </c>
      <c r="F24" s="39" t="s">
        <v>12</v>
      </c>
      <c r="G24" s="39">
        <v>0</v>
      </c>
      <c r="H24" s="39" t="s">
        <v>253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</row>
    <row r="25" spans="1:40" x14ac:dyDescent="0.3">
      <c r="A25" s="38" t="s">
        <v>490</v>
      </c>
      <c r="B25" s="39" t="s">
        <v>491</v>
      </c>
      <c r="C25" s="39" t="s">
        <v>492</v>
      </c>
      <c r="D25" s="39" t="s">
        <v>493</v>
      </c>
      <c r="E25" s="39" t="s">
        <v>11</v>
      </c>
      <c r="F25" s="39" t="s">
        <v>12</v>
      </c>
      <c r="G25" s="39">
        <v>0</v>
      </c>
      <c r="H25" s="39" t="s">
        <v>253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</row>
    <row r="26" spans="1:40" x14ac:dyDescent="0.3">
      <c r="A26" s="72" t="s">
        <v>532</v>
      </c>
      <c r="B26" s="71" t="s">
        <v>530</v>
      </c>
      <c r="C26" s="73" t="s">
        <v>531</v>
      </c>
      <c r="D26" s="71" t="s">
        <v>253</v>
      </c>
      <c r="E26" s="71" t="s">
        <v>83</v>
      </c>
      <c r="F26" s="71" t="s">
        <v>12</v>
      </c>
      <c r="G26" s="71">
        <v>0</v>
      </c>
      <c r="H26" s="71" t="s">
        <v>253</v>
      </c>
    </row>
    <row r="27" spans="1:40" x14ac:dyDescent="0.3">
      <c r="A27" s="72" t="s">
        <v>532</v>
      </c>
      <c r="B27" s="71" t="s">
        <v>530</v>
      </c>
      <c r="C27" s="74" t="s">
        <v>466</v>
      </c>
      <c r="D27" s="71" t="s">
        <v>467</v>
      </c>
      <c r="E27" s="71" t="s">
        <v>11</v>
      </c>
      <c r="F27" s="71" t="s">
        <v>12</v>
      </c>
      <c r="G27" s="71">
        <v>0</v>
      </c>
      <c r="H27" s="71" t="s">
        <v>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4E1C13-7B4D-4E77-8D05-0346C22123E0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c4f98862-adfd-4d9c-a945-852f80f0eb51"/>
    <ds:schemaRef ds:uri="160a8fee-1065-46af-a09f-4bc299cd7729"/>
    <ds:schemaRef ds:uri="dd2a1ab4-0a93-49a3-a811-47bf2ef55b99"/>
  </ds:schemaRefs>
</ds:datastoreItem>
</file>

<file path=customXml/itemProps2.xml><?xml version="1.0" encoding="utf-8"?>
<ds:datastoreItem xmlns:ds="http://schemas.openxmlformats.org/officeDocument/2006/customXml" ds:itemID="{8A100466-9965-42A2-BF9C-DE63366BE2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4F82DE-A08F-4D83-BEBA-3C22000341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Yoselyn Seas Jiménez</dc:creator>
  <cp:keywords/>
  <dc:description/>
  <cp:lastModifiedBy>Ignacio  Alfaro Corrales</cp:lastModifiedBy>
  <cp:revision/>
  <dcterms:created xsi:type="dcterms:W3CDTF">2024-02-20T21:43:28Z</dcterms:created>
  <dcterms:modified xsi:type="dcterms:W3CDTF">2025-10-16T23:11:54Z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52042d5e-086a-4aff-b804-011cfd2e953a</vt:lpwstr>
  </property>
  <property fmtid="{D5CDD505-2E9C-101B-9397-08002B2CF9AE}" pid="3" name="MediaServiceImageTags">
    <vt:lpwstr/>
  </property>
  <property fmtid="{D5CDD505-2E9C-101B-9397-08002B2CF9AE}" pid="4" name="ContentTypeId">
    <vt:lpwstr>0x0101000D404091916B8749A73FDE0336A1D2B1</vt:lpwstr>
  </property>
</Properties>
</file>